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Per Line" sheetId="3" state="visible" r:id="rId3"/>
    <sheet xmlns:r="http://schemas.openxmlformats.org/officeDocument/2006/relationships" name="Per Invoice" sheetId="4" state="visible" r:id="rId4"/>
  </sheets>
  <definedNames>
    <definedName name="_xlnm._FilterDatabase" localSheetId="2" hidden="1">'Per Line'!$A$1:$X$3001</definedName>
    <definedName name="_xlnm._FilterDatabase" localSheetId="3" hidden="1">'Per Invoice'!$A$1:$U$801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####"/>
    <numFmt numFmtId="165" formatCode="dd/mm/yyyy hh:mm"/>
    <numFmt numFmtId="166" formatCode="0.0%"/>
  </numFmts>
  <fonts count="6">
    <font>
      <name val="Calibri"/>
      <family val="2"/>
      <color theme="1"/>
      <sz val="11"/>
      <scheme val="minor"/>
    </font>
    <font>
      <b val="1"/>
    </font>
    <font>
      <color rgb="FF0000FF"/>
    </font>
    <font>
      <color rgb="FF808080"/>
    </font>
    <font>
      <b val="1"/>
      <sz val="14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D9D9D9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166" fontId="0" fillId="5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165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Claims Template - GASCO (Walk In)</t>
        </is>
      </c>
    </row>
    <row r="3">
      <c r="A3" s="2" t="inlineStr">
        <is>
          <t>Monthly steps</t>
        </is>
      </c>
    </row>
    <row r="4">
      <c r="A4" s="3" t="inlineStr">
        <is>
          <t>1. Open the 'Per Line' tab. Delete the old data in the BLUE columns only (row 2 down). Never delete the green or grey columns.</t>
        </is>
      </c>
    </row>
    <row r="5">
      <c r="A5" s="3" t="inlineStr">
        <is>
          <t>2. Paste the new month's data as VALUES starting at A2, into the blue columns: A-E, G-J, N-R, T (same order as the system export).</t>
        </is>
      </c>
    </row>
    <row r="6">
      <c r="A6" s="3" t="inlineStr">
        <is>
          <t>3. Green columns (F, K, L, M, S) and the grey helper columns (U-X) calculate automatically - do not paste over them.</t>
        </is>
      </c>
    </row>
    <row r="7">
      <c r="A7" s="3" t="inlineStr">
        <is>
          <t>4. 'Per Invoice' fills itself from 'Per Line' (one row per POS Reference, split into IMP / Local). No pivot table, no refresh.</t>
        </is>
      </c>
    </row>
    <row r="8">
      <c r="A8" s="3" t="inlineStr">
        <is>
          <t>5. The ONLY manual column in 'Per Invoice' is column B 'Invoice' (blue): type it yourself. Everything else is formula.</t>
        </is>
      </c>
    </row>
    <row r="9">
      <c r="A9" s="3" t="inlineStr">
        <is>
          <t>6. Open 'Settings' and check STATUS says OK (Per Line totals = Per Invoice totals).</t>
        </is>
      </c>
    </row>
    <row r="11">
      <c r="A11" s="2" t="inlineStr">
        <is>
          <t>Colour legend</t>
        </is>
      </c>
    </row>
    <row r="12">
      <c r="A12" s="3" t="inlineStr">
        <is>
          <t>Blue header = typed/pasted by you (raw data, and 'Invoice' in Per Invoice).   Green header = formula (do not paste over).   Grey header = helper formula (do not touch).   Yellow cell (Settings) = editable rate.</t>
        </is>
      </c>
    </row>
    <row r="14">
      <c r="A14" s="2" t="inlineStr">
        <is>
          <t>Calculation rules (taken from the September 2026 sheet)</t>
        </is>
      </c>
    </row>
    <row r="15">
      <c r="A15" s="3" t="inlineStr">
        <is>
          <t>Co val = Co Payment % x Total / 100.   Discount = Total x Rebates (Rebates is a fraction here, e.g. 0.14).   Subtotal = Total - Discount.   Net = Subtotal - Co val.   (Total = 'Total Delivered')</t>
        </is>
      </c>
    </row>
    <row r="16">
      <c r="A16" s="3" t="inlineStr">
        <is>
          <t>Rebates per line = Local rate (17%) if Local is TRUE, otherwise Imported rate (7%). Rates are set in 'Settings'.</t>
        </is>
      </c>
    </row>
    <row r="18">
      <c r="A18" s="3" t="inlineStr">
        <is>
          <t>Per Invoice: IMP = sum of Total of non-local lines; Local = sum of Total of local lines. Grand Total = IMP + Local. Discount = IMP val + Local val. Subtotal = Grand Total - Discount. Co val = Co Payment x Grand Total / 100. Net = Subtotal - Co val.</t>
        </is>
      </c>
    </row>
    <row r="20">
      <c r="A20" s="3" t="inlineStr">
        <is>
          <t>Capacity: up to 3,000 lines and 800 invoices per month. A line with an empty POS Reference is ignored.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D23"/>
  <sheetViews>
    <sheetView workbookViewId="0">
      <selection activeCell="A1" sqref="A1"/>
    </sheetView>
  </sheetViews>
  <sheetFormatPr baseColWidth="8" defaultRowHeight="15"/>
  <cols>
    <col width="3" customWidth="1" min="1" max="1"/>
    <col width="42" customWidth="1" min="2" max="2"/>
    <col width="26" customWidth="1" min="3" max="3"/>
    <col width="90" customWidth="1" min="4" max="4"/>
  </cols>
  <sheetData>
    <row r="1">
      <c r="B1" s="4" t="inlineStr">
        <is>
          <t>Company settings &amp; checks</t>
        </is>
      </c>
    </row>
    <row r="3">
      <c r="B3" t="inlineStr">
        <is>
          <t>Insurance Company</t>
        </is>
      </c>
      <c r="C3" t="inlineStr">
        <is>
          <t>GASCO</t>
        </is>
      </c>
      <c r="D3" t="inlineStr">
        <is>
          <t>Informational only</t>
        </is>
      </c>
    </row>
    <row r="4">
      <c r="B4" t="inlineStr">
        <is>
          <t>Corporate</t>
        </is>
      </c>
      <c r="C4" t="inlineStr">
        <is>
          <t>-</t>
        </is>
      </c>
      <c r="D4" t="inlineStr">
        <is>
          <t>Informational only</t>
        </is>
      </c>
    </row>
    <row r="5">
      <c r="B5" t="inlineStr">
        <is>
          <t>Sheet type</t>
        </is>
      </c>
      <c r="C5" t="inlineStr">
        <is>
          <t>Walk In</t>
        </is>
      </c>
      <c r="D5" t="inlineStr">
        <is>
          <t>Informational only</t>
        </is>
      </c>
    </row>
    <row r="6">
      <c r="B6" t="inlineStr">
        <is>
          <t>Local products rebate %</t>
        </is>
      </c>
      <c r="C6" s="5" t="n">
        <v>0.17</v>
      </c>
      <c r="D6" t="inlineStr">
        <is>
          <t>Source: Sep sheet (REB = 0.17 on Local lines).</t>
        </is>
      </c>
    </row>
    <row r="7">
      <c r="B7" t="inlineStr">
        <is>
          <t>Imported (IMP) products rebate %</t>
        </is>
      </c>
      <c r="C7" s="5" t="n">
        <v>0.07000000000000001</v>
      </c>
      <c r="D7" t="inlineStr">
        <is>
          <t>Source: Sep sheet (IMP% = 0.07 on non-local lines).</t>
        </is>
      </c>
    </row>
    <row r="9">
      <c r="B9" s="6" t="inlineStr">
        <is>
          <t>Month totals / reconciliation</t>
        </is>
      </c>
    </row>
    <row r="10">
      <c r="B10" t="inlineStr">
        <is>
          <t>Lines loaded</t>
        </is>
      </c>
      <c r="C10">
        <f>COUNTA('Per Line'!$A$2:$A$3001)</f>
        <v/>
      </c>
    </row>
    <row r="11">
      <c r="B11" t="inlineStr">
        <is>
          <t>Invoices (unique Order #)</t>
        </is>
      </c>
      <c r="C11">
        <f>MAX('Per Line'!$V$2:$V$3001)</f>
        <v/>
      </c>
    </row>
    <row r="12">
      <c r="B12" t="inlineStr">
        <is>
          <t>Invoices shown in Per Invoice</t>
        </is>
      </c>
      <c r="C12">
        <f>SUMPRODUCT(--('Per Invoice'!$A$2:$A$801&lt;&gt;""))</f>
        <v/>
      </c>
    </row>
    <row r="13">
      <c r="B13" t="inlineStr">
        <is>
          <t>Grand Total - Per Line (Product Total)</t>
        </is>
      </c>
      <c r="C13" s="7">
        <f>SUM('Per Line'!$N$2:$N$3001)</f>
        <v/>
      </c>
    </row>
    <row r="14">
      <c r="B14" t="inlineStr">
        <is>
          <t>Grand Total - Per Invoice</t>
        </is>
      </c>
      <c r="C14" s="7">
        <f>SUM('Per Invoice'!$S$2:$S$801)</f>
        <v/>
      </c>
    </row>
    <row r="15">
      <c r="B15" t="inlineStr">
        <is>
          <t>Discount - Per Line</t>
        </is>
      </c>
      <c r="C15" s="7">
        <f>SUM('Per Line'!$K$2:$K$3001)</f>
        <v/>
      </c>
    </row>
    <row r="16">
      <c r="B16" t="inlineStr">
        <is>
          <t>Discount - Per Invoice</t>
        </is>
      </c>
      <c r="C16" s="7">
        <f>SUM('Per Invoice'!$Q$2:$Q$801)</f>
        <v/>
      </c>
    </row>
    <row r="17">
      <c r="B17" t="inlineStr">
        <is>
          <t>Co val - Per Line</t>
        </is>
      </c>
      <c r="C17" s="7">
        <f>SUM('Per Line'!$F$2:$F$3001)</f>
        <v/>
      </c>
    </row>
    <row r="18">
      <c r="B18" t="inlineStr">
        <is>
          <t>Co val - Per Invoice</t>
        </is>
      </c>
      <c r="C18" s="7">
        <f>SUM('Per Invoice'!$G$2:$G$801)</f>
        <v/>
      </c>
    </row>
    <row r="19">
      <c r="B19" t="inlineStr">
        <is>
          <t>Net - Per Line</t>
        </is>
      </c>
      <c r="C19" s="7">
        <f>SUM('Per Line'!$M$2:$M$3001)</f>
        <v/>
      </c>
    </row>
    <row r="20">
      <c r="B20" t="inlineStr">
        <is>
          <t>Net - Per Invoice</t>
        </is>
      </c>
      <c r="C20" s="7">
        <f>SUM('Per Invoice'!$T$2:$T$801)</f>
        <v/>
      </c>
    </row>
    <row r="21">
      <c r="B21" t="inlineStr">
        <is>
          <t>Max Limit adjustment (Co val, Per Invoice only)</t>
        </is>
      </c>
      <c r="C21" s="7" t="n">
        <v>0</v>
      </c>
      <c r="D21" t="inlineStr">
        <is>
          <t>This company's Per Invoice has no Max Limit rule.</t>
        </is>
      </c>
    </row>
    <row r="23">
      <c r="B23" s="6" t="inlineStr">
        <is>
          <t>STATUS</t>
        </is>
      </c>
      <c r="C23" s="6">
        <f>IF(C10=0,"No data loaded",IF(COUNTA('Per Line'!$A:$A)-1&gt;3000,"TOO MANY LINES - extend template",IF(C11&gt;800,"TOO MANY INVOICES - extend template",IF(AND(ROUND(C13-C14,2)=0,ROUND(C15-C16,2)=0,ROUND(C17+C21-C18,2)=0,ROUND(C19-C21-C20,2)=0,C11=C12),"OK","CHECK - Per Line and Per Invoice do not match"))))</f>
        <v/>
      </c>
      <c r="D23" t="inlineStr">
        <is>
          <t>Must say OK after you paste the month data.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3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26" customWidth="1" min="3" max="3"/>
    <col width="13" customWidth="1" min="4" max="4"/>
    <col width="12" customWidth="1" min="5" max="5"/>
    <col width="11" customWidth="1" min="6" max="6"/>
    <col width="12" customWidth="1" min="7" max="7"/>
    <col width="40" customWidth="1" min="8" max="8"/>
    <col width="12" customWidth="1" min="9" max="9"/>
    <col width="12" customWidth="1" min="10" max="10"/>
    <col width="11" customWidth="1" min="11" max="11"/>
    <col width="11" customWidth="1" min="12" max="12"/>
    <col width="11" customWidth="1" min="13" max="13"/>
    <col width="12" customWidth="1" min="14" max="14"/>
    <col width="13" customWidth="1" min="15" max="15"/>
    <col width="12" customWidth="1" min="16" max="16"/>
    <col width="17" customWidth="1" min="17" max="17"/>
    <col width="28" customWidth="1" min="18" max="18"/>
    <col width="11" customWidth="1" min="19" max="19"/>
    <col width="12" customWidth="1" min="20" max="20"/>
    <col width="13" customWidth="1" min="21" max="21"/>
    <col width="13" customWidth="1" min="22" max="22"/>
    <col width="13" customWidth="1" min="23" max="23"/>
    <col width="13" customWidth="1" min="24" max="24"/>
  </cols>
  <sheetData>
    <row r="1" ht="32" customHeight="1">
      <c r="A1" s="8" t="inlineStr">
        <is>
          <t>Pos Reference</t>
        </is>
      </c>
      <c r="B1" s="8" t="inlineStr">
        <is>
          <t>Insurance Company</t>
        </is>
      </c>
      <c r="C1" s="8" t="inlineStr">
        <is>
          <t>Name</t>
        </is>
      </c>
      <c r="D1" s="8" t="inlineStr">
        <is>
          <t>Card Number</t>
        </is>
      </c>
      <c r="E1" s="8" t="inlineStr">
        <is>
          <t>Co Payment %</t>
        </is>
      </c>
      <c r="F1" s="9" t="inlineStr">
        <is>
          <t>Co val</t>
        </is>
      </c>
      <c r="G1" s="8" t="inlineStr">
        <is>
          <t>Heisenberg id</t>
        </is>
      </c>
      <c r="H1" s="8" t="inlineStr">
        <is>
          <t>Product</t>
        </is>
      </c>
      <c r="I1" s="8" t="inlineStr">
        <is>
          <t>Delivered Qty</t>
        </is>
      </c>
      <c r="J1" s="8" t="inlineStr">
        <is>
          <t>Delivered Price</t>
        </is>
      </c>
      <c r="K1" s="9" t="inlineStr">
        <is>
          <t>Discount</t>
        </is>
      </c>
      <c r="L1" s="9" t="inlineStr">
        <is>
          <t>Subtotal</t>
        </is>
      </c>
      <c r="M1" s="9" t="inlineStr">
        <is>
          <t>Net</t>
        </is>
      </c>
      <c r="N1" s="8" t="inlineStr">
        <is>
          <t>Total Delivered</t>
        </is>
      </c>
      <c r="O1" s="8" t="inlineStr">
        <is>
          <t>Payment Type</t>
        </is>
      </c>
      <c r="P1" s="8" t="inlineStr">
        <is>
          <t>Session</t>
        </is>
      </c>
      <c r="Q1" s="8" t="inlineStr">
        <is>
          <t>Create Date</t>
        </is>
      </c>
      <c r="R1" s="8" t="inlineStr">
        <is>
          <t>Order Reference</t>
        </is>
      </c>
      <c r="S1" s="9" t="inlineStr">
        <is>
          <t>Rebates</t>
        </is>
      </c>
      <c r="T1" s="8" t="inlineStr">
        <is>
          <t>Product Template - Product Tmpl → Is Local</t>
        </is>
      </c>
      <c r="U1" s="10" t="inlineStr">
        <is>
          <t>Order 1st Row (helper)</t>
        </is>
      </c>
      <c r="V1" s="10" t="inlineStr">
        <is>
          <t>Invoice # (helper)</t>
        </is>
      </c>
      <c r="W1" s="10" t="inlineStr">
        <is>
          <t>Is Local (helper)</t>
        </is>
      </c>
      <c r="X1" s="10" t="inlineStr">
        <is>
          <t>Sort Key (helper)</t>
        </is>
      </c>
    </row>
    <row r="2">
      <c r="F2" s="7">
        <f>IF($A2="","",E2*N2/100)</f>
        <v/>
      </c>
      <c r="J2" s="7" t="n"/>
      <c r="K2" s="7">
        <f>IF($A2="","",S2*N2)</f>
        <v/>
      </c>
      <c r="L2" s="7">
        <f>IF($A2="","",N2-K2)</f>
        <v/>
      </c>
      <c r="M2" s="7">
        <f>IF($A2="","",L2-F2)</f>
        <v/>
      </c>
      <c r="N2" s="7" t="n"/>
      <c r="Q2" s="11" t="n"/>
      <c r="S2">
        <f>IF($A2="","",IF($W2=1,Settings!$C$6,Settings!$C$7)*1)</f>
        <v/>
      </c>
      <c r="U2">
        <f>IF($A2="","",IF(COUNTIF($A$2:$A2,$A2)=1,1,0))</f>
        <v/>
      </c>
      <c r="V2">
        <f>IF($U2=1,SUMPRODUCT(--($X$2:$X$3001&lt;$X2))+1,"")</f>
        <v/>
      </c>
      <c r="W2">
        <f>IF($A2="","",IF(OR($T2=TRUE(),$T2="TRUE"),1,0))</f>
        <v/>
      </c>
      <c r="X2">
        <f>IF($U2=1,IFERROR(IF(VALUE($A2)&lt;100000000,VALUE($A2),1000000000),IFERROR(IF(VALUE(MID($A2,2,20))&lt;100000000,VALUE(MID($A2,2,20)),1000000000),1000000000))+ROW()/100000,"")</f>
        <v/>
      </c>
    </row>
    <row r="3">
      <c r="F3" s="7">
        <f>IF($A3="","",E3*N3/100)</f>
        <v/>
      </c>
      <c r="J3" s="7" t="n"/>
      <c r="K3" s="7">
        <f>IF($A3="","",S3*N3)</f>
        <v/>
      </c>
      <c r="L3" s="7">
        <f>IF($A3="","",N3-K3)</f>
        <v/>
      </c>
      <c r="M3" s="7">
        <f>IF($A3="","",L3-F3)</f>
        <v/>
      </c>
      <c r="N3" s="7" t="n"/>
      <c r="Q3" s="11" t="n"/>
      <c r="S3">
        <f>IF($A3="","",IF($W3=1,Settings!$C$6,Settings!$C$7)*1)</f>
        <v/>
      </c>
      <c r="U3">
        <f>IF($A3="","",IF(COUNTIF($A$2:$A3,$A3)=1,1,0))</f>
        <v/>
      </c>
      <c r="V3">
        <f>IF($U3=1,SUMPRODUCT(--($X$2:$X$3001&lt;$X3))+1,"")</f>
        <v/>
      </c>
      <c r="W3">
        <f>IF($A3="","",IF(OR($T3=TRUE(),$T3="TRUE"),1,0))</f>
        <v/>
      </c>
      <c r="X3">
        <f>IF($U3=1,IFERROR(IF(VALUE($A3)&lt;100000000,VALUE($A3),1000000000),IFERROR(IF(VALUE(MID($A3,2,20))&lt;100000000,VALUE(MID($A3,2,20)),1000000000),1000000000))+ROW()/100000,"")</f>
        <v/>
      </c>
    </row>
    <row r="4">
      <c r="F4" s="7">
        <f>IF($A4="","",E4*N4/100)</f>
        <v/>
      </c>
      <c r="J4" s="7" t="n"/>
      <c r="K4" s="7">
        <f>IF($A4="","",S4*N4)</f>
        <v/>
      </c>
      <c r="L4" s="7">
        <f>IF($A4="","",N4-K4)</f>
        <v/>
      </c>
      <c r="M4" s="7">
        <f>IF($A4="","",L4-F4)</f>
        <v/>
      </c>
      <c r="N4" s="7" t="n"/>
      <c r="Q4" s="11" t="n"/>
      <c r="S4">
        <f>IF($A4="","",IF($W4=1,Settings!$C$6,Settings!$C$7)*1)</f>
        <v/>
      </c>
      <c r="U4">
        <f>IF($A4="","",IF(COUNTIF($A$2:$A4,$A4)=1,1,0))</f>
        <v/>
      </c>
      <c r="V4">
        <f>IF($U4=1,SUMPRODUCT(--($X$2:$X$3001&lt;$X4))+1,"")</f>
        <v/>
      </c>
      <c r="W4">
        <f>IF($A4="","",IF(OR($T4=TRUE(),$T4="TRUE"),1,0))</f>
        <v/>
      </c>
      <c r="X4">
        <f>IF($U4=1,IFERROR(IF(VALUE($A4)&lt;100000000,VALUE($A4),1000000000),IFERROR(IF(VALUE(MID($A4,2,20))&lt;100000000,VALUE(MID($A4,2,20)),1000000000),1000000000))+ROW()/100000,"")</f>
        <v/>
      </c>
    </row>
    <row r="5">
      <c r="F5" s="7">
        <f>IF($A5="","",E5*N5/100)</f>
        <v/>
      </c>
      <c r="J5" s="7" t="n"/>
      <c r="K5" s="7">
        <f>IF($A5="","",S5*N5)</f>
        <v/>
      </c>
      <c r="L5" s="7">
        <f>IF($A5="","",N5-K5)</f>
        <v/>
      </c>
      <c r="M5" s="7">
        <f>IF($A5="","",L5-F5)</f>
        <v/>
      </c>
      <c r="N5" s="7" t="n"/>
      <c r="Q5" s="11" t="n"/>
      <c r="S5">
        <f>IF($A5="","",IF($W5=1,Settings!$C$6,Settings!$C$7)*1)</f>
        <v/>
      </c>
      <c r="U5">
        <f>IF($A5="","",IF(COUNTIF($A$2:$A5,$A5)=1,1,0))</f>
        <v/>
      </c>
      <c r="V5">
        <f>IF($U5=1,SUMPRODUCT(--($X$2:$X$3001&lt;$X5))+1,"")</f>
        <v/>
      </c>
      <c r="W5">
        <f>IF($A5="","",IF(OR($T5=TRUE(),$T5="TRUE"),1,0))</f>
        <v/>
      </c>
      <c r="X5">
        <f>IF($U5=1,IFERROR(IF(VALUE($A5)&lt;100000000,VALUE($A5),1000000000),IFERROR(IF(VALUE(MID($A5,2,20))&lt;100000000,VALUE(MID($A5,2,20)),1000000000),1000000000))+ROW()/100000,"")</f>
        <v/>
      </c>
    </row>
    <row r="6">
      <c r="F6" s="7">
        <f>IF($A6="","",E6*N6/100)</f>
        <v/>
      </c>
      <c r="J6" s="7" t="n"/>
      <c r="K6" s="7">
        <f>IF($A6="","",S6*N6)</f>
        <v/>
      </c>
      <c r="L6" s="7">
        <f>IF($A6="","",N6-K6)</f>
        <v/>
      </c>
      <c r="M6" s="7">
        <f>IF($A6="","",L6-F6)</f>
        <v/>
      </c>
      <c r="N6" s="7" t="n"/>
      <c r="Q6" s="11" t="n"/>
      <c r="S6">
        <f>IF($A6="","",IF($W6=1,Settings!$C$6,Settings!$C$7)*1)</f>
        <v/>
      </c>
      <c r="U6">
        <f>IF($A6="","",IF(COUNTIF($A$2:$A6,$A6)=1,1,0))</f>
        <v/>
      </c>
      <c r="V6">
        <f>IF($U6=1,SUMPRODUCT(--($X$2:$X$3001&lt;$X6))+1,"")</f>
        <v/>
      </c>
      <c r="W6">
        <f>IF($A6="","",IF(OR($T6=TRUE(),$T6="TRUE"),1,0))</f>
        <v/>
      </c>
      <c r="X6">
        <f>IF($U6=1,IFERROR(IF(VALUE($A6)&lt;100000000,VALUE($A6),1000000000),IFERROR(IF(VALUE(MID($A6,2,20))&lt;100000000,VALUE(MID($A6,2,20)),1000000000),1000000000))+ROW()/100000,"")</f>
        <v/>
      </c>
    </row>
    <row r="7">
      <c r="F7" s="7">
        <f>IF($A7="","",E7*N7/100)</f>
        <v/>
      </c>
      <c r="J7" s="7" t="n"/>
      <c r="K7" s="7">
        <f>IF($A7="","",S7*N7)</f>
        <v/>
      </c>
      <c r="L7" s="7">
        <f>IF($A7="","",N7-K7)</f>
        <v/>
      </c>
      <c r="M7" s="7">
        <f>IF($A7="","",L7-F7)</f>
        <v/>
      </c>
      <c r="N7" s="7" t="n"/>
      <c r="Q7" s="11" t="n"/>
      <c r="S7">
        <f>IF($A7="","",IF($W7=1,Settings!$C$6,Settings!$C$7)*1)</f>
        <v/>
      </c>
      <c r="U7">
        <f>IF($A7="","",IF(COUNTIF($A$2:$A7,$A7)=1,1,0))</f>
        <v/>
      </c>
      <c r="V7">
        <f>IF($U7=1,SUMPRODUCT(--($X$2:$X$3001&lt;$X7))+1,"")</f>
        <v/>
      </c>
      <c r="W7">
        <f>IF($A7="","",IF(OR($T7=TRUE(),$T7="TRUE"),1,0))</f>
        <v/>
      </c>
      <c r="X7">
        <f>IF($U7=1,IFERROR(IF(VALUE($A7)&lt;100000000,VALUE($A7),1000000000),IFERROR(IF(VALUE(MID($A7,2,20))&lt;100000000,VALUE(MID($A7,2,20)),1000000000),1000000000))+ROW()/100000,"")</f>
        <v/>
      </c>
    </row>
    <row r="8">
      <c r="F8" s="7">
        <f>IF($A8="","",E8*N8/100)</f>
        <v/>
      </c>
      <c r="J8" s="7" t="n"/>
      <c r="K8" s="7">
        <f>IF($A8="","",S8*N8)</f>
        <v/>
      </c>
      <c r="L8" s="7">
        <f>IF($A8="","",N8-K8)</f>
        <v/>
      </c>
      <c r="M8" s="7">
        <f>IF($A8="","",L8-F8)</f>
        <v/>
      </c>
      <c r="N8" s="7" t="n"/>
      <c r="Q8" s="11" t="n"/>
      <c r="S8">
        <f>IF($A8="","",IF($W8=1,Settings!$C$6,Settings!$C$7)*1)</f>
        <v/>
      </c>
      <c r="U8">
        <f>IF($A8="","",IF(COUNTIF($A$2:$A8,$A8)=1,1,0))</f>
        <v/>
      </c>
      <c r="V8">
        <f>IF($U8=1,SUMPRODUCT(--($X$2:$X$3001&lt;$X8))+1,"")</f>
        <v/>
      </c>
      <c r="W8">
        <f>IF($A8="","",IF(OR($T8=TRUE(),$T8="TRUE"),1,0))</f>
        <v/>
      </c>
      <c r="X8">
        <f>IF($U8=1,IFERROR(IF(VALUE($A8)&lt;100000000,VALUE($A8),1000000000),IFERROR(IF(VALUE(MID($A8,2,20))&lt;100000000,VALUE(MID($A8,2,20)),1000000000),1000000000))+ROW()/100000,"")</f>
        <v/>
      </c>
    </row>
    <row r="9">
      <c r="F9" s="7">
        <f>IF($A9="","",E9*N9/100)</f>
        <v/>
      </c>
      <c r="J9" s="7" t="n"/>
      <c r="K9" s="7">
        <f>IF($A9="","",S9*N9)</f>
        <v/>
      </c>
      <c r="L9" s="7">
        <f>IF($A9="","",N9-K9)</f>
        <v/>
      </c>
      <c r="M9" s="7">
        <f>IF($A9="","",L9-F9)</f>
        <v/>
      </c>
      <c r="N9" s="7" t="n"/>
      <c r="Q9" s="11" t="n"/>
      <c r="S9">
        <f>IF($A9="","",IF($W9=1,Settings!$C$6,Settings!$C$7)*1)</f>
        <v/>
      </c>
      <c r="U9">
        <f>IF($A9="","",IF(COUNTIF($A$2:$A9,$A9)=1,1,0))</f>
        <v/>
      </c>
      <c r="V9">
        <f>IF($U9=1,SUMPRODUCT(--($X$2:$X$3001&lt;$X9))+1,"")</f>
        <v/>
      </c>
      <c r="W9">
        <f>IF($A9="","",IF(OR($T9=TRUE(),$T9="TRUE"),1,0))</f>
        <v/>
      </c>
      <c r="X9">
        <f>IF($U9=1,IFERROR(IF(VALUE($A9)&lt;100000000,VALUE($A9),1000000000),IFERROR(IF(VALUE(MID($A9,2,20))&lt;100000000,VALUE(MID($A9,2,20)),1000000000),1000000000))+ROW()/100000,"")</f>
        <v/>
      </c>
    </row>
    <row r="10">
      <c r="F10" s="7">
        <f>IF($A10="","",E10*N10/100)</f>
        <v/>
      </c>
      <c r="J10" s="7" t="n"/>
      <c r="K10" s="7">
        <f>IF($A10="","",S10*N10)</f>
        <v/>
      </c>
      <c r="L10" s="7">
        <f>IF($A10="","",N10-K10)</f>
        <v/>
      </c>
      <c r="M10" s="7">
        <f>IF($A10="","",L10-F10)</f>
        <v/>
      </c>
      <c r="N10" s="7" t="n"/>
      <c r="Q10" s="11" t="n"/>
      <c r="S10">
        <f>IF($A10="","",IF($W10=1,Settings!$C$6,Settings!$C$7)*1)</f>
        <v/>
      </c>
      <c r="U10">
        <f>IF($A10="","",IF(COUNTIF($A$2:$A10,$A10)=1,1,0))</f>
        <v/>
      </c>
      <c r="V10">
        <f>IF($U10=1,SUMPRODUCT(--($X$2:$X$3001&lt;$X10))+1,"")</f>
        <v/>
      </c>
      <c r="W10">
        <f>IF($A10="","",IF(OR($T10=TRUE(),$T10="TRUE"),1,0))</f>
        <v/>
      </c>
      <c r="X10">
        <f>IF($U10=1,IFERROR(IF(VALUE($A10)&lt;100000000,VALUE($A10),1000000000),IFERROR(IF(VALUE(MID($A10,2,20))&lt;100000000,VALUE(MID($A10,2,20)),1000000000),1000000000))+ROW()/100000,"")</f>
        <v/>
      </c>
    </row>
    <row r="11">
      <c r="F11" s="7">
        <f>IF($A11="","",E11*N11/100)</f>
        <v/>
      </c>
      <c r="J11" s="7" t="n"/>
      <c r="K11" s="7">
        <f>IF($A11="","",S11*N11)</f>
        <v/>
      </c>
      <c r="L11" s="7">
        <f>IF($A11="","",N11-K11)</f>
        <v/>
      </c>
      <c r="M11" s="7">
        <f>IF($A11="","",L11-F11)</f>
        <v/>
      </c>
      <c r="N11" s="7" t="n"/>
      <c r="Q11" s="11" t="n"/>
      <c r="S11">
        <f>IF($A11="","",IF($W11=1,Settings!$C$6,Settings!$C$7)*1)</f>
        <v/>
      </c>
      <c r="U11">
        <f>IF($A11="","",IF(COUNTIF($A$2:$A11,$A11)=1,1,0))</f>
        <v/>
      </c>
      <c r="V11">
        <f>IF($U11=1,SUMPRODUCT(--($X$2:$X$3001&lt;$X11))+1,"")</f>
        <v/>
      </c>
      <c r="W11">
        <f>IF($A11="","",IF(OR($T11=TRUE(),$T11="TRUE"),1,0))</f>
        <v/>
      </c>
      <c r="X11">
        <f>IF($U11=1,IFERROR(IF(VALUE($A11)&lt;100000000,VALUE($A11),1000000000),IFERROR(IF(VALUE(MID($A11,2,20))&lt;100000000,VALUE(MID($A11,2,20)),1000000000),1000000000))+ROW()/100000,"")</f>
        <v/>
      </c>
    </row>
    <row r="12">
      <c r="F12" s="7">
        <f>IF($A12="","",E12*N12/100)</f>
        <v/>
      </c>
      <c r="J12" s="7" t="n"/>
      <c r="K12" s="7">
        <f>IF($A12="","",S12*N12)</f>
        <v/>
      </c>
      <c r="L12" s="7">
        <f>IF($A12="","",N12-K12)</f>
        <v/>
      </c>
      <c r="M12" s="7">
        <f>IF($A12="","",L12-F12)</f>
        <v/>
      </c>
      <c r="N12" s="7" t="n"/>
      <c r="Q12" s="11" t="n"/>
      <c r="S12">
        <f>IF($A12="","",IF($W12=1,Settings!$C$6,Settings!$C$7)*1)</f>
        <v/>
      </c>
      <c r="U12">
        <f>IF($A12="","",IF(COUNTIF($A$2:$A12,$A12)=1,1,0))</f>
        <v/>
      </c>
      <c r="V12">
        <f>IF($U12=1,SUMPRODUCT(--($X$2:$X$3001&lt;$X12))+1,"")</f>
        <v/>
      </c>
      <c r="W12">
        <f>IF($A12="","",IF(OR($T12=TRUE(),$T12="TRUE"),1,0))</f>
        <v/>
      </c>
      <c r="X12">
        <f>IF($U12=1,IFERROR(IF(VALUE($A12)&lt;100000000,VALUE($A12),1000000000),IFERROR(IF(VALUE(MID($A12,2,20))&lt;100000000,VALUE(MID($A12,2,20)),1000000000),1000000000))+ROW()/100000,"")</f>
        <v/>
      </c>
    </row>
    <row r="13">
      <c r="F13" s="7">
        <f>IF($A13="","",E13*N13/100)</f>
        <v/>
      </c>
      <c r="J13" s="7" t="n"/>
      <c r="K13" s="7">
        <f>IF($A13="","",S13*N13)</f>
        <v/>
      </c>
      <c r="L13" s="7">
        <f>IF($A13="","",N13-K13)</f>
        <v/>
      </c>
      <c r="M13" s="7">
        <f>IF($A13="","",L13-F13)</f>
        <v/>
      </c>
      <c r="N13" s="7" t="n"/>
      <c r="Q13" s="11" t="n"/>
      <c r="S13">
        <f>IF($A13="","",IF($W13=1,Settings!$C$6,Settings!$C$7)*1)</f>
        <v/>
      </c>
      <c r="U13">
        <f>IF($A13="","",IF(COUNTIF($A$2:$A13,$A13)=1,1,0))</f>
        <v/>
      </c>
      <c r="V13">
        <f>IF($U13=1,SUMPRODUCT(--($X$2:$X$3001&lt;$X13))+1,"")</f>
        <v/>
      </c>
      <c r="W13">
        <f>IF($A13="","",IF(OR($T13=TRUE(),$T13="TRUE"),1,0))</f>
        <v/>
      </c>
      <c r="X13">
        <f>IF($U13=1,IFERROR(IF(VALUE($A13)&lt;100000000,VALUE($A13),1000000000),IFERROR(IF(VALUE(MID($A13,2,20))&lt;100000000,VALUE(MID($A13,2,20)),1000000000),1000000000))+ROW()/100000,"")</f>
        <v/>
      </c>
    </row>
    <row r="14">
      <c r="F14" s="7">
        <f>IF($A14="","",E14*N14/100)</f>
        <v/>
      </c>
      <c r="J14" s="7" t="n"/>
      <c r="K14" s="7">
        <f>IF($A14="","",S14*N14)</f>
        <v/>
      </c>
      <c r="L14" s="7">
        <f>IF($A14="","",N14-K14)</f>
        <v/>
      </c>
      <c r="M14" s="7">
        <f>IF($A14="","",L14-F14)</f>
        <v/>
      </c>
      <c r="N14" s="7" t="n"/>
      <c r="Q14" s="11" t="n"/>
      <c r="S14">
        <f>IF($A14="","",IF($W14=1,Settings!$C$6,Settings!$C$7)*1)</f>
        <v/>
      </c>
      <c r="U14">
        <f>IF($A14="","",IF(COUNTIF($A$2:$A14,$A14)=1,1,0))</f>
        <v/>
      </c>
      <c r="V14">
        <f>IF($U14=1,SUMPRODUCT(--($X$2:$X$3001&lt;$X14))+1,"")</f>
        <v/>
      </c>
      <c r="W14">
        <f>IF($A14="","",IF(OR($T14=TRUE(),$T14="TRUE"),1,0))</f>
        <v/>
      </c>
      <c r="X14">
        <f>IF($U14=1,IFERROR(IF(VALUE($A14)&lt;100000000,VALUE($A14),1000000000),IFERROR(IF(VALUE(MID($A14,2,20))&lt;100000000,VALUE(MID($A14,2,20)),1000000000),1000000000))+ROW()/100000,"")</f>
        <v/>
      </c>
    </row>
    <row r="15">
      <c r="F15" s="7">
        <f>IF($A15="","",E15*N15/100)</f>
        <v/>
      </c>
      <c r="J15" s="7" t="n"/>
      <c r="K15" s="7">
        <f>IF($A15="","",S15*N15)</f>
        <v/>
      </c>
      <c r="L15" s="7">
        <f>IF($A15="","",N15-K15)</f>
        <v/>
      </c>
      <c r="M15" s="7">
        <f>IF($A15="","",L15-F15)</f>
        <v/>
      </c>
      <c r="N15" s="7" t="n"/>
      <c r="Q15" s="11" t="n"/>
      <c r="S15">
        <f>IF($A15="","",IF($W15=1,Settings!$C$6,Settings!$C$7)*1)</f>
        <v/>
      </c>
      <c r="U15">
        <f>IF($A15="","",IF(COUNTIF($A$2:$A15,$A15)=1,1,0))</f>
        <v/>
      </c>
      <c r="V15">
        <f>IF($U15=1,SUMPRODUCT(--($X$2:$X$3001&lt;$X15))+1,"")</f>
        <v/>
      </c>
      <c r="W15">
        <f>IF($A15="","",IF(OR($T15=TRUE(),$T15="TRUE"),1,0))</f>
        <v/>
      </c>
      <c r="X15">
        <f>IF($U15=1,IFERROR(IF(VALUE($A15)&lt;100000000,VALUE($A15),1000000000),IFERROR(IF(VALUE(MID($A15,2,20))&lt;100000000,VALUE(MID($A15,2,20)),1000000000),1000000000))+ROW()/100000,"")</f>
        <v/>
      </c>
    </row>
    <row r="16">
      <c r="F16" s="7">
        <f>IF($A16="","",E16*N16/100)</f>
        <v/>
      </c>
      <c r="J16" s="7" t="n"/>
      <c r="K16" s="7">
        <f>IF($A16="","",S16*N16)</f>
        <v/>
      </c>
      <c r="L16" s="7">
        <f>IF($A16="","",N16-K16)</f>
        <v/>
      </c>
      <c r="M16" s="7">
        <f>IF($A16="","",L16-F16)</f>
        <v/>
      </c>
      <c r="N16" s="7" t="n"/>
      <c r="Q16" s="11" t="n"/>
      <c r="S16">
        <f>IF($A16="","",IF($W16=1,Settings!$C$6,Settings!$C$7)*1)</f>
        <v/>
      </c>
      <c r="U16">
        <f>IF($A16="","",IF(COUNTIF($A$2:$A16,$A16)=1,1,0))</f>
        <v/>
      </c>
      <c r="V16">
        <f>IF($U16=1,SUMPRODUCT(--($X$2:$X$3001&lt;$X16))+1,"")</f>
        <v/>
      </c>
      <c r="W16">
        <f>IF($A16="","",IF(OR($T16=TRUE(),$T16="TRUE"),1,0))</f>
        <v/>
      </c>
      <c r="X16">
        <f>IF($U16=1,IFERROR(IF(VALUE($A16)&lt;100000000,VALUE($A16),1000000000),IFERROR(IF(VALUE(MID($A16,2,20))&lt;100000000,VALUE(MID($A16,2,20)),1000000000),1000000000))+ROW()/100000,"")</f>
        <v/>
      </c>
    </row>
    <row r="17">
      <c r="F17" s="7">
        <f>IF($A17="","",E17*N17/100)</f>
        <v/>
      </c>
      <c r="J17" s="7" t="n"/>
      <c r="K17" s="7">
        <f>IF($A17="","",S17*N17)</f>
        <v/>
      </c>
      <c r="L17" s="7">
        <f>IF($A17="","",N17-K17)</f>
        <v/>
      </c>
      <c r="M17" s="7">
        <f>IF($A17="","",L17-F17)</f>
        <v/>
      </c>
      <c r="N17" s="7" t="n"/>
      <c r="Q17" s="11" t="n"/>
      <c r="S17">
        <f>IF($A17="","",IF($W17=1,Settings!$C$6,Settings!$C$7)*1)</f>
        <v/>
      </c>
      <c r="U17">
        <f>IF($A17="","",IF(COUNTIF($A$2:$A17,$A17)=1,1,0))</f>
        <v/>
      </c>
      <c r="V17">
        <f>IF($U17=1,SUMPRODUCT(--($X$2:$X$3001&lt;$X17))+1,"")</f>
        <v/>
      </c>
      <c r="W17">
        <f>IF($A17="","",IF(OR($T17=TRUE(),$T17="TRUE"),1,0))</f>
        <v/>
      </c>
      <c r="X17">
        <f>IF($U17=1,IFERROR(IF(VALUE($A17)&lt;100000000,VALUE($A17),1000000000),IFERROR(IF(VALUE(MID($A17,2,20))&lt;100000000,VALUE(MID($A17,2,20)),1000000000),1000000000))+ROW()/100000,"")</f>
        <v/>
      </c>
    </row>
    <row r="18">
      <c r="F18" s="7">
        <f>IF($A18="","",E18*N18/100)</f>
        <v/>
      </c>
      <c r="J18" s="7" t="n"/>
      <c r="K18" s="7">
        <f>IF($A18="","",S18*N18)</f>
        <v/>
      </c>
      <c r="L18" s="7">
        <f>IF($A18="","",N18-K18)</f>
        <v/>
      </c>
      <c r="M18" s="7">
        <f>IF($A18="","",L18-F18)</f>
        <v/>
      </c>
      <c r="N18" s="7" t="n"/>
      <c r="Q18" s="11" t="n"/>
      <c r="S18">
        <f>IF($A18="","",IF($W18=1,Settings!$C$6,Settings!$C$7)*1)</f>
        <v/>
      </c>
      <c r="U18">
        <f>IF($A18="","",IF(COUNTIF($A$2:$A18,$A18)=1,1,0))</f>
        <v/>
      </c>
      <c r="V18">
        <f>IF($U18=1,SUMPRODUCT(--($X$2:$X$3001&lt;$X18))+1,"")</f>
        <v/>
      </c>
      <c r="W18">
        <f>IF($A18="","",IF(OR($T18=TRUE(),$T18="TRUE"),1,0))</f>
        <v/>
      </c>
      <c r="X18">
        <f>IF($U18=1,IFERROR(IF(VALUE($A18)&lt;100000000,VALUE($A18),1000000000),IFERROR(IF(VALUE(MID($A18,2,20))&lt;100000000,VALUE(MID($A18,2,20)),1000000000),1000000000))+ROW()/100000,"")</f>
        <v/>
      </c>
    </row>
    <row r="19">
      <c r="F19" s="7">
        <f>IF($A19="","",E19*N19/100)</f>
        <v/>
      </c>
      <c r="J19" s="7" t="n"/>
      <c r="K19" s="7">
        <f>IF($A19="","",S19*N19)</f>
        <v/>
      </c>
      <c r="L19" s="7">
        <f>IF($A19="","",N19-K19)</f>
        <v/>
      </c>
      <c r="M19" s="7">
        <f>IF($A19="","",L19-F19)</f>
        <v/>
      </c>
      <c r="N19" s="7" t="n"/>
      <c r="Q19" s="11" t="n"/>
      <c r="S19">
        <f>IF($A19="","",IF($W19=1,Settings!$C$6,Settings!$C$7)*1)</f>
        <v/>
      </c>
      <c r="U19">
        <f>IF($A19="","",IF(COUNTIF($A$2:$A19,$A19)=1,1,0))</f>
        <v/>
      </c>
      <c r="V19">
        <f>IF($U19=1,SUMPRODUCT(--($X$2:$X$3001&lt;$X19))+1,"")</f>
        <v/>
      </c>
      <c r="W19">
        <f>IF($A19="","",IF(OR($T19=TRUE(),$T19="TRUE"),1,0))</f>
        <v/>
      </c>
      <c r="X19">
        <f>IF($U19=1,IFERROR(IF(VALUE($A19)&lt;100000000,VALUE($A19),1000000000),IFERROR(IF(VALUE(MID($A19,2,20))&lt;100000000,VALUE(MID($A19,2,20)),1000000000),1000000000))+ROW()/100000,"")</f>
        <v/>
      </c>
    </row>
    <row r="20">
      <c r="F20" s="7">
        <f>IF($A20="","",E20*N20/100)</f>
        <v/>
      </c>
      <c r="J20" s="7" t="n"/>
      <c r="K20" s="7">
        <f>IF($A20="","",S20*N20)</f>
        <v/>
      </c>
      <c r="L20" s="7">
        <f>IF($A20="","",N20-K20)</f>
        <v/>
      </c>
      <c r="M20" s="7">
        <f>IF($A20="","",L20-F20)</f>
        <v/>
      </c>
      <c r="N20" s="7" t="n"/>
      <c r="Q20" s="11" t="n"/>
      <c r="S20">
        <f>IF($A20="","",IF($W20=1,Settings!$C$6,Settings!$C$7)*1)</f>
        <v/>
      </c>
      <c r="U20">
        <f>IF($A20="","",IF(COUNTIF($A$2:$A20,$A20)=1,1,0))</f>
        <v/>
      </c>
      <c r="V20">
        <f>IF($U20=1,SUMPRODUCT(--($X$2:$X$3001&lt;$X20))+1,"")</f>
        <v/>
      </c>
      <c r="W20">
        <f>IF($A20="","",IF(OR($T20=TRUE(),$T20="TRUE"),1,0))</f>
        <v/>
      </c>
      <c r="X20">
        <f>IF($U20=1,IFERROR(IF(VALUE($A20)&lt;100000000,VALUE($A20),1000000000),IFERROR(IF(VALUE(MID($A20,2,20))&lt;100000000,VALUE(MID($A20,2,20)),1000000000),1000000000))+ROW()/100000,"")</f>
        <v/>
      </c>
    </row>
    <row r="21">
      <c r="F21" s="7">
        <f>IF($A21="","",E21*N21/100)</f>
        <v/>
      </c>
      <c r="J21" s="7" t="n"/>
      <c r="K21" s="7">
        <f>IF($A21="","",S21*N21)</f>
        <v/>
      </c>
      <c r="L21" s="7">
        <f>IF($A21="","",N21-K21)</f>
        <v/>
      </c>
      <c r="M21" s="7">
        <f>IF($A21="","",L21-F21)</f>
        <v/>
      </c>
      <c r="N21" s="7" t="n"/>
      <c r="Q21" s="11" t="n"/>
      <c r="S21">
        <f>IF($A21="","",IF($W21=1,Settings!$C$6,Settings!$C$7)*1)</f>
        <v/>
      </c>
      <c r="U21">
        <f>IF($A21="","",IF(COUNTIF($A$2:$A21,$A21)=1,1,0))</f>
        <v/>
      </c>
      <c r="V21">
        <f>IF($U21=1,SUMPRODUCT(--($X$2:$X$3001&lt;$X21))+1,"")</f>
        <v/>
      </c>
      <c r="W21">
        <f>IF($A21="","",IF(OR($T21=TRUE(),$T21="TRUE"),1,0))</f>
        <v/>
      </c>
      <c r="X21">
        <f>IF($U21=1,IFERROR(IF(VALUE($A21)&lt;100000000,VALUE($A21),1000000000),IFERROR(IF(VALUE(MID($A21,2,20))&lt;100000000,VALUE(MID($A21,2,20)),1000000000),1000000000))+ROW()/100000,"")</f>
        <v/>
      </c>
    </row>
    <row r="22">
      <c r="F22" s="7">
        <f>IF($A22="","",E22*N22/100)</f>
        <v/>
      </c>
      <c r="J22" s="7" t="n"/>
      <c r="K22" s="7">
        <f>IF($A22="","",S22*N22)</f>
        <v/>
      </c>
      <c r="L22" s="7">
        <f>IF($A22="","",N22-K22)</f>
        <v/>
      </c>
      <c r="M22" s="7">
        <f>IF($A22="","",L22-F22)</f>
        <v/>
      </c>
      <c r="N22" s="7" t="n"/>
      <c r="Q22" s="11" t="n"/>
      <c r="S22">
        <f>IF($A22="","",IF($W22=1,Settings!$C$6,Settings!$C$7)*1)</f>
        <v/>
      </c>
      <c r="U22">
        <f>IF($A22="","",IF(COUNTIF($A$2:$A22,$A22)=1,1,0))</f>
        <v/>
      </c>
      <c r="V22">
        <f>IF($U22=1,SUMPRODUCT(--($X$2:$X$3001&lt;$X22))+1,"")</f>
        <v/>
      </c>
      <c r="W22">
        <f>IF($A22="","",IF(OR($T22=TRUE(),$T22="TRUE"),1,0))</f>
        <v/>
      </c>
      <c r="X22">
        <f>IF($U22=1,IFERROR(IF(VALUE($A22)&lt;100000000,VALUE($A22),1000000000),IFERROR(IF(VALUE(MID($A22,2,20))&lt;100000000,VALUE(MID($A22,2,20)),1000000000),1000000000))+ROW()/100000,"")</f>
        <v/>
      </c>
    </row>
    <row r="23">
      <c r="F23" s="7">
        <f>IF($A23="","",E23*N23/100)</f>
        <v/>
      </c>
      <c r="J23" s="7" t="n"/>
      <c r="K23" s="7">
        <f>IF($A23="","",S23*N23)</f>
        <v/>
      </c>
      <c r="L23" s="7">
        <f>IF($A23="","",N23-K23)</f>
        <v/>
      </c>
      <c r="M23" s="7">
        <f>IF($A23="","",L23-F23)</f>
        <v/>
      </c>
      <c r="N23" s="7" t="n"/>
      <c r="Q23" s="11" t="n"/>
      <c r="S23">
        <f>IF($A23="","",IF($W23=1,Settings!$C$6,Settings!$C$7)*1)</f>
        <v/>
      </c>
      <c r="U23">
        <f>IF($A23="","",IF(COUNTIF($A$2:$A23,$A23)=1,1,0))</f>
        <v/>
      </c>
      <c r="V23">
        <f>IF($U23=1,SUMPRODUCT(--($X$2:$X$3001&lt;$X23))+1,"")</f>
        <v/>
      </c>
      <c r="W23">
        <f>IF($A23="","",IF(OR($T23=TRUE(),$T23="TRUE"),1,0))</f>
        <v/>
      </c>
      <c r="X23">
        <f>IF($U23=1,IFERROR(IF(VALUE($A23)&lt;100000000,VALUE($A23),1000000000),IFERROR(IF(VALUE(MID($A23,2,20))&lt;100000000,VALUE(MID($A23,2,20)),1000000000),1000000000))+ROW()/100000,"")</f>
        <v/>
      </c>
    </row>
    <row r="24">
      <c r="F24" s="7">
        <f>IF($A24="","",E24*N24/100)</f>
        <v/>
      </c>
      <c r="J24" s="7" t="n"/>
      <c r="K24" s="7">
        <f>IF($A24="","",S24*N24)</f>
        <v/>
      </c>
      <c r="L24" s="7">
        <f>IF($A24="","",N24-K24)</f>
        <v/>
      </c>
      <c r="M24" s="7">
        <f>IF($A24="","",L24-F24)</f>
        <v/>
      </c>
      <c r="N24" s="7" t="n"/>
      <c r="Q24" s="11" t="n"/>
      <c r="S24">
        <f>IF($A24="","",IF($W24=1,Settings!$C$6,Settings!$C$7)*1)</f>
        <v/>
      </c>
      <c r="U24">
        <f>IF($A24="","",IF(COUNTIF($A$2:$A24,$A24)=1,1,0))</f>
        <v/>
      </c>
      <c r="V24">
        <f>IF($U24=1,SUMPRODUCT(--($X$2:$X$3001&lt;$X24))+1,"")</f>
        <v/>
      </c>
      <c r="W24">
        <f>IF($A24="","",IF(OR($T24=TRUE(),$T24="TRUE"),1,0))</f>
        <v/>
      </c>
      <c r="X24">
        <f>IF($U24=1,IFERROR(IF(VALUE($A24)&lt;100000000,VALUE($A24),1000000000),IFERROR(IF(VALUE(MID($A24,2,20))&lt;100000000,VALUE(MID($A24,2,20)),1000000000),1000000000))+ROW()/100000,"")</f>
        <v/>
      </c>
    </row>
    <row r="25">
      <c r="F25" s="7">
        <f>IF($A25="","",E25*N25/100)</f>
        <v/>
      </c>
      <c r="J25" s="7" t="n"/>
      <c r="K25" s="7">
        <f>IF($A25="","",S25*N25)</f>
        <v/>
      </c>
      <c r="L25" s="7">
        <f>IF($A25="","",N25-K25)</f>
        <v/>
      </c>
      <c r="M25" s="7">
        <f>IF($A25="","",L25-F25)</f>
        <v/>
      </c>
      <c r="N25" s="7" t="n"/>
      <c r="Q25" s="11" t="n"/>
      <c r="S25">
        <f>IF($A25="","",IF($W25=1,Settings!$C$6,Settings!$C$7)*1)</f>
        <v/>
      </c>
      <c r="U25">
        <f>IF($A25="","",IF(COUNTIF($A$2:$A25,$A25)=1,1,0))</f>
        <v/>
      </c>
      <c r="V25">
        <f>IF($U25=1,SUMPRODUCT(--($X$2:$X$3001&lt;$X25))+1,"")</f>
        <v/>
      </c>
      <c r="W25">
        <f>IF($A25="","",IF(OR($T25=TRUE(),$T25="TRUE"),1,0))</f>
        <v/>
      </c>
      <c r="X25">
        <f>IF($U25=1,IFERROR(IF(VALUE($A25)&lt;100000000,VALUE($A25),1000000000),IFERROR(IF(VALUE(MID($A25,2,20))&lt;100000000,VALUE(MID($A25,2,20)),1000000000),1000000000))+ROW()/100000,"")</f>
        <v/>
      </c>
    </row>
    <row r="26">
      <c r="F26" s="7">
        <f>IF($A26="","",E26*N26/100)</f>
        <v/>
      </c>
      <c r="J26" s="7" t="n"/>
      <c r="K26" s="7">
        <f>IF($A26="","",S26*N26)</f>
        <v/>
      </c>
      <c r="L26" s="7">
        <f>IF($A26="","",N26-K26)</f>
        <v/>
      </c>
      <c r="M26" s="7">
        <f>IF($A26="","",L26-F26)</f>
        <v/>
      </c>
      <c r="N26" s="7" t="n"/>
      <c r="Q26" s="11" t="n"/>
      <c r="S26">
        <f>IF($A26="","",IF($W26=1,Settings!$C$6,Settings!$C$7)*1)</f>
        <v/>
      </c>
      <c r="U26">
        <f>IF($A26="","",IF(COUNTIF($A$2:$A26,$A26)=1,1,0))</f>
        <v/>
      </c>
      <c r="V26">
        <f>IF($U26=1,SUMPRODUCT(--($X$2:$X$3001&lt;$X26))+1,"")</f>
        <v/>
      </c>
      <c r="W26">
        <f>IF($A26="","",IF(OR($T26=TRUE(),$T26="TRUE"),1,0))</f>
        <v/>
      </c>
      <c r="X26">
        <f>IF($U26=1,IFERROR(IF(VALUE($A26)&lt;100000000,VALUE($A26),1000000000),IFERROR(IF(VALUE(MID($A26,2,20))&lt;100000000,VALUE(MID($A26,2,20)),1000000000),1000000000))+ROW()/100000,"")</f>
        <v/>
      </c>
    </row>
    <row r="27">
      <c r="F27" s="7">
        <f>IF($A27="","",E27*N27/100)</f>
        <v/>
      </c>
      <c r="J27" s="7" t="n"/>
      <c r="K27" s="7">
        <f>IF($A27="","",S27*N27)</f>
        <v/>
      </c>
      <c r="L27" s="7">
        <f>IF($A27="","",N27-K27)</f>
        <v/>
      </c>
      <c r="M27" s="7">
        <f>IF($A27="","",L27-F27)</f>
        <v/>
      </c>
      <c r="N27" s="7" t="n"/>
      <c r="Q27" s="11" t="n"/>
      <c r="S27">
        <f>IF($A27="","",IF($W27=1,Settings!$C$6,Settings!$C$7)*1)</f>
        <v/>
      </c>
      <c r="U27">
        <f>IF($A27="","",IF(COUNTIF($A$2:$A27,$A27)=1,1,0))</f>
        <v/>
      </c>
      <c r="V27">
        <f>IF($U27=1,SUMPRODUCT(--($X$2:$X$3001&lt;$X27))+1,"")</f>
        <v/>
      </c>
      <c r="W27">
        <f>IF($A27="","",IF(OR($T27=TRUE(),$T27="TRUE"),1,0))</f>
        <v/>
      </c>
      <c r="X27">
        <f>IF($U27=1,IFERROR(IF(VALUE($A27)&lt;100000000,VALUE($A27),1000000000),IFERROR(IF(VALUE(MID($A27,2,20))&lt;100000000,VALUE(MID($A27,2,20)),1000000000),1000000000))+ROW()/100000,"")</f>
        <v/>
      </c>
    </row>
    <row r="28">
      <c r="F28" s="7">
        <f>IF($A28="","",E28*N28/100)</f>
        <v/>
      </c>
      <c r="J28" s="7" t="n"/>
      <c r="K28" s="7">
        <f>IF($A28="","",S28*N28)</f>
        <v/>
      </c>
      <c r="L28" s="7">
        <f>IF($A28="","",N28-K28)</f>
        <v/>
      </c>
      <c r="M28" s="7">
        <f>IF($A28="","",L28-F28)</f>
        <v/>
      </c>
      <c r="N28" s="7" t="n"/>
      <c r="Q28" s="11" t="n"/>
      <c r="S28">
        <f>IF($A28="","",IF($W28=1,Settings!$C$6,Settings!$C$7)*1)</f>
        <v/>
      </c>
      <c r="U28">
        <f>IF($A28="","",IF(COUNTIF($A$2:$A28,$A28)=1,1,0))</f>
        <v/>
      </c>
      <c r="V28">
        <f>IF($U28=1,SUMPRODUCT(--($X$2:$X$3001&lt;$X28))+1,"")</f>
        <v/>
      </c>
      <c r="W28">
        <f>IF($A28="","",IF(OR($T28=TRUE(),$T28="TRUE"),1,0))</f>
        <v/>
      </c>
      <c r="X28">
        <f>IF($U28=1,IFERROR(IF(VALUE($A28)&lt;100000000,VALUE($A28),1000000000),IFERROR(IF(VALUE(MID($A28,2,20))&lt;100000000,VALUE(MID($A28,2,20)),1000000000),1000000000))+ROW()/100000,"")</f>
        <v/>
      </c>
    </row>
    <row r="29">
      <c r="F29" s="7">
        <f>IF($A29="","",E29*N29/100)</f>
        <v/>
      </c>
      <c r="J29" s="7" t="n"/>
      <c r="K29" s="7">
        <f>IF($A29="","",S29*N29)</f>
        <v/>
      </c>
      <c r="L29" s="7">
        <f>IF($A29="","",N29-K29)</f>
        <v/>
      </c>
      <c r="M29" s="7">
        <f>IF($A29="","",L29-F29)</f>
        <v/>
      </c>
      <c r="N29" s="7" t="n"/>
      <c r="Q29" s="11" t="n"/>
      <c r="S29">
        <f>IF($A29="","",IF($W29=1,Settings!$C$6,Settings!$C$7)*1)</f>
        <v/>
      </c>
      <c r="U29">
        <f>IF($A29="","",IF(COUNTIF($A$2:$A29,$A29)=1,1,0))</f>
        <v/>
      </c>
      <c r="V29">
        <f>IF($U29=1,SUMPRODUCT(--($X$2:$X$3001&lt;$X29))+1,"")</f>
        <v/>
      </c>
      <c r="W29">
        <f>IF($A29="","",IF(OR($T29=TRUE(),$T29="TRUE"),1,0))</f>
        <v/>
      </c>
      <c r="X29">
        <f>IF($U29=1,IFERROR(IF(VALUE($A29)&lt;100000000,VALUE($A29),1000000000),IFERROR(IF(VALUE(MID($A29,2,20))&lt;100000000,VALUE(MID($A29,2,20)),1000000000),1000000000))+ROW()/100000,"")</f>
        <v/>
      </c>
    </row>
    <row r="30">
      <c r="F30" s="7">
        <f>IF($A30="","",E30*N30/100)</f>
        <v/>
      </c>
      <c r="J30" s="7" t="n"/>
      <c r="K30" s="7">
        <f>IF($A30="","",S30*N30)</f>
        <v/>
      </c>
      <c r="L30" s="7">
        <f>IF($A30="","",N30-K30)</f>
        <v/>
      </c>
      <c r="M30" s="7">
        <f>IF($A30="","",L30-F30)</f>
        <v/>
      </c>
      <c r="N30" s="7" t="n"/>
      <c r="Q30" s="11" t="n"/>
      <c r="S30">
        <f>IF($A30="","",IF($W30=1,Settings!$C$6,Settings!$C$7)*1)</f>
        <v/>
      </c>
      <c r="U30">
        <f>IF($A30="","",IF(COUNTIF($A$2:$A30,$A30)=1,1,0))</f>
        <v/>
      </c>
      <c r="V30">
        <f>IF($U30=1,SUMPRODUCT(--($X$2:$X$3001&lt;$X30))+1,"")</f>
        <v/>
      </c>
      <c r="W30">
        <f>IF($A30="","",IF(OR($T30=TRUE(),$T30="TRUE"),1,0))</f>
        <v/>
      </c>
      <c r="X30">
        <f>IF($U30=1,IFERROR(IF(VALUE($A30)&lt;100000000,VALUE($A30),1000000000),IFERROR(IF(VALUE(MID($A30,2,20))&lt;100000000,VALUE(MID($A30,2,20)),1000000000),1000000000))+ROW()/100000,"")</f>
        <v/>
      </c>
    </row>
    <row r="31">
      <c r="F31" s="7">
        <f>IF($A31="","",E31*N31/100)</f>
        <v/>
      </c>
      <c r="J31" s="7" t="n"/>
      <c r="K31" s="7">
        <f>IF($A31="","",S31*N31)</f>
        <v/>
      </c>
      <c r="L31" s="7">
        <f>IF($A31="","",N31-K31)</f>
        <v/>
      </c>
      <c r="M31" s="7">
        <f>IF($A31="","",L31-F31)</f>
        <v/>
      </c>
      <c r="N31" s="7" t="n"/>
      <c r="Q31" s="11" t="n"/>
      <c r="S31">
        <f>IF($A31="","",IF($W31=1,Settings!$C$6,Settings!$C$7)*1)</f>
        <v/>
      </c>
      <c r="U31">
        <f>IF($A31="","",IF(COUNTIF($A$2:$A31,$A31)=1,1,0))</f>
        <v/>
      </c>
      <c r="V31">
        <f>IF($U31=1,SUMPRODUCT(--($X$2:$X$3001&lt;$X31))+1,"")</f>
        <v/>
      </c>
      <c r="W31">
        <f>IF($A31="","",IF(OR($T31=TRUE(),$T31="TRUE"),1,0))</f>
        <v/>
      </c>
      <c r="X31">
        <f>IF($U31=1,IFERROR(IF(VALUE($A31)&lt;100000000,VALUE($A31),1000000000),IFERROR(IF(VALUE(MID($A31,2,20))&lt;100000000,VALUE(MID($A31,2,20)),1000000000),1000000000))+ROW()/100000,"")</f>
        <v/>
      </c>
    </row>
    <row r="32">
      <c r="F32" s="7">
        <f>IF($A32="","",E32*N32/100)</f>
        <v/>
      </c>
      <c r="J32" s="7" t="n"/>
      <c r="K32" s="7">
        <f>IF($A32="","",S32*N32)</f>
        <v/>
      </c>
      <c r="L32" s="7">
        <f>IF($A32="","",N32-K32)</f>
        <v/>
      </c>
      <c r="M32" s="7">
        <f>IF($A32="","",L32-F32)</f>
        <v/>
      </c>
      <c r="N32" s="7" t="n"/>
      <c r="Q32" s="11" t="n"/>
      <c r="S32">
        <f>IF($A32="","",IF($W32=1,Settings!$C$6,Settings!$C$7)*1)</f>
        <v/>
      </c>
      <c r="U32">
        <f>IF($A32="","",IF(COUNTIF($A$2:$A32,$A32)=1,1,0))</f>
        <v/>
      </c>
      <c r="V32">
        <f>IF($U32=1,SUMPRODUCT(--($X$2:$X$3001&lt;$X32))+1,"")</f>
        <v/>
      </c>
      <c r="W32">
        <f>IF($A32="","",IF(OR($T32=TRUE(),$T32="TRUE"),1,0))</f>
        <v/>
      </c>
      <c r="X32">
        <f>IF($U32=1,IFERROR(IF(VALUE($A32)&lt;100000000,VALUE($A32),1000000000),IFERROR(IF(VALUE(MID($A32,2,20))&lt;100000000,VALUE(MID($A32,2,20)),1000000000),1000000000))+ROW()/100000,"")</f>
        <v/>
      </c>
    </row>
    <row r="33">
      <c r="F33" s="7">
        <f>IF($A33="","",E33*N33/100)</f>
        <v/>
      </c>
      <c r="J33" s="7" t="n"/>
      <c r="K33" s="7">
        <f>IF($A33="","",S33*N33)</f>
        <v/>
      </c>
      <c r="L33" s="7">
        <f>IF($A33="","",N33-K33)</f>
        <v/>
      </c>
      <c r="M33" s="7">
        <f>IF($A33="","",L33-F33)</f>
        <v/>
      </c>
      <c r="N33" s="7" t="n"/>
      <c r="Q33" s="11" t="n"/>
      <c r="S33">
        <f>IF($A33="","",IF($W33=1,Settings!$C$6,Settings!$C$7)*1)</f>
        <v/>
      </c>
      <c r="U33">
        <f>IF($A33="","",IF(COUNTIF($A$2:$A33,$A33)=1,1,0))</f>
        <v/>
      </c>
      <c r="V33">
        <f>IF($U33=1,SUMPRODUCT(--($X$2:$X$3001&lt;$X33))+1,"")</f>
        <v/>
      </c>
      <c r="W33">
        <f>IF($A33="","",IF(OR($T33=TRUE(),$T33="TRUE"),1,0))</f>
        <v/>
      </c>
      <c r="X33">
        <f>IF($U33=1,IFERROR(IF(VALUE($A33)&lt;100000000,VALUE($A33),1000000000),IFERROR(IF(VALUE(MID($A33,2,20))&lt;100000000,VALUE(MID($A33,2,20)),1000000000),1000000000))+ROW()/100000,"")</f>
        <v/>
      </c>
    </row>
    <row r="34">
      <c r="F34" s="7">
        <f>IF($A34="","",E34*N34/100)</f>
        <v/>
      </c>
      <c r="J34" s="7" t="n"/>
      <c r="K34" s="7">
        <f>IF($A34="","",S34*N34)</f>
        <v/>
      </c>
      <c r="L34" s="7">
        <f>IF($A34="","",N34-K34)</f>
        <v/>
      </c>
      <c r="M34" s="7">
        <f>IF($A34="","",L34-F34)</f>
        <v/>
      </c>
      <c r="N34" s="7" t="n"/>
      <c r="Q34" s="11" t="n"/>
      <c r="S34">
        <f>IF($A34="","",IF($W34=1,Settings!$C$6,Settings!$C$7)*1)</f>
        <v/>
      </c>
      <c r="U34">
        <f>IF($A34="","",IF(COUNTIF($A$2:$A34,$A34)=1,1,0))</f>
        <v/>
      </c>
      <c r="V34">
        <f>IF($U34=1,SUMPRODUCT(--($X$2:$X$3001&lt;$X34))+1,"")</f>
        <v/>
      </c>
      <c r="W34">
        <f>IF($A34="","",IF(OR($T34=TRUE(),$T34="TRUE"),1,0))</f>
        <v/>
      </c>
      <c r="X34">
        <f>IF($U34=1,IFERROR(IF(VALUE($A34)&lt;100000000,VALUE($A34),1000000000),IFERROR(IF(VALUE(MID($A34,2,20))&lt;100000000,VALUE(MID($A34,2,20)),1000000000),1000000000))+ROW()/100000,"")</f>
        <v/>
      </c>
    </row>
    <row r="35">
      <c r="F35" s="7">
        <f>IF($A35="","",E35*N35/100)</f>
        <v/>
      </c>
      <c r="J35" s="7" t="n"/>
      <c r="K35" s="7">
        <f>IF($A35="","",S35*N35)</f>
        <v/>
      </c>
      <c r="L35" s="7">
        <f>IF($A35="","",N35-K35)</f>
        <v/>
      </c>
      <c r="M35" s="7">
        <f>IF($A35="","",L35-F35)</f>
        <v/>
      </c>
      <c r="N35" s="7" t="n"/>
      <c r="Q35" s="11" t="n"/>
      <c r="S35">
        <f>IF($A35="","",IF($W35=1,Settings!$C$6,Settings!$C$7)*1)</f>
        <v/>
      </c>
      <c r="U35">
        <f>IF($A35="","",IF(COUNTIF($A$2:$A35,$A35)=1,1,0))</f>
        <v/>
      </c>
      <c r="V35">
        <f>IF($U35=1,SUMPRODUCT(--($X$2:$X$3001&lt;$X35))+1,"")</f>
        <v/>
      </c>
      <c r="W35">
        <f>IF($A35="","",IF(OR($T35=TRUE(),$T35="TRUE"),1,0))</f>
        <v/>
      </c>
      <c r="X35">
        <f>IF($U35=1,IFERROR(IF(VALUE($A35)&lt;100000000,VALUE($A35),1000000000),IFERROR(IF(VALUE(MID($A35,2,20))&lt;100000000,VALUE(MID($A35,2,20)),1000000000),1000000000))+ROW()/100000,"")</f>
        <v/>
      </c>
    </row>
    <row r="36">
      <c r="F36" s="7">
        <f>IF($A36="","",E36*N36/100)</f>
        <v/>
      </c>
      <c r="J36" s="7" t="n"/>
      <c r="K36" s="7">
        <f>IF($A36="","",S36*N36)</f>
        <v/>
      </c>
      <c r="L36" s="7">
        <f>IF($A36="","",N36-K36)</f>
        <v/>
      </c>
      <c r="M36" s="7">
        <f>IF($A36="","",L36-F36)</f>
        <v/>
      </c>
      <c r="N36" s="7" t="n"/>
      <c r="Q36" s="11" t="n"/>
      <c r="S36">
        <f>IF($A36="","",IF($W36=1,Settings!$C$6,Settings!$C$7)*1)</f>
        <v/>
      </c>
      <c r="U36">
        <f>IF($A36="","",IF(COUNTIF($A$2:$A36,$A36)=1,1,0))</f>
        <v/>
      </c>
      <c r="V36">
        <f>IF($U36=1,SUMPRODUCT(--($X$2:$X$3001&lt;$X36))+1,"")</f>
        <v/>
      </c>
      <c r="W36">
        <f>IF($A36="","",IF(OR($T36=TRUE(),$T36="TRUE"),1,0))</f>
        <v/>
      </c>
      <c r="X36">
        <f>IF($U36=1,IFERROR(IF(VALUE($A36)&lt;100000000,VALUE($A36),1000000000),IFERROR(IF(VALUE(MID($A36,2,20))&lt;100000000,VALUE(MID($A36,2,20)),1000000000),1000000000))+ROW()/100000,"")</f>
        <v/>
      </c>
    </row>
    <row r="37">
      <c r="F37" s="7">
        <f>IF($A37="","",E37*N37/100)</f>
        <v/>
      </c>
      <c r="J37" s="7" t="n"/>
      <c r="K37" s="7">
        <f>IF($A37="","",S37*N37)</f>
        <v/>
      </c>
      <c r="L37" s="7">
        <f>IF($A37="","",N37-K37)</f>
        <v/>
      </c>
      <c r="M37" s="7">
        <f>IF($A37="","",L37-F37)</f>
        <v/>
      </c>
      <c r="N37" s="7" t="n"/>
      <c r="Q37" s="11" t="n"/>
      <c r="S37">
        <f>IF($A37="","",IF($W37=1,Settings!$C$6,Settings!$C$7)*1)</f>
        <v/>
      </c>
      <c r="U37">
        <f>IF($A37="","",IF(COUNTIF($A$2:$A37,$A37)=1,1,0))</f>
        <v/>
      </c>
      <c r="V37">
        <f>IF($U37=1,SUMPRODUCT(--($X$2:$X$3001&lt;$X37))+1,"")</f>
        <v/>
      </c>
      <c r="W37">
        <f>IF($A37="","",IF(OR($T37=TRUE(),$T37="TRUE"),1,0))</f>
        <v/>
      </c>
      <c r="X37">
        <f>IF($U37=1,IFERROR(IF(VALUE($A37)&lt;100000000,VALUE($A37),1000000000),IFERROR(IF(VALUE(MID($A37,2,20))&lt;100000000,VALUE(MID($A37,2,20)),1000000000),1000000000))+ROW()/100000,"")</f>
        <v/>
      </c>
    </row>
    <row r="38">
      <c r="F38" s="7">
        <f>IF($A38="","",E38*N38/100)</f>
        <v/>
      </c>
      <c r="J38" s="7" t="n"/>
      <c r="K38" s="7">
        <f>IF($A38="","",S38*N38)</f>
        <v/>
      </c>
      <c r="L38" s="7">
        <f>IF($A38="","",N38-K38)</f>
        <v/>
      </c>
      <c r="M38" s="7">
        <f>IF($A38="","",L38-F38)</f>
        <v/>
      </c>
      <c r="N38" s="7" t="n"/>
      <c r="Q38" s="11" t="n"/>
      <c r="S38">
        <f>IF($A38="","",IF($W38=1,Settings!$C$6,Settings!$C$7)*1)</f>
        <v/>
      </c>
      <c r="U38">
        <f>IF($A38="","",IF(COUNTIF($A$2:$A38,$A38)=1,1,0))</f>
        <v/>
      </c>
      <c r="V38">
        <f>IF($U38=1,SUMPRODUCT(--($X$2:$X$3001&lt;$X38))+1,"")</f>
        <v/>
      </c>
      <c r="W38">
        <f>IF($A38="","",IF(OR($T38=TRUE(),$T38="TRUE"),1,0))</f>
        <v/>
      </c>
      <c r="X38">
        <f>IF($U38=1,IFERROR(IF(VALUE($A38)&lt;100000000,VALUE($A38),1000000000),IFERROR(IF(VALUE(MID($A38,2,20))&lt;100000000,VALUE(MID($A38,2,20)),1000000000),1000000000))+ROW()/100000,"")</f>
        <v/>
      </c>
    </row>
    <row r="39">
      <c r="F39" s="7">
        <f>IF($A39="","",E39*N39/100)</f>
        <v/>
      </c>
      <c r="J39" s="7" t="n"/>
      <c r="K39" s="7">
        <f>IF($A39="","",S39*N39)</f>
        <v/>
      </c>
      <c r="L39" s="7">
        <f>IF($A39="","",N39-K39)</f>
        <v/>
      </c>
      <c r="M39" s="7">
        <f>IF($A39="","",L39-F39)</f>
        <v/>
      </c>
      <c r="N39" s="7" t="n"/>
      <c r="Q39" s="11" t="n"/>
      <c r="S39">
        <f>IF($A39="","",IF($W39=1,Settings!$C$6,Settings!$C$7)*1)</f>
        <v/>
      </c>
      <c r="U39">
        <f>IF($A39="","",IF(COUNTIF($A$2:$A39,$A39)=1,1,0))</f>
        <v/>
      </c>
      <c r="V39">
        <f>IF($U39=1,SUMPRODUCT(--($X$2:$X$3001&lt;$X39))+1,"")</f>
        <v/>
      </c>
      <c r="W39">
        <f>IF($A39="","",IF(OR($T39=TRUE(),$T39="TRUE"),1,0))</f>
        <v/>
      </c>
      <c r="X39">
        <f>IF($U39=1,IFERROR(IF(VALUE($A39)&lt;100000000,VALUE($A39),1000000000),IFERROR(IF(VALUE(MID($A39,2,20))&lt;100000000,VALUE(MID($A39,2,20)),1000000000),1000000000))+ROW()/100000,"")</f>
        <v/>
      </c>
    </row>
    <row r="40">
      <c r="F40" s="7">
        <f>IF($A40="","",E40*N40/100)</f>
        <v/>
      </c>
      <c r="J40" s="7" t="n"/>
      <c r="K40" s="7">
        <f>IF($A40="","",S40*N40)</f>
        <v/>
      </c>
      <c r="L40" s="7">
        <f>IF($A40="","",N40-K40)</f>
        <v/>
      </c>
      <c r="M40" s="7">
        <f>IF($A40="","",L40-F40)</f>
        <v/>
      </c>
      <c r="N40" s="7" t="n"/>
      <c r="Q40" s="11" t="n"/>
      <c r="S40">
        <f>IF($A40="","",IF($W40=1,Settings!$C$6,Settings!$C$7)*1)</f>
        <v/>
      </c>
      <c r="U40">
        <f>IF($A40="","",IF(COUNTIF($A$2:$A40,$A40)=1,1,0))</f>
        <v/>
      </c>
      <c r="V40">
        <f>IF($U40=1,SUMPRODUCT(--($X$2:$X$3001&lt;$X40))+1,"")</f>
        <v/>
      </c>
      <c r="W40">
        <f>IF($A40="","",IF(OR($T40=TRUE(),$T40="TRUE"),1,0))</f>
        <v/>
      </c>
      <c r="X40">
        <f>IF($U40=1,IFERROR(IF(VALUE($A40)&lt;100000000,VALUE($A40),1000000000),IFERROR(IF(VALUE(MID($A40,2,20))&lt;100000000,VALUE(MID($A40,2,20)),1000000000),1000000000))+ROW()/100000,"")</f>
        <v/>
      </c>
    </row>
    <row r="41">
      <c r="F41" s="7">
        <f>IF($A41="","",E41*N41/100)</f>
        <v/>
      </c>
      <c r="J41" s="7" t="n"/>
      <c r="K41" s="7">
        <f>IF($A41="","",S41*N41)</f>
        <v/>
      </c>
      <c r="L41" s="7">
        <f>IF($A41="","",N41-K41)</f>
        <v/>
      </c>
      <c r="M41" s="7">
        <f>IF($A41="","",L41-F41)</f>
        <v/>
      </c>
      <c r="N41" s="7" t="n"/>
      <c r="Q41" s="11" t="n"/>
      <c r="S41">
        <f>IF($A41="","",IF($W41=1,Settings!$C$6,Settings!$C$7)*1)</f>
        <v/>
      </c>
      <c r="U41">
        <f>IF($A41="","",IF(COUNTIF($A$2:$A41,$A41)=1,1,0))</f>
        <v/>
      </c>
      <c r="V41">
        <f>IF($U41=1,SUMPRODUCT(--($X$2:$X$3001&lt;$X41))+1,"")</f>
        <v/>
      </c>
      <c r="W41">
        <f>IF($A41="","",IF(OR($T41=TRUE(),$T41="TRUE"),1,0))</f>
        <v/>
      </c>
      <c r="X41">
        <f>IF($U41=1,IFERROR(IF(VALUE($A41)&lt;100000000,VALUE($A41),1000000000),IFERROR(IF(VALUE(MID($A41,2,20))&lt;100000000,VALUE(MID($A41,2,20)),1000000000),1000000000))+ROW()/100000,"")</f>
        <v/>
      </c>
    </row>
    <row r="42">
      <c r="F42" s="7">
        <f>IF($A42="","",E42*N42/100)</f>
        <v/>
      </c>
      <c r="J42" s="7" t="n"/>
      <c r="K42" s="7">
        <f>IF($A42="","",S42*N42)</f>
        <v/>
      </c>
      <c r="L42" s="7">
        <f>IF($A42="","",N42-K42)</f>
        <v/>
      </c>
      <c r="M42" s="7">
        <f>IF($A42="","",L42-F42)</f>
        <v/>
      </c>
      <c r="N42" s="7" t="n"/>
      <c r="Q42" s="11" t="n"/>
      <c r="S42">
        <f>IF($A42="","",IF($W42=1,Settings!$C$6,Settings!$C$7)*1)</f>
        <v/>
      </c>
      <c r="U42">
        <f>IF($A42="","",IF(COUNTIF($A$2:$A42,$A42)=1,1,0))</f>
        <v/>
      </c>
      <c r="V42">
        <f>IF($U42=1,SUMPRODUCT(--($X$2:$X$3001&lt;$X42))+1,"")</f>
        <v/>
      </c>
      <c r="W42">
        <f>IF($A42="","",IF(OR($T42=TRUE(),$T42="TRUE"),1,0))</f>
        <v/>
      </c>
      <c r="X42">
        <f>IF($U42=1,IFERROR(IF(VALUE($A42)&lt;100000000,VALUE($A42),1000000000),IFERROR(IF(VALUE(MID($A42,2,20))&lt;100000000,VALUE(MID($A42,2,20)),1000000000),1000000000))+ROW()/100000,"")</f>
        <v/>
      </c>
    </row>
    <row r="43">
      <c r="F43" s="7">
        <f>IF($A43="","",E43*N43/100)</f>
        <v/>
      </c>
      <c r="J43" s="7" t="n"/>
      <c r="K43" s="7">
        <f>IF($A43="","",S43*N43)</f>
        <v/>
      </c>
      <c r="L43" s="7">
        <f>IF($A43="","",N43-K43)</f>
        <v/>
      </c>
      <c r="M43" s="7">
        <f>IF($A43="","",L43-F43)</f>
        <v/>
      </c>
      <c r="N43" s="7" t="n"/>
      <c r="Q43" s="11" t="n"/>
      <c r="S43">
        <f>IF($A43="","",IF($W43=1,Settings!$C$6,Settings!$C$7)*1)</f>
        <v/>
      </c>
      <c r="U43">
        <f>IF($A43="","",IF(COUNTIF($A$2:$A43,$A43)=1,1,0))</f>
        <v/>
      </c>
      <c r="V43">
        <f>IF($U43=1,SUMPRODUCT(--($X$2:$X$3001&lt;$X43))+1,"")</f>
        <v/>
      </c>
      <c r="W43">
        <f>IF($A43="","",IF(OR($T43=TRUE(),$T43="TRUE"),1,0))</f>
        <v/>
      </c>
      <c r="X43">
        <f>IF($U43=1,IFERROR(IF(VALUE($A43)&lt;100000000,VALUE($A43),1000000000),IFERROR(IF(VALUE(MID($A43,2,20))&lt;100000000,VALUE(MID($A43,2,20)),1000000000),1000000000))+ROW()/100000,"")</f>
        <v/>
      </c>
    </row>
    <row r="44">
      <c r="F44" s="7">
        <f>IF($A44="","",E44*N44/100)</f>
        <v/>
      </c>
      <c r="J44" s="7" t="n"/>
      <c r="K44" s="7">
        <f>IF($A44="","",S44*N44)</f>
        <v/>
      </c>
      <c r="L44" s="7">
        <f>IF($A44="","",N44-K44)</f>
        <v/>
      </c>
      <c r="M44" s="7">
        <f>IF($A44="","",L44-F44)</f>
        <v/>
      </c>
      <c r="N44" s="7" t="n"/>
      <c r="Q44" s="11" t="n"/>
      <c r="S44">
        <f>IF($A44="","",IF($W44=1,Settings!$C$6,Settings!$C$7)*1)</f>
        <v/>
      </c>
      <c r="U44">
        <f>IF($A44="","",IF(COUNTIF($A$2:$A44,$A44)=1,1,0))</f>
        <v/>
      </c>
      <c r="V44">
        <f>IF($U44=1,SUMPRODUCT(--($X$2:$X$3001&lt;$X44))+1,"")</f>
        <v/>
      </c>
      <c r="W44">
        <f>IF($A44="","",IF(OR($T44=TRUE(),$T44="TRUE"),1,0))</f>
        <v/>
      </c>
      <c r="X44">
        <f>IF($U44=1,IFERROR(IF(VALUE($A44)&lt;100000000,VALUE($A44),1000000000),IFERROR(IF(VALUE(MID($A44,2,20))&lt;100000000,VALUE(MID($A44,2,20)),1000000000),1000000000))+ROW()/100000,"")</f>
        <v/>
      </c>
    </row>
    <row r="45">
      <c r="F45" s="7">
        <f>IF($A45="","",E45*N45/100)</f>
        <v/>
      </c>
      <c r="J45" s="7" t="n"/>
      <c r="K45" s="7">
        <f>IF($A45="","",S45*N45)</f>
        <v/>
      </c>
      <c r="L45" s="7">
        <f>IF($A45="","",N45-K45)</f>
        <v/>
      </c>
      <c r="M45" s="7">
        <f>IF($A45="","",L45-F45)</f>
        <v/>
      </c>
      <c r="N45" s="7" t="n"/>
      <c r="Q45" s="11" t="n"/>
      <c r="S45">
        <f>IF($A45="","",IF($W45=1,Settings!$C$6,Settings!$C$7)*1)</f>
        <v/>
      </c>
      <c r="U45">
        <f>IF($A45="","",IF(COUNTIF($A$2:$A45,$A45)=1,1,0))</f>
        <v/>
      </c>
      <c r="V45">
        <f>IF($U45=1,SUMPRODUCT(--($X$2:$X$3001&lt;$X45))+1,"")</f>
        <v/>
      </c>
      <c r="W45">
        <f>IF($A45="","",IF(OR($T45=TRUE(),$T45="TRUE"),1,0))</f>
        <v/>
      </c>
      <c r="X45">
        <f>IF($U45=1,IFERROR(IF(VALUE($A45)&lt;100000000,VALUE($A45),1000000000),IFERROR(IF(VALUE(MID($A45,2,20))&lt;100000000,VALUE(MID($A45,2,20)),1000000000),1000000000))+ROW()/100000,"")</f>
        <v/>
      </c>
    </row>
    <row r="46">
      <c r="F46" s="7">
        <f>IF($A46="","",E46*N46/100)</f>
        <v/>
      </c>
      <c r="J46" s="7" t="n"/>
      <c r="K46" s="7">
        <f>IF($A46="","",S46*N46)</f>
        <v/>
      </c>
      <c r="L46" s="7">
        <f>IF($A46="","",N46-K46)</f>
        <v/>
      </c>
      <c r="M46" s="7">
        <f>IF($A46="","",L46-F46)</f>
        <v/>
      </c>
      <c r="N46" s="7" t="n"/>
      <c r="Q46" s="11" t="n"/>
      <c r="S46">
        <f>IF($A46="","",IF($W46=1,Settings!$C$6,Settings!$C$7)*1)</f>
        <v/>
      </c>
      <c r="U46">
        <f>IF($A46="","",IF(COUNTIF($A$2:$A46,$A46)=1,1,0))</f>
        <v/>
      </c>
      <c r="V46">
        <f>IF($U46=1,SUMPRODUCT(--($X$2:$X$3001&lt;$X46))+1,"")</f>
        <v/>
      </c>
      <c r="W46">
        <f>IF($A46="","",IF(OR($T46=TRUE(),$T46="TRUE"),1,0))</f>
        <v/>
      </c>
      <c r="X46">
        <f>IF($U46=1,IFERROR(IF(VALUE($A46)&lt;100000000,VALUE($A46),1000000000),IFERROR(IF(VALUE(MID($A46,2,20))&lt;100000000,VALUE(MID($A46,2,20)),1000000000),1000000000))+ROW()/100000,"")</f>
        <v/>
      </c>
    </row>
    <row r="47">
      <c r="F47" s="7">
        <f>IF($A47="","",E47*N47/100)</f>
        <v/>
      </c>
      <c r="J47" s="7" t="n"/>
      <c r="K47" s="7">
        <f>IF($A47="","",S47*N47)</f>
        <v/>
      </c>
      <c r="L47" s="7">
        <f>IF($A47="","",N47-K47)</f>
        <v/>
      </c>
      <c r="M47" s="7">
        <f>IF($A47="","",L47-F47)</f>
        <v/>
      </c>
      <c r="N47" s="7" t="n"/>
      <c r="Q47" s="11" t="n"/>
      <c r="S47">
        <f>IF($A47="","",IF($W47=1,Settings!$C$6,Settings!$C$7)*1)</f>
        <v/>
      </c>
      <c r="U47">
        <f>IF($A47="","",IF(COUNTIF($A$2:$A47,$A47)=1,1,0))</f>
        <v/>
      </c>
      <c r="V47">
        <f>IF($U47=1,SUMPRODUCT(--($X$2:$X$3001&lt;$X47))+1,"")</f>
        <v/>
      </c>
      <c r="W47">
        <f>IF($A47="","",IF(OR($T47=TRUE(),$T47="TRUE"),1,0))</f>
        <v/>
      </c>
      <c r="X47">
        <f>IF($U47=1,IFERROR(IF(VALUE($A47)&lt;100000000,VALUE($A47),1000000000),IFERROR(IF(VALUE(MID($A47,2,20))&lt;100000000,VALUE(MID($A47,2,20)),1000000000),1000000000))+ROW()/100000,"")</f>
        <v/>
      </c>
    </row>
    <row r="48">
      <c r="F48" s="7">
        <f>IF($A48="","",E48*N48/100)</f>
        <v/>
      </c>
      <c r="J48" s="7" t="n"/>
      <c r="K48" s="7">
        <f>IF($A48="","",S48*N48)</f>
        <v/>
      </c>
      <c r="L48" s="7">
        <f>IF($A48="","",N48-K48)</f>
        <v/>
      </c>
      <c r="M48" s="7">
        <f>IF($A48="","",L48-F48)</f>
        <v/>
      </c>
      <c r="N48" s="7" t="n"/>
      <c r="Q48" s="11" t="n"/>
      <c r="S48">
        <f>IF($A48="","",IF($W48=1,Settings!$C$6,Settings!$C$7)*1)</f>
        <v/>
      </c>
      <c r="U48">
        <f>IF($A48="","",IF(COUNTIF($A$2:$A48,$A48)=1,1,0))</f>
        <v/>
      </c>
      <c r="V48">
        <f>IF($U48=1,SUMPRODUCT(--($X$2:$X$3001&lt;$X48))+1,"")</f>
        <v/>
      </c>
      <c r="W48">
        <f>IF($A48="","",IF(OR($T48=TRUE(),$T48="TRUE"),1,0))</f>
        <v/>
      </c>
      <c r="X48">
        <f>IF($U48=1,IFERROR(IF(VALUE($A48)&lt;100000000,VALUE($A48),1000000000),IFERROR(IF(VALUE(MID($A48,2,20))&lt;100000000,VALUE(MID($A48,2,20)),1000000000),1000000000))+ROW()/100000,"")</f>
        <v/>
      </c>
    </row>
    <row r="49">
      <c r="F49" s="7">
        <f>IF($A49="","",E49*N49/100)</f>
        <v/>
      </c>
      <c r="J49" s="7" t="n"/>
      <c r="K49" s="7">
        <f>IF($A49="","",S49*N49)</f>
        <v/>
      </c>
      <c r="L49" s="7">
        <f>IF($A49="","",N49-K49)</f>
        <v/>
      </c>
      <c r="M49" s="7">
        <f>IF($A49="","",L49-F49)</f>
        <v/>
      </c>
      <c r="N49" s="7" t="n"/>
      <c r="Q49" s="11" t="n"/>
      <c r="S49">
        <f>IF($A49="","",IF($W49=1,Settings!$C$6,Settings!$C$7)*1)</f>
        <v/>
      </c>
      <c r="U49">
        <f>IF($A49="","",IF(COUNTIF($A$2:$A49,$A49)=1,1,0))</f>
        <v/>
      </c>
      <c r="V49">
        <f>IF($U49=1,SUMPRODUCT(--($X$2:$X$3001&lt;$X49))+1,"")</f>
        <v/>
      </c>
      <c r="W49">
        <f>IF($A49="","",IF(OR($T49=TRUE(),$T49="TRUE"),1,0))</f>
        <v/>
      </c>
      <c r="X49">
        <f>IF($U49=1,IFERROR(IF(VALUE($A49)&lt;100000000,VALUE($A49),1000000000),IFERROR(IF(VALUE(MID($A49,2,20))&lt;100000000,VALUE(MID($A49,2,20)),1000000000),1000000000))+ROW()/100000,"")</f>
        <v/>
      </c>
    </row>
    <row r="50">
      <c r="F50" s="7">
        <f>IF($A50="","",E50*N50/100)</f>
        <v/>
      </c>
      <c r="J50" s="7" t="n"/>
      <c r="K50" s="7">
        <f>IF($A50="","",S50*N50)</f>
        <v/>
      </c>
      <c r="L50" s="7">
        <f>IF($A50="","",N50-K50)</f>
        <v/>
      </c>
      <c r="M50" s="7">
        <f>IF($A50="","",L50-F50)</f>
        <v/>
      </c>
      <c r="N50" s="7" t="n"/>
      <c r="Q50" s="11" t="n"/>
      <c r="S50">
        <f>IF($A50="","",IF($W50=1,Settings!$C$6,Settings!$C$7)*1)</f>
        <v/>
      </c>
      <c r="U50">
        <f>IF($A50="","",IF(COUNTIF($A$2:$A50,$A50)=1,1,0))</f>
        <v/>
      </c>
      <c r="V50">
        <f>IF($U50=1,SUMPRODUCT(--($X$2:$X$3001&lt;$X50))+1,"")</f>
        <v/>
      </c>
      <c r="W50">
        <f>IF($A50="","",IF(OR($T50=TRUE(),$T50="TRUE"),1,0))</f>
        <v/>
      </c>
      <c r="X50">
        <f>IF($U50=1,IFERROR(IF(VALUE($A50)&lt;100000000,VALUE($A50),1000000000),IFERROR(IF(VALUE(MID($A50,2,20))&lt;100000000,VALUE(MID($A50,2,20)),1000000000),1000000000))+ROW()/100000,"")</f>
        <v/>
      </c>
    </row>
    <row r="51">
      <c r="F51" s="7">
        <f>IF($A51="","",E51*N51/100)</f>
        <v/>
      </c>
      <c r="J51" s="7" t="n"/>
      <c r="K51" s="7">
        <f>IF($A51="","",S51*N51)</f>
        <v/>
      </c>
      <c r="L51" s="7">
        <f>IF($A51="","",N51-K51)</f>
        <v/>
      </c>
      <c r="M51" s="7">
        <f>IF($A51="","",L51-F51)</f>
        <v/>
      </c>
      <c r="N51" s="7" t="n"/>
      <c r="Q51" s="11" t="n"/>
      <c r="S51">
        <f>IF($A51="","",IF($W51=1,Settings!$C$6,Settings!$C$7)*1)</f>
        <v/>
      </c>
      <c r="U51">
        <f>IF($A51="","",IF(COUNTIF($A$2:$A51,$A51)=1,1,0))</f>
        <v/>
      </c>
      <c r="V51">
        <f>IF($U51=1,SUMPRODUCT(--($X$2:$X$3001&lt;$X51))+1,"")</f>
        <v/>
      </c>
      <c r="W51">
        <f>IF($A51="","",IF(OR($T51=TRUE(),$T51="TRUE"),1,0))</f>
        <v/>
      </c>
      <c r="X51">
        <f>IF($U51=1,IFERROR(IF(VALUE($A51)&lt;100000000,VALUE($A51),1000000000),IFERROR(IF(VALUE(MID($A51,2,20))&lt;100000000,VALUE(MID($A51,2,20)),1000000000),1000000000))+ROW()/100000,"")</f>
        <v/>
      </c>
    </row>
    <row r="52">
      <c r="F52" s="7">
        <f>IF($A52="","",E52*N52/100)</f>
        <v/>
      </c>
      <c r="J52" s="7" t="n"/>
      <c r="K52" s="7">
        <f>IF($A52="","",S52*N52)</f>
        <v/>
      </c>
      <c r="L52" s="7">
        <f>IF($A52="","",N52-K52)</f>
        <v/>
      </c>
      <c r="M52" s="7">
        <f>IF($A52="","",L52-F52)</f>
        <v/>
      </c>
      <c r="N52" s="7" t="n"/>
      <c r="Q52" s="11" t="n"/>
      <c r="S52">
        <f>IF($A52="","",IF($W52=1,Settings!$C$6,Settings!$C$7)*1)</f>
        <v/>
      </c>
      <c r="U52">
        <f>IF($A52="","",IF(COUNTIF($A$2:$A52,$A52)=1,1,0))</f>
        <v/>
      </c>
      <c r="V52">
        <f>IF($U52=1,SUMPRODUCT(--($X$2:$X$3001&lt;$X52))+1,"")</f>
        <v/>
      </c>
      <c r="W52">
        <f>IF($A52="","",IF(OR($T52=TRUE(),$T52="TRUE"),1,0))</f>
        <v/>
      </c>
      <c r="X52">
        <f>IF($U52=1,IFERROR(IF(VALUE($A52)&lt;100000000,VALUE($A52),1000000000),IFERROR(IF(VALUE(MID($A52,2,20))&lt;100000000,VALUE(MID($A52,2,20)),1000000000),1000000000))+ROW()/100000,"")</f>
        <v/>
      </c>
    </row>
    <row r="53">
      <c r="F53" s="7">
        <f>IF($A53="","",E53*N53/100)</f>
        <v/>
      </c>
      <c r="J53" s="7" t="n"/>
      <c r="K53" s="7">
        <f>IF($A53="","",S53*N53)</f>
        <v/>
      </c>
      <c r="L53" s="7">
        <f>IF($A53="","",N53-K53)</f>
        <v/>
      </c>
      <c r="M53" s="7">
        <f>IF($A53="","",L53-F53)</f>
        <v/>
      </c>
      <c r="N53" s="7" t="n"/>
      <c r="Q53" s="11" t="n"/>
      <c r="S53">
        <f>IF($A53="","",IF($W53=1,Settings!$C$6,Settings!$C$7)*1)</f>
        <v/>
      </c>
      <c r="U53">
        <f>IF($A53="","",IF(COUNTIF($A$2:$A53,$A53)=1,1,0))</f>
        <v/>
      </c>
      <c r="V53">
        <f>IF($U53=1,SUMPRODUCT(--($X$2:$X$3001&lt;$X53))+1,"")</f>
        <v/>
      </c>
      <c r="W53">
        <f>IF($A53="","",IF(OR($T53=TRUE(),$T53="TRUE"),1,0))</f>
        <v/>
      </c>
      <c r="X53">
        <f>IF($U53=1,IFERROR(IF(VALUE($A53)&lt;100000000,VALUE($A53),1000000000),IFERROR(IF(VALUE(MID($A53,2,20))&lt;100000000,VALUE(MID($A53,2,20)),1000000000),1000000000))+ROW()/100000,"")</f>
        <v/>
      </c>
    </row>
    <row r="54">
      <c r="F54" s="7">
        <f>IF($A54="","",E54*N54/100)</f>
        <v/>
      </c>
      <c r="J54" s="7" t="n"/>
      <c r="K54" s="7">
        <f>IF($A54="","",S54*N54)</f>
        <v/>
      </c>
      <c r="L54" s="7">
        <f>IF($A54="","",N54-K54)</f>
        <v/>
      </c>
      <c r="M54" s="7">
        <f>IF($A54="","",L54-F54)</f>
        <v/>
      </c>
      <c r="N54" s="7" t="n"/>
      <c r="Q54" s="11" t="n"/>
      <c r="S54">
        <f>IF($A54="","",IF($W54=1,Settings!$C$6,Settings!$C$7)*1)</f>
        <v/>
      </c>
      <c r="U54">
        <f>IF($A54="","",IF(COUNTIF($A$2:$A54,$A54)=1,1,0))</f>
        <v/>
      </c>
      <c r="V54">
        <f>IF($U54=1,SUMPRODUCT(--($X$2:$X$3001&lt;$X54))+1,"")</f>
        <v/>
      </c>
      <c r="W54">
        <f>IF($A54="","",IF(OR($T54=TRUE(),$T54="TRUE"),1,0))</f>
        <v/>
      </c>
      <c r="X54">
        <f>IF($U54=1,IFERROR(IF(VALUE($A54)&lt;100000000,VALUE($A54),1000000000),IFERROR(IF(VALUE(MID($A54,2,20))&lt;100000000,VALUE(MID($A54,2,20)),1000000000),1000000000))+ROW()/100000,"")</f>
        <v/>
      </c>
    </row>
    <row r="55">
      <c r="F55" s="7">
        <f>IF($A55="","",E55*N55/100)</f>
        <v/>
      </c>
      <c r="J55" s="7" t="n"/>
      <c r="K55" s="7">
        <f>IF($A55="","",S55*N55)</f>
        <v/>
      </c>
      <c r="L55" s="7">
        <f>IF($A55="","",N55-K55)</f>
        <v/>
      </c>
      <c r="M55" s="7">
        <f>IF($A55="","",L55-F55)</f>
        <v/>
      </c>
      <c r="N55" s="7" t="n"/>
      <c r="Q55" s="11" t="n"/>
      <c r="S55">
        <f>IF($A55="","",IF($W55=1,Settings!$C$6,Settings!$C$7)*1)</f>
        <v/>
      </c>
      <c r="U55">
        <f>IF($A55="","",IF(COUNTIF($A$2:$A55,$A55)=1,1,0))</f>
        <v/>
      </c>
      <c r="V55">
        <f>IF($U55=1,SUMPRODUCT(--($X$2:$X$3001&lt;$X55))+1,"")</f>
        <v/>
      </c>
      <c r="W55">
        <f>IF($A55="","",IF(OR($T55=TRUE(),$T55="TRUE"),1,0))</f>
        <v/>
      </c>
      <c r="X55">
        <f>IF($U55=1,IFERROR(IF(VALUE($A55)&lt;100000000,VALUE($A55),1000000000),IFERROR(IF(VALUE(MID($A55,2,20))&lt;100000000,VALUE(MID($A55,2,20)),1000000000),1000000000))+ROW()/100000,"")</f>
        <v/>
      </c>
    </row>
    <row r="56">
      <c r="F56" s="7">
        <f>IF($A56="","",E56*N56/100)</f>
        <v/>
      </c>
      <c r="J56" s="7" t="n"/>
      <c r="K56" s="7">
        <f>IF($A56="","",S56*N56)</f>
        <v/>
      </c>
      <c r="L56" s="7">
        <f>IF($A56="","",N56-K56)</f>
        <v/>
      </c>
      <c r="M56" s="7">
        <f>IF($A56="","",L56-F56)</f>
        <v/>
      </c>
      <c r="N56" s="7" t="n"/>
      <c r="Q56" s="11" t="n"/>
      <c r="S56">
        <f>IF($A56="","",IF($W56=1,Settings!$C$6,Settings!$C$7)*1)</f>
        <v/>
      </c>
      <c r="U56">
        <f>IF($A56="","",IF(COUNTIF($A$2:$A56,$A56)=1,1,0))</f>
        <v/>
      </c>
      <c r="V56">
        <f>IF($U56=1,SUMPRODUCT(--($X$2:$X$3001&lt;$X56))+1,"")</f>
        <v/>
      </c>
      <c r="W56">
        <f>IF($A56="","",IF(OR($T56=TRUE(),$T56="TRUE"),1,0))</f>
        <v/>
      </c>
      <c r="X56">
        <f>IF($U56=1,IFERROR(IF(VALUE($A56)&lt;100000000,VALUE($A56),1000000000),IFERROR(IF(VALUE(MID($A56,2,20))&lt;100000000,VALUE(MID($A56,2,20)),1000000000),1000000000))+ROW()/100000,"")</f>
        <v/>
      </c>
    </row>
    <row r="57">
      <c r="F57" s="7">
        <f>IF($A57="","",E57*N57/100)</f>
        <v/>
      </c>
      <c r="J57" s="7" t="n"/>
      <c r="K57" s="7">
        <f>IF($A57="","",S57*N57)</f>
        <v/>
      </c>
      <c r="L57" s="7">
        <f>IF($A57="","",N57-K57)</f>
        <v/>
      </c>
      <c r="M57" s="7">
        <f>IF($A57="","",L57-F57)</f>
        <v/>
      </c>
      <c r="N57" s="7" t="n"/>
      <c r="Q57" s="11" t="n"/>
      <c r="S57">
        <f>IF($A57="","",IF($W57=1,Settings!$C$6,Settings!$C$7)*1)</f>
        <v/>
      </c>
      <c r="U57">
        <f>IF($A57="","",IF(COUNTIF($A$2:$A57,$A57)=1,1,0))</f>
        <v/>
      </c>
      <c r="V57">
        <f>IF($U57=1,SUMPRODUCT(--($X$2:$X$3001&lt;$X57))+1,"")</f>
        <v/>
      </c>
      <c r="W57">
        <f>IF($A57="","",IF(OR($T57=TRUE(),$T57="TRUE"),1,0))</f>
        <v/>
      </c>
      <c r="X57">
        <f>IF($U57=1,IFERROR(IF(VALUE($A57)&lt;100000000,VALUE($A57),1000000000),IFERROR(IF(VALUE(MID($A57,2,20))&lt;100000000,VALUE(MID($A57,2,20)),1000000000),1000000000))+ROW()/100000,"")</f>
        <v/>
      </c>
    </row>
    <row r="58">
      <c r="F58" s="7">
        <f>IF($A58="","",E58*N58/100)</f>
        <v/>
      </c>
      <c r="J58" s="7" t="n"/>
      <c r="K58" s="7">
        <f>IF($A58="","",S58*N58)</f>
        <v/>
      </c>
      <c r="L58" s="7">
        <f>IF($A58="","",N58-K58)</f>
        <v/>
      </c>
      <c r="M58" s="7">
        <f>IF($A58="","",L58-F58)</f>
        <v/>
      </c>
      <c r="N58" s="7" t="n"/>
      <c r="Q58" s="11" t="n"/>
      <c r="S58">
        <f>IF($A58="","",IF($W58=1,Settings!$C$6,Settings!$C$7)*1)</f>
        <v/>
      </c>
      <c r="U58">
        <f>IF($A58="","",IF(COUNTIF($A$2:$A58,$A58)=1,1,0))</f>
        <v/>
      </c>
      <c r="V58">
        <f>IF($U58=1,SUMPRODUCT(--($X$2:$X$3001&lt;$X58))+1,"")</f>
        <v/>
      </c>
      <c r="W58">
        <f>IF($A58="","",IF(OR($T58=TRUE(),$T58="TRUE"),1,0))</f>
        <v/>
      </c>
      <c r="X58">
        <f>IF($U58=1,IFERROR(IF(VALUE($A58)&lt;100000000,VALUE($A58),1000000000),IFERROR(IF(VALUE(MID($A58,2,20))&lt;100000000,VALUE(MID($A58,2,20)),1000000000),1000000000))+ROW()/100000,"")</f>
        <v/>
      </c>
    </row>
    <row r="59">
      <c r="F59" s="7">
        <f>IF($A59="","",E59*N59/100)</f>
        <v/>
      </c>
      <c r="J59" s="7" t="n"/>
      <c r="K59" s="7">
        <f>IF($A59="","",S59*N59)</f>
        <v/>
      </c>
      <c r="L59" s="7">
        <f>IF($A59="","",N59-K59)</f>
        <v/>
      </c>
      <c r="M59" s="7">
        <f>IF($A59="","",L59-F59)</f>
        <v/>
      </c>
      <c r="N59" s="7" t="n"/>
      <c r="Q59" s="11" t="n"/>
      <c r="S59">
        <f>IF($A59="","",IF($W59=1,Settings!$C$6,Settings!$C$7)*1)</f>
        <v/>
      </c>
      <c r="U59">
        <f>IF($A59="","",IF(COUNTIF($A$2:$A59,$A59)=1,1,0))</f>
        <v/>
      </c>
      <c r="V59">
        <f>IF($U59=1,SUMPRODUCT(--($X$2:$X$3001&lt;$X59))+1,"")</f>
        <v/>
      </c>
      <c r="W59">
        <f>IF($A59="","",IF(OR($T59=TRUE(),$T59="TRUE"),1,0))</f>
        <v/>
      </c>
      <c r="X59">
        <f>IF($U59=1,IFERROR(IF(VALUE($A59)&lt;100000000,VALUE($A59),1000000000),IFERROR(IF(VALUE(MID($A59,2,20))&lt;100000000,VALUE(MID($A59,2,20)),1000000000),1000000000))+ROW()/100000,"")</f>
        <v/>
      </c>
    </row>
    <row r="60">
      <c r="F60" s="7">
        <f>IF($A60="","",E60*N60/100)</f>
        <v/>
      </c>
      <c r="J60" s="7" t="n"/>
      <c r="K60" s="7">
        <f>IF($A60="","",S60*N60)</f>
        <v/>
      </c>
      <c r="L60" s="7">
        <f>IF($A60="","",N60-K60)</f>
        <v/>
      </c>
      <c r="M60" s="7">
        <f>IF($A60="","",L60-F60)</f>
        <v/>
      </c>
      <c r="N60" s="7" t="n"/>
      <c r="Q60" s="11" t="n"/>
      <c r="S60">
        <f>IF($A60="","",IF($W60=1,Settings!$C$6,Settings!$C$7)*1)</f>
        <v/>
      </c>
      <c r="U60">
        <f>IF($A60="","",IF(COUNTIF($A$2:$A60,$A60)=1,1,0))</f>
        <v/>
      </c>
      <c r="V60">
        <f>IF($U60=1,SUMPRODUCT(--($X$2:$X$3001&lt;$X60))+1,"")</f>
        <v/>
      </c>
      <c r="W60">
        <f>IF($A60="","",IF(OR($T60=TRUE(),$T60="TRUE"),1,0))</f>
        <v/>
      </c>
      <c r="X60">
        <f>IF($U60=1,IFERROR(IF(VALUE($A60)&lt;100000000,VALUE($A60),1000000000),IFERROR(IF(VALUE(MID($A60,2,20))&lt;100000000,VALUE(MID($A60,2,20)),1000000000),1000000000))+ROW()/100000,"")</f>
        <v/>
      </c>
    </row>
    <row r="61">
      <c r="F61" s="7">
        <f>IF($A61="","",E61*N61/100)</f>
        <v/>
      </c>
      <c r="J61" s="7" t="n"/>
      <c r="K61" s="7">
        <f>IF($A61="","",S61*N61)</f>
        <v/>
      </c>
      <c r="L61" s="7">
        <f>IF($A61="","",N61-K61)</f>
        <v/>
      </c>
      <c r="M61" s="7">
        <f>IF($A61="","",L61-F61)</f>
        <v/>
      </c>
      <c r="N61" s="7" t="n"/>
      <c r="Q61" s="11" t="n"/>
      <c r="S61">
        <f>IF($A61="","",IF($W61=1,Settings!$C$6,Settings!$C$7)*1)</f>
        <v/>
      </c>
      <c r="U61">
        <f>IF($A61="","",IF(COUNTIF($A$2:$A61,$A61)=1,1,0))</f>
        <v/>
      </c>
      <c r="V61">
        <f>IF($U61=1,SUMPRODUCT(--($X$2:$X$3001&lt;$X61))+1,"")</f>
        <v/>
      </c>
      <c r="W61">
        <f>IF($A61="","",IF(OR($T61=TRUE(),$T61="TRUE"),1,0))</f>
        <v/>
      </c>
      <c r="X61">
        <f>IF($U61=1,IFERROR(IF(VALUE($A61)&lt;100000000,VALUE($A61),1000000000),IFERROR(IF(VALUE(MID($A61,2,20))&lt;100000000,VALUE(MID($A61,2,20)),1000000000),1000000000))+ROW()/100000,"")</f>
        <v/>
      </c>
    </row>
    <row r="62">
      <c r="F62" s="7">
        <f>IF($A62="","",E62*N62/100)</f>
        <v/>
      </c>
      <c r="J62" s="7" t="n"/>
      <c r="K62" s="7">
        <f>IF($A62="","",S62*N62)</f>
        <v/>
      </c>
      <c r="L62" s="7">
        <f>IF($A62="","",N62-K62)</f>
        <v/>
      </c>
      <c r="M62" s="7">
        <f>IF($A62="","",L62-F62)</f>
        <v/>
      </c>
      <c r="N62" s="7" t="n"/>
      <c r="Q62" s="11" t="n"/>
      <c r="S62">
        <f>IF($A62="","",IF($W62=1,Settings!$C$6,Settings!$C$7)*1)</f>
        <v/>
      </c>
      <c r="U62">
        <f>IF($A62="","",IF(COUNTIF($A$2:$A62,$A62)=1,1,0))</f>
        <v/>
      </c>
      <c r="V62">
        <f>IF($U62=1,SUMPRODUCT(--($X$2:$X$3001&lt;$X62))+1,"")</f>
        <v/>
      </c>
      <c r="W62">
        <f>IF($A62="","",IF(OR($T62=TRUE(),$T62="TRUE"),1,0))</f>
        <v/>
      </c>
      <c r="X62">
        <f>IF($U62=1,IFERROR(IF(VALUE($A62)&lt;100000000,VALUE($A62),1000000000),IFERROR(IF(VALUE(MID($A62,2,20))&lt;100000000,VALUE(MID($A62,2,20)),1000000000),1000000000))+ROW()/100000,"")</f>
        <v/>
      </c>
    </row>
    <row r="63">
      <c r="F63" s="7">
        <f>IF($A63="","",E63*N63/100)</f>
        <v/>
      </c>
      <c r="J63" s="7" t="n"/>
      <c r="K63" s="7">
        <f>IF($A63="","",S63*N63)</f>
        <v/>
      </c>
      <c r="L63" s="7">
        <f>IF($A63="","",N63-K63)</f>
        <v/>
      </c>
      <c r="M63" s="7">
        <f>IF($A63="","",L63-F63)</f>
        <v/>
      </c>
      <c r="N63" s="7" t="n"/>
      <c r="Q63" s="11" t="n"/>
      <c r="S63">
        <f>IF($A63="","",IF($W63=1,Settings!$C$6,Settings!$C$7)*1)</f>
        <v/>
      </c>
      <c r="U63">
        <f>IF($A63="","",IF(COUNTIF($A$2:$A63,$A63)=1,1,0))</f>
        <v/>
      </c>
      <c r="V63">
        <f>IF($U63=1,SUMPRODUCT(--($X$2:$X$3001&lt;$X63))+1,"")</f>
        <v/>
      </c>
      <c r="W63">
        <f>IF($A63="","",IF(OR($T63=TRUE(),$T63="TRUE"),1,0))</f>
        <v/>
      </c>
      <c r="X63">
        <f>IF($U63=1,IFERROR(IF(VALUE($A63)&lt;100000000,VALUE($A63),1000000000),IFERROR(IF(VALUE(MID($A63,2,20))&lt;100000000,VALUE(MID($A63,2,20)),1000000000),1000000000))+ROW()/100000,"")</f>
        <v/>
      </c>
    </row>
    <row r="64">
      <c r="F64" s="7">
        <f>IF($A64="","",E64*N64/100)</f>
        <v/>
      </c>
      <c r="J64" s="7" t="n"/>
      <c r="K64" s="7">
        <f>IF($A64="","",S64*N64)</f>
        <v/>
      </c>
      <c r="L64" s="7">
        <f>IF($A64="","",N64-K64)</f>
        <v/>
      </c>
      <c r="M64" s="7">
        <f>IF($A64="","",L64-F64)</f>
        <v/>
      </c>
      <c r="N64" s="7" t="n"/>
      <c r="Q64" s="11" t="n"/>
      <c r="S64">
        <f>IF($A64="","",IF($W64=1,Settings!$C$6,Settings!$C$7)*1)</f>
        <v/>
      </c>
      <c r="U64">
        <f>IF($A64="","",IF(COUNTIF($A$2:$A64,$A64)=1,1,0))</f>
        <v/>
      </c>
      <c r="V64">
        <f>IF($U64=1,SUMPRODUCT(--($X$2:$X$3001&lt;$X64))+1,"")</f>
        <v/>
      </c>
      <c r="W64">
        <f>IF($A64="","",IF(OR($T64=TRUE(),$T64="TRUE"),1,0))</f>
        <v/>
      </c>
      <c r="X64">
        <f>IF($U64=1,IFERROR(IF(VALUE($A64)&lt;100000000,VALUE($A64),1000000000),IFERROR(IF(VALUE(MID($A64,2,20))&lt;100000000,VALUE(MID($A64,2,20)),1000000000),1000000000))+ROW()/100000,"")</f>
        <v/>
      </c>
    </row>
    <row r="65">
      <c r="F65" s="7">
        <f>IF($A65="","",E65*N65/100)</f>
        <v/>
      </c>
      <c r="J65" s="7" t="n"/>
      <c r="K65" s="7">
        <f>IF($A65="","",S65*N65)</f>
        <v/>
      </c>
      <c r="L65" s="7">
        <f>IF($A65="","",N65-K65)</f>
        <v/>
      </c>
      <c r="M65" s="7">
        <f>IF($A65="","",L65-F65)</f>
        <v/>
      </c>
      <c r="N65" s="7" t="n"/>
      <c r="Q65" s="11" t="n"/>
      <c r="S65">
        <f>IF($A65="","",IF($W65=1,Settings!$C$6,Settings!$C$7)*1)</f>
        <v/>
      </c>
      <c r="U65">
        <f>IF($A65="","",IF(COUNTIF($A$2:$A65,$A65)=1,1,0))</f>
        <v/>
      </c>
      <c r="V65">
        <f>IF($U65=1,SUMPRODUCT(--($X$2:$X$3001&lt;$X65))+1,"")</f>
        <v/>
      </c>
      <c r="W65">
        <f>IF($A65="","",IF(OR($T65=TRUE(),$T65="TRUE"),1,0))</f>
        <v/>
      </c>
      <c r="X65">
        <f>IF($U65=1,IFERROR(IF(VALUE($A65)&lt;100000000,VALUE($A65),1000000000),IFERROR(IF(VALUE(MID($A65,2,20))&lt;100000000,VALUE(MID($A65,2,20)),1000000000),1000000000))+ROW()/100000,"")</f>
        <v/>
      </c>
    </row>
    <row r="66">
      <c r="F66" s="7">
        <f>IF($A66="","",E66*N66/100)</f>
        <v/>
      </c>
      <c r="J66" s="7" t="n"/>
      <c r="K66" s="7">
        <f>IF($A66="","",S66*N66)</f>
        <v/>
      </c>
      <c r="L66" s="7">
        <f>IF($A66="","",N66-K66)</f>
        <v/>
      </c>
      <c r="M66" s="7">
        <f>IF($A66="","",L66-F66)</f>
        <v/>
      </c>
      <c r="N66" s="7" t="n"/>
      <c r="Q66" s="11" t="n"/>
      <c r="S66">
        <f>IF($A66="","",IF($W66=1,Settings!$C$6,Settings!$C$7)*1)</f>
        <v/>
      </c>
      <c r="U66">
        <f>IF($A66="","",IF(COUNTIF($A$2:$A66,$A66)=1,1,0))</f>
        <v/>
      </c>
      <c r="V66">
        <f>IF($U66=1,SUMPRODUCT(--($X$2:$X$3001&lt;$X66))+1,"")</f>
        <v/>
      </c>
      <c r="W66">
        <f>IF($A66="","",IF(OR($T66=TRUE(),$T66="TRUE"),1,0))</f>
        <v/>
      </c>
      <c r="X66">
        <f>IF($U66=1,IFERROR(IF(VALUE($A66)&lt;100000000,VALUE($A66),1000000000),IFERROR(IF(VALUE(MID($A66,2,20))&lt;100000000,VALUE(MID($A66,2,20)),1000000000),1000000000))+ROW()/100000,"")</f>
        <v/>
      </c>
    </row>
    <row r="67">
      <c r="F67" s="7">
        <f>IF($A67="","",E67*N67/100)</f>
        <v/>
      </c>
      <c r="J67" s="7" t="n"/>
      <c r="K67" s="7">
        <f>IF($A67="","",S67*N67)</f>
        <v/>
      </c>
      <c r="L67" s="7">
        <f>IF($A67="","",N67-K67)</f>
        <v/>
      </c>
      <c r="M67" s="7">
        <f>IF($A67="","",L67-F67)</f>
        <v/>
      </c>
      <c r="N67" s="7" t="n"/>
      <c r="Q67" s="11" t="n"/>
      <c r="S67">
        <f>IF($A67="","",IF($W67=1,Settings!$C$6,Settings!$C$7)*1)</f>
        <v/>
      </c>
      <c r="U67">
        <f>IF($A67="","",IF(COUNTIF($A$2:$A67,$A67)=1,1,0))</f>
        <v/>
      </c>
      <c r="V67">
        <f>IF($U67=1,SUMPRODUCT(--($X$2:$X$3001&lt;$X67))+1,"")</f>
        <v/>
      </c>
      <c r="W67">
        <f>IF($A67="","",IF(OR($T67=TRUE(),$T67="TRUE"),1,0))</f>
        <v/>
      </c>
      <c r="X67">
        <f>IF($U67=1,IFERROR(IF(VALUE($A67)&lt;100000000,VALUE($A67),1000000000),IFERROR(IF(VALUE(MID($A67,2,20))&lt;100000000,VALUE(MID($A67,2,20)),1000000000),1000000000))+ROW()/100000,"")</f>
        <v/>
      </c>
    </row>
    <row r="68">
      <c r="F68" s="7">
        <f>IF($A68="","",E68*N68/100)</f>
        <v/>
      </c>
      <c r="J68" s="7" t="n"/>
      <c r="K68" s="7">
        <f>IF($A68="","",S68*N68)</f>
        <v/>
      </c>
      <c r="L68" s="7">
        <f>IF($A68="","",N68-K68)</f>
        <v/>
      </c>
      <c r="M68" s="7">
        <f>IF($A68="","",L68-F68)</f>
        <v/>
      </c>
      <c r="N68" s="7" t="n"/>
      <c r="Q68" s="11" t="n"/>
      <c r="S68">
        <f>IF($A68="","",IF($W68=1,Settings!$C$6,Settings!$C$7)*1)</f>
        <v/>
      </c>
      <c r="U68">
        <f>IF($A68="","",IF(COUNTIF($A$2:$A68,$A68)=1,1,0))</f>
        <v/>
      </c>
      <c r="V68">
        <f>IF($U68=1,SUMPRODUCT(--($X$2:$X$3001&lt;$X68))+1,"")</f>
        <v/>
      </c>
      <c r="W68">
        <f>IF($A68="","",IF(OR($T68=TRUE(),$T68="TRUE"),1,0))</f>
        <v/>
      </c>
      <c r="X68">
        <f>IF($U68=1,IFERROR(IF(VALUE($A68)&lt;100000000,VALUE($A68),1000000000),IFERROR(IF(VALUE(MID($A68,2,20))&lt;100000000,VALUE(MID($A68,2,20)),1000000000),1000000000))+ROW()/100000,"")</f>
        <v/>
      </c>
    </row>
    <row r="69">
      <c r="F69" s="7">
        <f>IF($A69="","",E69*N69/100)</f>
        <v/>
      </c>
      <c r="J69" s="7" t="n"/>
      <c r="K69" s="7">
        <f>IF($A69="","",S69*N69)</f>
        <v/>
      </c>
      <c r="L69" s="7">
        <f>IF($A69="","",N69-K69)</f>
        <v/>
      </c>
      <c r="M69" s="7">
        <f>IF($A69="","",L69-F69)</f>
        <v/>
      </c>
      <c r="N69" s="7" t="n"/>
      <c r="Q69" s="11" t="n"/>
      <c r="S69">
        <f>IF($A69="","",IF($W69=1,Settings!$C$6,Settings!$C$7)*1)</f>
        <v/>
      </c>
      <c r="U69">
        <f>IF($A69="","",IF(COUNTIF($A$2:$A69,$A69)=1,1,0))</f>
        <v/>
      </c>
      <c r="V69">
        <f>IF($U69=1,SUMPRODUCT(--($X$2:$X$3001&lt;$X69))+1,"")</f>
        <v/>
      </c>
      <c r="W69">
        <f>IF($A69="","",IF(OR($T69=TRUE(),$T69="TRUE"),1,0))</f>
        <v/>
      </c>
      <c r="X69">
        <f>IF($U69=1,IFERROR(IF(VALUE($A69)&lt;100000000,VALUE($A69),1000000000),IFERROR(IF(VALUE(MID($A69,2,20))&lt;100000000,VALUE(MID($A69,2,20)),1000000000),1000000000))+ROW()/100000,"")</f>
        <v/>
      </c>
    </row>
    <row r="70">
      <c r="F70" s="7">
        <f>IF($A70="","",E70*N70/100)</f>
        <v/>
      </c>
      <c r="J70" s="7" t="n"/>
      <c r="K70" s="7">
        <f>IF($A70="","",S70*N70)</f>
        <v/>
      </c>
      <c r="L70" s="7">
        <f>IF($A70="","",N70-K70)</f>
        <v/>
      </c>
      <c r="M70" s="7">
        <f>IF($A70="","",L70-F70)</f>
        <v/>
      </c>
      <c r="N70" s="7" t="n"/>
      <c r="Q70" s="11" t="n"/>
      <c r="S70">
        <f>IF($A70="","",IF($W70=1,Settings!$C$6,Settings!$C$7)*1)</f>
        <v/>
      </c>
      <c r="U70">
        <f>IF($A70="","",IF(COUNTIF($A$2:$A70,$A70)=1,1,0))</f>
        <v/>
      </c>
      <c r="V70">
        <f>IF($U70=1,SUMPRODUCT(--($X$2:$X$3001&lt;$X70))+1,"")</f>
        <v/>
      </c>
      <c r="W70">
        <f>IF($A70="","",IF(OR($T70=TRUE(),$T70="TRUE"),1,0))</f>
        <v/>
      </c>
      <c r="X70">
        <f>IF($U70=1,IFERROR(IF(VALUE($A70)&lt;100000000,VALUE($A70),1000000000),IFERROR(IF(VALUE(MID($A70,2,20))&lt;100000000,VALUE(MID($A70,2,20)),1000000000),1000000000))+ROW()/100000,"")</f>
        <v/>
      </c>
    </row>
    <row r="71">
      <c r="F71" s="7">
        <f>IF($A71="","",E71*N71/100)</f>
        <v/>
      </c>
      <c r="J71" s="7" t="n"/>
      <c r="K71" s="7">
        <f>IF($A71="","",S71*N71)</f>
        <v/>
      </c>
      <c r="L71" s="7">
        <f>IF($A71="","",N71-K71)</f>
        <v/>
      </c>
      <c r="M71" s="7">
        <f>IF($A71="","",L71-F71)</f>
        <v/>
      </c>
      <c r="N71" s="7" t="n"/>
      <c r="Q71" s="11" t="n"/>
      <c r="S71">
        <f>IF($A71="","",IF($W71=1,Settings!$C$6,Settings!$C$7)*1)</f>
        <v/>
      </c>
      <c r="U71">
        <f>IF($A71="","",IF(COUNTIF($A$2:$A71,$A71)=1,1,0))</f>
        <v/>
      </c>
      <c r="V71">
        <f>IF($U71=1,SUMPRODUCT(--($X$2:$X$3001&lt;$X71))+1,"")</f>
        <v/>
      </c>
      <c r="W71">
        <f>IF($A71="","",IF(OR($T71=TRUE(),$T71="TRUE"),1,0))</f>
        <v/>
      </c>
      <c r="X71">
        <f>IF($U71=1,IFERROR(IF(VALUE($A71)&lt;100000000,VALUE($A71),1000000000),IFERROR(IF(VALUE(MID($A71,2,20))&lt;100000000,VALUE(MID($A71,2,20)),1000000000),1000000000))+ROW()/100000,"")</f>
        <v/>
      </c>
    </row>
    <row r="72">
      <c r="F72" s="7">
        <f>IF($A72="","",E72*N72/100)</f>
        <v/>
      </c>
      <c r="J72" s="7" t="n"/>
      <c r="K72" s="7">
        <f>IF($A72="","",S72*N72)</f>
        <v/>
      </c>
      <c r="L72" s="7">
        <f>IF($A72="","",N72-K72)</f>
        <v/>
      </c>
      <c r="M72" s="7">
        <f>IF($A72="","",L72-F72)</f>
        <v/>
      </c>
      <c r="N72" s="7" t="n"/>
      <c r="Q72" s="11" t="n"/>
      <c r="S72">
        <f>IF($A72="","",IF($W72=1,Settings!$C$6,Settings!$C$7)*1)</f>
        <v/>
      </c>
      <c r="U72">
        <f>IF($A72="","",IF(COUNTIF($A$2:$A72,$A72)=1,1,0))</f>
        <v/>
      </c>
      <c r="V72">
        <f>IF($U72=1,SUMPRODUCT(--($X$2:$X$3001&lt;$X72))+1,"")</f>
        <v/>
      </c>
      <c r="W72">
        <f>IF($A72="","",IF(OR($T72=TRUE(),$T72="TRUE"),1,0))</f>
        <v/>
      </c>
      <c r="X72">
        <f>IF($U72=1,IFERROR(IF(VALUE($A72)&lt;100000000,VALUE($A72),1000000000),IFERROR(IF(VALUE(MID($A72,2,20))&lt;100000000,VALUE(MID($A72,2,20)),1000000000),1000000000))+ROW()/100000,"")</f>
        <v/>
      </c>
    </row>
    <row r="73">
      <c r="F73" s="7">
        <f>IF($A73="","",E73*N73/100)</f>
        <v/>
      </c>
      <c r="J73" s="7" t="n"/>
      <c r="K73" s="7">
        <f>IF($A73="","",S73*N73)</f>
        <v/>
      </c>
      <c r="L73" s="7">
        <f>IF($A73="","",N73-K73)</f>
        <v/>
      </c>
      <c r="M73" s="7">
        <f>IF($A73="","",L73-F73)</f>
        <v/>
      </c>
      <c r="N73" s="7" t="n"/>
      <c r="Q73" s="11" t="n"/>
      <c r="S73">
        <f>IF($A73="","",IF($W73=1,Settings!$C$6,Settings!$C$7)*1)</f>
        <v/>
      </c>
      <c r="U73">
        <f>IF($A73="","",IF(COUNTIF($A$2:$A73,$A73)=1,1,0))</f>
        <v/>
      </c>
      <c r="V73">
        <f>IF($U73=1,SUMPRODUCT(--($X$2:$X$3001&lt;$X73))+1,"")</f>
        <v/>
      </c>
      <c r="W73">
        <f>IF($A73="","",IF(OR($T73=TRUE(),$T73="TRUE"),1,0))</f>
        <v/>
      </c>
      <c r="X73">
        <f>IF($U73=1,IFERROR(IF(VALUE($A73)&lt;100000000,VALUE($A73),1000000000),IFERROR(IF(VALUE(MID($A73,2,20))&lt;100000000,VALUE(MID($A73,2,20)),1000000000),1000000000))+ROW()/100000,"")</f>
        <v/>
      </c>
    </row>
    <row r="74">
      <c r="F74" s="7">
        <f>IF($A74="","",E74*N74/100)</f>
        <v/>
      </c>
      <c r="J74" s="7" t="n"/>
      <c r="K74" s="7">
        <f>IF($A74="","",S74*N74)</f>
        <v/>
      </c>
      <c r="L74" s="7">
        <f>IF($A74="","",N74-K74)</f>
        <v/>
      </c>
      <c r="M74" s="7">
        <f>IF($A74="","",L74-F74)</f>
        <v/>
      </c>
      <c r="N74" s="7" t="n"/>
      <c r="Q74" s="11" t="n"/>
      <c r="S74">
        <f>IF($A74="","",IF($W74=1,Settings!$C$6,Settings!$C$7)*1)</f>
        <v/>
      </c>
      <c r="U74">
        <f>IF($A74="","",IF(COUNTIF($A$2:$A74,$A74)=1,1,0))</f>
        <v/>
      </c>
      <c r="V74">
        <f>IF($U74=1,SUMPRODUCT(--($X$2:$X$3001&lt;$X74))+1,"")</f>
        <v/>
      </c>
      <c r="W74">
        <f>IF($A74="","",IF(OR($T74=TRUE(),$T74="TRUE"),1,0))</f>
        <v/>
      </c>
      <c r="X74">
        <f>IF($U74=1,IFERROR(IF(VALUE($A74)&lt;100000000,VALUE($A74),1000000000),IFERROR(IF(VALUE(MID($A74,2,20))&lt;100000000,VALUE(MID($A74,2,20)),1000000000),1000000000))+ROW()/100000,"")</f>
        <v/>
      </c>
    </row>
    <row r="75">
      <c r="F75" s="7">
        <f>IF($A75="","",E75*N75/100)</f>
        <v/>
      </c>
      <c r="J75" s="7" t="n"/>
      <c r="K75" s="7">
        <f>IF($A75="","",S75*N75)</f>
        <v/>
      </c>
      <c r="L75" s="7">
        <f>IF($A75="","",N75-K75)</f>
        <v/>
      </c>
      <c r="M75" s="7">
        <f>IF($A75="","",L75-F75)</f>
        <v/>
      </c>
      <c r="N75" s="7" t="n"/>
      <c r="Q75" s="11" t="n"/>
      <c r="S75">
        <f>IF($A75="","",IF($W75=1,Settings!$C$6,Settings!$C$7)*1)</f>
        <v/>
      </c>
      <c r="U75">
        <f>IF($A75="","",IF(COUNTIF($A$2:$A75,$A75)=1,1,0))</f>
        <v/>
      </c>
      <c r="V75">
        <f>IF($U75=1,SUMPRODUCT(--($X$2:$X$3001&lt;$X75))+1,"")</f>
        <v/>
      </c>
      <c r="W75">
        <f>IF($A75="","",IF(OR($T75=TRUE(),$T75="TRUE"),1,0))</f>
        <v/>
      </c>
      <c r="X75">
        <f>IF($U75=1,IFERROR(IF(VALUE($A75)&lt;100000000,VALUE($A75),1000000000),IFERROR(IF(VALUE(MID($A75,2,20))&lt;100000000,VALUE(MID($A75,2,20)),1000000000),1000000000))+ROW()/100000,"")</f>
        <v/>
      </c>
    </row>
    <row r="76">
      <c r="F76" s="7">
        <f>IF($A76="","",E76*N76/100)</f>
        <v/>
      </c>
      <c r="J76" s="7" t="n"/>
      <c r="K76" s="7">
        <f>IF($A76="","",S76*N76)</f>
        <v/>
      </c>
      <c r="L76" s="7">
        <f>IF($A76="","",N76-K76)</f>
        <v/>
      </c>
      <c r="M76" s="7">
        <f>IF($A76="","",L76-F76)</f>
        <v/>
      </c>
      <c r="N76" s="7" t="n"/>
      <c r="Q76" s="11" t="n"/>
      <c r="S76">
        <f>IF($A76="","",IF($W76=1,Settings!$C$6,Settings!$C$7)*1)</f>
        <v/>
      </c>
      <c r="U76">
        <f>IF($A76="","",IF(COUNTIF($A$2:$A76,$A76)=1,1,0))</f>
        <v/>
      </c>
      <c r="V76">
        <f>IF($U76=1,SUMPRODUCT(--($X$2:$X$3001&lt;$X76))+1,"")</f>
        <v/>
      </c>
      <c r="W76">
        <f>IF($A76="","",IF(OR($T76=TRUE(),$T76="TRUE"),1,0))</f>
        <v/>
      </c>
      <c r="X76">
        <f>IF($U76=1,IFERROR(IF(VALUE($A76)&lt;100000000,VALUE($A76),1000000000),IFERROR(IF(VALUE(MID($A76,2,20))&lt;100000000,VALUE(MID($A76,2,20)),1000000000),1000000000))+ROW()/100000,"")</f>
        <v/>
      </c>
    </row>
    <row r="77">
      <c r="F77" s="7">
        <f>IF($A77="","",E77*N77/100)</f>
        <v/>
      </c>
      <c r="J77" s="7" t="n"/>
      <c r="K77" s="7">
        <f>IF($A77="","",S77*N77)</f>
        <v/>
      </c>
      <c r="L77" s="7">
        <f>IF($A77="","",N77-K77)</f>
        <v/>
      </c>
      <c r="M77" s="7">
        <f>IF($A77="","",L77-F77)</f>
        <v/>
      </c>
      <c r="N77" s="7" t="n"/>
      <c r="Q77" s="11" t="n"/>
      <c r="S77">
        <f>IF($A77="","",IF($W77=1,Settings!$C$6,Settings!$C$7)*1)</f>
        <v/>
      </c>
      <c r="U77">
        <f>IF($A77="","",IF(COUNTIF($A$2:$A77,$A77)=1,1,0))</f>
        <v/>
      </c>
      <c r="V77">
        <f>IF($U77=1,SUMPRODUCT(--($X$2:$X$3001&lt;$X77))+1,"")</f>
        <v/>
      </c>
      <c r="W77">
        <f>IF($A77="","",IF(OR($T77=TRUE(),$T77="TRUE"),1,0))</f>
        <v/>
      </c>
      <c r="X77">
        <f>IF($U77=1,IFERROR(IF(VALUE($A77)&lt;100000000,VALUE($A77),1000000000),IFERROR(IF(VALUE(MID($A77,2,20))&lt;100000000,VALUE(MID($A77,2,20)),1000000000),1000000000))+ROW()/100000,"")</f>
        <v/>
      </c>
    </row>
    <row r="78">
      <c r="F78" s="7">
        <f>IF($A78="","",E78*N78/100)</f>
        <v/>
      </c>
      <c r="J78" s="7" t="n"/>
      <c r="K78" s="7">
        <f>IF($A78="","",S78*N78)</f>
        <v/>
      </c>
      <c r="L78" s="7">
        <f>IF($A78="","",N78-K78)</f>
        <v/>
      </c>
      <c r="M78" s="7">
        <f>IF($A78="","",L78-F78)</f>
        <v/>
      </c>
      <c r="N78" s="7" t="n"/>
      <c r="Q78" s="11" t="n"/>
      <c r="S78">
        <f>IF($A78="","",IF($W78=1,Settings!$C$6,Settings!$C$7)*1)</f>
        <v/>
      </c>
      <c r="U78">
        <f>IF($A78="","",IF(COUNTIF($A$2:$A78,$A78)=1,1,0))</f>
        <v/>
      </c>
      <c r="V78">
        <f>IF($U78=1,SUMPRODUCT(--($X$2:$X$3001&lt;$X78))+1,"")</f>
        <v/>
      </c>
      <c r="W78">
        <f>IF($A78="","",IF(OR($T78=TRUE(),$T78="TRUE"),1,0))</f>
        <v/>
      </c>
      <c r="X78">
        <f>IF($U78=1,IFERROR(IF(VALUE($A78)&lt;100000000,VALUE($A78),1000000000),IFERROR(IF(VALUE(MID($A78,2,20))&lt;100000000,VALUE(MID($A78,2,20)),1000000000),1000000000))+ROW()/100000,"")</f>
        <v/>
      </c>
    </row>
    <row r="79">
      <c r="F79" s="7">
        <f>IF($A79="","",E79*N79/100)</f>
        <v/>
      </c>
      <c r="J79" s="7" t="n"/>
      <c r="K79" s="7">
        <f>IF($A79="","",S79*N79)</f>
        <v/>
      </c>
      <c r="L79" s="7">
        <f>IF($A79="","",N79-K79)</f>
        <v/>
      </c>
      <c r="M79" s="7">
        <f>IF($A79="","",L79-F79)</f>
        <v/>
      </c>
      <c r="N79" s="7" t="n"/>
      <c r="Q79" s="11" t="n"/>
      <c r="S79">
        <f>IF($A79="","",IF($W79=1,Settings!$C$6,Settings!$C$7)*1)</f>
        <v/>
      </c>
      <c r="U79">
        <f>IF($A79="","",IF(COUNTIF($A$2:$A79,$A79)=1,1,0))</f>
        <v/>
      </c>
      <c r="V79">
        <f>IF($U79=1,SUMPRODUCT(--($X$2:$X$3001&lt;$X79))+1,"")</f>
        <v/>
      </c>
      <c r="W79">
        <f>IF($A79="","",IF(OR($T79=TRUE(),$T79="TRUE"),1,0))</f>
        <v/>
      </c>
      <c r="X79">
        <f>IF($U79=1,IFERROR(IF(VALUE($A79)&lt;100000000,VALUE($A79),1000000000),IFERROR(IF(VALUE(MID($A79,2,20))&lt;100000000,VALUE(MID($A79,2,20)),1000000000),1000000000))+ROW()/100000,"")</f>
        <v/>
      </c>
    </row>
    <row r="80">
      <c r="F80" s="7">
        <f>IF($A80="","",E80*N80/100)</f>
        <v/>
      </c>
      <c r="J80" s="7" t="n"/>
      <c r="K80" s="7">
        <f>IF($A80="","",S80*N80)</f>
        <v/>
      </c>
      <c r="L80" s="7">
        <f>IF($A80="","",N80-K80)</f>
        <v/>
      </c>
      <c r="M80" s="7">
        <f>IF($A80="","",L80-F80)</f>
        <v/>
      </c>
      <c r="N80" s="7" t="n"/>
      <c r="Q80" s="11" t="n"/>
      <c r="S80">
        <f>IF($A80="","",IF($W80=1,Settings!$C$6,Settings!$C$7)*1)</f>
        <v/>
      </c>
      <c r="U80">
        <f>IF($A80="","",IF(COUNTIF($A$2:$A80,$A80)=1,1,0))</f>
        <v/>
      </c>
      <c r="V80">
        <f>IF($U80=1,SUMPRODUCT(--($X$2:$X$3001&lt;$X80))+1,"")</f>
        <v/>
      </c>
      <c r="W80">
        <f>IF($A80="","",IF(OR($T80=TRUE(),$T80="TRUE"),1,0))</f>
        <v/>
      </c>
      <c r="X80">
        <f>IF($U80=1,IFERROR(IF(VALUE($A80)&lt;100000000,VALUE($A80),1000000000),IFERROR(IF(VALUE(MID($A80,2,20))&lt;100000000,VALUE(MID($A80,2,20)),1000000000),1000000000))+ROW()/100000,"")</f>
        <v/>
      </c>
    </row>
    <row r="81">
      <c r="F81" s="7">
        <f>IF($A81="","",E81*N81/100)</f>
        <v/>
      </c>
      <c r="J81" s="7" t="n"/>
      <c r="K81" s="7">
        <f>IF($A81="","",S81*N81)</f>
        <v/>
      </c>
      <c r="L81" s="7">
        <f>IF($A81="","",N81-K81)</f>
        <v/>
      </c>
      <c r="M81" s="7">
        <f>IF($A81="","",L81-F81)</f>
        <v/>
      </c>
      <c r="N81" s="7" t="n"/>
      <c r="Q81" s="11" t="n"/>
      <c r="S81">
        <f>IF($A81="","",IF($W81=1,Settings!$C$6,Settings!$C$7)*1)</f>
        <v/>
      </c>
      <c r="U81">
        <f>IF($A81="","",IF(COUNTIF($A$2:$A81,$A81)=1,1,0))</f>
        <v/>
      </c>
      <c r="V81">
        <f>IF($U81=1,SUMPRODUCT(--($X$2:$X$3001&lt;$X81))+1,"")</f>
        <v/>
      </c>
      <c r="W81">
        <f>IF($A81="","",IF(OR($T81=TRUE(),$T81="TRUE"),1,0))</f>
        <v/>
      </c>
      <c r="X81">
        <f>IF($U81=1,IFERROR(IF(VALUE($A81)&lt;100000000,VALUE($A81),1000000000),IFERROR(IF(VALUE(MID($A81,2,20))&lt;100000000,VALUE(MID($A81,2,20)),1000000000),1000000000))+ROW()/100000,"")</f>
        <v/>
      </c>
    </row>
    <row r="82">
      <c r="F82" s="7">
        <f>IF($A82="","",E82*N82/100)</f>
        <v/>
      </c>
      <c r="J82" s="7" t="n"/>
      <c r="K82" s="7">
        <f>IF($A82="","",S82*N82)</f>
        <v/>
      </c>
      <c r="L82" s="7">
        <f>IF($A82="","",N82-K82)</f>
        <v/>
      </c>
      <c r="M82" s="7">
        <f>IF($A82="","",L82-F82)</f>
        <v/>
      </c>
      <c r="N82" s="7" t="n"/>
      <c r="Q82" s="11" t="n"/>
      <c r="S82">
        <f>IF($A82="","",IF($W82=1,Settings!$C$6,Settings!$C$7)*1)</f>
        <v/>
      </c>
      <c r="U82">
        <f>IF($A82="","",IF(COUNTIF($A$2:$A82,$A82)=1,1,0))</f>
        <v/>
      </c>
      <c r="V82">
        <f>IF($U82=1,SUMPRODUCT(--($X$2:$X$3001&lt;$X82))+1,"")</f>
        <v/>
      </c>
      <c r="W82">
        <f>IF($A82="","",IF(OR($T82=TRUE(),$T82="TRUE"),1,0))</f>
        <v/>
      </c>
      <c r="X82">
        <f>IF($U82=1,IFERROR(IF(VALUE($A82)&lt;100000000,VALUE($A82),1000000000),IFERROR(IF(VALUE(MID($A82,2,20))&lt;100000000,VALUE(MID($A82,2,20)),1000000000),1000000000))+ROW()/100000,"")</f>
        <v/>
      </c>
    </row>
    <row r="83">
      <c r="F83" s="7">
        <f>IF($A83="","",E83*N83/100)</f>
        <v/>
      </c>
      <c r="J83" s="7" t="n"/>
      <c r="K83" s="7">
        <f>IF($A83="","",S83*N83)</f>
        <v/>
      </c>
      <c r="L83" s="7">
        <f>IF($A83="","",N83-K83)</f>
        <v/>
      </c>
      <c r="M83" s="7">
        <f>IF($A83="","",L83-F83)</f>
        <v/>
      </c>
      <c r="N83" s="7" t="n"/>
      <c r="Q83" s="11" t="n"/>
      <c r="S83">
        <f>IF($A83="","",IF($W83=1,Settings!$C$6,Settings!$C$7)*1)</f>
        <v/>
      </c>
      <c r="U83">
        <f>IF($A83="","",IF(COUNTIF($A$2:$A83,$A83)=1,1,0))</f>
        <v/>
      </c>
      <c r="V83">
        <f>IF($U83=1,SUMPRODUCT(--($X$2:$X$3001&lt;$X83))+1,"")</f>
        <v/>
      </c>
      <c r="W83">
        <f>IF($A83="","",IF(OR($T83=TRUE(),$T83="TRUE"),1,0))</f>
        <v/>
      </c>
      <c r="X83">
        <f>IF($U83=1,IFERROR(IF(VALUE($A83)&lt;100000000,VALUE($A83),1000000000),IFERROR(IF(VALUE(MID($A83,2,20))&lt;100000000,VALUE(MID($A83,2,20)),1000000000),1000000000))+ROW()/100000,"")</f>
        <v/>
      </c>
    </row>
    <row r="84">
      <c r="F84" s="7">
        <f>IF($A84="","",E84*N84/100)</f>
        <v/>
      </c>
      <c r="J84" s="7" t="n"/>
      <c r="K84" s="7">
        <f>IF($A84="","",S84*N84)</f>
        <v/>
      </c>
      <c r="L84" s="7">
        <f>IF($A84="","",N84-K84)</f>
        <v/>
      </c>
      <c r="M84" s="7">
        <f>IF($A84="","",L84-F84)</f>
        <v/>
      </c>
      <c r="N84" s="7" t="n"/>
      <c r="Q84" s="11" t="n"/>
      <c r="S84">
        <f>IF($A84="","",IF($W84=1,Settings!$C$6,Settings!$C$7)*1)</f>
        <v/>
      </c>
      <c r="U84">
        <f>IF($A84="","",IF(COUNTIF($A$2:$A84,$A84)=1,1,0))</f>
        <v/>
      </c>
      <c r="V84">
        <f>IF($U84=1,SUMPRODUCT(--($X$2:$X$3001&lt;$X84))+1,"")</f>
        <v/>
      </c>
      <c r="W84">
        <f>IF($A84="","",IF(OR($T84=TRUE(),$T84="TRUE"),1,0))</f>
        <v/>
      </c>
      <c r="X84">
        <f>IF($U84=1,IFERROR(IF(VALUE($A84)&lt;100000000,VALUE($A84),1000000000),IFERROR(IF(VALUE(MID($A84,2,20))&lt;100000000,VALUE(MID($A84,2,20)),1000000000),1000000000))+ROW()/100000,"")</f>
        <v/>
      </c>
    </row>
    <row r="85">
      <c r="F85" s="7">
        <f>IF($A85="","",E85*N85/100)</f>
        <v/>
      </c>
      <c r="J85" s="7" t="n"/>
      <c r="K85" s="7">
        <f>IF($A85="","",S85*N85)</f>
        <v/>
      </c>
      <c r="L85" s="7">
        <f>IF($A85="","",N85-K85)</f>
        <v/>
      </c>
      <c r="M85" s="7">
        <f>IF($A85="","",L85-F85)</f>
        <v/>
      </c>
      <c r="N85" s="7" t="n"/>
      <c r="Q85" s="11" t="n"/>
      <c r="S85">
        <f>IF($A85="","",IF($W85=1,Settings!$C$6,Settings!$C$7)*1)</f>
        <v/>
      </c>
      <c r="U85">
        <f>IF($A85="","",IF(COUNTIF($A$2:$A85,$A85)=1,1,0))</f>
        <v/>
      </c>
      <c r="V85">
        <f>IF($U85=1,SUMPRODUCT(--($X$2:$X$3001&lt;$X85))+1,"")</f>
        <v/>
      </c>
      <c r="W85">
        <f>IF($A85="","",IF(OR($T85=TRUE(),$T85="TRUE"),1,0))</f>
        <v/>
      </c>
      <c r="X85">
        <f>IF($U85=1,IFERROR(IF(VALUE($A85)&lt;100000000,VALUE($A85),1000000000),IFERROR(IF(VALUE(MID($A85,2,20))&lt;100000000,VALUE(MID($A85,2,20)),1000000000),1000000000))+ROW()/100000,"")</f>
        <v/>
      </c>
    </row>
    <row r="86">
      <c r="F86" s="7">
        <f>IF($A86="","",E86*N86/100)</f>
        <v/>
      </c>
      <c r="J86" s="7" t="n"/>
      <c r="K86" s="7">
        <f>IF($A86="","",S86*N86)</f>
        <v/>
      </c>
      <c r="L86" s="7">
        <f>IF($A86="","",N86-K86)</f>
        <v/>
      </c>
      <c r="M86" s="7">
        <f>IF($A86="","",L86-F86)</f>
        <v/>
      </c>
      <c r="N86" s="7" t="n"/>
      <c r="Q86" s="11" t="n"/>
      <c r="S86">
        <f>IF($A86="","",IF($W86=1,Settings!$C$6,Settings!$C$7)*1)</f>
        <v/>
      </c>
      <c r="U86">
        <f>IF($A86="","",IF(COUNTIF($A$2:$A86,$A86)=1,1,0))</f>
        <v/>
      </c>
      <c r="V86">
        <f>IF($U86=1,SUMPRODUCT(--($X$2:$X$3001&lt;$X86))+1,"")</f>
        <v/>
      </c>
      <c r="W86">
        <f>IF($A86="","",IF(OR($T86=TRUE(),$T86="TRUE"),1,0))</f>
        <v/>
      </c>
      <c r="X86">
        <f>IF($U86=1,IFERROR(IF(VALUE($A86)&lt;100000000,VALUE($A86),1000000000),IFERROR(IF(VALUE(MID($A86,2,20))&lt;100000000,VALUE(MID($A86,2,20)),1000000000),1000000000))+ROW()/100000,"")</f>
        <v/>
      </c>
    </row>
    <row r="87">
      <c r="F87" s="7">
        <f>IF($A87="","",E87*N87/100)</f>
        <v/>
      </c>
      <c r="J87" s="7" t="n"/>
      <c r="K87" s="7">
        <f>IF($A87="","",S87*N87)</f>
        <v/>
      </c>
      <c r="L87" s="7">
        <f>IF($A87="","",N87-K87)</f>
        <v/>
      </c>
      <c r="M87" s="7">
        <f>IF($A87="","",L87-F87)</f>
        <v/>
      </c>
      <c r="N87" s="7" t="n"/>
      <c r="Q87" s="11" t="n"/>
      <c r="S87">
        <f>IF($A87="","",IF($W87=1,Settings!$C$6,Settings!$C$7)*1)</f>
        <v/>
      </c>
      <c r="U87">
        <f>IF($A87="","",IF(COUNTIF($A$2:$A87,$A87)=1,1,0))</f>
        <v/>
      </c>
      <c r="V87">
        <f>IF($U87=1,SUMPRODUCT(--($X$2:$X$3001&lt;$X87))+1,"")</f>
        <v/>
      </c>
      <c r="W87">
        <f>IF($A87="","",IF(OR($T87=TRUE(),$T87="TRUE"),1,0))</f>
        <v/>
      </c>
      <c r="X87">
        <f>IF($U87=1,IFERROR(IF(VALUE($A87)&lt;100000000,VALUE($A87),1000000000),IFERROR(IF(VALUE(MID($A87,2,20))&lt;100000000,VALUE(MID($A87,2,20)),1000000000),1000000000))+ROW()/100000,"")</f>
        <v/>
      </c>
    </row>
    <row r="88">
      <c r="F88" s="7">
        <f>IF($A88="","",E88*N88/100)</f>
        <v/>
      </c>
      <c r="J88" s="7" t="n"/>
      <c r="K88" s="7">
        <f>IF($A88="","",S88*N88)</f>
        <v/>
      </c>
      <c r="L88" s="7">
        <f>IF($A88="","",N88-K88)</f>
        <v/>
      </c>
      <c r="M88" s="7">
        <f>IF($A88="","",L88-F88)</f>
        <v/>
      </c>
      <c r="N88" s="7" t="n"/>
      <c r="Q88" s="11" t="n"/>
      <c r="S88">
        <f>IF($A88="","",IF($W88=1,Settings!$C$6,Settings!$C$7)*1)</f>
        <v/>
      </c>
      <c r="U88">
        <f>IF($A88="","",IF(COUNTIF($A$2:$A88,$A88)=1,1,0))</f>
        <v/>
      </c>
      <c r="V88">
        <f>IF($U88=1,SUMPRODUCT(--($X$2:$X$3001&lt;$X88))+1,"")</f>
        <v/>
      </c>
      <c r="W88">
        <f>IF($A88="","",IF(OR($T88=TRUE(),$T88="TRUE"),1,0))</f>
        <v/>
      </c>
      <c r="X88">
        <f>IF($U88=1,IFERROR(IF(VALUE($A88)&lt;100000000,VALUE($A88),1000000000),IFERROR(IF(VALUE(MID($A88,2,20))&lt;100000000,VALUE(MID($A88,2,20)),1000000000),1000000000))+ROW()/100000,"")</f>
        <v/>
      </c>
    </row>
    <row r="89">
      <c r="F89" s="7">
        <f>IF($A89="","",E89*N89/100)</f>
        <v/>
      </c>
      <c r="J89" s="7" t="n"/>
      <c r="K89" s="7">
        <f>IF($A89="","",S89*N89)</f>
        <v/>
      </c>
      <c r="L89" s="7">
        <f>IF($A89="","",N89-K89)</f>
        <v/>
      </c>
      <c r="M89" s="7">
        <f>IF($A89="","",L89-F89)</f>
        <v/>
      </c>
      <c r="N89" s="7" t="n"/>
      <c r="Q89" s="11" t="n"/>
      <c r="S89">
        <f>IF($A89="","",IF($W89=1,Settings!$C$6,Settings!$C$7)*1)</f>
        <v/>
      </c>
      <c r="U89">
        <f>IF($A89="","",IF(COUNTIF($A$2:$A89,$A89)=1,1,0))</f>
        <v/>
      </c>
      <c r="V89">
        <f>IF($U89=1,SUMPRODUCT(--($X$2:$X$3001&lt;$X89))+1,"")</f>
        <v/>
      </c>
      <c r="W89">
        <f>IF($A89="","",IF(OR($T89=TRUE(),$T89="TRUE"),1,0))</f>
        <v/>
      </c>
      <c r="X89">
        <f>IF($U89=1,IFERROR(IF(VALUE($A89)&lt;100000000,VALUE($A89),1000000000),IFERROR(IF(VALUE(MID($A89,2,20))&lt;100000000,VALUE(MID($A89,2,20)),1000000000),1000000000))+ROW()/100000,"")</f>
        <v/>
      </c>
    </row>
    <row r="90">
      <c r="F90" s="7">
        <f>IF($A90="","",E90*N90/100)</f>
        <v/>
      </c>
      <c r="J90" s="7" t="n"/>
      <c r="K90" s="7">
        <f>IF($A90="","",S90*N90)</f>
        <v/>
      </c>
      <c r="L90" s="7">
        <f>IF($A90="","",N90-K90)</f>
        <v/>
      </c>
      <c r="M90" s="7">
        <f>IF($A90="","",L90-F90)</f>
        <v/>
      </c>
      <c r="N90" s="7" t="n"/>
      <c r="Q90" s="11" t="n"/>
      <c r="S90">
        <f>IF($A90="","",IF($W90=1,Settings!$C$6,Settings!$C$7)*1)</f>
        <v/>
      </c>
      <c r="U90">
        <f>IF($A90="","",IF(COUNTIF($A$2:$A90,$A90)=1,1,0))</f>
        <v/>
      </c>
      <c r="V90">
        <f>IF($U90=1,SUMPRODUCT(--($X$2:$X$3001&lt;$X90))+1,"")</f>
        <v/>
      </c>
      <c r="W90">
        <f>IF($A90="","",IF(OR($T90=TRUE(),$T90="TRUE"),1,0))</f>
        <v/>
      </c>
      <c r="X90">
        <f>IF($U90=1,IFERROR(IF(VALUE($A90)&lt;100000000,VALUE($A90),1000000000),IFERROR(IF(VALUE(MID($A90,2,20))&lt;100000000,VALUE(MID($A90,2,20)),1000000000),1000000000))+ROW()/100000,"")</f>
        <v/>
      </c>
    </row>
    <row r="91">
      <c r="F91" s="7">
        <f>IF($A91="","",E91*N91/100)</f>
        <v/>
      </c>
      <c r="J91" s="7" t="n"/>
      <c r="K91" s="7">
        <f>IF($A91="","",S91*N91)</f>
        <v/>
      </c>
      <c r="L91" s="7">
        <f>IF($A91="","",N91-K91)</f>
        <v/>
      </c>
      <c r="M91" s="7">
        <f>IF($A91="","",L91-F91)</f>
        <v/>
      </c>
      <c r="N91" s="7" t="n"/>
      <c r="Q91" s="11" t="n"/>
      <c r="S91">
        <f>IF($A91="","",IF($W91=1,Settings!$C$6,Settings!$C$7)*1)</f>
        <v/>
      </c>
      <c r="U91">
        <f>IF($A91="","",IF(COUNTIF($A$2:$A91,$A91)=1,1,0))</f>
        <v/>
      </c>
      <c r="V91">
        <f>IF($U91=1,SUMPRODUCT(--($X$2:$X$3001&lt;$X91))+1,"")</f>
        <v/>
      </c>
      <c r="W91">
        <f>IF($A91="","",IF(OR($T91=TRUE(),$T91="TRUE"),1,0))</f>
        <v/>
      </c>
      <c r="X91">
        <f>IF($U91=1,IFERROR(IF(VALUE($A91)&lt;100000000,VALUE($A91),1000000000),IFERROR(IF(VALUE(MID($A91,2,20))&lt;100000000,VALUE(MID($A91,2,20)),1000000000),1000000000))+ROW()/100000,"")</f>
        <v/>
      </c>
    </row>
    <row r="92">
      <c r="F92" s="7">
        <f>IF($A92="","",E92*N92/100)</f>
        <v/>
      </c>
      <c r="J92" s="7" t="n"/>
      <c r="K92" s="7">
        <f>IF($A92="","",S92*N92)</f>
        <v/>
      </c>
      <c r="L92" s="7">
        <f>IF($A92="","",N92-K92)</f>
        <v/>
      </c>
      <c r="M92" s="7">
        <f>IF($A92="","",L92-F92)</f>
        <v/>
      </c>
      <c r="N92" s="7" t="n"/>
      <c r="Q92" s="11" t="n"/>
      <c r="S92">
        <f>IF($A92="","",IF($W92=1,Settings!$C$6,Settings!$C$7)*1)</f>
        <v/>
      </c>
      <c r="U92">
        <f>IF($A92="","",IF(COUNTIF($A$2:$A92,$A92)=1,1,0))</f>
        <v/>
      </c>
      <c r="V92">
        <f>IF($U92=1,SUMPRODUCT(--($X$2:$X$3001&lt;$X92))+1,"")</f>
        <v/>
      </c>
      <c r="W92">
        <f>IF($A92="","",IF(OR($T92=TRUE(),$T92="TRUE"),1,0))</f>
        <v/>
      </c>
      <c r="X92">
        <f>IF($U92=1,IFERROR(IF(VALUE($A92)&lt;100000000,VALUE($A92),1000000000),IFERROR(IF(VALUE(MID($A92,2,20))&lt;100000000,VALUE(MID($A92,2,20)),1000000000),1000000000))+ROW()/100000,"")</f>
        <v/>
      </c>
    </row>
    <row r="93">
      <c r="F93" s="7">
        <f>IF($A93="","",E93*N93/100)</f>
        <v/>
      </c>
      <c r="J93" s="7" t="n"/>
      <c r="K93" s="7">
        <f>IF($A93="","",S93*N93)</f>
        <v/>
      </c>
      <c r="L93" s="7">
        <f>IF($A93="","",N93-K93)</f>
        <v/>
      </c>
      <c r="M93" s="7">
        <f>IF($A93="","",L93-F93)</f>
        <v/>
      </c>
      <c r="N93" s="7" t="n"/>
      <c r="Q93" s="11" t="n"/>
      <c r="S93">
        <f>IF($A93="","",IF($W93=1,Settings!$C$6,Settings!$C$7)*1)</f>
        <v/>
      </c>
      <c r="U93">
        <f>IF($A93="","",IF(COUNTIF($A$2:$A93,$A93)=1,1,0))</f>
        <v/>
      </c>
      <c r="V93">
        <f>IF($U93=1,SUMPRODUCT(--($X$2:$X$3001&lt;$X93))+1,"")</f>
        <v/>
      </c>
      <c r="W93">
        <f>IF($A93="","",IF(OR($T93=TRUE(),$T93="TRUE"),1,0))</f>
        <v/>
      </c>
      <c r="X93">
        <f>IF($U93=1,IFERROR(IF(VALUE($A93)&lt;100000000,VALUE($A93),1000000000),IFERROR(IF(VALUE(MID($A93,2,20))&lt;100000000,VALUE(MID($A93,2,20)),1000000000),1000000000))+ROW()/100000,"")</f>
        <v/>
      </c>
    </row>
    <row r="94">
      <c r="F94" s="7">
        <f>IF($A94="","",E94*N94/100)</f>
        <v/>
      </c>
      <c r="J94" s="7" t="n"/>
      <c r="K94" s="7">
        <f>IF($A94="","",S94*N94)</f>
        <v/>
      </c>
      <c r="L94" s="7">
        <f>IF($A94="","",N94-K94)</f>
        <v/>
      </c>
      <c r="M94" s="7">
        <f>IF($A94="","",L94-F94)</f>
        <v/>
      </c>
      <c r="N94" s="7" t="n"/>
      <c r="Q94" s="11" t="n"/>
      <c r="S94">
        <f>IF($A94="","",IF($W94=1,Settings!$C$6,Settings!$C$7)*1)</f>
        <v/>
      </c>
      <c r="U94">
        <f>IF($A94="","",IF(COUNTIF($A$2:$A94,$A94)=1,1,0))</f>
        <v/>
      </c>
      <c r="V94">
        <f>IF($U94=1,SUMPRODUCT(--($X$2:$X$3001&lt;$X94))+1,"")</f>
        <v/>
      </c>
      <c r="W94">
        <f>IF($A94="","",IF(OR($T94=TRUE(),$T94="TRUE"),1,0))</f>
        <v/>
      </c>
      <c r="X94">
        <f>IF($U94=1,IFERROR(IF(VALUE($A94)&lt;100000000,VALUE($A94),1000000000),IFERROR(IF(VALUE(MID($A94,2,20))&lt;100000000,VALUE(MID($A94,2,20)),1000000000),1000000000))+ROW()/100000,"")</f>
        <v/>
      </c>
    </row>
    <row r="95">
      <c r="F95" s="7">
        <f>IF($A95="","",E95*N95/100)</f>
        <v/>
      </c>
      <c r="J95" s="7" t="n"/>
      <c r="K95" s="7">
        <f>IF($A95="","",S95*N95)</f>
        <v/>
      </c>
      <c r="L95" s="7">
        <f>IF($A95="","",N95-K95)</f>
        <v/>
      </c>
      <c r="M95" s="7">
        <f>IF($A95="","",L95-F95)</f>
        <v/>
      </c>
      <c r="N95" s="7" t="n"/>
      <c r="Q95" s="11" t="n"/>
      <c r="S95">
        <f>IF($A95="","",IF($W95=1,Settings!$C$6,Settings!$C$7)*1)</f>
        <v/>
      </c>
      <c r="U95">
        <f>IF($A95="","",IF(COUNTIF($A$2:$A95,$A95)=1,1,0))</f>
        <v/>
      </c>
      <c r="V95">
        <f>IF($U95=1,SUMPRODUCT(--($X$2:$X$3001&lt;$X95))+1,"")</f>
        <v/>
      </c>
      <c r="W95">
        <f>IF($A95="","",IF(OR($T95=TRUE(),$T95="TRUE"),1,0))</f>
        <v/>
      </c>
      <c r="X95">
        <f>IF($U95=1,IFERROR(IF(VALUE($A95)&lt;100000000,VALUE($A95),1000000000),IFERROR(IF(VALUE(MID($A95,2,20))&lt;100000000,VALUE(MID($A95,2,20)),1000000000),1000000000))+ROW()/100000,"")</f>
        <v/>
      </c>
    </row>
    <row r="96">
      <c r="F96" s="7">
        <f>IF($A96="","",E96*N96/100)</f>
        <v/>
      </c>
      <c r="J96" s="7" t="n"/>
      <c r="K96" s="7">
        <f>IF($A96="","",S96*N96)</f>
        <v/>
      </c>
      <c r="L96" s="7">
        <f>IF($A96="","",N96-K96)</f>
        <v/>
      </c>
      <c r="M96" s="7">
        <f>IF($A96="","",L96-F96)</f>
        <v/>
      </c>
      <c r="N96" s="7" t="n"/>
      <c r="Q96" s="11" t="n"/>
      <c r="S96">
        <f>IF($A96="","",IF($W96=1,Settings!$C$6,Settings!$C$7)*1)</f>
        <v/>
      </c>
      <c r="U96">
        <f>IF($A96="","",IF(COUNTIF($A$2:$A96,$A96)=1,1,0))</f>
        <v/>
      </c>
      <c r="V96">
        <f>IF($U96=1,SUMPRODUCT(--($X$2:$X$3001&lt;$X96))+1,"")</f>
        <v/>
      </c>
      <c r="W96">
        <f>IF($A96="","",IF(OR($T96=TRUE(),$T96="TRUE"),1,0))</f>
        <v/>
      </c>
      <c r="X96">
        <f>IF($U96=1,IFERROR(IF(VALUE($A96)&lt;100000000,VALUE($A96),1000000000),IFERROR(IF(VALUE(MID($A96,2,20))&lt;100000000,VALUE(MID($A96,2,20)),1000000000),1000000000))+ROW()/100000,"")</f>
        <v/>
      </c>
    </row>
    <row r="97">
      <c r="F97" s="7">
        <f>IF($A97="","",E97*N97/100)</f>
        <v/>
      </c>
      <c r="J97" s="7" t="n"/>
      <c r="K97" s="7">
        <f>IF($A97="","",S97*N97)</f>
        <v/>
      </c>
      <c r="L97" s="7">
        <f>IF($A97="","",N97-K97)</f>
        <v/>
      </c>
      <c r="M97" s="7">
        <f>IF($A97="","",L97-F97)</f>
        <v/>
      </c>
      <c r="N97" s="7" t="n"/>
      <c r="Q97" s="11" t="n"/>
      <c r="S97">
        <f>IF($A97="","",IF($W97=1,Settings!$C$6,Settings!$C$7)*1)</f>
        <v/>
      </c>
      <c r="U97">
        <f>IF($A97="","",IF(COUNTIF($A$2:$A97,$A97)=1,1,0))</f>
        <v/>
      </c>
      <c r="V97">
        <f>IF($U97=1,SUMPRODUCT(--($X$2:$X$3001&lt;$X97))+1,"")</f>
        <v/>
      </c>
      <c r="W97">
        <f>IF($A97="","",IF(OR($T97=TRUE(),$T97="TRUE"),1,0))</f>
        <v/>
      </c>
      <c r="X97">
        <f>IF($U97=1,IFERROR(IF(VALUE($A97)&lt;100000000,VALUE($A97),1000000000),IFERROR(IF(VALUE(MID($A97,2,20))&lt;100000000,VALUE(MID($A97,2,20)),1000000000),1000000000))+ROW()/100000,"")</f>
        <v/>
      </c>
    </row>
    <row r="98">
      <c r="F98" s="7">
        <f>IF($A98="","",E98*N98/100)</f>
        <v/>
      </c>
      <c r="J98" s="7" t="n"/>
      <c r="K98" s="7">
        <f>IF($A98="","",S98*N98)</f>
        <v/>
      </c>
      <c r="L98" s="7">
        <f>IF($A98="","",N98-K98)</f>
        <v/>
      </c>
      <c r="M98" s="7">
        <f>IF($A98="","",L98-F98)</f>
        <v/>
      </c>
      <c r="N98" s="7" t="n"/>
      <c r="Q98" s="11" t="n"/>
      <c r="S98">
        <f>IF($A98="","",IF($W98=1,Settings!$C$6,Settings!$C$7)*1)</f>
        <v/>
      </c>
      <c r="U98">
        <f>IF($A98="","",IF(COUNTIF($A$2:$A98,$A98)=1,1,0))</f>
        <v/>
      </c>
      <c r="V98">
        <f>IF($U98=1,SUMPRODUCT(--($X$2:$X$3001&lt;$X98))+1,"")</f>
        <v/>
      </c>
      <c r="W98">
        <f>IF($A98="","",IF(OR($T98=TRUE(),$T98="TRUE"),1,0))</f>
        <v/>
      </c>
      <c r="X98">
        <f>IF($U98=1,IFERROR(IF(VALUE($A98)&lt;100000000,VALUE($A98),1000000000),IFERROR(IF(VALUE(MID($A98,2,20))&lt;100000000,VALUE(MID($A98,2,20)),1000000000),1000000000))+ROW()/100000,"")</f>
        <v/>
      </c>
    </row>
    <row r="99">
      <c r="F99" s="7">
        <f>IF($A99="","",E99*N99/100)</f>
        <v/>
      </c>
      <c r="J99" s="7" t="n"/>
      <c r="K99" s="7">
        <f>IF($A99="","",S99*N99)</f>
        <v/>
      </c>
      <c r="L99" s="7">
        <f>IF($A99="","",N99-K99)</f>
        <v/>
      </c>
      <c r="M99" s="7">
        <f>IF($A99="","",L99-F99)</f>
        <v/>
      </c>
      <c r="N99" s="7" t="n"/>
      <c r="Q99" s="11" t="n"/>
      <c r="S99">
        <f>IF($A99="","",IF($W99=1,Settings!$C$6,Settings!$C$7)*1)</f>
        <v/>
      </c>
      <c r="U99">
        <f>IF($A99="","",IF(COUNTIF($A$2:$A99,$A99)=1,1,0))</f>
        <v/>
      </c>
      <c r="V99">
        <f>IF($U99=1,SUMPRODUCT(--($X$2:$X$3001&lt;$X99))+1,"")</f>
        <v/>
      </c>
      <c r="W99">
        <f>IF($A99="","",IF(OR($T99=TRUE(),$T99="TRUE"),1,0))</f>
        <v/>
      </c>
      <c r="X99">
        <f>IF($U99=1,IFERROR(IF(VALUE($A99)&lt;100000000,VALUE($A99),1000000000),IFERROR(IF(VALUE(MID($A99,2,20))&lt;100000000,VALUE(MID($A99,2,20)),1000000000),1000000000))+ROW()/100000,"")</f>
        <v/>
      </c>
    </row>
    <row r="100">
      <c r="F100" s="7">
        <f>IF($A100="","",E100*N100/100)</f>
        <v/>
      </c>
      <c r="J100" s="7" t="n"/>
      <c r="K100" s="7">
        <f>IF($A100="","",S100*N100)</f>
        <v/>
      </c>
      <c r="L100" s="7">
        <f>IF($A100="","",N100-K100)</f>
        <v/>
      </c>
      <c r="M100" s="7">
        <f>IF($A100="","",L100-F100)</f>
        <v/>
      </c>
      <c r="N100" s="7" t="n"/>
      <c r="Q100" s="11" t="n"/>
      <c r="S100">
        <f>IF($A100="","",IF($W100=1,Settings!$C$6,Settings!$C$7)*1)</f>
        <v/>
      </c>
      <c r="U100">
        <f>IF($A100="","",IF(COUNTIF($A$2:$A100,$A100)=1,1,0))</f>
        <v/>
      </c>
      <c r="V100">
        <f>IF($U100=1,SUMPRODUCT(--($X$2:$X$3001&lt;$X100))+1,"")</f>
        <v/>
      </c>
      <c r="W100">
        <f>IF($A100="","",IF(OR($T100=TRUE(),$T100="TRUE"),1,0))</f>
        <v/>
      </c>
      <c r="X100">
        <f>IF($U100=1,IFERROR(IF(VALUE($A100)&lt;100000000,VALUE($A100),1000000000),IFERROR(IF(VALUE(MID($A100,2,20))&lt;100000000,VALUE(MID($A100,2,20)),1000000000),1000000000))+ROW()/100000,"")</f>
        <v/>
      </c>
    </row>
    <row r="101">
      <c r="F101" s="7">
        <f>IF($A101="","",E101*N101/100)</f>
        <v/>
      </c>
      <c r="J101" s="7" t="n"/>
      <c r="K101" s="7">
        <f>IF($A101="","",S101*N101)</f>
        <v/>
      </c>
      <c r="L101" s="7">
        <f>IF($A101="","",N101-K101)</f>
        <v/>
      </c>
      <c r="M101" s="7">
        <f>IF($A101="","",L101-F101)</f>
        <v/>
      </c>
      <c r="N101" s="7" t="n"/>
      <c r="Q101" s="11" t="n"/>
      <c r="S101">
        <f>IF($A101="","",IF($W101=1,Settings!$C$6,Settings!$C$7)*1)</f>
        <v/>
      </c>
      <c r="U101">
        <f>IF($A101="","",IF(COUNTIF($A$2:$A101,$A101)=1,1,0))</f>
        <v/>
      </c>
      <c r="V101">
        <f>IF($U101=1,SUMPRODUCT(--($X$2:$X$3001&lt;$X101))+1,"")</f>
        <v/>
      </c>
      <c r="W101">
        <f>IF($A101="","",IF(OR($T101=TRUE(),$T101="TRUE"),1,0))</f>
        <v/>
      </c>
      <c r="X101">
        <f>IF($U101=1,IFERROR(IF(VALUE($A101)&lt;100000000,VALUE($A101),1000000000),IFERROR(IF(VALUE(MID($A101,2,20))&lt;100000000,VALUE(MID($A101,2,20)),1000000000),1000000000))+ROW()/100000,"")</f>
        <v/>
      </c>
    </row>
    <row r="102">
      <c r="F102" s="7">
        <f>IF($A102="","",E102*N102/100)</f>
        <v/>
      </c>
      <c r="J102" s="7" t="n"/>
      <c r="K102" s="7">
        <f>IF($A102="","",S102*N102)</f>
        <v/>
      </c>
      <c r="L102" s="7">
        <f>IF($A102="","",N102-K102)</f>
        <v/>
      </c>
      <c r="M102" s="7">
        <f>IF($A102="","",L102-F102)</f>
        <v/>
      </c>
      <c r="N102" s="7" t="n"/>
      <c r="Q102" s="11" t="n"/>
      <c r="S102">
        <f>IF($A102="","",IF($W102=1,Settings!$C$6,Settings!$C$7)*1)</f>
        <v/>
      </c>
      <c r="U102">
        <f>IF($A102="","",IF(COUNTIF($A$2:$A102,$A102)=1,1,0))</f>
        <v/>
      </c>
      <c r="V102">
        <f>IF($U102=1,SUMPRODUCT(--($X$2:$X$3001&lt;$X102))+1,"")</f>
        <v/>
      </c>
      <c r="W102">
        <f>IF($A102="","",IF(OR($T102=TRUE(),$T102="TRUE"),1,0))</f>
        <v/>
      </c>
      <c r="X102">
        <f>IF($U102=1,IFERROR(IF(VALUE($A102)&lt;100000000,VALUE($A102),1000000000),IFERROR(IF(VALUE(MID($A102,2,20))&lt;100000000,VALUE(MID($A102,2,20)),1000000000),1000000000))+ROW()/100000,"")</f>
        <v/>
      </c>
    </row>
    <row r="103">
      <c r="F103" s="7">
        <f>IF($A103="","",E103*N103/100)</f>
        <v/>
      </c>
      <c r="J103" s="7" t="n"/>
      <c r="K103" s="7">
        <f>IF($A103="","",S103*N103)</f>
        <v/>
      </c>
      <c r="L103" s="7">
        <f>IF($A103="","",N103-K103)</f>
        <v/>
      </c>
      <c r="M103" s="7">
        <f>IF($A103="","",L103-F103)</f>
        <v/>
      </c>
      <c r="N103" s="7" t="n"/>
      <c r="Q103" s="11" t="n"/>
      <c r="S103">
        <f>IF($A103="","",IF($W103=1,Settings!$C$6,Settings!$C$7)*1)</f>
        <v/>
      </c>
      <c r="U103">
        <f>IF($A103="","",IF(COUNTIF($A$2:$A103,$A103)=1,1,0))</f>
        <v/>
      </c>
      <c r="V103">
        <f>IF($U103=1,SUMPRODUCT(--($X$2:$X$3001&lt;$X103))+1,"")</f>
        <v/>
      </c>
      <c r="W103">
        <f>IF($A103="","",IF(OR($T103=TRUE(),$T103="TRUE"),1,0))</f>
        <v/>
      </c>
      <c r="X103">
        <f>IF($U103=1,IFERROR(IF(VALUE($A103)&lt;100000000,VALUE($A103),1000000000),IFERROR(IF(VALUE(MID($A103,2,20))&lt;100000000,VALUE(MID($A103,2,20)),1000000000),1000000000))+ROW()/100000,"")</f>
        <v/>
      </c>
    </row>
    <row r="104">
      <c r="F104" s="7">
        <f>IF($A104="","",E104*N104/100)</f>
        <v/>
      </c>
      <c r="J104" s="7" t="n"/>
      <c r="K104" s="7">
        <f>IF($A104="","",S104*N104)</f>
        <v/>
      </c>
      <c r="L104" s="7">
        <f>IF($A104="","",N104-K104)</f>
        <v/>
      </c>
      <c r="M104" s="7">
        <f>IF($A104="","",L104-F104)</f>
        <v/>
      </c>
      <c r="N104" s="7" t="n"/>
      <c r="Q104" s="11" t="n"/>
      <c r="S104">
        <f>IF($A104="","",IF($W104=1,Settings!$C$6,Settings!$C$7)*1)</f>
        <v/>
      </c>
      <c r="U104">
        <f>IF($A104="","",IF(COUNTIF($A$2:$A104,$A104)=1,1,0))</f>
        <v/>
      </c>
      <c r="V104">
        <f>IF($U104=1,SUMPRODUCT(--($X$2:$X$3001&lt;$X104))+1,"")</f>
        <v/>
      </c>
      <c r="W104">
        <f>IF($A104="","",IF(OR($T104=TRUE(),$T104="TRUE"),1,0))</f>
        <v/>
      </c>
      <c r="X104">
        <f>IF($U104=1,IFERROR(IF(VALUE($A104)&lt;100000000,VALUE($A104),1000000000),IFERROR(IF(VALUE(MID($A104,2,20))&lt;100000000,VALUE(MID($A104,2,20)),1000000000),1000000000))+ROW()/100000,"")</f>
        <v/>
      </c>
    </row>
    <row r="105">
      <c r="F105" s="7">
        <f>IF($A105="","",E105*N105/100)</f>
        <v/>
      </c>
      <c r="J105" s="7" t="n"/>
      <c r="K105" s="7">
        <f>IF($A105="","",S105*N105)</f>
        <v/>
      </c>
      <c r="L105" s="7">
        <f>IF($A105="","",N105-K105)</f>
        <v/>
      </c>
      <c r="M105" s="7">
        <f>IF($A105="","",L105-F105)</f>
        <v/>
      </c>
      <c r="N105" s="7" t="n"/>
      <c r="Q105" s="11" t="n"/>
      <c r="S105">
        <f>IF($A105="","",IF($W105=1,Settings!$C$6,Settings!$C$7)*1)</f>
        <v/>
      </c>
      <c r="U105">
        <f>IF($A105="","",IF(COUNTIF($A$2:$A105,$A105)=1,1,0))</f>
        <v/>
      </c>
      <c r="V105">
        <f>IF($U105=1,SUMPRODUCT(--($X$2:$X$3001&lt;$X105))+1,"")</f>
        <v/>
      </c>
      <c r="W105">
        <f>IF($A105="","",IF(OR($T105=TRUE(),$T105="TRUE"),1,0))</f>
        <v/>
      </c>
      <c r="X105">
        <f>IF($U105=1,IFERROR(IF(VALUE($A105)&lt;100000000,VALUE($A105),1000000000),IFERROR(IF(VALUE(MID($A105,2,20))&lt;100000000,VALUE(MID($A105,2,20)),1000000000),1000000000))+ROW()/100000,"")</f>
        <v/>
      </c>
    </row>
    <row r="106">
      <c r="F106" s="7">
        <f>IF($A106="","",E106*N106/100)</f>
        <v/>
      </c>
      <c r="J106" s="7" t="n"/>
      <c r="K106" s="7">
        <f>IF($A106="","",S106*N106)</f>
        <v/>
      </c>
      <c r="L106" s="7">
        <f>IF($A106="","",N106-K106)</f>
        <v/>
      </c>
      <c r="M106" s="7">
        <f>IF($A106="","",L106-F106)</f>
        <v/>
      </c>
      <c r="N106" s="7" t="n"/>
      <c r="Q106" s="11" t="n"/>
      <c r="S106">
        <f>IF($A106="","",IF($W106=1,Settings!$C$6,Settings!$C$7)*1)</f>
        <v/>
      </c>
      <c r="U106">
        <f>IF($A106="","",IF(COUNTIF($A$2:$A106,$A106)=1,1,0))</f>
        <v/>
      </c>
      <c r="V106">
        <f>IF($U106=1,SUMPRODUCT(--($X$2:$X$3001&lt;$X106))+1,"")</f>
        <v/>
      </c>
      <c r="W106">
        <f>IF($A106="","",IF(OR($T106=TRUE(),$T106="TRUE"),1,0))</f>
        <v/>
      </c>
      <c r="X106">
        <f>IF($U106=1,IFERROR(IF(VALUE($A106)&lt;100000000,VALUE($A106),1000000000),IFERROR(IF(VALUE(MID($A106,2,20))&lt;100000000,VALUE(MID($A106,2,20)),1000000000),1000000000))+ROW()/100000,"")</f>
        <v/>
      </c>
    </row>
    <row r="107">
      <c r="F107" s="7">
        <f>IF($A107="","",E107*N107/100)</f>
        <v/>
      </c>
      <c r="J107" s="7" t="n"/>
      <c r="K107" s="7">
        <f>IF($A107="","",S107*N107)</f>
        <v/>
      </c>
      <c r="L107" s="7">
        <f>IF($A107="","",N107-K107)</f>
        <v/>
      </c>
      <c r="M107" s="7">
        <f>IF($A107="","",L107-F107)</f>
        <v/>
      </c>
      <c r="N107" s="7" t="n"/>
      <c r="Q107" s="11" t="n"/>
      <c r="S107">
        <f>IF($A107="","",IF($W107=1,Settings!$C$6,Settings!$C$7)*1)</f>
        <v/>
      </c>
      <c r="U107">
        <f>IF($A107="","",IF(COUNTIF($A$2:$A107,$A107)=1,1,0))</f>
        <v/>
      </c>
      <c r="V107">
        <f>IF($U107=1,SUMPRODUCT(--($X$2:$X$3001&lt;$X107))+1,"")</f>
        <v/>
      </c>
      <c r="W107">
        <f>IF($A107="","",IF(OR($T107=TRUE(),$T107="TRUE"),1,0))</f>
        <v/>
      </c>
      <c r="X107">
        <f>IF($U107=1,IFERROR(IF(VALUE($A107)&lt;100000000,VALUE($A107),1000000000),IFERROR(IF(VALUE(MID($A107,2,20))&lt;100000000,VALUE(MID($A107,2,20)),1000000000),1000000000))+ROW()/100000,"")</f>
        <v/>
      </c>
    </row>
    <row r="108">
      <c r="F108" s="7">
        <f>IF($A108="","",E108*N108/100)</f>
        <v/>
      </c>
      <c r="J108" s="7" t="n"/>
      <c r="K108" s="7">
        <f>IF($A108="","",S108*N108)</f>
        <v/>
      </c>
      <c r="L108" s="7">
        <f>IF($A108="","",N108-K108)</f>
        <v/>
      </c>
      <c r="M108" s="7">
        <f>IF($A108="","",L108-F108)</f>
        <v/>
      </c>
      <c r="N108" s="7" t="n"/>
      <c r="Q108" s="11" t="n"/>
      <c r="S108">
        <f>IF($A108="","",IF($W108=1,Settings!$C$6,Settings!$C$7)*1)</f>
        <v/>
      </c>
      <c r="U108">
        <f>IF($A108="","",IF(COUNTIF($A$2:$A108,$A108)=1,1,0))</f>
        <v/>
      </c>
      <c r="V108">
        <f>IF($U108=1,SUMPRODUCT(--($X$2:$X$3001&lt;$X108))+1,"")</f>
        <v/>
      </c>
      <c r="W108">
        <f>IF($A108="","",IF(OR($T108=TRUE(),$T108="TRUE"),1,0))</f>
        <v/>
      </c>
      <c r="X108">
        <f>IF($U108=1,IFERROR(IF(VALUE($A108)&lt;100000000,VALUE($A108),1000000000),IFERROR(IF(VALUE(MID($A108,2,20))&lt;100000000,VALUE(MID($A108,2,20)),1000000000),1000000000))+ROW()/100000,"")</f>
        <v/>
      </c>
    </row>
    <row r="109">
      <c r="F109" s="7">
        <f>IF($A109="","",E109*N109/100)</f>
        <v/>
      </c>
      <c r="J109" s="7" t="n"/>
      <c r="K109" s="7">
        <f>IF($A109="","",S109*N109)</f>
        <v/>
      </c>
      <c r="L109" s="7">
        <f>IF($A109="","",N109-K109)</f>
        <v/>
      </c>
      <c r="M109" s="7">
        <f>IF($A109="","",L109-F109)</f>
        <v/>
      </c>
      <c r="N109" s="7" t="n"/>
      <c r="Q109" s="11" t="n"/>
      <c r="S109">
        <f>IF($A109="","",IF($W109=1,Settings!$C$6,Settings!$C$7)*1)</f>
        <v/>
      </c>
      <c r="U109">
        <f>IF($A109="","",IF(COUNTIF($A$2:$A109,$A109)=1,1,0))</f>
        <v/>
      </c>
      <c r="V109">
        <f>IF($U109=1,SUMPRODUCT(--($X$2:$X$3001&lt;$X109))+1,"")</f>
        <v/>
      </c>
      <c r="W109">
        <f>IF($A109="","",IF(OR($T109=TRUE(),$T109="TRUE"),1,0))</f>
        <v/>
      </c>
      <c r="X109">
        <f>IF($U109=1,IFERROR(IF(VALUE($A109)&lt;100000000,VALUE($A109),1000000000),IFERROR(IF(VALUE(MID($A109,2,20))&lt;100000000,VALUE(MID($A109,2,20)),1000000000),1000000000))+ROW()/100000,"")</f>
        <v/>
      </c>
    </row>
    <row r="110">
      <c r="F110" s="7">
        <f>IF($A110="","",E110*N110/100)</f>
        <v/>
      </c>
      <c r="J110" s="7" t="n"/>
      <c r="K110" s="7">
        <f>IF($A110="","",S110*N110)</f>
        <v/>
      </c>
      <c r="L110" s="7">
        <f>IF($A110="","",N110-K110)</f>
        <v/>
      </c>
      <c r="M110" s="7">
        <f>IF($A110="","",L110-F110)</f>
        <v/>
      </c>
      <c r="N110" s="7" t="n"/>
      <c r="Q110" s="11" t="n"/>
      <c r="S110">
        <f>IF($A110="","",IF($W110=1,Settings!$C$6,Settings!$C$7)*1)</f>
        <v/>
      </c>
      <c r="U110">
        <f>IF($A110="","",IF(COUNTIF($A$2:$A110,$A110)=1,1,0))</f>
        <v/>
      </c>
      <c r="V110">
        <f>IF($U110=1,SUMPRODUCT(--($X$2:$X$3001&lt;$X110))+1,"")</f>
        <v/>
      </c>
      <c r="W110">
        <f>IF($A110="","",IF(OR($T110=TRUE(),$T110="TRUE"),1,0))</f>
        <v/>
      </c>
      <c r="X110">
        <f>IF($U110=1,IFERROR(IF(VALUE($A110)&lt;100000000,VALUE($A110),1000000000),IFERROR(IF(VALUE(MID($A110,2,20))&lt;100000000,VALUE(MID($A110,2,20)),1000000000),1000000000))+ROW()/100000,"")</f>
        <v/>
      </c>
    </row>
    <row r="111">
      <c r="F111" s="7">
        <f>IF($A111="","",E111*N111/100)</f>
        <v/>
      </c>
      <c r="J111" s="7" t="n"/>
      <c r="K111" s="7">
        <f>IF($A111="","",S111*N111)</f>
        <v/>
      </c>
      <c r="L111" s="7">
        <f>IF($A111="","",N111-K111)</f>
        <v/>
      </c>
      <c r="M111" s="7">
        <f>IF($A111="","",L111-F111)</f>
        <v/>
      </c>
      <c r="N111" s="7" t="n"/>
      <c r="Q111" s="11" t="n"/>
      <c r="S111">
        <f>IF($A111="","",IF($W111=1,Settings!$C$6,Settings!$C$7)*1)</f>
        <v/>
      </c>
      <c r="U111">
        <f>IF($A111="","",IF(COUNTIF($A$2:$A111,$A111)=1,1,0))</f>
        <v/>
      </c>
      <c r="V111">
        <f>IF($U111=1,SUMPRODUCT(--($X$2:$X$3001&lt;$X111))+1,"")</f>
        <v/>
      </c>
      <c r="W111">
        <f>IF($A111="","",IF(OR($T111=TRUE(),$T111="TRUE"),1,0))</f>
        <v/>
      </c>
      <c r="X111">
        <f>IF($U111=1,IFERROR(IF(VALUE($A111)&lt;100000000,VALUE($A111),1000000000),IFERROR(IF(VALUE(MID($A111,2,20))&lt;100000000,VALUE(MID($A111,2,20)),1000000000),1000000000))+ROW()/100000,"")</f>
        <v/>
      </c>
    </row>
    <row r="112">
      <c r="F112" s="7">
        <f>IF($A112="","",E112*N112/100)</f>
        <v/>
      </c>
      <c r="J112" s="7" t="n"/>
      <c r="K112" s="7">
        <f>IF($A112="","",S112*N112)</f>
        <v/>
      </c>
      <c r="L112" s="7">
        <f>IF($A112="","",N112-K112)</f>
        <v/>
      </c>
      <c r="M112" s="7">
        <f>IF($A112="","",L112-F112)</f>
        <v/>
      </c>
      <c r="N112" s="7" t="n"/>
      <c r="Q112" s="11" t="n"/>
      <c r="S112">
        <f>IF($A112="","",IF($W112=1,Settings!$C$6,Settings!$C$7)*1)</f>
        <v/>
      </c>
      <c r="U112">
        <f>IF($A112="","",IF(COUNTIF($A$2:$A112,$A112)=1,1,0))</f>
        <v/>
      </c>
      <c r="V112">
        <f>IF($U112=1,SUMPRODUCT(--($X$2:$X$3001&lt;$X112))+1,"")</f>
        <v/>
      </c>
      <c r="W112">
        <f>IF($A112="","",IF(OR($T112=TRUE(),$T112="TRUE"),1,0))</f>
        <v/>
      </c>
      <c r="X112">
        <f>IF($U112=1,IFERROR(IF(VALUE($A112)&lt;100000000,VALUE($A112),1000000000),IFERROR(IF(VALUE(MID($A112,2,20))&lt;100000000,VALUE(MID($A112,2,20)),1000000000),1000000000))+ROW()/100000,"")</f>
        <v/>
      </c>
    </row>
    <row r="113">
      <c r="F113" s="7">
        <f>IF($A113="","",E113*N113/100)</f>
        <v/>
      </c>
      <c r="J113" s="7" t="n"/>
      <c r="K113" s="7">
        <f>IF($A113="","",S113*N113)</f>
        <v/>
      </c>
      <c r="L113" s="7">
        <f>IF($A113="","",N113-K113)</f>
        <v/>
      </c>
      <c r="M113" s="7">
        <f>IF($A113="","",L113-F113)</f>
        <v/>
      </c>
      <c r="N113" s="7" t="n"/>
      <c r="Q113" s="11" t="n"/>
      <c r="S113">
        <f>IF($A113="","",IF($W113=1,Settings!$C$6,Settings!$C$7)*1)</f>
        <v/>
      </c>
      <c r="U113">
        <f>IF($A113="","",IF(COUNTIF($A$2:$A113,$A113)=1,1,0))</f>
        <v/>
      </c>
      <c r="V113">
        <f>IF($U113=1,SUMPRODUCT(--($X$2:$X$3001&lt;$X113))+1,"")</f>
        <v/>
      </c>
      <c r="W113">
        <f>IF($A113="","",IF(OR($T113=TRUE(),$T113="TRUE"),1,0))</f>
        <v/>
      </c>
      <c r="X113">
        <f>IF($U113=1,IFERROR(IF(VALUE($A113)&lt;100000000,VALUE($A113),1000000000),IFERROR(IF(VALUE(MID($A113,2,20))&lt;100000000,VALUE(MID($A113,2,20)),1000000000),1000000000))+ROW()/100000,"")</f>
        <v/>
      </c>
    </row>
    <row r="114">
      <c r="F114" s="7">
        <f>IF($A114="","",E114*N114/100)</f>
        <v/>
      </c>
      <c r="J114" s="7" t="n"/>
      <c r="K114" s="7">
        <f>IF($A114="","",S114*N114)</f>
        <v/>
      </c>
      <c r="L114" s="7">
        <f>IF($A114="","",N114-K114)</f>
        <v/>
      </c>
      <c r="M114" s="7">
        <f>IF($A114="","",L114-F114)</f>
        <v/>
      </c>
      <c r="N114" s="7" t="n"/>
      <c r="Q114" s="11" t="n"/>
      <c r="S114">
        <f>IF($A114="","",IF($W114=1,Settings!$C$6,Settings!$C$7)*1)</f>
        <v/>
      </c>
      <c r="U114">
        <f>IF($A114="","",IF(COUNTIF($A$2:$A114,$A114)=1,1,0))</f>
        <v/>
      </c>
      <c r="V114">
        <f>IF($U114=1,SUMPRODUCT(--($X$2:$X$3001&lt;$X114))+1,"")</f>
        <v/>
      </c>
      <c r="W114">
        <f>IF($A114="","",IF(OR($T114=TRUE(),$T114="TRUE"),1,0))</f>
        <v/>
      </c>
      <c r="X114">
        <f>IF($U114=1,IFERROR(IF(VALUE($A114)&lt;100000000,VALUE($A114),1000000000),IFERROR(IF(VALUE(MID($A114,2,20))&lt;100000000,VALUE(MID($A114,2,20)),1000000000),1000000000))+ROW()/100000,"")</f>
        <v/>
      </c>
    </row>
    <row r="115">
      <c r="F115" s="7">
        <f>IF($A115="","",E115*N115/100)</f>
        <v/>
      </c>
      <c r="J115" s="7" t="n"/>
      <c r="K115" s="7">
        <f>IF($A115="","",S115*N115)</f>
        <v/>
      </c>
      <c r="L115" s="7">
        <f>IF($A115="","",N115-K115)</f>
        <v/>
      </c>
      <c r="M115" s="7">
        <f>IF($A115="","",L115-F115)</f>
        <v/>
      </c>
      <c r="N115" s="7" t="n"/>
      <c r="Q115" s="11" t="n"/>
      <c r="S115">
        <f>IF($A115="","",IF($W115=1,Settings!$C$6,Settings!$C$7)*1)</f>
        <v/>
      </c>
      <c r="U115">
        <f>IF($A115="","",IF(COUNTIF($A$2:$A115,$A115)=1,1,0))</f>
        <v/>
      </c>
      <c r="V115">
        <f>IF($U115=1,SUMPRODUCT(--($X$2:$X$3001&lt;$X115))+1,"")</f>
        <v/>
      </c>
      <c r="W115">
        <f>IF($A115="","",IF(OR($T115=TRUE(),$T115="TRUE"),1,0))</f>
        <v/>
      </c>
      <c r="X115">
        <f>IF($U115=1,IFERROR(IF(VALUE($A115)&lt;100000000,VALUE($A115),1000000000),IFERROR(IF(VALUE(MID($A115,2,20))&lt;100000000,VALUE(MID($A115,2,20)),1000000000),1000000000))+ROW()/100000,"")</f>
        <v/>
      </c>
    </row>
    <row r="116">
      <c r="F116" s="7">
        <f>IF($A116="","",E116*N116/100)</f>
        <v/>
      </c>
      <c r="J116" s="7" t="n"/>
      <c r="K116" s="7">
        <f>IF($A116="","",S116*N116)</f>
        <v/>
      </c>
      <c r="L116" s="7">
        <f>IF($A116="","",N116-K116)</f>
        <v/>
      </c>
      <c r="M116" s="7">
        <f>IF($A116="","",L116-F116)</f>
        <v/>
      </c>
      <c r="N116" s="7" t="n"/>
      <c r="Q116" s="11" t="n"/>
      <c r="S116">
        <f>IF($A116="","",IF($W116=1,Settings!$C$6,Settings!$C$7)*1)</f>
        <v/>
      </c>
      <c r="U116">
        <f>IF($A116="","",IF(COUNTIF($A$2:$A116,$A116)=1,1,0))</f>
        <v/>
      </c>
      <c r="V116">
        <f>IF($U116=1,SUMPRODUCT(--($X$2:$X$3001&lt;$X116))+1,"")</f>
        <v/>
      </c>
      <c r="W116">
        <f>IF($A116="","",IF(OR($T116=TRUE(),$T116="TRUE"),1,0))</f>
        <v/>
      </c>
      <c r="X116">
        <f>IF($U116=1,IFERROR(IF(VALUE($A116)&lt;100000000,VALUE($A116),1000000000),IFERROR(IF(VALUE(MID($A116,2,20))&lt;100000000,VALUE(MID($A116,2,20)),1000000000),1000000000))+ROW()/100000,"")</f>
        <v/>
      </c>
    </row>
    <row r="117">
      <c r="F117" s="7">
        <f>IF($A117="","",E117*N117/100)</f>
        <v/>
      </c>
      <c r="J117" s="7" t="n"/>
      <c r="K117" s="7">
        <f>IF($A117="","",S117*N117)</f>
        <v/>
      </c>
      <c r="L117" s="7">
        <f>IF($A117="","",N117-K117)</f>
        <v/>
      </c>
      <c r="M117" s="7">
        <f>IF($A117="","",L117-F117)</f>
        <v/>
      </c>
      <c r="N117" s="7" t="n"/>
      <c r="Q117" s="11" t="n"/>
      <c r="S117">
        <f>IF($A117="","",IF($W117=1,Settings!$C$6,Settings!$C$7)*1)</f>
        <v/>
      </c>
      <c r="U117">
        <f>IF($A117="","",IF(COUNTIF($A$2:$A117,$A117)=1,1,0))</f>
        <v/>
      </c>
      <c r="V117">
        <f>IF($U117=1,SUMPRODUCT(--($X$2:$X$3001&lt;$X117))+1,"")</f>
        <v/>
      </c>
      <c r="W117">
        <f>IF($A117="","",IF(OR($T117=TRUE(),$T117="TRUE"),1,0))</f>
        <v/>
      </c>
      <c r="X117">
        <f>IF($U117=1,IFERROR(IF(VALUE($A117)&lt;100000000,VALUE($A117),1000000000),IFERROR(IF(VALUE(MID($A117,2,20))&lt;100000000,VALUE(MID($A117,2,20)),1000000000),1000000000))+ROW()/100000,"")</f>
        <v/>
      </c>
    </row>
    <row r="118">
      <c r="F118" s="7">
        <f>IF($A118="","",E118*N118/100)</f>
        <v/>
      </c>
      <c r="J118" s="7" t="n"/>
      <c r="K118" s="7">
        <f>IF($A118="","",S118*N118)</f>
        <v/>
      </c>
      <c r="L118" s="7">
        <f>IF($A118="","",N118-K118)</f>
        <v/>
      </c>
      <c r="M118" s="7">
        <f>IF($A118="","",L118-F118)</f>
        <v/>
      </c>
      <c r="N118" s="7" t="n"/>
      <c r="Q118" s="11" t="n"/>
      <c r="S118">
        <f>IF($A118="","",IF($W118=1,Settings!$C$6,Settings!$C$7)*1)</f>
        <v/>
      </c>
      <c r="U118">
        <f>IF($A118="","",IF(COUNTIF($A$2:$A118,$A118)=1,1,0))</f>
        <v/>
      </c>
      <c r="V118">
        <f>IF($U118=1,SUMPRODUCT(--($X$2:$X$3001&lt;$X118))+1,"")</f>
        <v/>
      </c>
      <c r="W118">
        <f>IF($A118="","",IF(OR($T118=TRUE(),$T118="TRUE"),1,0))</f>
        <v/>
      </c>
      <c r="X118">
        <f>IF($U118=1,IFERROR(IF(VALUE($A118)&lt;100000000,VALUE($A118),1000000000),IFERROR(IF(VALUE(MID($A118,2,20))&lt;100000000,VALUE(MID($A118,2,20)),1000000000),1000000000))+ROW()/100000,"")</f>
        <v/>
      </c>
    </row>
    <row r="119">
      <c r="F119" s="7">
        <f>IF($A119="","",E119*N119/100)</f>
        <v/>
      </c>
      <c r="J119" s="7" t="n"/>
      <c r="K119" s="7">
        <f>IF($A119="","",S119*N119)</f>
        <v/>
      </c>
      <c r="L119" s="7">
        <f>IF($A119="","",N119-K119)</f>
        <v/>
      </c>
      <c r="M119" s="7">
        <f>IF($A119="","",L119-F119)</f>
        <v/>
      </c>
      <c r="N119" s="7" t="n"/>
      <c r="Q119" s="11" t="n"/>
      <c r="S119">
        <f>IF($A119="","",IF($W119=1,Settings!$C$6,Settings!$C$7)*1)</f>
        <v/>
      </c>
      <c r="U119">
        <f>IF($A119="","",IF(COUNTIF($A$2:$A119,$A119)=1,1,0))</f>
        <v/>
      </c>
      <c r="V119">
        <f>IF($U119=1,SUMPRODUCT(--($X$2:$X$3001&lt;$X119))+1,"")</f>
        <v/>
      </c>
      <c r="W119">
        <f>IF($A119="","",IF(OR($T119=TRUE(),$T119="TRUE"),1,0))</f>
        <v/>
      </c>
      <c r="X119">
        <f>IF($U119=1,IFERROR(IF(VALUE($A119)&lt;100000000,VALUE($A119),1000000000),IFERROR(IF(VALUE(MID($A119,2,20))&lt;100000000,VALUE(MID($A119,2,20)),1000000000),1000000000))+ROW()/100000,"")</f>
        <v/>
      </c>
    </row>
    <row r="120">
      <c r="F120" s="7">
        <f>IF($A120="","",E120*N120/100)</f>
        <v/>
      </c>
      <c r="J120" s="7" t="n"/>
      <c r="K120" s="7">
        <f>IF($A120="","",S120*N120)</f>
        <v/>
      </c>
      <c r="L120" s="7">
        <f>IF($A120="","",N120-K120)</f>
        <v/>
      </c>
      <c r="M120" s="7">
        <f>IF($A120="","",L120-F120)</f>
        <v/>
      </c>
      <c r="N120" s="7" t="n"/>
      <c r="Q120" s="11" t="n"/>
      <c r="S120">
        <f>IF($A120="","",IF($W120=1,Settings!$C$6,Settings!$C$7)*1)</f>
        <v/>
      </c>
      <c r="U120">
        <f>IF($A120="","",IF(COUNTIF($A$2:$A120,$A120)=1,1,0))</f>
        <v/>
      </c>
      <c r="V120">
        <f>IF($U120=1,SUMPRODUCT(--($X$2:$X$3001&lt;$X120))+1,"")</f>
        <v/>
      </c>
      <c r="W120">
        <f>IF($A120="","",IF(OR($T120=TRUE(),$T120="TRUE"),1,0))</f>
        <v/>
      </c>
      <c r="X120">
        <f>IF($U120=1,IFERROR(IF(VALUE($A120)&lt;100000000,VALUE($A120),1000000000),IFERROR(IF(VALUE(MID($A120,2,20))&lt;100000000,VALUE(MID($A120,2,20)),1000000000),1000000000))+ROW()/100000,"")</f>
        <v/>
      </c>
    </row>
    <row r="121">
      <c r="F121" s="7">
        <f>IF($A121="","",E121*N121/100)</f>
        <v/>
      </c>
      <c r="J121" s="7" t="n"/>
      <c r="K121" s="7">
        <f>IF($A121="","",S121*N121)</f>
        <v/>
      </c>
      <c r="L121" s="7">
        <f>IF($A121="","",N121-K121)</f>
        <v/>
      </c>
      <c r="M121" s="7">
        <f>IF($A121="","",L121-F121)</f>
        <v/>
      </c>
      <c r="N121" s="7" t="n"/>
      <c r="Q121" s="11" t="n"/>
      <c r="S121">
        <f>IF($A121="","",IF($W121=1,Settings!$C$6,Settings!$C$7)*1)</f>
        <v/>
      </c>
      <c r="U121">
        <f>IF($A121="","",IF(COUNTIF($A$2:$A121,$A121)=1,1,0))</f>
        <v/>
      </c>
      <c r="V121">
        <f>IF($U121=1,SUMPRODUCT(--($X$2:$X$3001&lt;$X121))+1,"")</f>
        <v/>
      </c>
      <c r="W121">
        <f>IF($A121="","",IF(OR($T121=TRUE(),$T121="TRUE"),1,0))</f>
        <v/>
      </c>
      <c r="X121">
        <f>IF($U121=1,IFERROR(IF(VALUE($A121)&lt;100000000,VALUE($A121),1000000000),IFERROR(IF(VALUE(MID($A121,2,20))&lt;100000000,VALUE(MID($A121,2,20)),1000000000),1000000000))+ROW()/100000,"")</f>
        <v/>
      </c>
    </row>
    <row r="122">
      <c r="F122" s="7">
        <f>IF($A122="","",E122*N122/100)</f>
        <v/>
      </c>
      <c r="J122" s="7" t="n"/>
      <c r="K122" s="7">
        <f>IF($A122="","",S122*N122)</f>
        <v/>
      </c>
      <c r="L122" s="7">
        <f>IF($A122="","",N122-K122)</f>
        <v/>
      </c>
      <c r="M122" s="7">
        <f>IF($A122="","",L122-F122)</f>
        <v/>
      </c>
      <c r="N122" s="7" t="n"/>
      <c r="Q122" s="11" t="n"/>
      <c r="S122">
        <f>IF($A122="","",IF($W122=1,Settings!$C$6,Settings!$C$7)*1)</f>
        <v/>
      </c>
      <c r="U122">
        <f>IF($A122="","",IF(COUNTIF($A$2:$A122,$A122)=1,1,0))</f>
        <v/>
      </c>
      <c r="V122">
        <f>IF($U122=1,SUMPRODUCT(--($X$2:$X$3001&lt;$X122))+1,"")</f>
        <v/>
      </c>
      <c r="W122">
        <f>IF($A122="","",IF(OR($T122=TRUE(),$T122="TRUE"),1,0))</f>
        <v/>
      </c>
      <c r="X122">
        <f>IF($U122=1,IFERROR(IF(VALUE($A122)&lt;100000000,VALUE($A122),1000000000),IFERROR(IF(VALUE(MID($A122,2,20))&lt;100000000,VALUE(MID($A122,2,20)),1000000000),1000000000))+ROW()/100000,"")</f>
        <v/>
      </c>
    </row>
    <row r="123">
      <c r="F123" s="7">
        <f>IF($A123="","",E123*N123/100)</f>
        <v/>
      </c>
      <c r="J123" s="7" t="n"/>
      <c r="K123" s="7">
        <f>IF($A123="","",S123*N123)</f>
        <v/>
      </c>
      <c r="L123" s="7">
        <f>IF($A123="","",N123-K123)</f>
        <v/>
      </c>
      <c r="M123" s="7">
        <f>IF($A123="","",L123-F123)</f>
        <v/>
      </c>
      <c r="N123" s="7" t="n"/>
      <c r="Q123" s="11" t="n"/>
      <c r="S123">
        <f>IF($A123="","",IF($W123=1,Settings!$C$6,Settings!$C$7)*1)</f>
        <v/>
      </c>
      <c r="U123">
        <f>IF($A123="","",IF(COUNTIF($A$2:$A123,$A123)=1,1,0))</f>
        <v/>
      </c>
      <c r="V123">
        <f>IF($U123=1,SUMPRODUCT(--($X$2:$X$3001&lt;$X123))+1,"")</f>
        <v/>
      </c>
      <c r="W123">
        <f>IF($A123="","",IF(OR($T123=TRUE(),$T123="TRUE"),1,0))</f>
        <v/>
      </c>
      <c r="X123">
        <f>IF($U123=1,IFERROR(IF(VALUE($A123)&lt;100000000,VALUE($A123),1000000000),IFERROR(IF(VALUE(MID($A123,2,20))&lt;100000000,VALUE(MID($A123,2,20)),1000000000),1000000000))+ROW()/100000,"")</f>
        <v/>
      </c>
    </row>
    <row r="124">
      <c r="F124" s="7">
        <f>IF($A124="","",E124*N124/100)</f>
        <v/>
      </c>
      <c r="J124" s="7" t="n"/>
      <c r="K124" s="7">
        <f>IF($A124="","",S124*N124)</f>
        <v/>
      </c>
      <c r="L124" s="7">
        <f>IF($A124="","",N124-K124)</f>
        <v/>
      </c>
      <c r="M124" s="7">
        <f>IF($A124="","",L124-F124)</f>
        <v/>
      </c>
      <c r="N124" s="7" t="n"/>
      <c r="Q124" s="11" t="n"/>
      <c r="S124">
        <f>IF($A124="","",IF($W124=1,Settings!$C$6,Settings!$C$7)*1)</f>
        <v/>
      </c>
      <c r="U124">
        <f>IF($A124="","",IF(COUNTIF($A$2:$A124,$A124)=1,1,0))</f>
        <v/>
      </c>
      <c r="V124">
        <f>IF($U124=1,SUMPRODUCT(--($X$2:$X$3001&lt;$X124))+1,"")</f>
        <v/>
      </c>
      <c r="W124">
        <f>IF($A124="","",IF(OR($T124=TRUE(),$T124="TRUE"),1,0))</f>
        <v/>
      </c>
      <c r="X124">
        <f>IF($U124=1,IFERROR(IF(VALUE($A124)&lt;100000000,VALUE($A124),1000000000),IFERROR(IF(VALUE(MID($A124,2,20))&lt;100000000,VALUE(MID($A124,2,20)),1000000000),1000000000))+ROW()/100000,"")</f>
        <v/>
      </c>
    </row>
    <row r="125">
      <c r="F125" s="7">
        <f>IF($A125="","",E125*N125/100)</f>
        <v/>
      </c>
      <c r="J125" s="7" t="n"/>
      <c r="K125" s="7">
        <f>IF($A125="","",S125*N125)</f>
        <v/>
      </c>
      <c r="L125" s="7">
        <f>IF($A125="","",N125-K125)</f>
        <v/>
      </c>
      <c r="M125" s="7">
        <f>IF($A125="","",L125-F125)</f>
        <v/>
      </c>
      <c r="N125" s="7" t="n"/>
      <c r="Q125" s="11" t="n"/>
      <c r="S125">
        <f>IF($A125="","",IF($W125=1,Settings!$C$6,Settings!$C$7)*1)</f>
        <v/>
      </c>
      <c r="U125">
        <f>IF($A125="","",IF(COUNTIF($A$2:$A125,$A125)=1,1,0))</f>
        <v/>
      </c>
      <c r="V125">
        <f>IF($U125=1,SUMPRODUCT(--($X$2:$X$3001&lt;$X125))+1,"")</f>
        <v/>
      </c>
      <c r="W125">
        <f>IF($A125="","",IF(OR($T125=TRUE(),$T125="TRUE"),1,0))</f>
        <v/>
      </c>
      <c r="X125">
        <f>IF($U125=1,IFERROR(IF(VALUE($A125)&lt;100000000,VALUE($A125),1000000000),IFERROR(IF(VALUE(MID($A125,2,20))&lt;100000000,VALUE(MID($A125,2,20)),1000000000),1000000000))+ROW()/100000,"")</f>
        <v/>
      </c>
    </row>
    <row r="126">
      <c r="F126" s="7">
        <f>IF($A126="","",E126*N126/100)</f>
        <v/>
      </c>
      <c r="J126" s="7" t="n"/>
      <c r="K126" s="7">
        <f>IF($A126="","",S126*N126)</f>
        <v/>
      </c>
      <c r="L126" s="7">
        <f>IF($A126="","",N126-K126)</f>
        <v/>
      </c>
      <c r="M126" s="7">
        <f>IF($A126="","",L126-F126)</f>
        <v/>
      </c>
      <c r="N126" s="7" t="n"/>
      <c r="Q126" s="11" t="n"/>
      <c r="S126">
        <f>IF($A126="","",IF($W126=1,Settings!$C$6,Settings!$C$7)*1)</f>
        <v/>
      </c>
      <c r="U126">
        <f>IF($A126="","",IF(COUNTIF($A$2:$A126,$A126)=1,1,0))</f>
        <v/>
      </c>
      <c r="V126">
        <f>IF($U126=1,SUMPRODUCT(--($X$2:$X$3001&lt;$X126))+1,"")</f>
        <v/>
      </c>
      <c r="W126">
        <f>IF($A126="","",IF(OR($T126=TRUE(),$T126="TRUE"),1,0))</f>
        <v/>
      </c>
      <c r="X126">
        <f>IF($U126=1,IFERROR(IF(VALUE($A126)&lt;100000000,VALUE($A126),1000000000),IFERROR(IF(VALUE(MID($A126,2,20))&lt;100000000,VALUE(MID($A126,2,20)),1000000000),1000000000))+ROW()/100000,"")</f>
        <v/>
      </c>
    </row>
    <row r="127">
      <c r="F127" s="7">
        <f>IF($A127="","",E127*N127/100)</f>
        <v/>
      </c>
      <c r="J127" s="7" t="n"/>
      <c r="K127" s="7">
        <f>IF($A127="","",S127*N127)</f>
        <v/>
      </c>
      <c r="L127" s="7">
        <f>IF($A127="","",N127-K127)</f>
        <v/>
      </c>
      <c r="M127" s="7">
        <f>IF($A127="","",L127-F127)</f>
        <v/>
      </c>
      <c r="N127" s="7" t="n"/>
      <c r="Q127" s="11" t="n"/>
      <c r="S127">
        <f>IF($A127="","",IF($W127=1,Settings!$C$6,Settings!$C$7)*1)</f>
        <v/>
      </c>
      <c r="U127">
        <f>IF($A127="","",IF(COUNTIF($A$2:$A127,$A127)=1,1,0))</f>
        <v/>
      </c>
      <c r="V127">
        <f>IF($U127=1,SUMPRODUCT(--($X$2:$X$3001&lt;$X127))+1,"")</f>
        <v/>
      </c>
      <c r="W127">
        <f>IF($A127="","",IF(OR($T127=TRUE(),$T127="TRUE"),1,0))</f>
        <v/>
      </c>
      <c r="X127">
        <f>IF($U127=1,IFERROR(IF(VALUE($A127)&lt;100000000,VALUE($A127),1000000000),IFERROR(IF(VALUE(MID($A127,2,20))&lt;100000000,VALUE(MID($A127,2,20)),1000000000),1000000000))+ROW()/100000,"")</f>
        <v/>
      </c>
    </row>
    <row r="128">
      <c r="F128" s="7">
        <f>IF($A128="","",E128*N128/100)</f>
        <v/>
      </c>
      <c r="J128" s="7" t="n"/>
      <c r="K128" s="7">
        <f>IF($A128="","",S128*N128)</f>
        <v/>
      </c>
      <c r="L128" s="7">
        <f>IF($A128="","",N128-K128)</f>
        <v/>
      </c>
      <c r="M128" s="7">
        <f>IF($A128="","",L128-F128)</f>
        <v/>
      </c>
      <c r="N128" s="7" t="n"/>
      <c r="Q128" s="11" t="n"/>
      <c r="S128">
        <f>IF($A128="","",IF($W128=1,Settings!$C$6,Settings!$C$7)*1)</f>
        <v/>
      </c>
      <c r="U128">
        <f>IF($A128="","",IF(COUNTIF($A$2:$A128,$A128)=1,1,0))</f>
        <v/>
      </c>
      <c r="V128">
        <f>IF($U128=1,SUMPRODUCT(--($X$2:$X$3001&lt;$X128))+1,"")</f>
        <v/>
      </c>
      <c r="W128">
        <f>IF($A128="","",IF(OR($T128=TRUE(),$T128="TRUE"),1,0))</f>
        <v/>
      </c>
      <c r="X128">
        <f>IF($U128=1,IFERROR(IF(VALUE($A128)&lt;100000000,VALUE($A128),1000000000),IFERROR(IF(VALUE(MID($A128,2,20))&lt;100000000,VALUE(MID($A128,2,20)),1000000000),1000000000))+ROW()/100000,"")</f>
        <v/>
      </c>
    </row>
    <row r="129">
      <c r="F129" s="7">
        <f>IF($A129="","",E129*N129/100)</f>
        <v/>
      </c>
      <c r="J129" s="7" t="n"/>
      <c r="K129" s="7">
        <f>IF($A129="","",S129*N129)</f>
        <v/>
      </c>
      <c r="L129" s="7">
        <f>IF($A129="","",N129-K129)</f>
        <v/>
      </c>
      <c r="M129" s="7">
        <f>IF($A129="","",L129-F129)</f>
        <v/>
      </c>
      <c r="N129" s="7" t="n"/>
      <c r="Q129" s="11" t="n"/>
      <c r="S129">
        <f>IF($A129="","",IF($W129=1,Settings!$C$6,Settings!$C$7)*1)</f>
        <v/>
      </c>
      <c r="U129">
        <f>IF($A129="","",IF(COUNTIF($A$2:$A129,$A129)=1,1,0))</f>
        <v/>
      </c>
      <c r="V129">
        <f>IF($U129=1,SUMPRODUCT(--($X$2:$X$3001&lt;$X129))+1,"")</f>
        <v/>
      </c>
      <c r="W129">
        <f>IF($A129="","",IF(OR($T129=TRUE(),$T129="TRUE"),1,0))</f>
        <v/>
      </c>
      <c r="X129">
        <f>IF($U129=1,IFERROR(IF(VALUE($A129)&lt;100000000,VALUE($A129),1000000000),IFERROR(IF(VALUE(MID($A129,2,20))&lt;100000000,VALUE(MID($A129,2,20)),1000000000),1000000000))+ROW()/100000,"")</f>
        <v/>
      </c>
    </row>
    <row r="130">
      <c r="F130" s="7">
        <f>IF($A130="","",E130*N130/100)</f>
        <v/>
      </c>
      <c r="J130" s="7" t="n"/>
      <c r="K130" s="7">
        <f>IF($A130="","",S130*N130)</f>
        <v/>
      </c>
      <c r="L130" s="7">
        <f>IF($A130="","",N130-K130)</f>
        <v/>
      </c>
      <c r="M130" s="7">
        <f>IF($A130="","",L130-F130)</f>
        <v/>
      </c>
      <c r="N130" s="7" t="n"/>
      <c r="Q130" s="11" t="n"/>
      <c r="S130">
        <f>IF($A130="","",IF($W130=1,Settings!$C$6,Settings!$C$7)*1)</f>
        <v/>
      </c>
      <c r="U130">
        <f>IF($A130="","",IF(COUNTIF($A$2:$A130,$A130)=1,1,0))</f>
        <v/>
      </c>
      <c r="V130">
        <f>IF($U130=1,SUMPRODUCT(--($X$2:$X$3001&lt;$X130))+1,"")</f>
        <v/>
      </c>
      <c r="W130">
        <f>IF($A130="","",IF(OR($T130=TRUE(),$T130="TRUE"),1,0))</f>
        <v/>
      </c>
      <c r="X130">
        <f>IF($U130=1,IFERROR(IF(VALUE($A130)&lt;100000000,VALUE($A130),1000000000),IFERROR(IF(VALUE(MID($A130,2,20))&lt;100000000,VALUE(MID($A130,2,20)),1000000000),1000000000))+ROW()/100000,"")</f>
        <v/>
      </c>
    </row>
    <row r="131">
      <c r="F131" s="7">
        <f>IF($A131="","",E131*N131/100)</f>
        <v/>
      </c>
      <c r="J131" s="7" t="n"/>
      <c r="K131" s="7">
        <f>IF($A131="","",S131*N131)</f>
        <v/>
      </c>
      <c r="L131" s="7">
        <f>IF($A131="","",N131-K131)</f>
        <v/>
      </c>
      <c r="M131" s="7">
        <f>IF($A131="","",L131-F131)</f>
        <v/>
      </c>
      <c r="N131" s="7" t="n"/>
      <c r="Q131" s="11" t="n"/>
      <c r="S131">
        <f>IF($A131="","",IF($W131=1,Settings!$C$6,Settings!$C$7)*1)</f>
        <v/>
      </c>
      <c r="U131">
        <f>IF($A131="","",IF(COUNTIF($A$2:$A131,$A131)=1,1,0))</f>
        <v/>
      </c>
      <c r="V131">
        <f>IF($U131=1,SUMPRODUCT(--($X$2:$X$3001&lt;$X131))+1,"")</f>
        <v/>
      </c>
      <c r="W131">
        <f>IF($A131="","",IF(OR($T131=TRUE(),$T131="TRUE"),1,0))</f>
        <v/>
      </c>
      <c r="X131">
        <f>IF($U131=1,IFERROR(IF(VALUE($A131)&lt;100000000,VALUE($A131),1000000000),IFERROR(IF(VALUE(MID($A131,2,20))&lt;100000000,VALUE(MID($A131,2,20)),1000000000),1000000000))+ROW()/100000,"")</f>
        <v/>
      </c>
    </row>
    <row r="132">
      <c r="F132" s="7">
        <f>IF($A132="","",E132*N132/100)</f>
        <v/>
      </c>
      <c r="J132" s="7" t="n"/>
      <c r="K132" s="7">
        <f>IF($A132="","",S132*N132)</f>
        <v/>
      </c>
      <c r="L132" s="7">
        <f>IF($A132="","",N132-K132)</f>
        <v/>
      </c>
      <c r="M132" s="7">
        <f>IF($A132="","",L132-F132)</f>
        <v/>
      </c>
      <c r="N132" s="7" t="n"/>
      <c r="Q132" s="11" t="n"/>
      <c r="S132">
        <f>IF($A132="","",IF($W132=1,Settings!$C$6,Settings!$C$7)*1)</f>
        <v/>
      </c>
      <c r="U132">
        <f>IF($A132="","",IF(COUNTIF($A$2:$A132,$A132)=1,1,0))</f>
        <v/>
      </c>
      <c r="V132">
        <f>IF($U132=1,SUMPRODUCT(--($X$2:$X$3001&lt;$X132))+1,"")</f>
        <v/>
      </c>
      <c r="W132">
        <f>IF($A132="","",IF(OR($T132=TRUE(),$T132="TRUE"),1,0))</f>
        <v/>
      </c>
      <c r="X132">
        <f>IF($U132=1,IFERROR(IF(VALUE($A132)&lt;100000000,VALUE($A132),1000000000),IFERROR(IF(VALUE(MID($A132,2,20))&lt;100000000,VALUE(MID($A132,2,20)),1000000000),1000000000))+ROW()/100000,"")</f>
        <v/>
      </c>
    </row>
    <row r="133">
      <c r="F133" s="7">
        <f>IF($A133="","",E133*N133/100)</f>
        <v/>
      </c>
      <c r="J133" s="7" t="n"/>
      <c r="K133" s="7">
        <f>IF($A133="","",S133*N133)</f>
        <v/>
      </c>
      <c r="L133" s="7">
        <f>IF($A133="","",N133-K133)</f>
        <v/>
      </c>
      <c r="M133" s="7">
        <f>IF($A133="","",L133-F133)</f>
        <v/>
      </c>
      <c r="N133" s="7" t="n"/>
      <c r="Q133" s="11" t="n"/>
      <c r="S133">
        <f>IF($A133="","",IF($W133=1,Settings!$C$6,Settings!$C$7)*1)</f>
        <v/>
      </c>
      <c r="U133">
        <f>IF($A133="","",IF(COUNTIF($A$2:$A133,$A133)=1,1,0))</f>
        <v/>
      </c>
      <c r="V133">
        <f>IF($U133=1,SUMPRODUCT(--($X$2:$X$3001&lt;$X133))+1,"")</f>
        <v/>
      </c>
      <c r="W133">
        <f>IF($A133="","",IF(OR($T133=TRUE(),$T133="TRUE"),1,0))</f>
        <v/>
      </c>
      <c r="X133">
        <f>IF($U133=1,IFERROR(IF(VALUE($A133)&lt;100000000,VALUE($A133),1000000000),IFERROR(IF(VALUE(MID($A133,2,20))&lt;100000000,VALUE(MID($A133,2,20)),1000000000),1000000000))+ROW()/100000,"")</f>
        <v/>
      </c>
    </row>
    <row r="134">
      <c r="F134" s="7">
        <f>IF($A134="","",E134*N134/100)</f>
        <v/>
      </c>
      <c r="J134" s="7" t="n"/>
      <c r="K134" s="7">
        <f>IF($A134="","",S134*N134)</f>
        <v/>
      </c>
      <c r="L134" s="7">
        <f>IF($A134="","",N134-K134)</f>
        <v/>
      </c>
      <c r="M134" s="7">
        <f>IF($A134="","",L134-F134)</f>
        <v/>
      </c>
      <c r="N134" s="7" t="n"/>
      <c r="Q134" s="11" t="n"/>
      <c r="S134">
        <f>IF($A134="","",IF($W134=1,Settings!$C$6,Settings!$C$7)*1)</f>
        <v/>
      </c>
      <c r="U134">
        <f>IF($A134="","",IF(COUNTIF($A$2:$A134,$A134)=1,1,0))</f>
        <v/>
      </c>
      <c r="V134">
        <f>IF($U134=1,SUMPRODUCT(--($X$2:$X$3001&lt;$X134))+1,"")</f>
        <v/>
      </c>
      <c r="W134">
        <f>IF($A134="","",IF(OR($T134=TRUE(),$T134="TRUE"),1,0))</f>
        <v/>
      </c>
      <c r="X134">
        <f>IF($U134=1,IFERROR(IF(VALUE($A134)&lt;100000000,VALUE($A134),1000000000),IFERROR(IF(VALUE(MID($A134,2,20))&lt;100000000,VALUE(MID($A134,2,20)),1000000000),1000000000))+ROW()/100000,"")</f>
        <v/>
      </c>
    </row>
    <row r="135">
      <c r="F135" s="7">
        <f>IF($A135="","",E135*N135/100)</f>
        <v/>
      </c>
      <c r="J135" s="7" t="n"/>
      <c r="K135" s="7">
        <f>IF($A135="","",S135*N135)</f>
        <v/>
      </c>
      <c r="L135" s="7">
        <f>IF($A135="","",N135-K135)</f>
        <v/>
      </c>
      <c r="M135" s="7">
        <f>IF($A135="","",L135-F135)</f>
        <v/>
      </c>
      <c r="N135" s="7" t="n"/>
      <c r="Q135" s="11" t="n"/>
      <c r="S135">
        <f>IF($A135="","",IF($W135=1,Settings!$C$6,Settings!$C$7)*1)</f>
        <v/>
      </c>
      <c r="U135">
        <f>IF($A135="","",IF(COUNTIF($A$2:$A135,$A135)=1,1,0))</f>
        <v/>
      </c>
      <c r="V135">
        <f>IF($U135=1,SUMPRODUCT(--($X$2:$X$3001&lt;$X135))+1,"")</f>
        <v/>
      </c>
      <c r="W135">
        <f>IF($A135="","",IF(OR($T135=TRUE(),$T135="TRUE"),1,0))</f>
        <v/>
      </c>
      <c r="X135">
        <f>IF($U135=1,IFERROR(IF(VALUE($A135)&lt;100000000,VALUE($A135),1000000000),IFERROR(IF(VALUE(MID($A135,2,20))&lt;100000000,VALUE(MID($A135,2,20)),1000000000),1000000000))+ROW()/100000,"")</f>
        <v/>
      </c>
    </row>
    <row r="136">
      <c r="F136" s="7">
        <f>IF($A136="","",E136*N136/100)</f>
        <v/>
      </c>
      <c r="J136" s="7" t="n"/>
      <c r="K136" s="7">
        <f>IF($A136="","",S136*N136)</f>
        <v/>
      </c>
      <c r="L136" s="7">
        <f>IF($A136="","",N136-K136)</f>
        <v/>
      </c>
      <c r="M136" s="7">
        <f>IF($A136="","",L136-F136)</f>
        <v/>
      </c>
      <c r="N136" s="7" t="n"/>
      <c r="Q136" s="11" t="n"/>
      <c r="S136">
        <f>IF($A136="","",IF($W136=1,Settings!$C$6,Settings!$C$7)*1)</f>
        <v/>
      </c>
      <c r="U136">
        <f>IF($A136="","",IF(COUNTIF($A$2:$A136,$A136)=1,1,0))</f>
        <v/>
      </c>
      <c r="V136">
        <f>IF($U136=1,SUMPRODUCT(--($X$2:$X$3001&lt;$X136))+1,"")</f>
        <v/>
      </c>
      <c r="W136">
        <f>IF($A136="","",IF(OR($T136=TRUE(),$T136="TRUE"),1,0))</f>
        <v/>
      </c>
      <c r="X136">
        <f>IF($U136=1,IFERROR(IF(VALUE($A136)&lt;100000000,VALUE($A136),1000000000),IFERROR(IF(VALUE(MID($A136,2,20))&lt;100000000,VALUE(MID($A136,2,20)),1000000000),1000000000))+ROW()/100000,"")</f>
        <v/>
      </c>
    </row>
    <row r="137">
      <c r="F137" s="7">
        <f>IF($A137="","",E137*N137/100)</f>
        <v/>
      </c>
      <c r="J137" s="7" t="n"/>
      <c r="K137" s="7">
        <f>IF($A137="","",S137*N137)</f>
        <v/>
      </c>
      <c r="L137" s="7">
        <f>IF($A137="","",N137-K137)</f>
        <v/>
      </c>
      <c r="M137" s="7">
        <f>IF($A137="","",L137-F137)</f>
        <v/>
      </c>
      <c r="N137" s="7" t="n"/>
      <c r="Q137" s="11" t="n"/>
      <c r="S137">
        <f>IF($A137="","",IF($W137=1,Settings!$C$6,Settings!$C$7)*1)</f>
        <v/>
      </c>
      <c r="U137">
        <f>IF($A137="","",IF(COUNTIF($A$2:$A137,$A137)=1,1,0))</f>
        <v/>
      </c>
      <c r="V137">
        <f>IF($U137=1,SUMPRODUCT(--($X$2:$X$3001&lt;$X137))+1,"")</f>
        <v/>
      </c>
      <c r="W137">
        <f>IF($A137="","",IF(OR($T137=TRUE(),$T137="TRUE"),1,0))</f>
        <v/>
      </c>
      <c r="X137">
        <f>IF($U137=1,IFERROR(IF(VALUE($A137)&lt;100000000,VALUE($A137),1000000000),IFERROR(IF(VALUE(MID($A137,2,20))&lt;100000000,VALUE(MID($A137,2,20)),1000000000),1000000000))+ROW()/100000,"")</f>
        <v/>
      </c>
    </row>
    <row r="138">
      <c r="F138" s="7">
        <f>IF($A138="","",E138*N138/100)</f>
        <v/>
      </c>
      <c r="J138" s="7" t="n"/>
      <c r="K138" s="7">
        <f>IF($A138="","",S138*N138)</f>
        <v/>
      </c>
      <c r="L138" s="7">
        <f>IF($A138="","",N138-K138)</f>
        <v/>
      </c>
      <c r="M138" s="7">
        <f>IF($A138="","",L138-F138)</f>
        <v/>
      </c>
      <c r="N138" s="7" t="n"/>
      <c r="Q138" s="11" t="n"/>
      <c r="S138">
        <f>IF($A138="","",IF($W138=1,Settings!$C$6,Settings!$C$7)*1)</f>
        <v/>
      </c>
      <c r="U138">
        <f>IF($A138="","",IF(COUNTIF($A$2:$A138,$A138)=1,1,0))</f>
        <v/>
      </c>
      <c r="V138">
        <f>IF($U138=1,SUMPRODUCT(--($X$2:$X$3001&lt;$X138))+1,"")</f>
        <v/>
      </c>
      <c r="W138">
        <f>IF($A138="","",IF(OR($T138=TRUE(),$T138="TRUE"),1,0))</f>
        <v/>
      </c>
      <c r="X138">
        <f>IF($U138=1,IFERROR(IF(VALUE($A138)&lt;100000000,VALUE($A138),1000000000),IFERROR(IF(VALUE(MID($A138,2,20))&lt;100000000,VALUE(MID($A138,2,20)),1000000000),1000000000))+ROW()/100000,"")</f>
        <v/>
      </c>
    </row>
    <row r="139">
      <c r="F139" s="7">
        <f>IF($A139="","",E139*N139/100)</f>
        <v/>
      </c>
      <c r="J139" s="7" t="n"/>
      <c r="K139" s="7">
        <f>IF($A139="","",S139*N139)</f>
        <v/>
      </c>
      <c r="L139" s="7">
        <f>IF($A139="","",N139-K139)</f>
        <v/>
      </c>
      <c r="M139" s="7">
        <f>IF($A139="","",L139-F139)</f>
        <v/>
      </c>
      <c r="N139" s="7" t="n"/>
      <c r="Q139" s="11" t="n"/>
      <c r="S139">
        <f>IF($A139="","",IF($W139=1,Settings!$C$6,Settings!$C$7)*1)</f>
        <v/>
      </c>
      <c r="U139">
        <f>IF($A139="","",IF(COUNTIF($A$2:$A139,$A139)=1,1,0))</f>
        <v/>
      </c>
      <c r="V139">
        <f>IF($U139=1,SUMPRODUCT(--($X$2:$X$3001&lt;$X139))+1,"")</f>
        <v/>
      </c>
      <c r="W139">
        <f>IF($A139="","",IF(OR($T139=TRUE(),$T139="TRUE"),1,0))</f>
        <v/>
      </c>
      <c r="X139">
        <f>IF($U139=1,IFERROR(IF(VALUE($A139)&lt;100000000,VALUE($A139),1000000000),IFERROR(IF(VALUE(MID($A139,2,20))&lt;100000000,VALUE(MID($A139,2,20)),1000000000),1000000000))+ROW()/100000,"")</f>
        <v/>
      </c>
    </row>
    <row r="140">
      <c r="F140" s="7">
        <f>IF($A140="","",E140*N140/100)</f>
        <v/>
      </c>
      <c r="J140" s="7" t="n"/>
      <c r="K140" s="7">
        <f>IF($A140="","",S140*N140)</f>
        <v/>
      </c>
      <c r="L140" s="7">
        <f>IF($A140="","",N140-K140)</f>
        <v/>
      </c>
      <c r="M140" s="7">
        <f>IF($A140="","",L140-F140)</f>
        <v/>
      </c>
      <c r="N140" s="7" t="n"/>
      <c r="Q140" s="11" t="n"/>
      <c r="S140">
        <f>IF($A140="","",IF($W140=1,Settings!$C$6,Settings!$C$7)*1)</f>
        <v/>
      </c>
      <c r="U140">
        <f>IF($A140="","",IF(COUNTIF($A$2:$A140,$A140)=1,1,0))</f>
        <v/>
      </c>
      <c r="V140">
        <f>IF($U140=1,SUMPRODUCT(--($X$2:$X$3001&lt;$X140))+1,"")</f>
        <v/>
      </c>
      <c r="W140">
        <f>IF($A140="","",IF(OR($T140=TRUE(),$T140="TRUE"),1,0))</f>
        <v/>
      </c>
      <c r="X140">
        <f>IF($U140=1,IFERROR(IF(VALUE($A140)&lt;100000000,VALUE($A140),1000000000),IFERROR(IF(VALUE(MID($A140,2,20))&lt;100000000,VALUE(MID($A140,2,20)),1000000000),1000000000))+ROW()/100000,"")</f>
        <v/>
      </c>
    </row>
    <row r="141">
      <c r="F141" s="7">
        <f>IF($A141="","",E141*N141/100)</f>
        <v/>
      </c>
      <c r="J141" s="7" t="n"/>
      <c r="K141" s="7">
        <f>IF($A141="","",S141*N141)</f>
        <v/>
      </c>
      <c r="L141" s="7">
        <f>IF($A141="","",N141-K141)</f>
        <v/>
      </c>
      <c r="M141" s="7">
        <f>IF($A141="","",L141-F141)</f>
        <v/>
      </c>
      <c r="N141" s="7" t="n"/>
      <c r="Q141" s="11" t="n"/>
      <c r="S141">
        <f>IF($A141="","",IF($W141=1,Settings!$C$6,Settings!$C$7)*1)</f>
        <v/>
      </c>
      <c r="U141">
        <f>IF($A141="","",IF(COUNTIF($A$2:$A141,$A141)=1,1,0))</f>
        <v/>
      </c>
      <c r="V141">
        <f>IF($U141=1,SUMPRODUCT(--($X$2:$X$3001&lt;$X141))+1,"")</f>
        <v/>
      </c>
      <c r="W141">
        <f>IF($A141="","",IF(OR($T141=TRUE(),$T141="TRUE"),1,0))</f>
        <v/>
      </c>
      <c r="X141">
        <f>IF($U141=1,IFERROR(IF(VALUE($A141)&lt;100000000,VALUE($A141),1000000000),IFERROR(IF(VALUE(MID($A141,2,20))&lt;100000000,VALUE(MID($A141,2,20)),1000000000),1000000000))+ROW()/100000,"")</f>
        <v/>
      </c>
    </row>
    <row r="142">
      <c r="F142" s="7">
        <f>IF($A142="","",E142*N142/100)</f>
        <v/>
      </c>
      <c r="J142" s="7" t="n"/>
      <c r="K142" s="7">
        <f>IF($A142="","",S142*N142)</f>
        <v/>
      </c>
      <c r="L142" s="7">
        <f>IF($A142="","",N142-K142)</f>
        <v/>
      </c>
      <c r="M142" s="7">
        <f>IF($A142="","",L142-F142)</f>
        <v/>
      </c>
      <c r="N142" s="7" t="n"/>
      <c r="Q142" s="11" t="n"/>
      <c r="S142">
        <f>IF($A142="","",IF($W142=1,Settings!$C$6,Settings!$C$7)*1)</f>
        <v/>
      </c>
      <c r="U142">
        <f>IF($A142="","",IF(COUNTIF($A$2:$A142,$A142)=1,1,0))</f>
        <v/>
      </c>
      <c r="V142">
        <f>IF($U142=1,SUMPRODUCT(--($X$2:$X$3001&lt;$X142))+1,"")</f>
        <v/>
      </c>
      <c r="W142">
        <f>IF($A142="","",IF(OR($T142=TRUE(),$T142="TRUE"),1,0))</f>
        <v/>
      </c>
      <c r="X142">
        <f>IF($U142=1,IFERROR(IF(VALUE($A142)&lt;100000000,VALUE($A142),1000000000),IFERROR(IF(VALUE(MID($A142,2,20))&lt;100000000,VALUE(MID($A142,2,20)),1000000000),1000000000))+ROW()/100000,"")</f>
        <v/>
      </c>
    </row>
    <row r="143">
      <c r="F143" s="7">
        <f>IF($A143="","",E143*N143/100)</f>
        <v/>
      </c>
      <c r="J143" s="7" t="n"/>
      <c r="K143" s="7">
        <f>IF($A143="","",S143*N143)</f>
        <v/>
      </c>
      <c r="L143" s="7">
        <f>IF($A143="","",N143-K143)</f>
        <v/>
      </c>
      <c r="M143" s="7">
        <f>IF($A143="","",L143-F143)</f>
        <v/>
      </c>
      <c r="N143" s="7" t="n"/>
      <c r="Q143" s="11" t="n"/>
      <c r="S143">
        <f>IF($A143="","",IF($W143=1,Settings!$C$6,Settings!$C$7)*1)</f>
        <v/>
      </c>
      <c r="U143">
        <f>IF($A143="","",IF(COUNTIF($A$2:$A143,$A143)=1,1,0))</f>
        <v/>
      </c>
      <c r="V143">
        <f>IF($U143=1,SUMPRODUCT(--($X$2:$X$3001&lt;$X143))+1,"")</f>
        <v/>
      </c>
      <c r="W143">
        <f>IF($A143="","",IF(OR($T143=TRUE(),$T143="TRUE"),1,0))</f>
        <v/>
      </c>
      <c r="X143">
        <f>IF($U143=1,IFERROR(IF(VALUE($A143)&lt;100000000,VALUE($A143),1000000000),IFERROR(IF(VALUE(MID($A143,2,20))&lt;100000000,VALUE(MID($A143,2,20)),1000000000),1000000000))+ROW()/100000,"")</f>
        <v/>
      </c>
    </row>
    <row r="144">
      <c r="F144" s="7">
        <f>IF($A144="","",E144*N144/100)</f>
        <v/>
      </c>
      <c r="J144" s="7" t="n"/>
      <c r="K144" s="7">
        <f>IF($A144="","",S144*N144)</f>
        <v/>
      </c>
      <c r="L144" s="7">
        <f>IF($A144="","",N144-K144)</f>
        <v/>
      </c>
      <c r="M144" s="7">
        <f>IF($A144="","",L144-F144)</f>
        <v/>
      </c>
      <c r="N144" s="7" t="n"/>
      <c r="Q144" s="11" t="n"/>
      <c r="S144">
        <f>IF($A144="","",IF($W144=1,Settings!$C$6,Settings!$C$7)*1)</f>
        <v/>
      </c>
      <c r="U144">
        <f>IF($A144="","",IF(COUNTIF($A$2:$A144,$A144)=1,1,0))</f>
        <v/>
      </c>
      <c r="V144">
        <f>IF($U144=1,SUMPRODUCT(--($X$2:$X$3001&lt;$X144))+1,"")</f>
        <v/>
      </c>
      <c r="W144">
        <f>IF($A144="","",IF(OR($T144=TRUE(),$T144="TRUE"),1,0))</f>
        <v/>
      </c>
      <c r="X144">
        <f>IF($U144=1,IFERROR(IF(VALUE($A144)&lt;100000000,VALUE($A144),1000000000),IFERROR(IF(VALUE(MID($A144,2,20))&lt;100000000,VALUE(MID($A144,2,20)),1000000000),1000000000))+ROW()/100000,"")</f>
        <v/>
      </c>
    </row>
    <row r="145">
      <c r="F145" s="7">
        <f>IF($A145="","",E145*N145/100)</f>
        <v/>
      </c>
      <c r="J145" s="7" t="n"/>
      <c r="K145" s="7">
        <f>IF($A145="","",S145*N145)</f>
        <v/>
      </c>
      <c r="L145" s="7">
        <f>IF($A145="","",N145-K145)</f>
        <v/>
      </c>
      <c r="M145" s="7">
        <f>IF($A145="","",L145-F145)</f>
        <v/>
      </c>
      <c r="N145" s="7" t="n"/>
      <c r="Q145" s="11" t="n"/>
      <c r="S145">
        <f>IF($A145="","",IF($W145=1,Settings!$C$6,Settings!$C$7)*1)</f>
        <v/>
      </c>
      <c r="U145">
        <f>IF($A145="","",IF(COUNTIF($A$2:$A145,$A145)=1,1,0))</f>
        <v/>
      </c>
      <c r="V145">
        <f>IF($U145=1,SUMPRODUCT(--($X$2:$X$3001&lt;$X145))+1,"")</f>
        <v/>
      </c>
      <c r="W145">
        <f>IF($A145="","",IF(OR($T145=TRUE(),$T145="TRUE"),1,0))</f>
        <v/>
      </c>
      <c r="X145">
        <f>IF($U145=1,IFERROR(IF(VALUE($A145)&lt;100000000,VALUE($A145),1000000000),IFERROR(IF(VALUE(MID($A145,2,20))&lt;100000000,VALUE(MID($A145,2,20)),1000000000),1000000000))+ROW()/100000,"")</f>
        <v/>
      </c>
    </row>
    <row r="146">
      <c r="F146" s="7">
        <f>IF($A146="","",E146*N146/100)</f>
        <v/>
      </c>
      <c r="J146" s="7" t="n"/>
      <c r="K146" s="7">
        <f>IF($A146="","",S146*N146)</f>
        <v/>
      </c>
      <c r="L146" s="7">
        <f>IF($A146="","",N146-K146)</f>
        <v/>
      </c>
      <c r="M146" s="7">
        <f>IF($A146="","",L146-F146)</f>
        <v/>
      </c>
      <c r="N146" s="7" t="n"/>
      <c r="Q146" s="11" t="n"/>
      <c r="S146">
        <f>IF($A146="","",IF($W146=1,Settings!$C$6,Settings!$C$7)*1)</f>
        <v/>
      </c>
      <c r="U146">
        <f>IF($A146="","",IF(COUNTIF($A$2:$A146,$A146)=1,1,0))</f>
        <v/>
      </c>
      <c r="V146">
        <f>IF($U146=1,SUMPRODUCT(--($X$2:$X$3001&lt;$X146))+1,"")</f>
        <v/>
      </c>
      <c r="W146">
        <f>IF($A146="","",IF(OR($T146=TRUE(),$T146="TRUE"),1,0))</f>
        <v/>
      </c>
      <c r="X146">
        <f>IF($U146=1,IFERROR(IF(VALUE($A146)&lt;100000000,VALUE($A146),1000000000),IFERROR(IF(VALUE(MID($A146,2,20))&lt;100000000,VALUE(MID($A146,2,20)),1000000000),1000000000))+ROW()/100000,"")</f>
        <v/>
      </c>
    </row>
    <row r="147">
      <c r="F147" s="7">
        <f>IF($A147="","",E147*N147/100)</f>
        <v/>
      </c>
      <c r="J147" s="7" t="n"/>
      <c r="K147" s="7">
        <f>IF($A147="","",S147*N147)</f>
        <v/>
      </c>
      <c r="L147" s="7">
        <f>IF($A147="","",N147-K147)</f>
        <v/>
      </c>
      <c r="M147" s="7">
        <f>IF($A147="","",L147-F147)</f>
        <v/>
      </c>
      <c r="N147" s="7" t="n"/>
      <c r="Q147" s="11" t="n"/>
      <c r="S147">
        <f>IF($A147="","",IF($W147=1,Settings!$C$6,Settings!$C$7)*1)</f>
        <v/>
      </c>
      <c r="U147">
        <f>IF($A147="","",IF(COUNTIF($A$2:$A147,$A147)=1,1,0))</f>
        <v/>
      </c>
      <c r="V147">
        <f>IF($U147=1,SUMPRODUCT(--($X$2:$X$3001&lt;$X147))+1,"")</f>
        <v/>
      </c>
      <c r="W147">
        <f>IF($A147="","",IF(OR($T147=TRUE(),$T147="TRUE"),1,0))</f>
        <v/>
      </c>
      <c r="X147">
        <f>IF($U147=1,IFERROR(IF(VALUE($A147)&lt;100000000,VALUE($A147),1000000000),IFERROR(IF(VALUE(MID($A147,2,20))&lt;100000000,VALUE(MID($A147,2,20)),1000000000),1000000000))+ROW()/100000,"")</f>
        <v/>
      </c>
    </row>
    <row r="148">
      <c r="F148" s="7">
        <f>IF($A148="","",E148*N148/100)</f>
        <v/>
      </c>
      <c r="J148" s="7" t="n"/>
      <c r="K148" s="7">
        <f>IF($A148="","",S148*N148)</f>
        <v/>
      </c>
      <c r="L148" s="7">
        <f>IF($A148="","",N148-K148)</f>
        <v/>
      </c>
      <c r="M148" s="7">
        <f>IF($A148="","",L148-F148)</f>
        <v/>
      </c>
      <c r="N148" s="7" t="n"/>
      <c r="Q148" s="11" t="n"/>
      <c r="S148">
        <f>IF($A148="","",IF($W148=1,Settings!$C$6,Settings!$C$7)*1)</f>
        <v/>
      </c>
      <c r="U148">
        <f>IF($A148="","",IF(COUNTIF($A$2:$A148,$A148)=1,1,0))</f>
        <v/>
      </c>
      <c r="V148">
        <f>IF($U148=1,SUMPRODUCT(--($X$2:$X$3001&lt;$X148))+1,"")</f>
        <v/>
      </c>
      <c r="W148">
        <f>IF($A148="","",IF(OR($T148=TRUE(),$T148="TRUE"),1,0))</f>
        <v/>
      </c>
      <c r="X148">
        <f>IF($U148=1,IFERROR(IF(VALUE($A148)&lt;100000000,VALUE($A148),1000000000),IFERROR(IF(VALUE(MID($A148,2,20))&lt;100000000,VALUE(MID($A148,2,20)),1000000000),1000000000))+ROW()/100000,"")</f>
        <v/>
      </c>
    </row>
    <row r="149">
      <c r="F149" s="7">
        <f>IF($A149="","",E149*N149/100)</f>
        <v/>
      </c>
      <c r="J149" s="7" t="n"/>
      <c r="K149" s="7">
        <f>IF($A149="","",S149*N149)</f>
        <v/>
      </c>
      <c r="L149" s="7">
        <f>IF($A149="","",N149-K149)</f>
        <v/>
      </c>
      <c r="M149" s="7">
        <f>IF($A149="","",L149-F149)</f>
        <v/>
      </c>
      <c r="N149" s="7" t="n"/>
      <c r="Q149" s="11" t="n"/>
      <c r="S149">
        <f>IF($A149="","",IF($W149=1,Settings!$C$6,Settings!$C$7)*1)</f>
        <v/>
      </c>
      <c r="U149">
        <f>IF($A149="","",IF(COUNTIF($A$2:$A149,$A149)=1,1,0))</f>
        <v/>
      </c>
      <c r="V149">
        <f>IF($U149=1,SUMPRODUCT(--($X$2:$X$3001&lt;$X149))+1,"")</f>
        <v/>
      </c>
      <c r="W149">
        <f>IF($A149="","",IF(OR($T149=TRUE(),$T149="TRUE"),1,0))</f>
        <v/>
      </c>
      <c r="X149">
        <f>IF($U149=1,IFERROR(IF(VALUE($A149)&lt;100000000,VALUE($A149),1000000000),IFERROR(IF(VALUE(MID($A149,2,20))&lt;100000000,VALUE(MID($A149,2,20)),1000000000),1000000000))+ROW()/100000,"")</f>
        <v/>
      </c>
    </row>
    <row r="150">
      <c r="F150" s="7">
        <f>IF($A150="","",E150*N150/100)</f>
        <v/>
      </c>
      <c r="J150" s="7" t="n"/>
      <c r="K150" s="7">
        <f>IF($A150="","",S150*N150)</f>
        <v/>
      </c>
      <c r="L150" s="7">
        <f>IF($A150="","",N150-K150)</f>
        <v/>
      </c>
      <c r="M150" s="7">
        <f>IF($A150="","",L150-F150)</f>
        <v/>
      </c>
      <c r="N150" s="7" t="n"/>
      <c r="Q150" s="11" t="n"/>
      <c r="S150">
        <f>IF($A150="","",IF($W150=1,Settings!$C$6,Settings!$C$7)*1)</f>
        <v/>
      </c>
      <c r="U150">
        <f>IF($A150="","",IF(COUNTIF($A$2:$A150,$A150)=1,1,0))</f>
        <v/>
      </c>
      <c r="V150">
        <f>IF($U150=1,SUMPRODUCT(--($X$2:$X$3001&lt;$X150))+1,"")</f>
        <v/>
      </c>
      <c r="W150">
        <f>IF($A150="","",IF(OR($T150=TRUE(),$T150="TRUE"),1,0))</f>
        <v/>
      </c>
      <c r="X150">
        <f>IF($U150=1,IFERROR(IF(VALUE($A150)&lt;100000000,VALUE($A150),1000000000),IFERROR(IF(VALUE(MID($A150,2,20))&lt;100000000,VALUE(MID($A150,2,20)),1000000000),1000000000))+ROW()/100000,"")</f>
        <v/>
      </c>
    </row>
    <row r="151">
      <c r="F151" s="7">
        <f>IF($A151="","",E151*N151/100)</f>
        <v/>
      </c>
      <c r="J151" s="7" t="n"/>
      <c r="K151" s="7">
        <f>IF($A151="","",S151*N151)</f>
        <v/>
      </c>
      <c r="L151" s="7">
        <f>IF($A151="","",N151-K151)</f>
        <v/>
      </c>
      <c r="M151" s="7">
        <f>IF($A151="","",L151-F151)</f>
        <v/>
      </c>
      <c r="N151" s="7" t="n"/>
      <c r="Q151" s="11" t="n"/>
      <c r="S151">
        <f>IF($A151="","",IF($W151=1,Settings!$C$6,Settings!$C$7)*1)</f>
        <v/>
      </c>
      <c r="U151">
        <f>IF($A151="","",IF(COUNTIF($A$2:$A151,$A151)=1,1,0))</f>
        <v/>
      </c>
      <c r="V151">
        <f>IF($U151=1,SUMPRODUCT(--($X$2:$X$3001&lt;$X151))+1,"")</f>
        <v/>
      </c>
      <c r="W151">
        <f>IF($A151="","",IF(OR($T151=TRUE(),$T151="TRUE"),1,0))</f>
        <v/>
      </c>
      <c r="X151">
        <f>IF($U151=1,IFERROR(IF(VALUE($A151)&lt;100000000,VALUE($A151),1000000000),IFERROR(IF(VALUE(MID($A151,2,20))&lt;100000000,VALUE(MID($A151,2,20)),1000000000),1000000000))+ROW()/100000,"")</f>
        <v/>
      </c>
    </row>
    <row r="152">
      <c r="F152" s="7">
        <f>IF($A152="","",E152*N152/100)</f>
        <v/>
      </c>
      <c r="J152" s="7" t="n"/>
      <c r="K152" s="7">
        <f>IF($A152="","",S152*N152)</f>
        <v/>
      </c>
      <c r="L152" s="7">
        <f>IF($A152="","",N152-K152)</f>
        <v/>
      </c>
      <c r="M152" s="7">
        <f>IF($A152="","",L152-F152)</f>
        <v/>
      </c>
      <c r="N152" s="7" t="n"/>
      <c r="Q152" s="11" t="n"/>
      <c r="S152">
        <f>IF($A152="","",IF($W152=1,Settings!$C$6,Settings!$C$7)*1)</f>
        <v/>
      </c>
      <c r="U152">
        <f>IF($A152="","",IF(COUNTIF($A$2:$A152,$A152)=1,1,0))</f>
        <v/>
      </c>
      <c r="V152">
        <f>IF($U152=1,SUMPRODUCT(--($X$2:$X$3001&lt;$X152))+1,"")</f>
        <v/>
      </c>
      <c r="W152">
        <f>IF($A152="","",IF(OR($T152=TRUE(),$T152="TRUE"),1,0))</f>
        <v/>
      </c>
      <c r="X152">
        <f>IF($U152=1,IFERROR(IF(VALUE($A152)&lt;100000000,VALUE($A152),1000000000),IFERROR(IF(VALUE(MID($A152,2,20))&lt;100000000,VALUE(MID($A152,2,20)),1000000000),1000000000))+ROW()/100000,"")</f>
        <v/>
      </c>
    </row>
    <row r="153">
      <c r="F153" s="7">
        <f>IF($A153="","",E153*N153/100)</f>
        <v/>
      </c>
      <c r="J153" s="7" t="n"/>
      <c r="K153" s="7">
        <f>IF($A153="","",S153*N153)</f>
        <v/>
      </c>
      <c r="L153" s="7">
        <f>IF($A153="","",N153-K153)</f>
        <v/>
      </c>
      <c r="M153" s="7">
        <f>IF($A153="","",L153-F153)</f>
        <v/>
      </c>
      <c r="N153" s="7" t="n"/>
      <c r="Q153" s="11" t="n"/>
      <c r="S153">
        <f>IF($A153="","",IF($W153=1,Settings!$C$6,Settings!$C$7)*1)</f>
        <v/>
      </c>
      <c r="U153">
        <f>IF($A153="","",IF(COUNTIF($A$2:$A153,$A153)=1,1,0))</f>
        <v/>
      </c>
      <c r="V153">
        <f>IF($U153=1,SUMPRODUCT(--($X$2:$X$3001&lt;$X153))+1,"")</f>
        <v/>
      </c>
      <c r="W153">
        <f>IF($A153="","",IF(OR($T153=TRUE(),$T153="TRUE"),1,0))</f>
        <v/>
      </c>
      <c r="X153">
        <f>IF($U153=1,IFERROR(IF(VALUE($A153)&lt;100000000,VALUE($A153),1000000000),IFERROR(IF(VALUE(MID($A153,2,20))&lt;100000000,VALUE(MID($A153,2,20)),1000000000),1000000000))+ROW()/100000,"")</f>
        <v/>
      </c>
    </row>
    <row r="154">
      <c r="F154" s="7">
        <f>IF($A154="","",E154*N154/100)</f>
        <v/>
      </c>
      <c r="J154" s="7" t="n"/>
      <c r="K154" s="7">
        <f>IF($A154="","",S154*N154)</f>
        <v/>
      </c>
      <c r="L154" s="7">
        <f>IF($A154="","",N154-K154)</f>
        <v/>
      </c>
      <c r="M154" s="7">
        <f>IF($A154="","",L154-F154)</f>
        <v/>
      </c>
      <c r="N154" s="7" t="n"/>
      <c r="Q154" s="11" t="n"/>
      <c r="S154">
        <f>IF($A154="","",IF($W154=1,Settings!$C$6,Settings!$C$7)*1)</f>
        <v/>
      </c>
      <c r="U154">
        <f>IF($A154="","",IF(COUNTIF($A$2:$A154,$A154)=1,1,0))</f>
        <v/>
      </c>
      <c r="V154">
        <f>IF($U154=1,SUMPRODUCT(--($X$2:$X$3001&lt;$X154))+1,"")</f>
        <v/>
      </c>
      <c r="W154">
        <f>IF($A154="","",IF(OR($T154=TRUE(),$T154="TRUE"),1,0))</f>
        <v/>
      </c>
      <c r="X154">
        <f>IF($U154=1,IFERROR(IF(VALUE($A154)&lt;100000000,VALUE($A154),1000000000),IFERROR(IF(VALUE(MID($A154,2,20))&lt;100000000,VALUE(MID($A154,2,20)),1000000000),1000000000))+ROW()/100000,"")</f>
        <v/>
      </c>
    </row>
    <row r="155">
      <c r="F155" s="7">
        <f>IF($A155="","",E155*N155/100)</f>
        <v/>
      </c>
      <c r="J155" s="7" t="n"/>
      <c r="K155" s="7">
        <f>IF($A155="","",S155*N155)</f>
        <v/>
      </c>
      <c r="L155" s="7">
        <f>IF($A155="","",N155-K155)</f>
        <v/>
      </c>
      <c r="M155" s="7">
        <f>IF($A155="","",L155-F155)</f>
        <v/>
      </c>
      <c r="N155" s="7" t="n"/>
      <c r="Q155" s="11" t="n"/>
      <c r="S155">
        <f>IF($A155="","",IF($W155=1,Settings!$C$6,Settings!$C$7)*1)</f>
        <v/>
      </c>
      <c r="U155">
        <f>IF($A155="","",IF(COUNTIF($A$2:$A155,$A155)=1,1,0))</f>
        <v/>
      </c>
      <c r="V155">
        <f>IF($U155=1,SUMPRODUCT(--($X$2:$X$3001&lt;$X155))+1,"")</f>
        <v/>
      </c>
      <c r="W155">
        <f>IF($A155="","",IF(OR($T155=TRUE(),$T155="TRUE"),1,0))</f>
        <v/>
      </c>
      <c r="X155">
        <f>IF($U155=1,IFERROR(IF(VALUE($A155)&lt;100000000,VALUE($A155),1000000000),IFERROR(IF(VALUE(MID($A155,2,20))&lt;100000000,VALUE(MID($A155,2,20)),1000000000),1000000000))+ROW()/100000,"")</f>
        <v/>
      </c>
    </row>
    <row r="156">
      <c r="F156" s="7">
        <f>IF($A156="","",E156*N156/100)</f>
        <v/>
      </c>
      <c r="J156" s="7" t="n"/>
      <c r="K156" s="7">
        <f>IF($A156="","",S156*N156)</f>
        <v/>
      </c>
      <c r="L156" s="7">
        <f>IF($A156="","",N156-K156)</f>
        <v/>
      </c>
      <c r="M156" s="7">
        <f>IF($A156="","",L156-F156)</f>
        <v/>
      </c>
      <c r="N156" s="7" t="n"/>
      <c r="Q156" s="11" t="n"/>
      <c r="S156">
        <f>IF($A156="","",IF($W156=1,Settings!$C$6,Settings!$C$7)*1)</f>
        <v/>
      </c>
      <c r="U156">
        <f>IF($A156="","",IF(COUNTIF($A$2:$A156,$A156)=1,1,0))</f>
        <v/>
      </c>
      <c r="V156">
        <f>IF($U156=1,SUMPRODUCT(--($X$2:$X$3001&lt;$X156))+1,"")</f>
        <v/>
      </c>
      <c r="W156">
        <f>IF($A156="","",IF(OR($T156=TRUE(),$T156="TRUE"),1,0))</f>
        <v/>
      </c>
      <c r="X156">
        <f>IF($U156=1,IFERROR(IF(VALUE($A156)&lt;100000000,VALUE($A156),1000000000),IFERROR(IF(VALUE(MID($A156,2,20))&lt;100000000,VALUE(MID($A156,2,20)),1000000000),1000000000))+ROW()/100000,"")</f>
        <v/>
      </c>
    </row>
    <row r="157">
      <c r="F157" s="7">
        <f>IF($A157="","",E157*N157/100)</f>
        <v/>
      </c>
      <c r="J157" s="7" t="n"/>
      <c r="K157" s="7">
        <f>IF($A157="","",S157*N157)</f>
        <v/>
      </c>
      <c r="L157" s="7">
        <f>IF($A157="","",N157-K157)</f>
        <v/>
      </c>
      <c r="M157" s="7">
        <f>IF($A157="","",L157-F157)</f>
        <v/>
      </c>
      <c r="N157" s="7" t="n"/>
      <c r="Q157" s="11" t="n"/>
      <c r="S157">
        <f>IF($A157="","",IF($W157=1,Settings!$C$6,Settings!$C$7)*1)</f>
        <v/>
      </c>
      <c r="U157">
        <f>IF($A157="","",IF(COUNTIF($A$2:$A157,$A157)=1,1,0))</f>
        <v/>
      </c>
      <c r="V157">
        <f>IF($U157=1,SUMPRODUCT(--($X$2:$X$3001&lt;$X157))+1,"")</f>
        <v/>
      </c>
      <c r="W157">
        <f>IF($A157="","",IF(OR($T157=TRUE(),$T157="TRUE"),1,0))</f>
        <v/>
      </c>
      <c r="X157">
        <f>IF($U157=1,IFERROR(IF(VALUE($A157)&lt;100000000,VALUE($A157),1000000000),IFERROR(IF(VALUE(MID($A157,2,20))&lt;100000000,VALUE(MID($A157,2,20)),1000000000),1000000000))+ROW()/100000,"")</f>
        <v/>
      </c>
    </row>
    <row r="158">
      <c r="F158" s="7">
        <f>IF($A158="","",E158*N158/100)</f>
        <v/>
      </c>
      <c r="J158" s="7" t="n"/>
      <c r="K158" s="7">
        <f>IF($A158="","",S158*N158)</f>
        <v/>
      </c>
      <c r="L158" s="7">
        <f>IF($A158="","",N158-K158)</f>
        <v/>
      </c>
      <c r="M158" s="7">
        <f>IF($A158="","",L158-F158)</f>
        <v/>
      </c>
      <c r="N158" s="7" t="n"/>
      <c r="Q158" s="11" t="n"/>
      <c r="S158">
        <f>IF($A158="","",IF($W158=1,Settings!$C$6,Settings!$C$7)*1)</f>
        <v/>
      </c>
      <c r="U158">
        <f>IF($A158="","",IF(COUNTIF($A$2:$A158,$A158)=1,1,0))</f>
        <v/>
      </c>
      <c r="V158">
        <f>IF($U158=1,SUMPRODUCT(--($X$2:$X$3001&lt;$X158))+1,"")</f>
        <v/>
      </c>
      <c r="W158">
        <f>IF($A158="","",IF(OR($T158=TRUE(),$T158="TRUE"),1,0))</f>
        <v/>
      </c>
      <c r="X158">
        <f>IF($U158=1,IFERROR(IF(VALUE($A158)&lt;100000000,VALUE($A158),1000000000),IFERROR(IF(VALUE(MID($A158,2,20))&lt;100000000,VALUE(MID($A158,2,20)),1000000000),1000000000))+ROW()/100000,"")</f>
        <v/>
      </c>
    </row>
    <row r="159">
      <c r="F159" s="7">
        <f>IF($A159="","",E159*N159/100)</f>
        <v/>
      </c>
      <c r="J159" s="7" t="n"/>
      <c r="K159" s="7">
        <f>IF($A159="","",S159*N159)</f>
        <v/>
      </c>
      <c r="L159" s="7">
        <f>IF($A159="","",N159-K159)</f>
        <v/>
      </c>
      <c r="M159" s="7">
        <f>IF($A159="","",L159-F159)</f>
        <v/>
      </c>
      <c r="N159" s="7" t="n"/>
      <c r="Q159" s="11" t="n"/>
      <c r="S159">
        <f>IF($A159="","",IF($W159=1,Settings!$C$6,Settings!$C$7)*1)</f>
        <v/>
      </c>
      <c r="U159">
        <f>IF($A159="","",IF(COUNTIF($A$2:$A159,$A159)=1,1,0))</f>
        <v/>
      </c>
      <c r="V159">
        <f>IF($U159=1,SUMPRODUCT(--($X$2:$X$3001&lt;$X159))+1,"")</f>
        <v/>
      </c>
      <c r="W159">
        <f>IF($A159="","",IF(OR($T159=TRUE(),$T159="TRUE"),1,0))</f>
        <v/>
      </c>
      <c r="X159">
        <f>IF($U159=1,IFERROR(IF(VALUE($A159)&lt;100000000,VALUE($A159),1000000000),IFERROR(IF(VALUE(MID($A159,2,20))&lt;100000000,VALUE(MID($A159,2,20)),1000000000),1000000000))+ROW()/100000,"")</f>
        <v/>
      </c>
    </row>
    <row r="160">
      <c r="F160" s="7">
        <f>IF($A160="","",E160*N160/100)</f>
        <v/>
      </c>
      <c r="J160" s="7" t="n"/>
      <c r="K160" s="7">
        <f>IF($A160="","",S160*N160)</f>
        <v/>
      </c>
      <c r="L160" s="7">
        <f>IF($A160="","",N160-K160)</f>
        <v/>
      </c>
      <c r="M160" s="7">
        <f>IF($A160="","",L160-F160)</f>
        <v/>
      </c>
      <c r="N160" s="7" t="n"/>
      <c r="Q160" s="11" t="n"/>
      <c r="S160">
        <f>IF($A160="","",IF($W160=1,Settings!$C$6,Settings!$C$7)*1)</f>
        <v/>
      </c>
      <c r="U160">
        <f>IF($A160="","",IF(COUNTIF($A$2:$A160,$A160)=1,1,0))</f>
        <v/>
      </c>
      <c r="V160">
        <f>IF($U160=1,SUMPRODUCT(--($X$2:$X$3001&lt;$X160))+1,"")</f>
        <v/>
      </c>
      <c r="W160">
        <f>IF($A160="","",IF(OR($T160=TRUE(),$T160="TRUE"),1,0))</f>
        <v/>
      </c>
      <c r="X160">
        <f>IF($U160=1,IFERROR(IF(VALUE($A160)&lt;100000000,VALUE($A160),1000000000),IFERROR(IF(VALUE(MID($A160,2,20))&lt;100000000,VALUE(MID($A160,2,20)),1000000000),1000000000))+ROW()/100000,"")</f>
        <v/>
      </c>
    </row>
    <row r="161">
      <c r="F161" s="7">
        <f>IF($A161="","",E161*N161/100)</f>
        <v/>
      </c>
      <c r="J161" s="7" t="n"/>
      <c r="K161" s="7">
        <f>IF($A161="","",S161*N161)</f>
        <v/>
      </c>
      <c r="L161" s="7">
        <f>IF($A161="","",N161-K161)</f>
        <v/>
      </c>
      <c r="M161" s="7">
        <f>IF($A161="","",L161-F161)</f>
        <v/>
      </c>
      <c r="N161" s="7" t="n"/>
      <c r="Q161" s="11" t="n"/>
      <c r="S161">
        <f>IF($A161="","",IF($W161=1,Settings!$C$6,Settings!$C$7)*1)</f>
        <v/>
      </c>
      <c r="U161">
        <f>IF($A161="","",IF(COUNTIF($A$2:$A161,$A161)=1,1,0))</f>
        <v/>
      </c>
      <c r="V161">
        <f>IF($U161=1,SUMPRODUCT(--($X$2:$X$3001&lt;$X161))+1,"")</f>
        <v/>
      </c>
      <c r="W161">
        <f>IF($A161="","",IF(OR($T161=TRUE(),$T161="TRUE"),1,0))</f>
        <v/>
      </c>
      <c r="X161">
        <f>IF($U161=1,IFERROR(IF(VALUE($A161)&lt;100000000,VALUE($A161),1000000000),IFERROR(IF(VALUE(MID($A161,2,20))&lt;100000000,VALUE(MID($A161,2,20)),1000000000),1000000000))+ROW()/100000,"")</f>
        <v/>
      </c>
    </row>
    <row r="162">
      <c r="F162" s="7">
        <f>IF($A162="","",E162*N162/100)</f>
        <v/>
      </c>
      <c r="J162" s="7" t="n"/>
      <c r="K162" s="7">
        <f>IF($A162="","",S162*N162)</f>
        <v/>
      </c>
      <c r="L162" s="7">
        <f>IF($A162="","",N162-K162)</f>
        <v/>
      </c>
      <c r="M162" s="7">
        <f>IF($A162="","",L162-F162)</f>
        <v/>
      </c>
      <c r="N162" s="7" t="n"/>
      <c r="Q162" s="11" t="n"/>
      <c r="S162">
        <f>IF($A162="","",IF($W162=1,Settings!$C$6,Settings!$C$7)*1)</f>
        <v/>
      </c>
      <c r="U162">
        <f>IF($A162="","",IF(COUNTIF($A$2:$A162,$A162)=1,1,0))</f>
        <v/>
      </c>
      <c r="V162">
        <f>IF($U162=1,SUMPRODUCT(--($X$2:$X$3001&lt;$X162))+1,"")</f>
        <v/>
      </c>
      <c r="W162">
        <f>IF($A162="","",IF(OR($T162=TRUE(),$T162="TRUE"),1,0))</f>
        <v/>
      </c>
      <c r="X162">
        <f>IF($U162=1,IFERROR(IF(VALUE($A162)&lt;100000000,VALUE($A162),1000000000),IFERROR(IF(VALUE(MID($A162,2,20))&lt;100000000,VALUE(MID($A162,2,20)),1000000000),1000000000))+ROW()/100000,"")</f>
        <v/>
      </c>
    </row>
    <row r="163">
      <c r="F163" s="7">
        <f>IF($A163="","",E163*N163/100)</f>
        <v/>
      </c>
      <c r="J163" s="7" t="n"/>
      <c r="K163" s="7">
        <f>IF($A163="","",S163*N163)</f>
        <v/>
      </c>
      <c r="L163" s="7">
        <f>IF($A163="","",N163-K163)</f>
        <v/>
      </c>
      <c r="M163" s="7">
        <f>IF($A163="","",L163-F163)</f>
        <v/>
      </c>
      <c r="N163" s="7" t="n"/>
      <c r="Q163" s="11" t="n"/>
      <c r="S163">
        <f>IF($A163="","",IF($W163=1,Settings!$C$6,Settings!$C$7)*1)</f>
        <v/>
      </c>
      <c r="U163">
        <f>IF($A163="","",IF(COUNTIF($A$2:$A163,$A163)=1,1,0))</f>
        <v/>
      </c>
      <c r="V163">
        <f>IF($U163=1,SUMPRODUCT(--($X$2:$X$3001&lt;$X163))+1,"")</f>
        <v/>
      </c>
      <c r="W163">
        <f>IF($A163="","",IF(OR($T163=TRUE(),$T163="TRUE"),1,0))</f>
        <v/>
      </c>
      <c r="X163">
        <f>IF($U163=1,IFERROR(IF(VALUE($A163)&lt;100000000,VALUE($A163),1000000000),IFERROR(IF(VALUE(MID($A163,2,20))&lt;100000000,VALUE(MID($A163,2,20)),1000000000),1000000000))+ROW()/100000,"")</f>
        <v/>
      </c>
    </row>
    <row r="164">
      <c r="F164" s="7">
        <f>IF($A164="","",E164*N164/100)</f>
        <v/>
      </c>
      <c r="J164" s="7" t="n"/>
      <c r="K164" s="7">
        <f>IF($A164="","",S164*N164)</f>
        <v/>
      </c>
      <c r="L164" s="7">
        <f>IF($A164="","",N164-K164)</f>
        <v/>
      </c>
      <c r="M164" s="7">
        <f>IF($A164="","",L164-F164)</f>
        <v/>
      </c>
      <c r="N164" s="7" t="n"/>
      <c r="Q164" s="11" t="n"/>
      <c r="S164">
        <f>IF($A164="","",IF($W164=1,Settings!$C$6,Settings!$C$7)*1)</f>
        <v/>
      </c>
      <c r="U164">
        <f>IF($A164="","",IF(COUNTIF($A$2:$A164,$A164)=1,1,0))</f>
        <v/>
      </c>
      <c r="V164">
        <f>IF($U164=1,SUMPRODUCT(--($X$2:$X$3001&lt;$X164))+1,"")</f>
        <v/>
      </c>
      <c r="W164">
        <f>IF($A164="","",IF(OR($T164=TRUE(),$T164="TRUE"),1,0))</f>
        <v/>
      </c>
      <c r="X164">
        <f>IF($U164=1,IFERROR(IF(VALUE($A164)&lt;100000000,VALUE($A164),1000000000),IFERROR(IF(VALUE(MID($A164,2,20))&lt;100000000,VALUE(MID($A164,2,20)),1000000000),1000000000))+ROW()/100000,"")</f>
        <v/>
      </c>
    </row>
    <row r="165">
      <c r="F165" s="7">
        <f>IF($A165="","",E165*N165/100)</f>
        <v/>
      </c>
      <c r="J165" s="7" t="n"/>
      <c r="K165" s="7">
        <f>IF($A165="","",S165*N165)</f>
        <v/>
      </c>
      <c r="L165" s="7">
        <f>IF($A165="","",N165-K165)</f>
        <v/>
      </c>
      <c r="M165" s="7">
        <f>IF($A165="","",L165-F165)</f>
        <v/>
      </c>
      <c r="N165" s="7" t="n"/>
      <c r="Q165" s="11" t="n"/>
      <c r="S165">
        <f>IF($A165="","",IF($W165=1,Settings!$C$6,Settings!$C$7)*1)</f>
        <v/>
      </c>
      <c r="U165">
        <f>IF($A165="","",IF(COUNTIF($A$2:$A165,$A165)=1,1,0))</f>
        <v/>
      </c>
      <c r="V165">
        <f>IF($U165=1,SUMPRODUCT(--($X$2:$X$3001&lt;$X165))+1,"")</f>
        <v/>
      </c>
      <c r="W165">
        <f>IF($A165="","",IF(OR($T165=TRUE(),$T165="TRUE"),1,0))</f>
        <v/>
      </c>
      <c r="X165">
        <f>IF($U165=1,IFERROR(IF(VALUE($A165)&lt;100000000,VALUE($A165),1000000000),IFERROR(IF(VALUE(MID($A165,2,20))&lt;100000000,VALUE(MID($A165,2,20)),1000000000),1000000000))+ROW()/100000,"")</f>
        <v/>
      </c>
    </row>
    <row r="166">
      <c r="F166" s="7">
        <f>IF($A166="","",E166*N166/100)</f>
        <v/>
      </c>
      <c r="J166" s="7" t="n"/>
      <c r="K166" s="7">
        <f>IF($A166="","",S166*N166)</f>
        <v/>
      </c>
      <c r="L166" s="7">
        <f>IF($A166="","",N166-K166)</f>
        <v/>
      </c>
      <c r="M166" s="7">
        <f>IF($A166="","",L166-F166)</f>
        <v/>
      </c>
      <c r="N166" s="7" t="n"/>
      <c r="Q166" s="11" t="n"/>
      <c r="S166">
        <f>IF($A166="","",IF($W166=1,Settings!$C$6,Settings!$C$7)*1)</f>
        <v/>
      </c>
      <c r="U166">
        <f>IF($A166="","",IF(COUNTIF($A$2:$A166,$A166)=1,1,0))</f>
        <v/>
      </c>
      <c r="V166">
        <f>IF($U166=1,SUMPRODUCT(--($X$2:$X$3001&lt;$X166))+1,"")</f>
        <v/>
      </c>
      <c r="W166">
        <f>IF($A166="","",IF(OR($T166=TRUE(),$T166="TRUE"),1,0))</f>
        <v/>
      </c>
      <c r="X166">
        <f>IF($U166=1,IFERROR(IF(VALUE($A166)&lt;100000000,VALUE($A166),1000000000),IFERROR(IF(VALUE(MID($A166,2,20))&lt;100000000,VALUE(MID($A166,2,20)),1000000000),1000000000))+ROW()/100000,"")</f>
        <v/>
      </c>
    </row>
    <row r="167">
      <c r="F167" s="7">
        <f>IF($A167="","",E167*N167/100)</f>
        <v/>
      </c>
      <c r="J167" s="7" t="n"/>
      <c r="K167" s="7">
        <f>IF($A167="","",S167*N167)</f>
        <v/>
      </c>
      <c r="L167" s="7">
        <f>IF($A167="","",N167-K167)</f>
        <v/>
      </c>
      <c r="M167" s="7">
        <f>IF($A167="","",L167-F167)</f>
        <v/>
      </c>
      <c r="N167" s="7" t="n"/>
      <c r="Q167" s="11" t="n"/>
      <c r="S167">
        <f>IF($A167="","",IF($W167=1,Settings!$C$6,Settings!$C$7)*1)</f>
        <v/>
      </c>
      <c r="U167">
        <f>IF($A167="","",IF(COUNTIF($A$2:$A167,$A167)=1,1,0))</f>
        <v/>
      </c>
      <c r="V167">
        <f>IF($U167=1,SUMPRODUCT(--($X$2:$X$3001&lt;$X167))+1,"")</f>
        <v/>
      </c>
      <c r="W167">
        <f>IF($A167="","",IF(OR($T167=TRUE(),$T167="TRUE"),1,0))</f>
        <v/>
      </c>
      <c r="X167">
        <f>IF($U167=1,IFERROR(IF(VALUE($A167)&lt;100000000,VALUE($A167),1000000000),IFERROR(IF(VALUE(MID($A167,2,20))&lt;100000000,VALUE(MID($A167,2,20)),1000000000),1000000000))+ROW()/100000,"")</f>
        <v/>
      </c>
    </row>
    <row r="168">
      <c r="F168" s="7">
        <f>IF($A168="","",E168*N168/100)</f>
        <v/>
      </c>
      <c r="J168" s="7" t="n"/>
      <c r="K168" s="7">
        <f>IF($A168="","",S168*N168)</f>
        <v/>
      </c>
      <c r="L168" s="7">
        <f>IF($A168="","",N168-K168)</f>
        <v/>
      </c>
      <c r="M168" s="7">
        <f>IF($A168="","",L168-F168)</f>
        <v/>
      </c>
      <c r="N168" s="7" t="n"/>
      <c r="Q168" s="11" t="n"/>
      <c r="S168">
        <f>IF($A168="","",IF($W168=1,Settings!$C$6,Settings!$C$7)*1)</f>
        <v/>
      </c>
      <c r="U168">
        <f>IF($A168="","",IF(COUNTIF($A$2:$A168,$A168)=1,1,0))</f>
        <v/>
      </c>
      <c r="V168">
        <f>IF($U168=1,SUMPRODUCT(--($X$2:$X$3001&lt;$X168))+1,"")</f>
        <v/>
      </c>
      <c r="W168">
        <f>IF($A168="","",IF(OR($T168=TRUE(),$T168="TRUE"),1,0))</f>
        <v/>
      </c>
      <c r="X168">
        <f>IF($U168=1,IFERROR(IF(VALUE($A168)&lt;100000000,VALUE($A168),1000000000),IFERROR(IF(VALUE(MID($A168,2,20))&lt;100000000,VALUE(MID($A168,2,20)),1000000000),1000000000))+ROW()/100000,"")</f>
        <v/>
      </c>
    </row>
    <row r="169">
      <c r="F169" s="7">
        <f>IF($A169="","",E169*N169/100)</f>
        <v/>
      </c>
      <c r="J169" s="7" t="n"/>
      <c r="K169" s="7">
        <f>IF($A169="","",S169*N169)</f>
        <v/>
      </c>
      <c r="L169" s="7">
        <f>IF($A169="","",N169-K169)</f>
        <v/>
      </c>
      <c r="M169" s="7">
        <f>IF($A169="","",L169-F169)</f>
        <v/>
      </c>
      <c r="N169" s="7" t="n"/>
      <c r="Q169" s="11" t="n"/>
      <c r="S169">
        <f>IF($A169="","",IF($W169=1,Settings!$C$6,Settings!$C$7)*1)</f>
        <v/>
      </c>
      <c r="U169">
        <f>IF($A169="","",IF(COUNTIF($A$2:$A169,$A169)=1,1,0))</f>
        <v/>
      </c>
      <c r="V169">
        <f>IF($U169=1,SUMPRODUCT(--($X$2:$X$3001&lt;$X169))+1,"")</f>
        <v/>
      </c>
      <c r="W169">
        <f>IF($A169="","",IF(OR($T169=TRUE(),$T169="TRUE"),1,0))</f>
        <v/>
      </c>
      <c r="X169">
        <f>IF($U169=1,IFERROR(IF(VALUE($A169)&lt;100000000,VALUE($A169),1000000000),IFERROR(IF(VALUE(MID($A169,2,20))&lt;100000000,VALUE(MID($A169,2,20)),1000000000),1000000000))+ROW()/100000,"")</f>
        <v/>
      </c>
    </row>
    <row r="170">
      <c r="F170" s="7">
        <f>IF($A170="","",E170*N170/100)</f>
        <v/>
      </c>
      <c r="J170" s="7" t="n"/>
      <c r="K170" s="7">
        <f>IF($A170="","",S170*N170)</f>
        <v/>
      </c>
      <c r="L170" s="7">
        <f>IF($A170="","",N170-K170)</f>
        <v/>
      </c>
      <c r="M170" s="7">
        <f>IF($A170="","",L170-F170)</f>
        <v/>
      </c>
      <c r="N170" s="7" t="n"/>
      <c r="Q170" s="11" t="n"/>
      <c r="S170">
        <f>IF($A170="","",IF($W170=1,Settings!$C$6,Settings!$C$7)*1)</f>
        <v/>
      </c>
      <c r="U170">
        <f>IF($A170="","",IF(COUNTIF($A$2:$A170,$A170)=1,1,0))</f>
        <v/>
      </c>
      <c r="V170">
        <f>IF($U170=1,SUMPRODUCT(--($X$2:$X$3001&lt;$X170))+1,"")</f>
        <v/>
      </c>
      <c r="W170">
        <f>IF($A170="","",IF(OR($T170=TRUE(),$T170="TRUE"),1,0))</f>
        <v/>
      </c>
      <c r="X170">
        <f>IF($U170=1,IFERROR(IF(VALUE($A170)&lt;100000000,VALUE($A170),1000000000),IFERROR(IF(VALUE(MID($A170,2,20))&lt;100000000,VALUE(MID($A170,2,20)),1000000000),1000000000))+ROW()/100000,"")</f>
        <v/>
      </c>
    </row>
    <row r="171">
      <c r="F171" s="7">
        <f>IF($A171="","",E171*N171/100)</f>
        <v/>
      </c>
      <c r="J171" s="7" t="n"/>
      <c r="K171" s="7">
        <f>IF($A171="","",S171*N171)</f>
        <v/>
      </c>
      <c r="L171" s="7">
        <f>IF($A171="","",N171-K171)</f>
        <v/>
      </c>
      <c r="M171" s="7">
        <f>IF($A171="","",L171-F171)</f>
        <v/>
      </c>
      <c r="N171" s="7" t="n"/>
      <c r="Q171" s="11" t="n"/>
      <c r="S171">
        <f>IF($A171="","",IF($W171=1,Settings!$C$6,Settings!$C$7)*1)</f>
        <v/>
      </c>
      <c r="U171">
        <f>IF($A171="","",IF(COUNTIF($A$2:$A171,$A171)=1,1,0))</f>
        <v/>
      </c>
      <c r="V171">
        <f>IF($U171=1,SUMPRODUCT(--($X$2:$X$3001&lt;$X171))+1,"")</f>
        <v/>
      </c>
      <c r="W171">
        <f>IF($A171="","",IF(OR($T171=TRUE(),$T171="TRUE"),1,0))</f>
        <v/>
      </c>
      <c r="X171">
        <f>IF($U171=1,IFERROR(IF(VALUE($A171)&lt;100000000,VALUE($A171),1000000000),IFERROR(IF(VALUE(MID($A171,2,20))&lt;100000000,VALUE(MID($A171,2,20)),1000000000),1000000000))+ROW()/100000,"")</f>
        <v/>
      </c>
    </row>
    <row r="172">
      <c r="F172" s="7">
        <f>IF($A172="","",E172*N172/100)</f>
        <v/>
      </c>
      <c r="J172" s="7" t="n"/>
      <c r="K172" s="7">
        <f>IF($A172="","",S172*N172)</f>
        <v/>
      </c>
      <c r="L172" s="7">
        <f>IF($A172="","",N172-K172)</f>
        <v/>
      </c>
      <c r="M172" s="7">
        <f>IF($A172="","",L172-F172)</f>
        <v/>
      </c>
      <c r="N172" s="7" t="n"/>
      <c r="Q172" s="11" t="n"/>
      <c r="S172">
        <f>IF($A172="","",IF($W172=1,Settings!$C$6,Settings!$C$7)*1)</f>
        <v/>
      </c>
      <c r="U172">
        <f>IF($A172="","",IF(COUNTIF($A$2:$A172,$A172)=1,1,0))</f>
        <v/>
      </c>
      <c r="V172">
        <f>IF($U172=1,SUMPRODUCT(--($X$2:$X$3001&lt;$X172))+1,"")</f>
        <v/>
      </c>
      <c r="W172">
        <f>IF($A172="","",IF(OR($T172=TRUE(),$T172="TRUE"),1,0))</f>
        <v/>
      </c>
      <c r="X172">
        <f>IF($U172=1,IFERROR(IF(VALUE($A172)&lt;100000000,VALUE($A172),1000000000),IFERROR(IF(VALUE(MID($A172,2,20))&lt;100000000,VALUE(MID($A172,2,20)),1000000000),1000000000))+ROW()/100000,"")</f>
        <v/>
      </c>
    </row>
    <row r="173">
      <c r="F173" s="7">
        <f>IF($A173="","",E173*N173/100)</f>
        <v/>
      </c>
      <c r="J173" s="7" t="n"/>
      <c r="K173" s="7">
        <f>IF($A173="","",S173*N173)</f>
        <v/>
      </c>
      <c r="L173" s="7">
        <f>IF($A173="","",N173-K173)</f>
        <v/>
      </c>
      <c r="M173" s="7">
        <f>IF($A173="","",L173-F173)</f>
        <v/>
      </c>
      <c r="N173" s="7" t="n"/>
      <c r="Q173" s="11" t="n"/>
      <c r="S173">
        <f>IF($A173="","",IF($W173=1,Settings!$C$6,Settings!$C$7)*1)</f>
        <v/>
      </c>
      <c r="U173">
        <f>IF($A173="","",IF(COUNTIF($A$2:$A173,$A173)=1,1,0))</f>
        <v/>
      </c>
      <c r="V173">
        <f>IF($U173=1,SUMPRODUCT(--($X$2:$X$3001&lt;$X173))+1,"")</f>
        <v/>
      </c>
      <c r="W173">
        <f>IF($A173="","",IF(OR($T173=TRUE(),$T173="TRUE"),1,0))</f>
        <v/>
      </c>
      <c r="X173">
        <f>IF($U173=1,IFERROR(IF(VALUE($A173)&lt;100000000,VALUE($A173),1000000000),IFERROR(IF(VALUE(MID($A173,2,20))&lt;100000000,VALUE(MID($A173,2,20)),1000000000),1000000000))+ROW()/100000,"")</f>
        <v/>
      </c>
    </row>
    <row r="174">
      <c r="F174" s="7">
        <f>IF($A174="","",E174*N174/100)</f>
        <v/>
      </c>
      <c r="J174" s="7" t="n"/>
      <c r="K174" s="7">
        <f>IF($A174="","",S174*N174)</f>
        <v/>
      </c>
      <c r="L174" s="7">
        <f>IF($A174="","",N174-K174)</f>
        <v/>
      </c>
      <c r="M174" s="7">
        <f>IF($A174="","",L174-F174)</f>
        <v/>
      </c>
      <c r="N174" s="7" t="n"/>
      <c r="Q174" s="11" t="n"/>
      <c r="S174">
        <f>IF($A174="","",IF($W174=1,Settings!$C$6,Settings!$C$7)*1)</f>
        <v/>
      </c>
      <c r="U174">
        <f>IF($A174="","",IF(COUNTIF($A$2:$A174,$A174)=1,1,0))</f>
        <v/>
      </c>
      <c r="V174">
        <f>IF($U174=1,SUMPRODUCT(--($X$2:$X$3001&lt;$X174))+1,"")</f>
        <v/>
      </c>
      <c r="W174">
        <f>IF($A174="","",IF(OR($T174=TRUE(),$T174="TRUE"),1,0))</f>
        <v/>
      </c>
      <c r="X174">
        <f>IF($U174=1,IFERROR(IF(VALUE($A174)&lt;100000000,VALUE($A174),1000000000),IFERROR(IF(VALUE(MID($A174,2,20))&lt;100000000,VALUE(MID($A174,2,20)),1000000000),1000000000))+ROW()/100000,"")</f>
        <v/>
      </c>
    </row>
    <row r="175">
      <c r="F175" s="7">
        <f>IF($A175="","",E175*N175/100)</f>
        <v/>
      </c>
      <c r="J175" s="7" t="n"/>
      <c r="K175" s="7">
        <f>IF($A175="","",S175*N175)</f>
        <v/>
      </c>
      <c r="L175" s="7">
        <f>IF($A175="","",N175-K175)</f>
        <v/>
      </c>
      <c r="M175" s="7">
        <f>IF($A175="","",L175-F175)</f>
        <v/>
      </c>
      <c r="N175" s="7" t="n"/>
      <c r="Q175" s="11" t="n"/>
      <c r="S175">
        <f>IF($A175="","",IF($W175=1,Settings!$C$6,Settings!$C$7)*1)</f>
        <v/>
      </c>
      <c r="U175">
        <f>IF($A175="","",IF(COUNTIF($A$2:$A175,$A175)=1,1,0))</f>
        <v/>
      </c>
      <c r="V175">
        <f>IF($U175=1,SUMPRODUCT(--($X$2:$X$3001&lt;$X175))+1,"")</f>
        <v/>
      </c>
      <c r="W175">
        <f>IF($A175="","",IF(OR($T175=TRUE(),$T175="TRUE"),1,0))</f>
        <v/>
      </c>
      <c r="X175">
        <f>IF($U175=1,IFERROR(IF(VALUE($A175)&lt;100000000,VALUE($A175),1000000000),IFERROR(IF(VALUE(MID($A175,2,20))&lt;100000000,VALUE(MID($A175,2,20)),1000000000),1000000000))+ROW()/100000,"")</f>
        <v/>
      </c>
    </row>
    <row r="176">
      <c r="F176" s="7">
        <f>IF($A176="","",E176*N176/100)</f>
        <v/>
      </c>
      <c r="J176" s="7" t="n"/>
      <c r="K176" s="7">
        <f>IF($A176="","",S176*N176)</f>
        <v/>
      </c>
      <c r="L176" s="7">
        <f>IF($A176="","",N176-K176)</f>
        <v/>
      </c>
      <c r="M176" s="7">
        <f>IF($A176="","",L176-F176)</f>
        <v/>
      </c>
      <c r="N176" s="7" t="n"/>
      <c r="Q176" s="11" t="n"/>
      <c r="S176">
        <f>IF($A176="","",IF($W176=1,Settings!$C$6,Settings!$C$7)*1)</f>
        <v/>
      </c>
      <c r="U176">
        <f>IF($A176="","",IF(COUNTIF($A$2:$A176,$A176)=1,1,0))</f>
        <v/>
      </c>
      <c r="V176">
        <f>IF($U176=1,SUMPRODUCT(--($X$2:$X$3001&lt;$X176))+1,"")</f>
        <v/>
      </c>
      <c r="W176">
        <f>IF($A176="","",IF(OR($T176=TRUE(),$T176="TRUE"),1,0))</f>
        <v/>
      </c>
      <c r="X176">
        <f>IF($U176=1,IFERROR(IF(VALUE($A176)&lt;100000000,VALUE($A176),1000000000),IFERROR(IF(VALUE(MID($A176,2,20))&lt;100000000,VALUE(MID($A176,2,20)),1000000000),1000000000))+ROW()/100000,"")</f>
        <v/>
      </c>
    </row>
    <row r="177">
      <c r="F177" s="7">
        <f>IF($A177="","",E177*N177/100)</f>
        <v/>
      </c>
      <c r="J177" s="7" t="n"/>
      <c r="K177" s="7">
        <f>IF($A177="","",S177*N177)</f>
        <v/>
      </c>
      <c r="L177" s="7">
        <f>IF($A177="","",N177-K177)</f>
        <v/>
      </c>
      <c r="M177" s="7">
        <f>IF($A177="","",L177-F177)</f>
        <v/>
      </c>
      <c r="N177" s="7" t="n"/>
      <c r="Q177" s="11" t="n"/>
      <c r="S177">
        <f>IF($A177="","",IF($W177=1,Settings!$C$6,Settings!$C$7)*1)</f>
        <v/>
      </c>
      <c r="U177">
        <f>IF($A177="","",IF(COUNTIF($A$2:$A177,$A177)=1,1,0))</f>
        <v/>
      </c>
      <c r="V177">
        <f>IF($U177=1,SUMPRODUCT(--($X$2:$X$3001&lt;$X177))+1,"")</f>
        <v/>
      </c>
      <c r="W177">
        <f>IF($A177="","",IF(OR($T177=TRUE(),$T177="TRUE"),1,0))</f>
        <v/>
      </c>
      <c r="X177">
        <f>IF($U177=1,IFERROR(IF(VALUE($A177)&lt;100000000,VALUE($A177),1000000000),IFERROR(IF(VALUE(MID($A177,2,20))&lt;100000000,VALUE(MID($A177,2,20)),1000000000),1000000000))+ROW()/100000,"")</f>
        <v/>
      </c>
    </row>
    <row r="178">
      <c r="F178" s="7">
        <f>IF($A178="","",E178*N178/100)</f>
        <v/>
      </c>
      <c r="J178" s="7" t="n"/>
      <c r="K178" s="7">
        <f>IF($A178="","",S178*N178)</f>
        <v/>
      </c>
      <c r="L178" s="7">
        <f>IF($A178="","",N178-K178)</f>
        <v/>
      </c>
      <c r="M178" s="7">
        <f>IF($A178="","",L178-F178)</f>
        <v/>
      </c>
      <c r="N178" s="7" t="n"/>
      <c r="Q178" s="11" t="n"/>
      <c r="S178">
        <f>IF($A178="","",IF($W178=1,Settings!$C$6,Settings!$C$7)*1)</f>
        <v/>
      </c>
      <c r="U178">
        <f>IF($A178="","",IF(COUNTIF($A$2:$A178,$A178)=1,1,0))</f>
        <v/>
      </c>
      <c r="V178">
        <f>IF($U178=1,SUMPRODUCT(--($X$2:$X$3001&lt;$X178))+1,"")</f>
        <v/>
      </c>
      <c r="W178">
        <f>IF($A178="","",IF(OR($T178=TRUE(),$T178="TRUE"),1,0))</f>
        <v/>
      </c>
      <c r="X178">
        <f>IF($U178=1,IFERROR(IF(VALUE($A178)&lt;100000000,VALUE($A178),1000000000),IFERROR(IF(VALUE(MID($A178,2,20))&lt;100000000,VALUE(MID($A178,2,20)),1000000000),1000000000))+ROW()/100000,"")</f>
        <v/>
      </c>
    </row>
    <row r="179">
      <c r="F179" s="7">
        <f>IF($A179="","",E179*N179/100)</f>
        <v/>
      </c>
      <c r="J179" s="7" t="n"/>
      <c r="K179" s="7">
        <f>IF($A179="","",S179*N179)</f>
        <v/>
      </c>
      <c r="L179" s="7">
        <f>IF($A179="","",N179-K179)</f>
        <v/>
      </c>
      <c r="M179" s="7">
        <f>IF($A179="","",L179-F179)</f>
        <v/>
      </c>
      <c r="N179" s="7" t="n"/>
      <c r="Q179" s="11" t="n"/>
      <c r="S179">
        <f>IF($A179="","",IF($W179=1,Settings!$C$6,Settings!$C$7)*1)</f>
        <v/>
      </c>
      <c r="U179">
        <f>IF($A179="","",IF(COUNTIF($A$2:$A179,$A179)=1,1,0))</f>
        <v/>
      </c>
      <c r="V179">
        <f>IF($U179=1,SUMPRODUCT(--($X$2:$X$3001&lt;$X179))+1,"")</f>
        <v/>
      </c>
      <c r="W179">
        <f>IF($A179="","",IF(OR($T179=TRUE(),$T179="TRUE"),1,0))</f>
        <v/>
      </c>
      <c r="X179">
        <f>IF($U179=1,IFERROR(IF(VALUE($A179)&lt;100000000,VALUE($A179),1000000000),IFERROR(IF(VALUE(MID($A179,2,20))&lt;100000000,VALUE(MID($A179,2,20)),1000000000),1000000000))+ROW()/100000,"")</f>
        <v/>
      </c>
    </row>
    <row r="180">
      <c r="F180" s="7">
        <f>IF($A180="","",E180*N180/100)</f>
        <v/>
      </c>
      <c r="J180" s="7" t="n"/>
      <c r="K180" s="7">
        <f>IF($A180="","",S180*N180)</f>
        <v/>
      </c>
      <c r="L180" s="7">
        <f>IF($A180="","",N180-K180)</f>
        <v/>
      </c>
      <c r="M180" s="7">
        <f>IF($A180="","",L180-F180)</f>
        <v/>
      </c>
      <c r="N180" s="7" t="n"/>
      <c r="Q180" s="11" t="n"/>
      <c r="S180">
        <f>IF($A180="","",IF($W180=1,Settings!$C$6,Settings!$C$7)*1)</f>
        <v/>
      </c>
      <c r="U180">
        <f>IF($A180="","",IF(COUNTIF($A$2:$A180,$A180)=1,1,0))</f>
        <v/>
      </c>
      <c r="V180">
        <f>IF($U180=1,SUMPRODUCT(--($X$2:$X$3001&lt;$X180))+1,"")</f>
        <v/>
      </c>
      <c r="W180">
        <f>IF($A180="","",IF(OR($T180=TRUE(),$T180="TRUE"),1,0))</f>
        <v/>
      </c>
      <c r="X180">
        <f>IF($U180=1,IFERROR(IF(VALUE($A180)&lt;100000000,VALUE($A180),1000000000),IFERROR(IF(VALUE(MID($A180,2,20))&lt;100000000,VALUE(MID($A180,2,20)),1000000000),1000000000))+ROW()/100000,"")</f>
        <v/>
      </c>
    </row>
    <row r="181">
      <c r="F181" s="7">
        <f>IF($A181="","",E181*N181/100)</f>
        <v/>
      </c>
      <c r="J181" s="7" t="n"/>
      <c r="K181" s="7">
        <f>IF($A181="","",S181*N181)</f>
        <v/>
      </c>
      <c r="L181" s="7">
        <f>IF($A181="","",N181-K181)</f>
        <v/>
      </c>
      <c r="M181" s="7">
        <f>IF($A181="","",L181-F181)</f>
        <v/>
      </c>
      <c r="N181" s="7" t="n"/>
      <c r="Q181" s="11" t="n"/>
      <c r="S181">
        <f>IF($A181="","",IF($W181=1,Settings!$C$6,Settings!$C$7)*1)</f>
        <v/>
      </c>
      <c r="U181">
        <f>IF($A181="","",IF(COUNTIF($A$2:$A181,$A181)=1,1,0))</f>
        <v/>
      </c>
      <c r="V181">
        <f>IF($U181=1,SUMPRODUCT(--($X$2:$X$3001&lt;$X181))+1,"")</f>
        <v/>
      </c>
      <c r="W181">
        <f>IF($A181="","",IF(OR($T181=TRUE(),$T181="TRUE"),1,0))</f>
        <v/>
      </c>
      <c r="X181">
        <f>IF($U181=1,IFERROR(IF(VALUE($A181)&lt;100000000,VALUE($A181),1000000000),IFERROR(IF(VALUE(MID($A181,2,20))&lt;100000000,VALUE(MID($A181,2,20)),1000000000),1000000000))+ROW()/100000,"")</f>
        <v/>
      </c>
    </row>
    <row r="182">
      <c r="F182" s="7">
        <f>IF($A182="","",E182*N182/100)</f>
        <v/>
      </c>
      <c r="J182" s="7" t="n"/>
      <c r="K182" s="7">
        <f>IF($A182="","",S182*N182)</f>
        <v/>
      </c>
      <c r="L182" s="7">
        <f>IF($A182="","",N182-K182)</f>
        <v/>
      </c>
      <c r="M182" s="7">
        <f>IF($A182="","",L182-F182)</f>
        <v/>
      </c>
      <c r="N182" s="7" t="n"/>
      <c r="Q182" s="11" t="n"/>
      <c r="S182">
        <f>IF($A182="","",IF($W182=1,Settings!$C$6,Settings!$C$7)*1)</f>
        <v/>
      </c>
      <c r="U182">
        <f>IF($A182="","",IF(COUNTIF($A$2:$A182,$A182)=1,1,0))</f>
        <v/>
      </c>
      <c r="V182">
        <f>IF($U182=1,SUMPRODUCT(--($X$2:$X$3001&lt;$X182))+1,"")</f>
        <v/>
      </c>
      <c r="W182">
        <f>IF($A182="","",IF(OR($T182=TRUE(),$T182="TRUE"),1,0))</f>
        <v/>
      </c>
      <c r="X182">
        <f>IF($U182=1,IFERROR(IF(VALUE($A182)&lt;100000000,VALUE($A182),1000000000),IFERROR(IF(VALUE(MID($A182,2,20))&lt;100000000,VALUE(MID($A182,2,20)),1000000000),1000000000))+ROW()/100000,"")</f>
        <v/>
      </c>
    </row>
    <row r="183">
      <c r="F183" s="7">
        <f>IF($A183="","",E183*N183/100)</f>
        <v/>
      </c>
      <c r="J183" s="7" t="n"/>
      <c r="K183" s="7">
        <f>IF($A183="","",S183*N183)</f>
        <v/>
      </c>
      <c r="L183" s="7">
        <f>IF($A183="","",N183-K183)</f>
        <v/>
      </c>
      <c r="M183" s="7">
        <f>IF($A183="","",L183-F183)</f>
        <v/>
      </c>
      <c r="N183" s="7" t="n"/>
      <c r="Q183" s="11" t="n"/>
      <c r="S183">
        <f>IF($A183="","",IF($W183=1,Settings!$C$6,Settings!$C$7)*1)</f>
        <v/>
      </c>
      <c r="U183">
        <f>IF($A183="","",IF(COUNTIF($A$2:$A183,$A183)=1,1,0))</f>
        <v/>
      </c>
      <c r="V183">
        <f>IF($U183=1,SUMPRODUCT(--($X$2:$X$3001&lt;$X183))+1,"")</f>
        <v/>
      </c>
      <c r="W183">
        <f>IF($A183="","",IF(OR($T183=TRUE(),$T183="TRUE"),1,0))</f>
        <v/>
      </c>
      <c r="X183">
        <f>IF($U183=1,IFERROR(IF(VALUE($A183)&lt;100000000,VALUE($A183),1000000000),IFERROR(IF(VALUE(MID($A183,2,20))&lt;100000000,VALUE(MID($A183,2,20)),1000000000),1000000000))+ROW()/100000,"")</f>
        <v/>
      </c>
    </row>
    <row r="184">
      <c r="F184" s="7">
        <f>IF($A184="","",E184*N184/100)</f>
        <v/>
      </c>
      <c r="J184" s="7" t="n"/>
      <c r="K184" s="7">
        <f>IF($A184="","",S184*N184)</f>
        <v/>
      </c>
      <c r="L184" s="7">
        <f>IF($A184="","",N184-K184)</f>
        <v/>
      </c>
      <c r="M184" s="7">
        <f>IF($A184="","",L184-F184)</f>
        <v/>
      </c>
      <c r="N184" s="7" t="n"/>
      <c r="Q184" s="11" t="n"/>
      <c r="S184">
        <f>IF($A184="","",IF($W184=1,Settings!$C$6,Settings!$C$7)*1)</f>
        <v/>
      </c>
      <c r="U184">
        <f>IF($A184="","",IF(COUNTIF($A$2:$A184,$A184)=1,1,0))</f>
        <v/>
      </c>
      <c r="V184">
        <f>IF($U184=1,SUMPRODUCT(--($X$2:$X$3001&lt;$X184))+1,"")</f>
        <v/>
      </c>
      <c r="W184">
        <f>IF($A184="","",IF(OR($T184=TRUE(),$T184="TRUE"),1,0))</f>
        <v/>
      </c>
      <c r="X184">
        <f>IF($U184=1,IFERROR(IF(VALUE($A184)&lt;100000000,VALUE($A184),1000000000),IFERROR(IF(VALUE(MID($A184,2,20))&lt;100000000,VALUE(MID($A184,2,20)),1000000000),1000000000))+ROW()/100000,"")</f>
        <v/>
      </c>
    </row>
    <row r="185">
      <c r="F185" s="7">
        <f>IF($A185="","",E185*N185/100)</f>
        <v/>
      </c>
      <c r="J185" s="7" t="n"/>
      <c r="K185" s="7">
        <f>IF($A185="","",S185*N185)</f>
        <v/>
      </c>
      <c r="L185" s="7">
        <f>IF($A185="","",N185-K185)</f>
        <v/>
      </c>
      <c r="M185" s="7">
        <f>IF($A185="","",L185-F185)</f>
        <v/>
      </c>
      <c r="N185" s="7" t="n"/>
      <c r="Q185" s="11" t="n"/>
      <c r="S185">
        <f>IF($A185="","",IF($W185=1,Settings!$C$6,Settings!$C$7)*1)</f>
        <v/>
      </c>
      <c r="U185">
        <f>IF($A185="","",IF(COUNTIF($A$2:$A185,$A185)=1,1,0))</f>
        <v/>
      </c>
      <c r="V185">
        <f>IF($U185=1,SUMPRODUCT(--($X$2:$X$3001&lt;$X185))+1,"")</f>
        <v/>
      </c>
      <c r="W185">
        <f>IF($A185="","",IF(OR($T185=TRUE(),$T185="TRUE"),1,0))</f>
        <v/>
      </c>
      <c r="X185">
        <f>IF($U185=1,IFERROR(IF(VALUE($A185)&lt;100000000,VALUE($A185),1000000000),IFERROR(IF(VALUE(MID($A185,2,20))&lt;100000000,VALUE(MID($A185,2,20)),1000000000),1000000000))+ROW()/100000,"")</f>
        <v/>
      </c>
    </row>
    <row r="186">
      <c r="F186" s="7">
        <f>IF($A186="","",E186*N186/100)</f>
        <v/>
      </c>
      <c r="J186" s="7" t="n"/>
      <c r="K186" s="7">
        <f>IF($A186="","",S186*N186)</f>
        <v/>
      </c>
      <c r="L186" s="7">
        <f>IF($A186="","",N186-K186)</f>
        <v/>
      </c>
      <c r="M186" s="7">
        <f>IF($A186="","",L186-F186)</f>
        <v/>
      </c>
      <c r="N186" s="7" t="n"/>
      <c r="Q186" s="11" t="n"/>
      <c r="S186">
        <f>IF($A186="","",IF($W186=1,Settings!$C$6,Settings!$C$7)*1)</f>
        <v/>
      </c>
      <c r="U186">
        <f>IF($A186="","",IF(COUNTIF($A$2:$A186,$A186)=1,1,0))</f>
        <v/>
      </c>
      <c r="V186">
        <f>IF($U186=1,SUMPRODUCT(--($X$2:$X$3001&lt;$X186))+1,"")</f>
        <v/>
      </c>
      <c r="W186">
        <f>IF($A186="","",IF(OR($T186=TRUE(),$T186="TRUE"),1,0))</f>
        <v/>
      </c>
      <c r="X186">
        <f>IF($U186=1,IFERROR(IF(VALUE($A186)&lt;100000000,VALUE($A186),1000000000),IFERROR(IF(VALUE(MID($A186,2,20))&lt;100000000,VALUE(MID($A186,2,20)),1000000000),1000000000))+ROW()/100000,"")</f>
        <v/>
      </c>
    </row>
    <row r="187">
      <c r="F187" s="7">
        <f>IF($A187="","",E187*N187/100)</f>
        <v/>
      </c>
      <c r="J187" s="7" t="n"/>
      <c r="K187" s="7">
        <f>IF($A187="","",S187*N187)</f>
        <v/>
      </c>
      <c r="L187" s="7">
        <f>IF($A187="","",N187-K187)</f>
        <v/>
      </c>
      <c r="M187" s="7">
        <f>IF($A187="","",L187-F187)</f>
        <v/>
      </c>
      <c r="N187" s="7" t="n"/>
      <c r="Q187" s="11" t="n"/>
      <c r="S187">
        <f>IF($A187="","",IF($W187=1,Settings!$C$6,Settings!$C$7)*1)</f>
        <v/>
      </c>
      <c r="U187">
        <f>IF($A187="","",IF(COUNTIF($A$2:$A187,$A187)=1,1,0))</f>
        <v/>
      </c>
      <c r="V187">
        <f>IF($U187=1,SUMPRODUCT(--($X$2:$X$3001&lt;$X187))+1,"")</f>
        <v/>
      </c>
      <c r="W187">
        <f>IF($A187="","",IF(OR($T187=TRUE(),$T187="TRUE"),1,0))</f>
        <v/>
      </c>
      <c r="X187">
        <f>IF($U187=1,IFERROR(IF(VALUE($A187)&lt;100000000,VALUE($A187),1000000000),IFERROR(IF(VALUE(MID($A187,2,20))&lt;100000000,VALUE(MID($A187,2,20)),1000000000),1000000000))+ROW()/100000,"")</f>
        <v/>
      </c>
    </row>
    <row r="188">
      <c r="F188" s="7">
        <f>IF($A188="","",E188*N188/100)</f>
        <v/>
      </c>
      <c r="J188" s="7" t="n"/>
      <c r="K188" s="7">
        <f>IF($A188="","",S188*N188)</f>
        <v/>
      </c>
      <c r="L188" s="7">
        <f>IF($A188="","",N188-K188)</f>
        <v/>
      </c>
      <c r="M188" s="7">
        <f>IF($A188="","",L188-F188)</f>
        <v/>
      </c>
      <c r="N188" s="7" t="n"/>
      <c r="Q188" s="11" t="n"/>
      <c r="S188">
        <f>IF($A188="","",IF($W188=1,Settings!$C$6,Settings!$C$7)*1)</f>
        <v/>
      </c>
      <c r="U188">
        <f>IF($A188="","",IF(COUNTIF($A$2:$A188,$A188)=1,1,0))</f>
        <v/>
      </c>
      <c r="V188">
        <f>IF($U188=1,SUMPRODUCT(--($X$2:$X$3001&lt;$X188))+1,"")</f>
        <v/>
      </c>
      <c r="W188">
        <f>IF($A188="","",IF(OR($T188=TRUE(),$T188="TRUE"),1,0))</f>
        <v/>
      </c>
      <c r="X188">
        <f>IF($U188=1,IFERROR(IF(VALUE($A188)&lt;100000000,VALUE($A188),1000000000),IFERROR(IF(VALUE(MID($A188,2,20))&lt;100000000,VALUE(MID($A188,2,20)),1000000000),1000000000))+ROW()/100000,"")</f>
        <v/>
      </c>
    </row>
    <row r="189">
      <c r="F189" s="7">
        <f>IF($A189="","",E189*N189/100)</f>
        <v/>
      </c>
      <c r="J189" s="7" t="n"/>
      <c r="K189" s="7">
        <f>IF($A189="","",S189*N189)</f>
        <v/>
      </c>
      <c r="L189" s="7">
        <f>IF($A189="","",N189-K189)</f>
        <v/>
      </c>
      <c r="M189" s="7">
        <f>IF($A189="","",L189-F189)</f>
        <v/>
      </c>
      <c r="N189" s="7" t="n"/>
      <c r="Q189" s="11" t="n"/>
      <c r="S189">
        <f>IF($A189="","",IF($W189=1,Settings!$C$6,Settings!$C$7)*1)</f>
        <v/>
      </c>
      <c r="U189">
        <f>IF($A189="","",IF(COUNTIF($A$2:$A189,$A189)=1,1,0))</f>
        <v/>
      </c>
      <c r="V189">
        <f>IF($U189=1,SUMPRODUCT(--($X$2:$X$3001&lt;$X189))+1,"")</f>
        <v/>
      </c>
      <c r="W189">
        <f>IF($A189="","",IF(OR($T189=TRUE(),$T189="TRUE"),1,0))</f>
        <v/>
      </c>
      <c r="X189">
        <f>IF($U189=1,IFERROR(IF(VALUE($A189)&lt;100000000,VALUE($A189),1000000000),IFERROR(IF(VALUE(MID($A189,2,20))&lt;100000000,VALUE(MID($A189,2,20)),1000000000),1000000000))+ROW()/100000,"")</f>
        <v/>
      </c>
    </row>
    <row r="190">
      <c r="F190" s="7">
        <f>IF($A190="","",E190*N190/100)</f>
        <v/>
      </c>
      <c r="J190" s="7" t="n"/>
      <c r="K190" s="7">
        <f>IF($A190="","",S190*N190)</f>
        <v/>
      </c>
      <c r="L190" s="7">
        <f>IF($A190="","",N190-K190)</f>
        <v/>
      </c>
      <c r="M190" s="7">
        <f>IF($A190="","",L190-F190)</f>
        <v/>
      </c>
      <c r="N190" s="7" t="n"/>
      <c r="Q190" s="11" t="n"/>
      <c r="S190">
        <f>IF($A190="","",IF($W190=1,Settings!$C$6,Settings!$C$7)*1)</f>
        <v/>
      </c>
      <c r="U190">
        <f>IF($A190="","",IF(COUNTIF($A$2:$A190,$A190)=1,1,0))</f>
        <v/>
      </c>
      <c r="V190">
        <f>IF($U190=1,SUMPRODUCT(--($X$2:$X$3001&lt;$X190))+1,"")</f>
        <v/>
      </c>
      <c r="W190">
        <f>IF($A190="","",IF(OR($T190=TRUE(),$T190="TRUE"),1,0))</f>
        <v/>
      </c>
      <c r="X190">
        <f>IF($U190=1,IFERROR(IF(VALUE($A190)&lt;100000000,VALUE($A190),1000000000),IFERROR(IF(VALUE(MID($A190,2,20))&lt;100000000,VALUE(MID($A190,2,20)),1000000000),1000000000))+ROW()/100000,"")</f>
        <v/>
      </c>
    </row>
    <row r="191">
      <c r="F191" s="7">
        <f>IF($A191="","",E191*N191/100)</f>
        <v/>
      </c>
      <c r="J191" s="7" t="n"/>
      <c r="K191" s="7">
        <f>IF($A191="","",S191*N191)</f>
        <v/>
      </c>
      <c r="L191" s="7">
        <f>IF($A191="","",N191-K191)</f>
        <v/>
      </c>
      <c r="M191" s="7">
        <f>IF($A191="","",L191-F191)</f>
        <v/>
      </c>
      <c r="N191" s="7" t="n"/>
      <c r="Q191" s="11" t="n"/>
      <c r="S191">
        <f>IF($A191="","",IF($W191=1,Settings!$C$6,Settings!$C$7)*1)</f>
        <v/>
      </c>
      <c r="U191">
        <f>IF($A191="","",IF(COUNTIF($A$2:$A191,$A191)=1,1,0))</f>
        <v/>
      </c>
      <c r="V191">
        <f>IF($U191=1,SUMPRODUCT(--($X$2:$X$3001&lt;$X191))+1,"")</f>
        <v/>
      </c>
      <c r="W191">
        <f>IF($A191="","",IF(OR($T191=TRUE(),$T191="TRUE"),1,0))</f>
        <v/>
      </c>
      <c r="X191">
        <f>IF($U191=1,IFERROR(IF(VALUE($A191)&lt;100000000,VALUE($A191),1000000000),IFERROR(IF(VALUE(MID($A191,2,20))&lt;100000000,VALUE(MID($A191,2,20)),1000000000),1000000000))+ROW()/100000,"")</f>
        <v/>
      </c>
    </row>
    <row r="192">
      <c r="F192" s="7">
        <f>IF($A192="","",E192*N192/100)</f>
        <v/>
      </c>
      <c r="J192" s="7" t="n"/>
      <c r="K192" s="7">
        <f>IF($A192="","",S192*N192)</f>
        <v/>
      </c>
      <c r="L192" s="7">
        <f>IF($A192="","",N192-K192)</f>
        <v/>
      </c>
      <c r="M192" s="7">
        <f>IF($A192="","",L192-F192)</f>
        <v/>
      </c>
      <c r="N192" s="7" t="n"/>
      <c r="Q192" s="11" t="n"/>
      <c r="S192">
        <f>IF($A192="","",IF($W192=1,Settings!$C$6,Settings!$C$7)*1)</f>
        <v/>
      </c>
      <c r="U192">
        <f>IF($A192="","",IF(COUNTIF($A$2:$A192,$A192)=1,1,0))</f>
        <v/>
      </c>
      <c r="V192">
        <f>IF($U192=1,SUMPRODUCT(--($X$2:$X$3001&lt;$X192))+1,"")</f>
        <v/>
      </c>
      <c r="W192">
        <f>IF($A192="","",IF(OR($T192=TRUE(),$T192="TRUE"),1,0))</f>
        <v/>
      </c>
      <c r="X192">
        <f>IF($U192=1,IFERROR(IF(VALUE($A192)&lt;100000000,VALUE($A192),1000000000),IFERROR(IF(VALUE(MID($A192,2,20))&lt;100000000,VALUE(MID($A192,2,20)),1000000000),1000000000))+ROW()/100000,"")</f>
        <v/>
      </c>
    </row>
    <row r="193">
      <c r="F193" s="7">
        <f>IF($A193="","",E193*N193/100)</f>
        <v/>
      </c>
      <c r="J193" s="7" t="n"/>
      <c r="K193" s="7">
        <f>IF($A193="","",S193*N193)</f>
        <v/>
      </c>
      <c r="L193" s="7">
        <f>IF($A193="","",N193-K193)</f>
        <v/>
      </c>
      <c r="M193" s="7">
        <f>IF($A193="","",L193-F193)</f>
        <v/>
      </c>
      <c r="N193" s="7" t="n"/>
      <c r="Q193" s="11" t="n"/>
      <c r="S193">
        <f>IF($A193="","",IF($W193=1,Settings!$C$6,Settings!$C$7)*1)</f>
        <v/>
      </c>
      <c r="U193">
        <f>IF($A193="","",IF(COUNTIF($A$2:$A193,$A193)=1,1,0))</f>
        <v/>
      </c>
      <c r="V193">
        <f>IF($U193=1,SUMPRODUCT(--($X$2:$X$3001&lt;$X193))+1,"")</f>
        <v/>
      </c>
      <c r="W193">
        <f>IF($A193="","",IF(OR($T193=TRUE(),$T193="TRUE"),1,0))</f>
        <v/>
      </c>
      <c r="X193">
        <f>IF($U193=1,IFERROR(IF(VALUE($A193)&lt;100000000,VALUE($A193),1000000000),IFERROR(IF(VALUE(MID($A193,2,20))&lt;100000000,VALUE(MID($A193,2,20)),1000000000),1000000000))+ROW()/100000,"")</f>
        <v/>
      </c>
    </row>
    <row r="194">
      <c r="F194" s="7">
        <f>IF($A194="","",E194*N194/100)</f>
        <v/>
      </c>
      <c r="J194" s="7" t="n"/>
      <c r="K194" s="7">
        <f>IF($A194="","",S194*N194)</f>
        <v/>
      </c>
      <c r="L194" s="7">
        <f>IF($A194="","",N194-K194)</f>
        <v/>
      </c>
      <c r="M194" s="7">
        <f>IF($A194="","",L194-F194)</f>
        <v/>
      </c>
      <c r="N194" s="7" t="n"/>
      <c r="Q194" s="11" t="n"/>
      <c r="S194">
        <f>IF($A194="","",IF($W194=1,Settings!$C$6,Settings!$C$7)*1)</f>
        <v/>
      </c>
      <c r="U194">
        <f>IF($A194="","",IF(COUNTIF($A$2:$A194,$A194)=1,1,0))</f>
        <v/>
      </c>
      <c r="V194">
        <f>IF($U194=1,SUMPRODUCT(--($X$2:$X$3001&lt;$X194))+1,"")</f>
        <v/>
      </c>
      <c r="W194">
        <f>IF($A194="","",IF(OR($T194=TRUE(),$T194="TRUE"),1,0))</f>
        <v/>
      </c>
      <c r="X194">
        <f>IF($U194=1,IFERROR(IF(VALUE($A194)&lt;100000000,VALUE($A194),1000000000),IFERROR(IF(VALUE(MID($A194,2,20))&lt;100000000,VALUE(MID($A194,2,20)),1000000000),1000000000))+ROW()/100000,"")</f>
        <v/>
      </c>
    </row>
    <row r="195">
      <c r="F195" s="7">
        <f>IF($A195="","",E195*N195/100)</f>
        <v/>
      </c>
      <c r="J195" s="7" t="n"/>
      <c r="K195" s="7">
        <f>IF($A195="","",S195*N195)</f>
        <v/>
      </c>
      <c r="L195" s="7">
        <f>IF($A195="","",N195-K195)</f>
        <v/>
      </c>
      <c r="M195" s="7">
        <f>IF($A195="","",L195-F195)</f>
        <v/>
      </c>
      <c r="N195" s="7" t="n"/>
      <c r="Q195" s="11" t="n"/>
      <c r="S195">
        <f>IF($A195="","",IF($W195=1,Settings!$C$6,Settings!$C$7)*1)</f>
        <v/>
      </c>
      <c r="U195">
        <f>IF($A195="","",IF(COUNTIF($A$2:$A195,$A195)=1,1,0))</f>
        <v/>
      </c>
      <c r="V195">
        <f>IF($U195=1,SUMPRODUCT(--($X$2:$X$3001&lt;$X195))+1,"")</f>
        <v/>
      </c>
      <c r="W195">
        <f>IF($A195="","",IF(OR($T195=TRUE(),$T195="TRUE"),1,0))</f>
        <v/>
      </c>
      <c r="X195">
        <f>IF($U195=1,IFERROR(IF(VALUE($A195)&lt;100000000,VALUE($A195),1000000000),IFERROR(IF(VALUE(MID($A195,2,20))&lt;100000000,VALUE(MID($A195,2,20)),1000000000),1000000000))+ROW()/100000,"")</f>
        <v/>
      </c>
    </row>
    <row r="196">
      <c r="F196" s="7">
        <f>IF($A196="","",E196*N196/100)</f>
        <v/>
      </c>
      <c r="J196" s="7" t="n"/>
      <c r="K196" s="7">
        <f>IF($A196="","",S196*N196)</f>
        <v/>
      </c>
      <c r="L196" s="7">
        <f>IF($A196="","",N196-K196)</f>
        <v/>
      </c>
      <c r="M196" s="7">
        <f>IF($A196="","",L196-F196)</f>
        <v/>
      </c>
      <c r="N196" s="7" t="n"/>
      <c r="Q196" s="11" t="n"/>
      <c r="S196">
        <f>IF($A196="","",IF($W196=1,Settings!$C$6,Settings!$C$7)*1)</f>
        <v/>
      </c>
      <c r="U196">
        <f>IF($A196="","",IF(COUNTIF($A$2:$A196,$A196)=1,1,0))</f>
        <v/>
      </c>
      <c r="V196">
        <f>IF($U196=1,SUMPRODUCT(--($X$2:$X$3001&lt;$X196))+1,"")</f>
        <v/>
      </c>
      <c r="W196">
        <f>IF($A196="","",IF(OR($T196=TRUE(),$T196="TRUE"),1,0))</f>
        <v/>
      </c>
      <c r="X196">
        <f>IF($U196=1,IFERROR(IF(VALUE($A196)&lt;100000000,VALUE($A196),1000000000),IFERROR(IF(VALUE(MID($A196,2,20))&lt;100000000,VALUE(MID($A196,2,20)),1000000000),1000000000))+ROW()/100000,"")</f>
        <v/>
      </c>
    </row>
    <row r="197">
      <c r="F197" s="7">
        <f>IF($A197="","",E197*N197/100)</f>
        <v/>
      </c>
      <c r="J197" s="7" t="n"/>
      <c r="K197" s="7">
        <f>IF($A197="","",S197*N197)</f>
        <v/>
      </c>
      <c r="L197" s="7">
        <f>IF($A197="","",N197-K197)</f>
        <v/>
      </c>
      <c r="M197" s="7">
        <f>IF($A197="","",L197-F197)</f>
        <v/>
      </c>
      <c r="N197" s="7" t="n"/>
      <c r="Q197" s="11" t="n"/>
      <c r="S197">
        <f>IF($A197="","",IF($W197=1,Settings!$C$6,Settings!$C$7)*1)</f>
        <v/>
      </c>
      <c r="U197">
        <f>IF($A197="","",IF(COUNTIF($A$2:$A197,$A197)=1,1,0))</f>
        <v/>
      </c>
      <c r="V197">
        <f>IF($U197=1,SUMPRODUCT(--($X$2:$X$3001&lt;$X197))+1,"")</f>
        <v/>
      </c>
      <c r="W197">
        <f>IF($A197="","",IF(OR($T197=TRUE(),$T197="TRUE"),1,0))</f>
        <v/>
      </c>
      <c r="X197">
        <f>IF($U197=1,IFERROR(IF(VALUE($A197)&lt;100000000,VALUE($A197),1000000000),IFERROR(IF(VALUE(MID($A197,2,20))&lt;100000000,VALUE(MID($A197,2,20)),1000000000),1000000000))+ROW()/100000,"")</f>
        <v/>
      </c>
    </row>
    <row r="198">
      <c r="F198" s="7">
        <f>IF($A198="","",E198*N198/100)</f>
        <v/>
      </c>
      <c r="J198" s="7" t="n"/>
      <c r="K198" s="7">
        <f>IF($A198="","",S198*N198)</f>
        <v/>
      </c>
      <c r="L198" s="7">
        <f>IF($A198="","",N198-K198)</f>
        <v/>
      </c>
      <c r="M198" s="7">
        <f>IF($A198="","",L198-F198)</f>
        <v/>
      </c>
      <c r="N198" s="7" t="n"/>
      <c r="Q198" s="11" t="n"/>
      <c r="S198">
        <f>IF($A198="","",IF($W198=1,Settings!$C$6,Settings!$C$7)*1)</f>
        <v/>
      </c>
      <c r="U198">
        <f>IF($A198="","",IF(COUNTIF($A$2:$A198,$A198)=1,1,0))</f>
        <v/>
      </c>
      <c r="V198">
        <f>IF($U198=1,SUMPRODUCT(--($X$2:$X$3001&lt;$X198))+1,"")</f>
        <v/>
      </c>
      <c r="W198">
        <f>IF($A198="","",IF(OR($T198=TRUE(),$T198="TRUE"),1,0))</f>
        <v/>
      </c>
      <c r="X198">
        <f>IF($U198=1,IFERROR(IF(VALUE($A198)&lt;100000000,VALUE($A198),1000000000),IFERROR(IF(VALUE(MID($A198,2,20))&lt;100000000,VALUE(MID($A198,2,20)),1000000000),1000000000))+ROW()/100000,"")</f>
        <v/>
      </c>
    </row>
    <row r="199">
      <c r="F199" s="7">
        <f>IF($A199="","",E199*N199/100)</f>
        <v/>
      </c>
      <c r="J199" s="7" t="n"/>
      <c r="K199" s="7">
        <f>IF($A199="","",S199*N199)</f>
        <v/>
      </c>
      <c r="L199" s="7">
        <f>IF($A199="","",N199-K199)</f>
        <v/>
      </c>
      <c r="M199" s="7">
        <f>IF($A199="","",L199-F199)</f>
        <v/>
      </c>
      <c r="N199" s="7" t="n"/>
      <c r="Q199" s="11" t="n"/>
      <c r="S199">
        <f>IF($A199="","",IF($W199=1,Settings!$C$6,Settings!$C$7)*1)</f>
        <v/>
      </c>
      <c r="U199">
        <f>IF($A199="","",IF(COUNTIF($A$2:$A199,$A199)=1,1,0))</f>
        <v/>
      </c>
      <c r="V199">
        <f>IF($U199=1,SUMPRODUCT(--($X$2:$X$3001&lt;$X199))+1,"")</f>
        <v/>
      </c>
      <c r="W199">
        <f>IF($A199="","",IF(OR($T199=TRUE(),$T199="TRUE"),1,0))</f>
        <v/>
      </c>
      <c r="X199">
        <f>IF($U199=1,IFERROR(IF(VALUE($A199)&lt;100000000,VALUE($A199),1000000000),IFERROR(IF(VALUE(MID($A199,2,20))&lt;100000000,VALUE(MID($A199,2,20)),1000000000),1000000000))+ROW()/100000,"")</f>
        <v/>
      </c>
    </row>
    <row r="200">
      <c r="F200" s="7">
        <f>IF($A200="","",E200*N200/100)</f>
        <v/>
      </c>
      <c r="J200" s="7" t="n"/>
      <c r="K200" s="7">
        <f>IF($A200="","",S200*N200)</f>
        <v/>
      </c>
      <c r="L200" s="7">
        <f>IF($A200="","",N200-K200)</f>
        <v/>
      </c>
      <c r="M200" s="7">
        <f>IF($A200="","",L200-F200)</f>
        <v/>
      </c>
      <c r="N200" s="7" t="n"/>
      <c r="Q200" s="11" t="n"/>
      <c r="S200">
        <f>IF($A200="","",IF($W200=1,Settings!$C$6,Settings!$C$7)*1)</f>
        <v/>
      </c>
      <c r="U200">
        <f>IF($A200="","",IF(COUNTIF($A$2:$A200,$A200)=1,1,0))</f>
        <v/>
      </c>
      <c r="V200">
        <f>IF($U200=1,SUMPRODUCT(--($X$2:$X$3001&lt;$X200))+1,"")</f>
        <v/>
      </c>
      <c r="W200">
        <f>IF($A200="","",IF(OR($T200=TRUE(),$T200="TRUE"),1,0))</f>
        <v/>
      </c>
      <c r="X200">
        <f>IF($U200=1,IFERROR(IF(VALUE($A200)&lt;100000000,VALUE($A200),1000000000),IFERROR(IF(VALUE(MID($A200,2,20))&lt;100000000,VALUE(MID($A200,2,20)),1000000000),1000000000))+ROW()/100000,"")</f>
        <v/>
      </c>
    </row>
    <row r="201">
      <c r="F201" s="7">
        <f>IF($A201="","",E201*N201/100)</f>
        <v/>
      </c>
      <c r="J201" s="7" t="n"/>
      <c r="K201" s="7">
        <f>IF($A201="","",S201*N201)</f>
        <v/>
      </c>
      <c r="L201" s="7">
        <f>IF($A201="","",N201-K201)</f>
        <v/>
      </c>
      <c r="M201" s="7">
        <f>IF($A201="","",L201-F201)</f>
        <v/>
      </c>
      <c r="N201" s="7" t="n"/>
      <c r="Q201" s="11" t="n"/>
      <c r="S201">
        <f>IF($A201="","",IF($W201=1,Settings!$C$6,Settings!$C$7)*1)</f>
        <v/>
      </c>
      <c r="U201">
        <f>IF($A201="","",IF(COUNTIF($A$2:$A201,$A201)=1,1,0))</f>
        <v/>
      </c>
      <c r="V201">
        <f>IF($U201=1,SUMPRODUCT(--($X$2:$X$3001&lt;$X201))+1,"")</f>
        <v/>
      </c>
      <c r="W201">
        <f>IF($A201="","",IF(OR($T201=TRUE(),$T201="TRUE"),1,0))</f>
        <v/>
      </c>
      <c r="X201">
        <f>IF($U201=1,IFERROR(IF(VALUE($A201)&lt;100000000,VALUE($A201),1000000000),IFERROR(IF(VALUE(MID($A201,2,20))&lt;100000000,VALUE(MID($A201,2,20)),1000000000),1000000000))+ROW()/100000,"")</f>
        <v/>
      </c>
    </row>
    <row r="202">
      <c r="F202" s="7">
        <f>IF($A202="","",E202*N202/100)</f>
        <v/>
      </c>
      <c r="J202" s="7" t="n"/>
      <c r="K202" s="7">
        <f>IF($A202="","",S202*N202)</f>
        <v/>
      </c>
      <c r="L202" s="7">
        <f>IF($A202="","",N202-K202)</f>
        <v/>
      </c>
      <c r="M202" s="7">
        <f>IF($A202="","",L202-F202)</f>
        <v/>
      </c>
      <c r="N202" s="7" t="n"/>
      <c r="Q202" s="11" t="n"/>
      <c r="S202">
        <f>IF($A202="","",IF($W202=1,Settings!$C$6,Settings!$C$7)*1)</f>
        <v/>
      </c>
      <c r="U202">
        <f>IF($A202="","",IF(COUNTIF($A$2:$A202,$A202)=1,1,0))</f>
        <v/>
      </c>
      <c r="V202">
        <f>IF($U202=1,SUMPRODUCT(--($X$2:$X$3001&lt;$X202))+1,"")</f>
        <v/>
      </c>
      <c r="W202">
        <f>IF($A202="","",IF(OR($T202=TRUE(),$T202="TRUE"),1,0))</f>
        <v/>
      </c>
      <c r="X202">
        <f>IF($U202=1,IFERROR(IF(VALUE($A202)&lt;100000000,VALUE($A202),1000000000),IFERROR(IF(VALUE(MID($A202,2,20))&lt;100000000,VALUE(MID($A202,2,20)),1000000000),1000000000))+ROW()/100000,"")</f>
        <v/>
      </c>
    </row>
    <row r="203">
      <c r="F203" s="7">
        <f>IF($A203="","",E203*N203/100)</f>
        <v/>
      </c>
      <c r="J203" s="7" t="n"/>
      <c r="K203" s="7">
        <f>IF($A203="","",S203*N203)</f>
        <v/>
      </c>
      <c r="L203" s="7">
        <f>IF($A203="","",N203-K203)</f>
        <v/>
      </c>
      <c r="M203" s="7">
        <f>IF($A203="","",L203-F203)</f>
        <v/>
      </c>
      <c r="N203" s="7" t="n"/>
      <c r="Q203" s="11" t="n"/>
      <c r="S203">
        <f>IF($A203="","",IF($W203=1,Settings!$C$6,Settings!$C$7)*1)</f>
        <v/>
      </c>
      <c r="U203">
        <f>IF($A203="","",IF(COUNTIF($A$2:$A203,$A203)=1,1,0))</f>
        <v/>
      </c>
      <c r="V203">
        <f>IF($U203=1,SUMPRODUCT(--($X$2:$X$3001&lt;$X203))+1,"")</f>
        <v/>
      </c>
      <c r="W203">
        <f>IF($A203="","",IF(OR($T203=TRUE(),$T203="TRUE"),1,0))</f>
        <v/>
      </c>
      <c r="X203">
        <f>IF($U203=1,IFERROR(IF(VALUE($A203)&lt;100000000,VALUE($A203),1000000000),IFERROR(IF(VALUE(MID($A203,2,20))&lt;100000000,VALUE(MID($A203,2,20)),1000000000),1000000000))+ROW()/100000,"")</f>
        <v/>
      </c>
    </row>
    <row r="204">
      <c r="F204" s="7">
        <f>IF($A204="","",E204*N204/100)</f>
        <v/>
      </c>
      <c r="J204" s="7" t="n"/>
      <c r="K204" s="7">
        <f>IF($A204="","",S204*N204)</f>
        <v/>
      </c>
      <c r="L204" s="7">
        <f>IF($A204="","",N204-K204)</f>
        <v/>
      </c>
      <c r="M204" s="7">
        <f>IF($A204="","",L204-F204)</f>
        <v/>
      </c>
      <c r="N204" s="7" t="n"/>
      <c r="Q204" s="11" t="n"/>
      <c r="S204">
        <f>IF($A204="","",IF($W204=1,Settings!$C$6,Settings!$C$7)*1)</f>
        <v/>
      </c>
      <c r="U204">
        <f>IF($A204="","",IF(COUNTIF($A$2:$A204,$A204)=1,1,0))</f>
        <v/>
      </c>
      <c r="V204">
        <f>IF($U204=1,SUMPRODUCT(--($X$2:$X$3001&lt;$X204))+1,"")</f>
        <v/>
      </c>
      <c r="W204">
        <f>IF($A204="","",IF(OR($T204=TRUE(),$T204="TRUE"),1,0))</f>
        <v/>
      </c>
      <c r="X204">
        <f>IF($U204=1,IFERROR(IF(VALUE($A204)&lt;100000000,VALUE($A204),1000000000),IFERROR(IF(VALUE(MID($A204,2,20))&lt;100000000,VALUE(MID($A204,2,20)),1000000000),1000000000))+ROW()/100000,"")</f>
        <v/>
      </c>
    </row>
    <row r="205">
      <c r="F205" s="7">
        <f>IF($A205="","",E205*N205/100)</f>
        <v/>
      </c>
      <c r="J205" s="7" t="n"/>
      <c r="K205" s="7">
        <f>IF($A205="","",S205*N205)</f>
        <v/>
      </c>
      <c r="L205" s="7">
        <f>IF($A205="","",N205-K205)</f>
        <v/>
      </c>
      <c r="M205" s="7">
        <f>IF($A205="","",L205-F205)</f>
        <v/>
      </c>
      <c r="N205" s="7" t="n"/>
      <c r="Q205" s="11" t="n"/>
      <c r="S205">
        <f>IF($A205="","",IF($W205=1,Settings!$C$6,Settings!$C$7)*1)</f>
        <v/>
      </c>
      <c r="U205">
        <f>IF($A205="","",IF(COUNTIF($A$2:$A205,$A205)=1,1,0))</f>
        <v/>
      </c>
      <c r="V205">
        <f>IF($U205=1,SUMPRODUCT(--($X$2:$X$3001&lt;$X205))+1,"")</f>
        <v/>
      </c>
      <c r="W205">
        <f>IF($A205="","",IF(OR($T205=TRUE(),$T205="TRUE"),1,0))</f>
        <v/>
      </c>
      <c r="X205">
        <f>IF($U205=1,IFERROR(IF(VALUE($A205)&lt;100000000,VALUE($A205),1000000000),IFERROR(IF(VALUE(MID($A205,2,20))&lt;100000000,VALUE(MID($A205,2,20)),1000000000),1000000000))+ROW()/100000,"")</f>
        <v/>
      </c>
    </row>
    <row r="206">
      <c r="F206" s="7">
        <f>IF($A206="","",E206*N206/100)</f>
        <v/>
      </c>
      <c r="J206" s="7" t="n"/>
      <c r="K206" s="7">
        <f>IF($A206="","",S206*N206)</f>
        <v/>
      </c>
      <c r="L206" s="7">
        <f>IF($A206="","",N206-K206)</f>
        <v/>
      </c>
      <c r="M206" s="7">
        <f>IF($A206="","",L206-F206)</f>
        <v/>
      </c>
      <c r="N206" s="7" t="n"/>
      <c r="Q206" s="11" t="n"/>
      <c r="S206">
        <f>IF($A206="","",IF($W206=1,Settings!$C$6,Settings!$C$7)*1)</f>
        <v/>
      </c>
      <c r="U206">
        <f>IF($A206="","",IF(COUNTIF($A$2:$A206,$A206)=1,1,0))</f>
        <v/>
      </c>
      <c r="V206">
        <f>IF($U206=1,SUMPRODUCT(--($X$2:$X$3001&lt;$X206))+1,"")</f>
        <v/>
      </c>
      <c r="W206">
        <f>IF($A206="","",IF(OR($T206=TRUE(),$T206="TRUE"),1,0))</f>
        <v/>
      </c>
      <c r="X206">
        <f>IF($U206=1,IFERROR(IF(VALUE($A206)&lt;100000000,VALUE($A206),1000000000),IFERROR(IF(VALUE(MID($A206,2,20))&lt;100000000,VALUE(MID($A206,2,20)),1000000000),1000000000))+ROW()/100000,"")</f>
        <v/>
      </c>
    </row>
    <row r="207">
      <c r="F207" s="7">
        <f>IF($A207="","",E207*N207/100)</f>
        <v/>
      </c>
      <c r="J207" s="7" t="n"/>
      <c r="K207" s="7">
        <f>IF($A207="","",S207*N207)</f>
        <v/>
      </c>
      <c r="L207" s="7">
        <f>IF($A207="","",N207-K207)</f>
        <v/>
      </c>
      <c r="M207" s="7">
        <f>IF($A207="","",L207-F207)</f>
        <v/>
      </c>
      <c r="N207" s="7" t="n"/>
      <c r="Q207" s="11" t="n"/>
      <c r="S207">
        <f>IF($A207="","",IF($W207=1,Settings!$C$6,Settings!$C$7)*1)</f>
        <v/>
      </c>
      <c r="U207">
        <f>IF($A207="","",IF(COUNTIF($A$2:$A207,$A207)=1,1,0))</f>
        <v/>
      </c>
      <c r="V207">
        <f>IF($U207=1,SUMPRODUCT(--($X$2:$X$3001&lt;$X207))+1,"")</f>
        <v/>
      </c>
      <c r="W207">
        <f>IF($A207="","",IF(OR($T207=TRUE(),$T207="TRUE"),1,0))</f>
        <v/>
      </c>
      <c r="X207">
        <f>IF($U207=1,IFERROR(IF(VALUE($A207)&lt;100000000,VALUE($A207),1000000000),IFERROR(IF(VALUE(MID($A207,2,20))&lt;100000000,VALUE(MID($A207,2,20)),1000000000),1000000000))+ROW()/100000,"")</f>
        <v/>
      </c>
    </row>
    <row r="208">
      <c r="F208" s="7">
        <f>IF($A208="","",E208*N208/100)</f>
        <v/>
      </c>
      <c r="J208" s="7" t="n"/>
      <c r="K208" s="7">
        <f>IF($A208="","",S208*N208)</f>
        <v/>
      </c>
      <c r="L208" s="7">
        <f>IF($A208="","",N208-K208)</f>
        <v/>
      </c>
      <c r="M208" s="7">
        <f>IF($A208="","",L208-F208)</f>
        <v/>
      </c>
      <c r="N208" s="7" t="n"/>
      <c r="Q208" s="11" t="n"/>
      <c r="S208">
        <f>IF($A208="","",IF($W208=1,Settings!$C$6,Settings!$C$7)*1)</f>
        <v/>
      </c>
      <c r="U208">
        <f>IF($A208="","",IF(COUNTIF($A$2:$A208,$A208)=1,1,0))</f>
        <v/>
      </c>
      <c r="V208">
        <f>IF($U208=1,SUMPRODUCT(--($X$2:$X$3001&lt;$X208))+1,"")</f>
        <v/>
      </c>
      <c r="W208">
        <f>IF($A208="","",IF(OR($T208=TRUE(),$T208="TRUE"),1,0))</f>
        <v/>
      </c>
      <c r="X208">
        <f>IF($U208=1,IFERROR(IF(VALUE($A208)&lt;100000000,VALUE($A208),1000000000),IFERROR(IF(VALUE(MID($A208,2,20))&lt;100000000,VALUE(MID($A208,2,20)),1000000000),1000000000))+ROW()/100000,"")</f>
        <v/>
      </c>
    </row>
    <row r="209">
      <c r="F209" s="7">
        <f>IF($A209="","",E209*N209/100)</f>
        <v/>
      </c>
      <c r="J209" s="7" t="n"/>
      <c r="K209" s="7">
        <f>IF($A209="","",S209*N209)</f>
        <v/>
      </c>
      <c r="L209" s="7">
        <f>IF($A209="","",N209-K209)</f>
        <v/>
      </c>
      <c r="M209" s="7">
        <f>IF($A209="","",L209-F209)</f>
        <v/>
      </c>
      <c r="N209" s="7" t="n"/>
      <c r="Q209" s="11" t="n"/>
      <c r="S209">
        <f>IF($A209="","",IF($W209=1,Settings!$C$6,Settings!$C$7)*1)</f>
        <v/>
      </c>
      <c r="U209">
        <f>IF($A209="","",IF(COUNTIF($A$2:$A209,$A209)=1,1,0))</f>
        <v/>
      </c>
      <c r="V209">
        <f>IF($U209=1,SUMPRODUCT(--($X$2:$X$3001&lt;$X209))+1,"")</f>
        <v/>
      </c>
      <c r="W209">
        <f>IF($A209="","",IF(OR($T209=TRUE(),$T209="TRUE"),1,0))</f>
        <v/>
      </c>
      <c r="X209">
        <f>IF($U209=1,IFERROR(IF(VALUE($A209)&lt;100000000,VALUE($A209),1000000000),IFERROR(IF(VALUE(MID($A209,2,20))&lt;100000000,VALUE(MID($A209,2,20)),1000000000),1000000000))+ROW()/100000,"")</f>
        <v/>
      </c>
    </row>
    <row r="210">
      <c r="F210" s="7">
        <f>IF($A210="","",E210*N210/100)</f>
        <v/>
      </c>
      <c r="J210" s="7" t="n"/>
      <c r="K210" s="7">
        <f>IF($A210="","",S210*N210)</f>
        <v/>
      </c>
      <c r="L210" s="7">
        <f>IF($A210="","",N210-K210)</f>
        <v/>
      </c>
      <c r="M210" s="7">
        <f>IF($A210="","",L210-F210)</f>
        <v/>
      </c>
      <c r="N210" s="7" t="n"/>
      <c r="Q210" s="11" t="n"/>
      <c r="S210">
        <f>IF($A210="","",IF($W210=1,Settings!$C$6,Settings!$C$7)*1)</f>
        <v/>
      </c>
      <c r="U210">
        <f>IF($A210="","",IF(COUNTIF($A$2:$A210,$A210)=1,1,0))</f>
        <v/>
      </c>
      <c r="V210">
        <f>IF($U210=1,SUMPRODUCT(--($X$2:$X$3001&lt;$X210))+1,"")</f>
        <v/>
      </c>
      <c r="W210">
        <f>IF($A210="","",IF(OR($T210=TRUE(),$T210="TRUE"),1,0))</f>
        <v/>
      </c>
      <c r="X210">
        <f>IF($U210=1,IFERROR(IF(VALUE($A210)&lt;100000000,VALUE($A210),1000000000),IFERROR(IF(VALUE(MID($A210,2,20))&lt;100000000,VALUE(MID($A210,2,20)),1000000000),1000000000))+ROW()/100000,"")</f>
        <v/>
      </c>
    </row>
    <row r="211">
      <c r="F211" s="7">
        <f>IF($A211="","",E211*N211/100)</f>
        <v/>
      </c>
      <c r="J211" s="7" t="n"/>
      <c r="K211" s="7">
        <f>IF($A211="","",S211*N211)</f>
        <v/>
      </c>
      <c r="L211" s="7">
        <f>IF($A211="","",N211-K211)</f>
        <v/>
      </c>
      <c r="M211" s="7">
        <f>IF($A211="","",L211-F211)</f>
        <v/>
      </c>
      <c r="N211" s="7" t="n"/>
      <c r="Q211" s="11" t="n"/>
      <c r="S211">
        <f>IF($A211="","",IF($W211=1,Settings!$C$6,Settings!$C$7)*1)</f>
        <v/>
      </c>
      <c r="U211">
        <f>IF($A211="","",IF(COUNTIF($A$2:$A211,$A211)=1,1,0))</f>
        <v/>
      </c>
      <c r="V211">
        <f>IF($U211=1,SUMPRODUCT(--($X$2:$X$3001&lt;$X211))+1,"")</f>
        <v/>
      </c>
      <c r="W211">
        <f>IF($A211="","",IF(OR($T211=TRUE(),$T211="TRUE"),1,0))</f>
        <v/>
      </c>
      <c r="X211">
        <f>IF($U211=1,IFERROR(IF(VALUE($A211)&lt;100000000,VALUE($A211),1000000000),IFERROR(IF(VALUE(MID($A211,2,20))&lt;100000000,VALUE(MID($A211,2,20)),1000000000),1000000000))+ROW()/100000,"")</f>
        <v/>
      </c>
    </row>
    <row r="212">
      <c r="F212" s="7">
        <f>IF($A212="","",E212*N212/100)</f>
        <v/>
      </c>
      <c r="J212" s="7" t="n"/>
      <c r="K212" s="7">
        <f>IF($A212="","",S212*N212)</f>
        <v/>
      </c>
      <c r="L212" s="7">
        <f>IF($A212="","",N212-K212)</f>
        <v/>
      </c>
      <c r="M212" s="7">
        <f>IF($A212="","",L212-F212)</f>
        <v/>
      </c>
      <c r="N212" s="7" t="n"/>
      <c r="Q212" s="11" t="n"/>
      <c r="S212">
        <f>IF($A212="","",IF($W212=1,Settings!$C$6,Settings!$C$7)*1)</f>
        <v/>
      </c>
      <c r="U212">
        <f>IF($A212="","",IF(COUNTIF($A$2:$A212,$A212)=1,1,0))</f>
        <v/>
      </c>
      <c r="V212">
        <f>IF($U212=1,SUMPRODUCT(--($X$2:$X$3001&lt;$X212))+1,"")</f>
        <v/>
      </c>
      <c r="W212">
        <f>IF($A212="","",IF(OR($T212=TRUE(),$T212="TRUE"),1,0))</f>
        <v/>
      </c>
      <c r="X212">
        <f>IF($U212=1,IFERROR(IF(VALUE($A212)&lt;100000000,VALUE($A212),1000000000),IFERROR(IF(VALUE(MID($A212,2,20))&lt;100000000,VALUE(MID($A212,2,20)),1000000000),1000000000))+ROW()/100000,"")</f>
        <v/>
      </c>
    </row>
    <row r="213">
      <c r="F213" s="7">
        <f>IF($A213="","",E213*N213/100)</f>
        <v/>
      </c>
      <c r="J213" s="7" t="n"/>
      <c r="K213" s="7">
        <f>IF($A213="","",S213*N213)</f>
        <v/>
      </c>
      <c r="L213" s="7">
        <f>IF($A213="","",N213-K213)</f>
        <v/>
      </c>
      <c r="M213" s="7">
        <f>IF($A213="","",L213-F213)</f>
        <v/>
      </c>
      <c r="N213" s="7" t="n"/>
      <c r="Q213" s="11" t="n"/>
      <c r="S213">
        <f>IF($A213="","",IF($W213=1,Settings!$C$6,Settings!$C$7)*1)</f>
        <v/>
      </c>
      <c r="U213">
        <f>IF($A213="","",IF(COUNTIF($A$2:$A213,$A213)=1,1,0))</f>
        <v/>
      </c>
      <c r="V213">
        <f>IF($U213=1,SUMPRODUCT(--($X$2:$X$3001&lt;$X213))+1,"")</f>
        <v/>
      </c>
      <c r="W213">
        <f>IF($A213="","",IF(OR($T213=TRUE(),$T213="TRUE"),1,0))</f>
        <v/>
      </c>
      <c r="X213">
        <f>IF($U213=1,IFERROR(IF(VALUE($A213)&lt;100000000,VALUE($A213),1000000000),IFERROR(IF(VALUE(MID($A213,2,20))&lt;100000000,VALUE(MID($A213,2,20)),1000000000),1000000000))+ROW()/100000,"")</f>
        <v/>
      </c>
    </row>
    <row r="214">
      <c r="F214" s="7">
        <f>IF($A214="","",E214*N214/100)</f>
        <v/>
      </c>
      <c r="J214" s="7" t="n"/>
      <c r="K214" s="7">
        <f>IF($A214="","",S214*N214)</f>
        <v/>
      </c>
      <c r="L214" s="7">
        <f>IF($A214="","",N214-K214)</f>
        <v/>
      </c>
      <c r="M214" s="7">
        <f>IF($A214="","",L214-F214)</f>
        <v/>
      </c>
      <c r="N214" s="7" t="n"/>
      <c r="Q214" s="11" t="n"/>
      <c r="S214">
        <f>IF($A214="","",IF($W214=1,Settings!$C$6,Settings!$C$7)*1)</f>
        <v/>
      </c>
      <c r="U214">
        <f>IF($A214="","",IF(COUNTIF($A$2:$A214,$A214)=1,1,0))</f>
        <v/>
      </c>
      <c r="V214">
        <f>IF($U214=1,SUMPRODUCT(--($X$2:$X$3001&lt;$X214))+1,"")</f>
        <v/>
      </c>
      <c r="W214">
        <f>IF($A214="","",IF(OR($T214=TRUE(),$T214="TRUE"),1,0))</f>
        <v/>
      </c>
      <c r="X214">
        <f>IF($U214=1,IFERROR(IF(VALUE($A214)&lt;100000000,VALUE($A214),1000000000),IFERROR(IF(VALUE(MID($A214,2,20))&lt;100000000,VALUE(MID($A214,2,20)),1000000000),1000000000))+ROW()/100000,"")</f>
        <v/>
      </c>
    </row>
    <row r="215">
      <c r="F215" s="7">
        <f>IF($A215="","",E215*N215/100)</f>
        <v/>
      </c>
      <c r="J215" s="7" t="n"/>
      <c r="K215" s="7">
        <f>IF($A215="","",S215*N215)</f>
        <v/>
      </c>
      <c r="L215" s="7">
        <f>IF($A215="","",N215-K215)</f>
        <v/>
      </c>
      <c r="M215" s="7">
        <f>IF($A215="","",L215-F215)</f>
        <v/>
      </c>
      <c r="N215" s="7" t="n"/>
      <c r="Q215" s="11" t="n"/>
      <c r="S215">
        <f>IF($A215="","",IF($W215=1,Settings!$C$6,Settings!$C$7)*1)</f>
        <v/>
      </c>
      <c r="U215">
        <f>IF($A215="","",IF(COUNTIF($A$2:$A215,$A215)=1,1,0))</f>
        <v/>
      </c>
      <c r="V215">
        <f>IF($U215=1,SUMPRODUCT(--($X$2:$X$3001&lt;$X215))+1,"")</f>
        <v/>
      </c>
      <c r="W215">
        <f>IF($A215="","",IF(OR($T215=TRUE(),$T215="TRUE"),1,0))</f>
        <v/>
      </c>
      <c r="X215">
        <f>IF($U215=1,IFERROR(IF(VALUE($A215)&lt;100000000,VALUE($A215),1000000000),IFERROR(IF(VALUE(MID($A215,2,20))&lt;100000000,VALUE(MID($A215,2,20)),1000000000),1000000000))+ROW()/100000,"")</f>
        <v/>
      </c>
    </row>
    <row r="216">
      <c r="F216" s="7">
        <f>IF($A216="","",E216*N216/100)</f>
        <v/>
      </c>
      <c r="J216" s="7" t="n"/>
      <c r="K216" s="7">
        <f>IF($A216="","",S216*N216)</f>
        <v/>
      </c>
      <c r="L216" s="7">
        <f>IF($A216="","",N216-K216)</f>
        <v/>
      </c>
      <c r="M216" s="7">
        <f>IF($A216="","",L216-F216)</f>
        <v/>
      </c>
      <c r="N216" s="7" t="n"/>
      <c r="Q216" s="11" t="n"/>
      <c r="S216">
        <f>IF($A216="","",IF($W216=1,Settings!$C$6,Settings!$C$7)*1)</f>
        <v/>
      </c>
      <c r="U216">
        <f>IF($A216="","",IF(COUNTIF($A$2:$A216,$A216)=1,1,0))</f>
        <v/>
      </c>
      <c r="V216">
        <f>IF($U216=1,SUMPRODUCT(--($X$2:$X$3001&lt;$X216))+1,"")</f>
        <v/>
      </c>
      <c r="W216">
        <f>IF($A216="","",IF(OR($T216=TRUE(),$T216="TRUE"),1,0))</f>
        <v/>
      </c>
      <c r="X216">
        <f>IF($U216=1,IFERROR(IF(VALUE($A216)&lt;100000000,VALUE($A216),1000000000),IFERROR(IF(VALUE(MID($A216,2,20))&lt;100000000,VALUE(MID($A216,2,20)),1000000000),1000000000))+ROW()/100000,"")</f>
        <v/>
      </c>
    </row>
    <row r="217">
      <c r="F217" s="7">
        <f>IF($A217="","",E217*N217/100)</f>
        <v/>
      </c>
      <c r="J217" s="7" t="n"/>
      <c r="K217" s="7">
        <f>IF($A217="","",S217*N217)</f>
        <v/>
      </c>
      <c r="L217" s="7">
        <f>IF($A217="","",N217-K217)</f>
        <v/>
      </c>
      <c r="M217" s="7">
        <f>IF($A217="","",L217-F217)</f>
        <v/>
      </c>
      <c r="N217" s="7" t="n"/>
      <c r="Q217" s="11" t="n"/>
      <c r="S217">
        <f>IF($A217="","",IF($W217=1,Settings!$C$6,Settings!$C$7)*1)</f>
        <v/>
      </c>
      <c r="U217">
        <f>IF($A217="","",IF(COUNTIF($A$2:$A217,$A217)=1,1,0))</f>
        <v/>
      </c>
      <c r="V217">
        <f>IF($U217=1,SUMPRODUCT(--($X$2:$X$3001&lt;$X217))+1,"")</f>
        <v/>
      </c>
      <c r="W217">
        <f>IF($A217="","",IF(OR($T217=TRUE(),$T217="TRUE"),1,0))</f>
        <v/>
      </c>
      <c r="X217">
        <f>IF($U217=1,IFERROR(IF(VALUE($A217)&lt;100000000,VALUE($A217),1000000000),IFERROR(IF(VALUE(MID($A217,2,20))&lt;100000000,VALUE(MID($A217,2,20)),1000000000),1000000000))+ROW()/100000,"")</f>
        <v/>
      </c>
    </row>
    <row r="218">
      <c r="F218" s="7">
        <f>IF($A218="","",E218*N218/100)</f>
        <v/>
      </c>
      <c r="J218" s="7" t="n"/>
      <c r="K218" s="7">
        <f>IF($A218="","",S218*N218)</f>
        <v/>
      </c>
      <c r="L218" s="7">
        <f>IF($A218="","",N218-K218)</f>
        <v/>
      </c>
      <c r="M218" s="7">
        <f>IF($A218="","",L218-F218)</f>
        <v/>
      </c>
      <c r="N218" s="7" t="n"/>
      <c r="Q218" s="11" t="n"/>
      <c r="S218">
        <f>IF($A218="","",IF($W218=1,Settings!$C$6,Settings!$C$7)*1)</f>
        <v/>
      </c>
      <c r="U218">
        <f>IF($A218="","",IF(COUNTIF($A$2:$A218,$A218)=1,1,0))</f>
        <v/>
      </c>
      <c r="V218">
        <f>IF($U218=1,SUMPRODUCT(--($X$2:$X$3001&lt;$X218))+1,"")</f>
        <v/>
      </c>
      <c r="W218">
        <f>IF($A218="","",IF(OR($T218=TRUE(),$T218="TRUE"),1,0))</f>
        <v/>
      </c>
      <c r="X218">
        <f>IF($U218=1,IFERROR(IF(VALUE($A218)&lt;100000000,VALUE($A218),1000000000),IFERROR(IF(VALUE(MID($A218,2,20))&lt;100000000,VALUE(MID($A218,2,20)),1000000000),1000000000))+ROW()/100000,"")</f>
        <v/>
      </c>
    </row>
    <row r="219">
      <c r="F219" s="7">
        <f>IF($A219="","",E219*N219/100)</f>
        <v/>
      </c>
      <c r="J219" s="7" t="n"/>
      <c r="K219" s="7">
        <f>IF($A219="","",S219*N219)</f>
        <v/>
      </c>
      <c r="L219" s="7">
        <f>IF($A219="","",N219-K219)</f>
        <v/>
      </c>
      <c r="M219" s="7">
        <f>IF($A219="","",L219-F219)</f>
        <v/>
      </c>
      <c r="N219" s="7" t="n"/>
      <c r="Q219" s="11" t="n"/>
      <c r="S219">
        <f>IF($A219="","",IF($W219=1,Settings!$C$6,Settings!$C$7)*1)</f>
        <v/>
      </c>
      <c r="U219">
        <f>IF($A219="","",IF(COUNTIF($A$2:$A219,$A219)=1,1,0))</f>
        <v/>
      </c>
      <c r="V219">
        <f>IF($U219=1,SUMPRODUCT(--($X$2:$X$3001&lt;$X219))+1,"")</f>
        <v/>
      </c>
      <c r="W219">
        <f>IF($A219="","",IF(OR($T219=TRUE(),$T219="TRUE"),1,0))</f>
        <v/>
      </c>
      <c r="X219">
        <f>IF($U219=1,IFERROR(IF(VALUE($A219)&lt;100000000,VALUE($A219),1000000000),IFERROR(IF(VALUE(MID($A219,2,20))&lt;100000000,VALUE(MID($A219,2,20)),1000000000),1000000000))+ROW()/100000,"")</f>
        <v/>
      </c>
    </row>
    <row r="220">
      <c r="F220" s="7">
        <f>IF($A220="","",E220*N220/100)</f>
        <v/>
      </c>
      <c r="J220" s="7" t="n"/>
      <c r="K220" s="7">
        <f>IF($A220="","",S220*N220)</f>
        <v/>
      </c>
      <c r="L220" s="7">
        <f>IF($A220="","",N220-K220)</f>
        <v/>
      </c>
      <c r="M220" s="7">
        <f>IF($A220="","",L220-F220)</f>
        <v/>
      </c>
      <c r="N220" s="7" t="n"/>
      <c r="Q220" s="11" t="n"/>
      <c r="S220">
        <f>IF($A220="","",IF($W220=1,Settings!$C$6,Settings!$C$7)*1)</f>
        <v/>
      </c>
      <c r="U220">
        <f>IF($A220="","",IF(COUNTIF($A$2:$A220,$A220)=1,1,0))</f>
        <v/>
      </c>
      <c r="V220">
        <f>IF($U220=1,SUMPRODUCT(--($X$2:$X$3001&lt;$X220))+1,"")</f>
        <v/>
      </c>
      <c r="W220">
        <f>IF($A220="","",IF(OR($T220=TRUE(),$T220="TRUE"),1,0))</f>
        <v/>
      </c>
      <c r="X220">
        <f>IF($U220=1,IFERROR(IF(VALUE($A220)&lt;100000000,VALUE($A220),1000000000),IFERROR(IF(VALUE(MID($A220,2,20))&lt;100000000,VALUE(MID($A220,2,20)),1000000000),1000000000))+ROW()/100000,"")</f>
        <v/>
      </c>
    </row>
    <row r="221">
      <c r="F221" s="7">
        <f>IF($A221="","",E221*N221/100)</f>
        <v/>
      </c>
      <c r="J221" s="7" t="n"/>
      <c r="K221" s="7">
        <f>IF($A221="","",S221*N221)</f>
        <v/>
      </c>
      <c r="L221" s="7">
        <f>IF($A221="","",N221-K221)</f>
        <v/>
      </c>
      <c r="M221" s="7">
        <f>IF($A221="","",L221-F221)</f>
        <v/>
      </c>
      <c r="N221" s="7" t="n"/>
      <c r="Q221" s="11" t="n"/>
      <c r="S221">
        <f>IF($A221="","",IF($W221=1,Settings!$C$6,Settings!$C$7)*1)</f>
        <v/>
      </c>
      <c r="U221">
        <f>IF($A221="","",IF(COUNTIF($A$2:$A221,$A221)=1,1,0))</f>
        <v/>
      </c>
      <c r="V221">
        <f>IF($U221=1,SUMPRODUCT(--($X$2:$X$3001&lt;$X221))+1,"")</f>
        <v/>
      </c>
      <c r="W221">
        <f>IF($A221="","",IF(OR($T221=TRUE(),$T221="TRUE"),1,0))</f>
        <v/>
      </c>
      <c r="X221">
        <f>IF($U221=1,IFERROR(IF(VALUE($A221)&lt;100000000,VALUE($A221),1000000000),IFERROR(IF(VALUE(MID($A221,2,20))&lt;100000000,VALUE(MID($A221,2,20)),1000000000),1000000000))+ROW()/100000,"")</f>
        <v/>
      </c>
    </row>
    <row r="222">
      <c r="F222" s="7">
        <f>IF($A222="","",E222*N222/100)</f>
        <v/>
      </c>
      <c r="J222" s="7" t="n"/>
      <c r="K222" s="7">
        <f>IF($A222="","",S222*N222)</f>
        <v/>
      </c>
      <c r="L222" s="7">
        <f>IF($A222="","",N222-K222)</f>
        <v/>
      </c>
      <c r="M222" s="7">
        <f>IF($A222="","",L222-F222)</f>
        <v/>
      </c>
      <c r="N222" s="7" t="n"/>
      <c r="Q222" s="11" t="n"/>
      <c r="S222">
        <f>IF($A222="","",IF($W222=1,Settings!$C$6,Settings!$C$7)*1)</f>
        <v/>
      </c>
      <c r="U222">
        <f>IF($A222="","",IF(COUNTIF($A$2:$A222,$A222)=1,1,0))</f>
        <v/>
      </c>
      <c r="V222">
        <f>IF($U222=1,SUMPRODUCT(--($X$2:$X$3001&lt;$X222))+1,"")</f>
        <v/>
      </c>
      <c r="W222">
        <f>IF($A222="","",IF(OR($T222=TRUE(),$T222="TRUE"),1,0))</f>
        <v/>
      </c>
      <c r="X222">
        <f>IF($U222=1,IFERROR(IF(VALUE($A222)&lt;100000000,VALUE($A222),1000000000),IFERROR(IF(VALUE(MID($A222,2,20))&lt;100000000,VALUE(MID($A222,2,20)),1000000000),1000000000))+ROW()/100000,"")</f>
        <v/>
      </c>
    </row>
    <row r="223">
      <c r="F223" s="7">
        <f>IF($A223="","",E223*N223/100)</f>
        <v/>
      </c>
      <c r="J223" s="7" t="n"/>
      <c r="K223" s="7">
        <f>IF($A223="","",S223*N223)</f>
        <v/>
      </c>
      <c r="L223" s="7">
        <f>IF($A223="","",N223-K223)</f>
        <v/>
      </c>
      <c r="M223" s="7">
        <f>IF($A223="","",L223-F223)</f>
        <v/>
      </c>
      <c r="N223" s="7" t="n"/>
      <c r="Q223" s="11" t="n"/>
      <c r="S223">
        <f>IF($A223="","",IF($W223=1,Settings!$C$6,Settings!$C$7)*1)</f>
        <v/>
      </c>
      <c r="U223">
        <f>IF($A223="","",IF(COUNTIF($A$2:$A223,$A223)=1,1,0))</f>
        <v/>
      </c>
      <c r="V223">
        <f>IF($U223=1,SUMPRODUCT(--($X$2:$X$3001&lt;$X223))+1,"")</f>
        <v/>
      </c>
      <c r="W223">
        <f>IF($A223="","",IF(OR($T223=TRUE(),$T223="TRUE"),1,0))</f>
        <v/>
      </c>
      <c r="X223">
        <f>IF($U223=1,IFERROR(IF(VALUE($A223)&lt;100000000,VALUE($A223),1000000000),IFERROR(IF(VALUE(MID($A223,2,20))&lt;100000000,VALUE(MID($A223,2,20)),1000000000),1000000000))+ROW()/100000,"")</f>
        <v/>
      </c>
    </row>
    <row r="224">
      <c r="F224" s="7">
        <f>IF($A224="","",E224*N224/100)</f>
        <v/>
      </c>
      <c r="J224" s="7" t="n"/>
      <c r="K224" s="7">
        <f>IF($A224="","",S224*N224)</f>
        <v/>
      </c>
      <c r="L224" s="7">
        <f>IF($A224="","",N224-K224)</f>
        <v/>
      </c>
      <c r="M224" s="7">
        <f>IF($A224="","",L224-F224)</f>
        <v/>
      </c>
      <c r="N224" s="7" t="n"/>
      <c r="Q224" s="11" t="n"/>
      <c r="S224">
        <f>IF($A224="","",IF($W224=1,Settings!$C$6,Settings!$C$7)*1)</f>
        <v/>
      </c>
      <c r="U224">
        <f>IF($A224="","",IF(COUNTIF($A$2:$A224,$A224)=1,1,0))</f>
        <v/>
      </c>
      <c r="V224">
        <f>IF($U224=1,SUMPRODUCT(--($X$2:$X$3001&lt;$X224))+1,"")</f>
        <v/>
      </c>
      <c r="W224">
        <f>IF($A224="","",IF(OR($T224=TRUE(),$T224="TRUE"),1,0))</f>
        <v/>
      </c>
      <c r="X224">
        <f>IF($U224=1,IFERROR(IF(VALUE($A224)&lt;100000000,VALUE($A224),1000000000),IFERROR(IF(VALUE(MID($A224,2,20))&lt;100000000,VALUE(MID($A224,2,20)),1000000000),1000000000))+ROW()/100000,"")</f>
        <v/>
      </c>
    </row>
    <row r="225">
      <c r="F225" s="7">
        <f>IF($A225="","",E225*N225/100)</f>
        <v/>
      </c>
      <c r="J225" s="7" t="n"/>
      <c r="K225" s="7">
        <f>IF($A225="","",S225*N225)</f>
        <v/>
      </c>
      <c r="L225" s="7">
        <f>IF($A225="","",N225-K225)</f>
        <v/>
      </c>
      <c r="M225" s="7">
        <f>IF($A225="","",L225-F225)</f>
        <v/>
      </c>
      <c r="N225" s="7" t="n"/>
      <c r="Q225" s="11" t="n"/>
      <c r="S225">
        <f>IF($A225="","",IF($W225=1,Settings!$C$6,Settings!$C$7)*1)</f>
        <v/>
      </c>
      <c r="U225">
        <f>IF($A225="","",IF(COUNTIF($A$2:$A225,$A225)=1,1,0))</f>
        <v/>
      </c>
      <c r="V225">
        <f>IF($U225=1,SUMPRODUCT(--($X$2:$X$3001&lt;$X225))+1,"")</f>
        <v/>
      </c>
      <c r="W225">
        <f>IF($A225="","",IF(OR($T225=TRUE(),$T225="TRUE"),1,0))</f>
        <v/>
      </c>
      <c r="X225">
        <f>IF($U225=1,IFERROR(IF(VALUE($A225)&lt;100000000,VALUE($A225),1000000000),IFERROR(IF(VALUE(MID($A225,2,20))&lt;100000000,VALUE(MID($A225,2,20)),1000000000),1000000000))+ROW()/100000,"")</f>
        <v/>
      </c>
    </row>
    <row r="226">
      <c r="F226" s="7">
        <f>IF($A226="","",E226*N226/100)</f>
        <v/>
      </c>
      <c r="J226" s="7" t="n"/>
      <c r="K226" s="7">
        <f>IF($A226="","",S226*N226)</f>
        <v/>
      </c>
      <c r="L226" s="7">
        <f>IF($A226="","",N226-K226)</f>
        <v/>
      </c>
      <c r="M226" s="7">
        <f>IF($A226="","",L226-F226)</f>
        <v/>
      </c>
      <c r="N226" s="7" t="n"/>
      <c r="Q226" s="11" t="n"/>
      <c r="S226">
        <f>IF($A226="","",IF($W226=1,Settings!$C$6,Settings!$C$7)*1)</f>
        <v/>
      </c>
      <c r="U226">
        <f>IF($A226="","",IF(COUNTIF($A$2:$A226,$A226)=1,1,0))</f>
        <v/>
      </c>
      <c r="V226">
        <f>IF($U226=1,SUMPRODUCT(--($X$2:$X$3001&lt;$X226))+1,"")</f>
        <v/>
      </c>
      <c r="W226">
        <f>IF($A226="","",IF(OR($T226=TRUE(),$T226="TRUE"),1,0))</f>
        <v/>
      </c>
      <c r="X226">
        <f>IF($U226=1,IFERROR(IF(VALUE($A226)&lt;100000000,VALUE($A226),1000000000),IFERROR(IF(VALUE(MID($A226,2,20))&lt;100000000,VALUE(MID($A226,2,20)),1000000000),1000000000))+ROW()/100000,"")</f>
        <v/>
      </c>
    </row>
    <row r="227">
      <c r="F227" s="7">
        <f>IF($A227="","",E227*N227/100)</f>
        <v/>
      </c>
      <c r="J227" s="7" t="n"/>
      <c r="K227" s="7">
        <f>IF($A227="","",S227*N227)</f>
        <v/>
      </c>
      <c r="L227" s="7">
        <f>IF($A227="","",N227-K227)</f>
        <v/>
      </c>
      <c r="M227" s="7">
        <f>IF($A227="","",L227-F227)</f>
        <v/>
      </c>
      <c r="N227" s="7" t="n"/>
      <c r="Q227" s="11" t="n"/>
      <c r="S227">
        <f>IF($A227="","",IF($W227=1,Settings!$C$6,Settings!$C$7)*1)</f>
        <v/>
      </c>
      <c r="U227">
        <f>IF($A227="","",IF(COUNTIF($A$2:$A227,$A227)=1,1,0))</f>
        <v/>
      </c>
      <c r="V227">
        <f>IF($U227=1,SUMPRODUCT(--($X$2:$X$3001&lt;$X227))+1,"")</f>
        <v/>
      </c>
      <c r="W227">
        <f>IF($A227="","",IF(OR($T227=TRUE(),$T227="TRUE"),1,0))</f>
        <v/>
      </c>
      <c r="X227">
        <f>IF($U227=1,IFERROR(IF(VALUE($A227)&lt;100000000,VALUE($A227),1000000000),IFERROR(IF(VALUE(MID($A227,2,20))&lt;100000000,VALUE(MID($A227,2,20)),1000000000),1000000000))+ROW()/100000,"")</f>
        <v/>
      </c>
    </row>
    <row r="228">
      <c r="F228" s="7">
        <f>IF($A228="","",E228*N228/100)</f>
        <v/>
      </c>
      <c r="J228" s="7" t="n"/>
      <c r="K228" s="7">
        <f>IF($A228="","",S228*N228)</f>
        <v/>
      </c>
      <c r="L228" s="7">
        <f>IF($A228="","",N228-K228)</f>
        <v/>
      </c>
      <c r="M228" s="7">
        <f>IF($A228="","",L228-F228)</f>
        <v/>
      </c>
      <c r="N228" s="7" t="n"/>
      <c r="Q228" s="11" t="n"/>
      <c r="S228">
        <f>IF($A228="","",IF($W228=1,Settings!$C$6,Settings!$C$7)*1)</f>
        <v/>
      </c>
      <c r="U228">
        <f>IF($A228="","",IF(COUNTIF($A$2:$A228,$A228)=1,1,0))</f>
        <v/>
      </c>
      <c r="V228">
        <f>IF($U228=1,SUMPRODUCT(--($X$2:$X$3001&lt;$X228))+1,"")</f>
        <v/>
      </c>
      <c r="W228">
        <f>IF($A228="","",IF(OR($T228=TRUE(),$T228="TRUE"),1,0))</f>
        <v/>
      </c>
      <c r="X228">
        <f>IF($U228=1,IFERROR(IF(VALUE($A228)&lt;100000000,VALUE($A228),1000000000),IFERROR(IF(VALUE(MID($A228,2,20))&lt;100000000,VALUE(MID($A228,2,20)),1000000000),1000000000))+ROW()/100000,"")</f>
        <v/>
      </c>
    </row>
    <row r="229">
      <c r="F229" s="7">
        <f>IF($A229="","",E229*N229/100)</f>
        <v/>
      </c>
      <c r="J229" s="7" t="n"/>
      <c r="K229" s="7">
        <f>IF($A229="","",S229*N229)</f>
        <v/>
      </c>
      <c r="L229" s="7">
        <f>IF($A229="","",N229-K229)</f>
        <v/>
      </c>
      <c r="M229" s="7">
        <f>IF($A229="","",L229-F229)</f>
        <v/>
      </c>
      <c r="N229" s="7" t="n"/>
      <c r="Q229" s="11" t="n"/>
      <c r="S229">
        <f>IF($A229="","",IF($W229=1,Settings!$C$6,Settings!$C$7)*1)</f>
        <v/>
      </c>
      <c r="U229">
        <f>IF($A229="","",IF(COUNTIF($A$2:$A229,$A229)=1,1,0))</f>
        <v/>
      </c>
      <c r="V229">
        <f>IF($U229=1,SUMPRODUCT(--($X$2:$X$3001&lt;$X229))+1,"")</f>
        <v/>
      </c>
      <c r="W229">
        <f>IF($A229="","",IF(OR($T229=TRUE(),$T229="TRUE"),1,0))</f>
        <v/>
      </c>
      <c r="X229">
        <f>IF($U229=1,IFERROR(IF(VALUE($A229)&lt;100000000,VALUE($A229),1000000000),IFERROR(IF(VALUE(MID($A229,2,20))&lt;100000000,VALUE(MID($A229,2,20)),1000000000),1000000000))+ROW()/100000,"")</f>
        <v/>
      </c>
    </row>
    <row r="230">
      <c r="F230" s="7">
        <f>IF($A230="","",E230*N230/100)</f>
        <v/>
      </c>
      <c r="J230" s="7" t="n"/>
      <c r="K230" s="7">
        <f>IF($A230="","",S230*N230)</f>
        <v/>
      </c>
      <c r="L230" s="7">
        <f>IF($A230="","",N230-K230)</f>
        <v/>
      </c>
      <c r="M230" s="7">
        <f>IF($A230="","",L230-F230)</f>
        <v/>
      </c>
      <c r="N230" s="7" t="n"/>
      <c r="Q230" s="11" t="n"/>
      <c r="S230">
        <f>IF($A230="","",IF($W230=1,Settings!$C$6,Settings!$C$7)*1)</f>
        <v/>
      </c>
      <c r="U230">
        <f>IF($A230="","",IF(COUNTIF($A$2:$A230,$A230)=1,1,0))</f>
        <v/>
      </c>
      <c r="V230">
        <f>IF($U230=1,SUMPRODUCT(--($X$2:$X$3001&lt;$X230))+1,"")</f>
        <v/>
      </c>
      <c r="W230">
        <f>IF($A230="","",IF(OR($T230=TRUE(),$T230="TRUE"),1,0))</f>
        <v/>
      </c>
      <c r="X230">
        <f>IF($U230=1,IFERROR(IF(VALUE($A230)&lt;100000000,VALUE($A230),1000000000),IFERROR(IF(VALUE(MID($A230,2,20))&lt;100000000,VALUE(MID($A230,2,20)),1000000000),1000000000))+ROW()/100000,"")</f>
        <v/>
      </c>
    </row>
    <row r="231">
      <c r="F231" s="7">
        <f>IF($A231="","",E231*N231/100)</f>
        <v/>
      </c>
      <c r="J231" s="7" t="n"/>
      <c r="K231" s="7">
        <f>IF($A231="","",S231*N231)</f>
        <v/>
      </c>
      <c r="L231" s="7">
        <f>IF($A231="","",N231-K231)</f>
        <v/>
      </c>
      <c r="M231" s="7">
        <f>IF($A231="","",L231-F231)</f>
        <v/>
      </c>
      <c r="N231" s="7" t="n"/>
      <c r="Q231" s="11" t="n"/>
      <c r="S231">
        <f>IF($A231="","",IF($W231=1,Settings!$C$6,Settings!$C$7)*1)</f>
        <v/>
      </c>
      <c r="U231">
        <f>IF($A231="","",IF(COUNTIF($A$2:$A231,$A231)=1,1,0))</f>
        <v/>
      </c>
      <c r="V231">
        <f>IF($U231=1,SUMPRODUCT(--($X$2:$X$3001&lt;$X231))+1,"")</f>
        <v/>
      </c>
      <c r="W231">
        <f>IF($A231="","",IF(OR($T231=TRUE(),$T231="TRUE"),1,0))</f>
        <v/>
      </c>
      <c r="X231">
        <f>IF($U231=1,IFERROR(IF(VALUE($A231)&lt;100000000,VALUE($A231),1000000000),IFERROR(IF(VALUE(MID($A231,2,20))&lt;100000000,VALUE(MID($A231,2,20)),1000000000),1000000000))+ROW()/100000,"")</f>
        <v/>
      </c>
    </row>
    <row r="232">
      <c r="F232" s="7">
        <f>IF($A232="","",E232*N232/100)</f>
        <v/>
      </c>
      <c r="J232" s="7" t="n"/>
      <c r="K232" s="7">
        <f>IF($A232="","",S232*N232)</f>
        <v/>
      </c>
      <c r="L232" s="7">
        <f>IF($A232="","",N232-K232)</f>
        <v/>
      </c>
      <c r="M232" s="7">
        <f>IF($A232="","",L232-F232)</f>
        <v/>
      </c>
      <c r="N232" s="7" t="n"/>
      <c r="Q232" s="11" t="n"/>
      <c r="S232">
        <f>IF($A232="","",IF($W232=1,Settings!$C$6,Settings!$C$7)*1)</f>
        <v/>
      </c>
      <c r="U232">
        <f>IF($A232="","",IF(COUNTIF($A$2:$A232,$A232)=1,1,0))</f>
        <v/>
      </c>
      <c r="V232">
        <f>IF($U232=1,SUMPRODUCT(--($X$2:$X$3001&lt;$X232))+1,"")</f>
        <v/>
      </c>
      <c r="W232">
        <f>IF($A232="","",IF(OR($T232=TRUE(),$T232="TRUE"),1,0))</f>
        <v/>
      </c>
      <c r="X232">
        <f>IF($U232=1,IFERROR(IF(VALUE($A232)&lt;100000000,VALUE($A232),1000000000),IFERROR(IF(VALUE(MID($A232,2,20))&lt;100000000,VALUE(MID($A232,2,20)),1000000000),1000000000))+ROW()/100000,"")</f>
        <v/>
      </c>
    </row>
    <row r="233">
      <c r="F233" s="7">
        <f>IF($A233="","",E233*N233/100)</f>
        <v/>
      </c>
      <c r="J233" s="7" t="n"/>
      <c r="K233" s="7">
        <f>IF($A233="","",S233*N233)</f>
        <v/>
      </c>
      <c r="L233" s="7">
        <f>IF($A233="","",N233-K233)</f>
        <v/>
      </c>
      <c r="M233" s="7">
        <f>IF($A233="","",L233-F233)</f>
        <v/>
      </c>
      <c r="N233" s="7" t="n"/>
      <c r="Q233" s="11" t="n"/>
      <c r="S233">
        <f>IF($A233="","",IF($W233=1,Settings!$C$6,Settings!$C$7)*1)</f>
        <v/>
      </c>
      <c r="U233">
        <f>IF($A233="","",IF(COUNTIF($A$2:$A233,$A233)=1,1,0))</f>
        <v/>
      </c>
      <c r="V233">
        <f>IF($U233=1,SUMPRODUCT(--($X$2:$X$3001&lt;$X233))+1,"")</f>
        <v/>
      </c>
      <c r="W233">
        <f>IF($A233="","",IF(OR($T233=TRUE(),$T233="TRUE"),1,0))</f>
        <v/>
      </c>
      <c r="X233">
        <f>IF($U233=1,IFERROR(IF(VALUE($A233)&lt;100000000,VALUE($A233),1000000000),IFERROR(IF(VALUE(MID($A233,2,20))&lt;100000000,VALUE(MID($A233,2,20)),1000000000),1000000000))+ROW()/100000,"")</f>
        <v/>
      </c>
    </row>
    <row r="234">
      <c r="F234" s="7">
        <f>IF($A234="","",E234*N234/100)</f>
        <v/>
      </c>
      <c r="J234" s="7" t="n"/>
      <c r="K234" s="7">
        <f>IF($A234="","",S234*N234)</f>
        <v/>
      </c>
      <c r="L234" s="7">
        <f>IF($A234="","",N234-K234)</f>
        <v/>
      </c>
      <c r="M234" s="7">
        <f>IF($A234="","",L234-F234)</f>
        <v/>
      </c>
      <c r="N234" s="7" t="n"/>
      <c r="Q234" s="11" t="n"/>
      <c r="S234">
        <f>IF($A234="","",IF($W234=1,Settings!$C$6,Settings!$C$7)*1)</f>
        <v/>
      </c>
      <c r="U234">
        <f>IF($A234="","",IF(COUNTIF($A$2:$A234,$A234)=1,1,0))</f>
        <v/>
      </c>
      <c r="V234">
        <f>IF($U234=1,SUMPRODUCT(--($X$2:$X$3001&lt;$X234))+1,"")</f>
        <v/>
      </c>
      <c r="W234">
        <f>IF($A234="","",IF(OR($T234=TRUE(),$T234="TRUE"),1,0))</f>
        <v/>
      </c>
      <c r="X234">
        <f>IF($U234=1,IFERROR(IF(VALUE($A234)&lt;100000000,VALUE($A234),1000000000),IFERROR(IF(VALUE(MID($A234,2,20))&lt;100000000,VALUE(MID($A234,2,20)),1000000000),1000000000))+ROW()/100000,"")</f>
        <v/>
      </c>
    </row>
    <row r="235">
      <c r="F235" s="7">
        <f>IF($A235="","",E235*N235/100)</f>
        <v/>
      </c>
      <c r="J235" s="7" t="n"/>
      <c r="K235" s="7">
        <f>IF($A235="","",S235*N235)</f>
        <v/>
      </c>
      <c r="L235" s="7">
        <f>IF($A235="","",N235-K235)</f>
        <v/>
      </c>
      <c r="M235" s="7">
        <f>IF($A235="","",L235-F235)</f>
        <v/>
      </c>
      <c r="N235" s="7" t="n"/>
      <c r="Q235" s="11" t="n"/>
      <c r="S235">
        <f>IF($A235="","",IF($W235=1,Settings!$C$6,Settings!$C$7)*1)</f>
        <v/>
      </c>
      <c r="U235">
        <f>IF($A235="","",IF(COUNTIF($A$2:$A235,$A235)=1,1,0))</f>
        <v/>
      </c>
      <c r="V235">
        <f>IF($U235=1,SUMPRODUCT(--($X$2:$X$3001&lt;$X235))+1,"")</f>
        <v/>
      </c>
      <c r="W235">
        <f>IF($A235="","",IF(OR($T235=TRUE(),$T235="TRUE"),1,0))</f>
        <v/>
      </c>
      <c r="X235">
        <f>IF($U235=1,IFERROR(IF(VALUE($A235)&lt;100000000,VALUE($A235),1000000000),IFERROR(IF(VALUE(MID($A235,2,20))&lt;100000000,VALUE(MID($A235,2,20)),1000000000),1000000000))+ROW()/100000,"")</f>
        <v/>
      </c>
    </row>
    <row r="236">
      <c r="F236" s="7">
        <f>IF($A236="","",E236*N236/100)</f>
        <v/>
      </c>
      <c r="J236" s="7" t="n"/>
      <c r="K236" s="7">
        <f>IF($A236="","",S236*N236)</f>
        <v/>
      </c>
      <c r="L236" s="7">
        <f>IF($A236="","",N236-K236)</f>
        <v/>
      </c>
      <c r="M236" s="7">
        <f>IF($A236="","",L236-F236)</f>
        <v/>
      </c>
      <c r="N236" s="7" t="n"/>
      <c r="Q236" s="11" t="n"/>
      <c r="S236">
        <f>IF($A236="","",IF($W236=1,Settings!$C$6,Settings!$C$7)*1)</f>
        <v/>
      </c>
      <c r="U236">
        <f>IF($A236="","",IF(COUNTIF($A$2:$A236,$A236)=1,1,0))</f>
        <v/>
      </c>
      <c r="V236">
        <f>IF($U236=1,SUMPRODUCT(--($X$2:$X$3001&lt;$X236))+1,"")</f>
        <v/>
      </c>
      <c r="W236">
        <f>IF($A236="","",IF(OR($T236=TRUE(),$T236="TRUE"),1,0))</f>
        <v/>
      </c>
      <c r="X236">
        <f>IF($U236=1,IFERROR(IF(VALUE($A236)&lt;100000000,VALUE($A236),1000000000),IFERROR(IF(VALUE(MID($A236,2,20))&lt;100000000,VALUE(MID($A236,2,20)),1000000000),1000000000))+ROW()/100000,"")</f>
        <v/>
      </c>
    </row>
    <row r="237">
      <c r="F237" s="7">
        <f>IF($A237="","",E237*N237/100)</f>
        <v/>
      </c>
      <c r="J237" s="7" t="n"/>
      <c r="K237" s="7">
        <f>IF($A237="","",S237*N237)</f>
        <v/>
      </c>
      <c r="L237" s="7">
        <f>IF($A237="","",N237-K237)</f>
        <v/>
      </c>
      <c r="M237" s="7">
        <f>IF($A237="","",L237-F237)</f>
        <v/>
      </c>
      <c r="N237" s="7" t="n"/>
      <c r="Q237" s="11" t="n"/>
      <c r="S237">
        <f>IF($A237="","",IF($W237=1,Settings!$C$6,Settings!$C$7)*1)</f>
        <v/>
      </c>
      <c r="U237">
        <f>IF($A237="","",IF(COUNTIF($A$2:$A237,$A237)=1,1,0))</f>
        <v/>
      </c>
      <c r="V237">
        <f>IF($U237=1,SUMPRODUCT(--($X$2:$X$3001&lt;$X237))+1,"")</f>
        <v/>
      </c>
      <c r="W237">
        <f>IF($A237="","",IF(OR($T237=TRUE(),$T237="TRUE"),1,0))</f>
        <v/>
      </c>
      <c r="X237">
        <f>IF($U237=1,IFERROR(IF(VALUE($A237)&lt;100000000,VALUE($A237),1000000000),IFERROR(IF(VALUE(MID($A237,2,20))&lt;100000000,VALUE(MID($A237,2,20)),1000000000),1000000000))+ROW()/100000,"")</f>
        <v/>
      </c>
    </row>
    <row r="238">
      <c r="F238" s="7">
        <f>IF($A238="","",E238*N238/100)</f>
        <v/>
      </c>
      <c r="J238" s="7" t="n"/>
      <c r="K238" s="7">
        <f>IF($A238="","",S238*N238)</f>
        <v/>
      </c>
      <c r="L238" s="7">
        <f>IF($A238="","",N238-K238)</f>
        <v/>
      </c>
      <c r="M238" s="7">
        <f>IF($A238="","",L238-F238)</f>
        <v/>
      </c>
      <c r="N238" s="7" t="n"/>
      <c r="Q238" s="11" t="n"/>
      <c r="S238">
        <f>IF($A238="","",IF($W238=1,Settings!$C$6,Settings!$C$7)*1)</f>
        <v/>
      </c>
      <c r="U238">
        <f>IF($A238="","",IF(COUNTIF($A$2:$A238,$A238)=1,1,0))</f>
        <v/>
      </c>
      <c r="V238">
        <f>IF($U238=1,SUMPRODUCT(--($X$2:$X$3001&lt;$X238))+1,"")</f>
        <v/>
      </c>
      <c r="W238">
        <f>IF($A238="","",IF(OR($T238=TRUE(),$T238="TRUE"),1,0))</f>
        <v/>
      </c>
      <c r="X238">
        <f>IF($U238=1,IFERROR(IF(VALUE($A238)&lt;100000000,VALUE($A238),1000000000),IFERROR(IF(VALUE(MID($A238,2,20))&lt;100000000,VALUE(MID($A238,2,20)),1000000000),1000000000))+ROW()/100000,"")</f>
        <v/>
      </c>
    </row>
    <row r="239">
      <c r="F239" s="7">
        <f>IF($A239="","",E239*N239/100)</f>
        <v/>
      </c>
      <c r="J239" s="7" t="n"/>
      <c r="K239" s="7">
        <f>IF($A239="","",S239*N239)</f>
        <v/>
      </c>
      <c r="L239" s="7">
        <f>IF($A239="","",N239-K239)</f>
        <v/>
      </c>
      <c r="M239" s="7">
        <f>IF($A239="","",L239-F239)</f>
        <v/>
      </c>
      <c r="N239" s="7" t="n"/>
      <c r="Q239" s="11" t="n"/>
      <c r="S239">
        <f>IF($A239="","",IF($W239=1,Settings!$C$6,Settings!$C$7)*1)</f>
        <v/>
      </c>
      <c r="U239">
        <f>IF($A239="","",IF(COUNTIF($A$2:$A239,$A239)=1,1,0))</f>
        <v/>
      </c>
      <c r="V239">
        <f>IF($U239=1,SUMPRODUCT(--($X$2:$X$3001&lt;$X239))+1,"")</f>
        <v/>
      </c>
      <c r="W239">
        <f>IF($A239="","",IF(OR($T239=TRUE(),$T239="TRUE"),1,0))</f>
        <v/>
      </c>
      <c r="X239">
        <f>IF($U239=1,IFERROR(IF(VALUE($A239)&lt;100000000,VALUE($A239),1000000000),IFERROR(IF(VALUE(MID($A239,2,20))&lt;100000000,VALUE(MID($A239,2,20)),1000000000),1000000000))+ROW()/100000,"")</f>
        <v/>
      </c>
    </row>
    <row r="240">
      <c r="F240" s="7">
        <f>IF($A240="","",E240*N240/100)</f>
        <v/>
      </c>
      <c r="J240" s="7" t="n"/>
      <c r="K240" s="7">
        <f>IF($A240="","",S240*N240)</f>
        <v/>
      </c>
      <c r="L240" s="7">
        <f>IF($A240="","",N240-K240)</f>
        <v/>
      </c>
      <c r="M240" s="7">
        <f>IF($A240="","",L240-F240)</f>
        <v/>
      </c>
      <c r="N240" s="7" t="n"/>
      <c r="Q240" s="11" t="n"/>
      <c r="S240">
        <f>IF($A240="","",IF($W240=1,Settings!$C$6,Settings!$C$7)*1)</f>
        <v/>
      </c>
      <c r="U240">
        <f>IF($A240="","",IF(COUNTIF($A$2:$A240,$A240)=1,1,0))</f>
        <v/>
      </c>
      <c r="V240">
        <f>IF($U240=1,SUMPRODUCT(--($X$2:$X$3001&lt;$X240))+1,"")</f>
        <v/>
      </c>
      <c r="W240">
        <f>IF($A240="","",IF(OR($T240=TRUE(),$T240="TRUE"),1,0))</f>
        <v/>
      </c>
      <c r="X240">
        <f>IF($U240=1,IFERROR(IF(VALUE($A240)&lt;100000000,VALUE($A240),1000000000),IFERROR(IF(VALUE(MID($A240,2,20))&lt;100000000,VALUE(MID($A240,2,20)),1000000000),1000000000))+ROW()/100000,"")</f>
        <v/>
      </c>
    </row>
    <row r="241">
      <c r="F241" s="7">
        <f>IF($A241="","",E241*N241/100)</f>
        <v/>
      </c>
      <c r="J241" s="7" t="n"/>
      <c r="K241" s="7">
        <f>IF($A241="","",S241*N241)</f>
        <v/>
      </c>
      <c r="L241" s="7">
        <f>IF($A241="","",N241-K241)</f>
        <v/>
      </c>
      <c r="M241" s="7">
        <f>IF($A241="","",L241-F241)</f>
        <v/>
      </c>
      <c r="N241" s="7" t="n"/>
      <c r="Q241" s="11" t="n"/>
      <c r="S241">
        <f>IF($A241="","",IF($W241=1,Settings!$C$6,Settings!$C$7)*1)</f>
        <v/>
      </c>
      <c r="U241">
        <f>IF($A241="","",IF(COUNTIF($A$2:$A241,$A241)=1,1,0))</f>
        <v/>
      </c>
      <c r="V241">
        <f>IF($U241=1,SUMPRODUCT(--($X$2:$X$3001&lt;$X241))+1,"")</f>
        <v/>
      </c>
      <c r="W241">
        <f>IF($A241="","",IF(OR($T241=TRUE(),$T241="TRUE"),1,0))</f>
        <v/>
      </c>
      <c r="X241">
        <f>IF($U241=1,IFERROR(IF(VALUE($A241)&lt;100000000,VALUE($A241),1000000000),IFERROR(IF(VALUE(MID($A241,2,20))&lt;100000000,VALUE(MID($A241,2,20)),1000000000),1000000000))+ROW()/100000,"")</f>
        <v/>
      </c>
    </row>
    <row r="242">
      <c r="F242" s="7">
        <f>IF($A242="","",E242*N242/100)</f>
        <v/>
      </c>
      <c r="J242" s="7" t="n"/>
      <c r="K242" s="7">
        <f>IF($A242="","",S242*N242)</f>
        <v/>
      </c>
      <c r="L242" s="7">
        <f>IF($A242="","",N242-K242)</f>
        <v/>
      </c>
      <c r="M242" s="7">
        <f>IF($A242="","",L242-F242)</f>
        <v/>
      </c>
      <c r="N242" s="7" t="n"/>
      <c r="Q242" s="11" t="n"/>
      <c r="S242">
        <f>IF($A242="","",IF($W242=1,Settings!$C$6,Settings!$C$7)*1)</f>
        <v/>
      </c>
      <c r="U242">
        <f>IF($A242="","",IF(COUNTIF($A$2:$A242,$A242)=1,1,0))</f>
        <v/>
      </c>
      <c r="V242">
        <f>IF($U242=1,SUMPRODUCT(--($X$2:$X$3001&lt;$X242))+1,"")</f>
        <v/>
      </c>
      <c r="W242">
        <f>IF($A242="","",IF(OR($T242=TRUE(),$T242="TRUE"),1,0))</f>
        <v/>
      </c>
      <c r="X242">
        <f>IF($U242=1,IFERROR(IF(VALUE($A242)&lt;100000000,VALUE($A242),1000000000),IFERROR(IF(VALUE(MID($A242,2,20))&lt;100000000,VALUE(MID($A242,2,20)),1000000000),1000000000))+ROW()/100000,"")</f>
        <v/>
      </c>
    </row>
    <row r="243">
      <c r="F243" s="7">
        <f>IF($A243="","",E243*N243/100)</f>
        <v/>
      </c>
      <c r="J243" s="7" t="n"/>
      <c r="K243" s="7">
        <f>IF($A243="","",S243*N243)</f>
        <v/>
      </c>
      <c r="L243" s="7">
        <f>IF($A243="","",N243-K243)</f>
        <v/>
      </c>
      <c r="M243" s="7">
        <f>IF($A243="","",L243-F243)</f>
        <v/>
      </c>
      <c r="N243" s="7" t="n"/>
      <c r="Q243" s="11" t="n"/>
      <c r="S243">
        <f>IF($A243="","",IF($W243=1,Settings!$C$6,Settings!$C$7)*1)</f>
        <v/>
      </c>
      <c r="U243">
        <f>IF($A243="","",IF(COUNTIF($A$2:$A243,$A243)=1,1,0))</f>
        <v/>
      </c>
      <c r="V243">
        <f>IF($U243=1,SUMPRODUCT(--($X$2:$X$3001&lt;$X243))+1,"")</f>
        <v/>
      </c>
      <c r="W243">
        <f>IF($A243="","",IF(OR($T243=TRUE(),$T243="TRUE"),1,0))</f>
        <v/>
      </c>
      <c r="X243">
        <f>IF($U243=1,IFERROR(IF(VALUE($A243)&lt;100000000,VALUE($A243),1000000000),IFERROR(IF(VALUE(MID($A243,2,20))&lt;100000000,VALUE(MID($A243,2,20)),1000000000),1000000000))+ROW()/100000,"")</f>
        <v/>
      </c>
    </row>
    <row r="244">
      <c r="F244" s="7">
        <f>IF($A244="","",E244*N244/100)</f>
        <v/>
      </c>
      <c r="J244" s="7" t="n"/>
      <c r="K244" s="7">
        <f>IF($A244="","",S244*N244)</f>
        <v/>
      </c>
      <c r="L244" s="7">
        <f>IF($A244="","",N244-K244)</f>
        <v/>
      </c>
      <c r="M244" s="7">
        <f>IF($A244="","",L244-F244)</f>
        <v/>
      </c>
      <c r="N244" s="7" t="n"/>
      <c r="Q244" s="11" t="n"/>
      <c r="S244">
        <f>IF($A244="","",IF($W244=1,Settings!$C$6,Settings!$C$7)*1)</f>
        <v/>
      </c>
      <c r="U244">
        <f>IF($A244="","",IF(COUNTIF($A$2:$A244,$A244)=1,1,0))</f>
        <v/>
      </c>
      <c r="V244">
        <f>IF($U244=1,SUMPRODUCT(--($X$2:$X$3001&lt;$X244))+1,"")</f>
        <v/>
      </c>
      <c r="W244">
        <f>IF($A244="","",IF(OR($T244=TRUE(),$T244="TRUE"),1,0))</f>
        <v/>
      </c>
      <c r="X244">
        <f>IF($U244=1,IFERROR(IF(VALUE($A244)&lt;100000000,VALUE($A244),1000000000),IFERROR(IF(VALUE(MID($A244,2,20))&lt;100000000,VALUE(MID($A244,2,20)),1000000000),1000000000))+ROW()/100000,"")</f>
        <v/>
      </c>
    </row>
    <row r="245">
      <c r="F245" s="7">
        <f>IF($A245="","",E245*N245/100)</f>
        <v/>
      </c>
      <c r="J245" s="7" t="n"/>
      <c r="K245" s="7">
        <f>IF($A245="","",S245*N245)</f>
        <v/>
      </c>
      <c r="L245" s="7">
        <f>IF($A245="","",N245-K245)</f>
        <v/>
      </c>
      <c r="M245" s="7">
        <f>IF($A245="","",L245-F245)</f>
        <v/>
      </c>
      <c r="N245" s="7" t="n"/>
      <c r="Q245" s="11" t="n"/>
      <c r="S245">
        <f>IF($A245="","",IF($W245=1,Settings!$C$6,Settings!$C$7)*1)</f>
        <v/>
      </c>
      <c r="U245">
        <f>IF($A245="","",IF(COUNTIF($A$2:$A245,$A245)=1,1,0))</f>
        <v/>
      </c>
      <c r="V245">
        <f>IF($U245=1,SUMPRODUCT(--($X$2:$X$3001&lt;$X245))+1,"")</f>
        <v/>
      </c>
      <c r="W245">
        <f>IF($A245="","",IF(OR($T245=TRUE(),$T245="TRUE"),1,0))</f>
        <v/>
      </c>
      <c r="X245">
        <f>IF($U245=1,IFERROR(IF(VALUE($A245)&lt;100000000,VALUE($A245),1000000000),IFERROR(IF(VALUE(MID($A245,2,20))&lt;100000000,VALUE(MID($A245,2,20)),1000000000),1000000000))+ROW()/100000,"")</f>
        <v/>
      </c>
    </row>
    <row r="246">
      <c r="F246" s="7">
        <f>IF($A246="","",E246*N246/100)</f>
        <v/>
      </c>
      <c r="J246" s="7" t="n"/>
      <c r="K246" s="7">
        <f>IF($A246="","",S246*N246)</f>
        <v/>
      </c>
      <c r="L246" s="7">
        <f>IF($A246="","",N246-K246)</f>
        <v/>
      </c>
      <c r="M246" s="7">
        <f>IF($A246="","",L246-F246)</f>
        <v/>
      </c>
      <c r="N246" s="7" t="n"/>
      <c r="Q246" s="11" t="n"/>
      <c r="S246">
        <f>IF($A246="","",IF($W246=1,Settings!$C$6,Settings!$C$7)*1)</f>
        <v/>
      </c>
      <c r="U246">
        <f>IF($A246="","",IF(COUNTIF($A$2:$A246,$A246)=1,1,0))</f>
        <v/>
      </c>
      <c r="V246">
        <f>IF($U246=1,SUMPRODUCT(--($X$2:$X$3001&lt;$X246))+1,"")</f>
        <v/>
      </c>
      <c r="W246">
        <f>IF($A246="","",IF(OR($T246=TRUE(),$T246="TRUE"),1,0))</f>
        <v/>
      </c>
      <c r="X246">
        <f>IF($U246=1,IFERROR(IF(VALUE($A246)&lt;100000000,VALUE($A246),1000000000),IFERROR(IF(VALUE(MID($A246,2,20))&lt;100000000,VALUE(MID($A246,2,20)),1000000000),1000000000))+ROW()/100000,"")</f>
        <v/>
      </c>
    </row>
    <row r="247">
      <c r="F247" s="7">
        <f>IF($A247="","",E247*N247/100)</f>
        <v/>
      </c>
      <c r="J247" s="7" t="n"/>
      <c r="K247" s="7">
        <f>IF($A247="","",S247*N247)</f>
        <v/>
      </c>
      <c r="L247" s="7">
        <f>IF($A247="","",N247-K247)</f>
        <v/>
      </c>
      <c r="M247" s="7">
        <f>IF($A247="","",L247-F247)</f>
        <v/>
      </c>
      <c r="N247" s="7" t="n"/>
      <c r="Q247" s="11" t="n"/>
      <c r="S247">
        <f>IF($A247="","",IF($W247=1,Settings!$C$6,Settings!$C$7)*1)</f>
        <v/>
      </c>
      <c r="U247">
        <f>IF($A247="","",IF(COUNTIF($A$2:$A247,$A247)=1,1,0))</f>
        <v/>
      </c>
      <c r="V247">
        <f>IF($U247=1,SUMPRODUCT(--($X$2:$X$3001&lt;$X247))+1,"")</f>
        <v/>
      </c>
      <c r="W247">
        <f>IF($A247="","",IF(OR($T247=TRUE(),$T247="TRUE"),1,0))</f>
        <v/>
      </c>
      <c r="X247">
        <f>IF($U247=1,IFERROR(IF(VALUE($A247)&lt;100000000,VALUE($A247),1000000000),IFERROR(IF(VALUE(MID($A247,2,20))&lt;100000000,VALUE(MID($A247,2,20)),1000000000),1000000000))+ROW()/100000,"")</f>
        <v/>
      </c>
    </row>
    <row r="248">
      <c r="F248" s="7">
        <f>IF($A248="","",E248*N248/100)</f>
        <v/>
      </c>
      <c r="J248" s="7" t="n"/>
      <c r="K248" s="7">
        <f>IF($A248="","",S248*N248)</f>
        <v/>
      </c>
      <c r="L248" s="7">
        <f>IF($A248="","",N248-K248)</f>
        <v/>
      </c>
      <c r="M248" s="7">
        <f>IF($A248="","",L248-F248)</f>
        <v/>
      </c>
      <c r="N248" s="7" t="n"/>
      <c r="Q248" s="11" t="n"/>
      <c r="S248">
        <f>IF($A248="","",IF($W248=1,Settings!$C$6,Settings!$C$7)*1)</f>
        <v/>
      </c>
      <c r="U248">
        <f>IF($A248="","",IF(COUNTIF($A$2:$A248,$A248)=1,1,0))</f>
        <v/>
      </c>
      <c r="V248">
        <f>IF($U248=1,SUMPRODUCT(--($X$2:$X$3001&lt;$X248))+1,"")</f>
        <v/>
      </c>
      <c r="W248">
        <f>IF($A248="","",IF(OR($T248=TRUE(),$T248="TRUE"),1,0))</f>
        <v/>
      </c>
      <c r="X248">
        <f>IF($U248=1,IFERROR(IF(VALUE($A248)&lt;100000000,VALUE($A248),1000000000),IFERROR(IF(VALUE(MID($A248,2,20))&lt;100000000,VALUE(MID($A248,2,20)),1000000000),1000000000))+ROW()/100000,"")</f>
        <v/>
      </c>
    </row>
    <row r="249">
      <c r="F249" s="7">
        <f>IF($A249="","",E249*N249/100)</f>
        <v/>
      </c>
      <c r="J249" s="7" t="n"/>
      <c r="K249" s="7">
        <f>IF($A249="","",S249*N249)</f>
        <v/>
      </c>
      <c r="L249" s="7">
        <f>IF($A249="","",N249-K249)</f>
        <v/>
      </c>
      <c r="M249" s="7">
        <f>IF($A249="","",L249-F249)</f>
        <v/>
      </c>
      <c r="N249" s="7" t="n"/>
      <c r="Q249" s="11" t="n"/>
      <c r="S249">
        <f>IF($A249="","",IF($W249=1,Settings!$C$6,Settings!$C$7)*1)</f>
        <v/>
      </c>
      <c r="U249">
        <f>IF($A249="","",IF(COUNTIF($A$2:$A249,$A249)=1,1,0))</f>
        <v/>
      </c>
      <c r="V249">
        <f>IF($U249=1,SUMPRODUCT(--($X$2:$X$3001&lt;$X249))+1,"")</f>
        <v/>
      </c>
      <c r="W249">
        <f>IF($A249="","",IF(OR($T249=TRUE(),$T249="TRUE"),1,0))</f>
        <v/>
      </c>
      <c r="X249">
        <f>IF($U249=1,IFERROR(IF(VALUE($A249)&lt;100000000,VALUE($A249),1000000000),IFERROR(IF(VALUE(MID($A249,2,20))&lt;100000000,VALUE(MID($A249,2,20)),1000000000),1000000000))+ROW()/100000,"")</f>
        <v/>
      </c>
    </row>
    <row r="250">
      <c r="F250" s="7">
        <f>IF($A250="","",E250*N250/100)</f>
        <v/>
      </c>
      <c r="J250" s="7" t="n"/>
      <c r="K250" s="7">
        <f>IF($A250="","",S250*N250)</f>
        <v/>
      </c>
      <c r="L250" s="7">
        <f>IF($A250="","",N250-K250)</f>
        <v/>
      </c>
      <c r="M250" s="7">
        <f>IF($A250="","",L250-F250)</f>
        <v/>
      </c>
      <c r="N250" s="7" t="n"/>
      <c r="Q250" s="11" t="n"/>
      <c r="S250">
        <f>IF($A250="","",IF($W250=1,Settings!$C$6,Settings!$C$7)*1)</f>
        <v/>
      </c>
      <c r="U250">
        <f>IF($A250="","",IF(COUNTIF($A$2:$A250,$A250)=1,1,0))</f>
        <v/>
      </c>
      <c r="V250">
        <f>IF($U250=1,SUMPRODUCT(--($X$2:$X$3001&lt;$X250))+1,"")</f>
        <v/>
      </c>
      <c r="W250">
        <f>IF($A250="","",IF(OR($T250=TRUE(),$T250="TRUE"),1,0))</f>
        <v/>
      </c>
      <c r="X250">
        <f>IF($U250=1,IFERROR(IF(VALUE($A250)&lt;100000000,VALUE($A250),1000000000),IFERROR(IF(VALUE(MID($A250,2,20))&lt;100000000,VALUE(MID($A250,2,20)),1000000000),1000000000))+ROW()/100000,"")</f>
        <v/>
      </c>
    </row>
    <row r="251">
      <c r="F251" s="7">
        <f>IF($A251="","",E251*N251/100)</f>
        <v/>
      </c>
      <c r="J251" s="7" t="n"/>
      <c r="K251" s="7">
        <f>IF($A251="","",S251*N251)</f>
        <v/>
      </c>
      <c r="L251" s="7">
        <f>IF($A251="","",N251-K251)</f>
        <v/>
      </c>
      <c r="M251" s="7">
        <f>IF($A251="","",L251-F251)</f>
        <v/>
      </c>
      <c r="N251" s="7" t="n"/>
      <c r="Q251" s="11" t="n"/>
      <c r="S251">
        <f>IF($A251="","",IF($W251=1,Settings!$C$6,Settings!$C$7)*1)</f>
        <v/>
      </c>
      <c r="U251">
        <f>IF($A251="","",IF(COUNTIF($A$2:$A251,$A251)=1,1,0))</f>
        <v/>
      </c>
      <c r="V251">
        <f>IF($U251=1,SUMPRODUCT(--($X$2:$X$3001&lt;$X251))+1,"")</f>
        <v/>
      </c>
      <c r="W251">
        <f>IF($A251="","",IF(OR($T251=TRUE(),$T251="TRUE"),1,0))</f>
        <v/>
      </c>
      <c r="X251">
        <f>IF($U251=1,IFERROR(IF(VALUE($A251)&lt;100000000,VALUE($A251),1000000000),IFERROR(IF(VALUE(MID($A251,2,20))&lt;100000000,VALUE(MID($A251,2,20)),1000000000),1000000000))+ROW()/100000,"")</f>
        <v/>
      </c>
    </row>
    <row r="252">
      <c r="F252" s="7">
        <f>IF($A252="","",E252*N252/100)</f>
        <v/>
      </c>
      <c r="J252" s="7" t="n"/>
      <c r="K252" s="7">
        <f>IF($A252="","",S252*N252)</f>
        <v/>
      </c>
      <c r="L252" s="7">
        <f>IF($A252="","",N252-K252)</f>
        <v/>
      </c>
      <c r="M252" s="7">
        <f>IF($A252="","",L252-F252)</f>
        <v/>
      </c>
      <c r="N252" s="7" t="n"/>
      <c r="Q252" s="11" t="n"/>
      <c r="S252">
        <f>IF($A252="","",IF($W252=1,Settings!$C$6,Settings!$C$7)*1)</f>
        <v/>
      </c>
      <c r="U252">
        <f>IF($A252="","",IF(COUNTIF($A$2:$A252,$A252)=1,1,0))</f>
        <v/>
      </c>
      <c r="V252">
        <f>IF($U252=1,SUMPRODUCT(--($X$2:$X$3001&lt;$X252))+1,"")</f>
        <v/>
      </c>
      <c r="W252">
        <f>IF($A252="","",IF(OR($T252=TRUE(),$T252="TRUE"),1,0))</f>
        <v/>
      </c>
      <c r="X252">
        <f>IF($U252=1,IFERROR(IF(VALUE($A252)&lt;100000000,VALUE($A252),1000000000),IFERROR(IF(VALUE(MID($A252,2,20))&lt;100000000,VALUE(MID($A252,2,20)),1000000000),1000000000))+ROW()/100000,"")</f>
        <v/>
      </c>
    </row>
    <row r="253">
      <c r="F253" s="7">
        <f>IF($A253="","",E253*N253/100)</f>
        <v/>
      </c>
      <c r="J253" s="7" t="n"/>
      <c r="K253" s="7">
        <f>IF($A253="","",S253*N253)</f>
        <v/>
      </c>
      <c r="L253" s="7">
        <f>IF($A253="","",N253-K253)</f>
        <v/>
      </c>
      <c r="M253" s="7">
        <f>IF($A253="","",L253-F253)</f>
        <v/>
      </c>
      <c r="N253" s="7" t="n"/>
      <c r="Q253" s="11" t="n"/>
      <c r="S253">
        <f>IF($A253="","",IF($W253=1,Settings!$C$6,Settings!$C$7)*1)</f>
        <v/>
      </c>
      <c r="U253">
        <f>IF($A253="","",IF(COUNTIF($A$2:$A253,$A253)=1,1,0))</f>
        <v/>
      </c>
      <c r="V253">
        <f>IF($U253=1,SUMPRODUCT(--($X$2:$X$3001&lt;$X253))+1,"")</f>
        <v/>
      </c>
      <c r="W253">
        <f>IF($A253="","",IF(OR($T253=TRUE(),$T253="TRUE"),1,0))</f>
        <v/>
      </c>
      <c r="X253">
        <f>IF($U253=1,IFERROR(IF(VALUE($A253)&lt;100000000,VALUE($A253),1000000000),IFERROR(IF(VALUE(MID($A253,2,20))&lt;100000000,VALUE(MID($A253,2,20)),1000000000),1000000000))+ROW()/100000,"")</f>
        <v/>
      </c>
    </row>
    <row r="254">
      <c r="F254" s="7">
        <f>IF($A254="","",E254*N254/100)</f>
        <v/>
      </c>
      <c r="J254" s="7" t="n"/>
      <c r="K254" s="7">
        <f>IF($A254="","",S254*N254)</f>
        <v/>
      </c>
      <c r="L254" s="7">
        <f>IF($A254="","",N254-K254)</f>
        <v/>
      </c>
      <c r="M254" s="7">
        <f>IF($A254="","",L254-F254)</f>
        <v/>
      </c>
      <c r="N254" s="7" t="n"/>
      <c r="Q254" s="11" t="n"/>
      <c r="S254">
        <f>IF($A254="","",IF($W254=1,Settings!$C$6,Settings!$C$7)*1)</f>
        <v/>
      </c>
      <c r="U254">
        <f>IF($A254="","",IF(COUNTIF($A$2:$A254,$A254)=1,1,0))</f>
        <v/>
      </c>
      <c r="V254">
        <f>IF($U254=1,SUMPRODUCT(--($X$2:$X$3001&lt;$X254))+1,"")</f>
        <v/>
      </c>
      <c r="W254">
        <f>IF($A254="","",IF(OR($T254=TRUE(),$T254="TRUE"),1,0))</f>
        <v/>
      </c>
      <c r="X254">
        <f>IF($U254=1,IFERROR(IF(VALUE($A254)&lt;100000000,VALUE($A254),1000000000),IFERROR(IF(VALUE(MID($A254,2,20))&lt;100000000,VALUE(MID($A254,2,20)),1000000000),1000000000))+ROW()/100000,"")</f>
        <v/>
      </c>
    </row>
    <row r="255">
      <c r="F255" s="7">
        <f>IF($A255="","",E255*N255/100)</f>
        <v/>
      </c>
      <c r="J255" s="7" t="n"/>
      <c r="K255" s="7">
        <f>IF($A255="","",S255*N255)</f>
        <v/>
      </c>
      <c r="L255" s="7">
        <f>IF($A255="","",N255-K255)</f>
        <v/>
      </c>
      <c r="M255" s="7">
        <f>IF($A255="","",L255-F255)</f>
        <v/>
      </c>
      <c r="N255" s="7" t="n"/>
      <c r="Q255" s="11" t="n"/>
      <c r="S255">
        <f>IF($A255="","",IF($W255=1,Settings!$C$6,Settings!$C$7)*1)</f>
        <v/>
      </c>
      <c r="U255">
        <f>IF($A255="","",IF(COUNTIF($A$2:$A255,$A255)=1,1,0))</f>
        <v/>
      </c>
      <c r="V255">
        <f>IF($U255=1,SUMPRODUCT(--($X$2:$X$3001&lt;$X255))+1,"")</f>
        <v/>
      </c>
      <c r="W255">
        <f>IF($A255="","",IF(OR($T255=TRUE(),$T255="TRUE"),1,0))</f>
        <v/>
      </c>
      <c r="X255">
        <f>IF($U255=1,IFERROR(IF(VALUE($A255)&lt;100000000,VALUE($A255),1000000000),IFERROR(IF(VALUE(MID($A255,2,20))&lt;100000000,VALUE(MID($A255,2,20)),1000000000),1000000000))+ROW()/100000,"")</f>
        <v/>
      </c>
    </row>
    <row r="256">
      <c r="F256" s="7">
        <f>IF($A256="","",E256*N256/100)</f>
        <v/>
      </c>
      <c r="J256" s="7" t="n"/>
      <c r="K256" s="7">
        <f>IF($A256="","",S256*N256)</f>
        <v/>
      </c>
      <c r="L256" s="7">
        <f>IF($A256="","",N256-K256)</f>
        <v/>
      </c>
      <c r="M256" s="7">
        <f>IF($A256="","",L256-F256)</f>
        <v/>
      </c>
      <c r="N256" s="7" t="n"/>
      <c r="Q256" s="11" t="n"/>
      <c r="S256">
        <f>IF($A256="","",IF($W256=1,Settings!$C$6,Settings!$C$7)*1)</f>
        <v/>
      </c>
      <c r="U256">
        <f>IF($A256="","",IF(COUNTIF($A$2:$A256,$A256)=1,1,0))</f>
        <v/>
      </c>
      <c r="V256">
        <f>IF($U256=1,SUMPRODUCT(--($X$2:$X$3001&lt;$X256))+1,"")</f>
        <v/>
      </c>
      <c r="W256">
        <f>IF($A256="","",IF(OR($T256=TRUE(),$T256="TRUE"),1,0))</f>
        <v/>
      </c>
      <c r="X256">
        <f>IF($U256=1,IFERROR(IF(VALUE($A256)&lt;100000000,VALUE($A256),1000000000),IFERROR(IF(VALUE(MID($A256,2,20))&lt;100000000,VALUE(MID($A256,2,20)),1000000000),1000000000))+ROW()/100000,"")</f>
        <v/>
      </c>
    </row>
    <row r="257">
      <c r="F257" s="7">
        <f>IF($A257="","",E257*N257/100)</f>
        <v/>
      </c>
      <c r="J257" s="7" t="n"/>
      <c r="K257" s="7">
        <f>IF($A257="","",S257*N257)</f>
        <v/>
      </c>
      <c r="L257" s="7">
        <f>IF($A257="","",N257-K257)</f>
        <v/>
      </c>
      <c r="M257" s="7">
        <f>IF($A257="","",L257-F257)</f>
        <v/>
      </c>
      <c r="N257" s="7" t="n"/>
      <c r="Q257" s="11" t="n"/>
      <c r="S257">
        <f>IF($A257="","",IF($W257=1,Settings!$C$6,Settings!$C$7)*1)</f>
        <v/>
      </c>
      <c r="U257">
        <f>IF($A257="","",IF(COUNTIF($A$2:$A257,$A257)=1,1,0))</f>
        <v/>
      </c>
      <c r="V257">
        <f>IF($U257=1,SUMPRODUCT(--($X$2:$X$3001&lt;$X257))+1,"")</f>
        <v/>
      </c>
      <c r="W257">
        <f>IF($A257="","",IF(OR($T257=TRUE(),$T257="TRUE"),1,0))</f>
        <v/>
      </c>
      <c r="X257">
        <f>IF($U257=1,IFERROR(IF(VALUE($A257)&lt;100000000,VALUE($A257),1000000000),IFERROR(IF(VALUE(MID($A257,2,20))&lt;100000000,VALUE(MID($A257,2,20)),1000000000),1000000000))+ROW()/100000,"")</f>
        <v/>
      </c>
    </row>
    <row r="258">
      <c r="F258" s="7">
        <f>IF($A258="","",E258*N258/100)</f>
        <v/>
      </c>
      <c r="J258" s="7" t="n"/>
      <c r="K258" s="7">
        <f>IF($A258="","",S258*N258)</f>
        <v/>
      </c>
      <c r="L258" s="7">
        <f>IF($A258="","",N258-K258)</f>
        <v/>
      </c>
      <c r="M258" s="7">
        <f>IF($A258="","",L258-F258)</f>
        <v/>
      </c>
      <c r="N258" s="7" t="n"/>
      <c r="Q258" s="11" t="n"/>
      <c r="S258">
        <f>IF($A258="","",IF($W258=1,Settings!$C$6,Settings!$C$7)*1)</f>
        <v/>
      </c>
      <c r="U258">
        <f>IF($A258="","",IF(COUNTIF($A$2:$A258,$A258)=1,1,0))</f>
        <v/>
      </c>
      <c r="V258">
        <f>IF($U258=1,SUMPRODUCT(--($X$2:$X$3001&lt;$X258))+1,"")</f>
        <v/>
      </c>
      <c r="W258">
        <f>IF($A258="","",IF(OR($T258=TRUE(),$T258="TRUE"),1,0))</f>
        <v/>
      </c>
      <c r="X258">
        <f>IF($U258=1,IFERROR(IF(VALUE($A258)&lt;100000000,VALUE($A258),1000000000),IFERROR(IF(VALUE(MID($A258,2,20))&lt;100000000,VALUE(MID($A258,2,20)),1000000000),1000000000))+ROW()/100000,"")</f>
        <v/>
      </c>
    </row>
    <row r="259">
      <c r="F259" s="7">
        <f>IF($A259="","",E259*N259/100)</f>
        <v/>
      </c>
      <c r="J259" s="7" t="n"/>
      <c r="K259" s="7">
        <f>IF($A259="","",S259*N259)</f>
        <v/>
      </c>
      <c r="L259" s="7">
        <f>IF($A259="","",N259-K259)</f>
        <v/>
      </c>
      <c r="M259" s="7">
        <f>IF($A259="","",L259-F259)</f>
        <v/>
      </c>
      <c r="N259" s="7" t="n"/>
      <c r="Q259" s="11" t="n"/>
      <c r="S259">
        <f>IF($A259="","",IF($W259=1,Settings!$C$6,Settings!$C$7)*1)</f>
        <v/>
      </c>
      <c r="U259">
        <f>IF($A259="","",IF(COUNTIF($A$2:$A259,$A259)=1,1,0))</f>
        <v/>
      </c>
      <c r="V259">
        <f>IF($U259=1,SUMPRODUCT(--($X$2:$X$3001&lt;$X259))+1,"")</f>
        <v/>
      </c>
      <c r="W259">
        <f>IF($A259="","",IF(OR($T259=TRUE(),$T259="TRUE"),1,0))</f>
        <v/>
      </c>
      <c r="X259">
        <f>IF($U259=1,IFERROR(IF(VALUE($A259)&lt;100000000,VALUE($A259),1000000000),IFERROR(IF(VALUE(MID($A259,2,20))&lt;100000000,VALUE(MID($A259,2,20)),1000000000),1000000000))+ROW()/100000,"")</f>
        <v/>
      </c>
    </row>
    <row r="260">
      <c r="F260" s="7">
        <f>IF($A260="","",E260*N260/100)</f>
        <v/>
      </c>
      <c r="J260" s="7" t="n"/>
      <c r="K260" s="7">
        <f>IF($A260="","",S260*N260)</f>
        <v/>
      </c>
      <c r="L260" s="7">
        <f>IF($A260="","",N260-K260)</f>
        <v/>
      </c>
      <c r="M260" s="7">
        <f>IF($A260="","",L260-F260)</f>
        <v/>
      </c>
      <c r="N260" s="7" t="n"/>
      <c r="Q260" s="11" t="n"/>
      <c r="S260">
        <f>IF($A260="","",IF($W260=1,Settings!$C$6,Settings!$C$7)*1)</f>
        <v/>
      </c>
      <c r="U260">
        <f>IF($A260="","",IF(COUNTIF($A$2:$A260,$A260)=1,1,0))</f>
        <v/>
      </c>
      <c r="V260">
        <f>IF($U260=1,SUMPRODUCT(--($X$2:$X$3001&lt;$X260))+1,"")</f>
        <v/>
      </c>
      <c r="W260">
        <f>IF($A260="","",IF(OR($T260=TRUE(),$T260="TRUE"),1,0))</f>
        <v/>
      </c>
      <c r="X260">
        <f>IF($U260=1,IFERROR(IF(VALUE($A260)&lt;100000000,VALUE($A260),1000000000),IFERROR(IF(VALUE(MID($A260,2,20))&lt;100000000,VALUE(MID($A260,2,20)),1000000000),1000000000))+ROW()/100000,"")</f>
        <v/>
      </c>
    </row>
    <row r="261">
      <c r="F261" s="7">
        <f>IF($A261="","",E261*N261/100)</f>
        <v/>
      </c>
      <c r="J261" s="7" t="n"/>
      <c r="K261" s="7">
        <f>IF($A261="","",S261*N261)</f>
        <v/>
      </c>
      <c r="L261" s="7">
        <f>IF($A261="","",N261-K261)</f>
        <v/>
      </c>
      <c r="M261" s="7">
        <f>IF($A261="","",L261-F261)</f>
        <v/>
      </c>
      <c r="N261" s="7" t="n"/>
      <c r="Q261" s="11" t="n"/>
      <c r="S261">
        <f>IF($A261="","",IF($W261=1,Settings!$C$6,Settings!$C$7)*1)</f>
        <v/>
      </c>
      <c r="U261">
        <f>IF($A261="","",IF(COUNTIF($A$2:$A261,$A261)=1,1,0))</f>
        <v/>
      </c>
      <c r="V261">
        <f>IF($U261=1,SUMPRODUCT(--($X$2:$X$3001&lt;$X261))+1,"")</f>
        <v/>
      </c>
      <c r="W261">
        <f>IF($A261="","",IF(OR($T261=TRUE(),$T261="TRUE"),1,0))</f>
        <v/>
      </c>
      <c r="X261">
        <f>IF($U261=1,IFERROR(IF(VALUE($A261)&lt;100000000,VALUE($A261),1000000000),IFERROR(IF(VALUE(MID($A261,2,20))&lt;100000000,VALUE(MID($A261,2,20)),1000000000),1000000000))+ROW()/100000,"")</f>
        <v/>
      </c>
    </row>
    <row r="262">
      <c r="F262" s="7">
        <f>IF($A262="","",E262*N262/100)</f>
        <v/>
      </c>
      <c r="J262" s="7" t="n"/>
      <c r="K262" s="7">
        <f>IF($A262="","",S262*N262)</f>
        <v/>
      </c>
      <c r="L262" s="7">
        <f>IF($A262="","",N262-K262)</f>
        <v/>
      </c>
      <c r="M262" s="7">
        <f>IF($A262="","",L262-F262)</f>
        <v/>
      </c>
      <c r="N262" s="7" t="n"/>
      <c r="Q262" s="11" t="n"/>
      <c r="S262">
        <f>IF($A262="","",IF($W262=1,Settings!$C$6,Settings!$C$7)*1)</f>
        <v/>
      </c>
      <c r="U262">
        <f>IF($A262="","",IF(COUNTIF($A$2:$A262,$A262)=1,1,0))</f>
        <v/>
      </c>
      <c r="V262">
        <f>IF($U262=1,SUMPRODUCT(--($X$2:$X$3001&lt;$X262))+1,"")</f>
        <v/>
      </c>
      <c r="W262">
        <f>IF($A262="","",IF(OR($T262=TRUE(),$T262="TRUE"),1,0))</f>
        <v/>
      </c>
      <c r="X262">
        <f>IF($U262=1,IFERROR(IF(VALUE($A262)&lt;100000000,VALUE($A262),1000000000),IFERROR(IF(VALUE(MID($A262,2,20))&lt;100000000,VALUE(MID($A262,2,20)),1000000000),1000000000))+ROW()/100000,"")</f>
        <v/>
      </c>
    </row>
    <row r="263">
      <c r="F263" s="7">
        <f>IF($A263="","",E263*N263/100)</f>
        <v/>
      </c>
      <c r="J263" s="7" t="n"/>
      <c r="K263" s="7">
        <f>IF($A263="","",S263*N263)</f>
        <v/>
      </c>
      <c r="L263" s="7">
        <f>IF($A263="","",N263-K263)</f>
        <v/>
      </c>
      <c r="M263" s="7">
        <f>IF($A263="","",L263-F263)</f>
        <v/>
      </c>
      <c r="N263" s="7" t="n"/>
      <c r="Q263" s="11" t="n"/>
      <c r="S263">
        <f>IF($A263="","",IF($W263=1,Settings!$C$6,Settings!$C$7)*1)</f>
        <v/>
      </c>
      <c r="U263">
        <f>IF($A263="","",IF(COUNTIF($A$2:$A263,$A263)=1,1,0))</f>
        <v/>
      </c>
      <c r="V263">
        <f>IF($U263=1,SUMPRODUCT(--($X$2:$X$3001&lt;$X263))+1,"")</f>
        <v/>
      </c>
      <c r="W263">
        <f>IF($A263="","",IF(OR($T263=TRUE(),$T263="TRUE"),1,0))</f>
        <v/>
      </c>
      <c r="X263">
        <f>IF($U263=1,IFERROR(IF(VALUE($A263)&lt;100000000,VALUE($A263),1000000000),IFERROR(IF(VALUE(MID($A263,2,20))&lt;100000000,VALUE(MID($A263,2,20)),1000000000),1000000000))+ROW()/100000,"")</f>
        <v/>
      </c>
    </row>
    <row r="264">
      <c r="F264" s="7">
        <f>IF($A264="","",E264*N264/100)</f>
        <v/>
      </c>
      <c r="J264" s="7" t="n"/>
      <c r="K264" s="7">
        <f>IF($A264="","",S264*N264)</f>
        <v/>
      </c>
      <c r="L264" s="7">
        <f>IF($A264="","",N264-K264)</f>
        <v/>
      </c>
      <c r="M264" s="7">
        <f>IF($A264="","",L264-F264)</f>
        <v/>
      </c>
      <c r="N264" s="7" t="n"/>
      <c r="Q264" s="11" t="n"/>
      <c r="S264">
        <f>IF($A264="","",IF($W264=1,Settings!$C$6,Settings!$C$7)*1)</f>
        <v/>
      </c>
      <c r="U264">
        <f>IF($A264="","",IF(COUNTIF($A$2:$A264,$A264)=1,1,0))</f>
        <v/>
      </c>
      <c r="V264">
        <f>IF($U264=1,SUMPRODUCT(--($X$2:$X$3001&lt;$X264))+1,"")</f>
        <v/>
      </c>
      <c r="W264">
        <f>IF($A264="","",IF(OR($T264=TRUE(),$T264="TRUE"),1,0))</f>
        <v/>
      </c>
      <c r="X264">
        <f>IF($U264=1,IFERROR(IF(VALUE($A264)&lt;100000000,VALUE($A264),1000000000),IFERROR(IF(VALUE(MID($A264,2,20))&lt;100000000,VALUE(MID($A264,2,20)),1000000000),1000000000))+ROW()/100000,"")</f>
        <v/>
      </c>
    </row>
    <row r="265">
      <c r="F265" s="7">
        <f>IF($A265="","",E265*N265/100)</f>
        <v/>
      </c>
      <c r="J265" s="7" t="n"/>
      <c r="K265" s="7">
        <f>IF($A265="","",S265*N265)</f>
        <v/>
      </c>
      <c r="L265" s="7">
        <f>IF($A265="","",N265-K265)</f>
        <v/>
      </c>
      <c r="M265" s="7">
        <f>IF($A265="","",L265-F265)</f>
        <v/>
      </c>
      <c r="N265" s="7" t="n"/>
      <c r="Q265" s="11" t="n"/>
      <c r="S265">
        <f>IF($A265="","",IF($W265=1,Settings!$C$6,Settings!$C$7)*1)</f>
        <v/>
      </c>
      <c r="U265">
        <f>IF($A265="","",IF(COUNTIF($A$2:$A265,$A265)=1,1,0))</f>
        <v/>
      </c>
      <c r="V265">
        <f>IF($U265=1,SUMPRODUCT(--($X$2:$X$3001&lt;$X265))+1,"")</f>
        <v/>
      </c>
      <c r="W265">
        <f>IF($A265="","",IF(OR($T265=TRUE(),$T265="TRUE"),1,0))</f>
        <v/>
      </c>
      <c r="X265">
        <f>IF($U265=1,IFERROR(IF(VALUE($A265)&lt;100000000,VALUE($A265),1000000000),IFERROR(IF(VALUE(MID($A265,2,20))&lt;100000000,VALUE(MID($A265,2,20)),1000000000),1000000000))+ROW()/100000,"")</f>
        <v/>
      </c>
    </row>
    <row r="266">
      <c r="F266" s="7">
        <f>IF($A266="","",E266*N266/100)</f>
        <v/>
      </c>
      <c r="J266" s="7" t="n"/>
      <c r="K266" s="7">
        <f>IF($A266="","",S266*N266)</f>
        <v/>
      </c>
      <c r="L266" s="7">
        <f>IF($A266="","",N266-K266)</f>
        <v/>
      </c>
      <c r="M266" s="7">
        <f>IF($A266="","",L266-F266)</f>
        <v/>
      </c>
      <c r="N266" s="7" t="n"/>
      <c r="Q266" s="11" t="n"/>
      <c r="S266">
        <f>IF($A266="","",IF($W266=1,Settings!$C$6,Settings!$C$7)*1)</f>
        <v/>
      </c>
      <c r="U266">
        <f>IF($A266="","",IF(COUNTIF($A$2:$A266,$A266)=1,1,0))</f>
        <v/>
      </c>
      <c r="V266">
        <f>IF($U266=1,SUMPRODUCT(--($X$2:$X$3001&lt;$X266))+1,"")</f>
        <v/>
      </c>
      <c r="W266">
        <f>IF($A266="","",IF(OR($T266=TRUE(),$T266="TRUE"),1,0))</f>
        <v/>
      </c>
      <c r="X266">
        <f>IF($U266=1,IFERROR(IF(VALUE($A266)&lt;100000000,VALUE($A266),1000000000),IFERROR(IF(VALUE(MID($A266,2,20))&lt;100000000,VALUE(MID($A266,2,20)),1000000000),1000000000))+ROW()/100000,"")</f>
        <v/>
      </c>
    </row>
    <row r="267">
      <c r="F267" s="7">
        <f>IF($A267="","",E267*N267/100)</f>
        <v/>
      </c>
      <c r="J267" s="7" t="n"/>
      <c r="K267" s="7">
        <f>IF($A267="","",S267*N267)</f>
        <v/>
      </c>
      <c r="L267" s="7">
        <f>IF($A267="","",N267-K267)</f>
        <v/>
      </c>
      <c r="M267" s="7">
        <f>IF($A267="","",L267-F267)</f>
        <v/>
      </c>
      <c r="N267" s="7" t="n"/>
      <c r="Q267" s="11" t="n"/>
      <c r="S267">
        <f>IF($A267="","",IF($W267=1,Settings!$C$6,Settings!$C$7)*1)</f>
        <v/>
      </c>
      <c r="U267">
        <f>IF($A267="","",IF(COUNTIF($A$2:$A267,$A267)=1,1,0))</f>
        <v/>
      </c>
      <c r="V267">
        <f>IF($U267=1,SUMPRODUCT(--($X$2:$X$3001&lt;$X267))+1,"")</f>
        <v/>
      </c>
      <c r="W267">
        <f>IF($A267="","",IF(OR($T267=TRUE(),$T267="TRUE"),1,0))</f>
        <v/>
      </c>
      <c r="X267">
        <f>IF($U267=1,IFERROR(IF(VALUE($A267)&lt;100000000,VALUE($A267),1000000000),IFERROR(IF(VALUE(MID($A267,2,20))&lt;100000000,VALUE(MID($A267,2,20)),1000000000),1000000000))+ROW()/100000,"")</f>
        <v/>
      </c>
    </row>
    <row r="268">
      <c r="F268" s="7">
        <f>IF($A268="","",E268*N268/100)</f>
        <v/>
      </c>
      <c r="J268" s="7" t="n"/>
      <c r="K268" s="7">
        <f>IF($A268="","",S268*N268)</f>
        <v/>
      </c>
      <c r="L268" s="7">
        <f>IF($A268="","",N268-K268)</f>
        <v/>
      </c>
      <c r="M268" s="7">
        <f>IF($A268="","",L268-F268)</f>
        <v/>
      </c>
      <c r="N268" s="7" t="n"/>
      <c r="Q268" s="11" t="n"/>
      <c r="S268">
        <f>IF($A268="","",IF($W268=1,Settings!$C$6,Settings!$C$7)*1)</f>
        <v/>
      </c>
      <c r="U268">
        <f>IF($A268="","",IF(COUNTIF($A$2:$A268,$A268)=1,1,0))</f>
        <v/>
      </c>
      <c r="V268">
        <f>IF($U268=1,SUMPRODUCT(--($X$2:$X$3001&lt;$X268))+1,"")</f>
        <v/>
      </c>
      <c r="W268">
        <f>IF($A268="","",IF(OR($T268=TRUE(),$T268="TRUE"),1,0))</f>
        <v/>
      </c>
      <c r="X268">
        <f>IF($U268=1,IFERROR(IF(VALUE($A268)&lt;100000000,VALUE($A268),1000000000),IFERROR(IF(VALUE(MID($A268,2,20))&lt;100000000,VALUE(MID($A268,2,20)),1000000000),1000000000))+ROW()/100000,"")</f>
        <v/>
      </c>
    </row>
    <row r="269">
      <c r="F269" s="7">
        <f>IF($A269="","",E269*N269/100)</f>
        <v/>
      </c>
      <c r="J269" s="7" t="n"/>
      <c r="K269" s="7">
        <f>IF($A269="","",S269*N269)</f>
        <v/>
      </c>
      <c r="L269" s="7">
        <f>IF($A269="","",N269-K269)</f>
        <v/>
      </c>
      <c r="M269" s="7">
        <f>IF($A269="","",L269-F269)</f>
        <v/>
      </c>
      <c r="N269" s="7" t="n"/>
      <c r="Q269" s="11" t="n"/>
      <c r="S269">
        <f>IF($A269="","",IF($W269=1,Settings!$C$6,Settings!$C$7)*1)</f>
        <v/>
      </c>
      <c r="U269">
        <f>IF($A269="","",IF(COUNTIF($A$2:$A269,$A269)=1,1,0))</f>
        <v/>
      </c>
      <c r="V269">
        <f>IF($U269=1,SUMPRODUCT(--($X$2:$X$3001&lt;$X269))+1,"")</f>
        <v/>
      </c>
      <c r="W269">
        <f>IF($A269="","",IF(OR($T269=TRUE(),$T269="TRUE"),1,0))</f>
        <v/>
      </c>
      <c r="X269">
        <f>IF($U269=1,IFERROR(IF(VALUE($A269)&lt;100000000,VALUE($A269),1000000000),IFERROR(IF(VALUE(MID($A269,2,20))&lt;100000000,VALUE(MID($A269,2,20)),1000000000),1000000000))+ROW()/100000,"")</f>
        <v/>
      </c>
    </row>
    <row r="270">
      <c r="F270" s="7">
        <f>IF($A270="","",E270*N270/100)</f>
        <v/>
      </c>
      <c r="J270" s="7" t="n"/>
      <c r="K270" s="7">
        <f>IF($A270="","",S270*N270)</f>
        <v/>
      </c>
      <c r="L270" s="7">
        <f>IF($A270="","",N270-K270)</f>
        <v/>
      </c>
      <c r="M270" s="7">
        <f>IF($A270="","",L270-F270)</f>
        <v/>
      </c>
      <c r="N270" s="7" t="n"/>
      <c r="Q270" s="11" t="n"/>
      <c r="S270">
        <f>IF($A270="","",IF($W270=1,Settings!$C$6,Settings!$C$7)*1)</f>
        <v/>
      </c>
      <c r="U270">
        <f>IF($A270="","",IF(COUNTIF($A$2:$A270,$A270)=1,1,0))</f>
        <v/>
      </c>
      <c r="V270">
        <f>IF($U270=1,SUMPRODUCT(--($X$2:$X$3001&lt;$X270))+1,"")</f>
        <v/>
      </c>
      <c r="W270">
        <f>IF($A270="","",IF(OR($T270=TRUE(),$T270="TRUE"),1,0))</f>
        <v/>
      </c>
      <c r="X270">
        <f>IF($U270=1,IFERROR(IF(VALUE($A270)&lt;100000000,VALUE($A270),1000000000),IFERROR(IF(VALUE(MID($A270,2,20))&lt;100000000,VALUE(MID($A270,2,20)),1000000000),1000000000))+ROW()/100000,"")</f>
        <v/>
      </c>
    </row>
    <row r="271">
      <c r="F271" s="7">
        <f>IF($A271="","",E271*N271/100)</f>
        <v/>
      </c>
      <c r="J271" s="7" t="n"/>
      <c r="K271" s="7">
        <f>IF($A271="","",S271*N271)</f>
        <v/>
      </c>
      <c r="L271" s="7">
        <f>IF($A271="","",N271-K271)</f>
        <v/>
      </c>
      <c r="M271" s="7">
        <f>IF($A271="","",L271-F271)</f>
        <v/>
      </c>
      <c r="N271" s="7" t="n"/>
      <c r="Q271" s="11" t="n"/>
      <c r="S271">
        <f>IF($A271="","",IF($W271=1,Settings!$C$6,Settings!$C$7)*1)</f>
        <v/>
      </c>
      <c r="U271">
        <f>IF($A271="","",IF(COUNTIF($A$2:$A271,$A271)=1,1,0))</f>
        <v/>
      </c>
      <c r="V271">
        <f>IF($U271=1,SUMPRODUCT(--($X$2:$X$3001&lt;$X271))+1,"")</f>
        <v/>
      </c>
      <c r="W271">
        <f>IF($A271="","",IF(OR($T271=TRUE(),$T271="TRUE"),1,0))</f>
        <v/>
      </c>
      <c r="X271">
        <f>IF($U271=1,IFERROR(IF(VALUE($A271)&lt;100000000,VALUE($A271),1000000000),IFERROR(IF(VALUE(MID($A271,2,20))&lt;100000000,VALUE(MID($A271,2,20)),1000000000),1000000000))+ROW()/100000,"")</f>
        <v/>
      </c>
    </row>
    <row r="272">
      <c r="F272" s="7">
        <f>IF($A272="","",E272*N272/100)</f>
        <v/>
      </c>
      <c r="J272" s="7" t="n"/>
      <c r="K272" s="7">
        <f>IF($A272="","",S272*N272)</f>
        <v/>
      </c>
      <c r="L272" s="7">
        <f>IF($A272="","",N272-K272)</f>
        <v/>
      </c>
      <c r="M272" s="7">
        <f>IF($A272="","",L272-F272)</f>
        <v/>
      </c>
      <c r="N272" s="7" t="n"/>
      <c r="Q272" s="11" t="n"/>
      <c r="S272">
        <f>IF($A272="","",IF($W272=1,Settings!$C$6,Settings!$C$7)*1)</f>
        <v/>
      </c>
      <c r="U272">
        <f>IF($A272="","",IF(COUNTIF($A$2:$A272,$A272)=1,1,0))</f>
        <v/>
      </c>
      <c r="V272">
        <f>IF($U272=1,SUMPRODUCT(--($X$2:$X$3001&lt;$X272))+1,"")</f>
        <v/>
      </c>
      <c r="W272">
        <f>IF($A272="","",IF(OR($T272=TRUE(),$T272="TRUE"),1,0))</f>
        <v/>
      </c>
      <c r="X272">
        <f>IF($U272=1,IFERROR(IF(VALUE($A272)&lt;100000000,VALUE($A272),1000000000),IFERROR(IF(VALUE(MID($A272,2,20))&lt;100000000,VALUE(MID($A272,2,20)),1000000000),1000000000))+ROW()/100000,"")</f>
        <v/>
      </c>
    </row>
    <row r="273">
      <c r="F273" s="7">
        <f>IF($A273="","",E273*N273/100)</f>
        <v/>
      </c>
      <c r="J273" s="7" t="n"/>
      <c r="K273" s="7">
        <f>IF($A273="","",S273*N273)</f>
        <v/>
      </c>
      <c r="L273" s="7">
        <f>IF($A273="","",N273-K273)</f>
        <v/>
      </c>
      <c r="M273" s="7">
        <f>IF($A273="","",L273-F273)</f>
        <v/>
      </c>
      <c r="N273" s="7" t="n"/>
      <c r="Q273" s="11" t="n"/>
      <c r="S273">
        <f>IF($A273="","",IF($W273=1,Settings!$C$6,Settings!$C$7)*1)</f>
        <v/>
      </c>
      <c r="U273">
        <f>IF($A273="","",IF(COUNTIF($A$2:$A273,$A273)=1,1,0))</f>
        <v/>
      </c>
      <c r="V273">
        <f>IF($U273=1,SUMPRODUCT(--($X$2:$X$3001&lt;$X273))+1,"")</f>
        <v/>
      </c>
      <c r="W273">
        <f>IF($A273="","",IF(OR($T273=TRUE(),$T273="TRUE"),1,0))</f>
        <v/>
      </c>
      <c r="X273">
        <f>IF($U273=1,IFERROR(IF(VALUE($A273)&lt;100000000,VALUE($A273),1000000000),IFERROR(IF(VALUE(MID($A273,2,20))&lt;100000000,VALUE(MID($A273,2,20)),1000000000),1000000000))+ROW()/100000,"")</f>
        <v/>
      </c>
    </row>
    <row r="274">
      <c r="F274" s="7">
        <f>IF($A274="","",E274*N274/100)</f>
        <v/>
      </c>
      <c r="J274" s="7" t="n"/>
      <c r="K274" s="7">
        <f>IF($A274="","",S274*N274)</f>
        <v/>
      </c>
      <c r="L274" s="7">
        <f>IF($A274="","",N274-K274)</f>
        <v/>
      </c>
      <c r="M274" s="7">
        <f>IF($A274="","",L274-F274)</f>
        <v/>
      </c>
      <c r="N274" s="7" t="n"/>
      <c r="Q274" s="11" t="n"/>
      <c r="S274">
        <f>IF($A274="","",IF($W274=1,Settings!$C$6,Settings!$C$7)*1)</f>
        <v/>
      </c>
      <c r="U274">
        <f>IF($A274="","",IF(COUNTIF($A$2:$A274,$A274)=1,1,0))</f>
        <v/>
      </c>
      <c r="V274">
        <f>IF($U274=1,SUMPRODUCT(--($X$2:$X$3001&lt;$X274))+1,"")</f>
        <v/>
      </c>
      <c r="W274">
        <f>IF($A274="","",IF(OR($T274=TRUE(),$T274="TRUE"),1,0))</f>
        <v/>
      </c>
      <c r="X274">
        <f>IF($U274=1,IFERROR(IF(VALUE($A274)&lt;100000000,VALUE($A274),1000000000),IFERROR(IF(VALUE(MID($A274,2,20))&lt;100000000,VALUE(MID($A274,2,20)),1000000000),1000000000))+ROW()/100000,"")</f>
        <v/>
      </c>
    </row>
    <row r="275">
      <c r="F275" s="7">
        <f>IF($A275="","",E275*N275/100)</f>
        <v/>
      </c>
      <c r="J275" s="7" t="n"/>
      <c r="K275" s="7">
        <f>IF($A275="","",S275*N275)</f>
        <v/>
      </c>
      <c r="L275" s="7">
        <f>IF($A275="","",N275-K275)</f>
        <v/>
      </c>
      <c r="M275" s="7">
        <f>IF($A275="","",L275-F275)</f>
        <v/>
      </c>
      <c r="N275" s="7" t="n"/>
      <c r="Q275" s="11" t="n"/>
      <c r="S275">
        <f>IF($A275="","",IF($W275=1,Settings!$C$6,Settings!$C$7)*1)</f>
        <v/>
      </c>
      <c r="U275">
        <f>IF($A275="","",IF(COUNTIF($A$2:$A275,$A275)=1,1,0))</f>
        <v/>
      </c>
      <c r="V275">
        <f>IF($U275=1,SUMPRODUCT(--($X$2:$X$3001&lt;$X275))+1,"")</f>
        <v/>
      </c>
      <c r="W275">
        <f>IF($A275="","",IF(OR($T275=TRUE(),$T275="TRUE"),1,0))</f>
        <v/>
      </c>
      <c r="X275">
        <f>IF($U275=1,IFERROR(IF(VALUE($A275)&lt;100000000,VALUE($A275),1000000000),IFERROR(IF(VALUE(MID($A275,2,20))&lt;100000000,VALUE(MID($A275,2,20)),1000000000),1000000000))+ROW()/100000,"")</f>
        <v/>
      </c>
    </row>
    <row r="276">
      <c r="F276" s="7">
        <f>IF($A276="","",E276*N276/100)</f>
        <v/>
      </c>
      <c r="J276" s="7" t="n"/>
      <c r="K276" s="7">
        <f>IF($A276="","",S276*N276)</f>
        <v/>
      </c>
      <c r="L276" s="7">
        <f>IF($A276="","",N276-K276)</f>
        <v/>
      </c>
      <c r="M276" s="7">
        <f>IF($A276="","",L276-F276)</f>
        <v/>
      </c>
      <c r="N276" s="7" t="n"/>
      <c r="Q276" s="11" t="n"/>
      <c r="S276">
        <f>IF($A276="","",IF($W276=1,Settings!$C$6,Settings!$C$7)*1)</f>
        <v/>
      </c>
      <c r="U276">
        <f>IF($A276="","",IF(COUNTIF($A$2:$A276,$A276)=1,1,0))</f>
        <v/>
      </c>
      <c r="V276">
        <f>IF($U276=1,SUMPRODUCT(--($X$2:$X$3001&lt;$X276))+1,"")</f>
        <v/>
      </c>
      <c r="W276">
        <f>IF($A276="","",IF(OR($T276=TRUE(),$T276="TRUE"),1,0))</f>
        <v/>
      </c>
      <c r="X276">
        <f>IF($U276=1,IFERROR(IF(VALUE($A276)&lt;100000000,VALUE($A276),1000000000),IFERROR(IF(VALUE(MID($A276,2,20))&lt;100000000,VALUE(MID($A276,2,20)),1000000000),1000000000))+ROW()/100000,"")</f>
        <v/>
      </c>
    </row>
    <row r="277">
      <c r="F277" s="7">
        <f>IF($A277="","",E277*N277/100)</f>
        <v/>
      </c>
      <c r="J277" s="7" t="n"/>
      <c r="K277" s="7">
        <f>IF($A277="","",S277*N277)</f>
        <v/>
      </c>
      <c r="L277" s="7">
        <f>IF($A277="","",N277-K277)</f>
        <v/>
      </c>
      <c r="M277" s="7">
        <f>IF($A277="","",L277-F277)</f>
        <v/>
      </c>
      <c r="N277" s="7" t="n"/>
      <c r="Q277" s="11" t="n"/>
      <c r="S277">
        <f>IF($A277="","",IF($W277=1,Settings!$C$6,Settings!$C$7)*1)</f>
        <v/>
      </c>
      <c r="U277">
        <f>IF($A277="","",IF(COUNTIF($A$2:$A277,$A277)=1,1,0))</f>
        <v/>
      </c>
      <c r="V277">
        <f>IF($U277=1,SUMPRODUCT(--($X$2:$X$3001&lt;$X277))+1,"")</f>
        <v/>
      </c>
      <c r="W277">
        <f>IF($A277="","",IF(OR($T277=TRUE(),$T277="TRUE"),1,0))</f>
        <v/>
      </c>
      <c r="X277">
        <f>IF($U277=1,IFERROR(IF(VALUE($A277)&lt;100000000,VALUE($A277),1000000000),IFERROR(IF(VALUE(MID($A277,2,20))&lt;100000000,VALUE(MID($A277,2,20)),1000000000),1000000000))+ROW()/100000,"")</f>
        <v/>
      </c>
    </row>
    <row r="278">
      <c r="F278" s="7">
        <f>IF($A278="","",E278*N278/100)</f>
        <v/>
      </c>
      <c r="J278" s="7" t="n"/>
      <c r="K278" s="7">
        <f>IF($A278="","",S278*N278)</f>
        <v/>
      </c>
      <c r="L278" s="7">
        <f>IF($A278="","",N278-K278)</f>
        <v/>
      </c>
      <c r="M278" s="7">
        <f>IF($A278="","",L278-F278)</f>
        <v/>
      </c>
      <c r="N278" s="7" t="n"/>
      <c r="Q278" s="11" t="n"/>
      <c r="S278">
        <f>IF($A278="","",IF($W278=1,Settings!$C$6,Settings!$C$7)*1)</f>
        <v/>
      </c>
      <c r="U278">
        <f>IF($A278="","",IF(COUNTIF($A$2:$A278,$A278)=1,1,0))</f>
        <v/>
      </c>
      <c r="V278">
        <f>IF($U278=1,SUMPRODUCT(--($X$2:$X$3001&lt;$X278))+1,"")</f>
        <v/>
      </c>
      <c r="W278">
        <f>IF($A278="","",IF(OR($T278=TRUE(),$T278="TRUE"),1,0))</f>
        <v/>
      </c>
      <c r="X278">
        <f>IF($U278=1,IFERROR(IF(VALUE($A278)&lt;100000000,VALUE($A278),1000000000),IFERROR(IF(VALUE(MID($A278,2,20))&lt;100000000,VALUE(MID($A278,2,20)),1000000000),1000000000))+ROW()/100000,"")</f>
        <v/>
      </c>
    </row>
    <row r="279">
      <c r="F279" s="7">
        <f>IF($A279="","",E279*N279/100)</f>
        <v/>
      </c>
      <c r="J279" s="7" t="n"/>
      <c r="K279" s="7">
        <f>IF($A279="","",S279*N279)</f>
        <v/>
      </c>
      <c r="L279" s="7">
        <f>IF($A279="","",N279-K279)</f>
        <v/>
      </c>
      <c r="M279" s="7">
        <f>IF($A279="","",L279-F279)</f>
        <v/>
      </c>
      <c r="N279" s="7" t="n"/>
      <c r="Q279" s="11" t="n"/>
      <c r="S279">
        <f>IF($A279="","",IF($W279=1,Settings!$C$6,Settings!$C$7)*1)</f>
        <v/>
      </c>
      <c r="U279">
        <f>IF($A279="","",IF(COUNTIF($A$2:$A279,$A279)=1,1,0))</f>
        <v/>
      </c>
      <c r="V279">
        <f>IF($U279=1,SUMPRODUCT(--($X$2:$X$3001&lt;$X279))+1,"")</f>
        <v/>
      </c>
      <c r="W279">
        <f>IF($A279="","",IF(OR($T279=TRUE(),$T279="TRUE"),1,0))</f>
        <v/>
      </c>
      <c r="X279">
        <f>IF($U279=1,IFERROR(IF(VALUE($A279)&lt;100000000,VALUE($A279),1000000000),IFERROR(IF(VALUE(MID($A279,2,20))&lt;100000000,VALUE(MID($A279,2,20)),1000000000),1000000000))+ROW()/100000,"")</f>
        <v/>
      </c>
    </row>
    <row r="280">
      <c r="F280" s="7">
        <f>IF($A280="","",E280*N280/100)</f>
        <v/>
      </c>
      <c r="J280" s="7" t="n"/>
      <c r="K280" s="7">
        <f>IF($A280="","",S280*N280)</f>
        <v/>
      </c>
      <c r="L280" s="7">
        <f>IF($A280="","",N280-K280)</f>
        <v/>
      </c>
      <c r="M280" s="7">
        <f>IF($A280="","",L280-F280)</f>
        <v/>
      </c>
      <c r="N280" s="7" t="n"/>
      <c r="Q280" s="11" t="n"/>
      <c r="S280">
        <f>IF($A280="","",IF($W280=1,Settings!$C$6,Settings!$C$7)*1)</f>
        <v/>
      </c>
      <c r="U280">
        <f>IF($A280="","",IF(COUNTIF($A$2:$A280,$A280)=1,1,0))</f>
        <v/>
      </c>
      <c r="V280">
        <f>IF($U280=1,SUMPRODUCT(--($X$2:$X$3001&lt;$X280))+1,"")</f>
        <v/>
      </c>
      <c r="W280">
        <f>IF($A280="","",IF(OR($T280=TRUE(),$T280="TRUE"),1,0))</f>
        <v/>
      </c>
      <c r="X280">
        <f>IF($U280=1,IFERROR(IF(VALUE($A280)&lt;100000000,VALUE($A280),1000000000),IFERROR(IF(VALUE(MID($A280,2,20))&lt;100000000,VALUE(MID($A280,2,20)),1000000000),1000000000))+ROW()/100000,"")</f>
        <v/>
      </c>
    </row>
    <row r="281">
      <c r="F281" s="7">
        <f>IF($A281="","",E281*N281/100)</f>
        <v/>
      </c>
      <c r="J281" s="7" t="n"/>
      <c r="K281" s="7">
        <f>IF($A281="","",S281*N281)</f>
        <v/>
      </c>
      <c r="L281" s="7">
        <f>IF($A281="","",N281-K281)</f>
        <v/>
      </c>
      <c r="M281" s="7">
        <f>IF($A281="","",L281-F281)</f>
        <v/>
      </c>
      <c r="N281" s="7" t="n"/>
      <c r="Q281" s="11" t="n"/>
      <c r="S281">
        <f>IF($A281="","",IF($W281=1,Settings!$C$6,Settings!$C$7)*1)</f>
        <v/>
      </c>
      <c r="U281">
        <f>IF($A281="","",IF(COUNTIF($A$2:$A281,$A281)=1,1,0))</f>
        <v/>
      </c>
      <c r="V281">
        <f>IF($U281=1,SUMPRODUCT(--($X$2:$X$3001&lt;$X281))+1,"")</f>
        <v/>
      </c>
      <c r="W281">
        <f>IF($A281="","",IF(OR($T281=TRUE(),$T281="TRUE"),1,0))</f>
        <v/>
      </c>
      <c r="X281">
        <f>IF($U281=1,IFERROR(IF(VALUE($A281)&lt;100000000,VALUE($A281),1000000000),IFERROR(IF(VALUE(MID($A281,2,20))&lt;100000000,VALUE(MID($A281,2,20)),1000000000),1000000000))+ROW()/100000,"")</f>
        <v/>
      </c>
    </row>
    <row r="282">
      <c r="F282" s="7">
        <f>IF($A282="","",E282*N282/100)</f>
        <v/>
      </c>
      <c r="J282" s="7" t="n"/>
      <c r="K282" s="7">
        <f>IF($A282="","",S282*N282)</f>
        <v/>
      </c>
      <c r="L282" s="7">
        <f>IF($A282="","",N282-K282)</f>
        <v/>
      </c>
      <c r="M282" s="7">
        <f>IF($A282="","",L282-F282)</f>
        <v/>
      </c>
      <c r="N282" s="7" t="n"/>
      <c r="Q282" s="11" t="n"/>
      <c r="S282">
        <f>IF($A282="","",IF($W282=1,Settings!$C$6,Settings!$C$7)*1)</f>
        <v/>
      </c>
      <c r="U282">
        <f>IF($A282="","",IF(COUNTIF($A$2:$A282,$A282)=1,1,0))</f>
        <v/>
      </c>
      <c r="V282">
        <f>IF($U282=1,SUMPRODUCT(--($X$2:$X$3001&lt;$X282))+1,"")</f>
        <v/>
      </c>
      <c r="W282">
        <f>IF($A282="","",IF(OR($T282=TRUE(),$T282="TRUE"),1,0))</f>
        <v/>
      </c>
      <c r="X282">
        <f>IF($U282=1,IFERROR(IF(VALUE($A282)&lt;100000000,VALUE($A282),1000000000),IFERROR(IF(VALUE(MID($A282,2,20))&lt;100000000,VALUE(MID($A282,2,20)),1000000000),1000000000))+ROW()/100000,"")</f>
        <v/>
      </c>
    </row>
    <row r="283">
      <c r="F283" s="7">
        <f>IF($A283="","",E283*N283/100)</f>
        <v/>
      </c>
      <c r="J283" s="7" t="n"/>
      <c r="K283" s="7">
        <f>IF($A283="","",S283*N283)</f>
        <v/>
      </c>
      <c r="L283" s="7">
        <f>IF($A283="","",N283-K283)</f>
        <v/>
      </c>
      <c r="M283" s="7">
        <f>IF($A283="","",L283-F283)</f>
        <v/>
      </c>
      <c r="N283" s="7" t="n"/>
      <c r="Q283" s="11" t="n"/>
      <c r="S283">
        <f>IF($A283="","",IF($W283=1,Settings!$C$6,Settings!$C$7)*1)</f>
        <v/>
      </c>
      <c r="U283">
        <f>IF($A283="","",IF(COUNTIF($A$2:$A283,$A283)=1,1,0))</f>
        <v/>
      </c>
      <c r="V283">
        <f>IF($U283=1,SUMPRODUCT(--($X$2:$X$3001&lt;$X283))+1,"")</f>
        <v/>
      </c>
      <c r="W283">
        <f>IF($A283="","",IF(OR($T283=TRUE(),$T283="TRUE"),1,0))</f>
        <v/>
      </c>
      <c r="X283">
        <f>IF($U283=1,IFERROR(IF(VALUE($A283)&lt;100000000,VALUE($A283),1000000000),IFERROR(IF(VALUE(MID($A283,2,20))&lt;100000000,VALUE(MID($A283,2,20)),1000000000),1000000000))+ROW()/100000,"")</f>
        <v/>
      </c>
    </row>
    <row r="284">
      <c r="F284" s="7">
        <f>IF($A284="","",E284*N284/100)</f>
        <v/>
      </c>
      <c r="J284" s="7" t="n"/>
      <c r="K284" s="7">
        <f>IF($A284="","",S284*N284)</f>
        <v/>
      </c>
      <c r="L284" s="7">
        <f>IF($A284="","",N284-K284)</f>
        <v/>
      </c>
      <c r="M284" s="7">
        <f>IF($A284="","",L284-F284)</f>
        <v/>
      </c>
      <c r="N284" s="7" t="n"/>
      <c r="Q284" s="11" t="n"/>
      <c r="S284">
        <f>IF($A284="","",IF($W284=1,Settings!$C$6,Settings!$C$7)*1)</f>
        <v/>
      </c>
      <c r="U284">
        <f>IF($A284="","",IF(COUNTIF($A$2:$A284,$A284)=1,1,0))</f>
        <v/>
      </c>
      <c r="V284">
        <f>IF($U284=1,SUMPRODUCT(--($X$2:$X$3001&lt;$X284))+1,"")</f>
        <v/>
      </c>
      <c r="W284">
        <f>IF($A284="","",IF(OR($T284=TRUE(),$T284="TRUE"),1,0))</f>
        <v/>
      </c>
      <c r="X284">
        <f>IF($U284=1,IFERROR(IF(VALUE($A284)&lt;100000000,VALUE($A284),1000000000),IFERROR(IF(VALUE(MID($A284,2,20))&lt;100000000,VALUE(MID($A284,2,20)),1000000000),1000000000))+ROW()/100000,"")</f>
        <v/>
      </c>
    </row>
    <row r="285">
      <c r="F285" s="7">
        <f>IF($A285="","",E285*N285/100)</f>
        <v/>
      </c>
      <c r="J285" s="7" t="n"/>
      <c r="K285" s="7">
        <f>IF($A285="","",S285*N285)</f>
        <v/>
      </c>
      <c r="L285" s="7">
        <f>IF($A285="","",N285-K285)</f>
        <v/>
      </c>
      <c r="M285" s="7">
        <f>IF($A285="","",L285-F285)</f>
        <v/>
      </c>
      <c r="N285" s="7" t="n"/>
      <c r="Q285" s="11" t="n"/>
      <c r="S285">
        <f>IF($A285="","",IF($W285=1,Settings!$C$6,Settings!$C$7)*1)</f>
        <v/>
      </c>
      <c r="U285">
        <f>IF($A285="","",IF(COUNTIF($A$2:$A285,$A285)=1,1,0))</f>
        <v/>
      </c>
      <c r="V285">
        <f>IF($U285=1,SUMPRODUCT(--($X$2:$X$3001&lt;$X285))+1,"")</f>
        <v/>
      </c>
      <c r="W285">
        <f>IF($A285="","",IF(OR($T285=TRUE(),$T285="TRUE"),1,0))</f>
        <v/>
      </c>
      <c r="X285">
        <f>IF($U285=1,IFERROR(IF(VALUE($A285)&lt;100000000,VALUE($A285),1000000000),IFERROR(IF(VALUE(MID($A285,2,20))&lt;100000000,VALUE(MID($A285,2,20)),1000000000),1000000000))+ROW()/100000,"")</f>
        <v/>
      </c>
    </row>
    <row r="286">
      <c r="F286" s="7">
        <f>IF($A286="","",E286*N286/100)</f>
        <v/>
      </c>
      <c r="J286" s="7" t="n"/>
      <c r="K286" s="7">
        <f>IF($A286="","",S286*N286)</f>
        <v/>
      </c>
      <c r="L286" s="7">
        <f>IF($A286="","",N286-K286)</f>
        <v/>
      </c>
      <c r="M286" s="7">
        <f>IF($A286="","",L286-F286)</f>
        <v/>
      </c>
      <c r="N286" s="7" t="n"/>
      <c r="Q286" s="11" t="n"/>
      <c r="S286">
        <f>IF($A286="","",IF($W286=1,Settings!$C$6,Settings!$C$7)*1)</f>
        <v/>
      </c>
      <c r="U286">
        <f>IF($A286="","",IF(COUNTIF($A$2:$A286,$A286)=1,1,0))</f>
        <v/>
      </c>
      <c r="V286">
        <f>IF($U286=1,SUMPRODUCT(--($X$2:$X$3001&lt;$X286))+1,"")</f>
        <v/>
      </c>
      <c r="W286">
        <f>IF($A286="","",IF(OR($T286=TRUE(),$T286="TRUE"),1,0))</f>
        <v/>
      </c>
      <c r="X286">
        <f>IF($U286=1,IFERROR(IF(VALUE($A286)&lt;100000000,VALUE($A286),1000000000),IFERROR(IF(VALUE(MID($A286,2,20))&lt;100000000,VALUE(MID($A286,2,20)),1000000000),1000000000))+ROW()/100000,"")</f>
        <v/>
      </c>
    </row>
    <row r="287">
      <c r="F287" s="7">
        <f>IF($A287="","",E287*N287/100)</f>
        <v/>
      </c>
      <c r="J287" s="7" t="n"/>
      <c r="K287" s="7">
        <f>IF($A287="","",S287*N287)</f>
        <v/>
      </c>
      <c r="L287" s="7">
        <f>IF($A287="","",N287-K287)</f>
        <v/>
      </c>
      <c r="M287" s="7">
        <f>IF($A287="","",L287-F287)</f>
        <v/>
      </c>
      <c r="N287" s="7" t="n"/>
      <c r="Q287" s="11" t="n"/>
      <c r="S287">
        <f>IF($A287="","",IF($W287=1,Settings!$C$6,Settings!$C$7)*1)</f>
        <v/>
      </c>
      <c r="U287">
        <f>IF($A287="","",IF(COUNTIF($A$2:$A287,$A287)=1,1,0))</f>
        <v/>
      </c>
      <c r="V287">
        <f>IF($U287=1,SUMPRODUCT(--($X$2:$X$3001&lt;$X287))+1,"")</f>
        <v/>
      </c>
      <c r="W287">
        <f>IF($A287="","",IF(OR($T287=TRUE(),$T287="TRUE"),1,0))</f>
        <v/>
      </c>
      <c r="X287">
        <f>IF($U287=1,IFERROR(IF(VALUE($A287)&lt;100000000,VALUE($A287),1000000000),IFERROR(IF(VALUE(MID($A287,2,20))&lt;100000000,VALUE(MID($A287,2,20)),1000000000),1000000000))+ROW()/100000,"")</f>
        <v/>
      </c>
    </row>
    <row r="288">
      <c r="F288" s="7">
        <f>IF($A288="","",E288*N288/100)</f>
        <v/>
      </c>
      <c r="J288" s="7" t="n"/>
      <c r="K288" s="7">
        <f>IF($A288="","",S288*N288)</f>
        <v/>
      </c>
      <c r="L288" s="7">
        <f>IF($A288="","",N288-K288)</f>
        <v/>
      </c>
      <c r="M288" s="7">
        <f>IF($A288="","",L288-F288)</f>
        <v/>
      </c>
      <c r="N288" s="7" t="n"/>
      <c r="Q288" s="11" t="n"/>
      <c r="S288">
        <f>IF($A288="","",IF($W288=1,Settings!$C$6,Settings!$C$7)*1)</f>
        <v/>
      </c>
      <c r="U288">
        <f>IF($A288="","",IF(COUNTIF($A$2:$A288,$A288)=1,1,0))</f>
        <v/>
      </c>
      <c r="V288">
        <f>IF($U288=1,SUMPRODUCT(--($X$2:$X$3001&lt;$X288))+1,"")</f>
        <v/>
      </c>
      <c r="W288">
        <f>IF($A288="","",IF(OR($T288=TRUE(),$T288="TRUE"),1,0))</f>
        <v/>
      </c>
      <c r="X288">
        <f>IF($U288=1,IFERROR(IF(VALUE($A288)&lt;100000000,VALUE($A288),1000000000),IFERROR(IF(VALUE(MID($A288,2,20))&lt;100000000,VALUE(MID($A288,2,20)),1000000000),1000000000))+ROW()/100000,"")</f>
        <v/>
      </c>
    </row>
    <row r="289">
      <c r="F289" s="7">
        <f>IF($A289="","",E289*N289/100)</f>
        <v/>
      </c>
      <c r="J289" s="7" t="n"/>
      <c r="K289" s="7">
        <f>IF($A289="","",S289*N289)</f>
        <v/>
      </c>
      <c r="L289" s="7">
        <f>IF($A289="","",N289-K289)</f>
        <v/>
      </c>
      <c r="M289" s="7">
        <f>IF($A289="","",L289-F289)</f>
        <v/>
      </c>
      <c r="N289" s="7" t="n"/>
      <c r="Q289" s="11" t="n"/>
      <c r="S289">
        <f>IF($A289="","",IF($W289=1,Settings!$C$6,Settings!$C$7)*1)</f>
        <v/>
      </c>
      <c r="U289">
        <f>IF($A289="","",IF(COUNTIF($A$2:$A289,$A289)=1,1,0))</f>
        <v/>
      </c>
      <c r="V289">
        <f>IF($U289=1,SUMPRODUCT(--($X$2:$X$3001&lt;$X289))+1,"")</f>
        <v/>
      </c>
      <c r="W289">
        <f>IF($A289="","",IF(OR($T289=TRUE(),$T289="TRUE"),1,0))</f>
        <v/>
      </c>
      <c r="X289">
        <f>IF($U289=1,IFERROR(IF(VALUE($A289)&lt;100000000,VALUE($A289),1000000000),IFERROR(IF(VALUE(MID($A289,2,20))&lt;100000000,VALUE(MID($A289,2,20)),1000000000),1000000000))+ROW()/100000,"")</f>
        <v/>
      </c>
    </row>
    <row r="290">
      <c r="F290" s="7">
        <f>IF($A290="","",E290*N290/100)</f>
        <v/>
      </c>
      <c r="J290" s="7" t="n"/>
      <c r="K290" s="7">
        <f>IF($A290="","",S290*N290)</f>
        <v/>
      </c>
      <c r="L290" s="7">
        <f>IF($A290="","",N290-K290)</f>
        <v/>
      </c>
      <c r="M290" s="7">
        <f>IF($A290="","",L290-F290)</f>
        <v/>
      </c>
      <c r="N290" s="7" t="n"/>
      <c r="Q290" s="11" t="n"/>
      <c r="S290">
        <f>IF($A290="","",IF($W290=1,Settings!$C$6,Settings!$C$7)*1)</f>
        <v/>
      </c>
      <c r="U290">
        <f>IF($A290="","",IF(COUNTIF($A$2:$A290,$A290)=1,1,0))</f>
        <v/>
      </c>
      <c r="V290">
        <f>IF($U290=1,SUMPRODUCT(--($X$2:$X$3001&lt;$X290))+1,"")</f>
        <v/>
      </c>
      <c r="W290">
        <f>IF($A290="","",IF(OR($T290=TRUE(),$T290="TRUE"),1,0))</f>
        <v/>
      </c>
      <c r="X290">
        <f>IF($U290=1,IFERROR(IF(VALUE($A290)&lt;100000000,VALUE($A290),1000000000),IFERROR(IF(VALUE(MID($A290,2,20))&lt;100000000,VALUE(MID($A290,2,20)),1000000000),1000000000))+ROW()/100000,"")</f>
        <v/>
      </c>
    </row>
    <row r="291">
      <c r="F291" s="7">
        <f>IF($A291="","",E291*N291/100)</f>
        <v/>
      </c>
      <c r="J291" s="7" t="n"/>
      <c r="K291" s="7">
        <f>IF($A291="","",S291*N291)</f>
        <v/>
      </c>
      <c r="L291" s="7">
        <f>IF($A291="","",N291-K291)</f>
        <v/>
      </c>
      <c r="M291" s="7">
        <f>IF($A291="","",L291-F291)</f>
        <v/>
      </c>
      <c r="N291" s="7" t="n"/>
      <c r="Q291" s="11" t="n"/>
      <c r="S291">
        <f>IF($A291="","",IF($W291=1,Settings!$C$6,Settings!$C$7)*1)</f>
        <v/>
      </c>
      <c r="U291">
        <f>IF($A291="","",IF(COUNTIF($A$2:$A291,$A291)=1,1,0))</f>
        <v/>
      </c>
      <c r="V291">
        <f>IF($U291=1,SUMPRODUCT(--($X$2:$X$3001&lt;$X291))+1,"")</f>
        <v/>
      </c>
      <c r="W291">
        <f>IF($A291="","",IF(OR($T291=TRUE(),$T291="TRUE"),1,0))</f>
        <v/>
      </c>
      <c r="X291">
        <f>IF($U291=1,IFERROR(IF(VALUE($A291)&lt;100000000,VALUE($A291),1000000000),IFERROR(IF(VALUE(MID($A291,2,20))&lt;100000000,VALUE(MID($A291,2,20)),1000000000),1000000000))+ROW()/100000,"")</f>
        <v/>
      </c>
    </row>
    <row r="292">
      <c r="F292" s="7">
        <f>IF($A292="","",E292*N292/100)</f>
        <v/>
      </c>
      <c r="J292" s="7" t="n"/>
      <c r="K292" s="7">
        <f>IF($A292="","",S292*N292)</f>
        <v/>
      </c>
      <c r="L292" s="7">
        <f>IF($A292="","",N292-K292)</f>
        <v/>
      </c>
      <c r="M292" s="7">
        <f>IF($A292="","",L292-F292)</f>
        <v/>
      </c>
      <c r="N292" s="7" t="n"/>
      <c r="Q292" s="11" t="n"/>
      <c r="S292">
        <f>IF($A292="","",IF($W292=1,Settings!$C$6,Settings!$C$7)*1)</f>
        <v/>
      </c>
      <c r="U292">
        <f>IF($A292="","",IF(COUNTIF($A$2:$A292,$A292)=1,1,0))</f>
        <v/>
      </c>
      <c r="V292">
        <f>IF($U292=1,SUMPRODUCT(--($X$2:$X$3001&lt;$X292))+1,"")</f>
        <v/>
      </c>
      <c r="W292">
        <f>IF($A292="","",IF(OR($T292=TRUE(),$T292="TRUE"),1,0))</f>
        <v/>
      </c>
      <c r="X292">
        <f>IF($U292=1,IFERROR(IF(VALUE($A292)&lt;100000000,VALUE($A292),1000000000),IFERROR(IF(VALUE(MID($A292,2,20))&lt;100000000,VALUE(MID($A292,2,20)),1000000000),1000000000))+ROW()/100000,"")</f>
        <v/>
      </c>
    </row>
    <row r="293">
      <c r="F293" s="7">
        <f>IF($A293="","",E293*N293/100)</f>
        <v/>
      </c>
      <c r="J293" s="7" t="n"/>
      <c r="K293" s="7">
        <f>IF($A293="","",S293*N293)</f>
        <v/>
      </c>
      <c r="L293" s="7">
        <f>IF($A293="","",N293-K293)</f>
        <v/>
      </c>
      <c r="M293" s="7">
        <f>IF($A293="","",L293-F293)</f>
        <v/>
      </c>
      <c r="N293" s="7" t="n"/>
      <c r="Q293" s="11" t="n"/>
      <c r="S293">
        <f>IF($A293="","",IF($W293=1,Settings!$C$6,Settings!$C$7)*1)</f>
        <v/>
      </c>
      <c r="U293">
        <f>IF($A293="","",IF(COUNTIF($A$2:$A293,$A293)=1,1,0))</f>
        <v/>
      </c>
      <c r="V293">
        <f>IF($U293=1,SUMPRODUCT(--($X$2:$X$3001&lt;$X293))+1,"")</f>
        <v/>
      </c>
      <c r="W293">
        <f>IF($A293="","",IF(OR($T293=TRUE(),$T293="TRUE"),1,0))</f>
        <v/>
      </c>
      <c r="X293">
        <f>IF($U293=1,IFERROR(IF(VALUE($A293)&lt;100000000,VALUE($A293),1000000000),IFERROR(IF(VALUE(MID($A293,2,20))&lt;100000000,VALUE(MID($A293,2,20)),1000000000),1000000000))+ROW()/100000,"")</f>
        <v/>
      </c>
    </row>
    <row r="294">
      <c r="F294" s="7">
        <f>IF($A294="","",E294*N294/100)</f>
        <v/>
      </c>
      <c r="J294" s="7" t="n"/>
      <c r="K294" s="7">
        <f>IF($A294="","",S294*N294)</f>
        <v/>
      </c>
      <c r="L294" s="7">
        <f>IF($A294="","",N294-K294)</f>
        <v/>
      </c>
      <c r="M294" s="7">
        <f>IF($A294="","",L294-F294)</f>
        <v/>
      </c>
      <c r="N294" s="7" t="n"/>
      <c r="Q294" s="11" t="n"/>
      <c r="S294">
        <f>IF($A294="","",IF($W294=1,Settings!$C$6,Settings!$C$7)*1)</f>
        <v/>
      </c>
      <c r="U294">
        <f>IF($A294="","",IF(COUNTIF($A$2:$A294,$A294)=1,1,0))</f>
        <v/>
      </c>
      <c r="V294">
        <f>IF($U294=1,SUMPRODUCT(--($X$2:$X$3001&lt;$X294))+1,"")</f>
        <v/>
      </c>
      <c r="W294">
        <f>IF($A294="","",IF(OR($T294=TRUE(),$T294="TRUE"),1,0))</f>
        <v/>
      </c>
      <c r="X294">
        <f>IF($U294=1,IFERROR(IF(VALUE($A294)&lt;100000000,VALUE($A294),1000000000),IFERROR(IF(VALUE(MID($A294,2,20))&lt;100000000,VALUE(MID($A294,2,20)),1000000000),1000000000))+ROW()/100000,"")</f>
        <v/>
      </c>
    </row>
    <row r="295">
      <c r="F295" s="7">
        <f>IF($A295="","",E295*N295/100)</f>
        <v/>
      </c>
      <c r="J295" s="7" t="n"/>
      <c r="K295" s="7">
        <f>IF($A295="","",S295*N295)</f>
        <v/>
      </c>
      <c r="L295" s="7">
        <f>IF($A295="","",N295-K295)</f>
        <v/>
      </c>
      <c r="M295" s="7">
        <f>IF($A295="","",L295-F295)</f>
        <v/>
      </c>
      <c r="N295" s="7" t="n"/>
      <c r="Q295" s="11" t="n"/>
      <c r="S295">
        <f>IF($A295="","",IF($W295=1,Settings!$C$6,Settings!$C$7)*1)</f>
        <v/>
      </c>
      <c r="U295">
        <f>IF($A295="","",IF(COUNTIF($A$2:$A295,$A295)=1,1,0))</f>
        <v/>
      </c>
      <c r="V295">
        <f>IF($U295=1,SUMPRODUCT(--($X$2:$X$3001&lt;$X295))+1,"")</f>
        <v/>
      </c>
      <c r="W295">
        <f>IF($A295="","",IF(OR($T295=TRUE(),$T295="TRUE"),1,0))</f>
        <v/>
      </c>
      <c r="X295">
        <f>IF($U295=1,IFERROR(IF(VALUE($A295)&lt;100000000,VALUE($A295),1000000000),IFERROR(IF(VALUE(MID($A295,2,20))&lt;100000000,VALUE(MID($A295,2,20)),1000000000),1000000000))+ROW()/100000,"")</f>
        <v/>
      </c>
    </row>
    <row r="296">
      <c r="F296" s="7">
        <f>IF($A296="","",E296*N296/100)</f>
        <v/>
      </c>
      <c r="J296" s="7" t="n"/>
      <c r="K296" s="7">
        <f>IF($A296="","",S296*N296)</f>
        <v/>
      </c>
      <c r="L296" s="7">
        <f>IF($A296="","",N296-K296)</f>
        <v/>
      </c>
      <c r="M296" s="7">
        <f>IF($A296="","",L296-F296)</f>
        <v/>
      </c>
      <c r="N296" s="7" t="n"/>
      <c r="Q296" s="11" t="n"/>
      <c r="S296">
        <f>IF($A296="","",IF($W296=1,Settings!$C$6,Settings!$C$7)*1)</f>
        <v/>
      </c>
      <c r="U296">
        <f>IF($A296="","",IF(COUNTIF($A$2:$A296,$A296)=1,1,0))</f>
        <v/>
      </c>
      <c r="V296">
        <f>IF($U296=1,SUMPRODUCT(--($X$2:$X$3001&lt;$X296))+1,"")</f>
        <v/>
      </c>
      <c r="W296">
        <f>IF($A296="","",IF(OR($T296=TRUE(),$T296="TRUE"),1,0))</f>
        <v/>
      </c>
      <c r="X296">
        <f>IF($U296=1,IFERROR(IF(VALUE($A296)&lt;100000000,VALUE($A296),1000000000),IFERROR(IF(VALUE(MID($A296,2,20))&lt;100000000,VALUE(MID($A296,2,20)),1000000000),1000000000))+ROW()/100000,"")</f>
        <v/>
      </c>
    </row>
    <row r="297">
      <c r="F297" s="7">
        <f>IF($A297="","",E297*N297/100)</f>
        <v/>
      </c>
      <c r="J297" s="7" t="n"/>
      <c r="K297" s="7">
        <f>IF($A297="","",S297*N297)</f>
        <v/>
      </c>
      <c r="L297" s="7">
        <f>IF($A297="","",N297-K297)</f>
        <v/>
      </c>
      <c r="M297" s="7">
        <f>IF($A297="","",L297-F297)</f>
        <v/>
      </c>
      <c r="N297" s="7" t="n"/>
      <c r="Q297" s="11" t="n"/>
      <c r="S297">
        <f>IF($A297="","",IF($W297=1,Settings!$C$6,Settings!$C$7)*1)</f>
        <v/>
      </c>
      <c r="U297">
        <f>IF($A297="","",IF(COUNTIF($A$2:$A297,$A297)=1,1,0))</f>
        <v/>
      </c>
      <c r="V297">
        <f>IF($U297=1,SUMPRODUCT(--($X$2:$X$3001&lt;$X297))+1,"")</f>
        <v/>
      </c>
      <c r="W297">
        <f>IF($A297="","",IF(OR($T297=TRUE(),$T297="TRUE"),1,0))</f>
        <v/>
      </c>
      <c r="X297">
        <f>IF($U297=1,IFERROR(IF(VALUE($A297)&lt;100000000,VALUE($A297),1000000000),IFERROR(IF(VALUE(MID($A297,2,20))&lt;100000000,VALUE(MID($A297,2,20)),1000000000),1000000000))+ROW()/100000,"")</f>
        <v/>
      </c>
    </row>
    <row r="298">
      <c r="F298" s="7">
        <f>IF($A298="","",E298*N298/100)</f>
        <v/>
      </c>
      <c r="J298" s="7" t="n"/>
      <c r="K298" s="7">
        <f>IF($A298="","",S298*N298)</f>
        <v/>
      </c>
      <c r="L298" s="7">
        <f>IF($A298="","",N298-K298)</f>
        <v/>
      </c>
      <c r="M298" s="7">
        <f>IF($A298="","",L298-F298)</f>
        <v/>
      </c>
      <c r="N298" s="7" t="n"/>
      <c r="Q298" s="11" t="n"/>
      <c r="S298">
        <f>IF($A298="","",IF($W298=1,Settings!$C$6,Settings!$C$7)*1)</f>
        <v/>
      </c>
      <c r="U298">
        <f>IF($A298="","",IF(COUNTIF($A$2:$A298,$A298)=1,1,0))</f>
        <v/>
      </c>
      <c r="V298">
        <f>IF($U298=1,SUMPRODUCT(--($X$2:$X$3001&lt;$X298))+1,"")</f>
        <v/>
      </c>
      <c r="W298">
        <f>IF($A298="","",IF(OR($T298=TRUE(),$T298="TRUE"),1,0))</f>
        <v/>
      </c>
      <c r="X298">
        <f>IF($U298=1,IFERROR(IF(VALUE($A298)&lt;100000000,VALUE($A298),1000000000),IFERROR(IF(VALUE(MID($A298,2,20))&lt;100000000,VALUE(MID($A298,2,20)),1000000000),1000000000))+ROW()/100000,"")</f>
        <v/>
      </c>
    </row>
    <row r="299">
      <c r="F299" s="7">
        <f>IF($A299="","",E299*N299/100)</f>
        <v/>
      </c>
      <c r="J299" s="7" t="n"/>
      <c r="K299" s="7">
        <f>IF($A299="","",S299*N299)</f>
        <v/>
      </c>
      <c r="L299" s="7">
        <f>IF($A299="","",N299-K299)</f>
        <v/>
      </c>
      <c r="M299" s="7">
        <f>IF($A299="","",L299-F299)</f>
        <v/>
      </c>
      <c r="N299" s="7" t="n"/>
      <c r="Q299" s="11" t="n"/>
      <c r="S299">
        <f>IF($A299="","",IF($W299=1,Settings!$C$6,Settings!$C$7)*1)</f>
        <v/>
      </c>
      <c r="U299">
        <f>IF($A299="","",IF(COUNTIF($A$2:$A299,$A299)=1,1,0))</f>
        <v/>
      </c>
      <c r="V299">
        <f>IF($U299=1,SUMPRODUCT(--($X$2:$X$3001&lt;$X299))+1,"")</f>
        <v/>
      </c>
      <c r="W299">
        <f>IF($A299="","",IF(OR($T299=TRUE(),$T299="TRUE"),1,0))</f>
        <v/>
      </c>
      <c r="X299">
        <f>IF($U299=1,IFERROR(IF(VALUE($A299)&lt;100000000,VALUE($A299),1000000000),IFERROR(IF(VALUE(MID($A299,2,20))&lt;100000000,VALUE(MID($A299,2,20)),1000000000),1000000000))+ROW()/100000,"")</f>
        <v/>
      </c>
    </row>
    <row r="300">
      <c r="F300" s="7">
        <f>IF($A300="","",E300*N300/100)</f>
        <v/>
      </c>
      <c r="J300" s="7" t="n"/>
      <c r="K300" s="7">
        <f>IF($A300="","",S300*N300)</f>
        <v/>
      </c>
      <c r="L300" s="7">
        <f>IF($A300="","",N300-K300)</f>
        <v/>
      </c>
      <c r="M300" s="7">
        <f>IF($A300="","",L300-F300)</f>
        <v/>
      </c>
      <c r="N300" s="7" t="n"/>
      <c r="Q300" s="11" t="n"/>
      <c r="S300">
        <f>IF($A300="","",IF($W300=1,Settings!$C$6,Settings!$C$7)*1)</f>
        <v/>
      </c>
      <c r="U300">
        <f>IF($A300="","",IF(COUNTIF($A$2:$A300,$A300)=1,1,0))</f>
        <v/>
      </c>
      <c r="V300">
        <f>IF($U300=1,SUMPRODUCT(--($X$2:$X$3001&lt;$X300))+1,"")</f>
        <v/>
      </c>
      <c r="W300">
        <f>IF($A300="","",IF(OR($T300=TRUE(),$T300="TRUE"),1,0))</f>
        <v/>
      </c>
      <c r="X300">
        <f>IF($U300=1,IFERROR(IF(VALUE($A300)&lt;100000000,VALUE($A300),1000000000),IFERROR(IF(VALUE(MID($A300,2,20))&lt;100000000,VALUE(MID($A300,2,20)),1000000000),1000000000))+ROW()/100000,"")</f>
        <v/>
      </c>
    </row>
    <row r="301">
      <c r="F301" s="7">
        <f>IF($A301="","",E301*N301/100)</f>
        <v/>
      </c>
      <c r="J301" s="7" t="n"/>
      <c r="K301" s="7">
        <f>IF($A301="","",S301*N301)</f>
        <v/>
      </c>
      <c r="L301" s="7">
        <f>IF($A301="","",N301-K301)</f>
        <v/>
      </c>
      <c r="M301" s="7">
        <f>IF($A301="","",L301-F301)</f>
        <v/>
      </c>
      <c r="N301" s="7" t="n"/>
      <c r="Q301" s="11" t="n"/>
      <c r="S301">
        <f>IF($A301="","",IF($W301=1,Settings!$C$6,Settings!$C$7)*1)</f>
        <v/>
      </c>
      <c r="U301">
        <f>IF($A301="","",IF(COUNTIF($A$2:$A301,$A301)=1,1,0))</f>
        <v/>
      </c>
      <c r="V301">
        <f>IF($U301=1,SUMPRODUCT(--($X$2:$X$3001&lt;$X301))+1,"")</f>
        <v/>
      </c>
      <c r="W301">
        <f>IF($A301="","",IF(OR($T301=TRUE(),$T301="TRUE"),1,0))</f>
        <v/>
      </c>
      <c r="X301">
        <f>IF($U301=1,IFERROR(IF(VALUE($A301)&lt;100000000,VALUE($A301),1000000000),IFERROR(IF(VALUE(MID($A301,2,20))&lt;100000000,VALUE(MID($A301,2,20)),1000000000),1000000000))+ROW()/100000,"")</f>
        <v/>
      </c>
    </row>
    <row r="302">
      <c r="F302" s="7">
        <f>IF($A302="","",E302*N302/100)</f>
        <v/>
      </c>
      <c r="J302" s="7" t="n"/>
      <c r="K302" s="7">
        <f>IF($A302="","",S302*N302)</f>
        <v/>
      </c>
      <c r="L302" s="7">
        <f>IF($A302="","",N302-K302)</f>
        <v/>
      </c>
      <c r="M302" s="7">
        <f>IF($A302="","",L302-F302)</f>
        <v/>
      </c>
      <c r="N302" s="7" t="n"/>
      <c r="Q302" s="11" t="n"/>
      <c r="S302">
        <f>IF($A302="","",IF($W302=1,Settings!$C$6,Settings!$C$7)*1)</f>
        <v/>
      </c>
      <c r="U302">
        <f>IF($A302="","",IF(COUNTIF($A$2:$A302,$A302)=1,1,0))</f>
        <v/>
      </c>
      <c r="V302">
        <f>IF($U302=1,SUMPRODUCT(--($X$2:$X$3001&lt;$X302))+1,"")</f>
        <v/>
      </c>
      <c r="W302">
        <f>IF($A302="","",IF(OR($T302=TRUE(),$T302="TRUE"),1,0))</f>
        <v/>
      </c>
      <c r="X302">
        <f>IF($U302=1,IFERROR(IF(VALUE($A302)&lt;100000000,VALUE($A302),1000000000),IFERROR(IF(VALUE(MID($A302,2,20))&lt;100000000,VALUE(MID($A302,2,20)),1000000000),1000000000))+ROW()/100000,"")</f>
        <v/>
      </c>
    </row>
    <row r="303">
      <c r="F303" s="7">
        <f>IF($A303="","",E303*N303/100)</f>
        <v/>
      </c>
      <c r="J303" s="7" t="n"/>
      <c r="K303" s="7">
        <f>IF($A303="","",S303*N303)</f>
        <v/>
      </c>
      <c r="L303" s="7">
        <f>IF($A303="","",N303-K303)</f>
        <v/>
      </c>
      <c r="M303" s="7">
        <f>IF($A303="","",L303-F303)</f>
        <v/>
      </c>
      <c r="N303" s="7" t="n"/>
      <c r="Q303" s="11" t="n"/>
      <c r="S303">
        <f>IF($A303="","",IF($W303=1,Settings!$C$6,Settings!$C$7)*1)</f>
        <v/>
      </c>
      <c r="U303">
        <f>IF($A303="","",IF(COUNTIF($A$2:$A303,$A303)=1,1,0))</f>
        <v/>
      </c>
      <c r="V303">
        <f>IF($U303=1,SUMPRODUCT(--($X$2:$X$3001&lt;$X303))+1,"")</f>
        <v/>
      </c>
      <c r="W303">
        <f>IF($A303="","",IF(OR($T303=TRUE(),$T303="TRUE"),1,0))</f>
        <v/>
      </c>
      <c r="X303">
        <f>IF($U303=1,IFERROR(IF(VALUE($A303)&lt;100000000,VALUE($A303),1000000000),IFERROR(IF(VALUE(MID($A303,2,20))&lt;100000000,VALUE(MID($A303,2,20)),1000000000),1000000000))+ROW()/100000,"")</f>
        <v/>
      </c>
    </row>
    <row r="304">
      <c r="F304" s="7">
        <f>IF($A304="","",E304*N304/100)</f>
        <v/>
      </c>
      <c r="J304" s="7" t="n"/>
      <c r="K304" s="7">
        <f>IF($A304="","",S304*N304)</f>
        <v/>
      </c>
      <c r="L304" s="7">
        <f>IF($A304="","",N304-K304)</f>
        <v/>
      </c>
      <c r="M304" s="7">
        <f>IF($A304="","",L304-F304)</f>
        <v/>
      </c>
      <c r="N304" s="7" t="n"/>
      <c r="Q304" s="11" t="n"/>
      <c r="S304">
        <f>IF($A304="","",IF($W304=1,Settings!$C$6,Settings!$C$7)*1)</f>
        <v/>
      </c>
      <c r="U304">
        <f>IF($A304="","",IF(COUNTIF($A$2:$A304,$A304)=1,1,0))</f>
        <v/>
      </c>
      <c r="V304">
        <f>IF($U304=1,SUMPRODUCT(--($X$2:$X$3001&lt;$X304))+1,"")</f>
        <v/>
      </c>
      <c r="W304">
        <f>IF($A304="","",IF(OR($T304=TRUE(),$T304="TRUE"),1,0))</f>
        <v/>
      </c>
      <c r="X304">
        <f>IF($U304=1,IFERROR(IF(VALUE($A304)&lt;100000000,VALUE($A304),1000000000),IFERROR(IF(VALUE(MID($A304,2,20))&lt;100000000,VALUE(MID($A304,2,20)),1000000000),1000000000))+ROW()/100000,"")</f>
        <v/>
      </c>
    </row>
    <row r="305">
      <c r="F305" s="7">
        <f>IF($A305="","",E305*N305/100)</f>
        <v/>
      </c>
      <c r="J305" s="7" t="n"/>
      <c r="K305" s="7">
        <f>IF($A305="","",S305*N305)</f>
        <v/>
      </c>
      <c r="L305" s="7">
        <f>IF($A305="","",N305-K305)</f>
        <v/>
      </c>
      <c r="M305" s="7">
        <f>IF($A305="","",L305-F305)</f>
        <v/>
      </c>
      <c r="N305" s="7" t="n"/>
      <c r="Q305" s="11" t="n"/>
      <c r="S305">
        <f>IF($A305="","",IF($W305=1,Settings!$C$6,Settings!$C$7)*1)</f>
        <v/>
      </c>
      <c r="U305">
        <f>IF($A305="","",IF(COUNTIF($A$2:$A305,$A305)=1,1,0))</f>
        <v/>
      </c>
      <c r="V305">
        <f>IF($U305=1,SUMPRODUCT(--($X$2:$X$3001&lt;$X305))+1,"")</f>
        <v/>
      </c>
      <c r="W305">
        <f>IF($A305="","",IF(OR($T305=TRUE(),$T305="TRUE"),1,0))</f>
        <v/>
      </c>
      <c r="X305">
        <f>IF($U305=1,IFERROR(IF(VALUE($A305)&lt;100000000,VALUE($A305),1000000000),IFERROR(IF(VALUE(MID($A305,2,20))&lt;100000000,VALUE(MID($A305,2,20)),1000000000),1000000000))+ROW()/100000,"")</f>
        <v/>
      </c>
    </row>
    <row r="306">
      <c r="F306" s="7">
        <f>IF($A306="","",E306*N306/100)</f>
        <v/>
      </c>
      <c r="J306" s="7" t="n"/>
      <c r="K306" s="7">
        <f>IF($A306="","",S306*N306)</f>
        <v/>
      </c>
      <c r="L306" s="7">
        <f>IF($A306="","",N306-K306)</f>
        <v/>
      </c>
      <c r="M306" s="7">
        <f>IF($A306="","",L306-F306)</f>
        <v/>
      </c>
      <c r="N306" s="7" t="n"/>
      <c r="Q306" s="11" t="n"/>
      <c r="S306">
        <f>IF($A306="","",IF($W306=1,Settings!$C$6,Settings!$C$7)*1)</f>
        <v/>
      </c>
      <c r="U306">
        <f>IF($A306="","",IF(COUNTIF($A$2:$A306,$A306)=1,1,0))</f>
        <v/>
      </c>
      <c r="V306">
        <f>IF($U306=1,SUMPRODUCT(--($X$2:$X$3001&lt;$X306))+1,"")</f>
        <v/>
      </c>
      <c r="W306">
        <f>IF($A306="","",IF(OR($T306=TRUE(),$T306="TRUE"),1,0))</f>
        <v/>
      </c>
      <c r="X306">
        <f>IF($U306=1,IFERROR(IF(VALUE($A306)&lt;100000000,VALUE($A306),1000000000),IFERROR(IF(VALUE(MID($A306,2,20))&lt;100000000,VALUE(MID($A306,2,20)),1000000000),1000000000))+ROW()/100000,"")</f>
        <v/>
      </c>
    </row>
    <row r="307">
      <c r="F307" s="7">
        <f>IF($A307="","",E307*N307/100)</f>
        <v/>
      </c>
      <c r="J307" s="7" t="n"/>
      <c r="K307" s="7">
        <f>IF($A307="","",S307*N307)</f>
        <v/>
      </c>
      <c r="L307" s="7">
        <f>IF($A307="","",N307-K307)</f>
        <v/>
      </c>
      <c r="M307" s="7">
        <f>IF($A307="","",L307-F307)</f>
        <v/>
      </c>
      <c r="N307" s="7" t="n"/>
      <c r="Q307" s="11" t="n"/>
      <c r="S307">
        <f>IF($A307="","",IF($W307=1,Settings!$C$6,Settings!$C$7)*1)</f>
        <v/>
      </c>
      <c r="U307">
        <f>IF($A307="","",IF(COUNTIF($A$2:$A307,$A307)=1,1,0))</f>
        <v/>
      </c>
      <c r="V307">
        <f>IF($U307=1,SUMPRODUCT(--($X$2:$X$3001&lt;$X307))+1,"")</f>
        <v/>
      </c>
      <c r="W307">
        <f>IF($A307="","",IF(OR($T307=TRUE(),$T307="TRUE"),1,0))</f>
        <v/>
      </c>
      <c r="X307">
        <f>IF($U307=1,IFERROR(IF(VALUE($A307)&lt;100000000,VALUE($A307),1000000000),IFERROR(IF(VALUE(MID($A307,2,20))&lt;100000000,VALUE(MID($A307,2,20)),1000000000),1000000000))+ROW()/100000,"")</f>
        <v/>
      </c>
    </row>
    <row r="308">
      <c r="F308" s="7">
        <f>IF($A308="","",E308*N308/100)</f>
        <v/>
      </c>
      <c r="J308" s="7" t="n"/>
      <c r="K308" s="7">
        <f>IF($A308="","",S308*N308)</f>
        <v/>
      </c>
      <c r="L308" s="7">
        <f>IF($A308="","",N308-K308)</f>
        <v/>
      </c>
      <c r="M308" s="7">
        <f>IF($A308="","",L308-F308)</f>
        <v/>
      </c>
      <c r="N308" s="7" t="n"/>
      <c r="Q308" s="11" t="n"/>
      <c r="S308">
        <f>IF($A308="","",IF($W308=1,Settings!$C$6,Settings!$C$7)*1)</f>
        <v/>
      </c>
      <c r="U308">
        <f>IF($A308="","",IF(COUNTIF($A$2:$A308,$A308)=1,1,0))</f>
        <v/>
      </c>
      <c r="V308">
        <f>IF($U308=1,SUMPRODUCT(--($X$2:$X$3001&lt;$X308))+1,"")</f>
        <v/>
      </c>
      <c r="W308">
        <f>IF($A308="","",IF(OR($T308=TRUE(),$T308="TRUE"),1,0))</f>
        <v/>
      </c>
      <c r="X308">
        <f>IF($U308=1,IFERROR(IF(VALUE($A308)&lt;100000000,VALUE($A308),1000000000),IFERROR(IF(VALUE(MID($A308,2,20))&lt;100000000,VALUE(MID($A308,2,20)),1000000000),1000000000))+ROW()/100000,"")</f>
        <v/>
      </c>
    </row>
    <row r="309">
      <c r="F309" s="7">
        <f>IF($A309="","",E309*N309/100)</f>
        <v/>
      </c>
      <c r="J309" s="7" t="n"/>
      <c r="K309" s="7">
        <f>IF($A309="","",S309*N309)</f>
        <v/>
      </c>
      <c r="L309" s="7">
        <f>IF($A309="","",N309-K309)</f>
        <v/>
      </c>
      <c r="M309" s="7">
        <f>IF($A309="","",L309-F309)</f>
        <v/>
      </c>
      <c r="N309" s="7" t="n"/>
      <c r="Q309" s="11" t="n"/>
      <c r="S309">
        <f>IF($A309="","",IF($W309=1,Settings!$C$6,Settings!$C$7)*1)</f>
        <v/>
      </c>
      <c r="U309">
        <f>IF($A309="","",IF(COUNTIF($A$2:$A309,$A309)=1,1,0))</f>
        <v/>
      </c>
      <c r="V309">
        <f>IF($U309=1,SUMPRODUCT(--($X$2:$X$3001&lt;$X309))+1,"")</f>
        <v/>
      </c>
      <c r="W309">
        <f>IF($A309="","",IF(OR($T309=TRUE(),$T309="TRUE"),1,0))</f>
        <v/>
      </c>
      <c r="X309">
        <f>IF($U309=1,IFERROR(IF(VALUE($A309)&lt;100000000,VALUE($A309),1000000000),IFERROR(IF(VALUE(MID($A309,2,20))&lt;100000000,VALUE(MID($A309,2,20)),1000000000),1000000000))+ROW()/100000,"")</f>
        <v/>
      </c>
    </row>
    <row r="310">
      <c r="F310" s="7">
        <f>IF($A310="","",E310*N310/100)</f>
        <v/>
      </c>
      <c r="J310" s="7" t="n"/>
      <c r="K310" s="7">
        <f>IF($A310="","",S310*N310)</f>
        <v/>
      </c>
      <c r="L310" s="7">
        <f>IF($A310="","",N310-K310)</f>
        <v/>
      </c>
      <c r="M310" s="7">
        <f>IF($A310="","",L310-F310)</f>
        <v/>
      </c>
      <c r="N310" s="7" t="n"/>
      <c r="Q310" s="11" t="n"/>
      <c r="S310">
        <f>IF($A310="","",IF($W310=1,Settings!$C$6,Settings!$C$7)*1)</f>
        <v/>
      </c>
      <c r="U310">
        <f>IF($A310="","",IF(COUNTIF($A$2:$A310,$A310)=1,1,0))</f>
        <v/>
      </c>
      <c r="V310">
        <f>IF($U310=1,SUMPRODUCT(--($X$2:$X$3001&lt;$X310))+1,"")</f>
        <v/>
      </c>
      <c r="W310">
        <f>IF($A310="","",IF(OR($T310=TRUE(),$T310="TRUE"),1,0))</f>
        <v/>
      </c>
      <c r="X310">
        <f>IF($U310=1,IFERROR(IF(VALUE($A310)&lt;100000000,VALUE($A310),1000000000),IFERROR(IF(VALUE(MID($A310,2,20))&lt;100000000,VALUE(MID($A310,2,20)),1000000000),1000000000))+ROW()/100000,"")</f>
        <v/>
      </c>
    </row>
    <row r="311">
      <c r="F311" s="7">
        <f>IF($A311="","",E311*N311/100)</f>
        <v/>
      </c>
      <c r="J311" s="7" t="n"/>
      <c r="K311" s="7">
        <f>IF($A311="","",S311*N311)</f>
        <v/>
      </c>
      <c r="L311" s="7">
        <f>IF($A311="","",N311-K311)</f>
        <v/>
      </c>
      <c r="M311" s="7">
        <f>IF($A311="","",L311-F311)</f>
        <v/>
      </c>
      <c r="N311" s="7" t="n"/>
      <c r="Q311" s="11" t="n"/>
      <c r="S311">
        <f>IF($A311="","",IF($W311=1,Settings!$C$6,Settings!$C$7)*1)</f>
        <v/>
      </c>
      <c r="U311">
        <f>IF($A311="","",IF(COUNTIF($A$2:$A311,$A311)=1,1,0))</f>
        <v/>
      </c>
      <c r="V311">
        <f>IF($U311=1,SUMPRODUCT(--($X$2:$X$3001&lt;$X311))+1,"")</f>
        <v/>
      </c>
      <c r="W311">
        <f>IF($A311="","",IF(OR($T311=TRUE(),$T311="TRUE"),1,0))</f>
        <v/>
      </c>
      <c r="X311">
        <f>IF($U311=1,IFERROR(IF(VALUE($A311)&lt;100000000,VALUE($A311),1000000000),IFERROR(IF(VALUE(MID($A311,2,20))&lt;100000000,VALUE(MID($A311,2,20)),1000000000),1000000000))+ROW()/100000,"")</f>
        <v/>
      </c>
    </row>
    <row r="312">
      <c r="F312" s="7">
        <f>IF($A312="","",E312*N312/100)</f>
        <v/>
      </c>
      <c r="J312" s="7" t="n"/>
      <c r="K312" s="7">
        <f>IF($A312="","",S312*N312)</f>
        <v/>
      </c>
      <c r="L312" s="7">
        <f>IF($A312="","",N312-K312)</f>
        <v/>
      </c>
      <c r="M312" s="7">
        <f>IF($A312="","",L312-F312)</f>
        <v/>
      </c>
      <c r="N312" s="7" t="n"/>
      <c r="Q312" s="11" t="n"/>
      <c r="S312">
        <f>IF($A312="","",IF($W312=1,Settings!$C$6,Settings!$C$7)*1)</f>
        <v/>
      </c>
      <c r="U312">
        <f>IF($A312="","",IF(COUNTIF($A$2:$A312,$A312)=1,1,0))</f>
        <v/>
      </c>
      <c r="V312">
        <f>IF($U312=1,SUMPRODUCT(--($X$2:$X$3001&lt;$X312))+1,"")</f>
        <v/>
      </c>
      <c r="W312">
        <f>IF($A312="","",IF(OR($T312=TRUE(),$T312="TRUE"),1,0))</f>
        <v/>
      </c>
      <c r="X312">
        <f>IF($U312=1,IFERROR(IF(VALUE($A312)&lt;100000000,VALUE($A312),1000000000),IFERROR(IF(VALUE(MID($A312,2,20))&lt;100000000,VALUE(MID($A312,2,20)),1000000000),1000000000))+ROW()/100000,"")</f>
        <v/>
      </c>
    </row>
    <row r="313">
      <c r="F313" s="7">
        <f>IF($A313="","",E313*N313/100)</f>
        <v/>
      </c>
      <c r="J313" s="7" t="n"/>
      <c r="K313" s="7">
        <f>IF($A313="","",S313*N313)</f>
        <v/>
      </c>
      <c r="L313" s="7">
        <f>IF($A313="","",N313-K313)</f>
        <v/>
      </c>
      <c r="M313" s="7">
        <f>IF($A313="","",L313-F313)</f>
        <v/>
      </c>
      <c r="N313" s="7" t="n"/>
      <c r="Q313" s="11" t="n"/>
      <c r="S313">
        <f>IF($A313="","",IF($W313=1,Settings!$C$6,Settings!$C$7)*1)</f>
        <v/>
      </c>
      <c r="U313">
        <f>IF($A313="","",IF(COUNTIF($A$2:$A313,$A313)=1,1,0))</f>
        <v/>
      </c>
      <c r="V313">
        <f>IF($U313=1,SUMPRODUCT(--($X$2:$X$3001&lt;$X313))+1,"")</f>
        <v/>
      </c>
      <c r="W313">
        <f>IF($A313="","",IF(OR($T313=TRUE(),$T313="TRUE"),1,0))</f>
        <v/>
      </c>
      <c r="X313">
        <f>IF($U313=1,IFERROR(IF(VALUE($A313)&lt;100000000,VALUE($A313),1000000000),IFERROR(IF(VALUE(MID($A313,2,20))&lt;100000000,VALUE(MID($A313,2,20)),1000000000),1000000000))+ROW()/100000,"")</f>
        <v/>
      </c>
    </row>
    <row r="314">
      <c r="F314" s="7">
        <f>IF($A314="","",E314*N314/100)</f>
        <v/>
      </c>
      <c r="J314" s="7" t="n"/>
      <c r="K314" s="7">
        <f>IF($A314="","",S314*N314)</f>
        <v/>
      </c>
      <c r="L314" s="7">
        <f>IF($A314="","",N314-K314)</f>
        <v/>
      </c>
      <c r="M314" s="7">
        <f>IF($A314="","",L314-F314)</f>
        <v/>
      </c>
      <c r="N314" s="7" t="n"/>
      <c r="Q314" s="11" t="n"/>
      <c r="S314">
        <f>IF($A314="","",IF($W314=1,Settings!$C$6,Settings!$C$7)*1)</f>
        <v/>
      </c>
      <c r="U314">
        <f>IF($A314="","",IF(COUNTIF($A$2:$A314,$A314)=1,1,0))</f>
        <v/>
      </c>
      <c r="V314">
        <f>IF($U314=1,SUMPRODUCT(--($X$2:$X$3001&lt;$X314))+1,"")</f>
        <v/>
      </c>
      <c r="W314">
        <f>IF($A314="","",IF(OR($T314=TRUE(),$T314="TRUE"),1,0))</f>
        <v/>
      </c>
      <c r="X314">
        <f>IF($U314=1,IFERROR(IF(VALUE($A314)&lt;100000000,VALUE($A314),1000000000),IFERROR(IF(VALUE(MID($A314,2,20))&lt;100000000,VALUE(MID($A314,2,20)),1000000000),1000000000))+ROW()/100000,"")</f>
        <v/>
      </c>
    </row>
    <row r="315">
      <c r="F315" s="7">
        <f>IF($A315="","",E315*N315/100)</f>
        <v/>
      </c>
      <c r="J315" s="7" t="n"/>
      <c r="K315" s="7">
        <f>IF($A315="","",S315*N315)</f>
        <v/>
      </c>
      <c r="L315" s="7">
        <f>IF($A315="","",N315-K315)</f>
        <v/>
      </c>
      <c r="M315" s="7">
        <f>IF($A315="","",L315-F315)</f>
        <v/>
      </c>
      <c r="N315" s="7" t="n"/>
      <c r="Q315" s="11" t="n"/>
      <c r="S315">
        <f>IF($A315="","",IF($W315=1,Settings!$C$6,Settings!$C$7)*1)</f>
        <v/>
      </c>
      <c r="U315">
        <f>IF($A315="","",IF(COUNTIF($A$2:$A315,$A315)=1,1,0))</f>
        <v/>
      </c>
      <c r="V315">
        <f>IF($U315=1,SUMPRODUCT(--($X$2:$X$3001&lt;$X315))+1,"")</f>
        <v/>
      </c>
      <c r="W315">
        <f>IF($A315="","",IF(OR($T315=TRUE(),$T315="TRUE"),1,0))</f>
        <v/>
      </c>
      <c r="X315">
        <f>IF($U315=1,IFERROR(IF(VALUE($A315)&lt;100000000,VALUE($A315),1000000000),IFERROR(IF(VALUE(MID($A315,2,20))&lt;100000000,VALUE(MID($A315,2,20)),1000000000),1000000000))+ROW()/100000,"")</f>
        <v/>
      </c>
    </row>
    <row r="316">
      <c r="F316" s="7">
        <f>IF($A316="","",E316*N316/100)</f>
        <v/>
      </c>
      <c r="J316" s="7" t="n"/>
      <c r="K316" s="7">
        <f>IF($A316="","",S316*N316)</f>
        <v/>
      </c>
      <c r="L316" s="7">
        <f>IF($A316="","",N316-K316)</f>
        <v/>
      </c>
      <c r="M316" s="7">
        <f>IF($A316="","",L316-F316)</f>
        <v/>
      </c>
      <c r="N316" s="7" t="n"/>
      <c r="Q316" s="11" t="n"/>
      <c r="S316">
        <f>IF($A316="","",IF($W316=1,Settings!$C$6,Settings!$C$7)*1)</f>
        <v/>
      </c>
      <c r="U316">
        <f>IF($A316="","",IF(COUNTIF($A$2:$A316,$A316)=1,1,0))</f>
        <v/>
      </c>
      <c r="V316">
        <f>IF($U316=1,SUMPRODUCT(--($X$2:$X$3001&lt;$X316))+1,"")</f>
        <v/>
      </c>
      <c r="W316">
        <f>IF($A316="","",IF(OR($T316=TRUE(),$T316="TRUE"),1,0))</f>
        <v/>
      </c>
      <c r="X316">
        <f>IF($U316=1,IFERROR(IF(VALUE($A316)&lt;100000000,VALUE($A316),1000000000),IFERROR(IF(VALUE(MID($A316,2,20))&lt;100000000,VALUE(MID($A316,2,20)),1000000000),1000000000))+ROW()/100000,"")</f>
        <v/>
      </c>
    </row>
    <row r="317">
      <c r="F317" s="7">
        <f>IF($A317="","",E317*N317/100)</f>
        <v/>
      </c>
      <c r="J317" s="7" t="n"/>
      <c r="K317" s="7">
        <f>IF($A317="","",S317*N317)</f>
        <v/>
      </c>
      <c r="L317" s="7">
        <f>IF($A317="","",N317-K317)</f>
        <v/>
      </c>
      <c r="M317" s="7">
        <f>IF($A317="","",L317-F317)</f>
        <v/>
      </c>
      <c r="N317" s="7" t="n"/>
      <c r="Q317" s="11" t="n"/>
      <c r="S317">
        <f>IF($A317="","",IF($W317=1,Settings!$C$6,Settings!$C$7)*1)</f>
        <v/>
      </c>
      <c r="U317">
        <f>IF($A317="","",IF(COUNTIF($A$2:$A317,$A317)=1,1,0))</f>
        <v/>
      </c>
      <c r="V317">
        <f>IF($U317=1,SUMPRODUCT(--($X$2:$X$3001&lt;$X317))+1,"")</f>
        <v/>
      </c>
      <c r="W317">
        <f>IF($A317="","",IF(OR($T317=TRUE(),$T317="TRUE"),1,0))</f>
        <v/>
      </c>
      <c r="X317">
        <f>IF($U317=1,IFERROR(IF(VALUE($A317)&lt;100000000,VALUE($A317),1000000000),IFERROR(IF(VALUE(MID($A317,2,20))&lt;100000000,VALUE(MID($A317,2,20)),1000000000),1000000000))+ROW()/100000,"")</f>
        <v/>
      </c>
    </row>
    <row r="318">
      <c r="F318" s="7">
        <f>IF($A318="","",E318*N318/100)</f>
        <v/>
      </c>
      <c r="J318" s="7" t="n"/>
      <c r="K318" s="7">
        <f>IF($A318="","",S318*N318)</f>
        <v/>
      </c>
      <c r="L318" s="7">
        <f>IF($A318="","",N318-K318)</f>
        <v/>
      </c>
      <c r="M318" s="7">
        <f>IF($A318="","",L318-F318)</f>
        <v/>
      </c>
      <c r="N318" s="7" t="n"/>
      <c r="Q318" s="11" t="n"/>
      <c r="S318">
        <f>IF($A318="","",IF($W318=1,Settings!$C$6,Settings!$C$7)*1)</f>
        <v/>
      </c>
      <c r="U318">
        <f>IF($A318="","",IF(COUNTIF($A$2:$A318,$A318)=1,1,0))</f>
        <v/>
      </c>
      <c r="V318">
        <f>IF($U318=1,SUMPRODUCT(--($X$2:$X$3001&lt;$X318))+1,"")</f>
        <v/>
      </c>
      <c r="W318">
        <f>IF($A318="","",IF(OR($T318=TRUE(),$T318="TRUE"),1,0))</f>
        <v/>
      </c>
      <c r="X318">
        <f>IF($U318=1,IFERROR(IF(VALUE($A318)&lt;100000000,VALUE($A318),1000000000),IFERROR(IF(VALUE(MID($A318,2,20))&lt;100000000,VALUE(MID($A318,2,20)),1000000000),1000000000))+ROW()/100000,"")</f>
        <v/>
      </c>
    </row>
    <row r="319">
      <c r="F319" s="7">
        <f>IF($A319="","",E319*N319/100)</f>
        <v/>
      </c>
      <c r="J319" s="7" t="n"/>
      <c r="K319" s="7">
        <f>IF($A319="","",S319*N319)</f>
        <v/>
      </c>
      <c r="L319" s="7">
        <f>IF($A319="","",N319-K319)</f>
        <v/>
      </c>
      <c r="M319" s="7">
        <f>IF($A319="","",L319-F319)</f>
        <v/>
      </c>
      <c r="N319" s="7" t="n"/>
      <c r="Q319" s="11" t="n"/>
      <c r="S319">
        <f>IF($A319="","",IF($W319=1,Settings!$C$6,Settings!$C$7)*1)</f>
        <v/>
      </c>
      <c r="U319">
        <f>IF($A319="","",IF(COUNTIF($A$2:$A319,$A319)=1,1,0))</f>
        <v/>
      </c>
      <c r="V319">
        <f>IF($U319=1,SUMPRODUCT(--($X$2:$X$3001&lt;$X319))+1,"")</f>
        <v/>
      </c>
      <c r="W319">
        <f>IF($A319="","",IF(OR($T319=TRUE(),$T319="TRUE"),1,0))</f>
        <v/>
      </c>
      <c r="X319">
        <f>IF($U319=1,IFERROR(IF(VALUE($A319)&lt;100000000,VALUE($A319),1000000000),IFERROR(IF(VALUE(MID($A319,2,20))&lt;100000000,VALUE(MID($A319,2,20)),1000000000),1000000000))+ROW()/100000,"")</f>
        <v/>
      </c>
    </row>
    <row r="320">
      <c r="F320" s="7">
        <f>IF($A320="","",E320*N320/100)</f>
        <v/>
      </c>
      <c r="J320" s="7" t="n"/>
      <c r="K320" s="7">
        <f>IF($A320="","",S320*N320)</f>
        <v/>
      </c>
      <c r="L320" s="7">
        <f>IF($A320="","",N320-K320)</f>
        <v/>
      </c>
      <c r="M320" s="7">
        <f>IF($A320="","",L320-F320)</f>
        <v/>
      </c>
      <c r="N320" s="7" t="n"/>
      <c r="Q320" s="11" t="n"/>
      <c r="S320">
        <f>IF($A320="","",IF($W320=1,Settings!$C$6,Settings!$C$7)*1)</f>
        <v/>
      </c>
      <c r="U320">
        <f>IF($A320="","",IF(COUNTIF($A$2:$A320,$A320)=1,1,0))</f>
        <v/>
      </c>
      <c r="V320">
        <f>IF($U320=1,SUMPRODUCT(--($X$2:$X$3001&lt;$X320))+1,"")</f>
        <v/>
      </c>
      <c r="W320">
        <f>IF($A320="","",IF(OR($T320=TRUE(),$T320="TRUE"),1,0))</f>
        <v/>
      </c>
      <c r="X320">
        <f>IF($U320=1,IFERROR(IF(VALUE($A320)&lt;100000000,VALUE($A320),1000000000),IFERROR(IF(VALUE(MID($A320,2,20))&lt;100000000,VALUE(MID($A320,2,20)),1000000000),1000000000))+ROW()/100000,"")</f>
        <v/>
      </c>
    </row>
    <row r="321">
      <c r="F321" s="7">
        <f>IF($A321="","",E321*N321/100)</f>
        <v/>
      </c>
      <c r="J321" s="7" t="n"/>
      <c r="K321" s="7">
        <f>IF($A321="","",S321*N321)</f>
        <v/>
      </c>
      <c r="L321" s="7">
        <f>IF($A321="","",N321-K321)</f>
        <v/>
      </c>
      <c r="M321" s="7">
        <f>IF($A321="","",L321-F321)</f>
        <v/>
      </c>
      <c r="N321" s="7" t="n"/>
      <c r="Q321" s="11" t="n"/>
      <c r="S321">
        <f>IF($A321="","",IF($W321=1,Settings!$C$6,Settings!$C$7)*1)</f>
        <v/>
      </c>
      <c r="U321">
        <f>IF($A321="","",IF(COUNTIF($A$2:$A321,$A321)=1,1,0))</f>
        <v/>
      </c>
      <c r="V321">
        <f>IF($U321=1,SUMPRODUCT(--($X$2:$X$3001&lt;$X321))+1,"")</f>
        <v/>
      </c>
      <c r="W321">
        <f>IF($A321="","",IF(OR($T321=TRUE(),$T321="TRUE"),1,0))</f>
        <v/>
      </c>
      <c r="X321">
        <f>IF($U321=1,IFERROR(IF(VALUE($A321)&lt;100000000,VALUE($A321),1000000000),IFERROR(IF(VALUE(MID($A321,2,20))&lt;100000000,VALUE(MID($A321,2,20)),1000000000),1000000000))+ROW()/100000,"")</f>
        <v/>
      </c>
    </row>
    <row r="322">
      <c r="F322" s="7">
        <f>IF($A322="","",E322*N322/100)</f>
        <v/>
      </c>
      <c r="J322" s="7" t="n"/>
      <c r="K322" s="7">
        <f>IF($A322="","",S322*N322)</f>
        <v/>
      </c>
      <c r="L322" s="7">
        <f>IF($A322="","",N322-K322)</f>
        <v/>
      </c>
      <c r="M322" s="7">
        <f>IF($A322="","",L322-F322)</f>
        <v/>
      </c>
      <c r="N322" s="7" t="n"/>
      <c r="Q322" s="11" t="n"/>
      <c r="S322">
        <f>IF($A322="","",IF($W322=1,Settings!$C$6,Settings!$C$7)*1)</f>
        <v/>
      </c>
      <c r="U322">
        <f>IF($A322="","",IF(COUNTIF($A$2:$A322,$A322)=1,1,0))</f>
        <v/>
      </c>
      <c r="V322">
        <f>IF($U322=1,SUMPRODUCT(--($X$2:$X$3001&lt;$X322))+1,"")</f>
        <v/>
      </c>
      <c r="W322">
        <f>IF($A322="","",IF(OR($T322=TRUE(),$T322="TRUE"),1,0))</f>
        <v/>
      </c>
      <c r="X322">
        <f>IF($U322=1,IFERROR(IF(VALUE($A322)&lt;100000000,VALUE($A322),1000000000),IFERROR(IF(VALUE(MID($A322,2,20))&lt;100000000,VALUE(MID($A322,2,20)),1000000000),1000000000))+ROW()/100000,"")</f>
        <v/>
      </c>
    </row>
    <row r="323">
      <c r="F323" s="7">
        <f>IF($A323="","",E323*N323/100)</f>
        <v/>
      </c>
      <c r="J323" s="7" t="n"/>
      <c r="K323" s="7">
        <f>IF($A323="","",S323*N323)</f>
        <v/>
      </c>
      <c r="L323" s="7">
        <f>IF($A323="","",N323-K323)</f>
        <v/>
      </c>
      <c r="M323" s="7">
        <f>IF($A323="","",L323-F323)</f>
        <v/>
      </c>
      <c r="N323" s="7" t="n"/>
      <c r="Q323" s="11" t="n"/>
      <c r="S323">
        <f>IF($A323="","",IF($W323=1,Settings!$C$6,Settings!$C$7)*1)</f>
        <v/>
      </c>
      <c r="U323">
        <f>IF($A323="","",IF(COUNTIF($A$2:$A323,$A323)=1,1,0))</f>
        <v/>
      </c>
      <c r="V323">
        <f>IF($U323=1,SUMPRODUCT(--($X$2:$X$3001&lt;$X323))+1,"")</f>
        <v/>
      </c>
      <c r="W323">
        <f>IF($A323="","",IF(OR($T323=TRUE(),$T323="TRUE"),1,0))</f>
        <v/>
      </c>
      <c r="X323">
        <f>IF($U323=1,IFERROR(IF(VALUE($A323)&lt;100000000,VALUE($A323),1000000000),IFERROR(IF(VALUE(MID($A323,2,20))&lt;100000000,VALUE(MID($A323,2,20)),1000000000),1000000000))+ROW()/100000,"")</f>
        <v/>
      </c>
    </row>
    <row r="324">
      <c r="F324" s="7">
        <f>IF($A324="","",E324*N324/100)</f>
        <v/>
      </c>
      <c r="J324" s="7" t="n"/>
      <c r="K324" s="7">
        <f>IF($A324="","",S324*N324)</f>
        <v/>
      </c>
      <c r="L324" s="7">
        <f>IF($A324="","",N324-K324)</f>
        <v/>
      </c>
      <c r="M324" s="7">
        <f>IF($A324="","",L324-F324)</f>
        <v/>
      </c>
      <c r="N324" s="7" t="n"/>
      <c r="Q324" s="11" t="n"/>
      <c r="S324">
        <f>IF($A324="","",IF($W324=1,Settings!$C$6,Settings!$C$7)*1)</f>
        <v/>
      </c>
      <c r="U324">
        <f>IF($A324="","",IF(COUNTIF($A$2:$A324,$A324)=1,1,0))</f>
        <v/>
      </c>
      <c r="V324">
        <f>IF($U324=1,SUMPRODUCT(--($X$2:$X$3001&lt;$X324))+1,"")</f>
        <v/>
      </c>
      <c r="W324">
        <f>IF($A324="","",IF(OR($T324=TRUE(),$T324="TRUE"),1,0))</f>
        <v/>
      </c>
      <c r="X324">
        <f>IF($U324=1,IFERROR(IF(VALUE($A324)&lt;100000000,VALUE($A324),1000000000),IFERROR(IF(VALUE(MID($A324,2,20))&lt;100000000,VALUE(MID($A324,2,20)),1000000000),1000000000))+ROW()/100000,"")</f>
        <v/>
      </c>
    </row>
    <row r="325">
      <c r="F325" s="7">
        <f>IF($A325="","",E325*N325/100)</f>
        <v/>
      </c>
      <c r="J325" s="7" t="n"/>
      <c r="K325" s="7">
        <f>IF($A325="","",S325*N325)</f>
        <v/>
      </c>
      <c r="L325" s="7">
        <f>IF($A325="","",N325-K325)</f>
        <v/>
      </c>
      <c r="M325" s="7">
        <f>IF($A325="","",L325-F325)</f>
        <v/>
      </c>
      <c r="N325" s="7" t="n"/>
      <c r="Q325" s="11" t="n"/>
      <c r="S325">
        <f>IF($A325="","",IF($W325=1,Settings!$C$6,Settings!$C$7)*1)</f>
        <v/>
      </c>
      <c r="U325">
        <f>IF($A325="","",IF(COUNTIF($A$2:$A325,$A325)=1,1,0))</f>
        <v/>
      </c>
      <c r="V325">
        <f>IF($U325=1,SUMPRODUCT(--($X$2:$X$3001&lt;$X325))+1,"")</f>
        <v/>
      </c>
      <c r="W325">
        <f>IF($A325="","",IF(OR($T325=TRUE(),$T325="TRUE"),1,0))</f>
        <v/>
      </c>
      <c r="X325">
        <f>IF($U325=1,IFERROR(IF(VALUE($A325)&lt;100000000,VALUE($A325),1000000000),IFERROR(IF(VALUE(MID($A325,2,20))&lt;100000000,VALUE(MID($A325,2,20)),1000000000),1000000000))+ROW()/100000,"")</f>
        <v/>
      </c>
    </row>
    <row r="326">
      <c r="F326" s="7">
        <f>IF($A326="","",E326*N326/100)</f>
        <v/>
      </c>
      <c r="J326" s="7" t="n"/>
      <c r="K326" s="7">
        <f>IF($A326="","",S326*N326)</f>
        <v/>
      </c>
      <c r="L326" s="7">
        <f>IF($A326="","",N326-K326)</f>
        <v/>
      </c>
      <c r="M326" s="7">
        <f>IF($A326="","",L326-F326)</f>
        <v/>
      </c>
      <c r="N326" s="7" t="n"/>
      <c r="Q326" s="11" t="n"/>
      <c r="S326">
        <f>IF($A326="","",IF($W326=1,Settings!$C$6,Settings!$C$7)*1)</f>
        <v/>
      </c>
      <c r="U326">
        <f>IF($A326="","",IF(COUNTIF($A$2:$A326,$A326)=1,1,0))</f>
        <v/>
      </c>
      <c r="V326">
        <f>IF($U326=1,SUMPRODUCT(--($X$2:$X$3001&lt;$X326))+1,"")</f>
        <v/>
      </c>
      <c r="W326">
        <f>IF($A326="","",IF(OR($T326=TRUE(),$T326="TRUE"),1,0))</f>
        <v/>
      </c>
      <c r="X326">
        <f>IF($U326=1,IFERROR(IF(VALUE($A326)&lt;100000000,VALUE($A326),1000000000),IFERROR(IF(VALUE(MID($A326,2,20))&lt;100000000,VALUE(MID($A326,2,20)),1000000000),1000000000))+ROW()/100000,"")</f>
        <v/>
      </c>
    </row>
    <row r="327">
      <c r="F327" s="7">
        <f>IF($A327="","",E327*N327/100)</f>
        <v/>
      </c>
      <c r="J327" s="7" t="n"/>
      <c r="K327" s="7">
        <f>IF($A327="","",S327*N327)</f>
        <v/>
      </c>
      <c r="L327" s="7">
        <f>IF($A327="","",N327-K327)</f>
        <v/>
      </c>
      <c r="M327" s="7">
        <f>IF($A327="","",L327-F327)</f>
        <v/>
      </c>
      <c r="N327" s="7" t="n"/>
      <c r="Q327" s="11" t="n"/>
      <c r="S327">
        <f>IF($A327="","",IF($W327=1,Settings!$C$6,Settings!$C$7)*1)</f>
        <v/>
      </c>
      <c r="U327">
        <f>IF($A327="","",IF(COUNTIF($A$2:$A327,$A327)=1,1,0))</f>
        <v/>
      </c>
      <c r="V327">
        <f>IF($U327=1,SUMPRODUCT(--($X$2:$X$3001&lt;$X327))+1,"")</f>
        <v/>
      </c>
      <c r="W327">
        <f>IF($A327="","",IF(OR($T327=TRUE(),$T327="TRUE"),1,0))</f>
        <v/>
      </c>
      <c r="X327">
        <f>IF($U327=1,IFERROR(IF(VALUE($A327)&lt;100000000,VALUE($A327),1000000000),IFERROR(IF(VALUE(MID($A327,2,20))&lt;100000000,VALUE(MID($A327,2,20)),1000000000),1000000000))+ROW()/100000,"")</f>
        <v/>
      </c>
    </row>
    <row r="328">
      <c r="F328" s="7">
        <f>IF($A328="","",E328*N328/100)</f>
        <v/>
      </c>
      <c r="J328" s="7" t="n"/>
      <c r="K328" s="7">
        <f>IF($A328="","",S328*N328)</f>
        <v/>
      </c>
      <c r="L328" s="7">
        <f>IF($A328="","",N328-K328)</f>
        <v/>
      </c>
      <c r="M328" s="7">
        <f>IF($A328="","",L328-F328)</f>
        <v/>
      </c>
      <c r="N328" s="7" t="n"/>
      <c r="Q328" s="11" t="n"/>
      <c r="S328">
        <f>IF($A328="","",IF($W328=1,Settings!$C$6,Settings!$C$7)*1)</f>
        <v/>
      </c>
      <c r="U328">
        <f>IF($A328="","",IF(COUNTIF($A$2:$A328,$A328)=1,1,0))</f>
        <v/>
      </c>
      <c r="V328">
        <f>IF($U328=1,SUMPRODUCT(--($X$2:$X$3001&lt;$X328))+1,"")</f>
        <v/>
      </c>
      <c r="W328">
        <f>IF($A328="","",IF(OR($T328=TRUE(),$T328="TRUE"),1,0))</f>
        <v/>
      </c>
      <c r="X328">
        <f>IF($U328=1,IFERROR(IF(VALUE($A328)&lt;100000000,VALUE($A328),1000000000),IFERROR(IF(VALUE(MID($A328,2,20))&lt;100000000,VALUE(MID($A328,2,20)),1000000000),1000000000))+ROW()/100000,"")</f>
        <v/>
      </c>
    </row>
    <row r="329">
      <c r="F329" s="7">
        <f>IF($A329="","",E329*N329/100)</f>
        <v/>
      </c>
      <c r="J329" s="7" t="n"/>
      <c r="K329" s="7">
        <f>IF($A329="","",S329*N329)</f>
        <v/>
      </c>
      <c r="L329" s="7">
        <f>IF($A329="","",N329-K329)</f>
        <v/>
      </c>
      <c r="M329" s="7">
        <f>IF($A329="","",L329-F329)</f>
        <v/>
      </c>
      <c r="N329" s="7" t="n"/>
      <c r="Q329" s="11" t="n"/>
      <c r="S329">
        <f>IF($A329="","",IF($W329=1,Settings!$C$6,Settings!$C$7)*1)</f>
        <v/>
      </c>
      <c r="U329">
        <f>IF($A329="","",IF(COUNTIF($A$2:$A329,$A329)=1,1,0))</f>
        <v/>
      </c>
      <c r="V329">
        <f>IF($U329=1,SUMPRODUCT(--($X$2:$X$3001&lt;$X329))+1,"")</f>
        <v/>
      </c>
      <c r="W329">
        <f>IF($A329="","",IF(OR($T329=TRUE(),$T329="TRUE"),1,0))</f>
        <v/>
      </c>
      <c r="X329">
        <f>IF($U329=1,IFERROR(IF(VALUE($A329)&lt;100000000,VALUE($A329),1000000000),IFERROR(IF(VALUE(MID($A329,2,20))&lt;100000000,VALUE(MID($A329,2,20)),1000000000),1000000000))+ROW()/100000,"")</f>
        <v/>
      </c>
    </row>
    <row r="330">
      <c r="F330" s="7">
        <f>IF($A330="","",E330*N330/100)</f>
        <v/>
      </c>
      <c r="J330" s="7" t="n"/>
      <c r="K330" s="7">
        <f>IF($A330="","",S330*N330)</f>
        <v/>
      </c>
      <c r="L330" s="7">
        <f>IF($A330="","",N330-K330)</f>
        <v/>
      </c>
      <c r="M330" s="7">
        <f>IF($A330="","",L330-F330)</f>
        <v/>
      </c>
      <c r="N330" s="7" t="n"/>
      <c r="Q330" s="11" t="n"/>
      <c r="S330">
        <f>IF($A330="","",IF($W330=1,Settings!$C$6,Settings!$C$7)*1)</f>
        <v/>
      </c>
      <c r="U330">
        <f>IF($A330="","",IF(COUNTIF($A$2:$A330,$A330)=1,1,0))</f>
        <v/>
      </c>
      <c r="V330">
        <f>IF($U330=1,SUMPRODUCT(--($X$2:$X$3001&lt;$X330))+1,"")</f>
        <v/>
      </c>
      <c r="W330">
        <f>IF($A330="","",IF(OR($T330=TRUE(),$T330="TRUE"),1,0))</f>
        <v/>
      </c>
      <c r="X330">
        <f>IF($U330=1,IFERROR(IF(VALUE($A330)&lt;100000000,VALUE($A330),1000000000),IFERROR(IF(VALUE(MID($A330,2,20))&lt;100000000,VALUE(MID($A330,2,20)),1000000000),1000000000))+ROW()/100000,"")</f>
        <v/>
      </c>
    </row>
    <row r="331">
      <c r="F331" s="7">
        <f>IF($A331="","",E331*N331/100)</f>
        <v/>
      </c>
      <c r="J331" s="7" t="n"/>
      <c r="K331" s="7">
        <f>IF($A331="","",S331*N331)</f>
        <v/>
      </c>
      <c r="L331" s="7">
        <f>IF($A331="","",N331-K331)</f>
        <v/>
      </c>
      <c r="M331" s="7">
        <f>IF($A331="","",L331-F331)</f>
        <v/>
      </c>
      <c r="N331" s="7" t="n"/>
      <c r="Q331" s="11" t="n"/>
      <c r="S331">
        <f>IF($A331="","",IF($W331=1,Settings!$C$6,Settings!$C$7)*1)</f>
        <v/>
      </c>
      <c r="U331">
        <f>IF($A331="","",IF(COUNTIF($A$2:$A331,$A331)=1,1,0))</f>
        <v/>
      </c>
      <c r="V331">
        <f>IF($U331=1,SUMPRODUCT(--($X$2:$X$3001&lt;$X331))+1,"")</f>
        <v/>
      </c>
      <c r="W331">
        <f>IF($A331="","",IF(OR($T331=TRUE(),$T331="TRUE"),1,0))</f>
        <v/>
      </c>
      <c r="X331">
        <f>IF($U331=1,IFERROR(IF(VALUE($A331)&lt;100000000,VALUE($A331),1000000000),IFERROR(IF(VALUE(MID($A331,2,20))&lt;100000000,VALUE(MID($A331,2,20)),1000000000),1000000000))+ROW()/100000,"")</f>
        <v/>
      </c>
    </row>
    <row r="332">
      <c r="F332" s="7">
        <f>IF($A332="","",E332*N332/100)</f>
        <v/>
      </c>
      <c r="J332" s="7" t="n"/>
      <c r="K332" s="7">
        <f>IF($A332="","",S332*N332)</f>
        <v/>
      </c>
      <c r="L332" s="7">
        <f>IF($A332="","",N332-K332)</f>
        <v/>
      </c>
      <c r="M332" s="7">
        <f>IF($A332="","",L332-F332)</f>
        <v/>
      </c>
      <c r="N332" s="7" t="n"/>
      <c r="Q332" s="11" t="n"/>
      <c r="S332">
        <f>IF($A332="","",IF($W332=1,Settings!$C$6,Settings!$C$7)*1)</f>
        <v/>
      </c>
      <c r="U332">
        <f>IF($A332="","",IF(COUNTIF($A$2:$A332,$A332)=1,1,0))</f>
        <v/>
      </c>
      <c r="V332">
        <f>IF($U332=1,SUMPRODUCT(--($X$2:$X$3001&lt;$X332))+1,"")</f>
        <v/>
      </c>
      <c r="W332">
        <f>IF($A332="","",IF(OR($T332=TRUE(),$T332="TRUE"),1,0))</f>
        <v/>
      </c>
      <c r="X332">
        <f>IF($U332=1,IFERROR(IF(VALUE($A332)&lt;100000000,VALUE($A332),1000000000),IFERROR(IF(VALUE(MID($A332,2,20))&lt;100000000,VALUE(MID($A332,2,20)),1000000000),1000000000))+ROW()/100000,"")</f>
        <v/>
      </c>
    </row>
    <row r="333">
      <c r="F333" s="7">
        <f>IF($A333="","",E333*N333/100)</f>
        <v/>
      </c>
      <c r="J333" s="7" t="n"/>
      <c r="K333" s="7">
        <f>IF($A333="","",S333*N333)</f>
        <v/>
      </c>
      <c r="L333" s="7">
        <f>IF($A333="","",N333-K333)</f>
        <v/>
      </c>
      <c r="M333" s="7">
        <f>IF($A333="","",L333-F333)</f>
        <v/>
      </c>
      <c r="N333" s="7" t="n"/>
      <c r="Q333" s="11" t="n"/>
      <c r="S333">
        <f>IF($A333="","",IF($W333=1,Settings!$C$6,Settings!$C$7)*1)</f>
        <v/>
      </c>
      <c r="U333">
        <f>IF($A333="","",IF(COUNTIF($A$2:$A333,$A333)=1,1,0))</f>
        <v/>
      </c>
      <c r="V333">
        <f>IF($U333=1,SUMPRODUCT(--($X$2:$X$3001&lt;$X333))+1,"")</f>
        <v/>
      </c>
      <c r="W333">
        <f>IF($A333="","",IF(OR($T333=TRUE(),$T333="TRUE"),1,0))</f>
        <v/>
      </c>
      <c r="X333">
        <f>IF($U333=1,IFERROR(IF(VALUE($A333)&lt;100000000,VALUE($A333),1000000000),IFERROR(IF(VALUE(MID($A333,2,20))&lt;100000000,VALUE(MID($A333,2,20)),1000000000),1000000000))+ROW()/100000,"")</f>
        <v/>
      </c>
    </row>
    <row r="334">
      <c r="F334" s="7">
        <f>IF($A334="","",E334*N334/100)</f>
        <v/>
      </c>
      <c r="J334" s="7" t="n"/>
      <c r="K334" s="7">
        <f>IF($A334="","",S334*N334)</f>
        <v/>
      </c>
      <c r="L334" s="7">
        <f>IF($A334="","",N334-K334)</f>
        <v/>
      </c>
      <c r="M334" s="7">
        <f>IF($A334="","",L334-F334)</f>
        <v/>
      </c>
      <c r="N334" s="7" t="n"/>
      <c r="Q334" s="11" t="n"/>
      <c r="S334">
        <f>IF($A334="","",IF($W334=1,Settings!$C$6,Settings!$C$7)*1)</f>
        <v/>
      </c>
      <c r="U334">
        <f>IF($A334="","",IF(COUNTIF($A$2:$A334,$A334)=1,1,0))</f>
        <v/>
      </c>
      <c r="V334">
        <f>IF($U334=1,SUMPRODUCT(--($X$2:$X$3001&lt;$X334))+1,"")</f>
        <v/>
      </c>
      <c r="W334">
        <f>IF($A334="","",IF(OR($T334=TRUE(),$T334="TRUE"),1,0))</f>
        <v/>
      </c>
      <c r="X334">
        <f>IF($U334=1,IFERROR(IF(VALUE($A334)&lt;100000000,VALUE($A334),1000000000),IFERROR(IF(VALUE(MID($A334,2,20))&lt;100000000,VALUE(MID($A334,2,20)),1000000000),1000000000))+ROW()/100000,"")</f>
        <v/>
      </c>
    </row>
    <row r="335">
      <c r="F335" s="7">
        <f>IF($A335="","",E335*N335/100)</f>
        <v/>
      </c>
      <c r="J335" s="7" t="n"/>
      <c r="K335" s="7">
        <f>IF($A335="","",S335*N335)</f>
        <v/>
      </c>
      <c r="L335" s="7">
        <f>IF($A335="","",N335-K335)</f>
        <v/>
      </c>
      <c r="M335" s="7">
        <f>IF($A335="","",L335-F335)</f>
        <v/>
      </c>
      <c r="N335" s="7" t="n"/>
      <c r="Q335" s="11" t="n"/>
      <c r="S335">
        <f>IF($A335="","",IF($W335=1,Settings!$C$6,Settings!$C$7)*1)</f>
        <v/>
      </c>
      <c r="U335">
        <f>IF($A335="","",IF(COUNTIF($A$2:$A335,$A335)=1,1,0))</f>
        <v/>
      </c>
      <c r="V335">
        <f>IF($U335=1,SUMPRODUCT(--($X$2:$X$3001&lt;$X335))+1,"")</f>
        <v/>
      </c>
      <c r="W335">
        <f>IF($A335="","",IF(OR($T335=TRUE(),$T335="TRUE"),1,0))</f>
        <v/>
      </c>
      <c r="X335">
        <f>IF($U335=1,IFERROR(IF(VALUE($A335)&lt;100000000,VALUE($A335),1000000000),IFERROR(IF(VALUE(MID($A335,2,20))&lt;100000000,VALUE(MID($A335,2,20)),1000000000),1000000000))+ROW()/100000,"")</f>
        <v/>
      </c>
    </row>
    <row r="336">
      <c r="F336" s="7">
        <f>IF($A336="","",E336*N336/100)</f>
        <v/>
      </c>
      <c r="J336" s="7" t="n"/>
      <c r="K336" s="7">
        <f>IF($A336="","",S336*N336)</f>
        <v/>
      </c>
      <c r="L336" s="7">
        <f>IF($A336="","",N336-K336)</f>
        <v/>
      </c>
      <c r="M336" s="7">
        <f>IF($A336="","",L336-F336)</f>
        <v/>
      </c>
      <c r="N336" s="7" t="n"/>
      <c r="Q336" s="11" t="n"/>
      <c r="S336">
        <f>IF($A336="","",IF($W336=1,Settings!$C$6,Settings!$C$7)*1)</f>
        <v/>
      </c>
      <c r="U336">
        <f>IF($A336="","",IF(COUNTIF($A$2:$A336,$A336)=1,1,0))</f>
        <v/>
      </c>
      <c r="V336">
        <f>IF($U336=1,SUMPRODUCT(--($X$2:$X$3001&lt;$X336))+1,"")</f>
        <v/>
      </c>
      <c r="W336">
        <f>IF($A336="","",IF(OR($T336=TRUE(),$T336="TRUE"),1,0))</f>
        <v/>
      </c>
      <c r="X336">
        <f>IF($U336=1,IFERROR(IF(VALUE($A336)&lt;100000000,VALUE($A336),1000000000),IFERROR(IF(VALUE(MID($A336,2,20))&lt;100000000,VALUE(MID($A336,2,20)),1000000000),1000000000))+ROW()/100000,"")</f>
        <v/>
      </c>
    </row>
    <row r="337">
      <c r="F337" s="7">
        <f>IF($A337="","",E337*N337/100)</f>
        <v/>
      </c>
      <c r="J337" s="7" t="n"/>
      <c r="K337" s="7">
        <f>IF($A337="","",S337*N337)</f>
        <v/>
      </c>
      <c r="L337" s="7">
        <f>IF($A337="","",N337-K337)</f>
        <v/>
      </c>
      <c r="M337" s="7">
        <f>IF($A337="","",L337-F337)</f>
        <v/>
      </c>
      <c r="N337" s="7" t="n"/>
      <c r="Q337" s="11" t="n"/>
      <c r="S337">
        <f>IF($A337="","",IF($W337=1,Settings!$C$6,Settings!$C$7)*1)</f>
        <v/>
      </c>
      <c r="U337">
        <f>IF($A337="","",IF(COUNTIF($A$2:$A337,$A337)=1,1,0))</f>
        <v/>
      </c>
      <c r="V337">
        <f>IF($U337=1,SUMPRODUCT(--($X$2:$X$3001&lt;$X337))+1,"")</f>
        <v/>
      </c>
      <c r="W337">
        <f>IF($A337="","",IF(OR($T337=TRUE(),$T337="TRUE"),1,0))</f>
        <v/>
      </c>
      <c r="X337">
        <f>IF($U337=1,IFERROR(IF(VALUE($A337)&lt;100000000,VALUE($A337),1000000000),IFERROR(IF(VALUE(MID($A337,2,20))&lt;100000000,VALUE(MID($A337,2,20)),1000000000),1000000000))+ROW()/100000,"")</f>
        <v/>
      </c>
    </row>
    <row r="338">
      <c r="F338" s="7">
        <f>IF($A338="","",E338*N338/100)</f>
        <v/>
      </c>
      <c r="J338" s="7" t="n"/>
      <c r="K338" s="7">
        <f>IF($A338="","",S338*N338)</f>
        <v/>
      </c>
      <c r="L338" s="7">
        <f>IF($A338="","",N338-K338)</f>
        <v/>
      </c>
      <c r="M338" s="7">
        <f>IF($A338="","",L338-F338)</f>
        <v/>
      </c>
      <c r="N338" s="7" t="n"/>
      <c r="Q338" s="11" t="n"/>
      <c r="S338">
        <f>IF($A338="","",IF($W338=1,Settings!$C$6,Settings!$C$7)*1)</f>
        <v/>
      </c>
      <c r="U338">
        <f>IF($A338="","",IF(COUNTIF($A$2:$A338,$A338)=1,1,0))</f>
        <v/>
      </c>
      <c r="V338">
        <f>IF($U338=1,SUMPRODUCT(--($X$2:$X$3001&lt;$X338))+1,"")</f>
        <v/>
      </c>
      <c r="W338">
        <f>IF($A338="","",IF(OR($T338=TRUE(),$T338="TRUE"),1,0))</f>
        <v/>
      </c>
      <c r="X338">
        <f>IF($U338=1,IFERROR(IF(VALUE($A338)&lt;100000000,VALUE($A338),1000000000),IFERROR(IF(VALUE(MID($A338,2,20))&lt;100000000,VALUE(MID($A338,2,20)),1000000000),1000000000))+ROW()/100000,"")</f>
        <v/>
      </c>
    </row>
    <row r="339">
      <c r="F339" s="7">
        <f>IF($A339="","",E339*N339/100)</f>
        <v/>
      </c>
      <c r="J339" s="7" t="n"/>
      <c r="K339" s="7">
        <f>IF($A339="","",S339*N339)</f>
        <v/>
      </c>
      <c r="L339" s="7">
        <f>IF($A339="","",N339-K339)</f>
        <v/>
      </c>
      <c r="M339" s="7">
        <f>IF($A339="","",L339-F339)</f>
        <v/>
      </c>
      <c r="N339" s="7" t="n"/>
      <c r="Q339" s="11" t="n"/>
      <c r="S339">
        <f>IF($A339="","",IF($W339=1,Settings!$C$6,Settings!$C$7)*1)</f>
        <v/>
      </c>
      <c r="U339">
        <f>IF($A339="","",IF(COUNTIF($A$2:$A339,$A339)=1,1,0))</f>
        <v/>
      </c>
      <c r="V339">
        <f>IF($U339=1,SUMPRODUCT(--($X$2:$X$3001&lt;$X339))+1,"")</f>
        <v/>
      </c>
      <c r="W339">
        <f>IF($A339="","",IF(OR($T339=TRUE(),$T339="TRUE"),1,0))</f>
        <v/>
      </c>
      <c r="X339">
        <f>IF($U339=1,IFERROR(IF(VALUE($A339)&lt;100000000,VALUE($A339),1000000000),IFERROR(IF(VALUE(MID($A339,2,20))&lt;100000000,VALUE(MID($A339,2,20)),1000000000),1000000000))+ROW()/100000,"")</f>
        <v/>
      </c>
    </row>
    <row r="340">
      <c r="F340" s="7">
        <f>IF($A340="","",E340*N340/100)</f>
        <v/>
      </c>
      <c r="J340" s="7" t="n"/>
      <c r="K340" s="7">
        <f>IF($A340="","",S340*N340)</f>
        <v/>
      </c>
      <c r="L340" s="7">
        <f>IF($A340="","",N340-K340)</f>
        <v/>
      </c>
      <c r="M340" s="7">
        <f>IF($A340="","",L340-F340)</f>
        <v/>
      </c>
      <c r="N340" s="7" t="n"/>
      <c r="Q340" s="11" t="n"/>
      <c r="S340">
        <f>IF($A340="","",IF($W340=1,Settings!$C$6,Settings!$C$7)*1)</f>
        <v/>
      </c>
      <c r="U340">
        <f>IF($A340="","",IF(COUNTIF($A$2:$A340,$A340)=1,1,0))</f>
        <v/>
      </c>
      <c r="V340">
        <f>IF($U340=1,SUMPRODUCT(--($X$2:$X$3001&lt;$X340))+1,"")</f>
        <v/>
      </c>
      <c r="W340">
        <f>IF($A340="","",IF(OR($T340=TRUE(),$T340="TRUE"),1,0))</f>
        <v/>
      </c>
      <c r="X340">
        <f>IF($U340=1,IFERROR(IF(VALUE($A340)&lt;100000000,VALUE($A340),1000000000),IFERROR(IF(VALUE(MID($A340,2,20))&lt;100000000,VALUE(MID($A340,2,20)),1000000000),1000000000))+ROW()/100000,"")</f>
        <v/>
      </c>
    </row>
    <row r="341">
      <c r="F341" s="7">
        <f>IF($A341="","",E341*N341/100)</f>
        <v/>
      </c>
      <c r="J341" s="7" t="n"/>
      <c r="K341" s="7">
        <f>IF($A341="","",S341*N341)</f>
        <v/>
      </c>
      <c r="L341" s="7">
        <f>IF($A341="","",N341-K341)</f>
        <v/>
      </c>
      <c r="M341" s="7">
        <f>IF($A341="","",L341-F341)</f>
        <v/>
      </c>
      <c r="N341" s="7" t="n"/>
      <c r="Q341" s="11" t="n"/>
      <c r="S341">
        <f>IF($A341="","",IF($W341=1,Settings!$C$6,Settings!$C$7)*1)</f>
        <v/>
      </c>
      <c r="U341">
        <f>IF($A341="","",IF(COUNTIF($A$2:$A341,$A341)=1,1,0))</f>
        <v/>
      </c>
      <c r="V341">
        <f>IF($U341=1,SUMPRODUCT(--($X$2:$X$3001&lt;$X341))+1,"")</f>
        <v/>
      </c>
      <c r="W341">
        <f>IF($A341="","",IF(OR($T341=TRUE(),$T341="TRUE"),1,0))</f>
        <v/>
      </c>
      <c r="X341">
        <f>IF($U341=1,IFERROR(IF(VALUE($A341)&lt;100000000,VALUE($A341),1000000000),IFERROR(IF(VALUE(MID($A341,2,20))&lt;100000000,VALUE(MID($A341,2,20)),1000000000),1000000000))+ROW()/100000,"")</f>
        <v/>
      </c>
    </row>
    <row r="342">
      <c r="F342" s="7">
        <f>IF($A342="","",E342*N342/100)</f>
        <v/>
      </c>
      <c r="J342" s="7" t="n"/>
      <c r="K342" s="7">
        <f>IF($A342="","",S342*N342)</f>
        <v/>
      </c>
      <c r="L342" s="7">
        <f>IF($A342="","",N342-K342)</f>
        <v/>
      </c>
      <c r="M342" s="7">
        <f>IF($A342="","",L342-F342)</f>
        <v/>
      </c>
      <c r="N342" s="7" t="n"/>
      <c r="Q342" s="11" t="n"/>
      <c r="S342">
        <f>IF($A342="","",IF($W342=1,Settings!$C$6,Settings!$C$7)*1)</f>
        <v/>
      </c>
      <c r="U342">
        <f>IF($A342="","",IF(COUNTIF($A$2:$A342,$A342)=1,1,0))</f>
        <v/>
      </c>
      <c r="V342">
        <f>IF($U342=1,SUMPRODUCT(--($X$2:$X$3001&lt;$X342))+1,"")</f>
        <v/>
      </c>
      <c r="W342">
        <f>IF($A342="","",IF(OR($T342=TRUE(),$T342="TRUE"),1,0))</f>
        <v/>
      </c>
      <c r="X342">
        <f>IF($U342=1,IFERROR(IF(VALUE($A342)&lt;100000000,VALUE($A342),1000000000),IFERROR(IF(VALUE(MID($A342,2,20))&lt;100000000,VALUE(MID($A342,2,20)),1000000000),1000000000))+ROW()/100000,"")</f>
        <v/>
      </c>
    </row>
    <row r="343">
      <c r="F343" s="7">
        <f>IF($A343="","",E343*N343/100)</f>
        <v/>
      </c>
      <c r="J343" s="7" t="n"/>
      <c r="K343" s="7">
        <f>IF($A343="","",S343*N343)</f>
        <v/>
      </c>
      <c r="L343" s="7">
        <f>IF($A343="","",N343-K343)</f>
        <v/>
      </c>
      <c r="M343" s="7">
        <f>IF($A343="","",L343-F343)</f>
        <v/>
      </c>
      <c r="N343" s="7" t="n"/>
      <c r="Q343" s="11" t="n"/>
      <c r="S343">
        <f>IF($A343="","",IF($W343=1,Settings!$C$6,Settings!$C$7)*1)</f>
        <v/>
      </c>
      <c r="U343">
        <f>IF($A343="","",IF(COUNTIF($A$2:$A343,$A343)=1,1,0))</f>
        <v/>
      </c>
      <c r="V343">
        <f>IF($U343=1,SUMPRODUCT(--($X$2:$X$3001&lt;$X343))+1,"")</f>
        <v/>
      </c>
      <c r="W343">
        <f>IF($A343="","",IF(OR($T343=TRUE(),$T343="TRUE"),1,0))</f>
        <v/>
      </c>
      <c r="X343">
        <f>IF($U343=1,IFERROR(IF(VALUE($A343)&lt;100000000,VALUE($A343),1000000000),IFERROR(IF(VALUE(MID($A343,2,20))&lt;100000000,VALUE(MID($A343,2,20)),1000000000),1000000000))+ROW()/100000,"")</f>
        <v/>
      </c>
    </row>
    <row r="344">
      <c r="F344" s="7">
        <f>IF($A344="","",E344*N344/100)</f>
        <v/>
      </c>
      <c r="J344" s="7" t="n"/>
      <c r="K344" s="7">
        <f>IF($A344="","",S344*N344)</f>
        <v/>
      </c>
      <c r="L344" s="7">
        <f>IF($A344="","",N344-K344)</f>
        <v/>
      </c>
      <c r="M344" s="7">
        <f>IF($A344="","",L344-F344)</f>
        <v/>
      </c>
      <c r="N344" s="7" t="n"/>
      <c r="Q344" s="11" t="n"/>
      <c r="S344">
        <f>IF($A344="","",IF($W344=1,Settings!$C$6,Settings!$C$7)*1)</f>
        <v/>
      </c>
      <c r="U344">
        <f>IF($A344="","",IF(COUNTIF($A$2:$A344,$A344)=1,1,0))</f>
        <v/>
      </c>
      <c r="V344">
        <f>IF($U344=1,SUMPRODUCT(--($X$2:$X$3001&lt;$X344))+1,"")</f>
        <v/>
      </c>
      <c r="W344">
        <f>IF($A344="","",IF(OR($T344=TRUE(),$T344="TRUE"),1,0))</f>
        <v/>
      </c>
      <c r="X344">
        <f>IF($U344=1,IFERROR(IF(VALUE($A344)&lt;100000000,VALUE($A344),1000000000),IFERROR(IF(VALUE(MID($A344,2,20))&lt;100000000,VALUE(MID($A344,2,20)),1000000000),1000000000))+ROW()/100000,"")</f>
        <v/>
      </c>
    </row>
    <row r="345">
      <c r="F345" s="7">
        <f>IF($A345="","",E345*N345/100)</f>
        <v/>
      </c>
      <c r="J345" s="7" t="n"/>
      <c r="K345" s="7">
        <f>IF($A345="","",S345*N345)</f>
        <v/>
      </c>
      <c r="L345" s="7">
        <f>IF($A345="","",N345-K345)</f>
        <v/>
      </c>
      <c r="M345" s="7">
        <f>IF($A345="","",L345-F345)</f>
        <v/>
      </c>
      <c r="N345" s="7" t="n"/>
      <c r="Q345" s="11" t="n"/>
      <c r="S345">
        <f>IF($A345="","",IF($W345=1,Settings!$C$6,Settings!$C$7)*1)</f>
        <v/>
      </c>
      <c r="U345">
        <f>IF($A345="","",IF(COUNTIF($A$2:$A345,$A345)=1,1,0))</f>
        <v/>
      </c>
      <c r="V345">
        <f>IF($U345=1,SUMPRODUCT(--($X$2:$X$3001&lt;$X345))+1,"")</f>
        <v/>
      </c>
      <c r="W345">
        <f>IF($A345="","",IF(OR($T345=TRUE(),$T345="TRUE"),1,0))</f>
        <v/>
      </c>
      <c r="X345">
        <f>IF($U345=1,IFERROR(IF(VALUE($A345)&lt;100000000,VALUE($A345),1000000000),IFERROR(IF(VALUE(MID($A345,2,20))&lt;100000000,VALUE(MID($A345,2,20)),1000000000),1000000000))+ROW()/100000,"")</f>
        <v/>
      </c>
    </row>
    <row r="346">
      <c r="F346" s="7">
        <f>IF($A346="","",E346*N346/100)</f>
        <v/>
      </c>
      <c r="J346" s="7" t="n"/>
      <c r="K346" s="7">
        <f>IF($A346="","",S346*N346)</f>
        <v/>
      </c>
      <c r="L346" s="7">
        <f>IF($A346="","",N346-K346)</f>
        <v/>
      </c>
      <c r="M346" s="7">
        <f>IF($A346="","",L346-F346)</f>
        <v/>
      </c>
      <c r="N346" s="7" t="n"/>
      <c r="Q346" s="11" t="n"/>
      <c r="S346">
        <f>IF($A346="","",IF($W346=1,Settings!$C$6,Settings!$C$7)*1)</f>
        <v/>
      </c>
      <c r="U346">
        <f>IF($A346="","",IF(COUNTIF($A$2:$A346,$A346)=1,1,0))</f>
        <v/>
      </c>
      <c r="V346">
        <f>IF($U346=1,SUMPRODUCT(--($X$2:$X$3001&lt;$X346))+1,"")</f>
        <v/>
      </c>
      <c r="W346">
        <f>IF($A346="","",IF(OR($T346=TRUE(),$T346="TRUE"),1,0))</f>
        <v/>
      </c>
      <c r="X346">
        <f>IF($U346=1,IFERROR(IF(VALUE($A346)&lt;100000000,VALUE($A346),1000000000),IFERROR(IF(VALUE(MID($A346,2,20))&lt;100000000,VALUE(MID($A346,2,20)),1000000000),1000000000))+ROW()/100000,"")</f>
        <v/>
      </c>
    </row>
    <row r="347">
      <c r="F347" s="7">
        <f>IF($A347="","",E347*N347/100)</f>
        <v/>
      </c>
      <c r="J347" s="7" t="n"/>
      <c r="K347" s="7">
        <f>IF($A347="","",S347*N347)</f>
        <v/>
      </c>
      <c r="L347" s="7">
        <f>IF($A347="","",N347-K347)</f>
        <v/>
      </c>
      <c r="M347" s="7">
        <f>IF($A347="","",L347-F347)</f>
        <v/>
      </c>
      <c r="N347" s="7" t="n"/>
      <c r="Q347" s="11" t="n"/>
      <c r="S347">
        <f>IF($A347="","",IF($W347=1,Settings!$C$6,Settings!$C$7)*1)</f>
        <v/>
      </c>
      <c r="U347">
        <f>IF($A347="","",IF(COUNTIF($A$2:$A347,$A347)=1,1,0))</f>
        <v/>
      </c>
      <c r="V347">
        <f>IF($U347=1,SUMPRODUCT(--($X$2:$X$3001&lt;$X347))+1,"")</f>
        <v/>
      </c>
      <c r="W347">
        <f>IF($A347="","",IF(OR($T347=TRUE(),$T347="TRUE"),1,0))</f>
        <v/>
      </c>
      <c r="X347">
        <f>IF($U347=1,IFERROR(IF(VALUE($A347)&lt;100000000,VALUE($A347),1000000000),IFERROR(IF(VALUE(MID($A347,2,20))&lt;100000000,VALUE(MID($A347,2,20)),1000000000),1000000000))+ROW()/100000,"")</f>
        <v/>
      </c>
    </row>
    <row r="348">
      <c r="F348" s="7">
        <f>IF($A348="","",E348*N348/100)</f>
        <v/>
      </c>
      <c r="J348" s="7" t="n"/>
      <c r="K348" s="7">
        <f>IF($A348="","",S348*N348)</f>
        <v/>
      </c>
      <c r="L348" s="7">
        <f>IF($A348="","",N348-K348)</f>
        <v/>
      </c>
      <c r="M348" s="7">
        <f>IF($A348="","",L348-F348)</f>
        <v/>
      </c>
      <c r="N348" s="7" t="n"/>
      <c r="Q348" s="11" t="n"/>
      <c r="S348">
        <f>IF($A348="","",IF($W348=1,Settings!$C$6,Settings!$C$7)*1)</f>
        <v/>
      </c>
      <c r="U348">
        <f>IF($A348="","",IF(COUNTIF($A$2:$A348,$A348)=1,1,0))</f>
        <v/>
      </c>
      <c r="V348">
        <f>IF($U348=1,SUMPRODUCT(--($X$2:$X$3001&lt;$X348))+1,"")</f>
        <v/>
      </c>
      <c r="W348">
        <f>IF($A348="","",IF(OR($T348=TRUE(),$T348="TRUE"),1,0))</f>
        <v/>
      </c>
      <c r="X348">
        <f>IF($U348=1,IFERROR(IF(VALUE($A348)&lt;100000000,VALUE($A348),1000000000),IFERROR(IF(VALUE(MID($A348,2,20))&lt;100000000,VALUE(MID($A348,2,20)),1000000000),1000000000))+ROW()/100000,"")</f>
        <v/>
      </c>
    </row>
    <row r="349">
      <c r="F349" s="7">
        <f>IF($A349="","",E349*N349/100)</f>
        <v/>
      </c>
      <c r="J349" s="7" t="n"/>
      <c r="K349" s="7">
        <f>IF($A349="","",S349*N349)</f>
        <v/>
      </c>
      <c r="L349" s="7">
        <f>IF($A349="","",N349-K349)</f>
        <v/>
      </c>
      <c r="M349" s="7">
        <f>IF($A349="","",L349-F349)</f>
        <v/>
      </c>
      <c r="N349" s="7" t="n"/>
      <c r="Q349" s="11" t="n"/>
      <c r="S349">
        <f>IF($A349="","",IF($W349=1,Settings!$C$6,Settings!$C$7)*1)</f>
        <v/>
      </c>
      <c r="U349">
        <f>IF($A349="","",IF(COUNTIF($A$2:$A349,$A349)=1,1,0))</f>
        <v/>
      </c>
      <c r="V349">
        <f>IF($U349=1,SUMPRODUCT(--($X$2:$X$3001&lt;$X349))+1,"")</f>
        <v/>
      </c>
      <c r="W349">
        <f>IF($A349="","",IF(OR($T349=TRUE(),$T349="TRUE"),1,0))</f>
        <v/>
      </c>
      <c r="X349">
        <f>IF($U349=1,IFERROR(IF(VALUE($A349)&lt;100000000,VALUE($A349),1000000000),IFERROR(IF(VALUE(MID($A349,2,20))&lt;100000000,VALUE(MID($A349,2,20)),1000000000),1000000000))+ROW()/100000,"")</f>
        <v/>
      </c>
    </row>
    <row r="350">
      <c r="F350" s="7">
        <f>IF($A350="","",E350*N350/100)</f>
        <v/>
      </c>
      <c r="J350" s="7" t="n"/>
      <c r="K350" s="7">
        <f>IF($A350="","",S350*N350)</f>
        <v/>
      </c>
      <c r="L350" s="7">
        <f>IF($A350="","",N350-K350)</f>
        <v/>
      </c>
      <c r="M350" s="7">
        <f>IF($A350="","",L350-F350)</f>
        <v/>
      </c>
      <c r="N350" s="7" t="n"/>
      <c r="Q350" s="11" t="n"/>
      <c r="S350">
        <f>IF($A350="","",IF($W350=1,Settings!$C$6,Settings!$C$7)*1)</f>
        <v/>
      </c>
      <c r="U350">
        <f>IF($A350="","",IF(COUNTIF($A$2:$A350,$A350)=1,1,0))</f>
        <v/>
      </c>
      <c r="V350">
        <f>IF($U350=1,SUMPRODUCT(--($X$2:$X$3001&lt;$X350))+1,"")</f>
        <v/>
      </c>
      <c r="W350">
        <f>IF($A350="","",IF(OR($T350=TRUE(),$T350="TRUE"),1,0))</f>
        <v/>
      </c>
      <c r="X350">
        <f>IF($U350=1,IFERROR(IF(VALUE($A350)&lt;100000000,VALUE($A350),1000000000),IFERROR(IF(VALUE(MID($A350,2,20))&lt;100000000,VALUE(MID($A350,2,20)),1000000000),1000000000))+ROW()/100000,"")</f>
        <v/>
      </c>
    </row>
    <row r="351">
      <c r="F351" s="7">
        <f>IF($A351="","",E351*N351/100)</f>
        <v/>
      </c>
      <c r="J351" s="7" t="n"/>
      <c r="K351" s="7">
        <f>IF($A351="","",S351*N351)</f>
        <v/>
      </c>
      <c r="L351" s="7">
        <f>IF($A351="","",N351-K351)</f>
        <v/>
      </c>
      <c r="M351" s="7">
        <f>IF($A351="","",L351-F351)</f>
        <v/>
      </c>
      <c r="N351" s="7" t="n"/>
      <c r="Q351" s="11" t="n"/>
      <c r="S351">
        <f>IF($A351="","",IF($W351=1,Settings!$C$6,Settings!$C$7)*1)</f>
        <v/>
      </c>
      <c r="U351">
        <f>IF($A351="","",IF(COUNTIF($A$2:$A351,$A351)=1,1,0))</f>
        <v/>
      </c>
      <c r="V351">
        <f>IF($U351=1,SUMPRODUCT(--($X$2:$X$3001&lt;$X351))+1,"")</f>
        <v/>
      </c>
      <c r="W351">
        <f>IF($A351="","",IF(OR($T351=TRUE(),$T351="TRUE"),1,0))</f>
        <v/>
      </c>
      <c r="X351">
        <f>IF($U351=1,IFERROR(IF(VALUE($A351)&lt;100000000,VALUE($A351),1000000000),IFERROR(IF(VALUE(MID($A351,2,20))&lt;100000000,VALUE(MID($A351,2,20)),1000000000),1000000000))+ROW()/100000,"")</f>
        <v/>
      </c>
    </row>
    <row r="352">
      <c r="F352" s="7">
        <f>IF($A352="","",E352*N352/100)</f>
        <v/>
      </c>
      <c r="J352" s="7" t="n"/>
      <c r="K352" s="7">
        <f>IF($A352="","",S352*N352)</f>
        <v/>
      </c>
      <c r="L352" s="7">
        <f>IF($A352="","",N352-K352)</f>
        <v/>
      </c>
      <c r="M352" s="7">
        <f>IF($A352="","",L352-F352)</f>
        <v/>
      </c>
      <c r="N352" s="7" t="n"/>
      <c r="Q352" s="11" t="n"/>
      <c r="S352">
        <f>IF($A352="","",IF($W352=1,Settings!$C$6,Settings!$C$7)*1)</f>
        <v/>
      </c>
      <c r="U352">
        <f>IF($A352="","",IF(COUNTIF($A$2:$A352,$A352)=1,1,0))</f>
        <v/>
      </c>
      <c r="V352">
        <f>IF($U352=1,SUMPRODUCT(--($X$2:$X$3001&lt;$X352))+1,"")</f>
        <v/>
      </c>
      <c r="W352">
        <f>IF($A352="","",IF(OR($T352=TRUE(),$T352="TRUE"),1,0))</f>
        <v/>
      </c>
      <c r="X352">
        <f>IF($U352=1,IFERROR(IF(VALUE($A352)&lt;100000000,VALUE($A352),1000000000),IFERROR(IF(VALUE(MID($A352,2,20))&lt;100000000,VALUE(MID($A352,2,20)),1000000000),1000000000))+ROW()/100000,"")</f>
        <v/>
      </c>
    </row>
    <row r="353">
      <c r="F353" s="7">
        <f>IF($A353="","",E353*N353/100)</f>
        <v/>
      </c>
      <c r="J353" s="7" t="n"/>
      <c r="K353" s="7">
        <f>IF($A353="","",S353*N353)</f>
        <v/>
      </c>
      <c r="L353" s="7">
        <f>IF($A353="","",N353-K353)</f>
        <v/>
      </c>
      <c r="M353" s="7">
        <f>IF($A353="","",L353-F353)</f>
        <v/>
      </c>
      <c r="N353" s="7" t="n"/>
      <c r="Q353" s="11" t="n"/>
      <c r="S353">
        <f>IF($A353="","",IF($W353=1,Settings!$C$6,Settings!$C$7)*1)</f>
        <v/>
      </c>
      <c r="U353">
        <f>IF($A353="","",IF(COUNTIF($A$2:$A353,$A353)=1,1,0))</f>
        <v/>
      </c>
      <c r="V353">
        <f>IF($U353=1,SUMPRODUCT(--($X$2:$X$3001&lt;$X353))+1,"")</f>
        <v/>
      </c>
      <c r="W353">
        <f>IF($A353="","",IF(OR($T353=TRUE(),$T353="TRUE"),1,0))</f>
        <v/>
      </c>
      <c r="X353">
        <f>IF($U353=1,IFERROR(IF(VALUE($A353)&lt;100000000,VALUE($A353),1000000000),IFERROR(IF(VALUE(MID($A353,2,20))&lt;100000000,VALUE(MID($A353,2,20)),1000000000),1000000000))+ROW()/100000,"")</f>
        <v/>
      </c>
    </row>
    <row r="354">
      <c r="F354" s="7">
        <f>IF($A354="","",E354*N354/100)</f>
        <v/>
      </c>
      <c r="J354" s="7" t="n"/>
      <c r="K354" s="7">
        <f>IF($A354="","",S354*N354)</f>
        <v/>
      </c>
      <c r="L354" s="7">
        <f>IF($A354="","",N354-K354)</f>
        <v/>
      </c>
      <c r="M354" s="7">
        <f>IF($A354="","",L354-F354)</f>
        <v/>
      </c>
      <c r="N354" s="7" t="n"/>
      <c r="Q354" s="11" t="n"/>
      <c r="S354">
        <f>IF($A354="","",IF($W354=1,Settings!$C$6,Settings!$C$7)*1)</f>
        <v/>
      </c>
      <c r="U354">
        <f>IF($A354="","",IF(COUNTIF($A$2:$A354,$A354)=1,1,0))</f>
        <v/>
      </c>
      <c r="V354">
        <f>IF($U354=1,SUMPRODUCT(--($X$2:$X$3001&lt;$X354))+1,"")</f>
        <v/>
      </c>
      <c r="W354">
        <f>IF($A354="","",IF(OR($T354=TRUE(),$T354="TRUE"),1,0))</f>
        <v/>
      </c>
      <c r="X354">
        <f>IF($U354=1,IFERROR(IF(VALUE($A354)&lt;100000000,VALUE($A354),1000000000),IFERROR(IF(VALUE(MID($A354,2,20))&lt;100000000,VALUE(MID($A354,2,20)),1000000000),1000000000))+ROW()/100000,"")</f>
        <v/>
      </c>
    </row>
    <row r="355">
      <c r="F355" s="7">
        <f>IF($A355="","",E355*N355/100)</f>
        <v/>
      </c>
      <c r="J355" s="7" t="n"/>
      <c r="K355" s="7">
        <f>IF($A355="","",S355*N355)</f>
        <v/>
      </c>
      <c r="L355" s="7">
        <f>IF($A355="","",N355-K355)</f>
        <v/>
      </c>
      <c r="M355" s="7">
        <f>IF($A355="","",L355-F355)</f>
        <v/>
      </c>
      <c r="N355" s="7" t="n"/>
      <c r="Q355" s="11" t="n"/>
      <c r="S355">
        <f>IF($A355="","",IF($W355=1,Settings!$C$6,Settings!$C$7)*1)</f>
        <v/>
      </c>
      <c r="U355">
        <f>IF($A355="","",IF(COUNTIF($A$2:$A355,$A355)=1,1,0))</f>
        <v/>
      </c>
      <c r="V355">
        <f>IF($U355=1,SUMPRODUCT(--($X$2:$X$3001&lt;$X355))+1,"")</f>
        <v/>
      </c>
      <c r="W355">
        <f>IF($A355="","",IF(OR($T355=TRUE(),$T355="TRUE"),1,0))</f>
        <v/>
      </c>
      <c r="X355">
        <f>IF($U355=1,IFERROR(IF(VALUE($A355)&lt;100000000,VALUE($A355),1000000000),IFERROR(IF(VALUE(MID($A355,2,20))&lt;100000000,VALUE(MID($A355,2,20)),1000000000),1000000000))+ROW()/100000,"")</f>
        <v/>
      </c>
    </row>
    <row r="356">
      <c r="F356" s="7">
        <f>IF($A356="","",E356*N356/100)</f>
        <v/>
      </c>
      <c r="J356" s="7" t="n"/>
      <c r="K356" s="7">
        <f>IF($A356="","",S356*N356)</f>
        <v/>
      </c>
      <c r="L356" s="7">
        <f>IF($A356="","",N356-K356)</f>
        <v/>
      </c>
      <c r="M356" s="7">
        <f>IF($A356="","",L356-F356)</f>
        <v/>
      </c>
      <c r="N356" s="7" t="n"/>
      <c r="Q356" s="11" t="n"/>
      <c r="S356">
        <f>IF($A356="","",IF($W356=1,Settings!$C$6,Settings!$C$7)*1)</f>
        <v/>
      </c>
      <c r="U356">
        <f>IF($A356="","",IF(COUNTIF($A$2:$A356,$A356)=1,1,0))</f>
        <v/>
      </c>
      <c r="V356">
        <f>IF($U356=1,SUMPRODUCT(--($X$2:$X$3001&lt;$X356))+1,"")</f>
        <v/>
      </c>
      <c r="W356">
        <f>IF($A356="","",IF(OR($T356=TRUE(),$T356="TRUE"),1,0))</f>
        <v/>
      </c>
      <c r="X356">
        <f>IF($U356=1,IFERROR(IF(VALUE($A356)&lt;100000000,VALUE($A356),1000000000),IFERROR(IF(VALUE(MID($A356,2,20))&lt;100000000,VALUE(MID($A356,2,20)),1000000000),1000000000))+ROW()/100000,"")</f>
        <v/>
      </c>
    </row>
    <row r="357">
      <c r="F357" s="7">
        <f>IF($A357="","",E357*N357/100)</f>
        <v/>
      </c>
      <c r="J357" s="7" t="n"/>
      <c r="K357" s="7">
        <f>IF($A357="","",S357*N357)</f>
        <v/>
      </c>
      <c r="L357" s="7">
        <f>IF($A357="","",N357-K357)</f>
        <v/>
      </c>
      <c r="M357" s="7">
        <f>IF($A357="","",L357-F357)</f>
        <v/>
      </c>
      <c r="N357" s="7" t="n"/>
      <c r="Q357" s="11" t="n"/>
      <c r="S357">
        <f>IF($A357="","",IF($W357=1,Settings!$C$6,Settings!$C$7)*1)</f>
        <v/>
      </c>
      <c r="U357">
        <f>IF($A357="","",IF(COUNTIF($A$2:$A357,$A357)=1,1,0))</f>
        <v/>
      </c>
      <c r="V357">
        <f>IF($U357=1,SUMPRODUCT(--($X$2:$X$3001&lt;$X357))+1,"")</f>
        <v/>
      </c>
      <c r="W357">
        <f>IF($A357="","",IF(OR($T357=TRUE(),$T357="TRUE"),1,0))</f>
        <v/>
      </c>
      <c r="X357">
        <f>IF($U357=1,IFERROR(IF(VALUE($A357)&lt;100000000,VALUE($A357),1000000000),IFERROR(IF(VALUE(MID($A357,2,20))&lt;100000000,VALUE(MID($A357,2,20)),1000000000),1000000000))+ROW()/100000,"")</f>
        <v/>
      </c>
    </row>
    <row r="358">
      <c r="F358" s="7">
        <f>IF($A358="","",E358*N358/100)</f>
        <v/>
      </c>
      <c r="J358" s="7" t="n"/>
      <c r="K358" s="7">
        <f>IF($A358="","",S358*N358)</f>
        <v/>
      </c>
      <c r="L358" s="7">
        <f>IF($A358="","",N358-K358)</f>
        <v/>
      </c>
      <c r="M358" s="7">
        <f>IF($A358="","",L358-F358)</f>
        <v/>
      </c>
      <c r="N358" s="7" t="n"/>
      <c r="Q358" s="11" t="n"/>
      <c r="S358">
        <f>IF($A358="","",IF($W358=1,Settings!$C$6,Settings!$C$7)*1)</f>
        <v/>
      </c>
      <c r="U358">
        <f>IF($A358="","",IF(COUNTIF($A$2:$A358,$A358)=1,1,0))</f>
        <v/>
      </c>
      <c r="V358">
        <f>IF($U358=1,SUMPRODUCT(--($X$2:$X$3001&lt;$X358))+1,"")</f>
        <v/>
      </c>
      <c r="W358">
        <f>IF($A358="","",IF(OR($T358=TRUE(),$T358="TRUE"),1,0))</f>
        <v/>
      </c>
      <c r="X358">
        <f>IF($U358=1,IFERROR(IF(VALUE($A358)&lt;100000000,VALUE($A358),1000000000),IFERROR(IF(VALUE(MID($A358,2,20))&lt;100000000,VALUE(MID($A358,2,20)),1000000000),1000000000))+ROW()/100000,"")</f>
        <v/>
      </c>
    </row>
    <row r="359">
      <c r="F359" s="7">
        <f>IF($A359="","",E359*N359/100)</f>
        <v/>
      </c>
      <c r="J359" s="7" t="n"/>
      <c r="K359" s="7">
        <f>IF($A359="","",S359*N359)</f>
        <v/>
      </c>
      <c r="L359" s="7">
        <f>IF($A359="","",N359-K359)</f>
        <v/>
      </c>
      <c r="M359" s="7">
        <f>IF($A359="","",L359-F359)</f>
        <v/>
      </c>
      <c r="N359" s="7" t="n"/>
      <c r="Q359" s="11" t="n"/>
      <c r="S359">
        <f>IF($A359="","",IF($W359=1,Settings!$C$6,Settings!$C$7)*1)</f>
        <v/>
      </c>
      <c r="U359">
        <f>IF($A359="","",IF(COUNTIF($A$2:$A359,$A359)=1,1,0))</f>
        <v/>
      </c>
      <c r="V359">
        <f>IF($U359=1,SUMPRODUCT(--($X$2:$X$3001&lt;$X359))+1,"")</f>
        <v/>
      </c>
      <c r="W359">
        <f>IF($A359="","",IF(OR($T359=TRUE(),$T359="TRUE"),1,0))</f>
        <v/>
      </c>
      <c r="X359">
        <f>IF($U359=1,IFERROR(IF(VALUE($A359)&lt;100000000,VALUE($A359),1000000000),IFERROR(IF(VALUE(MID($A359,2,20))&lt;100000000,VALUE(MID($A359,2,20)),1000000000),1000000000))+ROW()/100000,"")</f>
        <v/>
      </c>
    </row>
    <row r="360">
      <c r="F360" s="7">
        <f>IF($A360="","",E360*N360/100)</f>
        <v/>
      </c>
      <c r="J360" s="7" t="n"/>
      <c r="K360" s="7">
        <f>IF($A360="","",S360*N360)</f>
        <v/>
      </c>
      <c r="L360" s="7">
        <f>IF($A360="","",N360-K360)</f>
        <v/>
      </c>
      <c r="M360" s="7">
        <f>IF($A360="","",L360-F360)</f>
        <v/>
      </c>
      <c r="N360" s="7" t="n"/>
      <c r="Q360" s="11" t="n"/>
      <c r="S360">
        <f>IF($A360="","",IF($W360=1,Settings!$C$6,Settings!$C$7)*1)</f>
        <v/>
      </c>
      <c r="U360">
        <f>IF($A360="","",IF(COUNTIF($A$2:$A360,$A360)=1,1,0))</f>
        <v/>
      </c>
      <c r="V360">
        <f>IF($U360=1,SUMPRODUCT(--($X$2:$X$3001&lt;$X360))+1,"")</f>
        <v/>
      </c>
      <c r="W360">
        <f>IF($A360="","",IF(OR($T360=TRUE(),$T360="TRUE"),1,0))</f>
        <v/>
      </c>
      <c r="X360">
        <f>IF($U360=1,IFERROR(IF(VALUE($A360)&lt;100000000,VALUE($A360),1000000000),IFERROR(IF(VALUE(MID($A360,2,20))&lt;100000000,VALUE(MID($A360,2,20)),1000000000),1000000000))+ROW()/100000,"")</f>
        <v/>
      </c>
    </row>
    <row r="361">
      <c r="F361" s="7">
        <f>IF($A361="","",E361*N361/100)</f>
        <v/>
      </c>
      <c r="J361" s="7" t="n"/>
      <c r="K361" s="7">
        <f>IF($A361="","",S361*N361)</f>
        <v/>
      </c>
      <c r="L361" s="7">
        <f>IF($A361="","",N361-K361)</f>
        <v/>
      </c>
      <c r="M361" s="7">
        <f>IF($A361="","",L361-F361)</f>
        <v/>
      </c>
      <c r="N361" s="7" t="n"/>
      <c r="Q361" s="11" t="n"/>
      <c r="S361">
        <f>IF($A361="","",IF($W361=1,Settings!$C$6,Settings!$C$7)*1)</f>
        <v/>
      </c>
      <c r="U361">
        <f>IF($A361="","",IF(COUNTIF($A$2:$A361,$A361)=1,1,0))</f>
        <v/>
      </c>
      <c r="V361">
        <f>IF($U361=1,SUMPRODUCT(--($X$2:$X$3001&lt;$X361))+1,"")</f>
        <v/>
      </c>
      <c r="W361">
        <f>IF($A361="","",IF(OR($T361=TRUE(),$T361="TRUE"),1,0))</f>
        <v/>
      </c>
      <c r="X361">
        <f>IF($U361=1,IFERROR(IF(VALUE($A361)&lt;100000000,VALUE($A361),1000000000),IFERROR(IF(VALUE(MID($A361,2,20))&lt;100000000,VALUE(MID($A361,2,20)),1000000000),1000000000))+ROW()/100000,"")</f>
        <v/>
      </c>
    </row>
    <row r="362">
      <c r="F362" s="7">
        <f>IF($A362="","",E362*N362/100)</f>
        <v/>
      </c>
      <c r="J362" s="7" t="n"/>
      <c r="K362" s="7">
        <f>IF($A362="","",S362*N362)</f>
        <v/>
      </c>
      <c r="L362" s="7">
        <f>IF($A362="","",N362-K362)</f>
        <v/>
      </c>
      <c r="M362" s="7">
        <f>IF($A362="","",L362-F362)</f>
        <v/>
      </c>
      <c r="N362" s="7" t="n"/>
      <c r="Q362" s="11" t="n"/>
      <c r="S362">
        <f>IF($A362="","",IF($W362=1,Settings!$C$6,Settings!$C$7)*1)</f>
        <v/>
      </c>
      <c r="U362">
        <f>IF($A362="","",IF(COUNTIF($A$2:$A362,$A362)=1,1,0))</f>
        <v/>
      </c>
      <c r="V362">
        <f>IF($U362=1,SUMPRODUCT(--($X$2:$X$3001&lt;$X362))+1,"")</f>
        <v/>
      </c>
      <c r="W362">
        <f>IF($A362="","",IF(OR($T362=TRUE(),$T362="TRUE"),1,0))</f>
        <v/>
      </c>
      <c r="X362">
        <f>IF($U362=1,IFERROR(IF(VALUE($A362)&lt;100000000,VALUE($A362),1000000000),IFERROR(IF(VALUE(MID($A362,2,20))&lt;100000000,VALUE(MID($A362,2,20)),1000000000),1000000000))+ROW()/100000,"")</f>
        <v/>
      </c>
    </row>
    <row r="363">
      <c r="F363" s="7">
        <f>IF($A363="","",E363*N363/100)</f>
        <v/>
      </c>
      <c r="J363" s="7" t="n"/>
      <c r="K363" s="7">
        <f>IF($A363="","",S363*N363)</f>
        <v/>
      </c>
      <c r="L363" s="7">
        <f>IF($A363="","",N363-K363)</f>
        <v/>
      </c>
      <c r="M363" s="7">
        <f>IF($A363="","",L363-F363)</f>
        <v/>
      </c>
      <c r="N363" s="7" t="n"/>
      <c r="Q363" s="11" t="n"/>
      <c r="S363">
        <f>IF($A363="","",IF($W363=1,Settings!$C$6,Settings!$C$7)*1)</f>
        <v/>
      </c>
      <c r="U363">
        <f>IF($A363="","",IF(COUNTIF($A$2:$A363,$A363)=1,1,0))</f>
        <v/>
      </c>
      <c r="V363">
        <f>IF($U363=1,SUMPRODUCT(--($X$2:$X$3001&lt;$X363))+1,"")</f>
        <v/>
      </c>
      <c r="W363">
        <f>IF($A363="","",IF(OR($T363=TRUE(),$T363="TRUE"),1,0))</f>
        <v/>
      </c>
      <c r="X363">
        <f>IF($U363=1,IFERROR(IF(VALUE($A363)&lt;100000000,VALUE($A363),1000000000),IFERROR(IF(VALUE(MID($A363,2,20))&lt;100000000,VALUE(MID($A363,2,20)),1000000000),1000000000))+ROW()/100000,"")</f>
        <v/>
      </c>
    </row>
    <row r="364">
      <c r="F364" s="7">
        <f>IF($A364="","",E364*N364/100)</f>
        <v/>
      </c>
      <c r="J364" s="7" t="n"/>
      <c r="K364" s="7">
        <f>IF($A364="","",S364*N364)</f>
        <v/>
      </c>
      <c r="L364" s="7">
        <f>IF($A364="","",N364-K364)</f>
        <v/>
      </c>
      <c r="M364" s="7">
        <f>IF($A364="","",L364-F364)</f>
        <v/>
      </c>
      <c r="N364" s="7" t="n"/>
      <c r="Q364" s="11" t="n"/>
      <c r="S364">
        <f>IF($A364="","",IF($W364=1,Settings!$C$6,Settings!$C$7)*1)</f>
        <v/>
      </c>
      <c r="U364">
        <f>IF($A364="","",IF(COUNTIF($A$2:$A364,$A364)=1,1,0))</f>
        <v/>
      </c>
      <c r="V364">
        <f>IF($U364=1,SUMPRODUCT(--($X$2:$X$3001&lt;$X364))+1,"")</f>
        <v/>
      </c>
      <c r="W364">
        <f>IF($A364="","",IF(OR($T364=TRUE(),$T364="TRUE"),1,0))</f>
        <v/>
      </c>
      <c r="X364">
        <f>IF($U364=1,IFERROR(IF(VALUE($A364)&lt;100000000,VALUE($A364),1000000000),IFERROR(IF(VALUE(MID($A364,2,20))&lt;100000000,VALUE(MID($A364,2,20)),1000000000),1000000000))+ROW()/100000,"")</f>
        <v/>
      </c>
    </row>
    <row r="365">
      <c r="F365" s="7">
        <f>IF($A365="","",E365*N365/100)</f>
        <v/>
      </c>
      <c r="J365" s="7" t="n"/>
      <c r="K365" s="7">
        <f>IF($A365="","",S365*N365)</f>
        <v/>
      </c>
      <c r="L365" s="7">
        <f>IF($A365="","",N365-K365)</f>
        <v/>
      </c>
      <c r="M365" s="7">
        <f>IF($A365="","",L365-F365)</f>
        <v/>
      </c>
      <c r="N365" s="7" t="n"/>
      <c r="Q365" s="11" t="n"/>
      <c r="S365">
        <f>IF($A365="","",IF($W365=1,Settings!$C$6,Settings!$C$7)*1)</f>
        <v/>
      </c>
      <c r="U365">
        <f>IF($A365="","",IF(COUNTIF($A$2:$A365,$A365)=1,1,0))</f>
        <v/>
      </c>
      <c r="V365">
        <f>IF($U365=1,SUMPRODUCT(--($X$2:$X$3001&lt;$X365))+1,"")</f>
        <v/>
      </c>
      <c r="W365">
        <f>IF($A365="","",IF(OR($T365=TRUE(),$T365="TRUE"),1,0))</f>
        <v/>
      </c>
      <c r="X365">
        <f>IF($U365=1,IFERROR(IF(VALUE($A365)&lt;100000000,VALUE($A365),1000000000),IFERROR(IF(VALUE(MID($A365,2,20))&lt;100000000,VALUE(MID($A365,2,20)),1000000000),1000000000))+ROW()/100000,"")</f>
        <v/>
      </c>
    </row>
    <row r="366">
      <c r="F366" s="7">
        <f>IF($A366="","",E366*N366/100)</f>
        <v/>
      </c>
      <c r="J366" s="7" t="n"/>
      <c r="K366" s="7">
        <f>IF($A366="","",S366*N366)</f>
        <v/>
      </c>
      <c r="L366" s="7">
        <f>IF($A366="","",N366-K366)</f>
        <v/>
      </c>
      <c r="M366" s="7">
        <f>IF($A366="","",L366-F366)</f>
        <v/>
      </c>
      <c r="N366" s="7" t="n"/>
      <c r="Q366" s="11" t="n"/>
      <c r="S366">
        <f>IF($A366="","",IF($W366=1,Settings!$C$6,Settings!$C$7)*1)</f>
        <v/>
      </c>
      <c r="U366">
        <f>IF($A366="","",IF(COUNTIF($A$2:$A366,$A366)=1,1,0))</f>
        <v/>
      </c>
      <c r="V366">
        <f>IF($U366=1,SUMPRODUCT(--($X$2:$X$3001&lt;$X366))+1,"")</f>
        <v/>
      </c>
      <c r="W366">
        <f>IF($A366="","",IF(OR($T366=TRUE(),$T366="TRUE"),1,0))</f>
        <v/>
      </c>
      <c r="X366">
        <f>IF($U366=1,IFERROR(IF(VALUE($A366)&lt;100000000,VALUE($A366),1000000000),IFERROR(IF(VALUE(MID($A366,2,20))&lt;100000000,VALUE(MID($A366,2,20)),1000000000),1000000000))+ROW()/100000,"")</f>
        <v/>
      </c>
    </row>
    <row r="367">
      <c r="F367" s="7">
        <f>IF($A367="","",E367*N367/100)</f>
        <v/>
      </c>
      <c r="J367" s="7" t="n"/>
      <c r="K367" s="7">
        <f>IF($A367="","",S367*N367)</f>
        <v/>
      </c>
      <c r="L367" s="7">
        <f>IF($A367="","",N367-K367)</f>
        <v/>
      </c>
      <c r="M367" s="7">
        <f>IF($A367="","",L367-F367)</f>
        <v/>
      </c>
      <c r="N367" s="7" t="n"/>
      <c r="Q367" s="11" t="n"/>
      <c r="S367">
        <f>IF($A367="","",IF($W367=1,Settings!$C$6,Settings!$C$7)*1)</f>
        <v/>
      </c>
      <c r="U367">
        <f>IF($A367="","",IF(COUNTIF($A$2:$A367,$A367)=1,1,0))</f>
        <v/>
      </c>
      <c r="V367">
        <f>IF($U367=1,SUMPRODUCT(--($X$2:$X$3001&lt;$X367))+1,"")</f>
        <v/>
      </c>
      <c r="W367">
        <f>IF($A367="","",IF(OR($T367=TRUE(),$T367="TRUE"),1,0))</f>
        <v/>
      </c>
      <c r="X367">
        <f>IF($U367=1,IFERROR(IF(VALUE($A367)&lt;100000000,VALUE($A367),1000000000),IFERROR(IF(VALUE(MID($A367,2,20))&lt;100000000,VALUE(MID($A367,2,20)),1000000000),1000000000))+ROW()/100000,"")</f>
        <v/>
      </c>
    </row>
    <row r="368">
      <c r="F368" s="7">
        <f>IF($A368="","",E368*N368/100)</f>
        <v/>
      </c>
      <c r="J368" s="7" t="n"/>
      <c r="K368" s="7">
        <f>IF($A368="","",S368*N368)</f>
        <v/>
      </c>
      <c r="L368" s="7">
        <f>IF($A368="","",N368-K368)</f>
        <v/>
      </c>
      <c r="M368" s="7">
        <f>IF($A368="","",L368-F368)</f>
        <v/>
      </c>
      <c r="N368" s="7" t="n"/>
      <c r="Q368" s="11" t="n"/>
      <c r="S368">
        <f>IF($A368="","",IF($W368=1,Settings!$C$6,Settings!$C$7)*1)</f>
        <v/>
      </c>
      <c r="U368">
        <f>IF($A368="","",IF(COUNTIF($A$2:$A368,$A368)=1,1,0))</f>
        <v/>
      </c>
      <c r="V368">
        <f>IF($U368=1,SUMPRODUCT(--($X$2:$X$3001&lt;$X368))+1,"")</f>
        <v/>
      </c>
      <c r="W368">
        <f>IF($A368="","",IF(OR($T368=TRUE(),$T368="TRUE"),1,0))</f>
        <v/>
      </c>
      <c r="X368">
        <f>IF($U368=1,IFERROR(IF(VALUE($A368)&lt;100000000,VALUE($A368),1000000000),IFERROR(IF(VALUE(MID($A368,2,20))&lt;100000000,VALUE(MID($A368,2,20)),1000000000),1000000000))+ROW()/100000,"")</f>
        <v/>
      </c>
    </row>
    <row r="369">
      <c r="F369" s="7">
        <f>IF($A369="","",E369*N369/100)</f>
        <v/>
      </c>
      <c r="J369" s="7" t="n"/>
      <c r="K369" s="7">
        <f>IF($A369="","",S369*N369)</f>
        <v/>
      </c>
      <c r="L369" s="7">
        <f>IF($A369="","",N369-K369)</f>
        <v/>
      </c>
      <c r="M369" s="7">
        <f>IF($A369="","",L369-F369)</f>
        <v/>
      </c>
      <c r="N369" s="7" t="n"/>
      <c r="Q369" s="11" t="n"/>
      <c r="S369">
        <f>IF($A369="","",IF($W369=1,Settings!$C$6,Settings!$C$7)*1)</f>
        <v/>
      </c>
      <c r="U369">
        <f>IF($A369="","",IF(COUNTIF($A$2:$A369,$A369)=1,1,0))</f>
        <v/>
      </c>
      <c r="V369">
        <f>IF($U369=1,SUMPRODUCT(--($X$2:$X$3001&lt;$X369))+1,"")</f>
        <v/>
      </c>
      <c r="W369">
        <f>IF($A369="","",IF(OR($T369=TRUE(),$T369="TRUE"),1,0))</f>
        <v/>
      </c>
      <c r="X369">
        <f>IF($U369=1,IFERROR(IF(VALUE($A369)&lt;100000000,VALUE($A369),1000000000),IFERROR(IF(VALUE(MID($A369,2,20))&lt;100000000,VALUE(MID($A369,2,20)),1000000000),1000000000))+ROW()/100000,"")</f>
        <v/>
      </c>
    </row>
    <row r="370">
      <c r="F370" s="7">
        <f>IF($A370="","",E370*N370/100)</f>
        <v/>
      </c>
      <c r="J370" s="7" t="n"/>
      <c r="K370" s="7">
        <f>IF($A370="","",S370*N370)</f>
        <v/>
      </c>
      <c r="L370" s="7">
        <f>IF($A370="","",N370-K370)</f>
        <v/>
      </c>
      <c r="M370" s="7">
        <f>IF($A370="","",L370-F370)</f>
        <v/>
      </c>
      <c r="N370" s="7" t="n"/>
      <c r="Q370" s="11" t="n"/>
      <c r="S370">
        <f>IF($A370="","",IF($W370=1,Settings!$C$6,Settings!$C$7)*1)</f>
        <v/>
      </c>
      <c r="U370">
        <f>IF($A370="","",IF(COUNTIF($A$2:$A370,$A370)=1,1,0))</f>
        <v/>
      </c>
      <c r="V370">
        <f>IF($U370=1,SUMPRODUCT(--($X$2:$X$3001&lt;$X370))+1,"")</f>
        <v/>
      </c>
      <c r="W370">
        <f>IF($A370="","",IF(OR($T370=TRUE(),$T370="TRUE"),1,0))</f>
        <v/>
      </c>
      <c r="X370">
        <f>IF($U370=1,IFERROR(IF(VALUE($A370)&lt;100000000,VALUE($A370),1000000000),IFERROR(IF(VALUE(MID($A370,2,20))&lt;100000000,VALUE(MID($A370,2,20)),1000000000),1000000000))+ROW()/100000,"")</f>
        <v/>
      </c>
    </row>
    <row r="371">
      <c r="F371" s="7">
        <f>IF($A371="","",E371*N371/100)</f>
        <v/>
      </c>
      <c r="J371" s="7" t="n"/>
      <c r="K371" s="7">
        <f>IF($A371="","",S371*N371)</f>
        <v/>
      </c>
      <c r="L371" s="7">
        <f>IF($A371="","",N371-K371)</f>
        <v/>
      </c>
      <c r="M371" s="7">
        <f>IF($A371="","",L371-F371)</f>
        <v/>
      </c>
      <c r="N371" s="7" t="n"/>
      <c r="Q371" s="11" t="n"/>
      <c r="S371">
        <f>IF($A371="","",IF($W371=1,Settings!$C$6,Settings!$C$7)*1)</f>
        <v/>
      </c>
      <c r="U371">
        <f>IF($A371="","",IF(COUNTIF($A$2:$A371,$A371)=1,1,0))</f>
        <v/>
      </c>
      <c r="V371">
        <f>IF($U371=1,SUMPRODUCT(--($X$2:$X$3001&lt;$X371))+1,"")</f>
        <v/>
      </c>
      <c r="W371">
        <f>IF($A371="","",IF(OR($T371=TRUE(),$T371="TRUE"),1,0))</f>
        <v/>
      </c>
      <c r="X371">
        <f>IF($U371=1,IFERROR(IF(VALUE($A371)&lt;100000000,VALUE($A371),1000000000),IFERROR(IF(VALUE(MID($A371,2,20))&lt;100000000,VALUE(MID($A371,2,20)),1000000000),1000000000))+ROW()/100000,"")</f>
        <v/>
      </c>
    </row>
    <row r="372">
      <c r="F372" s="7">
        <f>IF($A372="","",E372*N372/100)</f>
        <v/>
      </c>
      <c r="J372" s="7" t="n"/>
      <c r="K372" s="7">
        <f>IF($A372="","",S372*N372)</f>
        <v/>
      </c>
      <c r="L372" s="7">
        <f>IF($A372="","",N372-K372)</f>
        <v/>
      </c>
      <c r="M372" s="7">
        <f>IF($A372="","",L372-F372)</f>
        <v/>
      </c>
      <c r="N372" s="7" t="n"/>
      <c r="Q372" s="11" t="n"/>
      <c r="S372">
        <f>IF($A372="","",IF($W372=1,Settings!$C$6,Settings!$C$7)*1)</f>
        <v/>
      </c>
      <c r="U372">
        <f>IF($A372="","",IF(COUNTIF($A$2:$A372,$A372)=1,1,0))</f>
        <v/>
      </c>
      <c r="V372">
        <f>IF($U372=1,SUMPRODUCT(--($X$2:$X$3001&lt;$X372))+1,"")</f>
        <v/>
      </c>
      <c r="W372">
        <f>IF($A372="","",IF(OR($T372=TRUE(),$T372="TRUE"),1,0))</f>
        <v/>
      </c>
      <c r="X372">
        <f>IF($U372=1,IFERROR(IF(VALUE($A372)&lt;100000000,VALUE($A372),1000000000),IFERROR(IF(VALUE(MID($A372,2,20))&lt;100000000,VALUE(MID($A372,2,20)),1000000000),1000000000))+ROW()/100000,"")</f>
        <v/>
      </c>
    </row>
    <row r="373">
      <c r="F373" s="7">
        <f>IF($A373="","",E373*N373/100)</f>
        <v/>
      </c>
      <c r="J373" s="7" t="n"/>
      <c r="K373" s="7">
        <f>IF($A373="","",S373*N373)</f>
        <v/>
      </c>
      <c r="L373" s="7">
        <f>IF($A373="","",N373-K373)</f>
        <v/>
      </c>
      <c r="M373" s="7">
        <f>IF($A373="","",L373-F373)</f>
        <v/>
      </c>
      <c r="N373" s="7" t="n"/>
      <c r="Q373" s="11" t="n"/>
      <c r="S373">
        <f>IF($A373="","",IF($W373=1,Settings!$C$6,Settings!$C$7)*1)</f>
        <v/>
      </c>
      <c r="U373">
        <f>IF($A373="","",IF(COUNTIF($A$2:$A373,$A373)=1,1,0))</f>
        <v/>
      </c>
      <c r="V373">
        <f>IF($U373=1,SUMPRODUCT(--($X$2:$X$3001&lt;$X373))+1,"")</f>
        <v/>
      </c>
      <c r="W373">
        <f>IF($A373="","",IF(OR($T373=TRUE(),$T373="TRUE"),1,0))</f>
        <v/>
      </c>
      <c r="X373">
        <f>IF($U373=1,IFERROR(IF(VALUE($A373)&lt;100000000,VALUE($A373),1000000000),IFERROR(IF(VALUE(MID($A373,2,20))&lt;100000000,VALUE(MID($A373,2,20)),1000000000),1000000000))+ROW()/100000,"")</f>
        <v/>
      </c>
    </row>
    <row r="374">
      <c r="F374" s="7">
        <f>IF($A374="","",E374*N374/100)</f>
        <v/>
      </c>
      <c r="J374" s="7" t="n"/>
      <c r="K374" s="7">
        <f>IF($A374="","",S374*N374)</f>
        <v/>
      </c>
      <c r="L374" s="7">
        <f>IF($A374="","",N374-K374)</f>
        <v/>
      </c>
      <c r="M374" s="7">
        <f>IF($A374="","",L374-F374)</f>
        <v/>
      </c>
      <c r="N374" s="7" t="n"/>
      <c r="Q374" s="11" t="n"/>
      <c r="S374">
        <f>IF($A374="","",IF($W374=1,Settings!$C$6,Settings!$C$7)*1)</f>
        <v/>
      </c>
      <c r="U374">
        <f>IF($A374="","",IF(COUNTIF($A$2:$A374,$A374)=1,1,0))</f>
        <v/>
      </c>
      <c r="V374">
        <f>IF($U374=1,SUMPRODUCT(--($X$2:$X$3001&lt;$X374))+1,"")</f>
        <v/>
      </c>
      <c r="W374">
        <f>IF($A374="","",IF(OR($T374=TRUE(),$T374="TRUE"),1,0))</f>
        <v/>
      </c>
      <c r="X374">
        <f>IF($U374=1,IFERROR(IF(VALUE($A374)&lt;100000000,VALUE($A374),1000000000),IFERROR(IF(VALUE(MID($A374,2,20))&lt;100000000,VALUE(MID($A374,2,20)),1000000000),1000000000))+ROW()/100000,"")</f>
        <v/>
      </c>
    </row>
    <row r="375">
      <c r="F375" s="7">
        <f>IF($A375="","",E375*N375/100)</f>
        <v/>
      </c>
      <c r="J375" s="7" t="n"/>
      <c r="K375" s="7">
        <f>IF($A375="","",S375*N375)</f>
        <v/>
      </c>
      <c r="L375" s="7">
        <f>IF($A375="","",N375-K375)</f>
        <v/>
      </c>
      <c r="M375" s="7">
        <f>IF($A375="","",L375-F375)</f>
        <v/>
      </c>
      <c r="N375" s="7" t="n"/>
      <c r="Q375" s="11" t="n"/>
      <c r="S375">
        <f>IF($A375="","",IF($W375=1,Settings!$C$6,Settings!$C$7)*1)</f>
        <v/>
      </c>
      <c r="U375">
        <f>IF($A375="","",IF(COUNTIF($A$2:$A375,$A375)=1,1,0))</f>
        <v/>
      </c>
      <c r="V375">
        <f>IF($U375=1,SUMPRODUCT(--($X$2:$X$3001&lt;$X375))+1,"")</f>
        <v/>
      </c>
      <c r="W375">
        <f>IF($A375="","",IF(OR($T375=TRUE(),$T375="TRUE"),1,0))</f>
        <v/>
      </c>
      <c r="X375">
        <f>IF($U375=1,IFERROR(IF(VALUE($A375)&lt;100000000,VALUE($A375),1000000000),IFERROR(IF(VALUE(MID($A375,2,20))&lt;100000000,VALUE(MID($A375,2,20)),1000000000),1000000000))+ROW()/100000,"")</f>
        <v/>
      </c>
    </row>
    <row r="376">
      <c r="F376" s="7">
        <f>IF($A376="","",E376*N376/100)</f>
        <v/>
      </c>
      <c r="J376" s="7" t="n"/>
      <c r="K376" s="7">
        <f>IF($A376="","",S376*N376)</f>
        <v/>
      </c>
      <c r="L376" s="7">
        <f>IF($A376="","",N376-K376)</f>
        <v/>
      </c>
      <c r="M376" s="7">
        <f>IF($A376="","",L376-F376)</f>
        <v/>
      </c>
      <c r="N376" s="7" t="n"/>
      <c r="Q376" s="11" t="n"/>
      <c r="S376">
        <f>IF($A376="","",IF($W376=1,Settings!$C$6,Settings!$C$7)*1)</f>
        <v/>
      </c>
      <c r="U376">
        <f>IF($A376="","",IF(COUNTIF($A$2:$A376,$A376)=1,1,0))</f>
        <v/>
      </c>
      <c r="V376">
        <f>IF($U376=1,SUMPRODUCT(--($X$2:$X$3001&lt;$X376))+1,"")</f>
        <v/>
      </c>
      <c r="W376">
        <f>IF($A376="","",IF(OR($T376=TRUE(),$T376="TRUE"),1,0))</f>
        <v/>
      </c>
      <c r="X376">
        <f>IF($U376=1,IFERROR(IF(VALUE($A376)&lt;100000000,VALUE($A376),1000000000),IFERROR(IF(VALUE(MID($A376,2,20))&lt;100000000,VALUE(MID($A376,2,20)),1000000000),1000000000))+ROW()/100000,"")</f>
        <v/>
      </c>
    </row>
    <row r="377">
      <c r="F377" s="7">
        <f>IF($A377="","",E377*N377/100)</f>
        <v/>
      </c>
      <c r="J377" s="7" t="n"/>
      <c r="K377" s="7">
        <f>IF($A377="","",S377*N377)</f>
        <v/>
      </c>
      <c r="L377" s="7">
        <f>IF($A377="","",N377-K377)</f>
        <v/>
      </c>
      <c r="M377" s="7">
        <f>IF($A377="","",L377-F377)</f>
        <v/>
      </c>
      <c r="N377" s="7" t="n"/>
      <c r="Q377" s="11" t="n"/>
      <c r="S377">
        <f>IF($A377="","",IF($W377=1,Settings!$C$6,Settings!$C$7)*1)</f>
        <v/>
      </c>
      <c r="U377">
        <f>IF($A377="","",IF(COUNTIF($A$2:$A377,$A377)=1,1,0))</f>
        <v/>
      </c>
      <c r="V377">
        <f>IF($U377=1,SUMPRODUCT(--($X$2:$X$3001&lt;$X377))+1,"")</f>
        <v/>
      </c>
      <c r="W377">
        <f>IF($A377="","",IF(OR($T377=TRUE(),$T377="TRUE"),1,0))</f>
        <v/>
      </c>
      <c r="X377">
        <f>IF($U377=1,IFERROR(IF(VALUE($A377)&lt;100000000,VALUE($A377),1000000000),IFERROR(IF(VALUE(MID($A377,2,20))&lt;100000000,VALUE(MID($A377,2,20)),1000000000),1000000000))+ROW()/100000,"")</f>
        <v/>
      </c>
    </row>
    <row r="378">
      <c r="F378" s="7">
        <f>IF($A378="","",E378*N378/100)</f>
        <v/>
      </c>
      <c r="J378" s="7" t="n"/>
      <c r="K378" s="7">
        <f>IF($A378="","",S378*N378)</f>
        <v/>
      </c>
      <c r="L378" s="7">
        <f>IF($A378="","",N378-K378)</f>
        <v/>
      </c>
      <c r="M378" s="7">
        <f>IF($A378="","",L378-F378)</f>
        <v/>
      </c>
      <c r="N378" s="7" t="n"/>
      <c r="Q378" s="11" t="n"/>
      <c r="S378">
        <f>IF($A378="","",IF($W378=1,Settings!$C$6,Settings!$C$7)*1)</f>
        <v/>
      </c>
      <c r="U378">
        <f>IF($A378="","",IF(COUNTIF($A$2:$A378,$A378)=1,1,0))</f>
        <v/>
      </c>
      <c r="V378">
        <f>IF($U378=1,SUMPRODUCT(--($X$2:$X$3001&lt;$X378))+1,"")</f>
        <v/>
      </c>
      <c r="W378">
        <f>IF($A378="","",IF(OR($T378=TRUE(),$T378="TRUE"),1,0))</f>
        <v/>
      </c>
      <c r="X378">
        <f>IF($U378=1,IFERROR(IF(VALUE($A378)&lt;100000000,VALUE($A378),1000000000),IFERROR(IF(VALUE(MID($A378,2,20))&lt;100000000,VALUE(MID($A378,2,20)),1000000000),1000000000))+ROW()/100000,"")</f>
        <v/>
      </c>
    </row>
    <row r="379">
      <c r="F379" s="7">
        <f>IF($A379="","",E379*N379/100)</f>
        <v/>
      </c>
      <c r="J379" s="7" t="n"/>
      <c r="K379" s="7">
        <f>IF($A379="","",S379*N379)</f>
        <v/>
      </c>
      <c r="L379" s="7">
        <f>IF($A379="","",N379-K379)</f>
        <v/>
      </c>
      <c r="M379" s="7">
        <f>IF($A379="","",L379-F379)</f>
        <v/>
      </c>
      <c r="N379" s="7" t="n"/>
      <c r="Q379" s="11" t="n"/>
      <c r="S379">
        <f>IF($A379="","",IF($W379=1,Settings!$C$6,Settings!$C$7)*1)</f>
        <v/>
      </c>
      <c r="U379">
        <f>IF($A379="","",IF(COUNTIF($A$2:$A379,$A379)=1,1,0))</f>
        <v/>
      </c>
      <c r="V379">
        <f>IF($U379=1,SUMPRODUCT(--($X$2:$X$3001&lt;$X379))+1,"")</f>
        <v/>
      </c>
      <c r="W379">
        <f>IF($A379="","",IF(OR($T379=TRUE(),$T379="TRUE"),1,0))</f>
        <v/>
      </c>
      <c r="X379">
        <f>IF($U379=1,IFERROR(IF(VALUE($A379)&lt;100000000,VALUE($A379),1000000000),IFERROR(IF(VALUE(MID($A379,2,20))&lt;100000000,VALUE(MID($A379,2,20)),1000000000),1000000000))+ROW()/100000,"")</f>
        <v/>
      </c>
    </row>
    <row r="380">
      <c r="F380" s="7">
        <f>IF($A380="","",E380*N380/100)</f>
        <v/>
      </c>
      <c r="J380" s="7" t="n"/>
      <c r="K380" s="7">
        <f>IF($A380="","",S380*N380)</f>
        <v/>
      </c>
      <c r="L380" s="7">
        <f>IF($A380="","",N380-K380)</f>
        <v/>
      </c>
      <c r="M380" s="7">
        <f>IF($A380="","",L380-F380)</f>
        <v/>
      </c>
      <c r="N380" s="7" t="n"/>
      <c r="Q380" s="11" t="n"/>
      <c r="S380">
        <f>IF($A380="","",IF($W380=1,Settings!$C$6,Settings!$C$7)*1)</f>
        <v/>
      </c>
      <c r="U380">
        <f>IF($A380="","",IF(COUNTIF($A$2:$A380,$A380)=1,1,0))</f>
        <v/>
      </c>
      <c r="V380">
        <f>IF($U380=1,SUMPRODUCT(--($X$2:$X$3001&lt;$X380))+1,"")</f>
        <v/>
      </c>
      <c r="W380">
        <f>IF($A380="","",IF(OR($T380=TRUE(),$T380="TRUE"),1,0))</f>
        <v/>
      </c>
      <c r="X380">
        <f>IF($U380=1,IFERROR(IF(VALUE($A380)&lt;100000000,VALUE($A380),1000000000),IFERROR(IF(VALUE(MID($A380,2,20))&lt;100000000,VALUE(MID($A380,2,20)),1000000000),1000000000))+ROW()/100000,"")</f>
        <v/>
      </c>
    </row>
    <row r="381">
      <c r="F381" s="7">
        <f>IF($A381="","",E381*N381/100)</f>
        <v/>
      </c>
      <c r="J381" s="7" t="n"/>
      <c r="K381" s="7">
        <f>IF($A381="","",S381*N381)</f>
        <v/>
      </c>
      <c r="L381" s="7">
        <f>IF($A381="","",N381-K381)</f>
        <v/>
      </c>
      <c r="M381" s="7">
        <f>IF($A381="","",L381-F381)</f>
        <v/>
      </c>
      <c r="N381" s="7" t="n"/>
      <c r="Q381" s="11" t="n"/>
      <c r="S381">
        <f>IF($A381="","",IF($W381=1,Settings!$C$6,Settings!$C$7)*1)</f>
        <v/>
      </c>
      <c r="U381">
        <f>IF($A381="","",IF(COUNTIF($A$2:$A381,$A381)=1,1,0))</f>
        <v/>
      </c>
      <c r="V381">
        <f>IF($U381=1,SUMPRODUCT(--($X$2:$X$3001&lt;$X381))+1,"")</f>
        <v/>
      </c>
      <c r="W381">
        <f>IF($A381="","",IF(OR($T381=TRUE(),$T381="TRUE"),1,0))</f>
        <v/>
      </c>
      <c r="X381">
        <f>IF($U381=1,IFERROR(IF(VALUE($A381)&lt;100000000,VALUE($A381),1000000000),IFERROR(IF(VALUE(MID($A381,2,20))&lt;100000000,VALUE(MID($A381,2,20)),1000000000),1000000000))+ROW()/100000,"")</f>
        <v/>
      </c>
    </row>
    <row r="382">
      <c r="F382" s="7">
        <f>IF($A382="","",E382*N382/100)</f>
        <v/>
      </c>
      <c r="J382" s="7" t="n"/>
      <c r="K382" s="7">
        <f>IF($A382="","",S382*N382)</f>
        <v/>
      </c>
      <c r="L382" s="7">
        <f>IF($A382="","",N382-K382)</f>
        <v/>
      </c>
      <c r="M382" s="7">
        <f>IF($A382="","",L382-F382)</f>
        <v/>
      </c>
      <c r="N382" s="7" t="n"/>
      <c r="Q382" s="11" t="n"/>
      <c r="S382">
        <f>IF($A382="","",IF($W382=1,Settings!$C$6,Settings!$C$7)*1)</f>
        <v/>
      </c>
      <c r="U382">
        <f>IF($A382="","",IF(COUNTIF($A$2:$A382,$A382)=1,1,0))</f>
        <v/>
      </c>
      <c r="V382">
        <f>IF($U382=1,SUMPRODUCT(--($X$2:$X$3001&lt;$X382))+1,"")</f>
        <v/>
      </c>
      <c r="W382">
        <f>IF($A382="","",IF(OR($T382=TRUE(),$T382="TRUE"),1,0))</f>
        <v/>
      </c>
      <c r="X382">
        <f>IF($U382=1,IFERROR(IF(VALUE($A382)&lt;100000000,VALUE($A382),1000000000),IFERROR(IF(VALUE(MID($A382,2,20))&lt;100000000,VALUE(MID($A382,2,20)),1000000000),1000000000))+ROW()/100000,"")</f>
        <v/>
      </c>
    </row>
    <row r="383">
      <c r="F383" s="7">
        <f>IF($A383="","",E383*N383/100)</f>
        <v/>
      </c>
      <c r="J383" s="7" t="n"/>
      <c r="K383" s="7">
        <f>IF($A383="","",S383*N383)</f>
        <v/>
      </c>
      <c r="L383" s="7">
        <f>IF($A383="","",N383-K383)</f>
        <v/>
      </c>
      <c r="M383" s="7">
        <f>IF($A383="","",L383-F383)</f>
        <v/>
      </c>
      <c r="N383" s="7" t="n"/>
      <c r="Q383" s="11" t="n"/>
      <c r="S383">
        <f>IF($A383="","",IF($W383=1,Settings!$C$6,Settings!$C$7)*1)</f>
        <v/>
      </c>
      <c r="U383">
        <f>IF($A383="","",IF(COUNTIF($A$2:$A383,$A383)=1,1,0))</f>
        <v/>
      </c>
      <c r="V383">
        <f>IF($U383=1,SUMPRODUCT(--($X$2:$X$3001&lt;$X383))+1,"")</f>
        <v/>
      </c>
      <c r="W383">
        <f>IF($A383="","",IF(OR($T383=TRUE(),$T383="TRUE"),1,0))</f>
        <v/>
      </c>
      <c r="X383">
        <f>IF($U383=1,IFERROR(IF(VALUE($A383)&lt;100000000,VALUE($A383),1000000000),IFERROR(IF(VALUE(MID($A383,2,20))&lt;100000000,VALUE(MID($A383,2,20)),1000000000),1000000000))+ROW()/100000,"")</f>
        <v/>
      </c>
    </row>
    <row r="384">
      <c r="F384" s="7">
        <f>IF($A384="","",E384*N384/100)</f>
        <v/>
      </c>
      <c r="J384" s="7" t="n"/>
      <c r="K384" s="7">
        <f>IF($A384="","",S384*N384)</f>
        <v/>
      </c>
      <c r="L384" s="7">
        <f>IF($A384="","",N384-K384)</f>
        <v/>
      </c>
      <c r="M384" s="7">
        <f>IF($A384="","",L384-F384)</f>
        <v/>
      </c>
      <c r="N384" s="7" t="n"/>
      <c r="Q384" s="11" t="n"/>
      <c r="S384">
        <f>IF($A384="","",IF($W384=1,Settings!$C$6,Settings!$C$7)*1)</f>
        <v/>
      </c>
      <c r="U384">
        <f>IF($A384="","",IF(COUNTIF($A$2:$A384,$A384)=1,1,0))</f>
        <v/>
      </c>
      <c r="V384">
        <f>IF($U384=1,SUMPRODUCT(--($X$2:$X$3001&lt;$X384))+1,"")</f>
        <v/>
      </c>
      <c r="W384">
        <f>IF($A384="","",IF(OR($T384=TRUE(),$T384="TRUE"),1,0))</f>
        <v/>
      </c>
      <c r="X384">
        <f>IF($U384=1,IFERROR(IF(VALUE($A384)&lt;100000000,VALUE($A384),1000000000),IFERROR(IF(VALUE(MID($A384,2,20))&lt;100000000,VALUE(MID($A384,2,20)),1000000000),1000000000))+ROW()/100000,"")</f>
        <v/>
      </c>
    </row>
    <row r="385">
      <c r="F385" s="7">
        <f>IF($A385="","",E385*N385/100)</f>
        <v/>
      </c>
      <c r="J385" s="7" t="n"/>
      <c r="K385" s="7">
        <f>IF($A385="","",S385*N385)</f>
        <v/>
      </c>
      <c r="L385" s="7">
        <f>IF($A385="","",N385-K385)</f>
        <v/>
      </c>
      <c r="M385" s="7">
        <f>IF($A385="","",L385-F385)</f>
        <v/>
      </c>
      <c r="N385" s="7" t="n"/>
      <c r="Q385" s="11" t="n"/>
      <c r="S385">
        <f>IF($A385="","",IF($W385=1,Settings!$C$6,Settings!$C$7)*1)</f>
        <v/>
      </c>
      <c r="U385">
        <f>IF($A385="","",IF(COUNTIF($A$2:$A385,$A385)=1,1,0))</f>
        <v/>
      </c>
      <c r="V385">
        <f>IF($U385=1,SUMPRODUCT(--($X$2:$X$3001&lt;$X385))+1,"")</f>
        <v/>
      </c>
      <c r="W385">
        <f>IF($A385="","",IF(OR($T385=TRUE(),$T385="TRUE"),1,0))</f>
        <v/>
      </c>
      <c r="X385">
        <f>IF($U385=1,IFERROR(IF(VALUE($A385)&lt;100000000,VALUE($A385),1000000000),IFERROR(IF(VALUE(MID($A385,2,20))&lt;100000000,VALUE(MID($A385,2,20)),1000000000),1000000000))+ROW()/100000,"")</f>
        <v/>
      </c>
    </row>
    <row r="386">
      <c r="F386" s="7">
        <f>IF($A386="","",E386*N386/100)</f>
        <v/>
      </c>
      <c r="J386" s="7" t="n"/>
      <c r="K386" s="7">
        <f>IF($A386="","",S386*N386)</f>
        <v/>
      </c>
      <c r="L386" s="7">
        <f>IF($A386="","",N386-K386)</f>
        <v/>
      </c>
      <c r="M386" s="7">
        <f>IF($A386="","",L386-F386)</f>
        <v/>
      </c>
      <c r="N386" s="7" t="n"/>
      <c r="Q386" s="11" t="n"/>
      <c r="S386">
        <f>IF($A386="","",IF($W386=1,Settings!$C$6,Settings!$C$7)*1)</f>
        <v/>
      </c>
      <c r="U386">
        <f>IF($A386="","",IF(COUNTIF($A$2:$A386,$A386)=1,1,0))</f>
        <v/>
      </c>
      <c r="V386">
        <f>IF($U386=1,SUMPRODUCT(--($X$2:$X$3001&lt;$X386))+1,"")</f>
        <v/>
      </c>
      <c r="W386">
        <f>IF($A386="","",IF(OR($T386=TRUE(),$T386="TRUE"),1,0))</f>
        <v/>
      </c>
      <c r="X386">
        <f>IF($U386=1,IFERROR(IF(VALUE($A386)&lt;100000000,VALUE($A386),1000000000),IFERROR(IF(VALUE(MID($A386,2,20))&lt;100000000,VALUE(MID($A386,2,20)),1000000000),1000000000))+ROW()/100000,"")</f>
        <v/>
      </c>
    </row>
    <row r="387">
      <c r="F387" s="7">
        <f>IF($A387="","",E387*N387/100)</f>
        <v/>
      </c>
      <c r="J387" s="7" t="n"/>
      <c r="K387" s="7">
        <f>IF($A387="","",S387*N387)</f>
        <v/>
      </c>
      <c r="L387" s="7">
        <f>IF($A387="","",N387-K387)</f>
        <v/>
      </c>
      <c r="M387" s="7">
        <f>IF($A387="","",L387-F387)</f>
        <v/>
      </c>
      <c r="N387" s="7" t="n"/>
      <c r="Q387" s="11" t="n"/>
      <c r="S387">
        <f>IF($A387="","",IF($W387=1,Settings!$C$6,Settings!$C$7)*1)</f>
        <v/>
      </c>
      <c r="U387">
        <f>IF($A387="","",IF(COUNTIF($A$2:$A387,$A387)=1,1,0))</f>
        <v/>
      </c>
      <c r="V387">
        <f>IF($U387=1,SUMPRODUCT(--($X$2:$X$3001&lt;$X387))+1,"")</f>
        <v/>
      </c>
      <c r="W387">
        <f>IF($A387="","",IF(OR($T387=TRUE(),$T387="TRUE"),1,0))</f>
        <v/>
      </c>
      <c r="X387">
        <f>IF($U387=1,IFERROR(IF(VALUE($A387)&lt;100000000,VALUE($A387),1000000000),IFERROR(IF(VALUE(MID($A387,2,20))&lt;100000000,VALUE(MID($A387,2,20)),1000000000),1000000000))+ROW()/100000,"")</f>
        <v/>
      </c>
    </row>
    <row r="388">
      <c r="F388" s="7">
        <f>IF($A388="","",E388*N388/100)</f>
        <v/>
      </c>
      <c r="J388" s="7" t="n"/>
      <c r="K388" s="7">
        <f>IF($A388="","",S388*N388)</f>
        <v/>
      </c>
      <c r="L388" s="7">
        <f>IF($A388="","",N388-K388)</f>
        <v/>
      </c>
      <c r="M388" s="7">
        <f>IF($A388="","",L388-F388)</f>
        <v/>
      </c>
      <c r="N388" s="7" t="n"/>
      <c r="Q388" s="11" t="n"/>
      <c r="S388">
        <f>IF($A388="","",IF($W388=1,Settings!$C$6,Settings!$C$7)*1)</f>
        <v/>
      </c>
      <c r="U388">
        <f>IF($A388="","",IF(COUNTIF($A$2:$A388,$A388)=1,1,0))</f>
        <v/>
      </c>
      <c r="V388">
        <f>IF($U388=1,SUMPRODUCT(--($X$2:$X$3001&lt;$X388))+1,"")</f>
        <v/>
      </c>
      <c r="W388">
        <f>IF($A388="","",IF(OR($T388=TRUE(),$T388="TRUE"),1,0))</f>
        <v/>
      </c>
      <c r="X388">
        <f>IF($U388=1,IFERROR(IF(VALUE($A388)&lt;100000000,VALUE($A388),1000000000),IFERROR(IF(VALUE(MID($A388,2,20))&lt;100000000,VALUE(MID($A388,2,20)),1000000000),1000000000))+ROW()/100000,"")</f>
        <v/>
      </c>
    </row>
    <row r="389">
      <c r="F389" s="7">
        <f>IF($A389="","",E389*N389/100)</f>
        <v/>
      </c>
      <c r="J389" s="7" t="n"/>
      <c r="K389" s="7">
        <f>IF($A389="","",S389*N389)</f>
        <v/>
      </c>
      <c r="L389" s="7">
        <f>IF($A389="","",N389-K389)</f>
        <v/>
      </c>
      <c r="M389" s="7">
        <f>IF($A389="","",L389-F389)</f>
        <v/>
      </c>
      <c r="N389" s="7" t="n"/>
      <c r="Q389" s="11" t="n"/>
      <c r="S389">
        <f>IF($A389="","",IF($W389=1,Settings!$C$6,Settings!$C$7)*1)</f>
        <v/>
      </c>
      <c r="U389">
        <f>IF($A389="","",IF(COUNTIF($A$2:$A389,$A389)=1,1,0))</f>
        <v/>
      </c>
      <c r="V389">
        <f>IF($U389=1,SUMPRODUCT(--($X$2:$X$3001&lt;$X389))+1,"")</f>
        <v/>
      </c>
      <c r="W389">
        <f>IF($A389="","",IF(OR($T389=TRUE(),$T389="TRUE"),1,0))</f>
        <v/>
      </c>
      <c r="X389">
        <f>IF($U389=1,IFERROR(IF(VALUE($A389)&lt;100000000,VALUE($A389),1000000000),IFERROR(IF(VALUE(MID($A389,2,20))&lt;100000000,VALUE(MID($A389,2,20)),1000000000),1000000000))+ROW()/100000,"")</f>
        <v/>
      </c>
    </row>
    <row r="390">
      <c r="F390" s="7">
        <f>IF($A390="","",E390*N390/100)</f>
        <v/>
      </c>
      <c r="J390" s="7" t="n"/>
      <c r="K390" s="7">
        <f>IF($A390="","",S390*N390)</f>
        <v/>
      </c>
      <c r="L390" s="7">
        <f>IF($A390="","",N390-K390)</f>
        <v/>
      </c>
      <c r="M390" s="7">
        <f>IF($A390="","",L390-F390)</f>
        <v/>
      </c>
      <c r="N390" s="7" t="n"/>
      <c r="Q390" s="11" t="n"/>
      <c r="S390">
        <f>IF($A390="","",IF($W390=1,Settings!$C$6,Settings!$C$7)*1)</f>
        <v/>
      </c>
      <c r="U390">
        <f>IF($A390="","",IF(COUNTIF($A$2:$A390,$A390)=1,1,0))</f>
        <v/>
      </c>
      <c r="V390">
        <f>IF($U390=1,SUMPRODUCT(--($X$2:$X$3001&lt;$X390))+1,"")</f>
        <v/>
      </c>
      <c r="W390">
        <f>IF($A390="","",IF(OR($T390=TRUE(),$T390="TRUE"),1,0))</f>
        <v/>
      </c>
      <c r="X390">
        <f>IF($U390=1,IFERROR(IF(VALUE($A390)&lt;100000000,VALUE($A390),1000000000),IFERROR(IF(VALUE(MID($A390,2,20))&lt;100000000,VALUE(MID($A390,2,20)),1000000000),1000000000))+ROW()/100000,"")</f>
        <v/>
      </c>
    </row>
    <row r="391">
      <c r="F391" s="7">
        <f>IF($A391="","",E391*N391/100)</f>
        <v/>
      </c>
      <c r="J391" s="7" t="n"/>
      <c r="K391" s="7">
        <f>IF($A391="","",S391*N391)</f>
        <v/>
      </c>
      <c r="L391" s="7">
        <f>IF($A391="","",N391-K391)</f>
        <v/>
      </c>
      <c r="M391" s="7">
        <f>IF($A391="","",L391-F391)</f>
        <v/>
      </c>
      <c r="N391" s="7" t="n"/>
      <c r="Q391" s="11" t="n"/>
      <c r="S391">
        <f>IF($A391="","",IF($W391=1,Settings!$C$6,Settings!$C$7)*1)</f>
        <v/>
      </c>
      <c r="U391">
        <f>IF($A391="","",IF(COUNTIF($A$2:$A391,$A391)=1,1,0))</f>
        <v/>
      </c>
      <c r="V391">
        <f>IF($U391=1,SUMPRODUCT(--($X$2:$X$3001&lt;$X391))+1,"")</f>
        <v/>
      </c>
      <c r="W391">
        <f>IF($A391="","",IF(OR($T391=TRUE(),$T391="TRUE"),1,0))</f>
        <v/>
      </c>
      <c r="X391">
        <f>IF($U391=1,IFERROR(IF(VALUE($A391)&lt;100000000,VALUE($A391),1000000000),IFERROR(IF(VALUE(MID($A391,2,20))&lt;100000000,VALUE(MID($A391,2,20)),1000000000),1000000000))+ROW()/100000,"")</f>
        <v/>
      </c>
    </row>
    <row r="392">
      <c r="F392" s="7">
        <f>IF($A392="","",E392*N392/100)</f>
        <v/>
      </c>
      <c r="J392" s="7" t="n"/>
      <c r="K392" s="7">
        <f>IF($A392="","",S392*N392)</f>
        <v/>
      </c>
      <c r="L392" s="7">
        <f>IF($A392="","",N392-K392)</f>
        <v/>
      </c>
      <c r="M392" s="7">
        <f>IF($A392="","",L392-F392)</f>
        <v/>
      </c>
      <c r="N392" s="7" t="n"/>
      <c r="Q392" s="11" t="n"/>
      <c r="S392">
        <f>IF($A392="","",IF($W392=1,Settings!$C$6,Settings!$C$7)*1)</f>
        <v/>
      </c>
      <c r="U392">
        <f>IF($A392="","",IF(COUNTIF($A$2:$A392,$A392)=1,1,0))</f>
        <v/>
      </c>
      <c r="V392">
        <f>IF($U392=1,SUMPRODUCT(--($X$2:$X$3001&lt;$X392))+1,"")</f>
        <v/>
      </c>
      <c r="W392">
        <f>IF($A392="","",IF(OR($T392=TRUE(),$T392="TRUE"),1,0))</f>
        <v/>
      </c>
      <c r="X392">
        <f>IF($U392=1,IFERROR(IF(VALUE($A392)&lt;100000000,VALUE($A392),1000000000),IFERROR(IF(VALUE(MID($A392,2,20))&lt;100000000,VALUE(MID($A392,2,20)),1000000000),1000000000))+ROW()/100000,"")</f>
        <v/>
      </c>
    </row>
    <row r="393">
      <c r="F393" s="7">
        <f>IF($A393="","",E393*N393/100)</f>
        <v/>
      </c>
      <c r="J393" s="7" t="n"/>
      <c r="K393" s="7">
        <f>IF($A393="","",S393*N393)</f>
        <v/>
      </c>
      <c r="L393" s="7">
        <f>IF($A393="","",N393-K393)</f>
        <v/>
      </c>
      <c r="M393" s="7">
        <f>IF($A393="","",L393-F393)</f>
        <v/>
      </c>
      <c r="N393" s="7" t="n"/>
      <c r="Q393" s="11" t="n"/>
      <c r="S393">
        <f>IF($A393="","",IF($W393=1,Settings!$C$6,Settings!$C$7)*1)</f>
        <v/>
      </c>
      <c r="U393">
        <f>IF($A393="","",IF(COUNTIF($A$2:$A393,$A393)=1,1,0))</f>
        <v/>
      </c>
      <c r="V393">
        <f>IF($U393=1,SUMPRODUCT(--($X$2:$X$3001&lt;$X393))+1,"")</f>
        <v/>
      </c>
      <c r="W393">
        <f>IF($A393="","",IF(OR($T393=TRUE(),$T393="TRUE"),1,0))</f>
        <v/>
      </c>
      <c r="X393">
        <f>IF($U393=1,IFERROR(IF(VALUE($A393)&lt;100000000,VALUE($A393),1000000000),IFERROR(IF(VALUE(MID($A393,2,20))&lt;100000000,VALUE(MID($A393,2,20)),1000000000),1000000000))+ROW()/100000,"")</f>
        <v/>
      </c>
    </row>
    <row r="394">
      <c r="F394" s="7">
        <f>IF($A394="","",E394*N394/100)</f>
        <v/>
      </c>
      <c r="J394" s="7" t="n"/>
      <c r="K394" s="7">
        <f>IF($A394="","",S394*N394)</f>
        <v/>
      </c>
      <c r="L394" s="7">
        <f>IF($A394="","",N394-K394)</f>
        <v/>
      </c>
      <c r="M394" s="7">
        <f>IF($A394="","",L394-F394)</f>
        <v/>
      </c>
      <c r="N394" s="7" t="n"/>
      <c r="Q394" s="11" t="n"/>
      <c r="S394">
        <f>IF($A394="","",IF($W394=1,Settings!$C$6,Settings!$C$7)*1)</f>
        <v/>
      </c>
      <c r="U394">
        <f>IF($A394="","",IF(COUNTIF($A$2:$A394,$A394)=1,1,0))</f>
        <v/>
      </c>
      <c r="V394">
        <f>IF($U394=1,SUMPRODUCT(--($X$2:$X$3001&lt;$X394))+1,"")</f>
        <v/>
      </c>
      <c r="W394">
        <f>IF($A394="","",IF(OR($T394=TRUE(),$T394="TRUE"),1,0))</f>
        <v/>
      </c>
      <c r="X394">
        <f>IF($U394=1,IFERROR(IF(VALUE($A394)&lt;100000000,VALUE($A394),1000000000),IFERROR(IF(VALUE(MID($A394,2,20))&lt;100000000,VALUE(MID($A394,2,20)),1000000000),1000000000))+ROW()/100000,"")</f>
        <v/>
      </c>
    </row>
    <row r="395">
      <c r="F395" s="7">
        <f>IF($A395="","",E395*N395/100)</f>
        <v/>
      </c>
      <c r="J395" s="7" t="n"/>
      <c r="K395" s="7">
        <f>IF($A395="","",S395*N395)</f>
        <v/>
      </c>
      <c r="L395" s="7">
        <f>IF($A395="","",N395-K395)</f>
        <v/>
      </c>
      <c r="M395" s="7">
        <f>IF($A395="","",L395-F395)</f>
        <v/>
      </c>
      <c r="N395" s="7" t="n"/>
      <c r="Q395" s="11" t="n"/>
      <c r="S395">
        <f>IF($A395="","",IF($W395=1,Settings!$C$6,Settings!$C$7)*1)</f>
        <v/>
      </c>
      <c r="U395">
        <f>IF($A395="","",IF(COUNTIF($A$2:$A395,$A395)=1,1,0))</f>
        <v/>
      </c>
      <c r="V395">
        <f>IF($U395=1,SUMPRODUCT(--($X$2:$X$3001&lt;$X395))+1,"")</f>
        <v/>
      </c>
      <c r="W395">
        <f>IF($A395="","",IF(OR($T395=TRUE(),$T395="TRUE"),1,0))</f>
        <v/>
      </c>
      <c r="X395">
        <f>IF($U395=1,IFERROR(IF(VALUE($A395)&lt;100000000,VALUE($A395),1000000000),IFERROR(IF(VALUE(MID($A395,2,20))&lt;100000000,VALUE(MID($A395,2,20)),1000000000),1000000000))+ROW()/100000,"")</f>
        <v/>
      </c>
    </row>
    <row r="396">
      <c r="F396" s="7">
        <f>IF($A396="","",E396*N396/100)</f>
        <v/>
      </c>
      <c r="J396" s="7" t="n"/>
      <c r="K396" s="7">
        <f>IF($A396="","",S396*N396)</f>
        <v/>
      </c>
      <c r="L396" s="7">
        <f>IF($A396="","",N396-K396)</f>
        <v/>
      </c>
      <c r="M396" s="7">
        <f>IF($A396="","",L396-F396)</f>
        <v/>
      </c>
      <c r="N396" s="7" t="n"/>
      <c r="Q396" s="11" t="n"/>
      <c r="S396">
        <f>IF($A396="","",IF($W396=1,Settings!$C$6,Settings!$C$7)*1)</f>
        <v/>
      </c>
      <c r="U396">
        <f>IF($A396="","",IF(COUNTIF($A$2:$A396,$A396)=1,1,0))</f>
        <v/>
      </c>
      <c r="V396">
        <f>IF($U396=1,SUMPRODUCT(--($X$2:$X$3001&lt;$X396))+1,"")</f>
        <v/>
      </c>
      <c r="W396">
        <f>IF($A396="","",IF(OR($T396=TRUE(),$T396="TRUE"),1,0))</f>
        <v/>
      </c>
      <c r="X396">
        <f>IF($U396=1,IFERROR(IF(VALUE($A396)&lt;100000000,VALUE($A396),1000000000),IFERROR(IF(VALUE(MID($A396,2,20))&lt;100000000,VALUE(MID($A396,2,20)),1000000000),1000000000))+ROW()/100000,"")</f>
        <v/>
      </c>
    </row>
    <row r="397">
      <c r="F397" s="7">
        <f>IF($A397="","",E397*N397/100)</f>
        <v/>
      </c>
      <c r="J397" s="7" t="n"/>
      <c r="K397" s="7">
        <f>IF($A397="","",S397*N397)</f>
        <v/>
      </c>
      <c r="L397" s="7">
        <f>IF($A397="","",N397-K397)</f>
        <v/>
      </c>
      <c r="M397" s="7">
        <f>IF($A397="","",L397-F397)</f>
        <v/>
      </c>
      <c r="N397" s="7" t="n"/>
      <c r="Q397" s="11" t="n"/>
      <c r="S397">
        <f>IF($A397="","",IF($W397=1,Settings!$C$6,Settings!$C$7)*1)</f>
        <v/>
      </c>
      <c r="U397">
        <f>IF($A397="","",IF(COUNTIF($A$2:$A397,$A397)=1,1,0))</f>
        <v/>
      </c>
      <c r="V397">
        <f>IF($U397=1,SUMPRODUCT(--($X$2:$X$3001&lt;$X397))+1,"")</f>
        <v/>
      </c>
      <c r="W397">
        <f>IF($A397="","",IF(OR($T397=TRUE(),$T397="TRUE"),1,0))</f>
        <v/>
      </c>
      <c r="X397">
        <f>IF($U397=1,IFERROR(IF(VALUE($A397)&lt;100000000,VALUE($A397),1000000000),IFERROR(IF(VALUE(MID($A397,2,20))&lt;100000000,VALUE(MID($A397,2,20)),1000000000),1000000000))+ROW()/100000,"")</f>
        <v/>
      </c>
    </row>
    <row r="398">
      <c r="F398" s="7">
        <f>IF($A398="","",E398*N398/100)</f>
        <v/>
      </c>
      <c r="J398" s="7" t="n"/>
      <c r="K398" s="7">
        <f>IF($A398="","",S398*N398)</f>
        <v/>
      </c>
      <c r="L398" s="7">
        <f>IF($A398="","",N398-K398)</f>
        <v/>
      </c>
      <c r="M398" s="7">
        <f>IF($A398="","",L398-F398)</f>
        <v/>
      </c>
      <c r="N398" s="7" t="n"/>
      <c r="Q398" s="11" t="n"/>
      <c r="S398">
        <f>IF($A398="","",IF($W398=1,Settings!$C$6,Settings!$C$7)*1)</f>
        <v/>
      </c>
      <c r="U398">
        <f>IF($A398="","",IF(COUNTIF($A$2:$A398,$A398)=1,1,0))</f>
        <v/>
      </c>
      <c r="V398">
        <f>IF($U398=1,SUMPRODUCT(--($X$2:$X$3001&lt;$X398))+1,"")</f>
        <v/>
      </c>
      <c r="W398">
        <f>IF($A398="","",IF(OR($T398=TRUE(),$T398="TRUE"),1,0))</f>
        <v/>
      </c>
      <c r="X398">
        <f>IF($U398=1,IFERROR(IF(VALUE($A398)&lt;100000000,VALUE($A398),1000000000),IFERROR(IF(VALUE(MID($A398,2,20))&lt;100000000,VALUE(MID($A398,2,20)),1000000000),1000000000))+ROW()/100000,"")</f>
        <v/>
      </c>
    </row>
    <row r="399">
      <c r="F399" s="7">
        <f>IF($A399="","",E399*N399/100)</f>
        <v/>
      </c>
      <c r="J399" s="7" t="n"/>
      <c r="K399" s="7">
        <f>IF($A399="","",S399*N399)</f>
        <v/>
      </c>
      <c r="L399" s="7">
        <f>IF($A399="","",N399-K399)</f>
        <v/>
      </c>
      <c r="M399" s="7">
        <f>IF($A399="","",L399-F399)</f>
        <v/>
      </c>
      <c r="N399" s="7" t="n"/>
      <c r="Q399" s="11" t="n"/>
      <c r="S399">
        <f>IF($A399="","",IF($W399=1,Settings!$C$6,Settings!$C$7)*1)</f>
        <v/>
      </c>
      <c r="U399">
        <f>IF($A399="","",IF(COUNTIF($A$2:$A399,$A399)=1,1,0))</f>
        <v/>
      </c>
      <c r="V399">
        <f>IF($U399=1,SUMPRODUCT(--($X$2:$X$3001&lt;$X399))+1,"")</f>
        <v/>
      </c>
      <c r="W399">
        <f>IF($A399="","",IF(OR($T399=TRUE(),$T399="TRUE"),1,0))</f>
        <v/>
      </c>
      <c r="X399">
        <f>IF($U399=1,IFERROR(IF(VALUE($A399)&lt;100000000,VALUE($A399),1000000000),IFERROR(IF(VALUE(MID($A399,2,20))&lt;100000000,VALUE(MID($A399,2,20)),1000000000),1000000000))+ROW()/100000,"")</f>
        <v/>
      </c>
    </row>
    <row r="400">
      <c r="F400" s="7">
        <f>IF($A400="","",E400*N400/100)</f>
        <v/>
      </c>
      <c r="J400" s="7" t="n"/>
      <c r="K400" s="7">
        <f>IF($A400="","",S400*N400)</f>
        <v/>
      </c>
      <c r="L400" s="7">
        <f>IF($A400="","",N400-K400)</f>
        <v/>
      </c>
      <c r="M400" s="7">
        <f>IF($A400="","",L400-F400)</f>
        <v/>
      </c>
      <c r="N400" s="7" t="n"/>
      <c r="Q400" s="11" t="n"/>
      <c r="S400">
        <f>IF($A400="","",IF($W400=1,Settings!$C$6,Settings!$C$7)*1)</f>
        <v/>
      </c>
      <c r="U400">
        <f>IF($A400="","",IF(COUNTIF($A$2:$A400,$A400)=1,1,0))</f>
        <v/>
      </c>
      <c r="V400">
        <f>IF($U400=1,SUMPRODUCT(--($X$2:$X$3001&lt;$X400))+1,"")</f>
        <v/>
      </c>
      <c r="W400">
        <f>IF($A400="","",IF(OR($T400=TRUE(),$T400="TRUE"),1,0))</f>
        <v/>
      </c>
      <c r="X400">
        <f>IF($U400=1,IFERROR(IF(VALUE($A400)&lt;100000000,VALUE($A400),1000000000),IFERROR(IF(VALUE(MID($A400,2,20))&lt;100000000,VALUE(MID($A400,2,20)),1000000000),1000000000))+ROW()/100000,"")</f>
        <v/>
      </c>
    </row>
    <row r="401">
      <c r="F401" s="7">
        <f>IF($A401="","",E401*N401/100)</f>
        <v/>
      </c>
      <c r="J401" s="7" t="n"/>
      <c r="K401" s="7">
        <f>IF($A401="","",S401*N401)</f>
        <v/>
      </c>
      <c r="L401" s="7">
        <f>IF($A401="","",N401-K401)</f>
        <v/>
      </c>
      <c r="M401" s="7">
        <f>IF($A401="","",L401-F401)</f>
        <v/>
      </c>
      <c r="N401" s="7" t="n"/>
      <c r="Q401" s="11" t="n"/>
      <c r="S401">
        <f>IF($A401="","",IF($W401=1,Settings!$C$6,Settings!$C$7)*1)</f>
        <v/>
      </c>
      <c r="U401">
        <f>IF($A401="","",IF(COUNTIF($A$2:$A401,$A401)=1,1,0))</f>
        <v/>
      </c>
      <c r="V401">
        <f>IF($U401=1,SUMPRODUCT(--($X$2:$X$3001&lt;$X401))+1,"")</f>
        <v/>
      </c>
      <c r="W401">
        <f>IF($A401="","",IF(OR($T401=TRUE(),$T401="TRUE"),1,0))</f>
        <v/>
      </c>
      <c r="X401">
        <f>IF($U401=1,IFERROR(IF(VALUE($A401)&lt;100000000,VALUE($A401),1000000000),IFERROR(IF(VALUE(MID($A401,2,20))&lt;100000000,VALUE(MID($A401,2,20)),1000000000),1000000000))+ROW()/100000,"")</f>
        <v/>
      </c>
    </row>
    <row r="402">
      <c r="F402" s="7">
        <f>IF($A402="","",E402*N402/100)</f>
        <v/>
      </c>
      <c r="J402" s="7" t="n"/>
      <c r="K402" s="7">
        <f>IF($A402="","",S402*N402)</f>
        <v/>
      </c>
      <c r="L402" s="7">
        <f>IF($A402="","",N402-K402)</f>
        <v/>
      </c>
      <c r="M402" s="7">
        <f>IF($A402="","",L402-F402)</f>
        <v/>
      </c>
      <c r="N402" s="7" t="n"/>
      <c r="Q402" s="11" t="n"/>
      <c r="S402">
        <f>IF($A402="","",IF($W402=1,Settings!$C$6,Settings!$C$7)*1)</f>
        <v/>
      </c>
      <c r="U402">
        <f>IF($A402="","",IF(COUNTIF($A$2:$A402,$A402)=1,1,0))</f>
        <v/>
      </c>
      <c r="V402">
        <f>IF($U402=1,SUMPRODUCT(--($X$2:$X$3001&lt;$X402))+1,"")</f>
        <v/>
      </c>
      <c r="W402">
        <f>IF($A402="","",IF(OR($T402=TRUE(),$T402="TRUE"),1,0))</f>
        <v/>
      </c>
      <c r="X402">
        <f>IF($U402=1,IFERROR(IF(VALUE($A402)&lt;100000000,VALUE($A402),1000000000),IFERROR(IF(VALUE(MID($A402,2,20))&lt;100000000,VALUE(MID($A402,2,20)),1000000000),1000000000))+ROW()/100000,"")</f>
        <v/>
      </c>
    </row>
    <row r="403">
      <c r="F403" s="7">
        <f>IF($A403="","",E403*N403/100)</f>
        <v/>
      </c>
      <c r="J403" s="7" t="n"/>
      <c r="K403" s="7">
        <f>IF($A403="","",S403*N403)</f>
        <v/>
      </c>
      <c r="L403" s="7">
        <f>IF($A403="","",N403-K403)</f>
        <v/>
      </c>
      <c r="M403" s="7">
        <f>IF($A403="","",L403-F403)</f>
        <v/>
      </c>
      <c r="N403" s="7" t="n"/>
      <c r="Q403" s="11" t="n"/>
      <c r="S403">
        <f>IF($A403="","",IF($W403=1,Settings!$C$6,Settings!$C$7)*1)</f>
        <v/>
      </c>
      <c r="U403">
        <f>IF($A403="","",IF(COUNTIF($A$2:$A403,$A403)=1,1,0))</f>
        <v/>
      </c>
      <c r="V403">
        <f>IF($U403=1,SUMPRODUCT(--($X$2:$X$3001&lt;$X403))+1,"")</f>
        <v/>
      </c>
      <c r="W403">
        <f>IF($A403="","",IF(OR($T403=TRUE(),$T403="TRUE"),1,0))</f>
        <v/>
      </c>
      <c r="X403">
        <f>IF($U403=1,IFERROR(IF(VALUE($A403)&lt;100000000,VALUE($A403),1000000000),IFERROR(IF(VALUE(MID($A403,2,20))&lt;100000000,VALUE(MID($A403,2,20)),1000000000),1000000000))+ROW()/100000,"")</f>
        <v/>
      </c>
    </row>
    <row r="404">
      <c r="F404" s="7">
        <f>IF($A404="","",E404*N404/100)</f>
        <v/>
      </c>
      <c r="J404" s="7" t="n"/>
      <c r="K404" s="7">
        <f>IF($A404="","",S404*N404)</f>
        <v/>
      </c>
      <c r="L404" s="7">
        <f>IF($A404="","",N404-K404)</f>
        <v/>
      </c>
      <c r="M404" s="7">
        <f>IF($A404="","",L404-F404)</f>
        <v/>
      </c>
      <c r="N404" s="7" t="n"/>
      <c r="Q404" s="11" t="n"/>
      <c r="S404">
        <f>IF($A404="","",IF($W404=1,Settings!$C$6,Settings!$C$7)*1)</f>
        <v/>
      </c>
      <c r="U404">
        <f>IF($A404="","",IF(COUNTIF($A$2:$A404,$A404)=1,1,0))</f>
        <v/>
      </c>
      <c r="V404">
        <f>IF($U404=1,SUMPRODUCT(--($X$2:$X$3001&lt;$X404))+1,"")</f>
        <v/>
      </c>
      <c r="W404">
        <f>IF($A404="","",IF(OR($T404=TRUE(),$T404="TRUE"),1,0))</f>
        <v/>
      </c>
      <c r="X404">
        <f>IF($U404=1,IFERROR(IF(VALUE($A404)&lt;100000000,VALUE($A404),1000000000),IFERROR(IF(VALUE(MID($A404,2,20))&lt;100000000,VALUE(MID($A404,2,20)),1000000000),1000000000))+ROW()/100000,"")</f>
        <v/>
      </c>
    </row>
    <row r="405">
      <c r="F405" s="7">
        <f>IF($A405="","",E405*N405/100)</f>
        <v/>
      </c>
      <c r="J405" s="7" t="n"/>
      <c r="K405" s="7">
        <f>IF($A405="","",S405*N405)</f>
        <v/>
      </c>
      <c r="L405" s="7">
        <f>IF($A405="","",N405-K405)</f>
        <v/>
      </c>
      <c r="M405" s="7">
        <f>IF($A405="","",L405-F405)</f>
        <v/>
      </c>
      <c r="N405" s="7" t="n"/>
      <c r="Q405" s="11" t="n"/>
      <c r="S405">
        <f>IF($A405="","",IF($W405=1,Settings!$C$6,Settings!$C$7)*1)</f>
        <v/>
      </c>
      <c r="U405">
        <f>IF($A405="","",IF(COUNTIF($A$2:$A405,$A405)=1,1,0))</f>
        <v/>
      </c>
      <c r="V405">
        <f>IF($U405=1,SUMPRODUCT(--($X$2:$X$3001&lt;$X405))+1,"")</f>
        <v/>
      </c>
      <c r="W405">
        <f>IF($A405="","",IF(OR($T405=TRUE(),$T405="TRUE"),1,0))</f>
        <v/>
      </c>
      <c r="X405">
        <f>IF($U405=1,IFERROR(IF(VALUE($A405)&lt;100000000,VALUE($A405),1000000000),IFERROR(IF(VALUE(MID($A405,2,20))&lt;100000000,VALUE(MID($A405,2,20)),1000000000),1000000000))+ROW()/100000,"")</f>
        <v/>
      </c>
    </row>
    <row r="406">
      <c r="F406" s="7">
        <f>IF($A406="","",E406*N406/100)</f>
        <v/>
      </c>
      <c r="J406" s="7" t="n"/>
      <c r="K406" s="7">
        <f>IF($A406="","",S406*N406)</f>
        <v/>
      </c>
      <c r="L406" s="7">
        <f>IF($A406="","",N406-K406)</f>
        <v/>
      </c>
      <c r="M406" s="7">
        <f>IF($A406="","",L406-F406)</f>
        <v/>
      </c>
      <c r="N406" s="7" t="n"/>
      <c r="Q406" s="11" t="n"/>
      <c r="S406">
        <f>IF($A406="","",IF($W406=1,Settings!$C$6,Settings!$C$7)*1)</f>
        <v/>
      </c>
      <c r="U406">
        <f>IF($A406="","",IF(COUNTIF($A$2:$A406,$A406)=1,1,0))</f>
        <v/>
      </c>
      <c r="V406">
        <f>IF($U406=1,SUMPRODUCT(--($X$2:$X$3001&lt;$X406))+1,"")</f>
        <v/>
      </c>
      <c r="W406">
        <f>IF($A406="","",IF(OR($T406=TRUE(),$T406="TRUE"),1,0))</f>
        <v/>
      </c>
      <c r="X406">
        <f>IF($U406=1,IFERROR(IF(VALUE($A406)&lt;100000000,VALUE($A406),1000000000),IFERROR(IF(VALUE(MID($A406,2,20))&lt;100000000,VALUE(MID($A406,2,20)),1000000000),1000000000))+ROW()/100000,"")</f>
        <v/>
      </c>
    </row>
    <row r="407">
      <c r="F407" s="7">
        <f>IF($A407="","",E407*N407/100)</f>
        <v/>
      </c>
      <c r="J407" s="7" t="n"/>
      <c r="K407" s="7">
        <f>IF($A407="","",S407*N407)</f>
        <v/>
      </c>
      <c r="L407" s="7">
        <f>IF($A407="","",N407-K407)</f>
        <v/>
      </c>
      <c r="M407" s="7">
        <f>IF($A407="","",L407-F407)</f>
        <v/>
      </c>
      <c r="N407" s="7" t="n"/>
      <c r="Q407" s="11" t="n"/>
      <c r="S407">
        <f>IF($A407="","",IF($W407=1,Settings!$C$6,Settings!$C$7)*1)</f>
        <v/>
      </c>
      <c r="U407">
        <f>IF($A407="","",IF(COUNTIF($A$2:$A407,$A407)=1,1,0))</f>
        <v/>
      </c>
      <c r="V407">
        <f>IF($U407=1,SUMPRODUCT(--($X$2:$X$3001&lt;$X407))+1,"")</f>
        <v/>
      </c>
      <c r="W407">
        <f>IF($A407="","",IF(OR($T407=TRUE(),$T407="TRUE"),1,0))</f>
        <v/>
      </c>
      <c r="X407">
        <f>IF($U407=1,IFERROR(IF(VALUE($A407)&lt;100000000,VALUE($A407),1000000000),IFERROR(IF(VALUE(MID($A407,2,20))&lt;100000000,VALUE(MID($A407,2,20)),1000000000),1000000000))+ROW()/100000,"")</f>
        <v/>
      </c>
    </row>
    <row r="408">
      <c r="F408" s="7">
        <f>IF($A408="","",E408*N408/100)</f>
        <v/>
      </c>
      <c r="J408" s="7" t="n"/>
      <c r="K408" s="7">
        <f>IF($A408="","",S408*N408)</f>
        <v/>
      </c>
      <c r="L408" s="7">
        <f>IF($A408="","",N408-K408)</f>
        <v/>
      </c>
      <c r="M408" s="7">
        <f>IF($A408="","",L408-F408)</f>
        <v/>
      </c>
      <c r="N408" s="7" t="n"/>
      <c r="Q408" s="11" t="n"/>
      <c r="S408">
        <f>IF($A408="","",IF($W408=1,Settings!$C$6,Settings!$C$7)*1)</f>
        <v/>
      </c>
      <c r="U408">
        <f>IF($A408="","",IF(COUNTIF($A$2:$A408,$A408)=1,1,0))</f>
        <v/>
      </c>
      <c r="V408">
        <f>IF($U408=1,SUMPRODUCT(--($X$2:$X$3001&lt;$X408))+1,"")</f>
        <v/>
      </c>
      <c r="W408">
        <f>IF($A408="","",IF(OR($T408=TRUE(),$T408="TRUE"),1,0))</f>
        <v/>
      </c>
      <c r="X408">
        <f>IF($U408=1,IFERROR(IF(VALUE($A408)&lt;100000000,VALUE($A408),1000000000),IFERROR(IF(VALUE(MID($A408,2,20))&lt;100000000,VALUE(MID($A408,2,20)),1000000000),1000000000))+ROW()/100000,"")</f>
        <v/>
      </c>
    </row>
    <row r="409">
      <c r="F409" s="7">
        <f>IF($A409="","",E409*N409/100)</f>
        <v/>
      </c>
      <c r="J409" s="7" t="n"/>
      <c r="K409" s="7">
        <f>IF($A409="","",S409*N409)</f>
        <v/>
      </c>
      <c r="L409" s="7">
        <f>IF($A409="","",N409-K409)</f>
        <v/>
      </c>
      <c r="M409" s="7">
        <f>IF($A409="","",L409-F409)</f>
        <v/>
      </c>
      <c r="N409" s="7" t="n"/>
      <c r="Q409" s="11" t="n"/>
      <c r="S409">
        <f>IF($A409="","",IF($W409=1,Settings!$C$6,Settings!$C$7)*1)</f>
        <v/>
      </c>
      <c r="U409">
        <f>IF($A409="","",IF(COUNTIF($A$2:$A409,$A409)=1,1,0))</f>
        <v/>
      </c>
      <c r="V409">
        <f>IF($U409=1,SUMPRODUCT(--($X$2:$X$3001&lt;$X409))+1,"")</f>
        <v/>
      </c>
      <c r="W409">
        <f>IF($A409="","",IF(OR($T409=TRUE(),$T409="TRUE"),1,0))</f>
        <v/>
      </c>
      <c r="X409">
        <f>IF($U409=1,IFERROR(IF(VALUE($A409)&lt;100000000,VALUE($A409),1000000000),IFERROR(IF(VALUE(MID($A409,2,20))&lt;100000000,VALUE(MID($A409,2,20)),1000000000),1000000000))+ROW()/100000,"")</f>
        <v/>
      </c>
    </row>
    <row r="410">
      <c r="F410" s="7">
        <f>IF($A410="","",E410*N410/100)</f>
        <v/>
      </c>
      <c r="J410" s="7" t="n"/>
      <c r="K410" s="7">
        <f>IF($A410="","",S410*N410)</f>
        <v/>
      </c>
      <c r="L410" s="7">
        <f>IF($A410="","",N410-K410)</f>
        <v/>
      </c>
      <c r="M410" s="7">
        <f>IF($A410="","",L410-F410)</f>
        <v/>
      </c>
      <c r="N410" s="7" t="n"/>
      <c r="Q410" s="11" t="n"/>
      <c r="S410">
        <f>IF($A410="","",IF($W410=1,Settings!$C$6,Settings!$C$7)*1)</f>
        <v/>
      </c>
      <c r="U410">
        <f>IF($A410="","",IF(COUNTIF($A$2:$A410,$A410)=1,1,0))</f>
        <v/>
      </c>
      <c r="V410">
        <f>IF($U410=1,SUMPRODUCT(--($X$2:$X$3001&lt;$X410))+1,"")</f>
        <v/>
      </c>
      <c r="W410">
        <f>IF($A410="","",IF(OR($T410=TRUE(),$T410="TRUE"),1,0))</f>
        <v/>
      </c>
      <c r="X410">
        <f>IF($U410=1,IFERROR(IF(VALUE($A410)&lt;100000000,VALUE($A410),1000000000),IFERROR(IF(VALUE(MID($A410,2,20))&lt;100000000,VALUE(MID($A410,2,20)),1000000000),1000000000))+ROW()/100000,"")</f>
        <v/>
      </c>
    </row>
    <row r="411">
      <c r="F411" s="7">
        <f>IF($A411="","",E411*N411/100)</f>
        <v/>
      </c>
      <c r="J411" s="7" t="n"/>
      <c r="K411" s="7">
        <f>IF($A411="","",S411*N411)</f>
        <v/>
      </c>
      <c r="L411" s="7">
        <f>IF($A411="","",N411-K411)</f>
        <v/>
      </c>
      <c r="M411" s="7">
        <f>IF($A411="","",L411-F411)</f>
        <v/>
      </c>
      <c r="N411" s="7" t="n"/>
      <c r="Q411" s="11" t="n"/>
      <c r="S411">
        <f>IF($A411="","",IF($W411=1,Settings!$C$6,Settings!$C$7)*1)</f>
        <v/>
      </c>
      <c r="U411">
        <f>IF($A411="","",IF(COUNTIF($A$2:$A411,$A411)=1,1,0))</f>
        <v/>
      </c>
      <c r="V411">
        <f>IF($U411=1,SUMPRODUCT(--($X$2:$X$3001&lt;$X411))+1,"")</f>
        <v/>
      </c>
      <c r="W411">
        <f>IF($A411="","",IF(OR($T411=TRUE(),$T411="TRUE"),1,0))</f>
        <v/>
      </c>
      <c r="X411">
        <f>IF($U411=1,IFERROR(IF(VALUE($A411)&lt;100000000,VALUE($A411),1000000000),IFERROR(IF(VALUE(MID($A411,2,20))&lt;100000000,VALUE(MID($A411,2,20)),1000000000),1000000000))+ROW()/100000,"")</f>
        <v/>
      </c>
    </row>
    <row r="412">
      <c r="F412" s="7">
        <f>IF($A412="","",E412*N412/100)</f>
        <v/>
      </c>
      <c r="J412" s="7" t="n"/>
      <c r="K412" s="7">
        <f>IF($A412="","",S412*N412)</f>
        <v/>
      </c>
      <c r="L412" s="7">
        <f>IF($A412="","",N412-K412)</f>
        <v/>
      </c>
      <c r="M412" s="7">
        <f>IF($A412="","",L412-F412)</f>
        <v/>
      </c>
      <c r="N412" s="7" t="n"/>
      <c r="Q412" s="11" t="n"/>
      <c r="S412">
        <f>IF($A412="","",IF($W412=1,Settings!$C$6,Settings!$C$7)*1)</f>
        <v/>
      </c>
      <c r="U412">
        <f>IF($A412="","",IF(COUNTIF($A$2:$A412,$A412)=1,1,0))</f>
        <v/>
      </c>
      <c r="V412">
        <f>IF($U412=1,SUMPRODUCT(--($X$2:$X$3001&lt;$X412))+1,"")</f>
        <v/>
      </c>
      <c r="W412">
        <f>IF($A412="","",IF(OR($T412=TRUE(),$T412="TRUE"),1,0))</f>
        <v/>
      </c>
      <c r="X412">
        <f>IF($U412=1,IFERROR(IF(VALUE($A412)&lt;100000000,VALUE($A412),1000000000),IFERROR(IF(VALUE(MID($A412,2,20))&lt;100000000,VALUE(MID($A412,2,20)),1000000000),1000000000))+ROW()/100000,"")</f>
        <v/>
      </c>
    </row>
    <row r="413">
      <c r="F413" s="7">
        <f>IF($A413="","",E413*N413/100)</f>
        <v/>
      </c>
      <c r="J413" s="7" t="n"/>
      <c r="K413" s="7">
        <f>IF($A413="","",S413*N413)</f>
        <v/>
      </c>
      <c r="L413" s="7">
        <f>IF($A413="","",N413-K413)</f>
        <v/>
      </c>
      <c r="M413" s="7">
        <f>IF($A413="","",L413-F413)</f>
        <v/>
      </c>
      <c r="N413" s="7" t="n"/>
      <c r="Q413" s="11" t="n"/>
      <c r="S413">
        <f>IF($A413="","",IF($W413=1,Settings!$C$6,Settings!$C$7)*1)</f>
        <v/>
      </c>
      <c r="U413">
        <f>IF($A413="","",IF(COUNTIF($A$2:$A413,$A413)=1,1,0))</f>
        <v/>
      </c>
      <c r="V413">
        <f>IF($U413=1,SUMPRODUCT(--($X$2:$X$3001&lt;$X413))+1,"")</f>
        <v/>
      </c>
      <c r="W413">
        <f>IF($A413="","",IF(OR($T413=TRUE(),$T413="TRUE"),1,0))</f>
        <v/>
      </c>
      <c r="X413">
        <f>IF($U413=1,IFERROR(IF(VALUE($A413)&lt;100000000,VALUE($A413),1000000000),IFERROR(IF(VALUE(MID($A413,2,20))&lt;100000000,VALUE(MID($A413,2,20)),1000000000),1000000000))+ROW()/100000,"")</f>
        <v/>
      </c>
    </row>
    <row r="414">
      <c r="F414" s="7">
        <f>IF($A414="","",E414*N414/100)</f>
        <v/>
      </c>
      <c r="J414" s="7" t="n"/>
      <c r="K414" s="7">
        <f>IF($A414="","",S414*N414)</f>
        <v/>
      </c>
      <c r="L414" s="7">
        <f>IF($A414="","",N414-K414)</f>
        <v/>
      </c>
      <c r="M414" s="7">
        <f>IF($A414="","",L414-F414)</f>
        <v/>
      </c>
      <c r="N414" s="7" t="n"/>
      <c r="Q414" s="11" t="n"/>
      <c r="S414">
        <f>IF($A414="","",IF($W414=1,Settings!$C$6,Settings!$C$7)*1)</f>
        <v/>
      </c>
      <c r="U414">
        <f>IF($A414="","",IF(COUNTIF($A$2:$A414,$A414)=1,1,0))</f>
        <v/>
      </c>
      <c r="V414">
        <f>IF($U414=1,SUMPRODUCT(--($X$2:$X$3001&lt;$X414))+1,"")</f>
        <v/>
      </c>
      <c r="W414">
        <f>IF($A414="","",IF(OR($T414=TRUE(),$T414="TRUE"),1,0))</f>
        <v/>
      </c>
      <c r="X414">
        <f>IF($U414=1,IFERROR(IF(VALUE($A414)&lt;100000000,VALUE($A414),1000000000),IFERROR(IF(VALUE(MID($A414,2,20))&lt;100000000,VALUE(MID($A414,2,20)),1000000000),1000000000))+ROW()/100000,"")</f>
        <v/>
      </c>
    </row>
    <row r="415">
      <c r="F415" s="7">
        <f>IF($A415="","",E415*N415/100)</f>
        <v/>
      </c>
      <c r="J415" s="7" t="n"/>
      <c r="K415" s="7">
        <f>IF($A415="","",S415*N415)</f>
        <v/>
      </c>
      <c r="L415" s="7">
        <f>IF($A415="","",N415-K415)</f>
        <v/>
      </c>
      <c r="M415" s="7">
        <f>IF($A415="","",L415-F415)</f>
        <v/>
      </c>
      <c r="N415" s="7" t="n"/>
      <c r="Q415" s="11" t="n"/>
      <c r="S415">
        <f>IF($A415="","",IF($W415=1,Settings!$C$6,Settings!$C$7)*1)</f>
        <v/>
      </c>
      <c r="U415">
        <f>IF($A415="","",IF(COUNTIF($A$2:$A415,$A415)=1,1,0))</f>
        <v/>
      </c>
      <c r="V415">
        <f>IF($U415=1,SUMPRODUCT(--($X$2:$X$3001&lt;$X415))+1,"")</f>
        <v/>
      </c>
      <c r="W415">
        <f>IF($A415="","",IF(OR($T415=TRUE(),$T415="TRUE"),1,0))</f>
        <v/>
      </c>
      <c r="X415">
        <f>IF($U415=1,IFERROR(IF(VALUE($A415)&lt;100000000,VALUE($A415),1000000000),IFERROR(IF(VALUE(MID($A415,2,20))&lt;100000000,VALUE(MID($A415,2,20)),1000000000),1000000000))+ROW()/100000,"")</f>
        <v/>
      </c>
    </row>
    <row r="416">
      <c r="F416" s="7">
        <f>IF($A416="","",E416*N416/100)</f>
        <v/>
      </c>
      <c r="J416" s="7" t="n"/>
      <c r="K416" s="7">
        <f>IF($A416="","",S416*N416)</f>
        <v/>
      </c>
      <c r="L416" s="7">
        <f>IF($A416="","",N416-K416)</f>
        <v/>
      </c>
      <c r="M416" s="7">
        <f>IF($A416="","",L416-F416)</f>
        <v/>
      </c>
      <c r="N416" s="7" t="n"/>
      <c r="Q416" s="11" t="n"/>
      <c r="S416">
        <f>IF($A416="","",IF($W416=1,Settings!$C$6,Settings!$C$7)*1)</f>
        <v/>
      </c>
      <c r="U416">
        <f>IF($A416="","",IF(COUNTIF($A$2:$A416,$A416)=1,1,0))</f>
        <v/>
      </c>
      <c r="V416">
        <f>IF($U416=1,SUMPRODUCT(--($X$2:$X$3001&lt;$X416))+1,"")</f>
        <v/>
      </c>
      <c r="W416">
        <f>IF($A416="","",IF(OR($T416=TRUE(),$T416="TRUE"),1,0))</f>
        <v/>
      </c>
      <c r="X416">
        <f>IF($U416=1,IFERROR(IF(VALUE($A416)&lt;100000000,VALUE($A416),1000000000),IFERROR(IF(VALUE(MID($A416,2,20))&lt;100000000,VALUE(MID($A416,2,20)),1000000000),1000000000))+ROW()/100000,"")</f>
        <v/>
      </c>
    </row>
    <row r="417">
      <c r="F417" s="7">
        <f>IF($A417="","",E417*N417/100)</f>
        <v/>
      </c>
      <c r="J417" s="7" t="n"/>
      <c r="K417" s="7">
        <f>IF($A417="","",S417*N417)</f>
        <v/>
      </c>
      <c r="L417" s="7">
        <f>IF($A417="","",N417-K417)</f>
        <v/>
      </c>
      <c r="M417" s="7">
        <f>IF($A417="","",L417-F417)</f>
        <v/>
      </c>
      <c r="N417" s="7" t="n"/>
      <c r="Q417" s="11" t="n"/>
      <c r="S417">
        <f>IF($A417="","",IF($W417=1,Settings!$C$6,Settings!$C$7)*1)</f>
        <v/>
      </c>
      <c r="U417">
        <f>IF($A417="","",IF(COUNTIF($A$2:$A417,$A417)=1,1,0))</f>
        <v/>
      </c>
      <c r="V417">
        <f>IF($U417=1,SUMPRODUCT(--($X$2:$X$3001&lt;$X417))+1,"")</f>
        <v/>
      </c>
      <c r="W417">
        <f>IF($A417="","",IF(OR($T417=TRUE(),$T417="TRUE"),1,0))</f>
        <v/>
      </c>
      <c r="X417">
        <f>IF($U417=1,IFERROR(IF(VALUE($A417)&lt;100000000,VALUE($A417),1000000000),IFERROR(IF(VALUE(MID($A417,2,20))&lt;100000000,VALUE(MID($A417,2,20)),1000000000),1000000000))+ROW()/100000,"")</f>
        <v/>
      </c>
    </row>
    <row r="418">
      <c r="F418" s="7">
        <f>IF($A418="","",E418*N418/100)</f>
        <v/>
      </c>
      <c r="J418" s="7" t="n"/>
      <c r="K418" s="7">
        <f>IF($A418="","",S418*N418)</f>
        <v/>
      </c>
      <c r="L418" s="7">
        <f>IF($A418="","",N418-K418)</f>
        <v/>
      </c>
      <c r="M418" s="7">
        <f>IF($A418="","",L418-F418)</f>
        <v/>
      </c>
      <c r="N418" s="7" t="n"/>
      <c r="Q418" s="11" t="n"/>
      <c r="S418">
        <f>IF($A418="","",IF($W418=1,Settings!$C$6,Settings!$C$7)*1)</f>
        <v/>
      </c>
      <c r="U418">
        <f>IF($A418="","",IF(COUNTIF($A$2:$A418,$A418)=1,1,0))</f>
        <v/>
      </c>
      <c r="V418">
        <f>IF($U418=1,SUMPRODUCT(--($X$2:$X$3001&lt;$X418))+1,"")</f>
        <v/>
      </c>
      <c r="W418">
        <f>IF($A418="","",IF(OR($T418=TRUE(),$T418="TRUE"),1,0))</f>
        <v/>
      </c>
      <c r="X418">
        <f>IF($U418=1,IFERROR(IF(VALUE($A418)&lt;100000000,VALUE($A418),1000000000),IFERROR(IF(VALUE(MID($A418,2,20))&lt;100000000,VALUE(MID($A418,2,20)),1000000000),1000000000))+ROW()/100000,"")</f>
        <v/>
      </c>
    </row>
    <row r="419">
      <c r="F419" s="7">
        <f>IF($A419="","",E419*N419/100)</f>
        <v/>
      </c>
      <c r="J419" s="7" t="n"/>
      <c r="K419" s="7">
        <f>IF($A419="","",S419*N419)</f>
        <v/>
      </c>
      <c r="L419" s="7">
        <f>IF($A419="","",N419-K419)</f>
        <v/>
      </c>
      <c r="M419" s="7">
        <f>IF($A419="","",L419-F419)</f>
        <v/>
      </c>
      <c r="N419" s="7" t="n"/>
      <c r="Q419" s="11" t="n"/>
      <c r="S419">
        <f>IF($A419="","",IF($W419=1,Settings!$C$6,Settings!$C$7)*1)</f>
        <v/>
      </c>
      <c r="U419">
        <f>IF($A419="","",IF(COUNTIF($A$2:$A419,$A419)=1,1,0))</f>
        <v/>
      </c>
      <c r="V419">
        <f>IF($U419=1,SUMPRODUCT(--($X$2:$X$3001&lt;$X419))+1,"")</f>
        <v/>
      </c>
      <c r="W419">
        <f>IF($A419="","",IF(OR($T419=TRUE(),$T419="TRUE"),1,0))</f>
        <v/>
      </c>
      <c r="X419">
        <f>IF($U419=1,IFERROR(IF(VALUE($A419)&lt;100000000,VALUE($A419),1000000000),IFERROR(IF(VALUE(MID($A419,2,20))&lt;100000000,VALUE(MID($A419,2,20)),1000000000),1000000000))+ROW()/100000,"")</f>
        <v/>
      </c>
    </row>
    <row r="420">
      <c r="F420" s="7">
        <f>IF($A420="","",E420*N420/100)</f>
        <v/>
      </c>
      <c r="J420" s="7" t="n"/>
      <c r="K420" s="7">
        <f>IF($A420="","",S420*N420)</f>
        <v/>
      </c>
      <c r="L420" s="7">
        <f>IF($A420="","",N420-K420)</f>
        <v/>
      </c>
      <c r="M420" s="7">
        <f>IF($A420="","",L420-F420)</f>
        <v/>
      </c>
      <c r="N420" s="7" t="n"/>
      <c r="Q420" s="11" t="n"/>
      <c r="S420">
        <f>IF($A420="","",IF($W420=1,Settings!$C$6,Settings!$C$7)*1)</f>
        <v/>
      </c>
      <c r="U420">
        <f>IF($A420="","",IF(COUNTIF($A$2:$A420,$A420)=1,1,0))</f>
        <v/>
      </c>
      <c r="V420">
        <f>IF($U420=1,SUMPRODUCT(--($X$2:$X$3001&lt;$X420))+1,"")</f>
        <v/>
      </c>
      <c r="W420">
        <f>IF($A420="","",IF(OR($T420=TRUE(),$T420="TRUE"),1,0))</f>
        <v/>
      </c>
      <c r="X420">
        <f>IF($U420=1,IFERROR(IF(VALUE($A420)&lt;100000000,VALUE($A420),1000000000),IFERROR(IF(VALUE(MID($A420,2,20))&lt;100000000,VALUE(MID($A420,2,20)),1000000000),1000000000))+ROW()/100000,"")</f>
        <v/>
      </c>
    </row>
    <row r="421">
      <c r="F421" s="7">
        <f>IF($A421="","",E421*N421/100)</f>
        <v/>
      </c>
      <c r="J421" s="7" t="n"/>
      <c r="K421" s="7">
        <f>IF($A421="","",S421*N421)</f>
        <v/>
      </c>
      <c r="L421" s="7">
        <f>IF($A421="","",N421-K421)</f>
        <v/>
      </c>
      <c r="M421" s="7">
        <f>IF($A421="","",L421-F421)</f>
        <v/>
      </c>
      <c r="N421" s="7" t="n"/>
      <c r="Q421" s="11" t="n"/>
      <c r="S421">
        <f>IF($A421="","",IF($W421=1,Settings!$C$6,Settings!$C$7)*1)</f>
        <v/>
      </c>
      <c r="U421">
        <f>IF($A421="","",IF(COUNTIF($A$2:$A421,$A421)=1,1,0))</f>
        <v/>
      </c>
      <c r="V421">
        <f>IF($U421=1,SUMPRODUCT(--($X$2:$X$3001&lt;$X421))+1,"")</f>
        <v/>
      </c>
      <c r="W421">
        <f>IF($A421="","",IF(OR($T421=TRUE(),$T421="TRUE"),1,0))</f>
        <v/>
      </c>
      <c r="X421">
        <f>IF($U421=1,IFERROR(IF(VALUE($A421)&lt;100000000,VALUE($A421),1000000000),IFERROR(IF(VALUE(MID($A421,2,20))&lt;100000000,VALUE(MID($A421,2,20)),1000000000),1000000000))+ROW()/100000,"")</f>
        <v/>
      </c>
    </row>
    <row r="422">
      <c r="F422" s="7">
        <f>IF($A422="","",E422*N422/100)</f>
        <v/>
      </c>
      <c r="J422" s="7" t="n"/>
      <c r="K422" s="7">
        <f>IF($A422="","",S422*N422)</f>
        <v/>
      </c>
      <c r="L422" s="7">
        <f>IF($A422="","",N422-K422)</f>
        <v/>
      </c>
      <c r="M422" s="7">
        <f>IF($A422="","",L422-F422)</f>
        <v/>
      </c>
      <c r="N422" s="7" t="n"/>
      <c r="Q422" s="11" t="n"/>
      <c r="S422">
        <f>IF($A422="","",IF($W422=1,Settings!$C$6,Settings!$C$7)*1)</f>
        <v/>
      </c>
      <c r="U422">
        <f>IF($A422="","",IF(COUNTIF($A$2:$A422,$A422)=1,1,0))</f>
        <v/>
      </c>
      <c r="V422">
        <f>IF($U422=1,SUMPRODUCT(--($X$2:$X$3001&lt;$X422))+1,"")</f>
        <v/>
      </c>
      <c r="W422">
        <f>IF($A422="","",IF(OR($T422=TRUE(),$T422="TRUE"),1,0))</f>
        <v/>
      </c>
      <c r="X422">
        <f>IF($U422=1,IFERROR(IF(VALUE($A422)&lt;100000000,VALUE($A422),1000000000),IFERROR(IF(VALUE(MID($A422,2,20))&lt;100000000,VALUE(MID($A422,2,20)),1000000000),1000000000))+ROW()/100000,"")</f>
        <v/>
      </c>
    </row>
    <row r="423">
      <c r="F423" s="7">
        <f>IF($A423="","",E423*N423/100)</f>
        <v/>
      </c>
      <c r="J423" s="7" t="n"/>
      <c r="K423" s="7">
        <f>IF($A423="","",S423*N423)</f>
        <v/>
      </c>
      <c r="L423" s="7">
        <f>IF($A423="","",N423-K423)</f>
        <v/>
      </c>
      <c r="M423" s="7">
        <f>IF($A423="","",L423-F423)</f>
        <v/>
      </c>
      <c r="N423" s="7" t="n"/>
      <c r="Q423" s="11" t="n"/>
      <c r="S423">
        <f>IF($A423="","",IF($W423=1,Settings!$C$6,Settings!$C$7)*1)</f>
        <v/>
      </c>
      <c r="U423">
        <f>IF($A423="","",IF(COUNTIF($A$2:$A423,$A423)=1,1,0))</f>
        <v/>
      </c>
      <c r="V423">
        <f>IF($U423=1,SUMPRODUCT(--($X$2:$X$3001&lt;$X423))+1,"")</f>
        <v/>
      </c>
      <c r="W423">
        <f>IF($A423="","",IF(OR($T423=TRUE(),$T423="TRUE"),1,0))</f>
        <v/>
      </c>
      <c r="X423">
        <f>IF($U423=1,IFERROR(IF(VALUE($A423)&lt;100000000,VALUE($A423),1000000000),IFERROR(IF(VALUE(MID($A423,2,20))&lt;100000000,VALUE(MID($A423,2,20)),1000000000),1000000000))+ROW()/100000,"")</f>
        <v/>
      </c>
    </row>
    <row r="424">
      <c r="F424" s="7">
        <f>IF($A424="","",E424*N424/100)</f>
        <v/>
      </c>
      <c r="J424" s="7" t="n"/>
      <c r="K424" s="7">
        <f>IF($A424="","",S424*N424)</f>
        <v/>
      </c>
      <c r="L424" s="7">
        <f>IF($A424="","",N424-K424)</f>
        <v/>
      </c>
      <c r="M424" s="7">
        <f>IF($A424="","",L424-F424)</f>
        <v/>
      </c>
      <c r="N424" s="7" t="n"/>
      <c r="Q424" s="11" t="n"/>
      <c r="S424">
        <f>IF($A424="","",IF($W424=1,Settings!$C$6,Settings!$C$7)*1)</f>
        <v/>
      </c>
      <c r="U424">
        <f>IF($A424="","",IF(COUNTIF($A$2:$A424,$A424)=1,1,0))</f>
        <v/>
      </c>
      <c r="V424">
        <f>IF($U424=1,SUMPRODUCT(--($X$2:$X$3001&lt;$X424))+1,"")</f>
        <v/>
      </c>
      <c r="W424">
        <f>IF($A424="","",IF(OR($T424=TRUE(),$T424="TRUE"),1,0))</f>
        <v/>
      </c>
      <c r="X424">
        <f>IF($U424=1,IFERROR(IF(VALUE($A424)&lt;100000000,VALUE($A424),1000000000),IFERROR(IF(VALUE(MID($A424,2,20))&lt;100000000,VALUE(MID($A424,2,20)),1000000000),1000000000))+ROW()/100000,"")</f>
        <v/>
      </c>
    </row>
    <row r="425">
      <c r="F425" s="7">
        <f>IF($A425="","",E425*N425/100)</f>
        <v/>
      </c>
      <c r="J425" s="7" t="n"/>
      <c r="K425" s="7">
        <f>IF($A425="","",S425*N425)</f>
        <v/>
      </c>
      <c r="L425" s="7">
        <f>IF($A425="","",N425-K425)</f>
        <v/>
      </c>
      <c r="M425" s="7">
        <f>IF($A425="","",L425-F425)</f>
        <v/>
      </c>
      <c r="N425" s="7" t="n"/>
      <c r="Q425" s="11" t="n"/>
      <c r="S425">
        <f>IF($A425="","",IF($W425=1,Settings!$C$6,Settings!$C$7)*1)</f>
        <v/>
      </c>
      <c r="U425">
        <f>IF($A425="","",IF(COUNTIF($A$2:$A425,$A425)=1,1,0))</f>
        <v/>
      </c>
      <c r="V425">
        <f>IF($U425=1,SUMPRODUCT(--($X$2:$X$3001&lt;$X425))+1,"")</f>
        <v/>
      </c>
      <c r="W425">
        <f>IF($A425="","",IF(OR($T425=TRUE(),$T425="TRUE"),1,0))</f>
        <v/>
      </c>
      <c r="X425">
        <f>IF($U425=1,IFERROR(IF(VALUE($A425)&lt;100000000,VALUE($A425),1000000000),IFERROR(IF(VALUE(MID($A425,2,20))&lt;100000000,VALUE(MID($A425,2,20)),1000000000),1000000000))+ROW()/100000,"")</f>
        <v/>
      </c>
    </row>
    <row r="426">
      <c r="F426" s="7">
        <f>IF($A426="","",E426*N426/100)</f>
        <v/>
      </c>
      <c r="J426" s="7" t="n"/>
      <c r="K426" s="7">
        <f>IF($A426="","",S426*N426)</f>
        <v/>
      </c>
      <c r="L426" s="7">
        <f>IF($A426="","",N426-K426)</f>
        <v/>
      </c>
      <c r="M426" s="7">
        <f>IF($A426="","",L426-F426)</f>
        <v/>
      </c>
      <c r="N426" s="7" t="n"/>
      <c r="Q426" s="11" t="n"/>
      <c r="S426">
        <f>IF($A426="","",IF($W426=1,Settings!$C$6,Settings!$C$7)*1)</f>
        <v/>
      </c>
      <c r="U426">
        <f>IF($A426="","",IF(COUNTIF($A$2:$A426,$A426)=1,1,0))</f>
        <v/>
      </c>
      <c r="V426">
        <f>IF($U426=1,SUMPRODUCT(--($X$2:$X$3001&lt;$X426))+1,"")</f>
        <v/>
      </c>
      <c r="W426">
        <f>IF($A426="","",IF(OR($T426=TRUE(),$T426="TRUE"),1,0))</f>
        <v/>
      </c>
      <c r="X426">
        <f>IF($U426=1,IFERROR(IF(VALUE($A426)&lt;100000000,VALUE($A426),1000000000),IFERROR(IF(VALUE(MID($A426,2,20))&lt;100000000,VALUE(MID($A426,2,20)),1000000000),1000000000))+ROW()/100000,"")</f>
        <v/>
      </c>
    </row>
    <row r="427">
      <c r="F427" s="7">
        <f>IF($A427="","",E427*N427/100)</f>
        <v/>
      </c>
      <c r="J427" s="7" t="n"/>
      <c r="K427" s="7">
        <f>IF($A427="","",S427*N427)</f>
        <v/>
      </c>
      <c r="L427" s="7">
        <f>IF($A427="","",N427-K427)</f>
        <v/>
      </c>
      <c r="M427" s="7">
        <f>IF($A427="","",L427-F427)</f>
        <v/>
      </c>
      <c r="N427" s="7" t="n"/>
      <c r="Q427" s="11" t="n"/>
      <c r="S427">
        <f>IF($A427="","",IF($W427=1,Settings!$C$6,Settings!$C$7)*1)</f>
        <v/>
      </c>
      <c r="U427">
        <f>IF($A427="","",IF(COUNTIF($A$2:$A427,$A427)=1,1,0))</f>
        <v/>
      </c>
      <c r="V427">
        <f>IF($U427=1,SUMPRODUCT(--($X$2:$X$3001&lt;$X427))+1,"")</f>
        <v/>
      </c>
      <c r="W427">
        <f>IF($A427="","",IF(OR($T427=TRUE(),$T427="TRUE"),1,0))</f>
        <v/>
      </c>
      <c r="X427">
        <f>IF($U427=1,IFERROR(IF(VALUE($A427)&lt;100000000,VALUE($A427),1000000000),IFERROR(IF(VALUE(MID($A427,2,20))&lt;100000000,VALUE(MID($A427,2,20)),1000000000),1000000000))+ROW()/100000,"")</f>
        <v/>
      </c>
    </row>
    <row r="428">
      <c r="F428" s="7">
        <f>IF($A428="","",E428*N428/100)</f>
        <v/>
      </c>
      <c r="J428" s="7" t="n"/>
      <c r="K428" s="7">
        <f>IF($A428="","",S428*N428)</f>
        <v/>
      </c>
      <c r="L428" s="7">
        <f>IF($A428="","",N428-K428)</f>
        <v/>
      </c>
      <c r="M428" s="7">
        <f>IF($A428="","",L428-F428)</f>
        <v/>
      </c>
      <c r="N428" s="7" t="n"/>
      <c r="Q428" s="11" t="n"/>
      <c r="S428">
        <f>IF($A428="","",IF($W428=1,Settings!$C$6,Settings!$C$7)*1)</f>
        <v/>
      </c>
      <c r="U428">
        <f>IF($A428="","",IF(COUNTIF($A$2:$A428,$A428)=1,1,0))</f>
        <v/>
      </c>
      <c r="V428">
        <f>IF($U428=1,SUMPRODUCT(--($X$2:$X$3001&lt;$X428))+1,"")</f>
        <v/>
      </c>
      <c r="W428">
        <f>IF($A428="","",IF(OR($T428=TRUE(),$T428="TRUE"),1,0))</f>
        <v/>
      </c>
      <c r="X428">
        <f>IF($U428=1,IFERROR(IF(VALUE($A428)&lt;100000000,VALUE($A428),1000000000),IFERROR(IF(VALUE(MID($A428,2,20))&lt;100000000,VALUE(MID($A428,2,20)),1000000000),1000000000))+ROW()/100000,"")</f>
        <v/>
      </c>
    </row>
    <row r="429">
      <c r="F429" s="7">
        <f>IF($A429="","",E429*N429/100)</f>
        <v/>
      </c>
      <c r="J429" s="7" t="n"/>
      <c r="K429" s="7">
        <f>IF($A429="","",S429*N429)</f>
        <v/>
      </c>
      <c r="L429" s="7">
        <f>IF($A429="","",N429-K429)</f>
        <v/>
      </c>
      <c r="M429" s="7">
        <f>IF($A429="","",L429-F429)</f>
        <v/>
      </c>
      <c r="N429" s="7" t="n"/>
      <c r="Q429" s="11" t="n"/>
      <c r="S429">
        <f>IF($A429="","",IF($W429=1,Settings!$C$6,Settings!$C$7)*1)</f>
        <v/>
      </c>
      <c r="U429">
        <f>IF($A429="","",IF(COUNTIF($A$2:$A429,$A429)=1,1,0))</f>
        <v/>
      </c>
      <c r="V429">
        <f>IF($U429=1,SUMPRODUCT(--($X$2:$X$3001&lt;$X429))+1,"")</f>
        <v/>
      </c>
      <c r="W429">
        <f>IF($A429="","",IF(OR($T429=TRUE(),$T429="TRUE"),1,0))</f>
        <v/>
      </c>
      <c r="X429">
        <f>IF($U429=1,IFERROR(IF(VALUE($A429)&lt;100000000,VALUE($A429),1000000000),IFERROR(IF(VALUE(MID($A429,2,20))&lt;100000000,VALUE(MID($A429,2,20)),1000000000),1000000000))+ROW()/100000,"")</f>
        <v/>
      </c>
    </row>
    <row r="430">
      <c r="F430" s="7">
        <f>IF($A430="","",E430*N430/100)</f>
        <v/>
      </c>
      <c r="J430" s="7" t="n"/>
      <c r="K430" s="7">
        <f>IF($A430="","",S430*N430)</f>
        <v/>
      </c>
      <c r="L430" s="7">
        <f>IF($A430="","",N430-K430)</f>
        <v/>
      </c>
      <c r="M430" s="7">
        <f>IF($A430="","",L430-F430)</f>
        <v/>
      </c>
      <c r="N430" s="7" t="n"/>
      <c r="Q430" s="11" t="n"/>
      <c r="S430">
        <f>IF($A430="","",IF($W430=1,Settings!$C$6,Settings!$C$7)*1)</f>
        <v/>
      </c>
      <c r="U430">
        <f>IF($A430="","",IF(COUNTIF($A$2:$A430,$A430)=1,1,0))</f>
        <v/>
      </c>
      <c r="V430">
        <f>IF($U430=1,SUMPRODUCT(--($X$2:$X$3001&lt;$X430))+1,"")</f>
        <v/>
      </c>
      <c r="W430">
        <f>IF($A430="","",IF(OR($T430=TRUE(),$T430="TRUE"),1,0))</f>
        <v/>
      </c>
      <c r="X430">
        <f>IF($U430=1,IFERROR(IF(VALUE($A430)&lt;100000000,VALUE($A430),1000000000),IFERROR(IF(VALUE(MID($A430,2,20))&lt;100000000,VALUE(MID($A430,2,20)),1000000000),1000000000))+ROW()/100000,"")</f>
        <v/>
      </c>
    </row>
    <row r="431">
      <c r="F431" s="7">
        <f>IF($A431="","",E431*N431/100)</f>
        <v/>
      </c>
      <c r="J431" s="7" t="n"/>
      <c r="K431" s="7">
        <f>IF($A431="","",S431*N431)</f>
        <v/>
      </c>
      <c r="L431" s="7">
        <f>IF($A431="","",N431-K431)</f>
        <v/>
      </c>
      <c r="M431" s="7">
        <f>IF($A431="","",L431-F431)</f>
        <v/>
      </c>
      <c r="N431" s="7" t="n"/>
      <c r="Q431" s="11" t="n"/>
      <c r="S431">
        <f>IF($A431="","",IF($W431=1,Settings!$C$6,Settings!$C$7)*1)</f>
        <v/>
      </c>
      <c r="U431">
        <f>IF($A431="","",IF(COUNTIF($A$2:$A431,$A431)=1,1,0))</f>
        <v/>
      </c>
      <c r="V431">
        <f>IF($U431=1,SUMPRODUCT(--($X$2:$X$3001&lt;$X431))+1,"")</f>
        <v/>
      </c>
      <c r="W431">
        <f>IF($A431="","",IF(OR($T431=TRUE(),$T431="TRUE"),1,0))</f>
        <v/>
      </c>
      <c r="X431">
        <f>IF($U431=1,IFERROR(IF(VALUE($A431)&lt;100000000,VALUE($A431),1000000000),IFERROR(IF(VALUE(MID($A431,2,20))&lt;100000000,VALUE(MID($A431,2,20)),1000000000),1000000000))+ROW()/100000,"")</f>
        <v/>
      </c>
    </row>
    <row r="432">
      <c r="F432" s="7">
        <f>IF($A432="","",E432*N432/100)</f>
        <v/>
      </c>
      <c r="J432" s="7" t="n"/>
      <c r="K432" s="7">
        <f>IF($A432="","",S432*N432)</f>
        <v/>
      </c>
      <c r="L432" s="7">
        <f>IF($A432="","",N432-K432)</f>
        <v/>
      </c>
      <c r="M432" s="7">
        <f>IF($A432="","",L432-F432)</f>
        <v/>
      </c>
      <c r="N432" s="7" t="n"/>
      <c r="Q432" s="11" t="n"/>
      <c r="S432">
        <f>IF($A432="","",IF($W432=1,Settings!$C$6,Settings!$C$7)*1)</f>
        <v/>
      </c>
      <c r="U432">
        <f>IF($A432="","",IF(COUNTIF($A$2:$A432,$A432)=1,1,0))</f>
        <v/>
      </c>
      <c r="V432">
        <f>IF($U432=1,SUMPRODUCT(--($X$2:$X$3001&lt;$X432))+1,"")</f>
        <v/>
      </c>
      <c r="W432">
        <f>IF($A432="","",IF(OR($T432=TRUE(),$T432="TRUE"),1,0))</f>
        <v/>
      </c>
      <c r="X432">
        <f>IF($U432=1,IFERROR(IF(VALUE($A432)&lt;100000000,VALUE($A432),1000000000),IFERROR(IF(VALUE(MID($A432,2,20))&lt;100000000,VALUE(MID($A432,2,20)),1000000000),1000000000))+ROW()/100000,"")</f>
        <v/>
      </c>
    </row>
    <row r="433">
      <c r="F433" s="7">
        <f>IF($A433="","",E433*N433/100)</f>
        <v/>
      </c>
      <c r="J433" s="7" t="n"/>
      <c r="K433" s="7">
        <f>IF($A433="","",S433*N433)</f>
        <v/>
      </c>
      <c r="L433" s="7">
        <f>IF($A433="","",N433-K433)</f>
        <v/>
      </c>
      <c r="M433" s="7">
        <f>IF($A433="","",L433-F433)</f>
        <v/>
      </c>
      <c r="N433" s="7" t="n"/>
      <c r="Q433" s="11" t="n"/>
      <c r="S433">
        <f>IF($A433="","",IF($W433=1,Settings!$C$6,Settings!$C$7)*1)</f>
        <v/>
      </c>
      <c r="U433">
        <f>IF($A433="","",IF(COUNTIF($A$2:$A433,$A433)=1,1,0))</f>
        <v/>
      </c>
      <c r="V433">
        <f>IF($U433=1,SUMPRODUCT(--($X$2:$X$3001&lt;$X433))+1,"")</f>
        <v/>
      </c>
      <c r="W433">
        <f>IF($A433="","",IF(OR($T433=TRUE(),$T433="TRUE"),1,0))</f>
        <v/>
      </c>
      <c r="X433">
        <f>IF($U433=1,IFERROR(IF(VALUE($A433)&lt;100000000,VALUE($A433),1000000000),IFERROR(IF(VALUE(MID($A433,2,20))&lt;100000000,VALUE(MID($A433,2,20)),1000000000),1000000000))+ROW()/100000,"")</f>
        <v/>
      </c>
    </row>
    <row r="434">
      <c r="F434" s="7">
        <f>IF($A434="","",E434*N434/100)</f>
        <v/>
      </c>
      <c r="J434" s="7" t="n"/>
      <c r="K434" s="7">
        <f>IF($A434="","",S434*N434)</f>
        <v/>
      </c>
      <c r="L434" s="7">
        <f>IF($A434="","",N434-K434)</f>
        <v/>
      </c>
      <c r="M434" s="7">
        <f>IF($A434="","",L434-F434)</f>
        <v/>
      </c>
      <c r="N434" s="7" t="n"/>
      <c r="Q434" s="11" t="n"/>
      <c r="S434">
        <f>IF($A434="","",IF($W434=1,Settings!$C$6,Settings!$C$7)*1)</f>
        <v/>
      </c>
      <c r="U434">
        <f>IF($A434="","",IF(COUNTIF($A$2:$A434,$A434)=1,1,0))</f>
        <v/>
      </c>
      <c r="V434">
        <f>IF($U434=1,SUMPRODUCT(--($X$2:$X$3001&lt;$X434))+1,"")</f>
        <v/>
      </c>
      <c r="W434">
        <f>IF($A434="","",IF(OR($T434=TRUE(),$T434="TRUE"),1,0))</f>
        <v/>
      </c>
      <c r="X434">
        <f>IF($U434=1,IFERROR(IF(VALUE($A434)&lt;100000000,VALUE($A434),1000000000),IFERROR(IF(VALUE(MID($A434,2,20))&lt;100000000,VALUE(MID($A434,2,20)),1000000000),1000000000))+ROW()/100000,"")</f>
        <v/>
      </c>
    </row>
    <row r="435">
      <c r="F435" s="7">
        <f>IF($A435="","",E435*N435/100)</f>
        <v/>
      </c>
      <c r="J435" s="7" t="n"/>
      <c r="K435" s="7">
        <f>IF($A435="","",S435*N435)</f>
        <v/>
      </c>
      <c r="L435" s="7">
        <f>IF($A435="","",N435-K435)</f>
        <v/>
      </c>
      <c r="M435" s="7">
        <f>IF($A435="","",L435-F435)</f>
        <v/>
      </c>
      <c r="N435" s="7" t="n"/>
      <c r="Q435" s="11" t="n"/>
      <c r="S435">
        <f>IF($A435="","",IF($W435=1,Settings!$C$6,Settings!$C$7)*1)</f>
        <v/>
      </c>
      <c r="U435">
        <f>IF($A435="","",IF(COUNTIF($A$2:$A435,$A435)=1,1,0))</f>
        <v/>
      </c>
      <c r="V435">
        <f>IF($U435=1,SUMPRODUCT(--($X$2:$X$3001&lt;$X435))+1,"")</f>
        <v/>
      </c>
      <c r="W435">
        <f>IF($A435="","",IF(OR($T435=TRUE(),$T435="TRUE"),1,0))</f>
        <v/>
      </c>
      <c r="X435">
        <f>IF($U435=1,IFERROR(IF(VALUE($A435)&lt;100000000,VALUE($A435),1000000000),IFERROR(IF(VALUE(MID($A435,2,20))&lt;100000000,VALUE(MID($A435,2,20)),1000000000),1000000000))+ROW()/100000,"")</f>
        <v/>
      </c>
    </row>
    <row r="436">
      <c r="F436" s="7">
        <f>IF($A436="","",E436*N436/100)</f>
        <v/>
      </c>
      <c r="J436" s="7" t="n"/>
      <c r="K436" s="7">
        <f>IF($A436="","",S436*N436)</f>
        <v/>
      </c>
      <c r="L436" s="7">
        <f>IF($A436="","",N436-K436)</f>
        <v/>
      </c>
      <c r="M436" s="7">
        <f>IF($A436="","",L436-F436)</f>
        <v/>
      </c>
      <c r="N436" s="7" t="n"/>
      <c r="Q436" s="11" t="n"/>
      <c r="S436">
        <f>IF($A436="","",IF($W436=1,Settings!$C$6,Settings!$C$7)*1)</f>
        <v/>
      </c>
      <c r="U436">
        <f>IF($A436="","",IF(COUNTIF($A$2:$A436,$A436)=1,1,0))</f>
        <v/>
      </c>
      <c r="V436">
        <f>IF($U436=1,SUMPRODUCT(--($X$2:$X$3001&lt;$X436))+1,"")</f>
        <v/>
      </c>
      <c r="W436">
        <f>IF($A436="","",IF(OR($T436=TRUE(),$T436="TRUE"),1,0))</f>
        <v/>
      </c>
      <c r="X436">
        <f>IF($U436=1,IFERROR(IF(VALUE($A436)&lt;100000000,VALUE($A436),1000000000),IFERROR(IF(VALUE(MID($A436,2,20))&lt;100000000,VALUE(MID($A436,2,20)),1000000000),1000000000))+ROW()/100000,"")</f>
        <v/>
      </c>
    </row>
    <row r="437">
      <c r="F437" s="7">
        <f>IF($A437="","",E437*N437/100)</f>
        <v/>
      </c>
      <c r="J437" s="7" t="n"/>
      <c r="K437" s="7">
        <f>IF($A437="","",S437*N437)</f>
        <v/>
      </c>
      <c r="L437" s="7">
        <f>IF($A437="","",N437-K437)</f>
        <v/>
      </c>
      <c r="M437" s="7">
        <f>IF($A437="","",L437-F437)</f>
        <v/>
      </c>
      <c r="N437" s="7" t="n"/>
      <c r="Q437" s="11" t="n"/>
      <c r="S437">
        <f>IF($A437="","",IF($W437=1,Settings!$C$6,Settings!$C$7)*1)</f>
        <v/>
      </c>
      <c r="U437">
        <f>IF($A437="","",IF(COUNTIF($A$2:$A437,$A437)=1,1,0))</f>
        <v/>
      </c>
      <c r="V437">
        <f>IF($U437=1,SUMPRODUCT(--($X$2:$X$3001&lt;$X437))+1,"")</f>
        <v/>
      </c>
      <c r="W437">
        <f>IF($A437="","",IF(OR($T437=TRUE(),$T437="TRUE"),1,0))</f>
        <v/>
      </c>
      <c r="X437">
        <f>IF($U437=1,IFERROR(IF(VALUE($A437)&lt;100000000,VALUE($A437),1000000000),IFERROR(IF(VALUE(MID($A437,2,20))&lt;100000000,VALUE(MID($A437,2,20)),1000000000),1000000000))+ROW()/100000,"")</f>
        <v/>
      </c>
    </row>
    <row r="438">
      <c r="F438" s="7">
        <f>IF($A438="","",E438*N438/100)</f>
        <v/>
      </c>
      <c r="J438" s="7" t="n"/>
      <c r="K438" s="7">
        <f>IF($A438="","",S438*N438)</f>
        <v/>
      </c>
      <c r="L438" s="7">
        <f>IF($A438="","",N438-K438)</f>
        <v/>
      </c>
      <c r="M438" s="7">
        <f>IF($A438="","",L438-F438)</f>
        <v/>
      </c>
      <c r="N438" s="7" t="n"/>
      <c r="Q438" s="11" t="n"/>
      <c r="S438">
        <f>IF($A438="","",IF($W438=1,Settings!$C$6,Settings!$C$7)*1)</f>
        <v/>
      </c>
      <c r="U438">
        <f>IF($A438="","",IF(COUNTIF($A$2:$A438,$A438)=1,1,0))</f>
        <v/>
      </c>
      <c r="V438">
        <f>IF($U438=1,SUMPRODUCT(--($X$2:$X$3001&lt;$X438))+1,"")</f>
        <v/>
      </c>
      <c r="W438">
        <f>IF($A438="","",IF(OR($T438=TRUE(),$T438="TRUE"),1,0))</f>
        <v/>
      </c>
      <c r="X438">
        <f>IF($U438=1,IFERROR(IF(VALUE($A438)&lt;100000000,VALUE($A438),1000000000),IFERROR(IF(VALUE(MID($A438,2,20))&lt;100000000,VALUE(MID($A438,2,20)),1000000000),1000000000))+ROW()/100000,"")</f>
        <v/>
      </c>
    </row>
    <row r="439">
      <c r="F439" s="7">
        <f>IF($A439="","",E439*N439/100)</f>
        <v/>
      </c>
      <c r="J439" s="7" t="n"/>
      <c r="K439" s="7">
        <f>IF($A439="","",S439*N439)</f>
        <v/>
      </c>
      <c r="L439" s="7">
        <f>IF($A439="","",N439-K439)</f>
        <v/>
      </c>
      <c r="M439" s="7">
        <f>IF($A439="","",L439-F439)</f>
        <v/>
      </c>
      <c r="N439" s="7" t="n"/>
      <c r="Q439" s="11" t="n"/>
      <c r="S439">
        <f>IF($A439="","",IF($W439=1,Settings!$C$6,Settings!$C$7)*1)</f>
        <v/>
      </c>
      <c r="U439">
        <f>IF($A439="","",IF(COUNTIF($A$2:$A439,$A439)=1,1,0))</f>
        <v/>
      </c>
      <c r="V439">
        <f>IF($U439=1,SUMPRODUCT(--($X$2:$X$3001&lt;$X439))+1,"")</f>
        <v/>
      </c>
      <c r="W439">
        <f>IF($A439="","",IF(OR($T439=TRUE(),$T439="TRUE"),1,0))</f>
        <v/>
      </c>
      <c r="X439">
        <f>IF($U439=1,IFERROR(IF(VALUE($A439)&lt;100000000,VALUE($A439),1000000000),IFERROR(IF(VALUE(MID($A439,2,20))&lt;100000000,VALUE(MID($A439,2,20)),1000000000),1000000000))+ROW()/100000,"")</f>
        <v/>
      </c>
    </row>
    <row r="440">
      <c r="F440" s="7">
        <f>IF($A440="","",E440*N440/100)</f>
        <v/>
      </c>
      <c r="J440" s="7" t="n"/>
      <c r="K440" s="7">
        <f>IF($A440="","",S440*N440)</f>
        <v/>
      </c>
      <c r="L440" s="7">
        <f>IF($A440="","",N440-K440)</f>
        <v/>
      </c>
      <c r="M440" s="7">
        <f>IF($A440="","",L440-F440)</f>
        <v/>
      </c>
      <c r="N440" s="7" t="n"/>
      <c r="Q440" s="11" t="n"/>
      <c r="S440">
        <f>IF($A440="","",IF($W440=1,Settings!$C$6,Settings!$C$7)*1)</f>
        <v/>
      </c>
      <c r="U440">
        <f>IF($A440="","",IF(COUNTIF($A$2:$A440,$A440)=1,1,0))</f>
        <v/>
      </c>
      <c r="V440">
        <f>IF($U440=1,SUMPRODUCT(--($X$2:$X$3001&lt;$X440))+1,"")</f>
        <v/>
      </c>
      <c r="W440">
        <f>IF($A440="","",IF(OR($T440=TRUE(),$T440="TRUE"),1,0))</f>
        <v/>
      </c>
      <c r="X440">
        <f>IF($U440=1,IFERROR(IF(VALUE($A440)&lt;100000000,VALUE($A440),1000000000),IFERROR(IF(VALUE(MID($A440,2,20))&lt;100000000,VALUE(MID($A440,2,20)),1000000000),1000000000))+ROW()/100000,"")</f>
        <v/>
      </c>
    </row>
    <row r="441">
      <c r="F441" s="7">
        <f>IF($A441="","",E441*N441/100)</f>
        <v/>
      </c>
      <c r="J441" s="7" t="n"/>
      <c r="K441" s="7">
        <f>IF($A441="","",S441*N441)</f>
        <v/>
      </c>
      <c r="L441" s="7">
        <f>IF($A441="","",N441-K441)</f>
        <v/>
      </c>
      <c r="M441" s="7">
        <f>IF($A441="","",L441-F441)</f>
        <v/>
      </c>
      <c r="N441" s="7" t="n"/>
      <c r="Q441" s="11" t="n"/>
      <c r="S441">
        <f>IF($A441="","",IF($W441=1,Settings!$C$6,Settings!$C$7)*1)</f>
        <v/>
      </c>
      <c r="U441">
        <f>IF($A441="","",IF(COUNTIF($A$2:$A441,$A441)=1,1,0))</f>
        <v/>
      </c>
      <c r="V441">
        <f>IF($U441=1,SUMPRODUCT(--($X$2:$X$3001&lt;$X441))+1,"")</f>
        <v/>
      </c>
      <c r="W441">
        <f>IF($A441="","",IF(OR($T441=TRUE(),$T441="TRUE"),1,0))</f>
        <v/>
      </c>
      <c r="X441">
        <f>IF($U441=1,IFERROR(IF(VALUE($A441)&lt;100000000,VALUE($A441),1000000000),IFERROR(IF(VALUE(MID($A441,2,20))&lt;100000000,VALUE(MID($A441,2,20)),1000000000),1000000000))+ROW()/100000,"")</f>
        <v/>
      </c>
    </row>
    <row r="442">
      <c r="F442" s="7">
        <f>IF($A442="","",E442*N442/100)</f>
        <v/>
      </c>
      <c r="J442" s="7" t="n"/>
      <c r="K442" s="7">
        <f>IF($A442="","",S442*N442)</f>
        <v/>
      </c>
      <c r="L442" s="7">
        <f>IF($A442="","",N442-K442)</f>
        <v/>
      </c>
      <c r="M442" s="7">
        <f>IF($A442="","",L442-F442)</f>
        <v/>
      </c>
      <c r="N442" s="7" t="n"/>
      <c r="Q442" s="11" t="n"/>
      <c r="S442">
        <f>IF($A442="","",IF($W442=1,Settings!$C$6,Settings!$C$7)*1)</f>
        <v/>
      </c>
      <c r="U442">
        <f>IF($A442="","",IF(COUNTIF($A$2:$A442,$A442)=1,1,0))</f>
        <v/>
      </c>
      <c r="V442">
        <f>IF($U442=1,SUMPRODUCT(--($X$2:$X$3001&lt;$X442))+1,"")</f>
        <v/>
      </c>
      <c r="W442">
        <f>IF($A442="","",IF(OR($T442=TRUE(),$T442="TRUE"),1,0))</f>
        <v/>
      </c>
      <c r="X442">
        <f>IF($U442=1,IFERROR(IF(VALUE($A442)&lt;100000000,VALUE($A442),1000000000),IFERROR(IF(VALUE(MID($A442,2,20))&lt;100000000,VALUE(MID($A442,2,20)),1000000000),1000000000))+ROW()/100000,"")</f>
        <v/>
      </c>
    </row>
    <row r="443">
      <c r="F443" s="7">
        <f>IF($A443="","",E443*N443/100)</f>
        <v/>
      </c>
      <c r="J443" s="7" t="n"/>
      <c r="K443" s="7">
        <f>IF($A443="","",S443*N443)</f>
        <v/>
      </c>
      <c r="L443" s="7">
        <f>IF($A443="","",N443-K443)</f>
        <v/>
      </c>
      <c r="M443" s="7">
        <f>IF($A443="","",L443-F443)</f>
        <v/>
      </c>
      <c r="N443" s="7" t="n"/>
      <c r="Q443" s="11" t="n"/>
      <c r="S443">
        <f>IF($A443="","",IF($W443=1,Settings!$C$6,Settings!$C$7)*1)</f>
        <v/>
      </c>
      <c r="U443">
        <f>IF($A443="","",IF(COUNTIF($A$2:$A443,$A443)=1,1,0))</f>
        <v/>
      </c>
      <c r="V443">
        <f>IF($U443=1,SUMPRODUCT(--($X$2:$X$3001&lt;$X443))+1,"")</f>
        <v/>
      </c>
      <c r="W443">
        <f>IF($A443="","",IF(OR($T443=TRUE(),$T443="TRUE"),1,0))</f>
        <v/>
      </c>
      <c r="X443">
        <f>IF($U443=1,IFERROR(IF(VALUE($A443)&lt;100000000,VALUE($A443),1000000000),IFERROR(IF(VALUE(MID($A443,2,20))&lt;100000000,VALUE(MID($A443,2,20)),1000000000),1000000000))+ROW()/100000,"")</f>
        <v/>
      </c>
    </row>
    <row r="444">
      <c r="F444" s="7">
        <f>IF($A444="","",E444*N444/100)</f>
        <v/>
      </c>
      <c r="J444" s="7" t="n"/>
      <c r="K444" s="7">
        <f>IF($A444="","",S444*N444)</f>
        <v/>
      </c>
      <c r="L444" s="7">
        <f>IF($A444="","",N444-K444)</f>
        <v/>
      </c>
      <c r="M444" s="7">
        <f>IF($A444="","",L444-F444)</f>
        <v/>
      </c>
      <c r="N444" s="7" t="n"/>
      <c r="Q444" s="11" t="n"/>
      <c r="S444">
        <f>IF($A444="","",IF($W444=1,Settings!$C$6,Settings!$C$7)*1)</f>
        <v/>
      </c>
      <c r="U444">
        <f>IF($A444="","",IF(COUNTIF($A$2:$A444,$A444)=1,1,0))</f>
        <v/>
      </c>
      <c r="V444">
        <f>IF($U444=1,SUMPRODUCT(--($X$2:$X$3001&lt;$X444))+1,"")</f>
        <v/>
      </c>
      <c r="W444">
        <f>IF($A444="","",IF(OR($T444=TRUE(),$T444="TRUE"),1,0))</f>
        <v/>
      </c>
      <c r="X444">
        <f>IF($U444=1,IFERROR(IF(VALUE($A444)&lt;100000000,VALUE($A444),1000000000),IFERROR(IF(VALUE(MID($A444,2,20))&lt;100000000,VALUE(MID($A444,2,20)),1000000000),1000000000))+ROW()/100000,"")</f>
        <v/>
      </c>
    </row>
    <row r="445">
      <c r="F445" s="7">
        <f>IF($A445="","",E445*N445/100)</f>
        <v/>
      </c>
      <c r="J445" s="7" t="n"/>
      <c r="K445" s="7">
        <f>IF($A445="","",S445*N445)</f>
        <v/>
      </c>
      <c r="L445" s="7">
        <f>IF($A445="","",N445-K445)</f>
        <v/>
      </c>
      <c r="M445" s="7">
        <f>IF($A445="","",L445-F445)</f>
        <v/>
      </c>
      <c r="N445" s="7" t="n"/>
      <c r="Q445" s="11" t="n"/>
      <c r="S445">
        <f>IF($A445="","",IF($W445=1,Settings!$C$6,Settings!$C$7)*1)</f>
        <v/>
      </c>
      <c r="U445">
        <f>IF($A445="","",IF(COUNTIF($A$2:$A445,$A445)=1,1,0))</f>
        <v/>
      </c>
      <c r="V445">
        <f>IF($U445=1,SUMPRODUCT(--($X$2:$X$3001&lt;$X445))+1,"")</f>
        <v/>
      </c>
      <c r="W445">
        <f>IF($A445="","",IF(OR($T445=TRUE(),$T445="TRUE"),1,0))</f>
        <v/>
      </c>
      <c r="X445">
        <f>IF($U445=1,IFERROR(IF(VALUE($A445)&lt;100000000,VALUE($A445),1000000000),IFERROR(IF(VALUE(MID($A445,2,20))&lt;100000000,VALUE(MID($A445,2,20)),1000000000),1000000000))+ROW()/100000,"")</f>
        <v/>
      </c>
    </row>
    <row r="446">
      <c r="F446" s="7">
        <f>IF($A446="","",E446*N446/100)</f>
        <v/>
      </c>
      <c r="J446" s="7" t="n"/>
      <c r="K446" s="7">
        <f>IF($A446="","",S446*N446)</f>
        <v/>
      </c>
      <c r="L446" s="7">
        <f>IF($A446="","",N446-K446)</f>
        <v/>
      </c>
      <c r="M446" s="7">
        <f>IF($A446="","",L446-F446)</f>
        <v/>
      </c>
      <c r="N446" s="7" t="n"/>
      <c r="Q446" s="11" t="n"/>
      <c r="S446">
        <f>IF($A446="","",IF($W446=1,Settings!$C$6,Settings!$C$7)*1)</f>
        <v/>
      </c>
      <c r="U446">
        <f>IF($A446="","",IF(COUNTIF($A$2:$A446,$A446)=1,1,0))</f>
        <v/>
      </c>
      <c r="V446">
        <f>IF($U446=1,SUMPRODUCT(--($X$2:$X$3001&lt;$X446))+1,"")</f>
        <v/>
      </c>
      <c r="W446">
        <f>IF($A446="","",IF(OR($T446=TRUE(),$T446="TRUE"),1,0))</f>
        <v/>
      </c>
      <c r="X446">
        <f>IF($U446=1,IFERROR(IF(VALUE($A446)&lt;100000000,VALUE($A446),1000000000),IFERROR(IF(VALUE(MID($A446,2,20))&lt;100000000,VALUE(MID($A446,2,20)),1000000000),1000000000))+ROW()/100000,"")</f>
        <v/>
      </c>
    </row>
    <row r="447">
      <c r="F447" s="7">
        <f>IF($A447="","",E447*N447/100)</f>
        <v/>
      </c>
      <c r="J447" s="7" t="n"/>
      <c r="K447" s="7">
        <f>IF($A447="","",S447*N447)</f>
        <v/>
      </c>
      <c r="L447" s="7">
        <f>IF($A447="","",N447-K447)</f>
        <v/>
      </c>
      <c r="M447" s="7">
        <f>IF($A447="","",L447-F447)</f>
        <v/>
      </c>
      <c r="N447" s="7" t="n"/>
      <c r="Q447" s="11" t="n"/>
      <c r="S447">
        <f>IF($A447="","",IF($W447=1,Settings!$C$6,Settings!$C$7)*1)</f>
        <v/>
      </c>
      <c r="U447">
        <f>IF($A447="","",IF(COUNTIF($A$2:$A447,$A447)=1,1,0))</f>
        <v/>
      </c>
      <c r="V447">
        <f>IF($U447=1,SUMPRODUCT(--($X$2:$X$3001&lt;$X447))+1,"")</f>
        <v/>
      </c>
      <c r="W447">
        <f>IF($A447="","",IF(OR($T447=TRUE(),$T447="TRUE"),1,0))</f>
        <v/>
      </c>
      <c r="X447">
        <f>IF($U447=1,IFERROR(IF(VALUE($A447)&lt;100000000,VALUE($A447),1000000000),IFERROR(IF(VALUE(MID($A447,2,20))&lt;100000000,VALUE(MID($A447,2,20)),1000000000),1000000000))+ROW()/100000,"")</f>
        <v/>
      </c>
    </row>
    <row r="448">
      <c r="F448" s="7">
        <f>IF($A448="","",E448*N448/100)</f>
        <v/>
      </c>
      <c r="J448" s="7" t="n"/>
      <c r="K448" s="7">
        <f>IF($A448="","",S448*N448)</f>
        <v/>
      </c>
      <c r="L448" s="7">
        <f>IF($A448="","",N448-K448)</f>
        <v/>
      </c>
      <c r="M448" s="7">
        <f>IF($A448="","",L448-F448)</f>
        <v/>
      </c>
      <c r="N448" s="7" t="n"/>
      <c r="Q448" s="11" t="n"/>
      <c r="S448">
        <f>IF($A448="","",IF($W448=1,Settings!$C$6,Settings!$C$7)*1)</f>
        <v/>
      </c>
      <c r="U448">
        <f>IF($A448="","",IF(COUNTIF($A$2:$A448,$A448)=1,1,0))</f>
        <v/>
      </c>
      <c r="V448">
        <f>IF($U448=1,SUMPRODUCT(--($X$2:$X$3001&lt;$X448))+1,"")</f>
        <v/>
      </c>
      <c r="W448">
        <f>IF($A448="","",IF(OR($T448=TRUE(),$T448="TRUE"),1,0))</f>
        <v/>
      </c>
      <c r="X448">
        <f>IF($U448=1,IFERROR(IF(VALUE($A448)&lt;100000000,VALUE($A448),1000000000),IFERROR(IF(VALUE(MID($A448,2,20))&lt;100000000,VALUE(MID($A448,2,20)),1000000000),1000000000))+ROW()/100000,"")</f>
        <v/>
      </c>
    </row>
    <row r="449">
      <c r="F449" s="7">
        <f>IF($A449="","",E449*N449/100)</f>
        <v/>
      </c>
      <c r="J449" s="7" t="n"/>
      <c r="K449" s="7">
        <f>IF($A449="","",S449*N449)</f>
        <v/>
      </c>
      <c r="L449" s="7">
        <f>IF($A449="","",N449-K449)</f>
        <v/>
      </c>
      <c r="M449" s="7">
        <f>IF($A449="","",L449-F449)</f>
        <v/>
      </c>
      <c r="N449" s="7" t="n"/>
      <c r="Q449" s="11" t="n"/>
      <c r="S449">
        <f>IF($A449="","",IF($W449=1,Settings!$C$6,Settings!$C$7)*1)</f>
        <v/>
      </c>
      <c r="U449">
        <f>IF($A449="","",IF(COUNTIF($A$2:$A449,$A449)=1,1,0))</f>
        <v/>
      </c>
      <c r="V449">
        <f>IF($U449=1,SUMPRODUCT(--($X$2:$X$3001&lt;$X449))+1,"")</f>
        <v/>
      </c>
      <c r="W449">
        <f>IF($A449="","",IF(OR($T449=TRUE(),$T449="TRUE"),1,0))</f>
        <v/>
      </c>
      <c r="X449">
        <f>IF($U449=1,IFERROR(IF(VALUE($A449)&lt;100000000,VALUE($A449),1000000000),IFERROR(IF(VALUE(MID($A449,2,20))&lt;100000000,VALUE(MID($A449,2,20)),1000000000),1000000000))+ROW()/100000,"")</f>
        <v/>
      </c>
    </row>
    <row r="450">
      <c r="F450" s="7">
        <f>IF($A450="","",E450*N450/100)</f>
        <v/>
      </c>
      <c r="J450" s="7" t="n"/>
      <c r="K450" s="7">
        <f>IF($A450="","",S450*N450)</f>
        <v/>
      </c>
      <c r="L450" s="7">
        <f>IF($A450="","",N450-K450)</f>
        <v/>
      </c>
      <c r="M450" s="7">
        <f>IF($A450="","",L450-F450)</f>
        <v/>
      </c>
      <c r="N450" s="7" t="n"/>
      <c r="Q450" s="11" t="n"/>
      <c r="S450">
        <f>IF($A450="","",IF($W450=1,Settings!$C$6,Settings!$C$7)*1)</f>
        <v/>
      </c>
      <c r="U450">
        <f>IF($A450="","",IF(COUNTIF($A$2:$A450,$A450)=1,1,0))</f>
        <v/>
      </c>
      <c r="V450">
        <f>IF($U450=1,SUMPRODUCT(--($X$2:$X$3001&lt;$X450))+1,"")</f>
        <v/>
      </c>
      <c r="W450">
        <f>IF($A450="","",IF(OR($T450=TRUE(),$T450="TRUE"),1,0))</f>
        <v/>
      </c>
      <c r="X450">
        <f>IF($U450=1,IFERROR(IF(VALUE($A450)&lt;100000000,VALUE($A450),1000000000),IFERROR(IF(VALUE(MID($A450,2,20))&lt;100000000,VALUE(MID($A450,2,20)),1000000000),1000000000))+ROW()/100000,"")</f>
        <v/>
      </c>
    </row>
    <row r="451">
      <c r="F451" s="7">
        <f>IF($A451="","",E451*N451/100)</f>
        <v/>
      </c>
      <c r="J451" s="7" t="n"/>
      <c r="K451" s="7">
        <f>IF($A451="","",S451*N451)</f>
        <v/>
      </c>
      <c r="L451" s="7">
        <f>IF($A451="","",N451-K451)</f>
        <v/>
      </c>
      <c r="M451" s="7">
        <f>IF($A451="","",L451-F451)</f>
        <v/>
      </c>
      <c r="N451" s="7" t="n"/>
      <c r="Q451" s="11" t="n"/>
      <c r="S451">
        <f>IF($A451="","",IF($W451=1,Settings!$C$6,Settings!$C$7)*1)</f>
        <v/>
      </c>
      <c r="U451">
        <f>IF($A451="","",IF(COUNTIF($A$2:$A451,$A451)=1,1,0))</f>
        <v/>
      </c>
      <c r="V451">
        <f>IF($U451=1,SUMPRODUCT(--($X$2:$X$3001&lt;$X451))+1,"")</f>
        <v/>
      </c>
      <c r="W451">
        <f>IF($A451="","",IF(OR($T451=TRUE(),$T451="TRUE"),1,0))</f>
        <v/>
      </c>
      <c r="X451">
        <f>IF($U451=1,IFERROR(IF(VALUE($A451)&lt;100000000,VALUE($A451),1000000000),IFERROR(IF(VALUE(MID($A451,2,20))&lt;100000000,VALUE(MID($A451,2,20)),1000000000),1000000000))+ROW()/100000,"")</f>
        <v/>
      </c>
    </row>
    <row r="452">
      <c r="F452" s="7">
        <f>IF($A452="","",E452*N452/100)</f>
        <v/>
      </c>
      <c r="J452" s="7" t="n"/>
      <c r="K452" s="7">
        <f>IF($A452="","",S452*N452)</f>
        <v/>
      </c>
      <c r="L452" s="7">
        <f>IF($A452="","",N452-K452)</f>
        <v/>
      </c>
      <c r="M452" s="7">
        <f>IF($A452="","",L452-F452)</f>
        <v/>
      </c>
      <c r="N452" s="7" t="n"/>
      <c r="Q452" s="11" t="n"/>
      <c r="S452">
        <f>IF($A452="","",IF($W452=1,Settings!$C$6,Settings!$C$7)*1)</f>
        <v/>
      </c>
      <c r="U452">
        <f>IF($A452="","",IF(COUNTIF($A$2:$A452,$A452)=1,1,0))</f>
        <v/>
      </c>
      <c r="V452">
        <f>IF($U452=1,SUMPRODUCT(--($X$2:$X$3001&lt;$X452))+1,"")</f>
        <v/>
      </c>
      <c r="W452">
        <f>IF($A452="","",IF(OR($T452=TRUE(),$T452="TRUE"),1,0))</f>
        <v/>
      </c>
      <c r="X452">
        <f>IF($U452=1,IFERROR(IF(VALUE($A452)&lt;100000000,VALUE($A452),1000000000),IFERROR(IF(VALUE(MID($A452,2,20))&lt;100000000,VALUE(MID($A452,2,20)),1000000000),1000000000))+ROW()/100000,"")</f>
        <v/>
      </c>
    </row>
    <row r="453">
      <c r="F453" s="7">
        <f>IF($A453="","",E453*N453/100)</f>
        <v/>
      </c>
      <c r="J453" s="7" t="n"/>
      <c r="K453" s="7">
        <f>IF($A453="","",S453*N453)</f>
        <v/>
      </c>
      <c r="L453" s="7">
        <f>IF($A453="","",N453-K453)</f>
        <v/>
      </c>
      <c r="M453" s="7">
        <f>IF($A453="","",L453-F453)</f>
        <v/>
      </c>
      <c r="N453" s="7" t="n"/>
      <c r="Q453" s="11" t="n"/>
      <c r="S453">
        <f>IF($A453="","",IF($W453=1,Settings!$C$6,Settings!$C$7)*1)</f>
        <v/>
      </c>
      <c r="U453">
        <f>IF($A453="","",IF(COUNTIF($A$2:$A453,$A453)=1,1,0))</f>
        <v/>
      </c>
      <c r="V453">
        <f>IF($U453=1,SUMPRODUCT(--($X$2:$X$3001&lt;$X453))+1,"")</f>
        <v/>
      </c>
      <c r="W453">
        <f>IF($A453="","",IF(OR($T453=TRUE(),$T453="TRUE"),1,0))</f>
        <v/>
      </c>
      <c r="X453">
        <f>IF($U453=1,IFERROR(IF(VALUE($A453)&lt;100000000,VALUE($A453),1000000000),IFERROR(IF(VALUE(MID($A453,2,20))&lt;100000000,VALUE(MID($A453,2,20)),1000000000),1000000000))+ROW()/100000,"")</f>
        <v/>
      </c>
    </row>
    <row r="454">
      <c r="F454" s="7">
        <f>IF($A454="","",E454*N454/100)</f>
        <v/>
      </c>
      <c r="J454" s="7" t="n"/>
      <c r="K454" s="7">
        <f>IF($A454="","",S454*N454)</f>
        <v/>
      </c>
      <c r="L454" s="7">
        <f>IF($A454="","",N454-K454)</f>
        <v/>
      </c>
      <c r="M454" s="7">
        <f>IF($A454="","",L454-F454)</f>
        <v/>
      </c>
      <c r="N454" s="7" t="n"/>
      <c r="Q454" s="11" t="n"/>
      <c r="S454">
        <f>IF($A454="","",IF($W454=1,Settings!$C$6,Settings!$C$7)*1)</f>
        <v/>
      </c>
      <c r="U454">
        <f>IF($A454="","",IF(COUNTIF($A$2:$A454,$A454)=1,1,0))</f>
        <v/>
      </c>
      <c r="V454">
        <f>IF($U454=1,SUMPRODUCT(--($X$2:$X$3001&lt;$X454))+1,"")</f>
        <v/>
      </c>
      <c r="W454">
        <f>IF($A454="","",IF(OR($T454=TRUE(),$T454="TRUE"),1,0))</f>
        <v/>
      </c>
      <c r="X454">
        <f>IF($U454=1,IFERROR(IF(VALUE($A454)&lt;100000000,VALUE($A454),1000000000),IFERROR(IF(VALUE(MID($A454,2,20))&lt;100000000,VALUE(MID($A454,2,20)),1000000000),1000000000))+ROW()/100000,"")</f>
        <v/>
      </c>
    </row>
    <row r="455">
      <c r="F455" s="7">
        <f>IF($A455="","",E455*N455/100)</f>
        <v/>
      </c>
      <c r="J455" s="7" t="n"/>
      <c r="K455" s="7">
        <f>IF($A455="","",S455*N455)</f>
        <v/>
      </c>
      <c r="L455" s="7">
        <f>IF($A455="","",N455-K455)</f>
        <v/>
      </c>
      <c r="M455" s="7">
        <f>IF($A455="","",L455-F455)</f>
        <v/>
      </c>
      <c r="N455" s="7" t="n"/>
      <c r="Q455" s="11" t="n"/>
      <c r="S455">
        <f>IF($A455="","",IF($W455=1,Settings!$C$6,Settings!$C$7)*1)</f>
        <v/>
      </c>
      <c r="U455">
        <f>IF($A455="","",IF(COUNTIF($A$2:$A455,$A455)=1,1,0))</f>
        <v/>
      </c>
      <c r="V455">
        <f>IF($U455=1,SUMPRODUCT(--($X$2:$X$3001&lt;$X455))+1,"")</f>
        <v/>
      </c>
      <c r="W455">
        <f>IF($A455="","",IF(OR($T455=TRUE(),$T455="TRUE"),1,0))</f>
        <v/>
      </c>
      <c r="X455">
        <f>IF($U455=1,IFERROR(IF(VALUE($A455)&lt;100000000,VALUE($A455),1000000000),IFERROR(IF(VALUE(MID($A455,2,20))&lt;100000000,VALUE(MID($A455,2,20)),1000000000),1000000000))+ROW()/100000,"")</f>
        <v/>
      </c>
    </row>
    <row r="456">
      <c r="F456" s="7">
        <f>IF($A456="","",E456*N456/100)</f>
        <v/>
      </c>
      <c r="J456" s="7" t="n"/>
      <c r="K456" s="7">
        <f>IF($A456="","",S456*N456)</f>
        <v/>
      </c>
      <c r="L456" s="7">
        <f>IF($A456="","",N456-K456)</f>
        <v/>
      </c>
      <c r="M456" s="7">
        <f>IF($A456="","",L456-F456)</f>
        <v/>
      </c>
      <c r="N456" s="7" t="n"/>
      <c r="Q456" s="11" t="n"/>
      <c r="S456">
        <f>IF($A456="","",IF($W456=1,Settings!$C$6,Settings!$C$7)*1)</f>
        <v/>
      </c>
      <c r="U456">
        <f>IF($A456="","",IF(COUNTIF($A$2:$A456,$A456)=1,1,0))</f>
        <v/>
      </c>
      <c r="V456">
        <f>IF($U456=1,SUMPRODUCT(--($X$2:$X$3001&lt;$X456))+1,"")</f>
        <v/>
      </c>
      <c r="W456">
        <f>IF($A456="","",IF(OR($T456=TRUE(),$T456="TRUE"),1,0))</f>
        <v/>
      </c>
      <c r="X456">
        <f>IF($U456=1,IFERROR(IF(VALUE($A456)&lt;100000000,VALUE($A456),1000000000),IFERROR(IF(VALUE(MID($A456,2,20))&lt;100000000,VALUE(MID($A456,2,20)),1000000000),1000000000))+ROW()/100000,"")</f>
        <v/>
      </c>
    </row>
    <row r="457">
      <c r="F457" s="7">
        <f>IF($A457="","",E457*N457/100)</f>
        <v/>
      </c>
      <c r="J457" s="7" t="n"/>
      <c r="K457" s="7">
        <f>IF($A457="","",S457*N457)</f>
        <v/>
      </c>
      <c r="L457" s="7">
        <f>IF($A457="","",N457-K457)</f>
        <v/>
      </c>
      <c r="M457" s="7">
        <f>IF($A457="","",L457-F457)</f>
        <v/>
      </c>
      <c r="N457" s="7" t="n"/>
      <c r="Q457" s="11" t="n"/>
      <c r="S457">
        <f>IF($A457="","",IF($W457=1,Settings!$C$6,Settings!$C$7)*1)</f>
        <v/>
      </c>
      <c r="U457">
        <f>IF($A457="","",IF(COUNTIF($A$2:$A457,$A457)=1,1,0))</f>
        <v/>
      </c>
      <c r="V457">
        <f>IF($U457=1,SUMPRODUCT(--($X$2:$X$3001&lt;$X457))+1,"")</f>
        <v/>
      </c>
      <c r="W457">
        <f>IF($A457="","",IF(OR($T457=TRUE(),$T457="TRUE"),1,0))</f>
        <v/>
      </c>
      <c r="X457">
        <f>IF($U457=1,IFERROR(IF(VALUE($A457)&lt;100000000,VALUE($A457),1000000000),IFERROR(IF(VALUE(MID($A457,2,20))&lt;100000000,VALUE(MID($A457,2,20)),1000000000),1000000000))+ROW()/100000,"")</f>
        <v/>
      </c>
    </row>
    <row r="458">
      <c r="F458" s="7">
        <f>IF($A458="","",E458*N458/100)</f>
        <v/>
      </c>
      <c r="J458" s="7" t="n"/>
      <c r="K458" s="7">
        <f>IF($A458="","",S458*N458)</f>
        <v/>
      </c>
      <c r="L458" s="7">
        <f>IF($A458="","",N458-K458)</f>
        <v/>
      </c>
      <c r="M458" s="7">
        <f>IF($A458="","",L458-F458)</f>
        <v/>
      </c>
      <c r="N458" s="7" t="n"/>
      <c r="Q458" s="11" t="n"/>
      <c r="S458">
        <f>IF($A458="","",IF($W458=1,Settings!$C$6,Settings!$C$7)*1)</f>
        <v/>
      </c>
      <c r="U458">
        <f>IF($A458="","",IF(COUNTIF($A$2:$A458,$A458)=1,1,0))</f>
        <v/>
      </c>
      <c r="V458">
        <f>IF($U458=1,SUMPRODUCT(--($X$2:$X$3001&lt;$X458))+1,"")</f>
        <v/>
      </c>
      <c r="W458">
        <f>IF($A458="","",IF(OR($T458=TRUE(),$T458="TRUE"),1,0))</f>
        <v/>
      </c>
      <c r="X458">
        <f>IF($U458=1,IFERROR(IF(VALUE($A458)&lt;100000000,VALUE($A458),1000000000),IFERROR(IF(VALUE(MID($A458,2,20))&lt;100000000,VALUE(MID($A458,2,20)),1000000000),1000000000))+ROW()/100000,"")</f>
        <v/>
      </c>
    </row>
    <row r="459">
      <c r="F459" s="7">
        <f>IF($A459="","",E459*N459/100)</f>
        <v/>
      </c>
      <c r="J459" s="7" t="n"/>
      <c r="K459" s="7">
        <f>IF($A459="","",S459*N459)</f>
        <v/>
      </c>
      <c r="L459" s="7">
        <f>IF($A459="","",N459-K459)</f>
        <v/>
      </c>
      <c r="M459" s="7">
        <f>IF($A459="","",L459-F459)</f>
        <v/>
      </c>
      <c r="N459" s="7" t="n"/>
      <c r="Q459" s="11" t="n"/>
      <c r="S459">
        <f>IF($A459="","",IF($W459=1,Settings!$C$6,Settings!$C$7)*1)</f>
        <v/>
      </c>
      <c r="U459">
        <f>IF($A459="","",IF(COUNTIF($A$2:$A459,$A459)=1,1,0))</f>
        <v/>
      </c>
      <c r="V459">
        <f>IF($U459=1,SUMPRODUCT(--($X$2:$X$3001&lt;$X459))+1,"")</f>
        <v/>
      </c>
      <c r="W459">
        <f>IF($A459="","",IF(OR($T459=TRUE(),$T459="TRUE"),1,0))</f>
        <v/>
      </c>
      <c r="X459">
        <f>IF($U459=1,IFERROR(IF(VALUE($A459)&lt;100000000,VALUE($A459),1000000000),IFERROR(IF(VALUE(MID($A459,2,20))&lt;100000000,VALUE(MID($A459,2,20)),1000000000),1000000000))+ROW()/100000,"")</f>
        <v/>
      </c>
    </row>
    <row r="460">
      <c r="F460" s="7">
        <f>IF($A460="","",E460*N460/100)</f>
        <v/>
      </c>
      <c r="J460" s="7" t="n"/>
      <c r="K460" s="7">
        <f>IF($A460="","",S460*N460)</f>
        <v/>
      </c>
      <c r="L460" s="7">
        <f>IF($A460="","",N460-K460)</f>
        <v/>
      </c>
      <c r="M460" s="7">
        <f>IF($A460="","",L460-F460)</f>
        <v/>
      </c>
      <c r="N460" s="7" t="n"/>
      <c r="Q460" s="11" t="n"/>
      <c r="S460">
        <f>IF($A460="","",IF($W460=1,Settings!$C$6,Settings!$C$7)*1)</f>
        <v/>
      </c>
      <c r="U460">
        <f>IF($A460="","",IF(COUNTIF($A$2:$A460,$A460)=1,1,0))</f>
        <v/>
      </c>
      <c r="V460">
        <f>IF($U460=1,SUMPRODUCT(--($X$2:$X$3001&lt;$X460))+1,"")</f>
        <v/>
      </c>
      <c r="W460">
        <f>IF($A460="","",IF(OR($T460=TRUE(),$T460="TRUE"),1,0))</f>
        <v/>
      </c>
      <c r="X460">
        <f>IF($U460=1,IFERROR(IF(VALUE($A460)&lt;100000000,VALUE($A460),1000000000),IFERROR(IF(VALUE(MID($A460,2,20))&lt;100000000,VALUE(MID($A460,2,20)),1000000000),1000000000))+ROW()/100000,"")</f>
        <v/>
      </c>
    </row>
    <row r="461">
      <c r="F461" s="7">
        <f>IF($A461="","",E461*N461/100)</f>
        <v/>
      </c>
      <c r="J461" s="7" t="n"/>
      <c r="K461" s="7">
        <f>IF($A461="","",S461*N461)</f>
        <v/>
      </c>
      <c r="L461" s="7">
        <f>IF($A461="","",N461-K461)</f>
        <v/>
      </c>
      <c r="M461" s="7">
        <f>IF($A461="","",L461-F461)</f>
        <v/>
      </c>
      <c r="N461" s="7" t="n"/>
      <c r="Q461" s="11" t="n"/>
      <c r="S461">
        <f>IF($A461="","",IF($W461=1,Settings!$C$6,Settings!$C$7)*1)</f>
        <v/>
      </c>
      <c r="U461">
        <f>IF($A461="","",IF(COUNTIF($A$2:$A461,$A461)=1,1,0))</f>
        <v/>
      </c>
      <c r="V461">
        <f>IF($U461=1,SUMPRODUCT(--($X$2:$X$3001&lt;$X461))+1,"")</f>
        <v/>
      </c>
      <c r="W461">
        <f>IF($A461="","",IF(OR($T461=TRUE(),$T461="TRUE"),1,0))</f>
        <v/>
      </c>
      <c r="X461">
        <f>IF($U461=1,IFERROR(IF(VALUE($A461)&lt;100000000,VALUE($A461),1000000000),IFERROR(IF(VALUE(MID($A461,2,20))&lt;100000000,VALUE(MID($A461,2,20)),1000000000),1000000000))+ROW()/100000,"")</f>
        <v/>
      </c>
    </row>
    <row r="462">
      <c r="F462" s="7">
        <f>IF($A462="","",E462*N462/100)</f>
        <v/>
      </c>
      <c r="J462" s="7" t="n"/>
      <c r="K462" s="7">
        <f>IF($A462="","",S462*N462)</f>
        <v/>
      </c>
      <c r="L462" s="7">
        <f>IF($A462="","",N462-K462)</f>
        <v/>
      </c>
      <c r="M462" s="7">
        <f>IF($A462="","",L462-F462)</f>
        <v/>
      </c>
      <c r="N462" s="7" t="n"/>
      <c r="Q462" s="11" t="n"/>
      <c r="S462">
        <f>IF($A462="","",IF($W462=1,Settings!$C$6,Settings!$C$7)*1)</f>
        <v/>
      </c>
      <c r="U462">
        <f>IF($A462="","",IF(COUNTIF($A$2:$A462,$A462)=1,1,0))</f>
        <v/>
      </c>
      <c r="V462">
        <f>IF($U462=1,SUMPRODUCT(--($X$2:$X$3001&lt;$X462))+1,"")</f>
        <v/>
      </c>
      <c r="W462">
        <f>IF($A462="","",IF(OR($T462=TRUE(),$T462="TRUE"),1,0))</f>
        <v/>
      </c>
      <c r="X462">
        <f>IF($U462=1,IFERROR(IF(VALUE($A462)&lt;100000000,VALUE($A462),1000000000),IFERROR(IF(VALUE(MID($A462,2,20))&lt;100000000,VALUE(MID($A462,2,20)),1000000000),1000000000))+ROW()/100000,"")</f>
        <v/>
      </c>
    </row>
    <row r="463">
      <c r="F463" s="7">
        <f>IF($A463="","",E463*N463/100)</f>
        <v/>
      </c>
      <c r="J463" s="7" t="n"/>
      <c r="K463" s="7">
        <f>IF($A463="","",S463*N463)</f>
        <v/>
      </c>
      <c r="L463" s="7">
        <f>IF($A463="","",N463-K463)</f>
        <v/>
      </c>
      <c r="M463" s="7">
        <f>IF($A463="","",L463-F463)</f>
        <v/>
      </c>
      <c r="N463" s="7" t="n"/>
      <c r="Q463" s="11" t="n"/>
      <c r="S463">
        <f>IF($A463="","",IF($W463=1,Settings!$C$6,Settings!$C$7)*1)</f>
        <v/>
      </c>
      <c r="U463">
        <f>IF($A463="","",IF(COUNTIF($A$2:$A463,$A463)=1,1,0))</f>
        <v/>
      </c>
      <c r="V463">
        <f>IF($U463=1,SUMPRODUCT(--($X$2:$X$3001&lt;$X463))+1,"")</f>
        <v/>
      </c>
      <c r="W463">
        <f>IF($A463="","",IF(OR($T463=TRUE(),$T463="TRUE"),1,0))</f>
        <v/>
      </c>
      <c r="X463">
        <f>IF($U463=1,IFERROR(IF(VALUE($A463)&lt;100000000,VALUE($A463),1000000000),IFERROR(IF(VALUE(MID($A463,2,20))&lt;100000000,VALUE(MID($A463,2,20)),1000000000),1000000000))+ROW()/100000,"")</f>
        <v/>
      </c>
    </row>
    <row r="464">
      <c r="F464" s="7">
        <f>IF($A464="","",E464*N464/100)</f>
        <v/>
      </c>
      <c r="J464" s="7" t="n"/>
      <c r="K464" s="7">
        <f>IF($A464="","",S464*N464)</f>
        <v/>
      </c>
      <c r="L464" s="7">
        <f>IF($A464="","",N464-K464)</f>
        <v/>
      </c>
      <c r="M464" s="7">
        <f>IF($A464="","",L464-F464)</f>
        <v/>
      </c>
      <c r="N464" s="7" t="n"/>
      <c r="Q464" s="11" t="n"/>
      <c r="S464">
        <f>IF($A464="","",IF($W464=1,Settings!$C$6,Settings!$C$7)*1)</f>
        <v/>
      </c>
      <c r="U464">
        <f>IF($A464="","",IF(COUNTIF($A$2:$A464,$A464)=1,1,0))</f>
        <v/>
      </c>
      <c r="V464">
        <f>IF($U464=1,SUMPRODUCT(--($X$2:$X$3001&lt;$X464))+1,"")</f>
        <v/>
      </c>
      <c r="W464">
        <f>IF($A464="","",IF(OR($T464=TRUE(),$T464="TRUE"),1,0))</f>
        <v/>
      </c>
      <c r="X464">
        <f>IF($U464=1,IFERROR(IF(VALUE($A464)&lt;100000000,VALUE($A464),1000000000),IFERROR(IF(VALUE(MID($A464,2,20))&lt;100000000,VALUE(MID($A464,2,20)),1000000000),1000000000))+ROW()/100000,"")</f>
        <v/>
      </c>
    </row>
    <row r="465">
      <c r="F465" s="7">
        <f>IF($A465="","",E465*N465/100)</f>
        <v/>
      </c>
      <c r="J465" s="7" t="n"/>
      <c r="K465" s="7">
        <f>IF($A465="","",S465*N465)</f>
        <v/>
      </c>
      <c r="L465" s="7">
        <f>IF($A465="","",N465-K465)</f>
        <v/>
      </c>
      <c r="M465" s="7">
        <f>IF($A465="","",L465-F465)</f>
        <v/>
      </c>
      <c r="N465" s="7" t="n"/>
      <c r="Q465" s="11" t="n"/>
      <c r="S465">
        <f>IF($A465="","",IF($W465=1,Settings!$C$6,Settings!$C$7)*1)</f>
        <v/>
      </c>
      <c r="U465">
        <f>IF($A465="","",IF(COUNTIF($A$2:$A465,$A465)=1,1,0))</f>
        <v/>
      </c>
      <c r="V465">
        <f>IF($U465=1,SUMPRODUCT(--($X$2:$X$3001&lt;$X465))+1,"")</f>
        <v/>
      </c>
      <c r="W465">
        <f>IF($A465="","",IF(OR($T465=TRUE(),$T465="TRUE"),1,0))</f>
        <v/>
      </c>
      <c r="X465">
        <f>IF($U465=1,IFERROR(IF(VALUE($A465)&lt;100000000,VALUE($A465),1000000000),IFERROR(IF(VALUE(MID($A465,2,20))&lt;100000000,VALUE(MID($A465,2,20)),1000000000),1000000000))+ROW()/100000,"")</f>
        <v/>
      </c>
    </row>
    <row r="466">
      <c r="F466" s="7">
        <f>IF($A466="","",E466*N466/100)</f>
        <v/>
      </c>
      <c r="J466" s="7" t="n"/>
      <c r="K466" s="7">
        <f>IF($A466="","",S466*N466)</f>
        <v/>
      </c>
      <c r="L466" s="7">
        <f>IF($A466="","",N466-K466)</f>
        <v/>
      </c>
      <c r="M466" s="7">
        <f>IF($A466="","",L466-F466)</f>
        <v/>
      </c>
      <c r="N466" s="7" t="n"/>
      <c r="Q466" s="11" t="n"/>
      <c r="S466">
        <f>IF($A466="","",IF($W466=1,Settings!$C$6,Settings!$C$7)*1)</f>
        <v/>
      </c>
      <c r="U466">
        <f>IF($A466="","",IF(COUNTIF($A$2:$A466,$A466)=1,1,0))</f>
        <v/>
      </c>
      <c r="V466">
        <f>IF($U466=1,SUMPRODUCT(--($X$2:$X$3001&lt;$X466))+1,"")</f>
        <v/>
      </c>
      <c r="W466">
        <f>IF($A466="","",IF(OR($T466=TRUE(),$T466="TRUE"),1,0))</f>
        <v/>
      </c>
      <c r="X466">
        <f>IF($U466=1,IFERROR(IF(VALUE($A466)&lt;100000000,VALUE($A466),1000000000),IFERROR(IF(VALUE(MID($A466,2,20))&lt;100000000,VALUE(MID($A466,2,20)),1000000000),1000000000))+ROW()/100000,"")</f>
        <v/>
      </c>
    </row>
    <row r="467">
      <c r="F467" s="7">
        <f>IF($A467="","",E467*N467/100)</f>
        <v/>
      </c>
      <c r="J467" s="7" t="n"/>
      <c r="K467" s="7">
        <f>IF($A467="","",S467*N467)</f>
        <v/>
      </c>
      <c r="L467" s="7">
        <f>IF($A467="","",N467-K467)</f>
        <v/>
      </c>
      <c r="M467" s="7">
        <f>IF($A467="","",L467-F467)</f>
        <v/>
      </c>
      <c r="N467" s="7" t="n"/>
      <c r="Q467" s="11" t="n"/>
      <c r="S467">
        <f>IF($A467="","",IF($W467=1,Settings!$C$6,Settings!$C$7)*1)</f>
        <v/>
      </c>
      <c r="U467">
        <f>IF($A467="","",IF(COUNTIF($A$2:$A467,$A467)=1,1,0))</f>
        <v/>
      </c>
      <c r="V467">
        <f>IF($U467=1,SUMPRODUCT(--($X$2:$X$3001&lt;$X467))+1,"")</f>
        <v/>
      </c>
      <c r="W467">
        <f>IF($A467="","",IF(OR($T467=TRUE(),$T467="TRUE"),1,0))</f>
        <v/>
      </c>
      <c r="X467">
        <f>IF($U467=1,IFERROR(IF(VALUE($A467)&lt;100000000,VALUE($A467),1000000000),IFERROR(IF(VALUE(MID($A467,2,20))&lt;100000000,VALUE(MID($A467,2,20)),1000000000),1000000000))+ROW()/100000,"")</f>
        <v/>
      </c>
    </row>
    <row r="468">
      <c r="F468" s="7">
        <f>IF($A468="","",E468*N468/100)</f>
        <v/>
      </c>
      <c r="J468" s="7" t="n"/>
      <c r="K468" s="7">
        <f>IF($A468="","",S468*N468)</f>
        <v/>
      </c>
      <c r="L468" s="7">
        <f>IF($A468="","",N468-K468)</f>
        <v/>
      </c>
      <c r="M468" s="7">
        <f>IF($A468="","",L468-F468)</f>
        <v/>
      </c>
      <c r="N468" s="7" t="n"/>
      <c r="Q468" s="11" t="n"/>
      <c r="S468">
        <f>IF($A468="","",IF($W468=1,Settings!$C$6,Settings!$C$7)*1)</f>
        <v/>
      </c>
      <c r="U468">
        <f>IF($A468="","",IF(COUNTIF($A$2:$A468,$A468)=1,1,0))</f>
        <v/>
      </c>
      <c r="V468">
        <f>IF($U468=1,SUMPRODUCT(--($X$2:$X$3001&lt;$X468))+1,"")</f>
        <v/>
      </c>
      <c r="W468">
        <f>IF($A468="","",IF(OR($T468=TRUE(),$T468="TRUE"),1,0))</f>
        <v/>
      </c>
      <c r="X468">
        <f>IF($U468=1,IFERROR(IF(VALUE($A468)&lt;100000000,VALUE($A468),1000000000),IFERROR(IF(VALUE(MID($A468,2,20))&lt;100000000,VALUE(MID($A468,2,20)),1000000000),1000000000))+ROW()/100000,"")</f>
        <v/>
      </c>
    </row>
    <row r="469">
      <c r="F469" s="7">
        <f>IF($A469="","",E469*N469/100)</f>
        <v/>
      </c>
      <c r="J469" s="7" t="n"/>
      <c r="K469" s="7">
        <f>IF($A469="","",S469*N469)</f>
        <v/>
      </c>
      <c r="L469" s="7">
        <f>IF($A469="","",N469-K469)</f>
        <v/>
      </c>
      <c r="M469" s="7">
        <f>IF($A469="","",L469-F469)</f>
        <v/>
      </c>
      <c r="N469" s="7" t="n"/>
      <c r="Q469" s="11" t="n"/>
      <c r="S469">
        <f>IF($A469="","",IF($W469=1,Settings!$C$6,Settings!$C$7)*1)</f>
        <v/>
      </c>
      <c r="U469">
        <f>IF($A469="","",IF(COUNTIF($A$2:$A469,$A469)=1,1,0))</f>
        <v/>
      </c>
      <c r="V469">
        <f>IF($U469=1,SUMPRODUCT(--($X$2:$X$3001&lt;$X469))+1,"")</f>
        <v/>
      </c>
      <c r="W469">
        <f>IF($A469="","",IF(OR($T469=TRUE(),$T469="TRUE"),1,0))</f>
        <v/>
      </c>
      <c r="X469">
        <f>IF($U469=1,IFERROR(IF(VALUE($A469)&lt;100000000,VALUE($A469),1000000000),IFERROR(IF(VALUE(MID($A469,2,20))&lt;100000000,VALUE(MID($A469,2,20)),1000000000),1000000000))+ROW()/100000,"")</f>
        <v/>
      </c>
    </row>
    <row r="470">
      <c r="F470" s="7">
        <f>IF($A470="","",E470*N470/100)</f>
        <v/>
      </c>
      <c r="J470" s="7" t="n"/>
      <c r="K470" s="7">
        <f>IF($A470="","",S470*N470)</f>
        <v/>
      </c>
      <c r="L470" s="7">
        <f>IF($A470="","",N470-K470)</f>
        <v/>
      </c>
      <c r="M470" s="7">
        <f>IF($A470="","",L470-F470)</f>
        <v/>
      </c>
      <c r="N470" s="7" t="n"/>
      <c r="Q470" s="11" t="n"/>
      <c r="S470">
        <f>IF($A470="","",IF($W470=1,Settings!$C$6,Settings!$C$7)*1)</f>
        <v/>
      </c>
      <c r="U470">
        <f>IF($A470="","",IF(COUNTIF($A$2:$A470,$A470)=1,1,0))</f>
        <v/>
      </c>
      <c r="V470">
        <f>IF($U470=1,SUMPRODUCT(--($X$2:$X$3001&lt;$X470))+1,"")</f>
        <v/>
      </c>
      <c r="W470">
        <f>IF($A470="","",IF(OR($T470=TRUE(),$T470="TRUE"),1,0))</f>
        <v/>
      </c>
      <c r="X470">
        <f>IF($U470=1,IFERROR(IF(VALUE($A470)&lt;100000000,VALUE($A470),1000000000),IFERROR(IF(VALUE(MID($A470,2,20))&lt;100000000,VALUE(MID($A470,2,20)),1000000000),1000000000))+ROW()/100000,"")</f>
        <v/>
      </c>
    </row>
    <row r="471">
      <c r="F471" s="7">
        <f>IF($A471="","",E471*N471/100)</f>
        <v/>
      </c>
      <c r="J471" s="7" t="n"/>
      <c r="K471" s="7">
        <f>IF($A471="","",S471*N471)</f>
        <v/>
      </c>
      <c r="L471" s="7">
        <f>IF($A471="","",N471-K471)</f>
        <v/>
      </c>
      <c r="M471" s="7">
        <f>IF($A471="","",L471-F471)</f>
        <v/>
      </c>
      <c r="N471" s="7" t="n"/>
      <c r="Q471" s="11" t="n"/>
      <c r="S471">
        <f>IF($A471="","",IF($W471=1,Settings!$C$6,Settings!$C$7)*1)</f>
        <v/>
      </c>
      <c r="U471">
        <f>IF($A471="","",IF(COUNTIF($A$2:$A471,$A471)=1,1,0))</f>
        <v/>
      </c>
      <c r="V471">
        <f>IF($U471=1,SUMPRODUCT(--($X$2:$X$3001&lt;$X471))+1,"")</f>
        <v/>
      </c>
      <c r="W471">
        <f>IF($A471="","",IF(OR($T471=TRUE(),$T471="TRUE"),1,0))</f>
        <v/>
      </c>
      <c r="X471">
        <f>IF($U471=1,IFERROR(IF(VALUE($A471)&lt;100000000,VALUE($A471),1000000000),IFERROR(IF(VALUE(MID($A471,2,20))&lt;100000000,VALUE(MID($A471,2,20)),1000000000),1000000000))+ROW()/100000,"")</f>
        <v/>
      </c>
    </row>
    <row r="472">
      <c r="F472" s="7">
        <f>IF($A472="","",E472*N472/100)</f>
        <v/>
      </c>
      <c r="J472" s="7" t="n"/>
      <c r="K472" s="7">
        <f>IF($A472="","",S472*N472)</f>
        <v/>
      </c>
      <c r="L472" s="7">
        <f>IF($A472="","",N472-K472)</f>
        <v/>
      </c>
      <c r="M472" s="7">
        <f>IF($A472="","",L472-F472)</f>
        <v/>
      </c>
      <c r="N472" s="7" t="n"/>
      <c r="Q472" s="11" t="n"/>
      <c r="S472">
        <f>IF($A472="","",IF($W472=1,Settings!$C$6,Settings!$C$7)*1)</f>
        <v/>
      </c>
      <c r="U472">
        <f>IF($A472="","",IF(COUNTIF($A$2:$A472,$A472)=1,1,0))</f>
        <v/>
      </c>
      <c r="V472">
        <f>IF($U472=1,SUMPRODUCT(--($X$2:$X$3001&lt;$X472))+1,"")</f>
        <v/>
      </c>
      <c r="W472">
        <f>IF($A472="","",IF(OR($T472=TRUE(),$T472="TRUE"),1,0))</f>
        <v/>
      </c>
      <c r="X472">
        <f>IF($U472=1,IFERROR(IF(VALUE($A472)&lt;100000000,VALUE($A472),1000000000),IFERROR(IF(VALUE(MID($A472,2,20))&lt;100000000,VALUE(MID($A472,2,20)),1000000000),1000000000))+ROW()/100000,"")</f>
        <v/>
      </c>
    </row>
    <row r="473">
      <c r="F473" s="7">
        <f>IF($A473="","",E473*N473/100)</f>
        <v/>
      </c>
      <c r="J473" s="7" t="n"/>
      <c r="K473" s="7">
        <f>IF($A473="","",S473*N473)</f>
        <v/>
      </c>
      <c r="L473" s="7">
        <f>IF($A473="","",N473-K473)</f>
        <v/>
      </c>
      <c r="M473" s="7">
        <f>IF($A473="","",L473-F473)</f>
        <v/>
      </c>
      <c r="N473" s="7" t="n"/>
      <c r="Q473" s="11" t="n"/>
      <c r="S473">
        <f>IF($A473="","",IF($W473=1,Settings!$C$6,Settings!$C$7)*1)</f>
        <v/>
      </c>
      <c r="U473">
        <f>IF($A473="","",IF(COUNTIF($A$2:$A473,$A473)=1,1,0))</f>
        <v/>
      </c>
      <c r="V473">
        <f>IF($U473=1,SUMPRODUCT(--($X$2:$X$3001&lt;$X473))+1,"")</f>
        <v/>
      </c>
      <c r="W473">
        <f>IF($A473="","",IF(OR($T473=TRUE(),$T473="TRUE"),1,0))</f>
        <v/>
      </c>
      <c r="X473">
        <f>IF($U473=1,IFERROR(IF(VALUE($A473)&lt;100000000,VALUE($A473),1000000000),IFERROR(IF(VALUE(MID($A473,2,20))&lt;100000000,VALUE(MID($A473,2,20)),1000000000),1000000000))+ROW()/100000,"")</f>
        <v/>
      </c>
    </row>
    <row r="474">
      <c r="F474" s="7">
        <f>IF($A474="","",E474*N474/100)</f>
        <v/>
      </c>
      <c r="J474" s="7" t="n"/>
      <c r="K474" s="7">
        <f>IF($A474="","",S474*N474)</f>
        <v/>
      </c>
      <c r="L474" s="7">
        <f>IF($A474="","",N474-K474)</f>
        <v/>
      </c>
      <c r="M474" s="7">
        <f>IF($A474="","",L474-F474)</f>
        <v/>
      </c>
      <c r="N474" s="7" t="n"/>
      <c r="Q474" s="11" t="n"/>
      <c r="S474">
        <f>IF($A474="","",IF($W474=1,Settings!$C$6,Settings!$C$7)*1)</f>
        <v/>
      </c>
      <c r="U474">
        <f>IF($A474="","",IF(COUNTIF($A$2:$A474,$A474)=1,1,0))</f>
        <v/>
      </c>
      <c r="V474">
        <f>IF($U474=1,SUMPRODUCT(--($X$2:$X$3001&lt;$X474))+1,"")</f>
        <v/>
      </c>
      <c r="W474">
        <f>IF($A474="","",IF(OR($T474=TRUE(),$T474="TRUE"),1,0))</f>
        <v/>
      </c>
      <c r="X474">
        <f>IF($U474=1,IFERROR(IF(VALUE($A474)&lt;100000000,VALUE($A474),1000000000),IFERROR(IF(VALUE(MID($A474,2,20))&lt;100000000,VALUE(MID($A474,2,20)),1000000000),1000000000))+ROW()/100000,"")</f>
        <v/>
      </c>
    </row>
    <row r="475">
      <c r="F475" s="7">
        <f>IF($A475="","",E475*N475/100)</f>
        <v/>
      </c>
      <c r="J475" s="7" t="n"/>
      <c r="K475" s="7">
        <f>IF($A475="","",S475*N475)</f>
        <v/>
      </c>
      <c r="L475" s="7">
        <f>IF($A475="","",N475-K475)</f>
        <v/>
      </c>
      <c r="M475" s="7">
        <f>IF($A475="","",L475-F475)</f>
        <v/>
      </c>
      <c r="N475" s="7" t="n"/>
      <c r="Q475" s="11" t="n"/>
      <c r="S475">
        <f>IF($A475="","",IF($W475=1,Settings!$C$6,Settings!$C$7)*1)</f>
        <v/>
      </c>
      <c r="U475">
        <f>IF($A475="","",IF(COUNTIF($A$2:$A475,$A475)=1,1,0))</f>
        <v/>
      </c>
      <c r="V475">
        <f>IF($U475=1,SUMPRODUCT(--($X$2:$X$3001&lt;$X475))+1,"")</f>
        <v/>
      </c>
      <c r="W475">
        <f>IF($A475="","",IF(OR($T475=TRUE(),$T475="TRUE"),1,0))</f>
        <v/>
      </c>
      <c r="X475">
        <f>IF($U475=1,IFERROR(IF(VALUE($A475)&lt;100000000,VALUE($A475),1000000000),IFERROR(IF(VALUE(MID($A475,2,20))&lt;100000000,VALUE(MID($A475,2,20)),1000000000),1000000000))+ROW()/100000,"")</f>
        <v/>
      </c>
    </row>
    <row r="476">
      <c r="F476" s="7">
        <f>IF($A476="","",E476*N476/100)</f>
        <v/>
      </c>
      <c r="J476" s="7" t="n"/>
      <c r="K476" s="7">
        <f>IF($A476="","",S476*N476)</f>
        <v/>
      </c>
      <c r="L476" s="7">
        <f>IF($A476="","",N476-K476)</f>
        <v/>
      </c>
      <c r="M476" s="7">
        <f>IF($A476="","",L476-F476)</f>
        <v/>
      </c>
      <c r="N476" s="7" t="n"/>
      <c r="Q476" s="11" t="n"/>
      <c r="S476">
        <f>IF($A476="","",IF($W476=1,Settings!$C$6,Settings!$C$7)*1)</f>
        <v/>
      </c>
      <c r="U476">
        <f>IF($A476="","",IF(COUNTIF($A$2:$A476,$A476)=1,1,0))</f>
        <v/>
      </c>
      <c r="V476">
        <f>IF($U476=1,SUMPRODUCT(--($X$2:$X$3001&lt;$X476))+1,"")</f>
        <v/>
      </c>
      <c r="W476">
        <f>IF($A476="","",IF(OR($T476=TRUE(),$T476="TRUE"),1,0))</f>
        <v/>
      </c>
      <c r="X476">
        <f>IF($U476=1,IFERROR(IF(VALUE($A476)&lt;100000000,VALUE($A476),1000000000),IFERROR(IF(VALUE(MID($A476,2,20))&lt;100000000,VALUE(MID($A476,2,20)),1000000000),1000000000))+ROW()/100000,"")</f>
        <v/>
      </c>
    </row>
    <row r="477">
      <c r="F477" s="7">
        <f>IF($A477="","",E477*N477/100)</f>
        <v/>
      </c>
      <c r="J477" s="7" t="n"/>
      <c r="K477" s="7">
        <f>IF($A477="","",S477*N477)</f>
        <v/>
      </c>
      <c r="L477" s="7">
        <f>IF($A477="","",N477-K477)</f>
        <v/>
      </c>
      <c r="M477" s="7">
        <f>IF($A477="","",L477-F477)</f>
        <v/>
      </c>
      <c r="N477" s="7" t="n"/>
      <c r="Q477" s="11" t="n"/>
      <c r="S477">
        <f>IF($A477="","",IF($W477=1,Settings!$C$6,Settings!$C$7)*1)</f>
        <v/>
      </c>
      <c r="U477">
        <f>IF($A477="","",IF(COUNTIF($A$2:$A477,$A477)=1,1,0))</f>
        <v/>
      </c>
      <c r="V477">
        <f>IF($U477=1,SUMPRODUCT(--($X$2:$X$3001&lt;$X477))+1,"")</f>
        <v/>
      </c>
      <c r="W477">
        <f>IF($A477="","",IF(OR($T477=TRUE(),$T477="TRUE"),1,0))</f>
        <v/>
      </c>
      <c r="X477">
        <f>IF($U477=1,IFERROR(IF(VALUE($A477)&lt;100000000,VALUE($A477),1000000000),IFERROR(IF(VALUE(MID($A477,2,20))&lt;100000000,VALUE(MID($A477,2,20)),1000000000),1000000000))+ROW()/100000,"")</f>
        <v/>
      </c>
    </row>
    <row r="478">
      <c r="F478" s="7">
        <f>IF($A478="","",E478*N478/100)</f>
        <v/>
      </c>
      <c r="J478" s="7" t="n"/>
      <c r="K478" s="7">
        <f>IF($A478="","",S478*N478)</f>
        <v/>
      </c>
      <c r="L478" s="7">
        <f>IF($A478="","",N478-K478)</f>
        <v/>
      </c>
      <c r="M478" s="7">
        <f>IF($A478="","",L478-F478)</f>
        <v/>
      </c>
      <c r="N478" s="7" t="n"/>
      <c r="Q478" s="11" t="n"/>
      <c r="S478">
        <f>IF($A478="","",IF($W478=1,Settings!$C$6,Settings!$C$7)*1)</f>
        <v/>
      </c>
      <c r="U478">
        <f>IF($A478="","",IF(COUNTIF($A$2:$A478,$A478)=1,1,0))</f>
        <v/>
      </c>
      <c r="V478">
        <f>IF($U478=1,SUMPRODUCT(--($X$2:$X$3001&lt;$X478))+1,"")</f>
        <v/>
      </c>
      <c r="W478">
        <f>IF($A478="","",IF(OR($T478=TRUE(),$T478="TRUE"),1,0))</f>
        <v/>
      </c>
      <c r="X478">
        <f>IF($U478=1,IFERROR(IF(VALUE($A478)&lt;100000000,VALUE($A478),1000000000),IFERROR(IF(VALUE(MID($A478,2,20))&lt;100000000,VALUE(MID($A478,2,20)),1000000000),1000000000))+ROW()/100000,"")</f>
        <v/>
      </c>
    </row>
    <row r="479">
      <c r="F479" s="7">
        <f>IF($A479="","",E479*N479/100)</f>
        <v/>
      </c>
      <c r="J479" s="7" t="n"/>
      <c r="K479" s="7">
        <f>IF($A479="","",S479*N479)</f>
        <v/>
      </c>
      <c r="L479" s="7">
        <f>IF($A479="","",N479-K479)</f>
        <v/>
      </c>
      <c r="M479" s="7">
        <f>IF($A479="","",L479-F479)</f>
        <v/>
      </c>
      <c r="N479" s="7" t="n"/>
      <c r="Q479" s="11" t="n"/>
      <c r="S479">
        <f>IF($A479="","",IF($W479=1,Settings!$C$6,Settings!$C$7)*1)</f>
        <v/>
      </c>
      <c r="U479">
        <f>IF($A479="","",IF(COUNTIF($A$2:$A479,$A479)=1,1,0))</f>
        <v/>
      </c>
      <c r="V479">
        <f>IF($U479=1,SUMPRODUCT(--($X$2:$X$3001&lt;$X479))+1,"")</f>
        <v/>
      </c>
      <c r="W479">
        <f>IF($A479="","",IF(OR($T479=TRUE(),$T479="TRUE"),1,0))</f>
        <v/>
      </c>
      <c r="X479">
        <f>IF($U479=1,IFERROR(IF(VALUE($A479)&lt;100000000,VALUE($A479),1000000000),IFERROR(IF(VALUE(MID($A479,2,20))&lt;100000000,VALUE(MID($A479,2,20)),1000000000),1000000000))+ROW()/100000,"")</f>
        <v/>
      </c>
    </row>
    <row r="480">
      <c r="F480" s="7">
        <f>IF($A480="","",E480*N480/100)</f>
        <v/>
      </c>
      <c r="J480" s="7" t="n"/>
      <c r="K480" s="7">
        <f>IF($A480="","",S480*N480)</f>
        <v/>
      </c>
      <c r="L480" s="7">
        <f>IF($A480="","",N480-K480)</f>
        <v/>
      </c>
      <c r="M480" s="7">
        <f>IF($A480="","",L480-F480)</f>
        <v/>
      </c>
      <c r="N480" s="7" t="n"/>
      <c r="Q480" s="11" t="n"/>
      <c r="S480">
        <f>IF($A480="","",IF($W480=1,Settings!$C$6,Settings!$C$7)*1)</f>
        <v/>
      </c>
      <c r="U480">
        <f>IF($A480="","",IF(COUNTIF($A$2:$A480,$A480)=1,1,0))</f>
        <v/>
      </c>
      <c r="V480">
        <f>IF($U480=1,SUMPRODUCT(--($X$2:$X$3001&lt;$X480))+1,"")</f>
        <v/>
      </c>
      <c r="W480">
        <f>IF($A480="","",IF(OR($T480=TRUE(),$T480="TRUE"),1,0))</f>
        <v/>
      </c>
      <c r="X480">
        <f>IF($U480=1,IFERROR(IF(VALUE($A480)&lt;100000000,VALUE($A480),1000000000),IFERROR(IF(VALUE(MID($A480,2,20))&lt;100000000,VALUE(MID($A480,2,20)),1000000000),1000000000))+ROW()/100000,"")</f>
        <v/>
      </c>
    </row>
    <row r="481">
      <c r="F481" s="7">
        <f>IF($A481="","",E481*N481/100)</f>
        <v/>
      </c>
      <c r="J481" s="7" t="n"/>
      <c r="K481" s="7">
        <f>IF($A481="","",S481*N481)</f>
        <v/>
      </c>
      <c r="L481" s="7">
        <f>IF($A481="","",N481-K481)</f>
        <v/>
      </c>
      <c r="M481" s="7">
        <f>IF($A481="","",L481-F481)</f>
        <v/>
      </c>
      <c r="N481" s="7" t="n"/>
      <c r="Q481" s="11" t="n"/>
      <c r="S481">
        <f>IF($A481="","",IF($W481=1,Settings!$C$6,Settings!$C$7)*1)</f>
        <v/>
      </c>
      <c r="U481">
        <f>IF($A481="","",IF(COUNTIF($A$2:$A481,$A481)=1,1,0))</f>
        <v/>
      </c>
      <c r="V481">
        <f>IF($U481=1,SUMPRODUCT(--($X$2:$X$3001&lt;$X481))+1,"")</f>
        <v/>
      </c>
      <c r="W481">
        <f>IF($A481="","",IF(OR($T481=TRUE(),$T481="TRUE"),1,0))</f>
        <v/>
      </c>
      <c r="X481">
        <f>IF($U481=1,IFERROR(IF(VALUE($A481)&lt;100000000,VALUE($A481),1000000000),IFERROR(IF(VALUE(MID($A481,2,20))&lt;100000000,VALUE(MID($A481,2,20)),1000000000),1000000000))+ROW()/100000,"")</f>
        <v/>
      </c>
    </row>
    <row r="482">
      <c r="F482" s="7">
        <f>IF($A482="","",E482*N482/100)</f>
        <v/>
      </c>
      <c r="J482" s="7" t="n"/>
      <c r="K482" s="7">
        <f>IF($A482="","",S482*N482)</f>
        <v/>
      </c>
      <c r="L482" s="7">
        <f>IF($A482="","",N482-K482)</f>
        <v/>
      </c>
      <c r="M482" s="7">
        <f>IF($A482="","",L482-F482)</f>
        <v/>
      </c>
      <c r="N482" s="7" t="n"/>
      <c r="Q482" s="11" t="n"/>
      <c r="S482">
        <f>IF($A482="","",IF($W482=1,Settings!$C$6,Settings!$C$7)*1)</f>
        <v/>
      </c>
      <c r="U482">
        <f>IF($A482="","",IF(COUNTIF($A$2:$A482,$A482)=1,1,0))</f>
        <v/>
      </c>
      <c r="V482">
        <f>IF($U482=1,SUMPRODUCT(--($X$2:$X$3001&lt;$X482))+1,"")</f>
        <v/>
      </c>
      <c r="W482">
        <f>IF($A482="","",IF(OR($T482=TRUE(),$T482="TRUE"),1,0))</f>
        <v/>
      </c>
      <c r="X482">
        <f>IF($U482=1,IFERROR(IF(VALUE($A482)&lt;100000000,VALUE($A482),1000000000),IFERROR(IF(VALUE(MID($A482,2,20))&lt;100000000,VALUE(MID($A482,2,20)),1000000000),1000000000))+ROW()/100000,"")</f>
        <v/>
      </c>
    </row>
    <row r="483">
      <c r="F483" s="7">
        <f>IF($A483="","",E483*N483/100)</f>
        <v/>
      </c>
      <c r="J483" s="7" t="n"/>
      <c r="K483" s="7">
        <f>IF($A483="","",S483*N483)</f>
        <v/>
      </c>
      <c r="L483" s="7">
        <f>IF($A483="","",N483-K483)</f>
        <v/>
      </c>
      <c r="M483" s="7">
        <f>IF($A483="","",L483-F483)</f>
        <v/>
      </c>
      <c r="N483" s="7" t="n"/>
      <c r="Q483" s="11" t="n"/>
      <c r="S483">
        <f>IF($A483="","",IF($W483=1,Settings!$C$6,Settings!$C$7)*1)</f>
        <v/>
      </c>
      <c r="U483">
        <f>IF($A483="","",IF(COUNTIF($A$2:$A483,$A483)=1,1,0))</f>
        <v/>
      </c>
      <c r="V483">
        <f>IF($U483=1,SUMPRODUCT(--($X$2:$X$3001&lt;$X483))+1,"")</f>
        <v/>
      </c>
      <c r="W483">
        <f>IF($A483="","",IF(OR($T483=TRUE(),$T483="TRUE"),1,0))</f>
        <v/>
      </c>
      <c r="X483">
        <f>IF($U483=1,IFERROR(IF(VALUE($A483)&lt;100000000,VALUE($A483),1000000000),IFERROR(IF(VALUE(MID($A483,2,20))&lt;100000000,VALUE(MID($A483,2,20)),1000000000),1000000000))+ROW()/100000,"")</f>
        <v/>
      </c>
    </row>
    <row r="484">
      <c r="F484" s="7">
        <f>IF($A484="","",E484*N484/100)</f>
        <v/>
      </c>
      <c r="J484" s="7" t="n"/>
      <c r="K484" s="7">
        <f>IF($A484="","",S484*N484)</f>
        <v/>
      </c>
      <c r="L484" s="7">
        <f>IF($A484="","",N484-K484)</f>
        <v/>
      </c>
      <c r="M484" s="7">
        <f>IF($A484="","",L484-F484)</f>
        <v/>
      </c>
      <c r="N484" s="7" t="n"/>
      <c r="Q484" s="11" t="n"/>
      <c r="S484">
        <f>IF($A484="","",IF($W484=1,Settings!$C$6,Settings!$C$7)*1)</f>
        <v/>
      </c>
      <c r="U484">
        <f>IF($A484="","",IF(COUNTIF($A$2:$A484,$A484)=1,1,0))</f>
        <v/>
      </c>
      <c r="V484">
        <f>IF($U484=1,SUMPRODUCT(--($X$2:$X$3001&lt;$X484))+1,"")</f>
        <v/>
      </c>
      <c r="W484">
        <f>IF($A484="","",IF(OR($T484=TRUE(),$T484="TRUE"),1,0))</f>
        <v/>
      </c>
      <c r="X484">
        <f>IF($U484=1,IFERROR(IF(VALUE($A484)&lt;100000000,VALUE($A484),1000000000),IFERROR(IF(VALUE(MID($A484,2,20))&lt;100000000,VALUE(MID($A484,2,20)),1000000000),1000000000))+ROW()/100000,"")</f>
        <v/>
      </c>
    </row>
    <row r="485">
      <c r="F485" s="7">
        <f>IF($A485="","",E485*N485/100)</f>
        <v/>
      </c>
      <c r="J485" s="7" t="n"/>
      <c r="K485" s="7">
        <f>IF($A485="","",S485*N485)</f>
        <v/>
      </c>
      <c r="L485" s="7">
        <f>IF($A485="","",N485-K485)</f>
        <v/>
      </c>
      <c r="M485" s="7">
        <f>IF($A485="","",L485-F485)</f>
        <v/>
      </c>
      <c r="N485" s="7" t="n"/>
      <c r="Q485" s="11" t="n"/>
      <c r="S485">
        <f>IF($A485="","",IF($W485=1,Settings!$C$6,Settings!$C$7)*1)</f>
        <v/>
      </c>
      <c r="U485">
        <f>IF($A485="","",IF(COUNTIF($A$2:$A485,$A485)=1,1,0))</f>
        <v/>
      </c>
      <c r="V485">
        <f>IF($U485=1,SUMPRODUCT(--($X$2:$X$3001&lt;$X485))+1,"")</f>
        <v/>
      </c>
      <c r="W485">
        <f>IF($A485="","",IF(OR($T485=TRUE(),$T485="TRUE"),1,0))</f>
        <v/>
      </c>
      <c r="X485">
        <f>IF($U485=1,IFERROR(IF(VALUE($A485)&lt;100000000,VALUE($A485),1000000000),IFERROR(IF(VALUE(MID($A485,2,20))&lt;100000000,VALUE(MID($A485,2,20)),1000000000),1000000000))+ROW()/100000,"")</f>
        <v/>
      </c>
    </row>
    <row r="486">
      <c r="F486" s="7">
        <f>IF($A486="","",E486*N486/100)</f>
        <v/>
      </c>
      <c r="J486" s="7" t="n"/>
      <c r="K486" s="7">
        <f>IF($A486="","",S486*N486)</f>
        <v/>
      </c>
      <c r="L486" s="7">
        <f>IF($A486="","",N486-K486)</f>
        <v/>
      </c>
      <c r="M486" s="7">
        <f>IF($A486="","",L486-F486)</f>
        <v/>
      </c>
      <c r="N486" s="7" t="n"/>
      <c r="Q486" s="11" t="n"/>
      <c r="S486">
        <f>IF($A486="","",IF($W486=1,Settings!$C$6,Settings!$C$7)*1)</f>
        <v/>
      </c>
      <c r="U486">
        <f>IF($A486="","",IF(COUNTIF($A$2:$A486,$A486)=1,1,0))</f>
        <v/>
      </c>
      <c r="V486">
        <f>IF($U486=1,SUMPRODUCT(--($X$2:$X$3001&lt;$X486))+1,"")</f>
        <v/>
      </c>
      <c r="W486">
        <f>IF($A486="","",IF(OR($T486=TRUE(),$T486="TRUE"),1,0))</f>
        <v/>
      </c>
      <c r="X486">
        <f>IF($U486=1,IFERROR(IF(VALUE($A486)&lt;100000000,VALUE($A486),1000000000),IFERROR(IF(VALUE(MID($A486,2,20))&lt;100000000,VALUE(MID($A486,2,20)),1000000000),1000000000))+ROW()/100000,"")</f>
        <v/>
      </c>
    </row>
    <row r="487">
      <c r="F487" s="7">
        <f>IF($A487="","",E487*N487/100)</f>
        <v/>
      </c>
      <c r="J487" s="7" t="n"/>
      <c r="K487" s="7">
        <f>IF($A487="","",S487*N487)</f>
        <v/>
      </c>
      <c r="L487" s="7">
        <f>IF($A487="","",N487-K487)</f>
        <v/>
      </c>
      <c r="M487" s="7">
        <f>IF($A487="","",L487-F487)</f>
        <v/>
      </c>
      <c r="N487" s="7" t="n"/>
      <c r="Q487" s="11" t="n"/>
      <c r="S487">
        <f>IF($A487="","",IF($W487=1,Settings!$C$6,Settings!$C$7)*1)</f>
        <v/>
      </c>
      <c r="U487">
        <f>IF($A487="","",IF(COUNTIF($A$2:$A487,$A487)=1,1,0))</f>
        <v/>
      </c>
      <c r="V487">
        <f>IF($U487=1,SUMPRODUCT(--($X$2:$X$3001&lt;$X487))+1,"")</f>
        <v/>
      </c>
      <c r="W487">
        <f>IF($A487="","",IF(OR($T487=TRUE(),$T487="TRUE"),1,0))</f>
        <v/>
      </c>
      <c r="X487">
        <f>IF($U487=1,IFERROR(IF(VALUE($A487)&lt;100000000,VALUE($A487),1000000000),IFERROR(IF(VALUE(MID($A487,2,20))&lt;100000000,VALUE(MID($A487,2,20)),1000000000),1000000000))+ROW()/100000,"")</f>
        <v/>
      </c>
    </row>
    <row r="488">
      <c r="F488" s="7">
        <f>IF($A488="","",E488*N488/100)</f>
        <v/>
      </c>
      <c r="J488" s="7" t="n"/>
      <c r="K488" s="7">
        <f>IF($A488="","",S488*N488)</f>
        <v/>
      </c>
      <c r="L488" s="7">
        <f>IF($A488="","",N488-K488)</f>
        <v/>
      </c>
      <c r="M488" s="7">
        <f>IF($A488="","",L488-F488)</f>
        <v/>
      </c>
      <c r="N488" s="7" t="n"/>
      <c r="Q488" s="11" t="n"/>
      <c r="S488">
        <f>IF($A488="","",IF($W488=1,Settings!$C$6,Settings!$C$7)*1)</f>
        <v/>
      </c>
      <c r="U488">
        <f>IF($A488="","",IF(COUNTIF($A$2:$A488,$A488)=1,1,0))</f>
        <v/>
      </c>
      <c r="V488">
        <f>IF($U488=1,SUMPRODUCT(--($X$2:$X$3001&lt;$X488))+1,"")</f>
        <v/>
      </c>
      <c r="W488">
        <f>IF($A488="","",IF(OR($T488=TRUE(),$T488="TRUE"),1,0))</f>
        <v/>
      </c>
      <c r="X488">
        <f>IF($U488=1,IFERROR(IF(VALUE($A488)&lt;100000000,VALUE($A488),1000000000),IFERROR(IF(VALUE(MID($A488,2,20))&lt;100000000,VALUE(MID($A488,2,20)),1000000000),1000000000))+ROW()/100000,"")</f>
        <v/>
      </c>
    </row>
    <row r="489">
      <c r="F489" s="7">
        <f>IF($A489="","",E489*N489/100)</f>
        <v/>
      </c>
      <c r="J489" s="7" t="n"/>
      <c r="K489" s="7">
        <f>IF($A489="","",S489*N489)</f>
        <v/>
      </c>
      <c r="L489" s="7">
        <f>IF($A489="","",N489-K489)</f>
        <v/>
      </c>
      <c r="M489" s="7">
        <f>IF($A489="","",L489-F489)</f>
        <v/>
      </c>
      <c r="N489" s="7" t="n"/>
      <c r="Q489" s="11" t="n"/>
      <c r="S489">
        <f>IF($A489="","",IF($W489=1,Settings!$C$6,Settings!$C$7)*1)</f>
        <v/>
      </c>
      <c r="U489">
        <f>IF($A489="","",IF(COUNTIF($A$2:$A489,$A489)=1,1,0))</f>
        <v/>
      </c>
      <c r="V489">
        <f>IF($U489=1,SUMPRODUCT(--($X$2:$X$3001&lt;$X489))+1,"")</f>
        <v/>
      </c>
      <c r="W489">
        <f>IF($A489="","",IF(OR($T489=TRUE(),$T489="TRUE"),1,0))</f>
        <v/>
      </c>
      <c r="X489">
        <f>IF($U489=1,IFERROR(IF(VALUE($A489)&lt;100000000,VALUE($A489),1000000000),IFERROR(IF(VALUE(MID($A489,2,20))&lt;100000000,VALUE(MID($A489,2,20)),1000000000),1000000000))+ROW()/100000,"")</f>
        <v/>
      </c>
    </row>
    <row r="490">
      <c r="F490" s="7">
        <f>IF($A490="","",E490*N490/100)</f>
        <v/>
      </c>
      <c r="J490" s="7" t="n"/>
      <c r="K490" s="7">
        <f>IF($A490="","",S490*N490)</f>
        <v/>
      </c>
      <c r="L490" s="7">
        <f>IF($A490="","",N490-K490)</f>
        <v/>
      </c>
      <c r="M490" s="7">
        <f>IF($A490="","",L490-F490)</f>
        <v/>
      </c>
      <c r="N490" s="7" t="n"/>
      <c r="Q490" s="11" t="n"/>
      <c r="S490">
        <f>IF($A490="","",IF($W490=1,Settings!$C$6,Settings!$C$7)*1)</f>
        <v/>
      </c>
      <c r="U490">
        <f>IF($A490="","",IF(COUNTIF($A$2:$A490,$A490)=1,1,0))</f>
        <v/>
      </c>
      <c r="V490">
        <f>IF($U490=1,SUMPRODUCT(--($X$2:$X$3001&lt;$X490))+1,"")</f>
        <v/>
      </c>
      <c r="W490">
        <f>IF($A490="","",IF(OR($T490=TRUE(),$T490="TRUE"),1,0))</f>
        <v/>
      </c>
      <c r="X490">
        <f>IF($U490=1,IFERROR(IF(VALUE($A490)&lt;100000000,VALUE($A490),1000000000),IFERROR(IF(VALUE(MID($A490,2,20))&lt;100000000,VALUE(MID($A490,2,20)),1000000000),1000000000))+ROW()/100000,"")</f>
        <v/>
      </c>
    </row>
    <row r="491">
      <c r="F491" s="7">
        <f>IF($A491="","",E491*N491/100)</f>
        <v/>
      </c>
      <c r="J491" s="7" t="n"/>
      <c r="K491" s="7">
        <f>IF($A491="","",S491*N491)</f>
        <v/>
      </c>
      <c r="L491" s="7">
        <f>IF($A491="","",N491-K491)</f>
        <v/>
      </c>
      <c r="M491" s="7">
        <f>IF($A491="","",L491-F491)</f>
        <v/>
      </c>
      <c r="N491" s="7" t="n"/>
      <c r="Q491" s="11" t="n"/>
      <c r="S491">
        <f>IF($A491="","",IF($W491=1,Settings!$C$6,Settings!$C$7)*1)</f>
        <v/>
      </c>
      <c r="U491">
        <f>IF($A491="","",IF(COUNTIF($A$2:$A491,$A491)=1,1,0))</f>
        <v/>
      </c>
      <c r="V491">
        <f>IF($U491=1,SUMPRODUCT(--($X$2:$X$3001&lt;$X491))+1,"")</f>
        <v/>
      </c>
      <c r="W491">
        <f>IF($A491="","",IF(OR($T491=TRUE(),$T491="TRUE"),1,0))</f>
        <v/>
      </c>
      <c r="X491">
        <f>IF($U491=1,IFERROR(IF(VALUE($A491)&lt;100000000,VALUE($A491),1000000000),IFERROR(IF(VALUE(MID($A491,2,20))&lt;100000000,VALUE(MID($A491,2,20)),1000000000),1000000000))+ROW()/100000,"")</f>
        <v/>
      </c>
    </row>
    <row r="492">
      <c r="F492" s="7">
        <f>IF($A492="","",E492*N492/100)</f>
        <v/>
      </c>
      <c r="J492" s="7" t="n"/>
      <c r="K492" s="7">
        <f>IF($A492="","",S492*N492)</f>
        <v/>
      </c>
      <c r="L492" s="7">
        <f>IF($A492="","",N492-K492)</f>
        <v/>
      </c>
      <c r="M492" s="7">
        <f>IF($A492="","",L492-F492)</f>
        <v/>
      </c>
      <c r="N492" s="7" t="n"/>
      <c r="Q492" s="11" t="n"/>
      <c r="S492">
        <f>IF($A492="","",IF($W492=1,Settings!$C$6,Settings!$C$7)*1)</f>
        <v/>
      </c>
      <c r="U492">
        <f>IF($A492="","",IF(COUNTIF($A$2:$A492,$A492)=1,1,0))</f>
        <v/>
      </c>
      <c r="V492">
        <f>IF($U492=1,SUMPRODUCT(--($X$2:$X$3001&lt;$X492))+1,"")</f>
        <v/>
      </c>
      <c r="W492">
        <f>IF($A492="","",IF(OR($T492=TRUE(),$T492="TRUE"),1,0))</f>
        <v/>
      </c>
      <c r="X492">
        <f>IF($U492=1,IFERROR(IF(VALUE($A492)&lt;100000000,VALUE($A492),1000000000),IFERROR(IF(VALUE(MID($A492,2,20))&lt;100000000,VALUE(MID($A492,2,20)),1000000000),1000000000))+ROW()/100000,"")</f>
        <v/>
      </c>
    </row>
    <row r="493">
      <c r="F493" s="7">
        <f>IF($A493="","",E493*N493/100)</f>
        <v/>
      </c>
      <c r="J493" s="7" t="n"/>
      <c r="K493" s="7">
        <f>IF($A493="","",S493*N493)</f>
        <v/>
      </c>
      <c r="L493" s="7">
        <f>IF($A493="","",N493-K493)</f>
        <v/>
      </c>
      <c r="M493" s="7">
        <f>IF($A493="","",L493-F493)</f>
        <v/>
      </c>
      <c r="N493" s="7" t="n"/>
      <c r="Q493" s="11" t="n"/>
      <c r="S493">
        <f>IF($A493="","",IF($W493=1,Settings!$C$6,Settings!$C$7)*1)</f>
        <v/>
      </c>
      <c r="U493">
        <f>IF($A493="","",IF(COUNTIF($A$2:$A493,$A493)=1,1,0))</f>
        <v/>
      </c>
      <c r="V493">
        <f>IF($U493=1,SUMPRODUCT(--($X$2:$X$3001&lt;$X493))+1,"")</f>
        <v/>
      </c>
      <c r="W493">
        <f>IF($A493="","",IF(OR($T493=TRUE(),$T493="TRUE"),1,0))</f>
        <v/>
      </c>
      <c r="X493">
        <f>IF($U493=1,IFERROR(IF(VALUE($A493)&lt;100000000,VALUE($A493),1000000000),IFERROR(IF(VALUE(MID($A493,2,20))&lt;100000000,VALUE(MID($A493,2,20)),1000000000),1000000000))+ROW()/100000,"")</f>
        <v/>
      </c>
    </row>
    <row r="494">
      <c r="F494" s="7">
        <f>IF($A494="","",E494*N494/100)</f>
        <v/>
      </c>
      <c r="J494" s="7" t="n"/>
      <c r="K494" s="7">
        <f>IF($A494="","",S494*N494)</f>
        <v/>
      </c>
      <c r="L494" s="7">
        <f>IF($A494="","",N494-K494)</f>
        <v/>
      </c>
      <c r="M494" s="7">
        <f>IF($A494="","",L494-F494)</f>
        <v/>
      </c>
      <c r="N494" s="7" t="n"/>
      <c r="Q494" s="11" t="n"/>
      <c r="S494">
        <f>IF($A494="","",IF($W494=1,Settings!$C$6,Settings!$C$7)*1)</f>
        <v/>
      </c>
      <c r="U494">
        <f>IF($A494="","",IF(COUNTIF($A$2:$A494,$A494)=1,1,0))</f>
        <v/>
      </c>
      <c r="V494">
        <f>IF($U494=1,SUMPRODUCT(--($X$2:$X$3001&lt;$X494))+1,"")</f>
        <v/>
      </c>
      <c r="W494">
        <f>IF($A494="","",IF(OR($T494=TRUE(),$T494="TRUE"),1,0))</f>
        <v/>
      </c>
      <c r="X494">
        <f>IF($U494=1,IFERROR(IF(VALUE($A494)&lt;100000000,VALUE($A494),1000000000),IFERROR(IF(VALUE(MID($A494,2,20))&lt;100000000,VALUE(MID($A494,2,20)),1000000000),1000000000))+ROW()/100000,"")</f>
        <v/>
      </c>
    </row>
    <row r="495">
      <c r="F495" s="7">
        <f>IF($A495="","",E495*N495/100)</f>
        <v/>
      </c>
      <c r="J495" s="7" t="n"/>
      <c r="K495" s="7">
        <f>IF($A495="","",S495*N495)</f>
        <v/>
      </c>
      <c r="L495" s="7">
        <f>IF($A495="","",N495-K495)</f>
        <v/>
      </c>
      <c r="M495" s="7">
        <f>IF($A495="","",L495-F495)</f>
        <v/>
      </c>
      <c r="N495" s="7" t="n"/>
      <c r="Q495" s="11" t="n"/>
      <c r="S495">
        <f>IF($A495="","",IF($W495=1,Settings!$C$6,Settings!$C$7)*1)</f>
        <v/>
      </c>
      <c r="U495">
        <f>IF($A495="","",IF(COUNTIF($A$2:$A495,$A495)=1,1,0))</f>
        <v/>
      </c>
      <c r="V495">
        <f>IF($U495=1,SUMPRODUCT(--($X$2:$X$3001&lt;$X495))+1,"")</f>
        <v/>
      </c>
      <c r="W495">
        <f>IF($A495="","",IF(OR($T495=TRUE(),$T495="TRUE"),1,0))</f>
        <v/>
      </c>
      <c r="X495">
        <f>IF($U495=1,IFERROR(IF(VALUE($A495)&lt;100000000,VALUE($A495),1000000000),IFERROR(IF(VALUE(MID($A495,2,20))&lt;100000000,VALUE(MID($A495,2,20)),1000000000),1000000000))+ROW()/100000,"")</f>
        <v/>
      </c>
    </row>
    <row r="496">
      <c r="F496" s="7">
        <f>IF($A496="","",E496*N496/100)</f>
        <v/>
      </c>
      <c r="J496" s="7" t="n"/>
      <c r="K496" s="7">
        <f>IF($A496="","",S496*N496)</f>
        <v/>
      </c>
      <c r="L496" s="7">
        <f>IF($A496="","",N496-K496)</f>
        <v/>
      </c>
      <c r="M496" s="7">
        <f>IF($A496="","",L496-F496)</f>
        <v/>
      </c>
      <c r="N496" s="7" t="n"/>
      <c r="Q496" s="11" t="n"/>
      <c r="S496">
        <f>IF($A496="","",IF($W496=1,Settings!$C$6,Settings!$C$7)*1)</f>
        <v/>
      </c>
      <c r="U496">
        <f>IF($A496="","",IF(COUNTIF($A$2:$A496,$A496)=1,1,0))</f>
        <v/>
      </c>
      <c r="V496">
        <f>IF($U496=1,SUMPRODUCT(--($X$2:$X$3001&lt;$X496))+1,"")</f>
        <v/>
      </c>
      <c r="W496">
        <f>IF($A496="","",IF(OR($T496=TRUE(),$T496="TRUE"),1,0))</f>
        <v/>
      </c>
      <c r="X496">
        <f>IF($U496=1,IFERROR(IF(VALUE($A496)&lt;100000000,VALUE($A496),1000000000),IFERROR(IF(VALUE(MID($A496,2,20))&lt;100000000,VALUE(MID($A496,2,20)),1000000000),1000000000))+ROW()/100000,"")</f>
        <v/>
      </c>
    </row>
    <row r="497">
      <c r="F497" s="7">
        <f>IF($A497="","",E497*N497/100)</f>
        <v/>
      </c>
      <c r="J497" s="7" t="n"/>
      <c r="K497" s="7">
        <f>IF($A497="","",S497*N497)</f>
        <v/>
      </c>
      <c r="L497" s="7">
        <f>IF($A497="","",N497-K497)</f>
        <v/>
      </c>
      <c r="M497" s="7">
        <f>IF($A497="","",L497-F497)</f>
        <v/>
      </c>
      <c r="N497" s="7" t="n"/>
      <c r="Q497" s="11" t="n"/>
      <c r="S497">
        <f>IF($A497="","",IF($W497=1,Settings!$C$6,Settings!$C$7)*1)</f>
        <v/>
      </c>
      <c r="U497">
        <f>IF($A497="","",IF(COUNTIF($A$2:$A497,$A497)=1,1,0))</f>
        <v/>
      </c>
      <c r="V497">
        <f>IF($U497=1,SUMPRODUCT(--($X$2:$X$3001&lt;$X497))+1,"")</f>
        <v/>
      </c>
      <c r="W497">
        <f>IF($A497="","",IF(OR($T497=TRUE(),$T497="TRUE"),1,0))</f>
        <v/>
      </c>
      <c r="X497">
        <f>IF($U497=1,IFERROR(IF(VALUE($A497)&lt;100000000,VALUE($A497),1000000000),IFERROR(IF(VALUE(MID($A497,2,20))&lt;100000000,VALUE(MID($A497,2,20)),1000000000),1000000000))+ROW()/100000,"")</f>
        <v/>
      </c>
    </row>
    <row r="498">
      <c r="F498" s="7">
        <f>IF($A498="","",E498*N498/100)</f>
        <v/>
      </c>
      <c r="J498" s="7" t="n"/>
      <c r="K498" s="7">
        <f>IF($A498="","",S498*N498)</f>
        <v/>
      </c>
      <c r="L498" s="7">
        <f>IF($A498="","",N498-K498)</f>
        <v/>
      </c>
      <c r="M498" s="7">
        <f>IF($A498="","",L498-F498)</f>
        <v/>
      </c>
      <c r="N498" s="7" t="n"/>
      <c r="Q498" s="11" t="n"/>
      <c r="S498">
        <f>IF($A498="","",IF($W498=1,Settings!$C$6,Settings!$C$7)*1)</f>
        <v/>
      </c>
      <c r="U498">
        <f>IF($A498="","",IF(COUNTIF($A$2:$A498,$A498)=1,1,0))</f>
        <v/>
      </c>
      <c r="V498">
        <f>IF($U498=1,SUMPRODUCT(--($X$2:$X$3001&lt;$X498))+1,"")</f>
        <v/>
      </c>
      <c r="W498">
        <f>IF($A498="","",IF(OR($T498=TRUE(),$T498="TRUE"),1,0))</f>
        <v/>
      </c>
      <c r="X498">
        <f>IF($U498=1,IFERROR(IF(VALUE($A498)&lt;100000000,VALUE($A498),1000000000),IFERROR(IF(VALUE(MID($A498,2,20))&lt;100000000,VALUE(MID($A498,2,20)),1000000000),1000000000))+ROW()/100000,"")</f>
        <v/>
      </c>
    </row>
    <row r="499">
      <c r="F499" s="7">
        <f>IF($A499="","",E499*N499/100)</f>
        <v/>
      </c>
      <c r="J499" s="7" t="n"/>
      <c r="K499" s="7">
        <f>IF($A499="","",S499*N499)</f>
        <v/>
      </c>
      <c r="L499" s="7">
        <f>IF($A499="","",N499-K499)</f>
        <v/>
      </c>
      <c r="M499" s="7">
        <f>IF($A499="","",L499-F499)</f>
        <v/>
      </c>
      <c r="N499" s="7" t="n"/>
      <c r="Q499" s="11" t="n"/>
      <c r="S499">
        <f>IF($A499="","",IF($W499=1,Settings!$C$6,Settings!$C$7)*1)</f>
        <v/>
      </c>
      <c r="U499">
        <f>IF($A499="","",IF(COUNTIF($A$2:$A499,$A499)=1,1,0))</f>
        <v/>
      </c>
      <c r="V499">
        <f>IF($U499=1,SUMPRODUCT(--($X$2:$X$3001&lt;$X499))+1,"")</f>
        <v/>
      </c>
      <c r="W499">
        <f>IF($A499="","",IF(OR($T499=TRUE(),$T499="TRUE"),1,0))</f>
        <v/>
      </c>
      <c r="X499">
        <f>IF($U499=1,IFERROR(IF(VALUE($A499)&lt;100000000,VALUE($A499),1000000000),IFERROR(IF(VALUE(MID($A499,2,20))&lt;100000000,VALUE(MID($A499,2,20)),1000000000),1000000000))+ROW()/100000,"")</f>
        <v/>
      </c>
    </row>
    <row r="500">
      <c r="F500" s="7">
        <f>IF($A500="","",E500*N500/100)</f>
        <v/>
      </c>
      <c r="J500" s="7" t="n"/>
      <c r="K500" s="7">
        <f>IF($A500="","",S500*N500)</f>
        <v/>
      </c>
      <c r="L500" s="7">
        <f>IF($A500="","",N500-K500)</f>
        <v/>
      </c>
      <c r="M500" s="7">
        <f>IF($A500="","",L500-F500)</f>
        <v/>
      </c>
      <c r="N500" s="7" t="n"/>
      <c r="Q500" s="11" t="n"/>
      <c r="S500">
        <f>IF($A500="","",IF($W500=1,Settings!$C$6,Settings!$C$7)*1)</f>
        <v/>
      </c>
      <c r="U500">
        <f>IF($A500="","",IF(COUNTIF($A$2:$A500,$A500)=1,1,0))</f>
        <v/>
      </c>
      <c r="V500">
        <f>IF($U500=1,SUMPRODUCT(--($X$2:$X$3001&lt;$X500))+1,"")</f>
        <v/>
      </c>
      <c r="W500">
        <f>IF($A500="","",IF(OR($T500=TRUE(),$T500="TRUE"),1,0))</f>
        <v/>
      </c>
      <c r="X500">
        <f>IF($U500=1,IFERROR(IF(VALUE($A500)&lt;100000000,VALUE($A500),1000000000),IFERROR(IF(VALUE(MID($A500,2,20))&lt;100000000,VALUE(MID($A500,2,20)),1000000000),1000000000))+ROW()/100000,"")</f>
        <v/>
      </c>
    </row>
    <row r="501">
      <c r="F501" s="7">
        <f>IF($A501="","",E501*N501/100)</f>
        <v/>
      </c>
      <c r="J501" s="7" t="n"/>
      <c r="K501" s="7">
        <f>IF($A501="","",S501*N501)</f>
        <v/>
      </c>
      <c r="L501" s="7">
        <f>IF($A501="","",N501-K501)</f>
        <v/>
      </c>
      <c r="M501" s="7">
        <f>IF($A501="","",L501-F501)</f>
        <v/>
      </c>
      <c r="N501" s="7" t="n"/>
      <c r="Q501" s="11" t="n"/>
      <c r="S501">
        <f>IF($A501="","",IF($W501=1,Settings!$C$6,Settings!$C$7)*1)</f>
        <v/>
      </c>
      <c r="U501">
        <f>IF($A501="","",IF(COUNTIF($A$2:$A501,$A501)=1,1,0))</f>
        <v/>
      </c>
      <c r="V501">
        <f>IF($U501=1,SUMPRODUCT(--($X$2:$X$3001&lt;$X501))+1,"")</f>
        <v/>
      </c>
      <c r="W501">
        <f>IF($A501="","",IF(OR($T501=TRUE(),$T501="TRUE"),1,0))</f>
        <v/>
      </c>
      <c r="X501">
        <f>IF($U501=1,IFERROR(IF(VALUE($A501)&lt;100000000,VALUE($A501),1000000000),IFERROR(IF(VALUE(MID($A501,2,20))&lt;100000000,VALUE(MID($A501,2,20)),1000000000),1000000000))+ROW()/100000,"")</f>
        <v/>
      </c>
    </row>
    <row r="502">
      <c r="F502" s="7">
        <f>IF($A502="","",E502*N502/100)</f>
        <v/>
      </c>
      <c r="J502" s="7" t="n"/>
      <c r="K502" s="7">
        <f>IF($A502="","",S502*N502)</f>
        <v/>
      </c>
      <c r="L502" s="7">
        <f>IF($A502="","",N502-K502)</f>
        <v/>
      </c>
      <c r="M502" s="7">
        <f>IF($A502="","",L502-F502)</f>
        <v/>
      </c>
      <c r="N502" s="7" t="n"/>
      <c r="Q502" s="11" t="n"/>
      <c r="S502">
        <f>IF($A502="","",IF($W502=1,Settings!$C$6,Settings!$C$7)*1)</f>
        <v/>
      </c>
      <c r="U502">
        <f>IF($A502="","",IF(COUNTIF($A$2:$A502,$A502)=1,1,0))</f>
        <v/>
      </c>
      <c r="V502">
        <f>IF($U502=1,SUMPRODUCT(--($X$2:$X$3001&lt;$X502))+1,"")</f>
        <v/>
      </c>
      <c r="W502">
        <f>IF($A502="","",IF(OR($T502=TRUE(),$T502="TRUE"),1,0))</f>
        <v/>
      </c>
      <c r="X502">
        <f>IF($U502=1,IFERROR(IF(VALUE($A502)&lt;100000000,VALUE($A502),1000000000),IFERROR(IF(VALUE(MID($A502,2,20))&lt;100000000,VALUE(MID($A502,2,20)),1000000000),1000000000))+ROW()/100000,"")</f>
        <v/>
      </c>
    </row>
    <row r="503">
      <c r="F503" s="7">
        <f>IF($A503="","",E503*N503/100)</f>
        <v/>
      </c>
      <c r="J503" s="7" t="n"/>
      <c r="K503" s="7">
        <f>IF($A503="","",S503*N503)</f>
        <v/>
      </c>
      <c r="L503" s="7">
        <f>IF($A503="","",N503-K503)</f>
        <v/>
      </c>
      <c r="M503" s="7">
        <f>IF($A503="","",L503-F503)</f>
        <v/>
      </c>
      <c r="N503" s="7" t="n"/>
      <c r="Q503" s="11" t="n"/>
      <c r="S503">
        <f>IF($A503="","",IF($W503=1,Settings!$C$6,Settings!$C$7)*1)</f>
        <v/>
      </c>
      <c r="U503">
        <f>IF($A503="","",IF(COUNTIF($A$2:$A503,$A503)=1,1,0))</f>
        <v/>
      </c>
      <c r="V503">
        <f>IF($U503=1,SUMPRODUCT(--($X$2:$X$3001&lt;$X503))+1,"")</f>
        <v/>
      </c>
      <c r="W503">
        <f>IF($A503="","",IF(OR($T503=TRUE(),$T503="TRUE"),1,0))</f>
        <v/>
      </c>
      <c r="X503">
        <f>IF($U503=1,IFERROR(IF(VALUE($A503)&lt;100000000,VALUE($A503),1000000000),IFERROR(IF(VALUE(MID($A503,2,20))&lt;100000000,VALUE(MID($A503,2,20)),1000000000),1000000000))+ROW()/100000,"")</f>
        <v/>
      </c>
    </row>
    <row r="504">
      <c r="F504" s="7">
        <f>IF($A504="","",E504*N504/100)</f>
        <v/>
      </c>
      <c r="J504" s="7" t="n"/>
      <c r="K504" s="7">
        <f>IF($A504="","",S504*N504)</f>
        <v/>
      </c>
      <c r="L504" s="7">
        <f>IF($A504="","",N504-K504)</f>
        <v/>
      </c>
      <c r="M504" s="7">
        <f>IF($A504="","",L504-F504)</f>
        <v/>
      </c>
      <c r="N504" s="7" t="n"/>
      <c r="Q504" s="11" t="n"/>
      <c r="S504">
        <f>IF($A504="","",IF($W504=1,Settings!$C$6,Settings!$C$7)*1)</f>
        <v/>
      </c>
      <c r="U504">
        <f>IF($A504="","",IF(COUNTIF($A$2:$A504,$A504)=1,1,0))</f>
        <v/>
      </c>
      <c r="V504">
        <f>IF($U504=1,SUMPRODUCT(--($X$2:$X$3001&lt;$X504))+1,"")</f>
        <v/>
      </c>
      <c r="W504">
        <f>IF($A504="","",IF(OR($T504=TRUE(),$T504="TRUE"),1,0))</f>
        <v/>
      </c>
      <c r="X504">
        <f>IF($U504=1,IFERROR(IF(VALUE($A504)&lt;100000000,VALUE($A504),1000000000),IFERROR(IF(VALUE(MID($A504,2,20))&lt;100000000,VALUE(MID($A504,2,20)),1000000000),1000000000))+ROW()/100000,"")</f>
        <v/>
      </c>
    </row>
    <row r="505">
      <c r="F505" s="7">
        <f>IF($A505="","",E505*N505/100)</f>
        <v/>
      </c>
      <c r="J505" s="7" t="n"/>
      <c r="K505" s="7">
        <f>IF($A505="","",S505*N505)</f>
        <v/>
      </c>
      <c r="L505" s="7">
        <f>IF($A505="","",N505-K505)</f>
        <v/>
      </c>
      <c r="M505" s="7">
        <f>IF($A505="","",L505-F505)</f>
        <v/>
      </c>
      <c r="N505" s="7" t="n"/>
      <c r="Q505" s="11" t="n"/>
      <c r="S505">
        <f>IF($A505="","",IF($W505=1,Settings!$C$6,Settings!$C$7)*1)</f>
        <v/>
      </c>
      <c r="U505">
        <f>IF($A505="","",IF(COUNTIF($A$2:$A505,$A505)=1,1,0))</f>
        <v/>
      </c>
      <c r="V505">
        <f>IF($U505=1,SUMPRODUCT(--($X$2:$X$3001&lt;$X505))+1,"")</f>
        <v/>
      </c>
      <c r="W505">
        <f>IF($A505="","",IF(OR($T505=TRUE(),$T505="TRUE"),1,0))</f>
        <v/>
      </c>
      <c r="X505">
        <f>IF($U505=1,IFERROR(IF(VALUE($A505)&lt;100000000,VALUE($A505),1000000000),IFERROR(IF(VALUE(MID($A505,2,20))&lt;100000000,VALUE(MID($A505,2,20)),1000000000),1000000000))+ROW()/100000,"")</f>
        <v/>
      </c>
    </row>
    <row r="506">
      <c r="F506" s="7">
        <f>IF($A506="","",E506*N506/100)</f>
        <v/>
      </c>
      <c r="J506" s="7" t="n"/>
      <c r="K506" s="7">
        <f>IF($A506="","",S506*N506)</f>
        <v/>
      </c>
      <c r="L506" s="7">
        <f>IF($A506="","",N506-K506)</f>
        <v/>
      </c>
      <c r="M506" s="7">
        <f>IF($A506="","",L506-F506)</f>
        <v/>
      </c>
      <c r="N506" s="7" t="n"/>
      <c r="Q506" s="11" t="n"/>
      <c r="S506">
        <f>IF($A506="","",IF($W506=1,Settings!$C$6,Settings!$C$7)*1)</f>
        <v/>
      </c>
      <c r="U506">
        <f>IF($A506="","",IF(COUNTIF($A$2:$A506,$A506)=1,1,0))</f>
        <v/>
      </c>
      <c r="V506">
        <f>IF($U506=1,SUMPRODUCT(--($X$2:$X$3001&lt;$X506))+1,"")</f>
        <v/>
      </c>
      <c r="W506">
        <f>IF($A506="","",IF(OR($T506=TRUE(),$T506="TRUE"),1,0))</f>
        <v/>
      </c>
      <c r="X506">
        <f>IF($U506=1,IFERROR(IF(VALUE($A506)&lt;100000000,VALUE($A506),1000000000),IFERROR(IF(VALUE(MID($A506,2,20))&lt;100000000,VALUE(MID($A506,2,20)),1000000000),1000000000))+ROW()/100000,"")</f>
        <v/>
      </c>
    </row>
    <row r="507">
      <c r="F507" s="7">
        <f>IF($A507="","",E507*N507/100)</f>
        <v/>
      </c>
      <c r="J507" s="7" t="n"/>
      <c r="K507" s="7">
        <f>IF($A507="","",S507*N507)</f>
        <v/>
      </c>
      <c r="L507" s="7">
        <f>IF($A507="","",N507-K507)</f>
        <v/>
      </c>
      <c r="M507" s="7">
        <f>IF($A507="","",L507-F507)</f>
        <v/>
      </c>
      <c r="N507" s="7" t="n"/>
      <c r="Q507" s="11" t="n"/>
      <c r="S507">
        <f>IF($A507="","",IF($W507=1,Settings!$C$6,Settings!$C$7)*1)</f>
        <v/>
      </c>
      <c r="U507">
        <f>IF($A507="","",IF(COUNTIF($A$2:$A507,$A507)=1,1,0))</f>
        <v/>
      </c>
      <c r="V507">
        <f>IF($U507=1,SUMPRODUCT(--($X$2:$X$3001&lt;$X507))+1,"")</f>
        <v/>
      </c>
      <c r="W507">
        <f>IF($A507="","",IF(OR($T507=TRUE(),$T507="TRUE"),1,0))</f>
        <v/>
      </c>
      <c r="X507">
        <f>IF($U507=1,IFERROR(IF(VALUE($A507)&lt;100000000,VALUE($A507),1000000000),IFERROR(IF(VALUE(MID($A507,2,20))&lt;100000000,VALUE(MID($A507,2,20)),1000000000),1000000000))+ROW()/100000,"")</f>
        <v/>
      </c>
    </row>
    <row r="508">
      <c r="F508" s="7">
        <f>IF($A508="","",E508*N508/100)</f>
        <v/>
      </c>
      <c r="J508" s="7" t="n"/>
      <c r="K508" s="7">
        <f>IF($A508="","",S508*N508)</f>
        <v/>
      </c>
      <c r="L508" s="7">
        <f>IF($A508="","",N508-K508)</f>
        <v/>
      </c>
      <c r="M508" s="7">
        <f>IF($A508="","",L508-F508)</f>
        <v/>
      </c>
      <c r="N508" s="7" t="n"/>
      <c r="Q508" s="11" t="n"/>
      <c r="S508">
        <f>IF($A508="","",IF($W508=1,Settings!$C$6,Settings!$C$7)*1)</f>
        <v/>
      </c>
      <c r="U508">
        <f>IF($A508="","",IF(COUNTIF($A$2:$A508,$A508)=1,1,0))</f>
        <v/>
      </c>
      <c r="V508">
        <f>IF($U508=1,SUMPRODUCT(--($X$2:$X$3001&lt;$X508))+1,"")</f>
        <v/>
      </c>
      <c r="W508">
        <f>IF($A508="","",IF(OR($T508=TRUE(),$T508="TRUE"),1,0))</f>
        <v/>
      </c>
      <c r="X508">
        <f>IF($U508=1,IFERROR(IF(VALUE($A508)&lt;100000000,VALUE($A508),1000000000),IFERROR(IF(VALUE(MID($A508,2,20))&lt;100000000,VALUE(MID($A508,2,20)),1000000000),1000000000))+ROW()/100000,"")</f>
        <v/>
      </c>
    </row>
    <row r="509">
      <c r="F509" s="7">
        <f>IF($A509="","",E509*N509/100)</f>
        <v/>
      </c>
      <c r="J509" s="7" t="n"/>
      <c r="K509" s="7">
        <f>IF($A509="","",S509*N509)</f>
        <v/>
      </c>
      <c r="L509" s="7">
        <f>IF($A509="","",N509-K509)</f>
        <v/>
      </c>
      <c r="M509" s="7">
        <f>IF($A509="","",L509-F509)</f>
        <v/>
      </c>
      <c r="N509" s="7" t="n"/>
      <c r="Q509" s="11" t="n"/>
      <c r="S509">
        <f>IF($A509="","",IF($W509=1,Settings!$C$6,Settings!$C$7)*1)</f>
        <v/>
      </c>
      <c r="U509">
        <f>IF($A509="","",IF(COUNTIF($A$2:$A509,$A509)=1,1,0))</f>
        <v/>
      </c>
      <c r="V509">
        <f>IF($U509=1,SUMPRODUCT(--($X$2:$X$3001&lt;$X509))+1,"")</f>
        <v/>
      </c>
      <c r="W509">
        <f>IF($A509="","",IF(OR($T509=TRUE(),$T509="TRUE"),1,0))</f>
        <v/>
      </c>
      <c r="X509">
        <f>IF($U509=1,IFERROR(IF(VALUE($A509)&lt;100000000,VALUE($A509),1000000000),IFERROR(IF(VALUE(MID($A509,2,20))&lt;100000000,VALUE(MID($A509,2,20)),1000000000),1000000000))+ROW()/100000,"")</f>
        <v/>
      </c>
    </row>
    <row r="510">
      <c r="F510" s="7">
        <f>IF($A510="","",E510*N510/100)</f>
        <v/>
      </c>
      <c r="J510" s="7" t="n"/>
      <c r="K510" s="7">
        <f>IF($A510="","",S510*N510)</f>
        <v/>
      </c>
      <c r="L510" s="7">
        <f>IF($A510="","",N510-K510)</f>
        <v/>
      </c>
      <c r="M510" s="7">
        <f>IF($A510="","",L510-F510)</f>
        <v/>
      </c>
      <c r="N510" s="7" t="n"/>
      <c r="Q510" s="11" t="n"/>
      <c r="S510">
        <f>IF($A510="","",IF($W510=1,Settings!$C$6,Settings!$C$7)*1)</f>
        <v/>
      </c>
      <c r="U510">
        <f>IF($A510="","",IF(COUNTIF($A$2:$A510,$A510)=1,1,0))</f>
        <v/>
      </c>
      <c r="V510">
        <f>IF($U510=1,SUMPRODUCT(--($X$2:$X$3001&lt;$X510))+1,"")</f>
        <v/>
      </c>
      <c r="W510">
        <f>IF($A510="","",IF(OR($T510=TRUE(),$T510="TRUE"),1,0))</f>
        <v/>
      </c>
      <c r="X510">
        <f>IF($U510=1,IFERROR(IF(VALUE($A510)&lt;100000000,VALUE($A510),1000000000),IFERROR(IF(VALUE(MID($A510,2,20))&lt;100000000,VALUE(MID($A510,2,20)),1000000000),1000000000))+ROW()/100000,"")</f>
        <v/>
      </c>
    </row>
    <row r="511">
      <c r="F511" s="7">
        <f>IF($A511="","",E511*N511/100)</f>
        <v/>
      </c>
      <c r="J511" s="7" t="n"/>
      <c r="K511" s="7">
        <f>IF($A511="","",S511*N511)</f>
        <v/>
      </c>
      <c r="L511" s="7">
        <f>IF($A511="","",N511-K511)</f>
        <v/>
      </c>
      <c r="M511" s="7">
        <f>IF($A511="","",L511-F511)</f>
        <v/>
      </c>
      <c r="N511" s="7" t="n"/>
      <c r="Q511" s="11" t="n"/>
      <c r="S511">
        <f>IF($A511="","",IF($W511=1,Settings!$C$6,Settings!$C$7)*1)</f>
        <v/>
      </c>
      <c r="U511">
        <f>IF($A511="","",IF(COUNTIF($A$2:$A511,$A511)=1,1,0))</f>
        <v/>
      </c>
      <c r="V511">
        <f>IF($U511=1,SUMPRODUCT(--($X$2:$X$3001&lt;$X511))+1,"")</f>
        <v/>
      </c>
      <c r="W511">
        <f>IF($A511="","",IF(OR($T511=TRUE(),$T511="TRUE"),1,0))</f>
        <v/>
      </c>
      <c r="X511">
        <f>IF($U511=1,IFERROR(IF(VALUE($A511)&lt;100000000,VALUE($A511),1000000000),IFERROR(IF(VALUE(MID($A511,2,20))&lt;100000000,VALUE(MID($A511,2,20)),1000000000),1000000000))+ROW()/100000,"")</f>
        <v/>
      </c>
    </row>
    <row r="512">
      <c r="F512" s="7">
        <f>IF($A512="","",E512*N512/100)</f>
        <v/>
      </c>
      <c r="J512" s="7" t="n"/>
      <c r="K512" s="7">
        <f>IF($A512="","",S512*N512)</f>
        <v/>
      </c>
      <c r="L512" s="7">
        <f>IF($A512="","",N512-K512)</f>
        <v/>
      </c>
      <c r="M512" s="7">
        <f>IF($A512="","",L512-F512)</f>
        <v/>
      </c>
      <c r="N512" s="7" t="n"/>
      <c r="Q512" s="11" t="n"/>
      <c r="S512">
        <f>IF($A512="","",IF($W512=1,Settings!$C$6,Settings!$C$7)*1)</f>
        <v/>
      </c>
      <c r="U512">
        <f>IF($A512="","",IF(COUNTIF($A$2:$A512,$A512)=1,1,0))</f>
        <v/>
      </c>
      <c r="V512">
        <f>IF($U512=1,SUMPRODUCT(--($X$2:$X$3001&lt;$X512))+1,"")</f>
        <v/>
      </c>
      <c r="W512">
        <f>IF($A512="","",IF(OR($T512=TRUE(),$T512="TRUE"),1,0))</f>
        <v/>
      </c>
      <c r="X512">
        <f>IF($U512=1,IFERROR(IF(VALUE($A512)&lt;100000000,VALUE($A512),1000000000),IFERROR(IF(VALUE(MID($A512,2,20))&lt;100000000,VALUE(MID($A512,2,20)),1000000000),1000000000))+ROW()/100000,"")</f>
        <v/>
      </c>
    </row>
    <row r="513">
      <c r="F513" s="7">
        <f>IF($A513="","",E513*N513/100)</f>
        <v/>
      </c>
      <c r="J513" s="7" t="n"/>
      <c r="K513" s="7">
        <f>IF($A513="","",S513*N513)</f>
        <v/>
      </c>
      <c r="L513" s="7">
        <f>IF($A513="","",N513-K513)</f>
        <v/>
      </c>
      <c r="M513" s="7">
        <f>IF($A513="","",L513-F513)</f>
        <v/>
      </c>
      <c r="N513" s="7" t="n"/>
      <c r="Q513" s="11" t="n"/>
      <c r="S513">
        <f>IF($A513="","",IF($W513=1,Settings!$C$6,Settings!$C$7)*1)</f>
        <v/>
      </c>
      <c r="U513">
        <f>IF($A513="","",IF(COUNTIF($A$2:$A513,$A513)=1,1,0))</f>
        <v/>
      </c>
      <c r="V513">
        <f>IF($U513=1,SUMPRODUCT(--($X$2:$X$3001&lt;$X513))+1,"")</f>
        <v/>
      </c>
      <c r="W513">
        <f>IF($A513="","",IF(OR($T513=TRUE(),$T513="TRUE"),1,0))</f>
        <v/>
      </c>
      <c r="X513">
        <f>IF($U513=1,IFERROR(IF(VALUE($A513)&lt;100000000,VALUE($A513),1000000000),IFERROR(IF(VALUE(MID($A513,2,20))&lt;100000000,VALUE(MID($A513,2,20)),1000000000),1000000000))+ROW()/100000,"")</f>
        <v/>
      </c>
    </row>
    <row r="514">
      <c r="F514" s="7">
        <f>IF($A514="","",E514*N514/100)</f>
        <v/>
      </c>
      <c r="J514" s="7" t="n"/>
      <c r="K514" s="7">
        <f>IF($A514="","",S514*N514)</f>
        <v/>
      </c>
      <c r="L514" s="7">
        <f>IF($A514="","",N514-K514)</f>
        <v/>
      </c>
      <c r="M514" s="7">
        <f>IF($A514="","",L514-F514)</f>
        <v/>
      </c>
      <c r="N514" s="7" t="n"/>
      <c r="Q514" s="11" t="n"/>
      <c r="S514">
        <f>IF($A514="","",IF($W514=1,Settings!$C$6,Settings!$C$7)*1)</f>
        <v/>
      </c>
      <c r="U514">
        <f>IF($A514="","",IF(COUNTIF($A$2:$A514,$A514)=1,1,0))</f>
        <v/>
      </c>
      <c r="V514">
        <f>IF($U514=1,SUMPRODUCT(--($X$2:$X$3001&lt;$X514))+1,"")</f>
        <v/>
      </c>
      <c r="W514">
        <f>IF($A514="","",IF(OR($T514=TRUE(),$T514="TRUE"),1,0))</f>
        <v/>
      </c>
      <c r="X514">
        <f>IF($U514=1,IFERROR(IF(VALUE($A514)&lt;100000000,VALUE($A514),1000000000),IFERROR(IF(VALUE(MID($A514,2,20))&lt;100000000,VALUE(MID($A514,2,20)),1000000000),1000000000))+ROW()/100000,"")</f>
        <v/>
      </c>
    </row>
    <row r="515">
      <c r="F515" s="7">
        <f>IF($A515="","",E515*N515/100)</f>
        <v/>
      </c>
      <c r="J515" s="7" t="n"/>
      <c r="K515" s="7">
        <f>IF($A515="","",S515*N515)</f>
        <v/>
      </c>
      <c r="L515" s="7">
        <f>IF($A515="","",N515-K515)</f>
        <v/>
      </c>
      <c r="M515" s="7">
        <f>IF($A515="","",L515-F515)</f>
        <v/>
      </c>
      <c r="N515" s="7" t="n"/>
      <c r="Q515" s="11" t="n"/>
      <c r="S515">
        <f>IF($A515="","",IF($W515=1,Settings!$C$6,Settings!$C$7)*1)</f>
        <v/>
      </c>
      <c r="U515">
        <f>IF($A515="","",IF(COUNTIF($A$2:$A515,$A515)=1,1,0))</f>
        <v/>
      </c>
      <c r="V515">
        <f>IF($U515=1,SUMPRODUCT(--($X$2:$X$3001&lt;$X515))+1,"")</f>
        <v/>
      </c>
      <c r="W515">
        <f>IF($A515="","",IF(OR($T515=TRUE(),$T515="TRUE"),1,0))</f>
        <v/>
      </c>
      <c r="X515">
        <f>IF($U515=1,IFERROR(IF(VALUE($A515)&lt;100000000,VALUE($A515),1000000000),IFERROR(IF(VALUE(MID($A515,2,20))&lt;100000000,VALUE(MID($A515,2,20)),1000000000),1000000000))+ROW()/100000,"")</f>
        <v/>
      </c>
    </row>
    <row r="516">
      <c r="F516" s="7">
        <f>IF($A516="","",E516*N516/100)</f>
        <v/>
      </c>
      <c r="J516" s="7" t="n"/>
      <c r="K516" s="7">
        <f>IF($A516="","",S516*N516)</f>
        <v/>
      </c>
      <c r="L516" s="7">
        <f>IF($A516="","",N516-K516)</f>
        <v/>
      </c>
      <c r="M516" s="7">
        <f>IF($A516="","",L516-F516)</f>
        <v/>
      </c>
      <c r="N516" s="7" t="n"/>
      <c r="Q516" s="11" t="n"/>
      <c r="S516">
        <f>IF($A516="","",IF($W516=1,Settings!$C$6,Settings!$C$7)*1)</f>
        <v/>
      </c>
      <c r="U516">
        <f>IF($A516="","",IF(COUNTIF($A$2:$A516,$A516)=1,1,0))</f>
        <v/>
      </c>
      <c r="V516">
        <f>IF($U516=1,SUMPRODUCT(--($X$2:$X$3001&lt;$X516))+1,"")</f>
        <v/>
      </c>
      <c r="W516">
        <f>IF($A516="","",IF(OR($T516=TRUE(),$T516="TRUE"),1,0))</f>
        <v/>
      </c>
      <c r="X516">
        <f>IF($U516=1,IFERROR(IF(VALUE($A516)&lt;100000000,VALUE($A516),1000000000),IFERROR(IF(VALUE(MID($A516,2,20))&lt;100000000,VALUE(MID($A516,2,20)),1000000000),1000000000))+ROW()/100000,"")</f>
        <v/>
      </c>
    </row>
    <row r="517">
      <c r="F517" s="7">
        <f>IF($A517="","",E517*N517/100)</f>
        <v/>
      </c>
      <c r="J517" s="7" t="n"/>
      <c r="K517" s="7">
        <f>IF($A517="","",S517*N517)</f>
        <v/>
      </c>
      <c r="L517" s="7">
        <f>IF($A517="","",N517-K517)</f>
        <v/>
      </c>
      <c r="M517" s="7">
        <f>IF($A517="","",L517-F517)</f>
        <v/>
      </c>
      <c r="N517" s="7" t="n"/>
      <c r="Q517" s="11" t="n"/>
      <c r="S517">
        <f>IF($A517="","",IF($W517=1,Settings!$C$6,Settings!$C$7)*1)</f>
        <v/>
      </c>
      <c r="U517">
        <f>IF($A517="","",IF(COUNTIF($A$2:$A517,$A517)=1,1,0))</f>
        <v/>
      </c>
      <c r="V517">
        <f>IF($U517=1,SUMPRODUCT(--($X$2:$X$3001&lt;$X517))+1,"")</f>
        <v/>
      </c>
      <c r="W517">
        <f>IF($A517="","",IF(OR($T517=TRUE(),$T517="TRUE"),1,0))</f>
        <v/>
      </c>
      <c r="X517">
        <f>IF($U517=1,IFERROR(IF(VALUE($A517)&lt;100000000,VALUE($A517),1000000000),IFERROR(IF(VALUE(MID($A517,2,20))&lt;100000000,VALUE(MID($A517,2,20)),1000000000),1000000000))+ROW()/100000,"")</f>
        <v/>
      </c>
    </row>
    <row r="518">
      <c r="F518" s="7">
        <f>IF($A518="","",E518*N518/100)</f>
        <v/>
      </c>
      <c r="J518" s="7" t="n"/>
      <c r="K518" s="7">
        <f>IF($A518="","",S518*N518)</f>
        <v/>
      </c>
      <c r="L518" s="7">
        <f>IF($A518="","",N518-K518)</f>
        <v/>
      </c>
      <c r="M518" s="7">
        <f>IF($A518="","",L518-F518)</f>
        <v/>
      </c>
      <c r="N518" s="7" t="n"/>
      <c r="Q518" s="11" t="n"/>
      <c r="S518">
        <f>IF($A518="","",IF($W518=1,Settings!$C$6,Settings!$C$7)*1)</f>
        <v/>
      </c>
      <c r="U518">
        <f>IF($A518="","",IF(COUNTIF($A$2:$A518,$A518)=1,1,0))</f>
        <v/>
      </c>
      <c r="V518">
        <f>IF($U518=1,SUMPRODUCT(--($X$2:$X$3001&lt;$X518))+1,"")</f>
        <v/>
      </c>
      <c r="W518">
        <f>IF($A518="","",IF(OR($T518=TRUE(),$T518="TRUE"),1,0))</f>
        <v/>
      </c>
      <c r="X518">
        <f>IF($U518=1,IFERROR(IF(VALUE($A518)&lt;100000000,VALUE($A518),1000000000),IFERROR(IF(VALUE(MID($A518,2,20))&lt;100000000,VALUE(MID($A518,2,20)),1000000000),1000000000))+ROW()/100000,"")</f>
        <v/>
      </c>
    </row>
    <row r="519">
      <c r="F519" s="7">
        <f>IF($A519="","",E519*N519/100)</f>
        <v/>
      </c>
      <c r="J519" s="7" t="n"/>
      <c r="K519" s="7">
        <f>IF($A519="","",S519*N519)</f>
        <v/>
      </c>
      <c r="L519" s="7">
        <f>IF($A519="","",N519-K519)</f>
        <v/>
      </c>
      <c r="M519" s="7">
        <f>IF($A519="","",L519-F519)</f>
        <v/>
      </c>
      <c r="N519" s="7" t="n"/>
      <c r="Q519" s="11" t="n"/>
      <c r="S519">
        <f>IF($A519="","",IF($W519=1,Settings!$C$6,Settings!$C$7)*1)</f>
        <v/>
      </c>
      <c r="U519">
        <f>IF($A519="","",IF(COUNTIF($A$2:$A519,$A519)=1,1,0))</f>
        <v/>
      </c>
      <c r="V519">
        <f>IF($U519=1,SUMPRODUCT(--($X$2:$X$3001&lt;$X519))+1,"")</f>
        <v/>
      </c>
      <c r="W519">
        <f>IF($A519="","",IF(OR($T519=TRUE(),$T519="TRUE"),1,0))</f>
        <v/>
      </c>
      <c r="X519">
        <f>IF($U519=1,IFERROR(IF(VALUE($A519)&lt;100000000,VALUE($A519),1000000000),IFERROR(IF(VALUE(MID($A519,2,20))&lt;100000000,VALUE(MID($A519,2,20)),1000000000),1000000000))+ROW()/100000,"")</f>
        <v/>
      </c>
    </row>
    <row r="520">
      <c r="F520" s="7">
        <f>IF($A520="","",E520*N520/100)</f>
        <v/>
      </c>
      <c r="J520" s="7" t="n"/>
      <c r="K520" s="7">
        <f>IF($A520="","",S520*N520)</f>
        <v/>
      </c>
      <c r="L520" s="7">
        <f>IF($A520="","",N520-K520)</f>
        <v/>
      </c>
      <c r="M520" s="7">
        <f>IF($A520="","",L520-F520)</f>
        <v/>
      </c>
      <c r="N520" s="7" t="n"/>
      <c r="Q520" s="11" t="n"/>
      <c r="S520">
        <f>IF($A520="","",IF($W520=1,Settings!$C$6,Settings!$C$7)*1)</f>
        <v/>
      </c>
      <c r="U520">
        <f>IF($A520="","",IF(COUNTIF($A$2:$A520,$A520)=1,1,0))</f>
        <v/>
      </c>
      <c r="V520">
        <f>IF($U520=1,SUMPRODUCT(--($X$2:$X$3001&lt;$X520))+1,"")</f>
        <v/>
      </c>
      <c r="W520">
        <f>IF($A520="","",IF(OR($T520=TRUE(),$T520="TRUE"),1,0))</f>
        <v/>
      </c>
      <c r="X520">
        <f>IF($U520=1,IFERROR(IF(VALUE($A520)&lt;100000000,VALUE($A520),1000000000),IFERROR(IF(VALUE(MID($A520,2,20))&lt;100000000,VALUE(MID($A520,2,20)),1000000000),1000000000))+ROW()/100000,"")</f>
        <v/>
      </c>
    </row>
    <row r="521">
      <c r="F521" s="7">
        <f>IF($A521="","",E521*N521/100)</f>
        <v/>
      </c>
      <c r="J521" s="7" t="n"/>
      <c r="K521" s="7">
        <f>IF($A521="","",S521*N521)</f>
        <v/>
      </c>
      <c r="L521" s="7">
        <f>IF($A521="","",N521-K521)</f>
        <v/>
      </c>
      <c r="M521" s="7">
        <f>IF($A521="","",L521-F521)</f>
        <v/>
      </c>
      <c r="N521" s="7" t="n"/>
      <c r="Q521" s="11" t="n"/>
      <c r="S521">
        <f>IF($A521="","",IF($W521=1,Settings!$C$6,Settings!$C$7)*1)</f>
        <v/>
      </c>
      <c r="U521">
        <f>IF($A521="","",IF(COUNTIF($A$2:$A521,$A521)=1,1,0))</f>
        <v/>
      </c>
      <c r="V521">
        <f>IF($U521=1,SUMPRODUCT(--($X$2:$X$3001&lt;$X521))+1,"")</f>
        <v/>
      </c>
      <c r="W521">
        <f>IF($A521="","",IF(OR($T521=TRUE(),$T521="TRUE"),1,0))</f>
        <v/>
      </c>
      <c r="X521">
        <f>IF($U521=1,IFERROR(IF(VALUE($A521)&lt;100000000,VALUE($A521),1000000000),IFERROR(IF(VALUE(MID($A521,2,20))&lt;100000000,VALUE(MID($A521,2,20)),1000000000),1000000000))+ROW()/100000,"")</f>
        <v/>
      </c>
    </row>
    <row r="522">
      <c r="F522" s="7">
        <f>IF($A522="","",E522*N522/100)</f>
        <v/>
      </c>
      <c r="J522" s="7" t="n"/>
      <c r="K522" s="7">
        <f>IF($A522="","",S522*N522)</f>
        <v/>
      </c>
      <c r="L522" s="7">
        <f>IF($A522="","",N522-K522)</f>
        <v/>
      </c>
      <c r="M522" s="7">
        <f>IF($A522="","",L522-F522)</f>
        <v/>
      </c>
      <c r="N522" s="7" t="n"/>
      <c r="Q522" s="11" t="n"/>
      <c r="S522">
        <f>IF($A522="","",IF($W522=1,Settings!$C$6,Settings!$C$7)*1)</f>
        <v/>
      </c>
      <c r="U522">
        <f>IF($A522="","",IF(COUNTIF($A$2:$A522,$A522)=1,1,0))</f>
        <v/>
      </c>
      <c r="V522">
        <f>IF($U522=1,SUMPRODUCT(--($X$2:$X$3001&lt;$X522))+1,"")</f>
        <v/>
      </c>
      <c r="W522">
        <f>IF($A522="","",IF(OR($T522=TRUE(),$T522="TRUE"),1,0))</f>
        <v/>
      </c>
      <c r="X522">
        <f>IF($U522=1,IFERROR(IF(VALUE($A522)&lt;100000000,VALUE($A522),1000000000),IFERROR(IF(VALUE(MID($A522,2,20))&lt;100000000,VALUE(MID($A522,2,20)),1000000000),1000000000))+ROW()/100000,"")</f>
        <v/>
      </c>
    </row>
    <row r="523">
      <c r="F523" s="7">
        <f>IF($A523="","",E523*N523/100)</f>
        <v/>
      </c>
      <c r="J523" s="7" t="n"/>
      <c r="K523" s="7">
        <f>IF($A523="","",S523*N523)</f>
        <v/>
      </c>
      <c r="L523" s="7">
        <f>IF($A523="","",N523-K523)</f>
        <v/>
      </c>
      <c r="M523" s="7">
        <f>IF($A523="","",L523-F523)</f>
        <v/>
      </c>
      <c r="N523" s="7" t="n"/>
      <c r="Q523" s="11" t="n"/>
      <c r="S523">
        <f>IF($A523="","",IF($W523=1,Settings!$C$6,Settings!$C$7)*1)</f>
        <v/>
      </c>
      <c r="U523">
        <f>IF($A523="","",IF(COUNTIF($A$2:$A523,$A523)=1,1,0))</f>
        <v/>
      </c>
      <c r="V523">
        <f>IF($U523=1,SUMPRODUCT(--($X$2:$X$3001&lt;$X523))+1,"")</f>
        <v/>
      </c>
      <c r="W523">
        <f>IF($A523="","",IF(OR($T523=TRUE(),$T523="TRUE"),1,0))</f>
        <v/>
      </c>
      <c r="X523">
        <f>IF($U523=1,IFERROR(IF(VALUE($A523)&lt;100000000,VALUE($A523),1000000000),IFERROR(IF(VALUE(MID($A523,2,20))&lt;100000000,VALUE(MID($A523,2,20)),1000000000),1000000000))+ROW()/100000,"")</f>
        <v/>
      </c>
    </row>
    <row r="524">
      <c r="F524" s="7">
        <f>IF($A524="","",E524*N524/100)</f>
        <v/>
      </c>
      <c r="J524" s="7" t="n"/>
      <c r="K524" s="7">
        <f>IF($A524="","",S524*N524)</f>
        <v/>
      </c>
      <c r="L524" s="7">
        <f>IF($A524="","",N524-K524)</f>
        <v/>
      </c>
      <c r="M524" s="7">
        <f>IF($A524="","",L524-F524)</f>
        <v/>
      </c>
      <c r="N524" s="7" t="n"/>
      <c r="Q524" s="11" t="n"/>
      <c r="S524">
        <f>IF($A524="","",IF($W524=1,Settings!$C$6,Settings!$C$7)*1)</f>
        <v/>
      </c>
      <c r="U524">
        <f>IF($A524="","",IF(COUNTIF($A$2:$A524,$A524)=1,1,0))</f>
        <v/>
      </c>
      <c r="V524">
        <f>IF($U524=1,SUMPRODUCT(--($X$2:$X$3001&lt;$X524))+1,"")</f>
        <v/>
      </c>
      <c r="W524">
        <f>IF($A524="","",IF(OR($T524=TRUE(),$T524="TRUE"),1,0))</f>
        <v/>
      </c>
      <c r="X524">
        <f>IF($U524=1,IFERROR(IF(VALUE($A524)&lt;100000000,VALUE($A524),1000000000),IFERROR(IF(VALUE(MID($A524,2,20))&lt;100000000,VALUE(MID($A524,2,20)),1000000000),1000000000))+ROW()/100000,"")</f>
        <v/>
      </c>
    </row>
    <row r="525">
      <c r="F525" s="7">
        <f>IF($A525="","",E525*N525/100)</f>
        <v/>
      </c>
      <c r="J525" s="7" t="n"/>
      <c r="K525" s="7">
        <f>IF($A525="","",S525*N525)</f>
        <v/>
      </c>
      <c r="L525" s="7">
        <f>IF($A525="","",N525-K525)</f>
        <v/>
      </c>
      <c r="M525" s="7">
        <f>IF($A525="","",L525-F525)</f>
        <v/>
      </c>
      <c r="N525" s="7" t="n"/>
      <c r="Q525" s="11" t="n"/>
      <c r="S525">
        <f>IF($A525="","",IF($W525=1,Settings!$C$6,Settings!$C$7)*1)</f>
        <v/>
      </c>
      <c r="U525">
        <f>IF($A525="","",IF(COUNTIF($A$2:$A525,$A525)=1,1,0))</f>
        <v/>
      </c>
      <c r="V525">
        <f>IF($U525=1,SUMPRODUCT(--($X$2:$X$3001&lt;$X525))+1,"")</f>
        <v/>
      </c>
      <c r="W525">
        <f>IF($A525="","",IF(OR($T525=TRUE(),$T525="TRUE"),1,0))</f>
        <v/>
      </c>
      <c r="X525">
        <f>IF($U525=1,IFERROR(IF(VALUE($A525)&lt;100000000,VALUE($A525),1000000000),IFERROR(IF(VALUE(MID($A525,2,20))&lt;100000000,VALUE(MID($A525,2,20)),1000000000),1000000000))+ROW()/100000,"")</f>
        <v/>
      </c>
    </row>
    <row r="526">
      <c r="F526" s="7">
        <f>IF($A526="","",E526*N526/100)</f>
        <v/>
      </c>
      <c r="J526" s="7" t="n"/>
      <c r="K526" s="7">
        <f>IF($A526="","",S526*N526)</f>
        <v/>
      </c>
      <c r="L526" s="7">
        <f>IF($A526="","",N526-K526)</f>
        <v/>
      </c>
      <c r="M526" s="7">
        <f>IF($A526="","",L526-F526)</f>
        <v/>
      </c>
      <c r="N526" s="7" t="n"/>
      <c r="Q526" s="11" t="n"/>
      <c r="S526">
        <f>IF($A526="","",IF($W526=1,Settings!$C$6,Settings!$C$7)*1)</f>
        <v/>
      </c>
      <c r="U526">
        <f>IF($A526="","",IF(COUNTIF($A$2:$A526,$A526)=1,1,0))</f>
        <v/>
      </c>
      <c r="V526">
        <f>IF($U526=1,SUMPRODUCT(--($X$2:$X$3001&lt;$X526))+1,"")</f>
        <v/>
      </c>
      <c r="W526">
        <f>IF($A526="","",IF(OR($T526=TRUE(),$T526="TRUE"),1,0))</f>
        <v/>
      </c>
      <c r="X526">
        <f>IF($U526=1,IFERROR(IF(VALUE($A526)&lt;100000000,VALUE($A526),1000000000),IFERROR(IF(VALUE(MID($A526,2,20))&lt;100000000,VALUE(MID($A526,2,20)),1000000000),1000000000))+ROW()/100000,"")</f>
        <v/>
      </c>
    </row>
    <row r="527">
      <c r="F527" s="7">
        <f>IF($A527="","",E527*N527/100)</f>
        <v/>
      </c>
      <c r="J527" s="7" t="n"/>
      <c r="K527" s="7">
        <f>IF($A527="","",S527*N527)</f>
        <v/>
      </c>
      <c r="L527" s="7">
        <f>IF($A527="","",N527-K527)</f>
        <v/>
      </c>
      <c r="M527" s="7">
        <f>IF($A527="","",L527-F527)</f>
        <v/>
      </c>
      <c r="N527" s="7" t="n"/>
      <c r="Q527" s="11" t="n"/>
      <c r="S527">
        <f>IF($A527="","",IF($W527=1,Settings!$C$6,Settings!$C$7)*1)</f>
        <v/>
      </c>
      <c r="U527">
        <f>IF($A527="","",IF(COUNTIF($A$2:$A527,$A527)=1,1,0))</f>
        <v/>
      </c>
      <c r="V527">
        <f>IF($U527=1,SUMPRODUCT(--($X$2:$X$3001&lt;$X527))+1,"")</f>
        <v/>
      </c>
      <c r="W527">
        <f>IF($A527="","",IF(OR($T527=TRUE(),$T527="TRUE"),1,0))</f>
        <v/>
      </c>
      <c r="X527">
        <f>IF($U527=1,IFERROR(IF(VALUE($A527)&lt;100000000,VALUE($A527),1000000000),IFERROR(IF(VALUE(MID($A527,2,20))&lt;100000000,VALUE(MID($A527,2,20)),1000000000),1000000000))+ROW()/100000,"")</f>
        <v/>
      </c>
    </row>
    <row r="528">
      <c r="F528" s="7">
        <f>IF($A528="","",E528*N528/100)</f>
        <v/>
      </c>
      <c r="J528" s="7" t="n"/>
      <c r="K528" s="7">
        <f>IF($A528="","",S528*N528)</f>
        <v/>
      </c>
      <c r="L528" s="7">
        <f>IF($A528="","",N528-K528)</f>
        <v/>
      </c>
      <c r="M528" s="7">
        <f>IF($A528="","",L528-F528)</f>
        <v/>
      </c>
      <c r="N528" s="7" t="n"/>
      <c r="Q528" s="11" t="n"/>
      <c r="S528">
        <f>IF($A528="","",IF($W528=1,Settings!$C$6,Settings!$C$7)*1)</f>
        <v/>
      </c>
      <c r="U528">
        <f>IF($A528="","",IF(COUNTIF($A$2:$A528,$A528)=1,1,0))</f>
        <v/>
      </c>
      <c r="V528">
        <f>IF($U528=1,SUMPRODUCT(--($X$2:$X$3001&lt;$X528))+1,"")</f>
        <v/>
      </c>
      <c r="W528">
        <f>IF($A528="","",IF(OR($T528=TRUE(),$T528="TRUE"),1,0))</f>
        <v/>
      </c>
      <c r="X528">
        <f>IF($U528=1,IFERROR(IF(VALUE($A528)&lt;100000000,VALUE($A528),1000000000),IFERROR(IF(VALUE(MID($A528,2,20))&lt;100000000,VALUE(MID($A528,2,20)),1000000000),1000000000))+ROW()/100000,"")</f>
        <v/>
      </c>
    </row>
    <row r="529">
      <c r="F529" s="7">
        <f>IF($A529="","",E529*N529/100)</f>
        <v/>
      </c>
      <c r="J529" s="7" t="n"/>
      <c r="K529" s="7">
        <f>IF($A529="","",S529*N529)</f>
        <v/>
      </c>
      <c r="L529" s="7">
        <f>IF($A529="","",N529-K529)</f>
        <v/>
      </c>
      <c r="M529" s="7">
        <f>IF($A529="","",L529-F529)</f>
        <v/>
      </c>
      <c r="N529" s="7" t="n"/>
      <c r="Q529" s="11" t="n"/>
      <c r="S529">
        <f>IF($A529="","",IF($W529=1,Settings!$C$6,Settings!$C$7)*1)</f>
        <v/>
      </c>
      <c r="U529">
        <f>IF($A529="","",IF(COUNTIF($A$2:$A529,$A529)=1,1,0))</f>
        <v/>
      </c>
      <c r="V529">
        <f>IF($U529=1,SUMPRODUCT(--($X$2:$X$3001&lt;$X529))+1,"")</f>
        <v/>
      </c>
      <c r="W529">
        <f>IF($A529="","",IF(OR($T529=TRUE(),$T529="TRUE"),1,0))</f>
        <v/>
      </c>
      <c r="X529">
        <f>IF($U529=1,IFERROR(IF(VALUE($A529)&lt;100000000,VALUE($A529),1000000000),IFERROR(IF(VALUE(MID($A529,2,20))&lt;100000000,VALUE(MID($A529,2,20)),1000000000),1000000000))+ROW()/100000,"")</f>
        <v/>
      </c>
    </row>
    <row r="530">
      <c r="F530" s="7">
        <f>IF($A530="","",E530*N530/100)</f>
        <v/>
      </c>
      <c r="J530" s="7" t="n"/>
      <c r="K530" s="7">
        <f>IF($A530="","",S530*N530)</f>
        <v/>
      </c>
      <c r="L530" s="7">
        <f>IF($A530="","",N530-K530)</f>
        <v/>
      </c>
      <c r="M530" s="7">
        <f>IF($A530="","",L530-F530)</f>
        <v/>
      </c>
      <c r="N530" s="7" t="n"/>
      <c r="Q530" s="11" t="n"/>
      <c r="S530">
        <f>IF($A530="","",IF($W530=1,Settings!$C$6,Settings!$C$7)*1)</f>
        <v/>
      </c>
      <c r="U530">
        <f>IF($A530="","",IF(COUNTIF($A$2:$A530,$A530)=1,1,0))</f>
        <v/>
      </c>
      <c r="V530">
        <f>IF($U530=1,SUMPRODUCT(--($X$2:$X$3001&lt;$X530))+1,"")</f>
        <v/>
      </c>
      <c r="W530">
        <f>IF($A530="","",IF(OR($T530=TRUE(),$T530="TRUE"),1,0))</f>
        <v/>
      </c>
      <c r="X530">
        <f>IF($U530=1,IFERROR(IF(VALUE($A530)&lt;100000000,VALUE($A530),1000000000),IFERROR(IF(VALUE(MID($A530,2,20))&lt;100000000,VALUE(MID($A530,2,20)),1000000000),1000000000))+ROW()/100000,"")</f>
        <v/>
      </c>
    </row>
    <row r="531">
      <c r="F531" s="7">
        <f>IF($A531="","",E531*N531/100)</f>
        <v/>
      </c>
      <c r="J531" s="7" t="n"/>
      <c r="K531" s="7">
        <f>IF($A531="","",S531*N531)</f>
        <v/>
      </c>
      <c r="L531" s="7">
        <f>IF($A531="","",N531-K531)</f>
        <v/>
      </c>
      <c r="M531" s="7">
        <f>IF($A531="","",L531-F531)</f>
        <v/>
      </c>
      <c r="N531" s="7" t="n"/>
      <c r="Q531" s="11" t="n"/>
      <c r="S531">
        <f>IF($A531="","",IF($W531=1,Settings!$C$6,Settings!$C$7)*1)</f>
        <v/>
      </c>
      <c r="U531">
        <f>IF($A531="","",IF(COUNTIF($A$2:$A531,$A531)=1,1,0))</f>
        <v/>
      </c>
      <c r="V531">
        <f>IF($U531=1,SUMPRODUCT(--($X$2:$X$3001&lt;$X531))+1,"")</f>
        <v/>
      </c>
      <c r="W531">
        <f>IF($A531="","",IF(OR($T531=TRUE(),$T531="TRUE"),1,0))</f>
        <v/>
      </c>
      <c r="X531">
        <f>IF($U531=1,IFERROR(IF(VALUE($A531)&lt;100000000,VALUE($A531),1000000000),IFERROR(IF(VALUE(MID($A531,2,20))&lt;100000000,VALUE(MID($A531,2,20)),1000000000),1000000000))+ROW()/100000,"")</f>
        <v/>
      </c>
    </row>
    <row r="532">
      <c r="F532" s="7">
        <f>IF($A532="","",E532*N532/100)</f>
        <v/>
      </c>
      <c r="J532" s="7" t="n"/>
      <c r="K532" s="7">
        <f>IF($A532="","",S532*N532)</f>
        <v/>
      </c>
      <c r="L532" s="7">
        <f>IF($A532="","",N532-K532)</f>
        <v/>
      </c>
      <c r="M532" s="7">
        <f>IF($A532="","",L532-F532)</f>
        <v/>
      </c>
      <c r="N532" s="7" t="n"/>
      <c r="Q532" s="11" t="n"/>
      <c r="S532">
        <f>IF($A532="","",IF($W532=1,Settings!$C$6,Settings!$C$7)*1)</f>
        <v/>
      </c>
      <c r="U532">
        <f>IF($A532="","",IF(COUNTIF($A$2:$A532,$A532)=1,1,0))</f>
        <v/>
      </c>
      <c r="V532">
        <f>IF($U532=1,SUMPRODUCT(--($X$2:$X$3001&lt;$X532))+1,"")</f>
        <v/>
      </c>
      <c r="W532">
        <f>IF($A532="","",IF(OR($T532=TRUE(),$T532="TRUE"),1,0))</f>
        <v/>
      </c>
      <c r="X532">
        <f>IF($U532=1,IFERROR(IF(VALUE($A532)&lt;100000000,VALUE($A532),1000000000),IFERROR(IF(VALUE(MID($A532,2,20))&lt;100000000,VALUE(MID($A532,2,20)),1000000000),1000000000))+ROW()/100000,"")</f>
        <v/>
      </c>
    </row>
    <row r="533">
      <c r="F533" s="7">
        <f>IF($A533="","",E533*N533/100)</f>
        <v/>
      </c>
      <c r="J533" s="7" t="n"/>
      <c r="K533" s="7">
        <f>IF($A533="","",S533*N533)</f>
        <v/>
      </c>
      <c r="L533" s="7">
        <f>IF($A533="","",N533-K533)</f>
        <v/>
      </c>
      <c r="M533" s="7">
        <f>IF($A533="","",L533-F533)</f>
        <v/>
      </c>
      <c r="N533" s="7" t="n"/>
      <c r="Q533" s="11" t="n"/>
      <c r="S533">
        <f>IF($A533="","",IF($W533=1,Settings!$C$6,Settings!$C$7)*1)</f>
        <v/>
      </c>
      <c r="U533">
        <f>IF($A533="","",IF(COUNTIF($A$2:$A533,$A533)=1,1,0))</f>
        <v/>
      </c>
      <c r="V533">
        <f>IF($U533=1,SUMPRODUCT(--($X$2:$X$3001&lt;$X533))+1,"")</f>
        <v/>
      </c>
      <c r="W533">
        <f>IF($A533="","",IF(OR($T533=TRUE(),$T533="TRUE"),1,0))</f>
        <v/>
      </c>
      <c r="X533">
        <f>IF($U533=1,IFERROR(IF(VALUE($A533)&lt;100000000,VALUE($A533),1000000000),IFERROR(IF(VALUE(MID($A533,2,20))&lt;100000000,VALUE(MID($A533,2,20)),1000000000),1000000000))+ROW()/100000,"")</f>
        <v/>
      </c>
    </row>
    <row r="534">
      <c r="F534" s="7">
        <f>IF($A534="","",E534*N534/100)</f>
        <v/>
      </c>
      <c r="J534" s="7" t="n"/>
      <c r="K534" s="7">
        <f>IF($A534="","",S534*N534)</f>
        <v/>
      </c>
      <c r="L534" s="7">
        <f>IF($A534="","",N534-K534)</f>
        <v/>
      </c>
      <c r="M534" s="7">
        <f>IF($A534="","",L534-F534)</f>
        <v/>
      </c>
      <c r="N534" s="7" t="n"/>
      <c r="Q534" s="11" t="n"/>
      <c r="S534">
        <f>IF($A534="","",IF($W534=1,Settings!$C$6,Settings!$C$7)*1)</f>
        <v/>
      </c>
      <c r="U534">
        <f>IF($A534="","",IF(COUNTIF($A$2:$A534,$A534)=1,1,0))</f>
        <v/>
      </c>
      <c r="V534">
        <f>IF($U534=1,SUMPRODUCT(--($X$2:$X$3001&lt;$X534))+1,"")</f>
        <v/>
      </c>
      <c r="W534">
        <f>IF($A534="","",IF(OR($T534=TRUE(),$T534="TRUE"),1,0))</f>
        <v/>
      </c>
      <c r="X534">
        <f>IF($U534=1,IFERROR(IF(VALUE($A534)&lt;100000000,VALUE($A534),1000000000),IFERROR(IF(VALUE(MID($A534,2,20))&lt;100000000,VALUE(MID($A534,2,20)),1000000000),1000000000))+ROW()/100000,"")</f>
        <v/>
      </c>
    </row>
    <row r="535">
      <c r="F535" s="7">
        <f>IF($A535="","",E535*N535/100)</f>
        <v/>
      </c>
      <c r="J535" s="7" t="n"/>
      <c r="K535" s="7">
        <f>IF($A535="","",S535*N535)</f>
        <v/>
      </c>
      <c r="L535" s="7">
        <f>IF($A535="","",N535-K535)</f>
        <v/>
      </c>
      <c r="M535" s="7">
        <f>IF($A535="","",L535-F535)</f>
        <v/>
      </c>
      <c r="N535" s="7" t="n"/>
      <c r="Q535" s="11" t="n"/>
      <c r="S535">
        <f>IF($A535="","",IF($W535=1,Settings!$C$6,Settings!$C$7)*1)</f>
        <v/>
      </c>
      <c r="U535">
        <f>IF($A535="","",IF(COUNTIF($A$2:$A535,$A535)=1,1,0))</f>
        <v/>
      </c>
      <c r="V535">
        <f>IF($U535=1,SUMPRODUCT(--($X$2:$X$3001&lt;$X535))+1,"")</f>
        <v/>
      </c>
      <c r="W535">
        <f>IF($A535="","",IF(OR($T535=TRUE(),$T535="TRUE"),1,0))</f>
        <v/>
      </c>
      <c r="X535">
        <f>IF($U535=1,IFERROR(IF(VALUE($A535)&lt;100000000,VALUE($A535),1000000000),IFERROR(IF(VALUE(MID($A535,2,20))&lt;100000000,VALUE(MID($A535,2,20)),1000000000),1000000000))+ROW()/100000,"")</f>
        <v/>
      </c>
    </row>
    <row r="536">
      <c r="F536" s="7">
        <f>IF($A536="","",E536*N536/100)</f>
        <v/>
      </c>
      <c r="J536" s="7" t="n"/>
      <c r="K536" s="7">
        <f>IF($A536="","",S536*N536)</f>
        <v/>
      </c>
      <c r="L536" s="7">
        <f>IF($A536="","",N536-K536)</f>
        <v/>
      </c>
      <c r="M536" s="7">
        <f>IF($A536="","",L536-F536)</f>
        <v/>
      </c>
      <c r="N536" s="7" t="n"/>
      <c r="Q536" s="11" t="n"/>
      <c r="S536">
        <f>IF($A536="","",IF($W536=1,Settings!$C$6,Settings!$C$7)*1)</f>
        <v/>
      </c>
      <c r="U536">
        <f>IF($A536="","",IF(COUNTIF($A$2:$A536,$A536)=1,1,0))</f>
        <v/>
      </c>
      <c r="V536">
        <f>IF($U536=1,SUMPRODUCT(--($X$2:$X$3001&lt;$X536))+1,"")</f>
        <v/>
      </c>
      <c r="W536">
        <f>IF($A536="","",IF(OR($T536=TRUE(),$T536="TRUE"),1,0))</f>
        <v/>
      </c>
      <c r="X536">
        <f>IF($U536=1,IFERROR(IF(VALUE($A536)&lt;100000000,VALUE($A536),1000000000),IFERROR(IF(VALUE(MID($A536,2,20))&lt;100000000,VALUE(MID($A536,2,20)),1000000000),1000000000))+ROW()/100000,"")</f>
        <v/>
      </c>
    </row>
    <row r="537">
      <c r="F537" s="7">
        <f>IF($A537="","",E537*N537/100)</f>
        <v/>
      </c>
      <c r="J537" s="7" t="n"/>
      <c r="K537" s="7">
        <f>IF($A537="","",S537*N537)</f>
        <v/>
      </c>
      <c r="L537" s="7">
        <f>IF($A537="","",N537-K537)</f>
        <v/>
      </c>
      <c r="M537" s="7">
        <f>IF($A537="","",L537-F537)</f>
        <v/>
      </c>
      <c r="N537" s="7" t="n"/>
      <c r="Q537" s="11" t="n"/>
      <c r="S537">
        <f>IF($A537="","",IF($W537=1,Settings!$C$6,Settings!$C$7)*1)</f>
        <v/>
      </c>
      <c r="U537">
        <f>IF($A537="","",IF(COUNTIF($A$2:$A537,$A537)=1,1,0))</f>
        <v/>
      </c>
      <c r="V537">
        <f>IF($U537=1,SUMPRODUCT(--($X$2:$X$3001&lt;$X537))+1,"")</f>
        <v/>
      </c>
      <c r="W537">
        <f>IF($A537="","",IF(OR($T537=TRUE(),$T537="TRUE"),1,0))</f>
        <v/>
      </c>
      <c r="X537">
        <f>IF($U537=1,IFERROR(IF(VALUE($A537)&lt;100000000,VALUE($A537),1000000000),IFERROR(IF(VALUE(MID($A537,2,20))&lt;100000000,VALUE(MID($A537,2,20)),1000000000),1000000000))+ROW()/100000,"")</f>
        <v/>
      </c>
    </row>
    <row r="538">
      <c r="F538" s="7">
        <f>IF($A538="","",E538*N538/100)</f>
        <v/>
      </c>
      <c r="J538" s="7" t="n"/>
      <c r="K538" s="7">
        <f>IF($A538="","",S538*N538)</f>
        <v/>
      </c>
      <c r="L538" s="7">
        <f>IF($A538="","",N538-K538)</f>
        <v/>
      </c>
      <c r="M538" s="7">
        <f>IF($A538="","",L538-F538)</f>
        <v/>
      </c>
      <c r="N538" s="7" t="n"/>
      <c r="Q538" s="11" t="n"/>
      <c r="S538">
        <f>IF($A538="","",IF($W538=1,Settings!$C$6,Settings!$C$7)*1)</f>
        <v/>
      </c>
      <c r="U538">
        <f>IF($A538="","",IF(COUNTIF($A$2:$A538,$A538)=1,1,0))</f>
        <v/>
      </c>
      <c r="V538">
        <f>IF($U538=1,SUMPRODUCT(--($X$2:$X$3001&lt;$X538))+1,"")</f>
        <v/>
      </c>
      <c r="W538">
        <f>IF($A538="","",IF(OR($T538=TRUE(),$T538="TRUE"),1,0))</f>
        <v/>
      </c>
      <c r="X538">
        <f>IF($U538=1,IFERROR(IF(VALUE($A538)&lt;100000000,VALUE($A538),1000000000),IFERROR(IF(VALUE(MID($A538,2,20))&lt;100000000,VALUE(MID($A538,2,20)),1000000000),1000000000))+ROW()/100000,"")</f>
        <v/>
      </c>
    </row>
    <row r="539">
      <c r="F539" s="7">
        <f>IF($A539="","",E539*N539/100)</f>
        <v/>
      </c>
      <c r="J539" s="7" t="n"/>
      <c r="K539" s="7">
        <f>IF($A539="","",S539*N539)</f>
        <v/>
      </c>
      <c r="L539" s="7">
        <f>IF($A539="","",N539-K539)</f>
        <v/>
      </c>
      <c r="M539" s="7">
        <f>IF($A539="","",L539-F539)</f>
        <v/>
      </c>
      <c r="N539" s="7" t="n"/>
      <c r="Q539" s="11" t="n"/>
      <c r="S539">
        <f>IF($A539="","",IF($W539=1,Settings!$C$6,Settings!$C$7)*1)</f>
        <v/>
      </c>
      <c r="U539">
        <f>IF($A539="","",IF(COUNTIF($A$2:$A539,$A539)=1,1,0))</f>
        <v/>
      </c>
      <c r="V539">
        <f>IF($U539=1,SUMPRODUCT(--($X$2:$X$3001&lt;$X539))+1,"")</f>
        <v/>
      </c>
      <c r="W539">
        <f>IF($A539="","",IF(OR($T539=TRUE(),$T539="TRUE"),1,0))</f>
        <v/>
      </c>
      <c r="X539">
        <f>IF($U539=1,IFERROR(IF(VALUE($A539)&lt;100000000,VALUE($A539),1000000000),IFERROR(IF(VALUE(MID($A539,2,20))&lt;100000000,VALUE(MID($A539,2,20)),1000000000),1000000000))+ROW()/100000,"")</f>
        <v/>
      </c>
    </row>
    <row r="540">
      <c r="F540" s="7">
        <f>IF($A540="","",E540*N540/100)</f>
        <v/>
      </c>
      <c r="J540" s="7" t="n"/>
      <c r="K540" s="7">
        <f>IF($A540="","",S540*N540)</f>
        <v/>
      </c>
      <c r="L540" s="7">
        <f>IF($A540="","",N540-K540)</f>
        <v/>
      </c>
      <c r="M540" s="7">
        <f>IF($A540="","",L540-F540)</f>
        <v/>
      </c>
      <c r="N540" s="7" t="n"/>
      <c r="Q540" s="11" t="n"/>
      <c r="S540">
        <f>IF($A540="","",IF($W540=1,Settings!$C$6,Settings!$C$7)*1)</f>
        <v/>
      </c>
      <c r="U540">
        <f>IF($A540="","",IF(COUNTIF($A$2:$A540,$A540)=1,1,0))</f>
        <v/>
      </c>
      <c r="V540">
        <f>IF($U540=1,SUMPRODUCT(--($X$2:$X$3001&lt;$X540))+1,"")</f>
        <v/>
      </c>
      <c r="W540">
        <f>IF($A540="","",IF(OR($T540=TRUE(),$T540="TRUE"),1,0))</f>
        <v/>
      </c>
      <c r="X540">
        <f>IF($U540=1,IFERROR(IF(VALUE($A540)&lt;100000000,VALUE($A540),1000000000),IFERROR(IF(VALUE(MID($A540,2,20))&lt;100000000,VALUE(MID($A540,2,20)),1000000000),1000000000))+ROW()/100000,"")</f>
        <v/>
      </c>
    </row>
    <row r="541">
      <c r="F541" s="7">
        <f>IF($A541="","",E541*N541/100)</f>
        <v/>
      </c>
      <c r="J541" s="7" t="n"/>
      <c r="K541" s="7">
        <f>IF($A541="","",S541*N541)</f>
        <v/>
      </c>
      <c r="L541" s="7">
        <f>IF($A541="","",N541-K541)</f>
        <v/>
      </c>
      <c r="M541" s="7">
        <f>IF($A541="","",L541-F541)</f>
        <v/>
      </c>
      <c r="N541" s="7" t="n"/>
      <c r="Q541" s="11" t="n"/>
      <c r="S541">
        <f>IF($A541="","",IF($W541=1,Settings!$C$6,Settings!$C$7)*1)</f>
        <v/>
      </c>
      <c r="U541">
        <f>IF($A541="","",IF(COUNTIF($A$2:$A541,$A541)=1,1,0))</f>
        <v/>
      </c>
      <c r="V541">
        <f>IF($U541=1,SUMPRODUCT(--($X$2:$X$3001&lt;$X541))+1,"")</f>
        <v/>
      </c>
      <c r="W541">
        <f>IF($A541="","",IF(OR($T541=TRUE(),$T541="TRUE"),1,0))</f>
        <v/>
      </c>
      <c r="X541">
        <f>IF($U541=1,IFERROR(IF(VALUE($A541)&lt;100000000,VALUE($A541),1000000000),IFERROR(IF(VALUE(MID($A541,2,20))&lt;100000000,VALUE(MID($A541,2,20)),1000000000),1000000000))+ROW()/100000,"")</f>
        <v/>
      </c>
    </row>
    <row r="542">
      <c r="F542" s="7">
        <f>IF($A542="","",E542*N542/100)</f>
        <v/>
      </c>
      <c r="J542" s="7" t="n"/>
      <c r="K542" s="7">
        <f>IF($A542="","",S542*N542)</f>
        <v/>
      </c>
      <c r="L542" s="7">
        <f>IF($A542="","",N542-K542)</f>
        <v/>
      </c>
      <c r="M542" s="7">
        <f>IF($A542="","",L542-F542)</f>
        <v/>
      </c>
      <c r="N542" s="7" t="n"/>
      <c r="Q542" s="11" t="n"/>
      <c r="S542">
        <f>IF($A542="","",IF($W542=1,Settings!$C$6,Settings!$C$7)*1)</f>
        <v/>
      </c>
      <c r="U542">
        <f>IF($A542="","",IF(COUNTIF($A$2:$A542,$A542)=1,1,0))</f>
        <v/>
      </c>
      <c r="V542">
        <f>IF($U542=1,SUMPRODUCT(--($X$2:$X$3001&lt;$X542))+1,"")</f>
        <v/>
      </c>
      <c r="W542">
        <f>IF($A542="","",IF(OR($T542=TRUE(),$T542="TRUE"),1,0))</f>
        <v/>
      </c>
      <c r="X542">
        <f>IF($U542=1,IFERROR(IF(VALUE($A542)&lt;100000000,VALUE($A542),1000000000),IFERROR(IF(VALUE(MID($A542,2,20))&lt;100000000,VALUE(MID($A542,2,20)),1000000000),1000000000))+ROW()/100000,"")</f>
        <v/>
      </c>
    </row>
    <row r="543">
      <c r="F543" s="7">
        <f>IF($A543="","",E543*N543/100)</f>
        <v/>
      </c>
      <c r="J543" s="7" t="n"/>
      <c r="K543" s="7">
        <f>IF($A543="","",S543*N543)</f>
        <v/>
      </c>
      <c r="L543" s="7">
        <f>IF($A543="","",N543-K543)</f>
        <v/>
      </c>
      <c r="M543" s="7">
        <f>IF($A543="","",L543-F543)</f>
        <v/>
      </c>
      <c r="N543" s="7" t="n"/>
      <c r="Q543" s="11" t="n"/>
      <c r="S543">
        <f>IF($A543="","",IF($W543=1,Settings!$C$6,Settings!$C$7)*1)</f>
        <v/>
      </c>
      <c r="U543">
        <f>IF($A543="","",IF(COUNTIF($A$2:$A543,$A543)=1,1,0))</f>
        <v/>
      </c>
      <c r="V543">
        <f>IF($U543=1,SUMPRODUCT(--($X$2:$X$3001&lt;$X543))+1,"")</f>
        <v/>
      </c>
      <c r="W543">
        <f>IF($A543="","",IF(OR($T543=TRUE(),$T543="TRUE"),1,0))</f>
        <v/>
      </c>
      <c r="X543">
        <f>IF($U543=1,IFERROR(IF(VALUE($A543)&lt;100000000,VALUE($A543),1000000000),IFERROR(IF(VALUE(MID($A543,2,20))&lt;100000000,VALUE(MID($A543,2,20)),1000000000),1000000000))+ROW()/100000,"")</f>
        <v/>
      </c>
    </row>
    <row r="544">
      <c r="F544" s="7">
        <f>IF($A544="","",E544*N544/100)</f>
        <v/>
      </c>
      <c r="J544" s="7" t="n"/>
      <c r="K544" s="7">
        <f>IF($A544="","",S544*N544)</f>
        <v/>
      </c>
      <c r="L544" s="7">
        <f>IF($A544="","",N544-K544)</f>
        <v/>
      </c>
      <c r="M544" s="7">
        <f>IF($A544="","",L544-F544)</f>
        <v/>
      </c>
      <c r="N544" s="7" t="n"/>
      <c r="Q544" s="11" t="n"/>
      <c r="S544">
        <f>IF($A544="","",IF($W544=1,Settings!$C$6,Settings!$C$7)*1)</f>
        <v/>
      </c>
      <c r="U544">
        <f>IF($A544="","",IF(COUNTIF($A$2:$A544,$A544)=1,1,0))</f>
        <v/>
      </c>
      <c r="V544">
        <f>IF($U544=1,SUMPRODUCT(--($X$2:$X$3001&lt;$X544))+1,"")</f>
        <v/>
      </c>
      <c r="W544">
        <f>IF($A544="","",IF(OR($T544=TRUE(),$T544="TRUE"),1,0))</f>
        <v/>
      </c>
      <c r="X544">
        <f>IF($U544=1,IFERROR(IF(VALUE($A544)&lt;100000000,VALUE($A544),1000000000),IFERROR(IF(VALUE(MID($A544,2,20))&lt;100000000,VALUE(MID($A544,2,20)),1000000000),1000000000))+ROW()/100000,"")</f>
        <v/>
      </c>
    </row>
    <row r="545">
      <c r="F545" s="7">
        <f>IF($A545="","",E545*N545/100)</f>
        <v/>
      </c>
      <c r="J545" s="7" t="n"/>
      <c r="K545" s="7">
        <f>IF($A545="","",S545*N545)</f>
        <v/>
      </c>
      <c r="L545" s="7">
        <f>IF($A545="","",N545-K545)</f>
        <v/>
      </c>
      <c r="M545" s="7">
        <f>IF($A545="","",L545-F545)</f>
        <v/>
      </c>
      <c r="N545" s="7" t="n"/>
      <c r="Q545" s="11" t="n"/>
      <c r="S545">
        <f>IF($A545="","",IF($W545=1,Settings!$C$6,Settings!$C$7)*1)</f>
        <v/>
      </c>
      <c r="U545">
        <f>IF($A545="","",IF(COUNTIF($A$2:$A545,$A545)=1,1,0))</f>
        <v/>
      </c>
      <c r="V545">
        <f>IF($U545=1,SUMPRODUCT(--($X$2:$X$3001&lt;$X545))+1,"")</f>
        <v/>
      </c>
      <c r="W545">
        <f>IF($A545="","",IF(OR($T545=TRUE(),$T545="TRUE"),1,0))</f>
        <v/>
      </c>
      <c r="X545">
        <f>IF($U545=1,IFERROR(IF(VALUE($A545)&lt;100000000,VALUE($A545),1000000000),IFERROR(IF(VALUE(MID($A545,2,20))&lt;100000000,VALUE(MID($A545,2,20)),1000000000),1000000000))+ROW()/100000,"")</f>
        <v/>
      </c>
    </row>
    <row r="546">
      <c r="F546" s="7">
        <f>IF($A546="","",E546*N546/100)</f>
        <v/>
      </c>
      <c r="J546" s="7" t="n"/>
      <c r="K546" s="7">
        <f>IF($A546="","",S546*N546)</f>
        <v/>
      </c>
      <c r="L546" s="7">
        <f>IF($A546="","",N546-K546)</f>
        <v/>
      </c>
      <c r="M546" s="7">
        <f>IF($A546="","",L546-F546)</f>
        <v/>
      </c>
      <c r="N546" s="7" t="n"/>
      <c r="Q546" s="11" t="n"/>
      <c r="S546">
        <f>IF($A546="","",IF($W546=1,Settings!$C$6,Settings!$C$7)*1)</f>
        <v/>
      </c>
      <c r="U546">
        <f>IF($A546="","",IF(COUNTIF($A$2:$A546,$A546)=1,1,0))</f>
        <v/>
      </c>
      <c r="V546">
        <f>IF($U546=1,SUMPRODUCT(--($X$2:$X$3001&lt;$X546))+1,"")</f>
        <v/>
      </c>
      <c r="W546">
        <f>IF($A546="","",IF(OR($T546=TRUE(),$T546="TRUE"),1,0))</f>
        <v/>
      </c>
      <c r="X546">
        <f>IF($U546=1,IFERROR(IF(VALUE($A546)&lt;100000000,VALUE($A546),1000000000),IFERROR(IF(VALUE(MID($A546,2,20))&lt;100000000,VALUE(MID($A546,2,20)),1000000000),1000000000))+ROW()/100000,"")</f>
        <v/>
      </c>
    </row>
    <row r="547">
      <c r="F547" s="7">
        <f>IF($A547="","",E547*N547/100)</f>
        <v/>
      </c>
      <c r="J547" s="7" t="n"/>
      <c r="K547" s="7">
        <f>IF($A547="","",S547*N547)</f>
        <v/>
      </c>
      <c r="L547" s="7">
        <f>IF($A547="","",N547-K547)</f>
        <v/>
      </c>
      <c r="M547" s="7">
        <f>IF($A547="","",L547-F547)</f>
        <v/>
      </c>
      <c r="N547" s="7" t="n"/>
      <c r="Q547" s="11" t="n"/>
      <c r="S547">
        <f>IF($A547="","",IF($W547=1,Settings!$C$6,Settings!$C$7)*1)</f>
        <v/>
      </c>
      <c r="U547">
        <f>IF($A547="","",IF(COUNTIF($A$2:$A547,$A547)=1,1,0))</f>
        <v/>
      </c>
      <c r="V547">
        <f>IF($U547=1,SUMPRODUCT(--($X$2:$X$3001&lt;$X547))+1,"")</f>
        <v/>
      </c>
      <c r="W547">
        <f>IF($A547="","",IF(OR($T547=TRUE(),$T547="TRUE"),1,0))</f>
        <v/>
      </c>
      <c r="X547">
        <f>IF($U547=1,IFERROR(IF(VALUE($A547)&lt;100000000,VALUE($A547),1000000000),IFERROR(IF(VALUE(MID($A547,2,20))&lt;100000000,VALUE(MID($A547,2,20)),1000000000),1000000000))+ROW()/100000,"")</f>
        <v/>
      </c>
    </row>
    <row r="548">
      <c r="F548" s="7">
        <f>IF($A548="","",E548*N548/100)</f>
        <v/>
      </c>
      <c r="J548" s="7" t="n"/>
      <c r="K548" s="7">
        <f>IF($A548="","",S548*N548)</f>
        <v/>
      </c>
      <c r="L548" s="7">
        <f>IF($A548="","",N548-K548)</f>
        <v/>
      </c>
      <c r="M548" s="7">
        <f>IF($A548="","",L548-F548)</f>
        <v/>
      </c>
      <c r="N548" s="7" t="n"/>
      <c r="Q548" s="11" t="n"/>
      <c r="S548">
        <f>IF($A548="","",IF($W548=1,Settings!$C$6,Settings!$C$7)*1)</f>
        <v/>
      </c>
      <c r="U548">
        <f>IF($A548="","",IF(COUNTIF($A$2:$A548,$A548)=1,1,0))</f>
        <v/>
      </c>
      <c r="V548">
        <f>IF($U548=1,SUMPRODUCT(--($X$2:$X$3001&lt;$X548))+1,"")</f>
        <v/>
      </c>
      <c r="W548">
        <f>IF($A548="","",IF(OR($T548=TRUE(),$T548="TRUE"),1,0))</f>
        <v/>
      </c>
      <c r="X548">
        <f>IF($U548=1,IFERROR(IF(VALUE($A548)&lt;100000000,VALUE($A548),1000000000),IFERROR(IF(VALUE(MID($A548,2,20))&lt;100000000,VALUE(MID($A548,2,20)),1000000000),1000000000))+ROW()/100000,"")</f>
        <v/>
      </c>
    </row>
    <row r="549">
      <c r="F549" s="7">
        <f>IF($A549="","",E549*N549/100)</f>
        <v/>
      </c>
      <c r="J549" s="7" t="n"/>
      <c r="K549" s="7">
        <f>IF($A549="","",S549*N549)</f>
        <v/>
      </c>
      <c r="L549" s="7">
        <f>IF($A549="","",N549-K549)</f>
        <v/>
      </c>
      <c r="M549" s="7">
        <f>IF($A549="","",L549-F549)</f>
        <v/>
      </c>
      <c r="N549" s="7" t="n"/>
      <c r="Q549" s="11" t="n"/>
      <c r="S549">
        <f>IF($A549="","",IF($W549=1,Settings!$C$6,Settings!$C$7)*1)</f>
        <v/>
      </c>
      <c r="U549">
        <f>IF($A549="","",IF(COUNTIF($A$2:$A549,$A549)=1,1,0))</f>
        <v/>
      </c>
      <c r="V549">
        <f>IF($U549=1,SUMPRODUCT(--($X$2:$X$3001&lt;$X549))+1,"")</f>
        <v/>
      </c>
      <c r="W549">
        <f>IF($A549="","",IF(OR($T549=TRUE(),$T549="TRUE"),1,0))</f>
        <v/>
      </c>
      <c r="X549">
        <f>IF($U549=1,IFERROR(IF(VALUE($A549)&lt;100000000,VALUE($A549),1000000000),IFERROR(IF(VALUE(MID($A549,2,20))&lt;100000000,VALUE(MID($A549,2,20)),1000000000),1000000000))+ROW()/100000,"")</f>
        <v/>
      </c>
    </row>
    <row r="550">
      <c r="F550" s="7">
        <f>IF($A550="","",E550*N550/100)</f>
        <v/>
      </c>
      <c r="J550" s="7" t="n"/>
      <c r="K550" s="7">
        <f>IF($A550="","",S550*N550)</f>
        <v/>
      </c>
      <c r="L550" s="7">
        <f>IF($A550="","",N550-K550)</f>
        <v/>
      </c>
      <c r="M550" s="7">
        <f>IF($A550="","",L550-F550)</f>
        <v/>
      </c>
      <c r="N550" s="7" t="n"/>
      <c r="Q550" s="11" t="n"/>
      <c r="S550">
        <f>IF($A550="","",IF($W550=1,Settings!$C$6,Settings!$C$7)*1)</f>
        <v/>
      </c>
      <c r="U550">
        <f>IF($A550="","",IF(COUNTIF($A$2:$A550,$A550)=1,1,0))</f>
        <v/>
      </c>
      <c r="V550">
        <f>IF($U550=1,SUMPRODUCT(--($X$2:$X$3001&lt;$X550))+1,"")</f>
        <v/>
      </c>
      <c r="W550">
        <f>IF($A550="","",IF(OR($T550=TRUE(),$T550="TRUE"),1,0))</f>
        <v/>
      </c>
      <c r="X550">
        <f>IF($U550=1,IFERROR(IF(VALUE($A550)&lt;100000000,VALUE($A550),1000000000),IFERROR(IF(VALUE(MID($A550,2,20))&lt;100000000,VALUE(MID($A550,2,20)),1000000000),1000000000))+ROW()/100000,"")</f>
        <v/>
      </c>
    </row>
    <row r="551">
      <c r="F551" s="7">
        <f>IF($A551="","",E551*N551/100)</f>
        <v/>
      </c>
      <c r="J551" s="7" t="n"/>
      <c r="K551" s="7">
        <f>IF($A551="","",S551*N551)</f>
        <v/>
      </c>
      <c r="L551" s="7">
        <f>IF($A551="","",N551-K551)</f>
        <v/>
      </c>
      <c r="M551" s="7">
        <f>IF($A551="","",L551-F551)</f>
        <v/>
      </c>
      <c r="N551" s="7" t="n"/>
      <c r="Q551" s="11" t="n"/>
      <c r="S551">
        <f>IF($A551="","",IF($W551=1,Settings!$C$6,Settings!$C$7)*1)</f>
        <v/>
      </c>
      <c r="U551">
        <f>IF($A551="","",IF(COUNTIF($A$2:$A551,$A551)=1,1,0))</f>
        <v/>
      </c>
      <c r="V551">
        <f>IF($U551=1,SUMPRODUCT(--($X$2:$X$3001&lt;$X551))+1,"")</f>
        <v/>
      </c>
      <c r="W551">
        <f>IF($A551="","",IF(OR($T551=TRUE(),$T551="TRUE"),1,0))</f>
        <v/>
      </c>
      <c r="X551">
        <f>IF($U551=1,IFERROR(IF(VALUE($A551)&lt;100000000,VALUE($A551),1000000000),IFERROR(IF(VALUE(MID($A551,2,20))&lt;100000000,VALUE(MID($A551,2,20)),1000000000),1000000000))+ROW()/100000,"")</f>
        <v/>
      </c>
    </row>
    <row r="552">
      <c r="F552" s="7">
        <f>IF($A552="","",E552*N552/100)</f>
        <v/>
      </c>
      <c r="J552" s="7" t="n"/>
      <c r="K552" s="7">
        <f>IF($A552="","",S552*N552)</f>
        <v/>
      </c>
      <c r="L552" s="7">
        <f>IF($A552="","",N552-K552)</f>
        <v/>
      </c>
      <c r="M552" s="7">
        <f>IF($A552="","",L552-F552)</f>
        <v/>
      </c>
      <c r="N552" s="7" t="n"/>
      <c r="Q552" s="11" t="n"/>
      <c r="S552">
        <f>IF($A552="","",IF($W552=1,Settings!$C$6,Settings!$C$7)*1)</f>
        <v/>
      </c>
      <c r="U552">
        <f>IF($A552="","",IF(COUNTIF($A$2:$A552,$A552)=1,1,0))</f>
        <v/>
      </c>
      <c r="V552">
        <f>IF($U552=1,SUMPRODUCT(--($X$2:$X$3001&lt;$X552))+1,"")</f>
        <v/>
      </c>
      <c r="W552">
        <f>IF($A552="","",IF(OR($T552=TRUE(),$T552="TRUE"),1,0))</f>
        <v/>
      </c>
      <c r="X552">
        <f>IF($U552=1,IFERROR(IF(VALUE($A552)&lt;100000000,VALUE($A552),1000000000),IFERROR(IF(VALUE(MID($A552,2,20))&lt;100000000,VALUE(MID($A552,2,20)),1000000000),1000000000))+ROW()/100000,"")</f>
        <v/>
      </c>
    </row>
    <row r="553">
      <c r="F553" s="7">
        <f>IF($A553="","",E553*N553/100)</f>
        <v/>
      </c>
      <c r="J553" s="7" t="n"/>
      <c r="K553" s="7">
        <f>IF($A553="","",S553*N553)</f>
        <v/>
      </c>
      <c r="L553" s="7">
        <f>IF($A553="","",N553-K553)</f>
        <v/>
      </c>
      <c r="M553" s="7">
        <f>IF($A553="","",L553-F553)</f>
        <v/>
      </c>
      <c r="N553" s="7" t="n"/>
      <c r="Q553" s="11" t="n"/>
      <c r="S553">
        <f>IF($A553="","",IF($W553=1,Settings!$C$6,Settings!$C$7)*1)</f>
        <v/>
      </c>
      <c r="U553">
        <f>IF($A553="","",IF(COUNTIF($A$2:$A553,$A553)=1,1,0))</f>
        <v/>
      </c>
      <c r="V553">
        <f>IF($U553=1,SUMPRODUCT(--($X$2:$X$3001&lt;$X553))+1,"")</f>
        <v/>
      </c>
      <c r="W553">
        <f>IF($A553="","",IF(OR($T553=TRUE(),$T553="TRUE"),1,0))</f>
        <v/>
      </c>
      <c r="X553">
        <f>IF($U553=1,IFERROR(IF(VALUE($A553)&lt;100000000,VALUE($A553),1000000000),IFERROR(IF(VALUE(MID($A553,2,20))&lt;100000000,VALUE(MID($A553,2,20)),1000000000),1000000000))+ROW()/100000,"")</f>
        <v/>
      </c>
    </row>
    <row r="554">
      <c r="F554" s="7">
        <f>IF($A554="","",E554*N554/100)</f>
        <v/>
      </c>
      <c r="J554" s="7" t="n"/>
      <c r="K554" s="7">
        <f>IF($A554="","",S554*N554)</f>
        <v/>
      </c>
      <c r="L554" s="7">
        <f>IF($A554="","",N554-K554)</f>
        <v/>
      </c>
      <c r="M554" s="7">
        <f>IF($A554="","",L554-F554)</f>
        <v/>
      </c>
      <c r="N554" s="7" t="n"/>
      <c r="Q554" s="11" t="n"/>
      <c r="S554">
        <f>IF($A554="","",IF($W554=1,Settings!$C$6,Settings!$C$7)*1)</f>
        <v/>
      </c>
      <c r="U554">
        <f>IF($A554="","",IF(COUNTIF($A$2:$A554,$A554)=1,1,0))</f>
        <v/>
      </c>
      <c r="V554">
        <f>IF($U554=1,SUMPRODUCT(--($X$2:$X$3001&lt;$X554))+1,"")</f>
        <v/>
      </c>
      <c r="W554">
        <f>IF($A554="","",IF(OR($T554=TRUE(),$T554="TRUE"),1,0))</f>
        <v/>
      </c>
      <c r="X554">
        <f>IF($U554=1,IFERROR(IF(VALUE($A554)&lt;100000000,VALUE($A554),1000000000),IFERROR(IF(VALUE(MID($A554,2,20))&lt;100000000,VALUE(MID($A554,2,20)),1000000000),1000000000))+ROW()/100000,"")</f>
        <v/>
      </c>
    </row>
    <row r="555">
      <c r="F555" s="7">
        <f>IF($A555="","",E555*N555/100)</f>
        <v/>
      </c>
      <c r="J555" s="7" t="n"/>
      <c r="K555" s="7">
        <f>IF($A555="","",S555*N555)</f>
        <v/>
      </c>
      <c r="L555" s="7">
        <f>IF($A555="","",N555-K555)</f>
        <v/>
      </c>
      <c r="M555" s="7">
        <f>IF($A555="","",L555-F555)</f>
        <v/>
      </c>
      <c r="N555" s="7" t="n"/>
      <c r="Q555" s="11" t="n"/>
      <c r="S555">
        <f>IF($A555="","",IF($W555=1,Settings!$C$6,Settings!$C$7)*1)</f>
        <v/>
      </c>
      <c r="U555">
        <f>IF($A555="","",IF(COUNTIF($A$2:$A555,$A555)=1,1,0))</f>
        <v/>
      </c>
      <c r="V555">
        <f>IF($U555=1,SUMPRODUCT(--($X$2:$X$3001&lt;$X555))+1,"")</f>
        <v/>
      </c>
      <c r="W555">
        <f>IF($A555="","",IF(OR($T555=TRUE(),$T555="TRUE"),1,0))</f>
        <v/>
      </c>
      <c r="X555">
        <f>IF($U555=1,IFERROR(IF(VALUE($A555)&lt;100000000,VALUE($A555),1000000000),IFERROR(IF(VALUE(MID($A555,2,20))&lt;100000000,VALUE(MID($A555,2,20)),1000000000),1000000000))+ROW()/100000,"")</f>
        <v/>
      </c>
    </row>
    <row r="556">
      <c r="F556" s="7">
        <f>IF($A556="","",E556*N556/100)</f>
        <v/>
      </c>
      <c r="J556" s="7" t="n"/>
      <c r="K556" s="7">
        <f>IF($A556="","",S556*N556)</f>
        <v/>
      </c>
      <c r="L556" s="7">
        <f>IF($A556="","",N556-K556)</f>
        <v/>
      </c>
      <c r="M556" s="7">
        <f>IF($A556="","",L556-F556)</f>
        <v/>
      </c>
      <c r="N556" s="7" t="n"/>
      <c r="Q556" s="11" t="n"/>
      <c r="S556">
        <f>IF($A556="","",IF($W556=1,Settings!$C$6,Settings!$C$7)*1)</f>
        <v/>
      </c>
      <c r="U556">
        <f>IF($A556="","",IF(COUNTIF($A$2:$A556,$A556)=1,1,0))</f>
        <v/>
      </c>
      <c r="V556">
        <f>IF($U556=1,SUMPRODUCT(--($X$2:$X$3001&lt;$X556))+1,"")</f>
        <v/>
      </c>
      <c r="W556">
        <f>IF($A556="","",IF(OR($T556=TRUE(),$T556="TRUE"),1,0))</f>
        <v/>
      </c>
      <c r="X556">
        <f>IF($U556=1,IFERROR(IF(VALUE($A556)&lt;100000000,VALUE($A556),1000000000),IFERROR(IF(VALUE(MID($A556,2,20))&lt;100000000,VALUE(MID($A556,2,20)),1000000000),1000000000))+ROW()/100000,"")</f>
        <v/>
      </c>
    </row>
    <row r="557">
      <c r="F557" s="7">
        <f>IF($A557="","",E557*N557/100)</f>
        <v/>
      </c>
      <c r="J557" s="7" t="n"/>
      <c r="K557" s="7">
        <f>IF($A557="","",S557*N557)</f>
        <v/>
      </c>
      <c r="L557" s="7">
        <f>IF($A557="","",N557-K557)</f>
        <v/>
      </c>
      <c r="M557" s="7">
        <f>IF($A557="","",L557-F557)</f>
        <v/>
      </c>
      <c r="N557" s="7" t="n"/>
      <c r="Q557" s="11" t="n"/>
      <c r="S557">
        <f>IF($A557="","",IF($W557=1,Settings!$C$6,Settings!$C$7)*1)</f>
        <v/>
      </c>
      <c r="U557">
        <f>IF($A557="","",IF(COUNTIF($A$2:$A557,$A557)=1,1,0))</f>
        <v/>
      </c>
      <c r="V557">
        <f>IF($U557=1,SUMPRODUCT(--($X$2:$X$3001&lt;$X557))+1,"")</f>
        <v/>
      </c>
      <c r="W557">
        <f>IF($A557="","",IF(OR($T557=TRUE(),$T557="TRUE"),1,0))</f>
        <v/>
      </c>
      <c r="X557">
        <f>IF($U557=1,IFERROR(IF(VALUE($A557)&lt;100000000,VALUE($A557),1000000000),IFERROR(IF(VALUE(MID($A557,2,20))&lt;100000000,VALUE(MID($A557,2,20)),1000000000),1000000000))+ROW()/100000,"")</f>
        <v/>
      </c>
    </row>
    <row r="558">
      <c r="F558" s="7">
        <f>IF($A558="","",E558*N558/100)</f>
        <v/>
      </c>
      <c r="J558" s="7" t="n"/>
      <c r="K558" s="7">
        <f>IF($A558="","",S558*N558)</f>
        <v/>
      </c>
      <c r="L558" s="7">
        <f>IF($A558="","",N558-K558)</f>
        <v/>
      </c>
      <c r="M558" s="7">
        <f>IF($A558="","",L558-F558)</f>
        <v/>
      </c>
      <c r="N558" s="7" t="n"/>
      <c r="Q558" s="11" t="n"/>
      <c r="S558">
        <f>IF($A558="","",IF($W558=1,Settings!$C$6,Settings!$C$7)*1)</f>
        <v/>
      </c>
      <c r="U558">
        <f>IF($A558="","",IF(COUNTIF($A$2:$A558,$A558)=1,1,0))</f>
        <v/>
      </c>
      <c r="V558">
        <f>IF($U558=1,SUMPRODUCT(--($X$2:$X$3001&lt;$X558))+1,"")</f>
        <v/>
      </c>
      <c r="W558">
        <f>IF($A558="","",IF(OR($T558=TRUE(),$T558="TRUE"),1,0))</f>
        <v/>
      </c>
      <c r="X558">
        <f>IF($U558=1,IFERROR(IF(VALUE($A558)&lt;100000000,VALUE($A558),1000000000),IFERROR(IF(VALUE(MID($A558,2,20))&lt;100000000,VALUE(MID($A558,2,20)),1000000000),1000000000))+ROW()/100000,"")</f>
        <v/>
      </c>
    </row>
    <row r="559">
      <c r="F559" s="7">
        <f>IF($A559="","",E559*N559/100)</f>
        <v/>
      </c>
      <c r="J559" s="7" t="n"/>
      <c r="K559" s="7">
        <f>IF($A559="","",S559*N559)</f>
        <v/>
      </c>
      <c r="L559" s="7">
        <f>IF($A559="","",N559-K559)</f>
        <v/>
      </c>
      <c r="M559" s="7">
        <f>IF($A559="","",L559-F559)</f>
        <v/>
      </c>
      <c r="N559" s="7" t="n"/>
      <c r="Q559" s="11" t="n"/>
      <c r="S559">
        <f>IF($A559="","",IF($W559=1,Settings!$C$6,Settings!$C$7)*1)</f>
        <v/>
      </c>
      <c r="U559">
        <f>IF($A559="","",IF(COUNTIF($A$2:$A559,$A559)=1,1,0))</f>
        <v/>
      </c>
      <c r="V559">
        <f>IF($U559=1,SUMPRODUCT(--($X$2:$X$3001&lt;$X559))+1,"")</f>
        <v/>
      </c>
      <c r="W559">
        <f>IF($A559="","",IF(OR($T559=TRUE(),$T559="TRUE"),1,0))</f>
        <v/>
      </c>
      <c r="X559">
        <f>IF($U559=1,IFERROR(IF(VALUE($A559)&lt;100000000,VALUE($A559),1000000000),IFERROR(IF(VALUE(MID($A559,2,20))&lt;100000000,VALUE(MID($A559,2,20)),1000000000),1000000000))+ROW()/100000,"")</f>
        <v/>
      </c>
    </row>
    <row r="560">
      <c r="F560" s="7">
        <f>IF($A560="","",E560*N560/100)</f>
        <v/>
      </c>
      <c r="J560" s="7" t="n"/>
      <c r="K560" s="7">
        <f>IF($A560="","",S560*N560)</f>
        <v/>
      </c>
      <c r="L560" s="7">
        <f>IF($A560="","",N560-K560)</f>
        <v/>
      </c>
      <c r="M560" s="7">
        <f>IF($A560="","",L560-F560)</f>
        <v/>
      </c>
      <c r="N560" s="7" t="n"/>
      <c r="Q560" s="11" t="n"/>
      <c r="S560">
        <f>IF($A560="","",IF($W560=1,Settings!$C$6,Settings!$C$7)*1)</f>
        <v/>
      </c>
      <c r="U560">
        <f>IF($A560="","",IF(COUNTIF($A$2:$A560,$A560)=1,1,0))</f>
        <v/>
      </c>
      <c r="V560">
        <f>IF($U560=1,SUMPRODUCT(--($X$2:$X$3001&lt;$X560))+1,"")</f>
        <v/>
      </c>
      <c r="W560">
        <f>IF($A560="","",IF(OR($T560=TRUE(),$T560="TRUE"),1,0))</f>
        <v/>
      </c>
      <c r="X560">
        <f>IF($U560=1,IFERROR(IF(VALUE($A560)&lt;100000000,VALUE($A560),1000000000),IFERROR(IF(VALUE(MID($A560,2,20))&lt;100000000,VALUE(MID($A560,2,20)),1000000000),1000000000))+ROW()/100000,"")</f>
        <v/>
      </c>
    </row>
    <row r="561">
      <c r="F561" s="7">
        <f>IF($A561="","",E561*N561/100)</f>
        <v/>
      </c>
      <c r="J561" s="7" t="n"/>
      <c r="K561" s="7">
        <f>IF($A561="","",S561*N561)</f>
        <v/>
      </c>
      <c r="L561" s="7">
        <f>IF($A561="","",N561-K561)</f>
        <v/>
      </c>
      <c r="M561" s="7">
        <f>IF($A561="","",L561-F561)</f>
        <v/>
      </c>
      <c r="N561" s="7" t="n"/>
      <c r="Q561" s="11" t="n"/>
      <c r="S561">
        <f>IF($A561="","",IF($W561=1,Settings!$C$6,Settings!$C$7)*1)</f>
        <v/>
      </c>
      <c r="U561">
        <f>IF($A561="","",IF(COUNTIF($A$2:$A561,$A561)=1,1,0))</f>
        <v/>
      </c>
      <c r="V561">
        <f>IF($U561=1,SUMPRODUCT(--($X$2:$X$3001&lt;$X561))+1,"")</f>
        <v/>
      </c>
      <c r="W561">
        <f>IF($A561="","",IF(OR($T561=TRUE(),$T561="TRUE"),1,0))</f>
        <v/>
      </c>
      <c r="X561">
        <f>IF($U561=1,IFERROR(IF(VALUE($A561)&lt;100000000,VALUE($A561),1000000000),IFERROR(IF(VALUE(MID($A561,2,20))&lt;100000000,VALUE(MID($A561,2,20)),1000000000),1000000000))+ROW()/100000,"")</f>
        <v/>
      </c>
    </row>
    <row r="562">
      <c r="F562" s="7">
        <f>IF($A562="","",E562*N562/100)</f>
        <v/>
      </c>
      <c r="J562" s="7" t="n"/>
      <c r="K562" s="7">
        <f>IF($A562="","",S562*N562)</f>
        <v/>
      </c>
      <c r="L562" s="7">
        <f>IF($A562="","",N562-K562)</f>
        <v/>
      </c>
      <c r="M562" s="7">
        <f>IF($A562="","",L562-F562)</f>
        <v/>
      </c>
      <c r="N562" s="7" t="n"/>
      <c r="Q562" s="11" t="n"/>
      <c r="S562">
        <f>IF($A562="","",IF($W562=1,Settings!$C$6,Settings!$C$7)*1)</f>
        <v/>
      </c>
      <c r="U562">
        <f>IF($A562="","",IF(COUNTIF($A$2:$A562,$A562)=1,1,0))</f>
        <v/>
      </c>
      <c r="V562">
        <f>IF($U562=1,SUMPRODUCT(--($X$2:$X$3001&lt;$X562))+1,"")</f>
        <v/>
      </c>
      <c r="W562">
        <f>IF($A562="","",IF(OR($T562=TRUE(),$T562="TRUE"),1,0))</f>
        <v/>
      </c>
      <c r="X562">
        <f>IF($U562=1,IFERROR(IF(VALUE($A562)&lt;100000000,VALUE($A562),1000000000),IFERROR(IF(VALUE(MID($A562,2,20))&lt;100000000,VALUE(MID($A562,2,20)),1000000000),1000000000))+ROW()/100000,"")</f>
        <v/>
      </c>
    </row>
    <row r="563">
      <c r="F563" s="7">
        <f>IF($A563="","",E563*N563/100)</f>
        <v/>
      </c>
      <c r="J563" s="7" t="n"/>
      <c r="K563" s="7">
        <f>IF($A563="","",S563*N563)</f>
        <v/>
      </c>
      <c r="L563" s="7">
        <f>IF($A563="","",N563-K563)</f>
        <v/>
      </c>
      <c r="M563" s="7">
        <f>IF($A563="","",L563-F563)</f>
        <v/>
      </c>
      <c r="N563" s="7" t="n"/>
      <c r="Q563" s="11" t="n"/>
      <c r="S563">
        <f>IF($A563="","",IF($W563=1,Settings!$C$6,Settings!$C$7)*1)</f>
        <v/>
      </c>
      <c r="U563">
        <f>IF($A563="","",IF(COUNTIF($A$2:$A563,$A563)=1,1,0))</f>
        <v/>
      </c>
      <c r="V563">
        <f>IF($U563=1,SUMPRODUCT(--($X$2:$X$3001&lt;$X563))+1,"")</f>
        <v/>
      </c>
      <c r="W563">
        <f>IF($A563="","",IF(OR($T563=TRUE(),$T563="TRUE"),1,0))</f>
        <v/>
      </c>
      <c r="X563">
        <f>IF($U563=1,IFERROR(IF(VALUE($A563)&lt;100000000,VALUE($A563),1000000000),IFERROR(IF(VALUE(MID($A563,2,20))&lt;100000000,VALUE(MID($A563,2,20)),1000000000),1000000000))+ROW()/100000,"")</f>
        <v/>
      </c>
    </row>
    <row r="564">
      <c r="F564" s="7">
        <f>IF($A564="","",E564*N564/100)</f>
        <v/>
      </c>
      <c r="J564" s="7" t="n"/>
      <c r="K564" s="7">
        <f>IF($A564="","",S564*N564)</f>
        <v/>
      </c>
      <c r="L564" s="7">
        <f>IF($A564="","",N564-K564)</f>
        <v/>
      </c>
      <c r="M564" s="7">
        <f>IF($A564="","",L564-F564)</f>
        <v/>
      </c>
      <c r="N564" s="7" t="n"/>
      <c r="Q564" s="11" t="n"/>
      <c r="S564">
        <f>IF($A564="","",IF($W564=1,Settings!$C$6,Settings!$C$7)*1)</f>
        <v/>
      </c>
      <c r="U564">
        <f>IF($A564="","",IF(COUNTIF($A$2:$A564,$A564)=1,1,0))</f>
        <v/>
      </c>
      <c r="V564">
        <f>IF($U564=1,SUMPRODUCT(--($X$2:$X$3001&lt;$X564))+1,"")</f>
        <v/>
      </c>
      <c r="W564">
        <f>IF($A564="","",IF(OR($T564=TRUE(),$T564="TRUE"),1,0))</f>
        <v/>
      </c>
      <c r="X564">
        <f>IF($U564=1,IFERROR(IF(VALUE($A564)&lt;100000000,VALUE($A564),1000000000),IFERROR(IF(VALUE(MID($A564,2,20))&lt;100000000,VALUE(MID($A564,2,20)),1000000000),1000000000))+ROW()/100000,"")</f>
        <v/>
      </c>
    </row>
    <row r="565">
      <c r="F565" s="7">
        <f>IF($A565="","",E565*N565/100)</f>
        <v/>
      </c>
      <c r="J565" s="7" t="n"/>
      <c r="K565" s="7">
        <f>IF($A565="","",S565*N565)</f>
        <v/>
      </c>
      <c r="L565" s="7">
        <f>IF($A565="","",N565-K565)</f>
        <v/>
      </c>
      <c r="M565" s="7">
        <f>IF($A565="","",L565-F565)</f>
        <v/>
      </c>
      <c r="N565" s="7" t="n"/>
      <c r="Q565" s="11" t="n"/>
      <c r="S565">
        <f>IF($A565="","",IF($W565=1,Settings!$C$6,Settings!$C$7)*1)</f>
        <v/>
      </c>
      <c r="U565">
        <f>IF($A565="","",IF(COUNTIF($A$2:$A565,$A565)=1,1,0))</f>
        <v/>
      </c>
      <c r="V565">
        <f>IF($U565=1,SUMPRODUCT(--($X$2:$X$3001&lt;$X565))+1,"")</f>
        <v/>
      </c>
      <c r="W565">
        <f>IF($A565="","",IF(OR($T565=TRUE(),$T565="TRUE"),1,0))</f>
        <v/>
      </c>
      <c r="X565">
        <f>IF($U565=1,IFERROR(IF(VALUE($A565)&lt;100000000,VALUE($A565),1000000000),IFERROR(IF(VALUE(MID($A565,2,20))&lt;100000000,VALUE(MID($A565,2,20)),1000000000),1000000000))+ROW()/100000,"")</f>
        <v/>
      </c>
    </row>
    <row r="566">
      <c r="F566" s="7">
        <f>IF($A566="","",E566*N566/100)</f>
        <v/>
      </c>
      <c r="J566" s="7" t="n"/>
      <c r="K566" s="7">
        <f>IF($A566="","",S566*N566)</f>
        <v/>
      </c>
      <c r="L566" s="7">
        <f>IF($A566="","",N566-K566)</f>
        <v/>
      </c>
      <c r="M566" s="7">
        <f>IF($A566="","",L566-F566)</f>
        <v/>
      </c>
      <c r="N566" s="7" t="n"/>
      <c r="Q566" s="11" t="n"/>
      <c r="S566">
        <f>IF($A566="","",IF($W566=1,Settings!$C$6,Settings!$C$7)*1)</f>
        <v/>
      </c>
      <c r="U566">
        <f>IF($A566="","",IF(COUNTIF($A$2:$A566,$A566)=1,1,0))</f>
        <v/>
      </c>
      <c r="V566">
        <f>IF($U566=1,SUMPRODUCT(--($X$2:$X$3001&lt;$X566))+1,"")</f>
        <v/>
      </c>
      <c r="W566">
        <f>IF($A566="","",IF(OR($T566=TRUE(),$T566="TRUE"),1,0))</f>
        <v/>
      </c>
      <c r="X566">
        <f>IF($U566=1,IFERROR(IF(VALUE($A566)&lt;100000000,VALUE($A566),1000000000),IFERROR(IF(VALUE(MID($A566,2,20))&lt;100000000,VALUE(MID($A566,2,20)),1000000000),1000000000))+ROW()/100000,"")</f>
        <v/>
      </c>
    </row>
    <row r="567">
      <c r="F567" s="7">
        <f>IF($A567="","",E567*N567/100)</f>
        <v/>
      </c>
      <c r="J567" s="7" t="n"/>
      <c r="K567" s="7">
        <f>IF($A567="","",S567*N567)</f>
        <v/>
      </c>
      <c r="L567" s="7">
        <f>IF($A567="","",N567-K567)</f>
        <v/>
      </c>
      <c r="M567" s="7">
        <f>IF($A567="","",L567-F567)</f>
        <v/>
      </c>
      <c r="N567" s="7" t="n"/>
      <c r="Q567" s="11" t="n"/>
      <c r="S567">
        <f>IF($A567="","",IF($W567=1,Settings!$C$6,Settings!$C$7)*1)</f>
        <v/>
      </c>
      <c r="U567">
        <f>IF($A567="","",IF(COUNTIF($A$2:$A567,$A567)=1,1,0))</f>
        <v/>
      </c>
      <c r="V567">
        <f>IF($U567=1,SUMPRODUCT(--($X$2:$X$3001&lt;$X567))+1,"")</f>
        <v/>
      </c>
      <c r="W567">
        <f>IF($A567="","",IF(OR($T567=TRUE(),$T567="TRUE"),1,0))</f>
        <v/>
      </c>
      <c r="X567">
        <f>IF($U567=1,IFERROR(IF(VALUE($A567)&lt;100000000,VALUE($A567),1000000000),IFERROR(IF(VALUE(MID($A567,2,20))&lt;100000000,VALUE(MID($A567,2,20)),1000000000),1000000000))+ROW()/100000,"")</f>
        <v/>
      </c>
    </row>
    <row r="568">
      <c r="F568" s="7">
        <f>IF($A568="","",E568*N568/100)</f>
        <v/>
      </c>
      <c r="J568" s="7" t="n"/>
      <c r="K568" s="7">
        <f>IF($A568="","",S568*N568)</f>
        <v/>
      </c>
      <c r="L568" s="7">
        <f>IF($A568="","",N568-K568)</f>
        <v/>
      </c>
      <c r="M568" s="7">
        <f>IF($A568="","",L568-F568)</f>
        <v/>
      </c>
      <c r="N568" s="7" t="n"/>
      <c r="Q568" s="11" t="n"/>
      <c r="S568">
        <f>IF($A568="","",IF($W568=1,Settings!$C$6,Settings!$C$7)*1)</f>
        <v/>
      </c>
      <c r="U568">
        <f>IF($A568="","",IF(COUNTIF($A$2:$A568,$A568)=1,1,0))</f>
        <v/>
      </c>
      <c r="V568">
        <f>IF($U568=1,SUMPRODUCT(--($X$2:$X$3001&lt;$X568))+1,"")</f>
        <v/>
      </c>
      <c r="W568">
        <f>IF($A568="","",IF(OR($T568=TRUE(),$T568="TRUE"),1,0))</f>
        <v/>
      </c>
      <c r="X568">
        <f>IF($U568=1,IFERROR(IF(VALUE($A568)&lt;100000000,VALUE($A568),1000000000),IFERROR(IF(VALUE(MID($A568,2,20))&lt;100000000,VALUE(MID($A568,2,20)),1000000000),1000000000))+ROW()/100000,"")</f>
        <v/>
      </c>
    </row>
    <row r="569">
      <c r="F569" s="7">
        <f>IF($A569="","",E569*N569/100)</f>
        <v/>
      </c>
      <c r="J569" s="7" t="n"/>
      <c r="K569" s="7">
        <f>IF($A569="","",S569*N569)</f>
        <v/>
      </c>
      <c r="L569" s="7">
        <f>IF($A569="","",N569-K569)</f>
        <v/>
      </c>
      <c r="M569" s="7">
        <f>IF($A569="","",L569-F569)</f>
        <v/>
      </c>
      <c r="N569" s="7" t="n"/>
      <c r="Q569" s="11" t="n"/>
      <c r="S569">
        <f>IF($A569="","",IF($W569=1,Settings!$C$6,Settings!$C$7)*1)</f>
        <v/>
      </c>
      <c r="U569">
        <f>IF($A569="","",IF(COUNTIF($A$2:$A569,$A569)=1,1,0))</f>
        <v/>
      </c>
      <c r="V569">
        <f>IF($U569=1,SUMPRODUCT(--($X$2:$X$3001&lt;$X569))+1,"")</f>
        <v/>
      </c>
      <c r="W569">
        <f>IF($A569="","",IF(OR($T569=TRUE(),$T569="TRUE"),1,0))</f>
        <v/>
      </c>
      <c r="X569">
        <f>IF($U569=1,IFERROR(IF(VALUE($A569)&lt;100000000,VALUE($A569),1000000000),IFERROR(IF(VALUE(MID($A569,2,20))&lt;100000000,VALUE(MID($A569,2,20)),1000000000),1000000000))+ROW()/100000,"")</f>
        <v/>
      </c>
    </row>
    <row r="570">
      <c r="F570" s="7">
        <f>IF($A570="","",E570*N570/100)</f>
        <v/>
      </c>
      <c r="J570" s="7" t="n"/>
      <c r="K570" s="7">
        <f>IF($A570="","",S570*N570)</f>
        <v/>
      </c>
      <c r="L570" s="7">
        <f>IF($A570="","",N570-K570)</f>
        <v/>
      </c>
      <c r="M570" s="7">
        <f>IF($A570="","",L570-F570)</f>
        <v/>
      </c>
      <c r="N570" s="7" t="n"/>
      <c r="Q570" s="11" t="n"/>
      <c r="S570">
        <f>IF($A570="","",IF($W570=1,Settings!$C$6,Settings!$C$7)*1)</f>
        <v/>
      </c>
      <c r="U570">
        <f>IF($A570="","",IF(COUNTIF($A$2:$A570,$A570)=1,1,0))</f>
        <v/>
      </c>
      <c r="V570">
        <f>IF($U570=1,SUMPRODUCT(--($X$2:$X$3001&lt;$X570))+1,"")</f>
        <v/>
      </c>
      <c r="W570">
        <f>IF($A570="","",IF(OR($T570=TRUE(),$T570="TRUE"),1,0))</f>
        <v/>
      </c>
      <c r="X570">
        <f>IF($U570=1,IFERROR(IF(VALUE($A570)&lt;100000000,VALUE($A570),1000000000),IFERROR(IF(VALUE(MID($A570,2,20))&lt;100000000,VALUE(MID($A570,2,20)),1000000000),1000000000))+ROW()/100000,"")</f>
        <v/>
      </c>
    </row>
    <row r="571">
      <c r="F571" s="7">
        <f>IF($A571="","",E571*N571/100)</f>
        <v/>
      </c>
      <c r="J571" s="7" t="n"/>
      <c r="K571" s="7">
        <f>IF($A571="","",S571*N571)</f>
        <v/>
      </c>
      <c r="L571" s="7">
        <f>IF($A571="","",N571-K571)</f>
        <v/>
      </c>
      <c r="M571" s="7">
        <f>IF($A571="","",L571-F571)</f>
        <v/>
      </c>
      <c r="N571" s="7" t="n"/>
      <c r="Q571" s="11" t="n"/>
      <c r="S571">
        <f>IF($A571="","",IF($W571=1,Settings!$C$6,Settings!$C$7)*1)</f>
        <v/>
      </c>
      <c r="U571">
        <f>IF($A571="","",IF(COUNTIF($A$2:$A571,$A571)=1,1,0))</f>
        <v/>
      </c>
      <c r="V571">
        <f>IF($U571=1,SUMPRODUCT(--($X$2:$X$3001&lt;$X571))+1,"")</f>
        <v/>
      </c>
      <c r="W571">
        <f>IF($A571="","",IF(OR($T571=TRUE(),$T571="TRUE"),1,0))</f>
        <v/>
      </c>
      <c r="X571">
        <f>IF($U571=1,IFERROR(IF(VALUE($A571)&lt;100000000,VALUE($A571),1000000000),IFERROR(IF(VALUE(MID($A571,2,20))&lt;100000000,VALUE(MID($A571,2,20)),1000000000),1000000000))+ROW()/100000,"")</f>
        <v/>
      </c>
    </row>
    <row r="572">
      <c r="F572" s="7">
        <f>IF($A572="","",E572*N572/100)</f>
        <v/>
      </c>
      <c r="J572" s="7" t="n"/>
      <c r="K572" s="7">
        <f>IF($A572="","",S572*N572)</f>
        <v/>
      </c>
      <c r="L572" s="7">
        <f>IF($A572="","",N572-K572)</f>
        <v/>
      </c>
      <c r="M572" s="7">
        <f>IF($A572="","",L572-F572)</f>
        <v/>
      </c>
      <c r="N572" s="7" t="n"/>
      <c r="Q572" s="11" t="n"/>
      <c r="S572">
        <f>IF($A572="","",IF($W572=1,Settings!$C$6,Settings!$C$7)*1)</f>
        <v/>
      </c>
      <c r="U572">
        <f>IF($A572="","",IF(COUNTIF($A$2:$A572,$A572)=1,1,0))</f>
        <v/>
      </c>
      <c r="V572">
        <f>IF($U572=1,SUMPRODUCT(--($X$2:$X$3001&lt;$X572))+1,"")</f>
        <v/>
      </c>
      <c r="W572">
        <f>IF($A572="","",IF(OR($T572=TRUE(),$T572="TRUE"),1,0))</f>
        <v/>
      </c>
      <c r="X572">
        <f>IF($U572=1,IFERROR(IF(VALUE($A572)&lt;100000000,VALUE($A572),1000000000),IFERROR(IF(VALUE(MID($A572,2,20))&lt;100000000,VALUE(MID($A572,2,20)),1000000000),1000000000))+ROW()/100000,"")</f>
        <v/>
      </c>
    </row>
    <row r="573">
      <c r="F573" s="7">
        <f>IF($A573="","",E573*N573/100)</f>
        <v/>
      </c>
      <c r="J573" s="7" t="n"/>
      <c r="K573" s="7">
        <f>IF($A573="","",S573*N573)</f>
        <v/>
      </c>
      <c r="L573" s="7">
        <f>IF($A573="","",N573-K573)</f>
        <v/>
      </c>
      <c r="M573" s="7">
        <f>IF($A573="","",L573-F573)</f>
        <v/>
      </c>
      <c r="N573" s="7" t="n"/>
      <c r="Q573" s="11" t="n"/>
      <c r="S573">
        <f>IF($A573="","",IF($W573=1,Settings!$C$6,Settings!$C$7)*1)</f>
        <v/>
      </c>
      <c r="U573">
        <f>IF($A573="","",IF(COUNTIF($A$2:$A573,$A573)=1,1,0))</f>
        <v/>
      </c>
      <c r="V573">
        <f>IF($U573=1,SUMPRODUCT(--($X$2:$X$3001&lt;$X573))+1,"")</f>
        <v/>
      </c>
      <c r="W573">
        <f>IF($A573="","",IF(OR($T573=TRUE(),$T573="TRUE"),1,0))</f>
        <v/>
      </c>
      <c r="X573">
        <f>IF($U573=1,IFERROR(IF(VALUE($A573)&lt;100000000,VALUE($A573),1000000000),IFERROR(IF(VALUE(MID($A573,2,20))&lt;100000000,VALUE(MID($A573,2,20)),1000000000),1000000000))+ROW()/100000,"")</f>
        <v/>
      </c>
    </row>
    <row r="574">
      <c r="F574" s="7">
        <f>IF($A574="","",E574*N574/100)</f>
        <v/>
      </c>
      <c r="J574" s="7" t="n"/>
      <c r="K574" s="7">
        <f>IF($A574="","",S574*N574)</f>
        <v/>
      </c>
      <c r="L574" s="7">
        <f>IF($A574="","",N574-K574)</f>
        <v/>
      </c>
      <c r="M574" s="7">
        <f>IF($A574="","",L574-F574)</f>
        <v/>
      </c>
      <c r="N574" s="7" t="n"/>
      <c r="Q574" s="11" t="n"/>
      <c r="S574">
        <f>IF($A574="","",IF($W574=1,Settings!$C$6,Settings!$C$7)*1)</f>
        <v/>
      </c>
      <c r="U574">
        <f>IF($A574="","",IF(COUNTIF($A$2:$A574,$A574)=1,1,0))</f>
        <v/>
      </c>
      <c r="V574">
        <f>IF($U574=1,SUMPRODUCT(--($X$2:$X$3001&lt;$X574))+1,"")</f>
        <v/>
      </c>
      <c r="W574">
        <f>IF($A574="","",IF(OR($T574=TRUE(),$T574="TRUE"),1,0))</f>
        <v/>
      </c>
      <c r="X574">
        <f>IF($U574=1,IFERROR(IF(VALUE($A574)&lt;100000000,VALUE($A574),1000000000),IFERROR(IF(VALUE(MID($A574,2,20))&lt;100000000,VALUE(MID($A574,2,20)),1000000000),1000000000))+ROW()/100000,"")</f>
        <v/>
      </c>
    </row>
    <row r="575">
      <c r="F575" s="7">
        <f>IF($A575="","",E575*N575/100)</f>
        <v/>
      </c>
      <c r="J575" s="7" t="n"/>
      <c r="K575" s="7">
        <f>IF($A575="","",S575*N575)</f>
        <v/>
      </c>
      <c r="L575" s="7">
        <f>IF($A575="","",N575-K575)</f>
        <v/>
      </c>
      <c r="M575" s="7">
        <f>IF($A575="","",L575-F575)</f>
        <v/>
      </c>
      <c r="N575" s="7" t="n"/>
      <c r="Q575" s="11" t="n"/>
      <c r="S575">
        <f>IF($A575="","",IF($W575=1,Settings!$C$6,Settings!$C$7)*1)</f>
        <v/>
      </c>
      <c r="U575">
        <f>IF($A575="","",IF(COUNTIF($A$2:$A575,$A575)=1,1,0))</f>
        <v/>
      </c>
      <c r="V575">
        <f>IF($U575=1,SUMPRODUCT(--($X$2:$X$3001&lt;$X575))+1,"")</f>
        <v/>
      </c>
      <c r="W575">
        <f>IF($A575="","",IF(OR($T575=TRUE(),$T575="TRUE"),1,0))</f>
        <v/>
      </c>
      <c r="X575">
        <f>IF($U575=1,IFERROR(IF(VALUE($A575)&lt;100000000,VALUE($A575),1000000000),IFERROR(IF(VALUE(MID($A575,2,20))&lt;100000000,VALUE(MID($A575,2,20)),1000000000),1000000000))+ROW()/100000,"")</f>
        <v/>
      </c>
    </row>
    <row r="576">
      <c r="F576" s="7">
        <f>IF($A576="","",E576*N576/100)</f>
        <v/>
      </c>
      <c r="J576" s="7" t="n"/>
      <c r="K576" s="7">
        <f>IF($A576="","",S576*N576)</f>
        <v/>
      </c>
      <c r="L576" s="7">
        <f>IF($A576="","",N576-K576)</f>
        <v/>
      </c>
      <c r="M576" s="7">
        <f>IF($A576="","",L576-F576)</f>
        <v/>
      </c>
      <c r="N576" s="7" t="n"/>
      <c r="Q576" s="11" t="n"/>
      <c r="S576">
        <f>IF($A576="","",IF($W576=1,Settings!$C$6,Settings!$C$7)*1)</f>
        <v/>
      </c>
      <c r="U576">
        <f>IF($A576="","",IF(COUNTIF($A$2:$A576,$A576)=1,1,0))</f>
        <v/>
      </c>
      <c r="V576">
        <f>IF($U576=1,SUMPRODUCT(--($X$2:$X$3001&lt;$X576))+1,"")</f>
        <v/>
      </c>
      <c r="W576">
        <f>IF($A576="","",IF(OR($T576=TRUE(),$T576="TRUE"),1,0))</f>
        <v/>
      </c>
      <c r="X576">
        <f>IF($U576=1,IFERROR(IF(VALUE($A576)&lt;100000000,VALUE($A576),1000000000),IFERROR(IF(VALUE(MID($A576,2,20))&lt;100000000,VALUE(MID($A576,2,20)),1000000000),1000000000))+ROW()/100000,"")</f>
        <v/>
      </c>
    </row>
    <row r="577">
      <c r="F577" s="7">
        <f>IF($A577="","",E577*N577/100)</f>
        <v/>
      </c>
      <c r="J577" s="7" t="n"/>
      <c r="K577" s="7">
        <f>IF($A577="","",S577*N577)</f>
        <v/>
      </c>
      <c r="L577" s="7">
        <f>IF($A577="","",N577-K577)</f>
        <v/>
      </c>
      <c r="M577" s="7">
        <f>IF($A577="","",L577-F577)</f>
        <v/>
      </c>
      <c r="N577" s="7" t="n"/>
      <c r="Q577" s="11" t="n"/>
      <c r="S577">
        <f>IF($A577="","",IF($W577=1,Settings!$C$6,Settings!$C$7)*1)</f>
        <v/>
      </c>
      <c r="U577">
        <f>IF($A577="","",IF(COUNTIF($A$2:$A577,$A577)=1,1,0))</f>
        <v/>
      </c>
      <c r="V577">
        <f>IF($U577=1,SUMPRODUCT(--($X$2:$X$3001&lt;$X577))+1,"")</f>
        <v/>
      </c>
      <c r="W577">
        <f>IF($A577="","",IF(OR($T577=TRUE(),$T577="TRUE"),1,0))</f>
        <v/>
      </c>
      <c r="X577">
        <f>IF($U577=1,IFERROR(IF(VALUE($A577)&lt;100000000,VALUE($A577),1000000000),IFERROR(IF(VALUE(MID($A577,2,20))&lt;100000000,VALUE(MID($A577,2,20)),1000000000),1000000000))+ROW()/100000,"")</f>
        <v/>
      </c>
    </row>
    <row r="578">
      <c r="F578" s="7">
        <f>IF($A578="","",E578*N578/100)</f>
        <v/>
      </c>
      <c r="J578" s="7" t="n"/>
      <c r="K578" s="7">
        <f>IF($A578="","",S578*N578)</f>
        <v/>
      </c>
      <c r="L578" s="7">
        <f>IF($A578="","",N578-K578)</f>
        <v/>
      </c>
      <c r="M578" s="7">
        <f>IF($A578="","",L578-F578)</f>
        <v/>
      </c>
      <c r="N578" s="7" t="n"/>
      <c r="Q578" s="11" t="n"/>
      <c r="S578">
        <f>IF($A578="","",IF($W578=1,Settings!$C$6,Settings!$C$7)*1)</f>
        <v/>
      </c>
      <c r="U578">
        <f>IF($A578="","",IF(COUNTIF($A$2:$A578,$A578)=1,1,0))</f>
        <v/>
      </c>
      <c r="V578">
        <f>IF($U578=1,SUMPRODUCT(--($X$2:$X$3001&lt;$X578))+1,"")</f>
        <v/>
      </c>
      <c r="W578">
        <f>IF($A578="","",IF(OR($T578=TRUE(),$T578="TRUE"),1,0))</f>
        <v/>
      </c>
      <c r="X578">
        <f>IF($U578=1,IFERROR(IF(VALUE($A578)&lt;100000000,VALUE($A578),1000000000),IFERROR(IF(VALUE(MID($A578,2,20))&lt;100000000,VALUE(MID($A578,2,20)),1000000000),1000000000))+ROW()/100000,"")</f>
        <v/>
      </c>
    </row>
    <row r="579">
      <c r="F579" s="7">
        <f>IF($A579="","",E579*N579/100)</f>
        <v/>
      </c>
      <c r="J579" s="7" t="n"/>
      <c r="K579" s="7">
        <f>IF($A579="","",S579*N579)</f>
        <v/>
      </c>
      <c r="L579" s="7">
        <f>IF($A579="","",N579-K579)</f>
        <v/>
      </c>
      <c r="M579" s="7">
        <f>IF($A579="","",L579-F579)</f>
        <v/>
      </c>
      <c r="N579" s="7" t="n"/>
      <c r="Q579" s="11" t="n"/>
      <c r="S579">
        <f>IF($A579="","",IF($W579=1,Settings!$C$6,Settings!$C$7)*1)</f>
        <v/>
      </c>
      <c r="U579">
        <f>IF($A579="","",IF(COUNTIF($A$2:$A579,$A579)=1,1,0))</f>
        <v/>
      </c>
      <c r="V579">
        <f>IF($U579=1,SUMPRODUCT(--($X$2:$X$3001&lt;$X579))+1,"")</f>
        <v/>
      </c>
      <c r="W579">
        <f>IF($A579="","",IF(OR($T579=TRUE(),$T579="TRUE"),1,0))</f>
        <v/>
      </c>
      <c r="X579">
        <f>IF($U579=1,IFERROR(IF(VALUE($A579)&lt;100000000,VALUE($A579),1000000000),IFERROR(IF(VALUE(MID($A579,2,20))&lt;100000000,VALUE(MID($A579,2,20)),1000000000),1000000000))+ROW()/100000,"")</f>
        <v/>
      </c>
    </row>
    <row r="580">
      <c r="F580" s="7">
        <f>IF($A580="","",E580*N580/100)</f>
        <v/>
      </c>
      <c r="J580" s="7" t="n"/>
      <c r="K580" s="7">
        <f>IF($A580="","",S580*N580)</f>
        <v/>
      </c>
      <c r="L580" s="7">
        <f>IF($A580="","",N580-K580)</f>
        <v/>
      </c>
      <c r="M580" s="7">
        <f>IF($A580="","",L580-F580)</f>
        <v/>
      </c>
      <c r="N580" s="7" t="n"/>
      <c r="Q580" s="11" t="n"/>
      <c r="S580">
        <f>IF($A580="","",IF($W580=1,Settings!$C$6,Settings!$C$7)*1)</f>
        <v/>
      </c>
      <c r="U580">
        <f>IF($A580="","",IF(COUNTIF($A$2:$A580,$A580)=1,1,0))</f>
        <v/>
      </c>
      <c r="V580">
        <f>IF($U580=1,SUMPRODUCT(--($X$2:$X$3001&lt;$X580))+1,"")</f>
        <v/>
      </c>
      <c r="W580">
        <f>IF($A580="","",IF(OR($T580=TRUE(),$T580="TRUE"),1,0))</f>
        <v/>
      </c>
      <c r="X580">
        <f>IF($U580=1,IFERROR(IF(VALUE($A580)&lt;100000000,VALUE($A580),1000000000),IFERROR(IF(VALUE(MID($A580,2,20))&lt;100000000,VALUE(MID($A580,2,20)),1000000000),1000000000))+ROW()/100000,"")</f>
        <v/>
      </c>
    </row>
    <row r="581">
      <c r="F581" s="7">
        <f>IF($A581="","",E581*N581/100)</f>
        <v/>
      </c>
      <c r="J581" s="7" t="n"/>
      <c r="K581" s="7">
        <f>IF($A581="","",S581*N581)</f>
        <v/>
      </c>
      <c r="L581" s="7">
        <f>IF($A581="","",N581-K581)</f>
        <v/>
      </c>
      <c r="M581" s="7">
        <f>IF($A581="","",L581-F581)</f>
        <v/>
      </c>
      <c r="N581" s="7" t="n"/>
      <c r="Q581" s="11" t="n"/>
      <c r="S581">
        <f>IF($A581="","",IF($W581=1,Settings!$C$6,Settings!$C$7)*1)</f>
        <v/>
      </c>
      <c r="U581">
        <f>IF($A581="","",IF(COUNTIF($A$2:$A581,$A581)=1,1,0))</f>
        <v/>
      </c>
      <c r="V581">
        <f>IF($U581=1,SUMPRODUCT(--($X$2:$X$3001&lt;$X581))+1,"")</f>
        <v/>
      </c>
      <c r="W581">
        <f>IF($A581="","",IF(OR($T581=TRUE(),$T581="TRUE"),1,0))</f>
        <v/>
      </c>
      <c r="X581">
        <f>IF($U581=1,IFERROR(IF(VALUE($A581)&lt;100000000,VALUE($A581),1000000000),IFERROR(IF(VALUE(MID($A581,2,20))&lt;100000000,VALUE(MID($A581,2,20)),1000000000),1000000000))+ROW()/100000,"")</f>
        <v/>
      </c>
    </row>
    <row r="582">
      <c r="F582" s="7">
        <f>IF($A582="","",E582*N582/100)</f>
        <v/>
      </c>
      <c r="J582" s="7" t="n"/>
      <c r="K582" s="7">
        <f>IF($A582="","",S582*N582)</f>
        <v/>
      </c>
      <c r="L582" s="7">
        <f>IF($A582="","",N582-K582)</f>
        <v/>
      </c>
      <c r="M582" s="7">
        <f>IF($A582="","",L582-F582)</f>
        <v/>
      </c>
      <c r="N582" s="7" t="n"/>
      <c r="Q582" s="11" t="n"/>
      <c r="S582">
        <f>IF($A582="","",IF($W582=1,Settings!$C$6,Settings!$C$7)*1)</f>
        <v/>
      </c>
      <c r="U582">
        <f>IF($A582="","",IF(COUNTIF($A$2:$A582,$A582)=1,1,0))</f>
        <v/>
      </c>
      <c r="V582">
        <f>IF($U582=1,SUMPRODUCT(--($X$2:$X$3001&lt;$X582))+1,"")</f>
        <v/>
      </c>
      <c r="W582">
        <f>IF($A582="","",IF(OR($T582=TRUE(),$T582="TRUE"),1,0))</f>
        <v/>
      </c>
      <c r="X582">
        <f>IF($U582=1,IFERROR(IF(VALUE($A582)&lt;100000000,VALUE($A582),1000000000),IFERROR(IF(VALUE(MID($A582,2,20))&lt;100000000,VALUE(MID($A582,2,20)),1000000000),1000000000))+ROW()/100000,"")</f>
        <v/>
      </c>
    </row>
    <row r="583">
      <c r="F583" s="7">
        <f>IF($A583="","",E583*N583/100)</f>
        <v/>
      </c>
      <c r="J583" s="7" t="n"/>
      <c r="K583" s="7">
        <f>IF($A583="","",S583*N583)</f>
        <v/>
      </c>
      <c r="L583" s="7">
        <f>IF($A583="","",N583-K583)</f>
        <v/>
      </c>
      <c r="M583" s="7">
        <f>IF($A583="","",L583-F583)</f>
        <v/>
      </c>
      <c r="N583" s="7" t="n"/>
      <c r="Q583" s="11" t="n"/>
      <c r="S583">
        <f>IF($A583="","",IF($W583=1,Settings!$C$6,Settings!$C$7)*1)</f>
        <v/>
      </c>
      <c r="U583">
        <f>IF($A583="","",IF(COUNTIF($A$2:$A583,$A583)=1,1,0))</f>
        <v/>
      </c>
      <c r="V583">
        <f>IF($U583=1,SUMPRODUCT(--($X$2:$X$3001&lt;$X583))+1,"")</f>
        <v/>
      </c>
      <c r="W583">
        <f>IF($A583="","",IF(OR($T583=TRUE(),$T583="TRUE"),1,0))</f>
        <v/>
      </c>
      <c r="X583">
        <f>IF($U583=1,IFERROR(IF(VALUE($A583)&lt;100000000,VALUE($A583),1000000000),IFERROR(IF(VALUE(MID($A583,2,20))&lt;100000000,VALUE(MID($A583,2,20)),1000000000),1000000000))+ROW()/100000,"")</f>
        <v/>
      </c>
    </row>
    <row r="584">
      <c r="F584" s="7">
        <f>IF($A584="","",E584*N584/100)</f>
        <v/>
      </c>
      <c r="J584" s="7" t="n"/>
      <c r="K584" s="7">
        <f>IF($A584="","",S584*N584)</f>
        <v/>
      </c>
      <c r="L584" s="7">
        <f>IF($A584="","",N584-K584)</f>
        <v/>
      </c>
      <c r="M584" s="7">
        <f>IF($A584="","",L584-F584)</f>
        <v/>
      </c>
      <c r="N584" s="7" t="n"/>
      <c r="Q584" s="11" t="n"/>
      <c r="S584">
        <f>IF($A584="","",IF($W584=1,Settings!$C$6,Settings!$C$7)*1)</f>
        <v/>
      </c>
      <c r="U584">
        <f>IF($A584="","",IF(COUNTIF($A$2:$A584,$A584)=1,1,0))</f>
        <v/>
      </c>
      <c r="V584">
        <f>IF($U584=1,SUMPRODUCT(--($X$2:$X$3001&lt;$X584))+1,"")</f>
        <v/>
      </c>
      <c r="W584">
        <f>IF($A584="","",IF(OR($T584=TRUE(),$T584="TRUE"),1,0))</f>
        <v/>
      </c>
      <c r="X584">
        <f>IF($U584=1,IFERROR(IF(VALUE($A584)&lt;100000000,VALUE($A584),1000000000),IFERROR(IF(VALUE(MID($A584,2,20))&lt;100000000,VALUE(MID($A584,2,20)),1000000000),1000000000))+ROW()/100000,"")</f>
        <v/>
      </c>
    </row>
    <row r="585">
      <c r="F585" s="7">
        <f>IF($A585="","",E585*N585/100)</f>
        <v/>
      </c>
      <c r="J585" s="7" t="n"/>
      <c r="K585" s="7">
        <f>IF($A585="","",S585*N585)</f>
        <v/>
      </c>
      <c r="L585" s="7">
        <f>IF($A585="","",N585-K585)</f>
        <v/>
      </c>
      <c r="M585" s="7">
        <f>IF($A585="","",L585-F585)</f>
        <v/>
      </c>
      <c r="N585" s="7" t="n"/>
      <c r="Q585" s="11" t="n"/>
      <c r="S585">
        <f>IF($A585="","",IF($W585=1,Settings!$C$6,Settings!$C$7)*1)</f>
        <v/>
      </c>
      <c r="U585">
        <f>IF($A585="","",IF(COUNTIF($A$2:$A585,$A585)=1,1,0))</f>
        <v/>
      </c>
      <c r="V585">
        <f>IF($U585=1,SUMPRODUCT(--($X$2:$X$3001&lt;$X585))+1,"")</f>
        <v/>
      </c>
      <c r="W585">
        <f>IF($A585="","",IF(OR($T585=TRUE(),$T585="TRUE"),1,0))</f>
        <v/>
      </c>
      <c r="X585">
        <f>IF($U585=1,IFERROR(IF(VALUE($A585)&lt;100000000,VALUE($A585),1000000000),IFERROR(IF(VALUE(MID($A585,2,20))&lt;100000000,VALUE(MID($A585,2,20)),1000000000),1000000000))+ROW()/100000,"")</f>
        <v/>
      </c>
    </row>
    <row r="586">
      <c r="F586" s="7">
        <f>IF($A586="","",E586*N586/100)</f>
        <v/>
      </c>
      <c r="J586" s="7" t="n"/>
      <c r="K586" s="7">
        <f>IF($A586="","",S586*N586)</f>
        <v/>
      </c>
      <c r="L586" s="7">
        <f>IF($A586="","",N586-K586)</f>
        <v/>
      </c>
      <c r="M586" s="7">
        <f>IF($A586="","",L586-F586)</f>
        <v/>
      </c>
      <c r="N586" s="7" t="n"/>
      <c r="Q586" s="11" t="n"/>
      <c r="S586">
        <f>IF($A586="","",IF($W586=1,Settings!$C$6,Settings!$C$7)*1)</f>
        <v/>
      </c>
      <c r="U586">
        <f>IF($A586="","",IF(COUNTIF($A$2:$A586,$A586)=1,1,0))</f>
        <v/>
      </c>
      <c r="V586">
        <f>IF($U586=1,SUMPRODUCT(--($X$2:$X$3001&lt;$X586))+1,"")</f>
        <v/>
      </c>
      <c r="W586">
        <f>IF($A586="","",IF(OR($T586=TRUE(),$T586="TRUE"),1,0))</f>
        <v/>
      </c>
      <c r="X586">
        <f>IF($U586=1,IFERROR(IF(VALUE($A586)&lt;100000000,VALUE($A586),1000000000),IFERROR(IF(VALUE(MID($A586,2,20))&lt;100000000,VALUE(MID($A586,2,20)),1000000000),1000000000))+ROW()/100000,"")</f>
        <v/>
      </c>
    </row>
    <row r="587">
      <c r="F587" s="7">
        <f>IF($A587="","",E587*N587/100)</f>
        <v/>
      </c>
      <c r="J587" s="7" t="n"/>
      <c r="K587" s="7">
        <f>IF($A587="","",S587*N587)</f>
        <v/>
      </c>
      <c r="L587" s="7">
        <f>IF($A587="","",N587-K587)</f>
        <v/>
      </c>
      <c r="M587" s="7">
        <f>IF($A587="","",L587-F587)</f>
        <v/>
      </c>
      <c r="N587" s="7" t="n"/>
      <c r="Q587" s="11" t="n"/>
      <c r="S587">
        <f>IF($A587="","",IF($W587=1,Settings!$C$6,Settings!$C$7)*1)</f>
        <v/>
      </c>
      <c r="U587">
        <f>IF($A587="","",IF(COUNTIF($A$2:$A587,$A587)=1,1,0))</f>
        <v/>
      </c>
      <c r="V587">
        <f>IF($U587=1,SUMPRODUCT(--($X$2:$X$3001&lt;$X587))+1,"")</f>
        <v/>
      </c>
      <c r="W587">
        <f>IF($A587="","",IF(OR($T587=TRUE(),$T587="TRUE"),1,0))</f>
        <v/>
      </c>
      <c r="X587">
        <f>IF($U587=1,IFERROR(IF(VALUE($A587)&lt;100000000,VALUE($A587),1000000000),IFERROR(IF(VALUE(MID($A587,2,20))&lt;100000000,VALUE(MID($A587,2,20)),1000000000),1000000000))+ROW()/100000,"")</f>
        <v/>
      </c>
    </row>
    <row r="588">
      <c r="F588" s="7">
        <f>IF($A588="","",E588*N588/100)</f>
        <v/>
      </c>
      <c r="J588" s="7" t="n"/>
      <c r="K588" s="7">
        <f>IF($A588="","",S588*N588)</f>
        <v/>
      </c>
      <c r="L588" s="7">
        <f>IF($A588="","",N588-K588)</f>
        <v/>
      </c>
      <c r="M588" s="7">
        <f>IF($A588="","",L588-F588)</f>
        <v/>
      </c>
      <c r="N588" s="7" t="n"/>
      <c r="Q588" s="11" t="n"/>
      <c r="S588">
        <f>IF($A588="","",IF($W588=1,Settings!$C$6,Settings!$C$7)*1)</f>
        <v/>
      </c>
      <c r="U588">
        <f>IF($A588="","",IF(COUNTIF($A$2:$A588,$A588)=1,1,0))</f>
        <v/>
      </c>
      <c r="V588">
        <f>IF($U588=1,SUMPRODUCT(--($X$2:$X$3001&lt;$X588))+1,"")</f>
        <v/>
      </c>
      <c r="W588">
        <f>IF($A588="","",IF(OR($T588=TRUE(),$T588="TRUE"),1,0))</f>
        <v/>
      </c>
      <c r="X588">
        <f>IF($U588=1,IFERROR(IF(VALUE($A588)&lt;100000000,VALUE($A588),1000000000),IFERROR(IF(VALUE(MID($A588,2,20))&lt;100000000,VALUE(MID($A588,2,20)),1000000000),1000000000))+ROW()/100000,"")</f>
        <v/>
      </c>
    </row>
    <row r="589">
      <c r="F589" s="7">
        <f>IF($A589="","",E589*N589/100)</f>
        <v/>
      </c>
      <c r="J589" s="7" t="n"/>
      <c r="K589" s="7">
        <f>IF($A589="","",S589*N589)</f>
        <v/>
      </c>
      <c r="L589" s="7">
        <f>IF($A589="","",N589-K589)</f>
        <v/>
      </c>
      <c r="M589" s="7">
        <f>IF($A589="","",L589-F589)</f>
        <v/>
      </c>
      <c r="N589" s="7" t="n"/>
      <c r="Q589" s="11" t="n"/>
      <c r="S589">
        <f>IF($A589="","",IF($W589=1,Settings!$C$6,Settings!$C$7)*1)</f>
        <v/>
      </c>
      <c r="U589">
        <f>IF($A589="","",IF(COUNTIF($A$2:$A589,$A589)=1,1,0))</f>
        <v/>
      </c>
      <c r="V589">
        <f>IF($U589=1,SUMPRODUCT(--($X$2:$X$3001&lt;$X589))+1,"")</f>
        <v/>
      </c>
      <c r="W589">
        <f>IF($A589="","",IF(OR($T589=TRUE(),$T589="TRUE"),1,0))</f>
        <v/>
      </c>
      <c r="X589">
        <f>IF($U589=1,IFERROR(IF(VALUE($A589)&lt;100000000,VALUE($A589),1000000000),IFERROR(IF(VALUE(MID($A589,2,20))&lt;100000000,VALUE(MID($A589,2,20)),1000000000),1000000000))+ROW()/100000,"")</f>
        <v/>
      </c>
    </row>
    <row r="590">
      <c r="F590" s="7">
        <f>IF($A590="","",E590*N590/100)</f>
        <v/>
      </c>
      <c r="J590" s="7" t="n"/>
      <c r="K590" s="7">
        <f>IF($A590="","",S590*N590)</f>
        <v/>
      </c>
      <c r="L590" s="7">
        <f>IF($A590="","",N590-K590)</f>
        <v/>
      </c>
      <c r="M590" s="7">
        <f>IF($A590="","",L590-F590)</f>
        <v/>
      </c>
      <c r="N590" s="7" t="n"/>
      <c r="Q590" s="11" t="n"/>
      <c r="S590">
        <f>IF($A590="","",IF($W590=1,Settings!$C$6,Settings!$C$7)*1)</f>
        <v/>
      </c>
      <c r="U590">
        <f>IF($A590="","",IF(COUNTIF($A$2:$A590,$A590)=1,1,0))</f>
        <v/>
      </c>
      <c r="V590">
        <f>IF($U590=1,SUMPRODUCT(--($X$2:$X$3001&lt;$X590))+1,"")</f>
        <v/>
      </c>
      <c r="W590">
        <f>IF($A590="","",IF(OR($T590=TRUE(),$T590="TRUE"),1,0))</f>
        <v/>
      </c>
      <c r="X590">
        <f>IF($U590=1,IFERROR(IF(VALUE($A590)&lt;100000000,VALUE($A590),1000000000),IFERROR(IF(VALUE(MID($A590,2,20))&lt;100000000,VALUE(MID($A590,2,20)),1000000000),1000000000))+ROW()/100000,"")</f>
        <v/>
      </c>
    </row>
    <row r="591">
      <c r="F591" s="7">
        <f>IF($A591="","",E591*N591/100)</f>
        <v/>
      </c>
      <c r="J591" s="7" t="n"/>
      <c r="K591" s="7">
        <f>IF($A591="","",S591*N591)</f>
        <v/>
      </c>
      <c r="L591" s="7">
        <f>IF($A591="","",N591-K591)</f>
        <v/>
      </c>
      <c r="M591" s="7">
        <f>IF($A591="","",L591-F591)</f>
        <v/>
      </c>
      <c r="N591" s="7" t="n"/>
      <c r="Q591" s="11" t="n"/>
      <c r="S591">
        <f>IF($A591="","",IF($W591=1,Settings!$C$6,Settings!$C$7)*1)</f>
        <v/>
      </c>
      <c r="U591">
        <f>IF($A591="","",IF(COUNTIF($A$2:$A591,$A591)=1,1,0))</f>
        <v/>
      </c>
      <c r="V591">
        <f>IF($U591=1,SUMPRODUCT(--($X$2:$X$3001&lt;$X591))+1,"")</f>
        <v/>
      </c>
      <c r="W591">
        <f>IF($A591="","",IF(OR($T591=TRUE(),$T591="TRUE"),1,0))</f>
        <v/>
      </c>
      <c r="X591">
        <f>IF($U591=1,IFERROR(IF(VALUE($A591)&lt;100000000,VALUE($A591),1000000000),IFERROR(IF(VALUE(MID($A591,2,20))&lt;100000000,VALUE(MID($A591,2,20)),1000000000),1000000000))+ROW()/100000,"")</f>
        <v/>
      </c>
    </row>
    <row r="592">
      <c r="F592" s="7">
        <f>IF($A592="","",E592*N592/100)</f>
        <v/>
      </c>
      <c r="J592" s="7" t="n"/>
      <c r="K592" s="7">
        <f>IF($A592="","",S592*N592)</f>
        <v/>
      </c>
      <c r="L592" s="7">
        <f>IF($A592="","",N592-K592)</f>
        <v/>
      </c>
      <c r="M592" s="7">
        <f>IF($A592="","",L592-F592)</f>
        <v/>
      </c>
      <c r="N592" s="7" t="n"/>
      <c r="Q592" s="11" t="n"/>
      <c r="S592">
        <f>IF($A592="","",IF($W592=1,Settings!$C$6,Settings!$C$7)*1)</f>
        <v/>
      </c>
      <c r="U592">
        <f>IF($A592="","",IF(COUNTIF($A$2:$A592,$A592)=1,1,0))</f>
        <v/>
      </c>
      <c r="V592">
        <f>IF($U592=1,SUMPRODUCT(--($X$2:$X$3001&lt;$X592))+1,"")</f>
        <v/>
      </c>
      <c r="W592">
        <f>IF($A592="","",IF(OR($T592=TRUE(),$T592="TRUE"),1,0))</f>
        <v/>
      </c>
      <c r="X592">
        <f>IF($U592=1,IFERROR(IF(VALUE($A592)&lt;100000000,VALUE($A592),1000000000),IFERROR(IF(VALUE(MID($A592,2,20))&lt;100000000,VALUE(MID($A592,2,20)),1000000000),1000000000))+ROW()/100000,"")</f>
        <v/>
      </c>
    </row>
    <row r="593">
      <c r="F593" s="7">
        <f>IF($A593="","",E593*N593/100)</f>
        <v/>
      </c>
      <c r="J593" s="7" t="n"/>
      <c r="K593" s="7">
        <f>IF($A593="","",S593*N593)</f>
        <v/>
      </c>
      <c r="L593" s="7">
        <f>IF($A593="","",N593-K593)</f>
        <v/>
      </c>
      <c r="M593" s="7">
        <f>IF($A593="","",L593-F593)</f>
        <v/>
      </c>
      <c r="N593" s="7" t="n"/>
      <c r="Q593" s="11" t="n"/>
      <c r="S593">
        <f>IF($A593="","",IF($W593=1,Settings!$C$6,Settings!$C$7)*1)</f>
        <v/>
      </c>
      <c r="U593">
        <f>IF($A593="","",IF(COUNTIF($A$2:$A593,$A593)=1,1,0))</f>
        <v/>
      </c>
      <c r="V593">
        <f>IF($U593=1,SUMPRODUCT(--($X$2:$X$3001&lt;$X593))+1,"")</f>
        <v/>
      </c>
      <c r="W593">
        <f>IF($A593="","",IF(OR($T593=TRUE(),$T593="TRUE"),1,0))</f>
        <v/>
      </c>
      <c r="X593">
        <f>IF($U593=1,IFERROR(IF(VALUE($A593)&lt;100000000,VALUE($A593),1000000000),IFERROR(IF(VALUE(MID($A593,2,20))&lt;100000000,VALUE(MID($A593,2,20)),1000000000),1000000000))+ROW()/100000,"")</f>
        <v/>
      </c>
    </row>
    <row r="594">
      <c r="F594" s="7">
        <f>IF($A594="","",E594*N594/100)</f>
        <v/>
      </c>
      <c r="J594" s="7" t="n"/>
      <c r="K594" s="7">
        <f>IF($A594="","",S594*N594)</f>
        <v/>
      </c>
      <c r="L594" s="7">
        <f>IF($A594="","",N594-K594)</f>
        <v/>
      </c>
      <c r="M594" s="7">
        <f>IF($A594="","",L594-F594)</f>
        <v/>
      </c>
      <c r="N594" s="7" t="n"/>
      <c r="Q594" s="11" t="n"/>
      <c r="S594">
        <f>IF($A594="","",IF($W594=1,Settings!$C$6,Settings!$C$7)*1)</f>
        <v/>
      </c>
      <c r="U594">
        <f>IF($A594="","",IF(COUNTIF($A$2:$A594,$A594)=1,1,0))</f>
        <v/>
      </c>
      <c r="V594">
        <f>IF($U594=1,SUMPRODUCT(--($X$2:$X$3001&lt;$X594))+1,"")</f>
        <v/>
      </c>
      <c r="W594">
        <f>IF($A594="","",IF(OR($T594=TRUE(),$T594="TRUE"),1,0))</f>
        <v/>
      </c>
      <c r="X594">
        <f>IF($U594=1,IFERROR(IF(VALUE($A594)&lt;100000000,VALUE($A594),1000000000),IFERROR(IF(VALUE(MID($A594,2,20))&lt;100000000,VALUE(MID($A594,2,20)),1000000000),1000000000))+ROW()/100000,"")</f>
        <v/>
      </c>
    </row>
    <row r="595">
      <c r="F595" s="7">
        <f>IF($A595="","",E595*N595/100)</f>
        <v/>
      </c>
      <c r="J595" s="7" t="n"/>
      <c r="K595" s="7">
        <f>IF($A595="","",S595*N595)</f>
        <v/>
      </c>
      <c r="L595" s="7">
        <f>IF($A595="","",N595-K595)</f>
        <v/>
      </c>
      <c r="M595" s="7">
        <f>IF($A595="","",L595-F595)</f>
        <v/>
      </c>
      <c r="N595" s="7" t="n"/>
      <c r="Q595" s="11" t="n"/>
      <c r="S595">
        <f>IF($A595="","",IF($W595=1,Settings!$C$6,Settings!$C$7)*1)</f>
        <v/>
      </c>
      <c r="U595">
        <f>IF($A595="","",IF(COUNTIF($A$2:$A595,$A595)=1,1,0))</f>
        <v/>
      </c>
      <c r="V595">
        <f>IF($U595=1,SUMPRODUCT(--($X$2:$X$3001&lt;$X595))+1,"")</f>
        <v/>
      </c>
      <c r="W595">
        <f>IF($A595="","",IF(OR($T595=TRUE(),$T595="TRUE"),1,0))</f>
        <v/>
      </c>
      <c r="X595">
        <f>IF($U595=1,IFERROR(IF(VALUE($A595)&lt;100000000,VALUE($A595),1000000000),IFERROR(IF(VALUE(MID($A595,2,20))&lt;100000000,VALUE(MID($A595,2,20)),1000000000),1000000000))+ROW()/100000,"")</f>
        <v/>
      </c>
    </row>
    <row r="596">
      <c r="F596" s="7">
        <f>IF($A596="","",E596*N596/100)</f>
        <v/>
      </c>
      <c r="J596" s="7" t="n"/>
      <c r="K596" s="7">
        <f>IF($A596="","",S596*N596)</f>
        <v/>
      </c>
      <c r="L596" s="7">
        <f>IF($A596="","",N596-K596)</f>
        <v/>
      </c>
      <c r="M596" s="7">
        <f>IF($A596="","",L596-F596)</f>
        <v/>
      </c>
      <c r="N596" s="7" t="n"/>
      <c r="Q596" s="11" t="n"/>
      <c r="S596">
        <f>IF($A596="","",IF($W596=1,Settings!$C$6,Settings!$C$7)*1)</f>
        <v/>
      </c>
      <c r="U596">
        <f>IF($A596="","",IF(COUNTIF($A$2:$A596,$A596)=1,1,0))</f>
        <v/>
      </c>
      <c r="V596">
        <f>IF($U596=1,SUMPRODUCT(--($X$2:$X$3001&lt;$X596))+1,"")</f>
        <v/>
      </c>
      <c r="W596">
        <f>IF($A596="","",IF(OR($T596=TRUE(),$T596="TRUE"),1,0))</f>
        <v/>
      </c>
      <c r="X596">
        <f>IF($U596=1,IFERROR(IF(VALUE($A596)&lt;100000000,VALUE($A596),1000000000),IFERROR(IF(VALUE(MID($A596,2,20))&lt;100000000,VALUE(MID($A596,2,20)),1000000000),1000000000))+ROW()/100000,"")</f>
        <v/>
      </c>
    </row>
    <row r="597">
      <c r="F597" s="7">
        <f>IF($A597="","",E597*N597/100)</f>
        <v/>
      </c>
      <c r="J597" s="7" t="n"/>
      <c r="K597" s="7">
        <f>IF($A597="","",S597*N597)</f>
        <v/>
      </c>
      <c r="L597" s="7">
        <f>IF($A597="","",N597-K597)</f>
        <v/>
      </c>
      <c r="M597" s="7">
        <f>IF($A597="","",L597-F597)</f>
        <v/>
      </c>
      <c r="N597" s="7" t="n"/>
      <c r="Q597" s="11" t="n"/>
      <c r="S597">
        <f>IF($A597="","",IF($W597=1,Settings!$C$6,Settings!$C$7)*1)</f>
        <v/>
      </c>
      <c r="U597">
        <f>IF($A597="","",IF(COUNTIF($A$2:$A597,$A597)=1,1,0))</f>
        <v/>
      </c>
      <c r="V597">
        <f>IF($U597=1,SUMPRODUCT(--($X$2:$X$3001&lt;$X597))+1,"")</f>
        <v/>
      </c>
      <c r="W597">
        <f>IF($A597="","",IF(OR($T597=TRUE(),$T597="TRUE"),1,0))</f>
        <v/>
      </c>
      <c r="X597">
        <f>IF($U597=1,IFERROR(IF(VALUE($A597)&lt;100000000,VALUE($A597),1000000000),IFERROR(IF(VALUE(MID($A597,2,20))&lt;100000000,VALUE(MID($A597,2,20)),1000000000),1000000000))+ROW()/100000,"")</f>
        <v/>
      </c>
    </row>
    <row r="598">
      <c r="F598" s="7">
        <f>IF($A598="","",E598*N598/100)</f>
        <v/>
      </c>
      <c r="J598" s="7" t="n"/>
      <c r="K598" s="7">
        <f>IF($A598="","",S598*N598)</f>
        <v/>
      </c>
      <c r="L598" s="7">
        <f>IF($A598="","",N598-K598)</f>
        <v/>
      </c>
      <c r="M598" s="7">
        <f>IF($A598="","",L598-F598)</f>
        <v/>
      </c>
      <c r="N598" s="7" t="n"/>
      <c r="Q598" s="11" t="n"/>
      <c r="S598">
        <f>IF($A598="","",IF($W598=1,Settings!$C$6,Settings!$C$7)*1)</f>
        <v/>
      </c>
      <c r="U598">
        <f>IF($A598="","",IF(COUNTIF($A$2:$A598,$A598)=1,1,0))</f>
        <v/>
      </c>
      <c r="V598">
        <f>IF($U598=1,SUMPRODUCT(--($X$2:$X$3001&lt;$X598))+1,"")</f>
        <v/>
      </c>
      <c r="W598">
        <f>IF($A598="","",IF(OR($T598=TRUE(),$T598="TRUE"),1,0))</f>
        <v/>
      </c>
      <c r="X598">
        <f>IF($U598=1,IFERROR(IF(VALUE($A598)&lt;100000000,VALUE($A598),1000000000),IFERROR(IF(VALUE(MID($A598,2,20))&lt;100000000,VALUE(MID($A598,2,20)),1000000000),1000000000))+ROW()/100000,"")</f>
        <v/>
      </c>
    </row>
    <row r="599">
      <c r="F599" s="7">
        <f>IF($A599="","",E599*N599/100)</f>
        <v/>
      </c>
      <c r="J599" s="7" t="n"/>
      <c r="K599" s="7">
        <f>IF($A599="","",S599*N599)</f>
        <v/>
      </c>
      <c r="L599" s="7">
        <f>IF($A599="","",N599-K599)</f>
        <v/>
      </c>
      <c r="M599" s="7">
        <f>IF($A599="","",L599-F599)</f>
        <v/>
      </c>
      <c r="N599" s="7" t="n"/>
      <c r="Q599" s="11" t="n"/>
      <c r="S599">
        <f>IF($A599="","",IF($W599=1,Settings!$C$6,Settings!$C$7)*1)</f>
        <v/>
      </c>
      <c r="U599">
        <f>IF($A599="","",IF(COUNTIF($A$2:$A599,$A599)=1,1,0))</f>
        <v/>
      </c>
      <c r="V599">
        <f>IF($U599=1,SUMPRODUCT(--($X$2:$X$3001&lt;$X599))+1,"")</f>
        <v/>
      </c>
      <c r="W599">
        <f>IF($A599="","",IF(OR($T599=TRUE(),$T599="TRUE"),1,0))</f>
        <v/>
      </c>
      <c r="X599">
        <f>IF($U599=1,IFERROR(IF(VALUE($A599)&lt;100000000,VALUE($A599),1000000000),IFERROR(IF(VALUE(MID($A599,2,20))&lt;100000000,VALUE(MID($A599,2,20)),1000000000),1000000000))+ROW()/100000,"")</f>
        <v/>
      </c>
    </row>
    <row r="600">
      <c r="F600" s="7">
        <f>IF($A600="","",E600*N600/100)</f>
        <v/>
      </c>
      <c r="J600" s="7" t="n"/>
      <c r="K600" s="7">
        <f>IF($A600="","",S600*N600)</f>
        <v/>
      </c>
      <c r="L600" s="7">
        <f>IF($A600="","",N600-K600)</f>
        <v/>
      </c>
      <c r="M600" s="7">
        <f>IF($A600="","",L600-F600)</f>
        <v/>
      </c>
      <c r="N600" s="7" t="n"/>
      <c r="Q600" s="11" t="n"/>
      <c r="S600">
        <f>IF($A600="","",IF($W600=1,Settings!$C$6,Settings!$C$7)*1)</f>
        <v/>
      </c>
      <c r="U600">
        <f>IF($A600="","",IF(COUNTIF($A$2:$A600,$A600)=1,1,0))</f>
        <v/>
      </c>
      <c r="V600">
        <f>IF($U600=1,SUMPRODUCT(--($X$2:$X$3001&lt;$X600))+1,"")</f>
        <v/>
      </c>
      <c r="W600">
        <f>IF($A600="","",IF(OR($T600=TRUE(),$T600="TRUE"),1,0))</f>
        <v/>
      </c>
      <c r="X600">
        <f>IF($U600=1,IFERROR(IF(VALUE($A600)&lt;100000000,VALUE($A600),1000000000),IFERROR(IF(VALUE(MID($A600,2,20))&lt;100000000,VALUE(MID($A600,2,20)),1000000000),1000000000))+ROW()/100000,"")</f>
        <v/>
      </c>
    </row>
    <row r="601">
      <c r="F601" s="7">
        <f>IF($A601="","",E601*N601/100)</f>
        <v/>
      </c>
      <c r="J601" s="7" t="n"/>
      <c r="K601" s="7">
        <f>IF($A601="","",S601*N601)</f>
        <v/>
      </c>
      <c r="L601" s="7">
        <f>IF($A601="","",N601-K601)</f>
        <v/>
      </c>
      <c r="M601" s="7">
        <f>IF($A601="","",L601-F601)</f>
        <v/>
      </c>
      <c r="N601" s="7" t="n"/>
      <c r="Q601" s="11" t="n"/>
      <c r="S601">
        <f>IF($A601="","",IF($W601=1,Settings!$C$6,Settings!$C$7)*1)</f>
        <v/>
      </c>
      <c r="U601">
        <f>IF($A601="","",IF(COUNTIF($A$2:$A601,$A601)=1,1,0))</f>
        <v/>
      </c>
      <c r="V601">
        <f>IF($U601=1,SUMPRODUCT(--($X$2:$X$3001&lt;$X601))+1,"")</f>
        <v/>
      </c>
      <c r="W601">
        <f>IF($A601="","",IF(OR($T601=TRUE(),$T601="TRUE"),1,0))</f>
        <v/>
      </c>
      <c r="X601">
        <f>IF($U601=1,IFERROR(IF(VALUE($A601)&lt;100000000,VALUE($A601),1000000000),IFERROR(IF(VALUE(MID($A601,2,20))&lt;100000000,VALUE(MID($A601,2,20)),1000000000),1000000000))+ROW()/100000,"")</f>
        <v/>
      </c>
    </row>
    <row r="602">
      <c r="F602" s="7">
        <f>IF($A602="","",E602*N602/100)</f>
        <v/>
      </c>
      <c r="J602" s="7" t="n"/>
      <c r="K602" s="7">
        <f>IF($A602="","",S602*N602)</f>
        <v/>
      </c>
      <c r="L602" s="7">
        <f>IF($A602="","",N602-K602)</f>
        <v/>
      </c>
      <c r="M602" s="7">
        <f>IF($A602="","",L602-F602)</f>
        <v/>
      </c>
      <c r="N602" s="7" t="n"/>
      <c r="Q602" s="11" t="n"/>
      <c r="S602">
        <f>IF($A602="","",IF($W602=1,Settings!$C$6,Settings!$C$7)*1)</f>
        <v/>
      </c>
      <c r="U602">
        <f>IF($A602="","",IF(COUNTIF($A$2:$A602,$A602)=1,1,0))</f>
        <v/>
      </c>
      <c r="V602">
        <f>IF($U602=1,SUMPRODUCT(--($X$2:$X$3001&lt;$X602))+1,"")</f>
        <v/>
      </c>
      <c r="W602">
        <f>IF($A602="","",IF(OR($T602=TRUE(),$T602="TRUE"),1,0))</f>
        <v/>
      </c>
      <c r="X602">
        <f>IF($U602=1,IFERROR(IF(VALUE($A602)&lt;100000000,VALUE($A602),1000000000),IFERROR(IF(VALUE(MID($A602,2,20))&lt;100000000,VALUE(MID($A602,2,20)),1000000000),1000000000))+ROW()/100000,"")</f>
        <v/>
      </c>
    </row>
    <row r="603">
      <c r="F603" s="7">
        <f>IF($A603="","",E603*N603/100)</f>
        <v/>
      </c>
      <c r="J603" s="7" t="n"/>
      <c r="K603" s="7">
        <f>IF($A603="","",S603*N603)</f>
        <v/>
      </c>
      <c r="L603" s="7">
        <f>IF($A603="","",N603-K603)</f>
        <v/>
      </c>
      <c r="M603" s="7">
        <f>IF($A603="","",L603-F603)</f>
        <v/>
      </c>
      <c r="N603" s="7" t="n"/>
      <c r="Q603" s="11" t="n"/>
      <c r="S603">
        <f>IF($A603="","",IF($W603=1,Settings!$C$6,Settings!$C$7)*1)</f>
        <v/>
      </c>
      <c r="U603">
        <f>IF($A603="","",IF(COUNTIF($A$2:$A603,$A603)=1,1,0))</f>
        <v/>
      </c>
      <c r="V603">
        <f>IF($U603=1,SUMPRODUCT(--($X$2:$X$3001&lt;$X603))+1,"")</f>
        <v/>
      </c>
      <c r="W603">
        <f>IF($A603="","",IF(OR($T603=TRUE(),$T603="TRUE"),1,0))</f>
        <v/>
      </c>
      <c r="X603">
        <f>IF($U603=1,IFERROR(IF(VALUE($A603)&lt;100000000,VALUE($A603),1000000000),IFERROR(IF(VALUE(MID($A603,2,20))&lt;100000000,VALUE(MID($A603,2,20)),1000000000),1000000000))+ROW()/100000,"")</f>
        <v/>
      </c>
    </row>
    <row r="604">
      <c r="F604" s="7">
        <f>IF($A604="","",E604*N604/100)</f>
        <v/>
      </c>
      <c r="J604" s="7" t="n"/>
      <c r="K604" s="7">
        <f>IF($A604="","",S604*N604)</f>
        <v/>
      </c>
      <c r="L604" s="7">
        <f>IF($A604="","",N604-K604)</f>
        <v/>
      </c>
      <c r="M604" s="7">
        <f>IF($A604="","",L604-F604)</f>
        <v/>
      </c>
      <c r="N604" s="7" t="n"/>
      <c r="Q604" s="11" t="n"/>
      <c r="S604">
        <f>IF($A604="","",IF($W604=1,Settings!$C$6,Settings!$C$7)*1)</f>
        <v/>
      </c>
      <c r="U604">
        <f>IF($A604="","",IF(COUNTIF($A$2:$A604,$A604)=1,1,0))</f>
        <v/>
      </c>
      <c r="V604">
        <f>IF($U604=1,SUMPRODUCT(--($X$2:$X$3001&lt;$X604))+1,"")</f>
        <v/>
      </c>
      <c r="W604">
        <f>IF($A604="","",IF(OR($T604=TRUE(),$T604="TRUE"),1,0))</f>
        <v/>
      </c>
      <c r="X604">
        <f>IF($U604=1,IFERROR(IF(VALUE($A604)&lt;100000000,VALUE($A604),1000000000),IFERROR(IF(VALUE(MID($A604,2,20))&lt;100000000,VALUE(MID($A604,2,20)),1000000000),1000000000))+ROW()/100000,"")</f>
        <v/>
      </c>
    </row>
    <row r="605">
      <c r="F605" s="7">
        <f>IF($A605="","",E605*N605/100)</f>
        <v/>
      </c>
      <c r="J605" s="7" t="n"/>
      <c r="K605" s="7">
        <f>IF($A605="","",S605*N605)</f>
        <v/>
      </c>
      <c r="L605" s="7">
        <f>IF($A605="","",N605-K605)</f>
        <v/>
      </c>
      <c r="M605" s="7">
        <f>IF($A605="","",L605-F605)</f>
        <v/>
      </c>
      <c r="N605" s="7" t="n"/>
      <c r="Q605" s="11" t="n"/>
      <c r="S605">
        <f>IF($A605="","",IF($W605=1,Settings!$C$6,Settings!$C$7)*1)</f>
        <v/>
      </c>
      <c r="U605">
        <f>IF($A605="","",IF(COUNTIF($A$2:$A605,$A605)=1,1,0))</f>
        <v/>
      </c>
      <c r="V605">
        <f>IF($U605=1,SUMPRODUCT(--($X$2:$X$3001&lt;$X605))+1,"")</f>
        <v/>
      </c>
      <c r="W605">
        <f>IF($A605="","",IF(OR($T605=TRUE(),$T605="TRUE"),1,0))</f>
        <v/>
      </c>
      <c r="X605">
        <f>IF($U605=1,IFERROR(IF(VALUE($A605)&lt;100000000,VALUE($A605),1000000000),IFERROR(IF(VALUE(MID($A605,2,20))&lt;100000000,VALUE(MID($A605,2,20)),1000000000),1000000000))+ROW()/100000,"")</f>
        <v/>
      </c>
    </row>
    <row r="606">
      <c r="F606" s="7">
        <f>IF($A606="","",E606*N606/100)</f>
        <v/>
      </c>
      <c r="J606" s="7" t="n"/>
      <c r="K606" s="7">
        <f>IF($A606="","",S606*N606)</f>
        <v/>
      </c>
      <c r="L606" s="7">
        <f>IF($A606="","",N606-K606)</f>
        <v/>
      </c>
      <c r="M606" s="7">
        <f>IF($A606="","",L606-F606)</f>
        <v/>
      </c>
      <c r="N606" s="7" t="n"/>
      <c r="Q606" s="11" t="n"/>
      <c r="S606">
        <f>IF($A606="","",IF($W606=1,Settings!$C$6,Settings!$C$7)*1)</f>
        <v/>
      </c>
      <c r="U606">
        <f>IF($A606="","",IF(COUNTIF($A$2:$A606,$A606)=1,1,0))</f>
        <v/>
      </c>
      <c r="V606">
        <f>IF($U606=1,SUMPRODUCT(--($X$2:$X$3001&lt;$X606))+1,"")</f>
        <v/>
      </c>
      <c r="W606">
        <f>IF($A606="","",IF(OR($T606=TRUE(),$T606="TRUE"),1,0))</f>
        <v/>
      </c>
      <c r="X606">
        <f>IF($U606=1,IFERROR(IF(VALUE($A606)&lt;100000000,VALUE($A606),1000000000),IFERROR(IF(VALUE(MID($A606,2,20))&lt;100000000,VALUE(MID($A606,2,20)),1000000000),1000000000))+ROW()/100000,"")</f>
        <v/>
      </c>
    </row>
    <row r="607">
      <c r="F607" s="7">
        <f>IF($A607="","",E607*N607/100)</f>
        <v/>
      </c>
      <c r="J607" s="7" t="n"/>
      <c r="K607" s="7">
        <f>IF($A607="","",S607*N607)</f>
        <v/>
      </c>
      <c r="L607" s="7">
        <f>IF($A607="","",N607-K607)</f>
        <v/>
      </c>
      <c r="M607" s="7">
        <f>IF($A607="","",L607-F607)</f>
        <v/>
      </c>
      <c r="N607" s="7" t="n"/>
      <c r="Q607" s="11" t="n"/>
      <c r="S607">
        <f>IF($A607="","",IF($W607=1,Settings!$C$6,Settings!$C$7)*1)</f>
        <v/>
      </c>
      <c r="U607">
        <f>IF($A607="","",IF(COUNTIF($A$2:$A607,$A607)=1,1,0))</f>
        <v/>
      </c>
      <c r="V607">
        <f>IF($U607=1,SUMPRODUCT(--($X$2:$X$3001&lt;$X607))+1,"")</f>
        <v/>
      </c>
      <c r="W607">
        <f>IF($A607="","",IF(OR($T607=TRUE(),$T607="TRUE"),1,0))</f>
        <v/>
      </c>
      <c r="X607">
        <f>IF($U607=1,IFERROR(IF(VALUE($A607)&lt;100000000,VALUE($A607),1000000000),IFERROR(IF(VALUE(MID($A607,2,20))&lt;100000000,VALUE(MID($A607,2,20)),1000000000),1000000000))+ROW()/100000,"")</f>
        <v/>
      </c>
    </row>
    <row r="608">
      <c r="F608" s="7">
        <f>IF($A608="","",E608*N608/100)</f>
        <v/>
      </c>
      <c r="J608" s="7" t="n"/>
      <c r="K608" s="7">
        <f>IF($A608="","",S608*N608)</f>
        <v/>
      </c>
      <c r="L608" s="7">
        <f>IF($A608="","",N608-K608)</f>
        <v/>
      </c>
      <c r="M608" s="7">
        <f>IF($A608="","",L608-F608)</f>
        <v/>
      </c>
      <c r="N608" s="7" t="n"/>
      <c r="Q608" s="11" t="n"/>
      <c r="S608">
        <f>IF($A608="","",IF($W608=1,Settings!$C$6,Settings!$C$7)*1)</f>
        <v/>
      </c>
      <c r="U608">
        <f>IF($A608="","",IF(COUNTIF($A$2:$A608,$A608)=1,1,0))</f>
        <v/>
      </c>
      <c r="V608">
        <f>IF($U608=1,SUMPRODUCT(--($X$2:$X$3001&lt;$X608))+1,"")</f>
        <v/>
      </c>
      <c r="W608">
        <f>IF($A608="","",IF(OR($T608=TRUE(),$T608="TRUE"),1,0))</f>
        <v/>
      </c>
      <c r="X608">
        <f>IF($U608=1,IFERROR(IF(VALUE($A608)&lt;100000000,VALUE($A608),1000000000),IFERROR(IF(VALUE(MID($A608,2,20))&lt;100000000,VALUE(MID($A608,2,20)),1000000000),1000000000))+ROW()/100000,"")</f>
        <v/>
      </c>
    </row>
    <row r="609">
      <c r="F609" s="7">
        <f>IF($A609="","",E609*N609/100)</f>
        <v/>
      </c>
      <c r="J609" s="7" t="n"/>
      <c r="K609" s="7">
        <f>IF($A609="","",S609*N609)</f>
        <v/>
      </c>
      <c r="L609" s="7">
        <f>IF($A609="","",N609-K609)</f>
        <v/>
      </c>
      <c r="M609" s="7">
        <f>IF($A609="","",L609-F609)</f>
        <v/>
      </c>
      <c r="N609" s="7" t="n"/>
      <c r="Q609" s="11" t="n"/>
      <c r="S609">
        <f>IF($A609="","",IF($W609=1,Settings!$C$6,Settings!$C$7)*1)</f>
        <v/>
      </c>
      <c r="U609">
        <f>IF($A609="","",IF(COUNTIF($A$2:$A609,$A609)=1,1,0))</f>
        <v/>
      </c>
      <c r="V609">
        <f>IF($U609=1,SUMPRODUCT(--($X$2:$X$3001&lt;$X609))+1,"")</f>
        <v/>
      </c>
      <c r="W609">
        <f>IF($A609="","",IF(OR($T609=TRUE(),$T609="TRUE"),1,0))</f>
        <v/>
      </c>
      <c r="X609">
        <f>IF($U609=1,IFERROR(IF(VALUE($A609)&lt;100000000,VALUE($A609),1000000000),IFERROR(IF(VALUE(MID($A609,2,20))&lt;100000000,VALUE(MID($A609,2,20)),1000000000),1000000000))+ROW()/100000,"")</f>
        <v/>
      </c>
    </row>
    <row r="610">
      <c r="F610" s="7">
        <f>IF($A610="","",E610*N610/100)</f>
        <v/>
      </c>
      <c r="J610" s="7" t="n"/>
      <c r="K610" s="7">
        <f>IF($A610="","",S610*N610)</f>
        <v/>
      </c>
      <c r="L610" s="7">
        <f>IF($A610="","",N610-K610)</f>
        <v/>
      </c>
      <c r="M610" s="7">
        <f>IF($A610="","",L610-F610)</f>
        <v/>
      </c>
      <c r="N610" s="7" t="n"/>
      <c r="Q610" s="11" t="n"/>
      <c r="S610">
        <f>IF($A610="","",IF($W610=1,Settings!$C$6,Settings!$C$7)*1)</f>
        <v/>
      </c>
      <c r="U610">
        <f>IF($A610="","",IF(COUNTIF($A$2:$A610,$A610)=1,1,0))</f>
        <v/>
      </c>
      <c r="V610">
        <f>IF($U610=1,SUMPRODUCT(--($X$2:$X$3001&lt;$X610))+1,"")</f>
        <v/>
      </c>
      <c r="W610">
        <f>IF($A610="","",IF(OR($T610=TRUE(),$T610="TRUE"),1,0))</f>
        <v/>
      </c>
      <c r="X610">
        <f>IF($U610=1,IFERROR(IF(VALUE($A610)&lt;100000000,VALUE($A610),1000000000),IFERROR(IF(VALUE(MID($A610,2,20))&lt;100000000,VALUE(MID($A610,2,20)),1000000000),1000000000))+ROW()/100000,"")</f>
        <v/>
      </c>
    </row>
    <row r="611">
      <c r="F611" s="7">
        <f>IF($A611="","",E611*N611/100)</f>
        <v/>
      </c>
      <c r="J611" s="7" t="n"/>
      <c r="K611" s="7">
        <f>IF($A611="","",S611*N611)</f>
        <v/>
      </c>
      <c r="L611" s="7">
        <f>IF($A611="","",N611-K611)</f>
        <v/>
      </c>
      <c r="M611" s="7">
        <f>IF($A611="","",L611-F611)</f>
        <v/>
      </c>
      <c r="N611" s="7" t="n"/>
      <c r="Q611" s="11" t="n"/>
      <c r="S611">
        <f>IF($A611="","",IF($W611=1,Settings!$C$6,Settings!$C$7)*1)</f>
        <v/>
      </c>
      <c r="U611">
        <f>IF($A611="","",IF(COUNTIF($A$2:$A611,$A611)=1,1,0))</f>
        <v/>
      </c>
      <c r="V611">
        <f>IF($U611=1,SUMPRODUCT(--($X$2:$X$3001&lt;$X611))+1,"")</f>
        <v/>
      </c>
      <c r="W611">
        <f>IF($A611="","",IF(OR($T611=TRUE(),$T611="TRUE"),1,0))</f>
        <v/>
      </c>
      <c r="X611">
        <f>IF($U611=1,IFERROR(IF(VALUE($A611)&lt;100000000,VALUE($A611),1000000000),IFERROR(IF(VALUE(MID($A611,2,20))&lt;100000000,VALUE(MID($A611,2,20)),1000000000),1000000000))+ROW()/100000,"")</f>
        <v/>
      </c>
    </row>
    <row r="612">
      <c r="F612" s="7">
        <f>IF($A612="","",E612*N612/100)</f>
        <v/>
      </c>
      <c r="J612" s="7" t="n"/>
      <c r="K612" s="7">
        <f>IF($A612="","",S612*N612)</f>
        <v/>
      </c>
      <c r="L612" s="7">
        <f>IF($A612="","",N612-K612)</f>
        <v/>
      </c>
      <c r="M612" s="7">
        <f>IF($A612="","",L612-F612)</f>
        <v/>
      </c>
      <c r="N612" s="7" t="n"/>
      <c r="Q612" s="11" t="n"/>
      <c r="S612">
        <f>IF($A612="","",IF($W612=1,Settings!$C$6,Settings!$C$7)*1)</f>
        <v/>
      </c>
      <c r="U612">
        <f>IF($A612="","",IF(COUNTIF($A$2:$A612,$A612)=1,1,0))</f>
        <v/>
      </c>
      <c r="V612">
        <f>IF($U612=1,SUMPRODUCT(--($X$2:$X$3001&lt;$X612))+1,"")</f>
        <v/>
      </c>
      <c r="W612">
        <f>IF($A612="","",IF(OR($T612=TRUE(),$T612="TRUE"),1,0))</f>
        <v/>
      </c>
      <c r="X612">
        <f>IF($U612=1,IFERROR(IF(VALUE($A612)&lt;100000000,VALUE($A612),1000000000),IFERROR(IF(VALUE(MID($A612,2,20))&lt;100000000,VALUE(MID($A612,2,20)),1000000000),1000000000))+ROW()/100000,"")</f>
        <v/>
      </c>
    </row>
    <row r="613">
      <c r="F613" s="7">
        <f>IF($A613="","",E613*N613/100)</f>
        <v/>
      </c>
      <c r="J613" s="7" t="n"/>
      <c r="K613" s="7">
        <f>IF($A613="","",S613*N613)</f>
        <v/>
      </c>
      <c r="L613" s="7">
        <f>IF($A613="","",N613-K613)</f>
        <v/>
      </c>
      <c r="M613" s="7">
        <f>IF($A613="","",L613-F613)</f>
        <v/>
      </c>
      <c r="N613" s="7" t="n"/>
      <c r="Q613" s="11" t="n"/>
      <c r="S613">
        <f>IF($A613="","",IF($W613=1,Settings!$C$6,Settings!$C$7)*1)</f>
        <v/>
      </c>
      <c r="U613">
        <f>IF($A613="","",IF(COUNTIF($A$2:$A613,$A613)=1,1,0))</f>
        <v/>
      </c>
      <c r="V613">
        <f>IF($U613=1,SUMPRODUCT(--($X$2:$X$3001&lt;$X613))+1,"")</f>
        <v/>
      </c>
      <c r="W613">
        <f>IF($A613="","",IF(OR($T613=TRUE(),$T613="TRUE"),1,0))</f>
        <v/>
      </c>
      <c r="X613">
        <f>IF($U613=1,IFERROR(IF(VALUE($A613)&lt;100000000,VALUE($A613),1000000000),IFERROR(IF(VALUE(MID($A613,2,20))&lt;100000000,VALUE(MID($A613,2,20)),1000000000),1000000000))+ROW()/100000,"")</f>
        <v/>
      </c>
    </row>
    <row r="614">
      <c r="F614" s="7">
        <f>IF($A614="","",E614*N614/100)</f>
        <v/>
      </c>
      <c r="J614" s="7" t="n"/>
      <c r="K614" s="7">
        <f>IF($A614="","",S614*N614)</f>
        <v/>
      </c>
      <c r="L614" s="7">
        <f>IF($A614="","",N614-K614)</f>
        <v/>
      </c>
      <c r="M614" s="7">
        <f>IF($A614="","",L614-F614)</f>
        <v/>
      </c>
      <c r="N614" s="7" t="n"/>
      <c r="Q614" s="11" t="n"/>
      <c r="S614">
        <f>IF($A614="","",IF($W614=1,Settings!$C$6,Settings!$C$7)*1)</f>
        <v/>
      </c>
      <c r="U614">
        <f>IF($A614="","",IF(COUNTIF($A$2:$A614,$A614)=1,1,0))</f>
        <v/>
      </c>
      <c r="V614">
        <f>IF($U614=1,SUMPRODUCT(--($X$2:$X$3001&lt;$X614))+1,"")</f>
        <v/>
      </c>
      <c r="W614">
        <f>IF($A614="","",IF(OR($T614=TRUE(),$T614="TRUE"),1,0))</f>
        <v/>
      </c>
      <c r="X614">
        <f>IF($U614=1,IFERROR(IF(VALUE($A614)&lt;100000000,VALUE($A614),1000000000),IFERROR(IF(VALUE(MID($A614,2,20))&lt;100000000,VALUE(MID($A614,2,20)),1000000000),1000000000))+ROW()/100000,"")</f>
        <v/>
      </c>
    </row>
    <row r="615">
      <c r="F615" s="7">
        <f>IF($A615="","",E615*N615/100)</f>
        <v/>
      </c>
      <c r="J615" s="7" t="n"/>
      <c r="K615" s="7">
        <f>IF($A615="","",S615*N615)</f>
        <v/>
      </c>
      <c r="L615" s="7">
        <f>IF($A615="","",N615-K615)</f>
        <v/>
      </c>
      <c r="M615" s="7">
        <f>IF($A615="","",L615-F615)</f>
        <v/>
      </c>
      <c r="N615" s="7" t="n"/>
      <c r="Q615" s="11" t="n"/>
      <c r="S615">
        <f>IF($A615="","",IF($W615=1,Settings!$C$6,Settings!$C$7)*1)</f>
        <v/>
      </c>
      <c r="U615">
        <f>IF($A615="","",IF(COUNTIF($A$2:$A615,$A615)=1,1,0))</f>
        <v/>
      </c>
      <c r="V615">
        <f>IF($U615=1,SUMPRODUCT(--($X$2:$X$3001&lt;$X615))+1,"")</f>
        <v/>
      </c>
      <c r="W615">
        <f>IF($A615="","",IF(OR($T615=TRUE(),$T615="TRUE"),1,0))</f>
        <v/>
      </c>
      <c r="X615">
        <f>IF($U615=1,IFERROR(IF(VALUE($A615)&lt;100000000,VALUE($A615),1000000000),IFERROR(IF(VALUE(MID($A615,2,20))&lt;100000000,VALUE(MID($A615,2,20)),1000000000),1000000000))+ROW()/100000,"")</f>
        <v/>
      </c>
    </row>
    <row r="616">
      <c r="F616" s="7">
        <f>IF($A616="","",E616*N616/100)</f>
        <v/>
      </c>
      <c r="J616" s="7" t="n"/>
      <c r="K616" s="7">
        <f>IF($A616="","",S616*N616)</f>
        <v/>
      </c>
      <c r="L616" s="7">
        <f>IF($A616="","",N616-K616)</f>
        <v/>
      </c>
      <c r="M616" s="7">
        <f>IF($A616="","",L616-F616)</f>
        <v/>
      </c>
      <c r="N616" s="7" t="n"/>
      <c r="Q616" s="11" t="n"/>
      <c r="S616">
        <f>IF($A616="","",IF($W616=1,Settings!$C$6,Settings!$C$7)*1)</f>
        <v/>
      </c>
      <c r="U616">
        <f>IF($A616="","",IF(COUNTIF($A$2:$A616,$A616)=1,1,0))</f>
        <v/>
      </c>
      <c r="V616">
        <f>IF($U616=1,SUMPRODUCT(--($X$2:$X$3001&lt;$X616))+1,"")</f>
        <v/>
      </c>
      <c r="W616">
        <f>IF($A616="","",IF(OR($T616=TRUE(),$T616="TRUE"),1,0))</f>
        <v/>
      </c>
      <c r="X616">
        <f>IF($U616=1,IFERROR(IF(VALUE($A616)&lt;100000000,VALUE($A616),1000000000),IFERROR(IF(VALUE(MID($A616,2,20))&lt;100000000,VALUE(MID($A616,2,20)),1000000000),1000000000))+ROW()/100000,"")</f>
        <v/>
      </c>
    </row>
    <row r="617">
      <c r="F617" s="7">
        <f>IF($A617="","",E617*N617/100)</f>
        <v/>
      </c>
      <c r="J617" s="7" t="n"/>
      <c r="K617" s="7">
        <f>IF($A617="","",S617*N617)</f>
        <v/>
      </c>
      <c r="L617" s="7">
        <f>IF($A617="","",N617-K617)</f>
        <v/>
      </c>
      <c r="M617" s="7">
        <f>IF($A617="","",L617-F617)</f>
        <v/>
      </c>
      <c r="N617" s="7" t="n"/>
      <c r="Q617" s="11" t="n"/>
      <c r="S617">
        <f>IF($A617="","",IF($W617=1,Settings!$C$6,Settings!$C$7)*1)</f>
        <v/>
      </c>
      <c r="U617">
        <f>IF($A617="","",IF(COUNTIF($A$2:$A617,$A617)=1,1,0))</f>
        <v/>
      </c>
      <c r="V617">
        <f>IF($U617=1,SUMPRODUCT(--($X$2:$X$3001&lt;$X617))+1,"")</f>
        <v/>
      </c>
      <c r="W617">
        <f>IF($A617="","",IF(OR($T617=TRUE(),$T617="TRUE"),1,0))</f>
        <v/>
      </c>
      <c r="X617">
        <f>IF($U617=1,IFERROR(IF(VALUE($A617)&lt;100000000,VALUE($A617),1000000000),IFERROR(IF(VALUE(MID($A617,2,20))&lt;100000000,VALUE(MID($A617,2,20)),1000000000),1000000000))+ROW()/100000,"")</f>
        <v/>
      </c>
    </row>
    <row r="618">
      <c r="F618" s="7">
        <f>IF($A618="","",E618*N618/100)</f>
        <v/>
      </c>
      <c r="J618" s="7" t="n"/>
      <c r="K618" s="7">
        <f>IF($A618="","",S618*N618)</f>
        <v/>
      </c>
      <c r="L618" s="7">
        <f>IF($A618="","",N618-K618)</f>
        <v/>
      </c>
      <c r="M618" s="7">
        <f>IF($A618="","",L618-F618)</f>
        <v/>
      </c>
      <c r="N618" s="7" t="n"/>
      <c r="Q618" s="11" t="n"/>
      <c r="S618">
        <f>IF($A618="","",IF($W618=1,Settings!$C$6,Settings!$C$7)*1)</f>
        <v/>
      </c>
      <c r="U618">
        <f>IF($A618="","",IF(COUNTIF($A$2:$A618,$A618)=1,1,0))</f>
        <v/>
      </c>
      <c r="V618">
        <f>IF($U618=1,SUMPRODUCT(--($X$2:$X$3001&lt;$X618))+1,"")</f>
        <v/>
      </c>
      <c r="W618">
        <f>IF($A618="","",IF(OR($T618=TRUE(),$T618="TRUE"),1,0))</f>
        <v/>
      </c>
      <c r="X618">
        <f>IF($U618=1,IFERROR(IF(VALUE($A618)&lt;100000000,VALUE($A618),1000000000),IFERROR(IF(VALUE(MID($A618,2,20))&lt;100000000,VALUE(MID($A618,2,20)),1000000000),1000000000))+ROW()/100000,"")</f>
        <v/>
      </c>
    </row>
    <row r="619">
      <c r="F619" s="7">
        <f>IF($A619="","",E619*N619/100)</f>
        <v/>
      </c>
      <c r="J619" s="7" t="n"/>
      <c r="K619" s="7">
        <f>IF($A619="","",S619*N619)</f>
        <v/>
      </c>
      <c r="L619" s="7">
        <f>IF($A619="","",N619-K619)</f>
        <v/>
      </c>
      <c r="M619" s="7">
        <f>IF($A619="","",L619-F619)</f>
        <v/>
      </c>
      <c r="N619" s="7" t="n"/>
      <c r="Q619" s="11" t="n"/>
      <c r="S619">
        <f>IF($A619="","",IF($W619=1,Settings!$C$6,Settings!$C$7)*1)</f>
        <v/>
      </c>
      <c r="U619">
        <f>IF($A619="","",IF(COUNTIF($A$2:$A619,$A619)=1,1,0))</f>
        <v/>
      </c>
      <c r="V619">
        <f>IF($U619=1,SUMPRODUCT(--($X$2:$X$3001&lt;$X619))+1,"")</f>
        <v/>
      </c>
      <c r="W619">
        <f>IF($A619="","",IF(OR($T619=TRUE(),$T619="TRUE"),1,0))</f>
        <v/>
      </c>
      <c r="X619">
        <f>IF($U619=1,IFERROR(IF(VALUE($A619)&lt;100000000,VALUE($A619),1000000000),IFERROR(IF(VALUE(MID($A619,2,20))&lt;100000000,VALUE(MID($A619,2,20)),1000000000),1000000000))+ROW()/100000,"")</f>
        <v/>
      </c>
    </row>
    <row r="620">
      <c r="F620" s="7">
        <f>IF($A620="","",E620*N620/100)</f>
        <v/>
      </c>
      <c r="J620" s="7" t="n"/>
      <c r="K620" s="7">
        <f>IF($A620="","",S620*N620)</f>
        <v/>
      </c>
      <c r="L620" s="7">
        <f>IF($A620="","",N620-K620)</f>
        <v/>
      </c>
      <c r="M620" s="7">
        <f>IF($A620="","",L620-F620)</f>
        <v/>
      </c>
      <c r="N620" s="7" t="n"/>
      <c r="Q620" s="11" t="n"/>
      <c r="S620">
        <f>IF($A620="","",IF($W620=1,Settings!$C$6,Settings!$C$7)*1)</f>
        <v/>
      </c>
      <c r="U620">
        <f>IF($A620="","",IF(COUNTIF($A$2:$A620,$A620)=1,1,0))</f>
        <v/>
      </c>
      <c r="V620">
        <f>IF($U620=1,SUMPRODUCT(--($X$2:$X$3001&lt;$X620))+1,"")</f>
        <v/>
      </c>
      <c r="W620">
        <f>IF($A620="","",IF(OR($T620=TRUE(),$T620="TRUE"),1,0))</f>
        <v/>
      </c>
      <c r="X620">
        <f>IF($U620=1,IFERROR(IF(VALUE($A620)&lt;100000000,VALUE($A620),1000000000),IFERROR(IF(VALUE(MID($A620,2,20))&lt;100000000,VALUE(MID($A620,2,20)),1000000000),1000000000))+ROW()/100000,"")</f>
        <v/>
      </c>
    </row>
    <row r="621">
      <c r="F621" s="7">
        <f>IF($A621="","",E621*N621/100)</f>
        <v/>
      </c>
      <c r="J621" s="7" t="n"/>
      <c r="K621" s="7">
        <f>IF($A621="","",S621*N621)</f>
        <v/>
      </c>
      <c r="L621" s="7">
        <f>IF($A621="","",N621-K621)</f>
        <v/>
      </c>
      <c r="M621" s="7">
        <f>IF($A621="","",L621-F621)</f>
        <v/>
      </c>
      <c r="N621" s="7" t="n"/>
      <c r="Q621" s="11" t="n"/>
      <c r="S621">
        <f>IF($A621="","",IF($W621=1,Settings!$C$6,Settings!$C$7)*1)</f>
        <v/>
      </c>
      <c r="U621">
        <f>IF($A621="","",IF(COUNTIF($A$2:$A621,$A621)=1,1,0))</f>
        <v/>
      </c>
      <c r="V621">
        <f>IF($U621=1,SUMPRODUCT(--($X$2:$X$3001&lt;$X621))+1,"")</f>
        <v/>
      </c>
      <c r="W621">
        <f>IF($A621="","",IF(OR($T621=TRUE(),$T621="TRUE"),1,0))</f>
        <v/>
      </c>
      <c r="X621">
        <f>IF($U621=1,IFERROR(IF(VALUE($A621)&lt;100000000,VALUE($A621),1000000000),IFERROR(IF(VALUE(MID($A621,2,20))&lt;100000000,VALUE(MID($A621,2,20)),1000000000),1000000000))+ROW()/100000,"")</f>
        <v/>
      </c>
    </row>
    <row r="622">
      <c r="F622" s="7">
        <f>IF($A622="","",E622*N622/100)</f>
        <v/>
      </c>
      <c r="J622" s="7" t="n"/>
      <c r="K622" s="7">
        <f>IF($A622="","",S622*N622)</f>
        <v/>
      </c>
      <c r="L622" s="7">
        <f>IF($A622="","",N622-K622)</f>
        <v/>
      </c>
      <c r="M622" s="7">
        <f>IF($A622="","",L622-F622)</f>
        <v/>
      </c>
      <c r="N622" s="7" t="n"/>
      <c r="Q622" s="11" t="n"/>
      <c r="S622">
        <f>IF($A622="","",IF($W622=1,Settings!$C$6,Settings!$C$7)*1)</f>
        <v/>
      </c>
      <c r="U622">
        <f>IF($A622="","",IF(COUNTIF($A$2:$A622,$A622)=1,1,0))</f>
        <v/>
      </c>
      <c r="V622">
        <f>IF($U622=1,SUMPRODUCT(--($X$2:$X$3001&lt;$X622))+1,"")</f>
        <v/>
      </c>
      <c r="W622">
        <f>IF($A622="","",IF(OR($T622=TRUE(),$T622="TRUE"),1,0))</f>
        <v/>
      </c>
      <c r="X622">
        <f>IF($U622=1,IFERROR(IF(VALUE($A622)&lt;100000000,VALUE($A622),1000000000),IFERROR(IF(VALUE(MID($A622,2,20))&lt;100000000,VALUE(MID($A622,2,20)),1000000000),1000000000))+ROW()/100000,"")</f>
        <v/>
      </c>
    </row>
    <row r="623">
      <c r="F623" s="7">
        <f>IF($A623="","",E623*N623/100)</f>
        <v/>
      </c>
      <c r="J623" s="7" t="n"/>
      <c r="K623" s="7">
        <f>IF($A623="","",S623*N623)</f>
        <v/>
      </c>
      <c r="L623" s="7">
        <f>IF($A623="","",N623-K623)</f>
        <v/>
      </c>
      <c r="M623" s="7">
        <f>IF($A623="","",L623-F623)</f>
        <v/>
      </c>
      <c r="N623" s="7" t="n"/>
      <c r="Q623" s="11" t="n"/>
      <c r="S623">
        <f>IF($A623="","",IF($W623=1,Settings!$C$6,Settings!$C$7)*1)</f>
        <v/>
      </c>
      <c r="U623">
        <f>IF($A623="","",IF(COUNTIF($A$2:$A623,$A623)=1,1,0))</f>
        <v/>
      </c>
      <c r="V623">
        <f>IF($U623=1,SUMPRODUCT(--($X$2:$X$3001&lt;$X623))+1,"")</f>
        <v/>
      </c>
      <c r="W623">
        <f>IF($A623="","",IF(OR($T623=TRUE(),$T623="TRUE"),1,0))</f>
        <v/>
      </c>
      <c r="X623">
        <f>IF($U623=1,IFERROR(IF(VALUE($A623)&lt;100000000,VALUE($A623),1000000000),IFERROR(IF(VALUE(MID($A623,2,20))&lt;100000000,VALUE(MID($A623,2,20)),1000000000),1000000000))+ROW()/100000,"")</f>
        <v/>
      </c>
    </row>
    <row r="624">
      <c r="F624" s="7">
        <f>IF($A624="","",E624*N624/100)</f>
        <v/>
      </c>
      <c r="J624" s="7" t="n"/>
      <c r="K624" s="7">
        <f>IF($A624="","",S624*N624)</f>
        <v/>
      </c>
      <c r="L624" s="7">
        <f>IF($A624="","",N624-K624)</f>
        <v/>
      </c>
      <c r="M624" s="7">
        <f>IF($A624="","",L624-F624)</f>
        <v/>
      </c>
      <c r="N624" s="7" t="n"/>
      <c r="Q624" s="11" t="n"/>
      <c r="S624">
        <f>IF($A624="","",IF($W624=1,Settings!$C$6,Settings!$C$7)*1)</f>
        <v/>
      </c>
      <c r="U624">
        <f>IF($A624="","",IF(COUNTIF($A$2:$A624,$A624)=1,1,0))</f>
        <v/>
      </c>
      <c r="V624">
        <f>IF($U624=1,SUMPRODUCT(--($X$2:$X$3001&lt;$X624))+1,"")</f>
        <v/>
      </c>
      <c r="W624">
        <f>IF($A624="","",IF(OR($T624=TRUE(),$T624="TRUE"),1,0))</f>
        <v/>
      </c>
      <c r="X624">
        <f>IF($U624=1,IFERROR(IF(VALUE($A624)&lt;100000000,VALUE($A624),1000000000),IFERROR(IF(VALUE(MID($A624,2,20))&lt;100000000,VALUE(MID($A624,2,20)),1000000000),1000000000))+ROW()/100000,"")</f>
        <v/>
      </c>
    </row>
    <row r="625">
      <c r="F625" s="7">
        <f>IF($A625="","",E625*N625/100)</f>
        <v/>
      </c>
      <c r="J625" s="7" t="n"/>
      <c r="K625" s="7">
        <f>IF($A625="","",S625*N625)</f>
        <v/>
      </c>
      <c r="L625" s="7">
        <f>IF($A625="","",N625-K625)</f>
        <v/>
      </c>
      <c r="M625" s="7">
        <f>IF($A625="","",L625-F625)</f>
        <v/>
      </c>
      <c r="N625" s="7" t="n"/>
      <c r="Q625" s="11" t="n"/>
      <c r="S625">
        <f>IF($A625="","",IF($W625=1,Settings!$C$6,Settings!$C$7)*1)</f>
        <v/>
      </c>
      <c r="U625">
        <f>IF($A625="","",IF(COUNTIF($A$2:$A625,$A625)=1,1,0))</f>
        <v/>
      </c>
      <c r="V625">
        <f>IF($U625=1,SUMPRODUCT(--($X$2:$X$3001&lt;$X625))+1,"")</f>
        <v/>
      </c>
      <c r="W625">
        <f>IF($A625="","",IF(OR($T625=TRUE(),$T625="TRUE"),1,0))</f>
        <v/>
      </c>
      <c r="X625">
        <f>IF($U625=1,IFERROR(IF(VALUE($A625)&lt;100000000,VALUE($A625),1000000000),IFERROR(IF(VALUE(MID($A625,2,20))&lt;100000000,VALUE(MID($A625,2,20)),1000000000),1000000000))+ROW()/100000,"")</f>
        <v/>
      </c>
    </row>
    <row r="626">
      <c r="F626" s="7">
        <f>IF($A626="","",E626*N626/100)</f>
        <v/>
      </c>
      <c r="J626" s="7" t="n"/>
      <c r="K626" s="7">
        <f>IF($A626="","",S626*N626)</f>
        <v/>
      </c>
      <c r="L626" s="7">
        <f>IF($A626="","",N626-K626)</f>
        <v/>
      </c>
      <c r="M626" s="7">
        <f>IF($A626="","",L626-F626)</f>
        <v/>
      </c>
      <c r="N626" s="7" t="n"/>
      <c r="Q626" s="11" t="n"/>
      <c r="S626">
        <f>IF($A626="","",IF($W626=1,Settings!$C$6,Settings!$C$7)*1)</f>
        <v/>
      </c>
      <c r="U626">
        <f>IF($A626="","",IF(COUNTIF($A$2:$A626,$A626)=1,1,0))</f>
        <v/>
      </c>
      <c r="V626">
        <f>IF($U626=1,SUMPRODUCT(--($X$2:$X$3001&lt;$X626))+1,"")</f>
        <v/>
      </c>
      <c r="W626">
        <f>IF($A626="","",IF(OR($T626=TRUE(),$T626="TRUE"),1,0))</f>
        <v/>
      </c>
      <c r="X626">
        <f>IF($U626=1,IFERROR(IF(VALUE($A626)&lt;100000000,VALUE($A626),1000000000),IFERROR(IF(VALUE(MID($A626,2,20))&lt;100000000,VALUE(MID($A626,2,20)),1000000000),1000000000))+ROW()/100000,"")</f>
        <v/>
      </c>
    </row>
    <row r="627">
      <c r="F627" s="7">
        <f>IF($A627="","",E627*N627/100)</f>
        <v/>
      </c>
      <c r="J627" s="7" t="n"/>
      <c r="K627" s="7">
        <f>IF($A627="","",S627*N627)</f>
        <v/>
      </c>
      <c r="L627" s="7">
        <f>IF($A627="","",N627-K627)</f>
        <v/>
      </c>
      <c r="M627" s="7">
        <f>IF($A627="","",L627-F627)</f>
        <v/>
      </c>
      <c r="N627" s="7" t="n"/>
      <c r="Q627" s="11" t="n"/>
      <c r="S627">
        <f>IF($A627="","",IF($W627=1,Settings!$C$6,Settings!$C$7)*1)</f>
        <v/>
      </c>
      <c r="U627">
        <f>IF($A627="","",IF(COUNTIF($A$2:$A627,$A627)=1,1,0))</f>
        <v/>
      </c>
      <c r="V627">
        <f>IF($U627=1,SUMPRODUCT(--($X$2:$X$3001&lt;$X627))+1,"")</f>
        <v/>
      </c>
      <c r="W627">
        <f>IF($A627="","",IF(OR($T627=TRUE(),$T627="TRUE"),1,0))</f>
        <v/>
      </c>
      <c r="X627">
        <f>IF($U627=1,IFERROR(IF(VALUE($A627)&lt;100000000,VALUE($A627),1000000000),IFERROR(IF(VALUE(MID($A627,2,20))&lt;100000000,VALUE(MID($A627,2,20)),1000000000),1000000000))+ROW()/100000,"")</f>
        <v/>
      </c>
    </row>
    <row r="628">
      <c r="F628" s="7">
        <f>IF($A628="","",E628*N628/100)</f>
        <v/>
      </c>
      <c r="J628" s="7" t="n"/>
      <c r="K628" s="7">
        <f>IF($A628="","",S628*N628)</f>
        <v/>
      </c>
      <c r="L628" s="7">
        <f>IF($A628="","",N628-K628)</f>
        <v/>
      </c>
      <c r="M628" s="7">
        <f>IF($A628="","",L628-F628)</f>
        <v/>
      </c>
      <c r="N628" s="7" t="n"/>
      <c r="Q628" s="11" t="n"/>
      <c r="S628">
        <f>IF($A628="","",IF($W628=1,Settings!$C$6,Settings!$C$7)*1)</f>
        <v/>
      </c>
      <c r="U628">
        <f>IF($A628="","",IF(COUNTIF($A$2:$A628,$A628)=1,1,0))</f>
        <v/>
      </c>
      <c r="V628">
        <f>IF($U628=1,SUMPRODUCT(--($X$2:$X$3001&lt;$X628))+1,"")</f>
        <v/>
      </c>
      <c r="W628">
        <f>IF($A628="","",IF(OR($T628=TRUE(),$T628="TRUE"),1,0))</f>
        <v/>
      </c>
      <c r="X628">
        <f>IF($U628=1,IFERROR(IF(VALUE($A628)&lt;100000000,VALUE($A628),1000000000),IFERROR(IF(VALUE(MID($A628,2,20))&lt;100000000,VALUE(MID($A628,2,20)),1000000000),1000000000))+ROW()/100000,"")</f>
        <v/>
      </c>
    </row>
    <row r="629">
      <c r="F629" s="7">
        <f>IF($A629="","",E629*N629/100)</f>
        <v/>
      </c>
      <c r="J629" s="7" t="n"/>
      <c r="K629" s="7">
        <f>IF($A629="","",S629*N629)</f>
        <v/>
      </c>
      <c r="L629" s="7">
        <f>IF($A629="","",N629-K629)</f>
        <v/>
      </c>
      <c r="M629" s="7">
        <f>IF($A629="","",L629-F629)</f>
        <v/>
      </c>
      <c r="N629" s="7" t="n"/>
      <c r="Q629" s="11" t="n"/>
      <c r="S629">
        <f>IF($A629="","",IF($W629=1,Settings!$C$6,Settings!$C$7)*1)</f>
        <v/>
      </c>
      <c r="U629">
        <f>IF($A629="","",IF(COUNTIF($A$2:$A629,$A629)=1,1,0))</f>
        <v/>
      </c>
      <c r="V629">
        <f>IF($U629=1,SUMPRODUCT(--($X$2:$X$3001&lt;$X629))+1,"")</f>
        <v/>
      </c>
      <c r="W629">
        <f>IF($A629="","",IF(OR($T629=TRUE(),$T629="TRUE"),1,0))</f>
        <v/>
      </c>
      <c r="X629">
        <f>IF($U629=1,IFERROR(IF(VALUE($A629)&lt;100000000,VALUE($A629),1000000000),IFERROR(IF(VALUE(MID($A629,2,20))&lt;100000000,VALUE(MID($A629,2,20)),1000000000),1000000000))+ROW()/100000,"")</f>
        <v/>
      </c>
    </row>
    <row r="630">
      <c r="F630" s="7">
        <f>IF($A630="","",E630*N630/100)</f>
        <v/>
      </c>
      <c r="J630" s="7" t="n"/>
      <c r="K630" s="7">
        <f>IF($A630="","",S630*N630)</f>
        <v/>
      </c>
      <c r="L630" s="7">
        <f>IF($A630="","",N630-K630)</f>
        <v/>
      </c>
      <c r="M630" s="7">
        <f>IF($A630="","",L630-F630)</f>
        <v/>
      </c>
      <c r="N630" s="7" t="n"/>
      <c r="Q630" s="11" t="n"/>
      <c r="S630">
        <f>IF($A630="","",IF($W630=1,Settings!$C$6,Settings!$C$7)*1)</f>
        <v/>
      </c>
      <c r="U630">
        <f>IF($A630="","",IF(COUNTIF($A$2:$A630,$A630)=1,1,0))</f>
        <v/>
      </c>
      <c r="V630">
        <f>IF($U630=1,SUMPRODUCT(--($X$2:$X$3001&lt;$X630))+1,"")</f>
        <v/>
      </c>
      <c r="W630">
        <f>IF($A630="","",IF(OR($T630=TRUE(),$T630="TRUE"),1,0))</f>
        <v/>
      </c>
      <c r="X630">
        <f>IF($U630=1,IFERROR(IF(VALUE($A630)&lt;100000000,VALUE($A630),1000000000),IFERROR(IF(VALUE(MID($A630,2,20))&lt;100000000,VALUE(MID($A630,2,20)),1000000000),1000000000))+ROW()/100000,"")</f>
        <v/>
      </c>
    </row>
    <row r="631">
      <c r="F631" s="7">
        <f>IF($A631="","",E631*N631/100)</f>
        <v/>
      </c>
      <c r="J631" s="7" t="n"/>
      <c r="K631" s="7">
        <f>IF($A631="","",S631*N631)</f>
        <v/>
      </c>
      <c r="L631" s="7">
        <f>IF($A631="","",N631-K631)</f>
        <v/>
      </c>
      <c r="M631" s="7">
        <f>IF($A631="","",L631-F631)</f>
        <v/>
      </c>
      <c r="N631" s="7" t="n"/>
      <c r="Q631" s="11" t="n"/>
      <c r="S631">
        <f>IF($A631="","",IF($W631=1,Settings!$C$6,Settings!$C$7)*1)</f>
        <v/>
      </c>
      <c r="U631">
        <f>IF($A631="","",IF(COUNTIF($A$2:$A631,$A631)=1,1,0))</f>
        <v/>
      </c>
      <c r="V631">
        <f>IF($U631=1,SUMPRODUCT(--($X$2:$X$3001&lt;$X631))+1,"")</f>
        <v/>
      </c>
      <c r="W631">
        <f>IF($A631="","",IF(OR($T631=TRUE(),$T631="TRUE"),1,0))</f>
        <v/>
      </c>
      <c r="X631">
        <f>IF($U631=1,IFERROR(IF(VALUE($A631)&lt;100000000,VALUE($A631),1000000000),IFERROR(IF(VALUE(MID($A631,2,20))&lt;100000000,VALUE(MID($A631,2,20)),1000000000),1000000000))+ROW()/100000,"")</f>
        <v/>
      </c>
    </row>
    <row r="632">
      <c r="F632" s="7">
        <f>IF($A632="","",E632*N632/100)</f>
        <v/>
      </c>
      <c r="J632" s="7" t="n"/>
      <c r="K632" s="7">
        <f>IF($A632="","",S632*N632)</f>
        <v/>
      </c>
      <c r="L632" s="7">
        <f>IF($A632="","",N632-K632)</f>
        <v/>
      </c>
      <c r="M632" s="7">
        <f>IF($A632="","",L632-F632)</f>
        <v/>
      </c>
      <c r="N632" s="7" t="n"/>
      <c r="Q632" s="11" t="n"/>
      <c r="S632">
        <f>IF($A632="","",IF($W632=1,Settings!$C$6,Settings!$C$7)*1)</f>
        <v/>
      </c>
      <c r="U632">
        <f>IF($A632="","",IF(COUNTIF($A$2:$A632,$A632)=1,1,0))</f>
        <v/>
      </c>
      <c r="V632">
        <f>IF($U632=1,SUMPRODUCT(--($X$2:$X$3001&lt;$X632))+1,"")</f>
        <v/>
      </c>
      <c r="W632">
        <f>IF($A632="","",IF(OR($T632=TRUE(),$T632="TRUE"),1,0))</f>
        <v/>
      </c>
      <c r="X632">
        <f>IF($U632=1,IFERROR(IF(VALUE($A632)&lt;100000000,VALUE($A632),1000000000),IFERROR(IF(VALUE(MID($A632,2,20))&lt;100000000,VALUE(MID($A632,2,20)),1000000000),1000000000))+ROW()/100000,"")</f>
        <v/>
      </c>
    </row>
    <row r="633">
      <c r="F633" s="7">
        <f>IF($A633="","",E633*N633/100)</f>
        <v/>
      </c>
      <c r="J633" s="7" t="n"/>
      <c r="K633" s="7">
        <f>IF($A633="","",S633*N633)</f>
        <v/>
      </c>
      <c r="L633" s="7">
        <f>IF($A633="","",N633-K633)</f>
        <v/>
      </c>
      <c r="M633" s="7">
        <f>IF($A633="","",L633-F633)</f>
        <v/>
      </c>
      <c r="N633" s="7" t="n"/>
      <c r="Q633" s="11" t="n"/>
      <c r="S633">
        <f>IF($A633="","",IF($W633=1,Settings!$C$6,Settings!$C$7)*1)</f>
        <v/>
      </c>
      <c r="U633">
        <f>IF($A633="","",IF(COUNTIF($A$2:$A633,$A633)=1,1,0))</f>
        <v/>
      </c>
      <c r="V633">
        <f>IF($U633=1,SUMPRODUCT(--($X$2:$X$3001&lt;$X633))+1,"")</f>
        <v/>
      </c>
      <c r="W633">
        <f>IF($A633="","",IF(OR($T633=TRUE(),$T633="TRUE"),1,0))</f>
        <v/>
      </c>
      <c r="X633">
        <f>IF($U633=1,IFERROR(IF(VALUE($A633)&lt;100000000,VALUE($A633),1000000000),IFERROR(IF(VALUE(MID($A633,2,20))&lt;100000000,VALUE(MID($A633,2,20)),1000000000),1000000000))+ROW()/100000,"")</f>
        <v/>
      </c>
    </row>
    <row r="634">
      <c r="F634" s="7">
        <f>IF($A634="","",E634*N634/100)</f>
        <v/>
      </c>
      <c r="J634" s="7" t="n"/>
      <c r="K634" s="7">
        <f>IF($A634="","",S634*N634)</f>
        <v/>
      </c>
      <c r="L634" s="7">
        <f>IF($A634="","",N634-K634)</f>
        <v/>
      </c>
      <c r="M634" s="7">
        <f>IF($A634="","",L634-F634)</f>
        <v/>
      </c>
      <c r="N634" s="7" t="n"/>
      <c r="Q634" s="11" t="n"/>
      <c r="S634">
        <f>IF($A634="","",IF($W634=1,Settings!$C$6,Settings!$C$7)*1)</f>
        <v/>
      </c>
      <c r="U634">
        <f>IF($A634="","",IF(COUNTIF($A$2:$A634,$A634)=1,1,0))</f>
        <v/>
      </c>
      <c r="V634">
        <f>IF($U634=1,SUMPRODUCT(--($X$2:$X$3001&lt;$X634))+1,"")</f>
        <v/>
      </c>
      <c r="W634">
        <f>IF($A634="","",IF(OR($T634=TRUE(),$T634="TRUE"),1,0))</f>
        <v/>
      </c>
      <c r="X634">
        <f>IF($U634=1,IFERROR(IF(VALUE($A634)&lt;100000000,VALUE($A634),1000000000),IFERROR(IF(VALUE(MID($A634,2,20))&lt;100000000,VALUE(MID($A634,2,20)),1000000000),1000000000))+ROW()/100000,"")</f>
        <v/>
      </c>
    </row>
    <row r="635">
      <c r="F635" s="7">
        <f>IF($A635="","",E635*N635/100)</f>
        <v/>
      </c>
      <c r="J635" s="7" t="n"/>
      <c r="K635" s="7">
        <f>IF($A635="","",S635*N635)</f>
        <v/>
      </c>
      <c r="L635" s="7">
        <f>IF($A635="","",N635-K635)</f>
        <v/>
      </c>
      <c r="M635" s="7">
        <f>IF($A635="","",L635-F635)</f>
        <v/>
      </c>
      <c r="N635" s="7" t="n"/>
      <c r="Q635" s="11" t="n"/>
      <c r="S635">
        <f>IF($A635="","",IF($W635=1,Settings!$C$6,Settings!$C$7)*1)</f>
        <v/>
      </c>
      <c r="U635">
        <f>IF($A635="","",IF(COUNTIF($A$2:$A635,$A635)=1,1,0))</f>
        <v/>
      </c>
      <c r="V635">
        <f>IF($U635=1,SUMPRODUCT(--($X$2:$X$3001&lt;$X635))+1,"")</f>
        <v/>
      </c>
      <c r="W635">
        <f>IF($A635="","",IF(OR($T635=TRUE(),$T635="TRUE"),1,0))</f>
        <v/>
      </c>
      <c r="X635">
        <f>IF($U635=1,IFERROR(IF(VALUE($A635)&lt;100000000,VALUE($A635),1000000000),IFERROR(IF(VALUE(MID($A635,2,20))&lt;100000000,VALUE(MID($A635,2,20)),1000000000),1000000000))+ROW()/100000,"")</f>
        <v/>
      </c>
    </row>
    <row r="636">
      <c r="F636" s="7">
        <f>IF($A636="","",E636*N636/100)</f>
        <v/>
      </c>
      <c r="J636" s="7" t="n"/>
      <c r="K636" s="7">
        <f>IF($A636="","",S636*N636)</f>
        <v/>
      </c>
      <c r="L636" s="7">
        <f>IF($A636="","",N636-K636)</f>
        <v/>
      </c>
      <c r="M636" s="7">
        <f>IF($A636="","",L636-F636)</f>
        <v/>
      </c>
      <c r="N636" s="7" t="n"/>
      <c r="Q636" s="11" t="n"/>
      <c r="S636">
        <f>IF($A636="","",IF($W636=1,Settings!$C$6,Settings!$C$7)*1)</f>
        <v/>
      </c>
      <c r="U636">
        <f>IF($A636="","",IF(COUNTIF($A$2:$A636,$A636)=1,1,0))</f>
        <v/>
      </c>
      <c r="V636">
        <f>IF($U636=1,SUMPRODUCT(--($X$2:$X$3001&lt;$X636))+1,"")</f>
        <v/>
      </c>
      <c r="W636">
        <f>IF($A636="","",IF(OR($T636=TRUE(),$T636="TRUE"),1,0))</f>
        <v/>
      </c>
      <c r="X636">
        <f>IF($U636=1,IFERROR(IF(VALUE($A636)&lt;100000000,VALUE($A636),1000000000),IFERROR(IF(VALUE(MID($A636,2,20))&lt;100000000,VALUE(MID($A636,2,20)),1000000000),1000000000))+ROW()/100000,"")</f>
        <v/>
      </c>
    </row>
    <row r="637">
      <c r="F637" s="7">
        <f>IF($A637="","",E637*N637/100)</f>
        <v/>
      </c>
      <c r="J637" s="7" t="n"/>
      <c r="K637" s="7">
        <f>IF($A637="","",S637*N637)</f>
        <v/>
      </c>
      <c r="L637" s="7">
        <f>IF($A637="","",N637-K637)</f>
        <v/>
      </c>
      <c r="M637" s="7">
        <f>IF($A637="","",L637-F637)</f>
        <v/>
      </c>
      <c r="N637" s="7" t="n"/>
      <c r="Q637" s="11" t="n"/>
      <c r="S637">
        <f>IF($A637="","",IF($W637=1,Settings!$C$6,Settings!$C$7)*1)</f>
        <v/>
      </c>
      <c r="U637">
        <f>IF($A637="","",IF(COUNTIF($A$2:$A637,$A637)=1,1,0))</f>
        <v/>
      </c>
      <c r="V637">
        <f>IF($U637=1,SUMPRODUCT(--($X$2:$X$3001&lt;$X637))+1,"")</f>
        <v/>
      </c>
      <c r="W637">
        <f>IF($A637="","",IF(OR($T637=TRUE(),$T637="TRUE"),1,0))</f>
        <v/>
      </c>
      <c r="X637">
        <f>IF($U637=1,IFERROR(IF(VALUE($A637)&lt;100000000,VALUE($A637),1000000000),IFERROR(IF(VALUE(MID($A637,2,20))&lt;100000000,VALUE(MID($A637,2,20)),1000000000),1000000000))+ROW()/100000,"")</f>
        <v/>
      </c>
    </row>
    <row r="638">
      <c r="F638" s="7">
        <f>IF($A638="","",E638*N638/100)</f>
        <v/>
      </c>
      <c r="J638" s="7" t="n"/>
      <c r="K638" s="7">
        <f>IF($A638="","",S638*N638)</f>
        <v/>
      </c>
      <c r="L638" s="7">
        <f>IF($A638="","",N638-K638)</f>
        <v/>
      </c>
      <c r="M638" s="7">
        <f>IF($A638="","",L638-F638)</f>
        <v/>
      </c>
      <c r="N638" s="7" t="n"/>
      <c r="Q638" s="11" t="n"/>
      <c r="S638">
        <f>IF($A638="","",IF($W638=1,Settings!$C$6,Settings!$C$7)*1)</f>
        <v/>
      </c>
      <c r="U638">
        <f>IF($A638="","",IF(COUNTIF($A$2:$A638,$A638)=1,1,0))</f>
        <v/>
      </c>
      <c r="V638">
        <f>IF($U638=1,SUMPRODUCT(--($X$2:$X$3001&lt;$X638))+1,"")</f>
        <v/>
      </c>
      <c r="W638">
        <f>IF($A638="","",IF(OR($T638=TRUE(),$T638="TRUE"),1,0))</f>
        <v/>
      </c>
      <c r="X638">
        <f>IF($U638=1,IFERROR(IF(VALUE($A638)&lt;100000000,VALUE($A638),1000000000),IFERROR(IF(VALUE(MID($A638,2,20))&lt;100000000,VALUE(MID($A638,2,20)),1000000000),1000000000))+ROW()/100000,"")</f>
        <v/>
      </c>
    </row>
    <row r="639">
      <c r="F639" s="7">
        <f>IF($A639="","",E639*N639/100)</f>
        <v/>
      </c>
      <c r="J639" s="7" t="n"/>
      <c r="K639" s="7">
        <f>IF($A639="","",S639*N639)</f>
        <v/>
      </c>
      <c r="L639" s="7">
        <f>IF($A639="","",N639-K639)</f>
        <v/>
      </c>
      <c r="M639" s="7">
        <f>IF($A639="","",L639-F639)</f>
        <v/>
      </c>
      <c r="N639" s="7" t="n"/>
      <c r="Q639" s="11" t="n"/>
      <c r="S639">
        <f>IF($A639="","",IF($W639=1,Settings!$C$6,Settings!$C$7)*1)</f>
        <v/>
      </c>
      <c r="U639">
        <f>IF($A639="","",IF(COUNTIF($A$2:$A639,$A639)=1,1,0))</f>
        <v/>
      </c>
      <c r="V639">
        <f>IF($U639=1,SUMPRODUCT(--($X$2:$X$3001&lt;$X639))+1,"")</f>
        <v/>
      </c>
      <c r="W639">
        <f>IF($A639="","",IF(OR($T639=TRUE(),$T639="TRUE"),1,0))</f>
        <v/>
      </c>
      <c r="X639">
        <f>IF($U639=1,IFERROR(IF(VALUE($A639)&lt;100000000,VALUE($A639),1000000000),IFERROR(IF(VALUE(MID($A639,2,20))&lt;100000000,VALUE(MID($A639,2,20)),1000000000),1000000000))+ROW()/100000,"")</f>
        <v/>
      </c>
    </row>
    <row r="640">
      <c r="F640" s="7">
        <f>IF($A640="","",E640*N640/100)</f>
        <v/>
      </c>
      <c r="J640" s="7" t="n"/>
      <c r="K640" s="7">
        <f>IF($A640="","",S640*N640)</f>
        <v/>
      </c>
      <c r="L640" s="7">
        <f>IF($A640="","",N640-K640)</f>
        <v/>
      </c>
      <c r="M640" s="7">
        <f>IF($A640="","",L640-F640)</f>
        <v/>
      </c>
      <c r="N640" s="7" t="n"/>
      <c r="Q640" s="11" t="n"/>
      <c r="S640">
        <f>IF($A640="","",IF($W640=1,Settings!$C$6,Settings!$C$7)*1)</f>
        <v/>
      </c>
      <c r="U640">
        <f>IF($A640="","",IF(COUNTIF($A$2:$A640,$A640)=1,1,0))</f>
        <v/>
      </c>
      <c r="V640">
        <f>IF($U640=1,SUMPRODUCT(--($X$2:$X$3001&lt;$X640))+1,"")</f>
        <v/>
      </c>
      <c r="W640">
        <f>IF($A640="","",IF(OR($T640=TRUE(),$T640="TRUE"),1,0))</f>
        <v/>
      </c>
      <c r="X640">
        <f>IF($U640=1,IFERROR(IF(VALUE($A640)&lt;100000000,VALUE($A640),1000000000),IFERROR(IF(VALUE(MID($A640,2,20))&lt;100000000,VALUE(MID($A640,2,20)),1000000000),1000000000))+ROW()/100000,"")</f>
        <v/>
      </c>
    </row>
    <row r="641">
      <c r="F641" s="7">
        <f>IF($A641="","",E641*N641/100)</f>
        <v/>
      </c>
      <c r="J641" s="7" t="n"/>
      <c r="K641" s="7">
        <f>IF($A641="","",S641*N641)</f>
        <v/>
      </c>
      <c r="L641" s="7">
        <f>IF($A641="","",N641-K641)</f>
        <v/>
      </c>
      <c r="M641" s="7">
        <f>IF($A641="","",L641-F641)</f>
        <v/>
      </c>
      <c r="N641" s="7" t="n"/>
      <c r="Q641" s="11" t="n"/>
      <c r="S641">
        <f>IF($A641="","",IF($W641=1,Settings!$C$6,Settings!$C$7)*1)</f>
        <v/>
      </c>
      <c r="U641">
        <f>IF($A641="","",IF(COUNTIF($A$2:$A641,$A641)=1,1,0))</f>
        <v/>
      </c>
      <c r="V641">
        <f>IF($U641=1,SUMPRODUCT(--($X$2:$X$3001&lt;$X641))+1,"")</f>
        <v/>
      </c>
      <c r="W641">
        <f>IF($A641="","",IF(OR($T641=TRUE(),$T641="TRUE"),1,0))</f>
        <v/>
      </c>
      <c r="X641">
        <f>IF($U641=1,IFERROR(IF(VALUE($A641)&lt;100000000,VALUE($A641),1000000000),IFERROR(IF(VALUE(MID($A641,2,20))&lt;100000000,VALUE(MID($A641,2,20)),1000000000),1000000000))+ROW()/100000,"")</f>
        <v/>
      </c>
    </row>
    <row r="642">
      <c r="F642" s="7">
        <f>IF($A642="","",E642*N642/100)</f>
        <v/>
      </c>
      <c r="J642" s="7" t="n"/>
      <c r="K642" s="7">
        <f>IF($A642="","",S642*N642)</f>
        <v/>
      </c>
      <c r="L642" s="7">
        <f>IF($A642="","",N642-K642)</f>
        <v/>
      </c>
      <c r="M642" s="7">
        <f>IF($A642="","",L642-F642)</f>
        <v/>
      </c>
      <c r="N642" s="7" t="n"/>
      <c r="Q642" s="11" t="n"/>
      <c r="S642">
        <f>IF($A642="","",IF($W642=1,Settings!$C$6,Settings!$C$7)*1)</f>
        <v/>
      </c>
      <c r="U642">
        <f>IF($A642="","",IF(COUNTIF($A$2:$A642,$A642)=1,1,0))</f>
        <v/>
      </c>
      <c r="V642">
        <f>IF($U642=1,SUMPRODUCT(--($X$2:$X$3001&lt;$X642))+1,"")</f>
        <v/>
      </c>
      <c r="W642">
        <f>IF($A642="","",IF(OR($T642=TRUE(),$T642="TRUE"),1,0))</f>
        <v/>
      </c>
      <c r="X642">
        <f>IF($U642=1,IFERROR(IF(VALUE($A642)&lt;100000000,VALUE($A642),1000000000),IFERROR(IF(VALUE(MID($A642,2,20))&lt;100000000,VALUE(MID($A642,2,20)),1000000000),1000000000))+ROW()/100000,"")</f>
        <v/>
      </c>
    </row>
    <row r="643">
      <c r="F643" s="7">
        <f>IF($A643="","",E643*N643/100)</f>
        <v/>
      </c>
      <c r="J643" s="7" t="n"/>
      <c r="K643" s="7">
        <f>IF($A643="","",S643*N643)</f>
        <v/>
      </c>
      <c r="L643" s="7">
        <f>IF($A643="","",N643-K643)</f>
        <v/>
      </c>
      <c r="M643" s="7">
        <f>IF($A643="","",L643-F643)</f>
        <v/>
      </c>
      <c r="N643" s="7" t="n"/>
      <c r="Q643" s="11" t="n"/>
      <c r="S643">
        <f>IF($A643="","",IF($W643=1,Settings!$C$6,Settings!$C$7)*1)</f>
        <v/>
      </c>
      <c r="U643">
        <f>IF($A643="","",IF(COUNTIF($A$2:$A643,$A643)=1,1,0))</f>
        <v/>
      </c>
      <c r="V643">
        <f>IF($U643=1,SUMPRODUCT(--($X$2:$X$3001&lt;$X643))+1,"")</f>
        <v/>
      </c>
      <c r="W643">
        <f>IF($A643="","",IF(OR($T643=TRUE(),$T643="TRUE"),1,0))</f>
        <v/>
      </c>
      <c r="X643">
        <f>IF($U643=1,IFERROR(IF(VALUE($A643)&lt;100000000,VALUE($A643),1000000000),IFERROR(IF(VALUE(MID($A643,2,20))&lt;100000000,VALUE(MID($A643,2,20)),1000000000),1000000000))+ROW()/100000,"")</f>
        <v/>
      </c>
    </row>
    <row r="644">
      <c r="F644" s="7">
        <f>IF($A644="","",E644*N644/100)</f>
        <v/>
      </c>
      <c r="J644" s="7" t="n"/>
      <c r="K644" s="7">
        <f>IF($A644="","",S644*N644)</f>
        <v/>
      </c>
      <c r="L644" s="7">
        <f>IF($A644="","",N644-K644)</f>
        <v/>
      </c>
      <c r="M644" s="7">
        <f>IF($A644="","",L644-F644)</f>
        <v/>
      </c>
      <c r="N644" s="7" t="n"/>
      <c r="Q644" s="11" t="n"/>
      <c r="S644">
        <f>IF($A644="","",IF($W644=1,Settings!$C$6,Settings!$C$7)*1)</f>
        <v/>
      </c>
      <c r="U644">
        <f>IF($A644="","",IF(COUNTIF($A$2:$A644,$A644)=1,1,0))</f>
        <v/>
      </c>
      <c r="V644">
        <f>IF($U644=1,SUMPRODUCT(--($X$2:$X$3001&lt;$X644))+1,"")</f>
        <v/>
      </c>
      <c r="W644">
        <f>IF($A644="","",IF(OR($T644=TRUE(),$T644="TRUE"),1,0))</f>
        <v/>
      </c>
      <c r="X644">
        <f>IF($U644=1,IFERROR(IF(VALUE($A644)&lt;100000000,VALUE($A644),1000000000),IFERROR(IF(VALUE(MID($A644,2,20))&lt;100000000,VALUE(MID($A644,2,20)),1000000000),1000000000))+ROW()/100000,"")</f>
        <v/>
      </c>
    </row>
    <row r="645">
      <c r="F645" s="7">
        <f>IF($A645="","",E645*N645/100)</f>
        <v/>
      </c>
      <c r="J645" s="7" t="n"/>
      <c r="K645" s="7">
        <f>IF($A645="","",S645*N645)</f>
        <v/>
      </c>
      <c r="L645" s="7">
        <f>IF($A645="","",N645-K645)</f>
        <v/>
      </c>
      <c r="M645" s="7">
        <f>IF($A645="","",L645-F645)</f>
        <v/>
      </c>
      <c r="N645" s="7" t="n"/>
      <c r="Q645" s="11" t="n"/>
      <c r="S645">
        <f>IF($A645="","",IF($W645=1,Settings!$C$6,Settings!$C$7)*1)</f>
        <v/>
      </c>
      <c r="U645">
        <f>IF($A645="","",IF(COUNTIF($A$2:$A645,$A645)=1,1,0))</f>
        <v/>
      </c>
      <c r="V645">
        <f>IF($U645=1,SUMPRODUCT(--($X$2:$X$3001&lt;$X645))+1,"")</f>
        <v/>
      </c>
      <c r="W645">
        <f>IF($A645="","",IF(OR($T645=TRUE(),$T645="TRUE"),1,0))</f>
        <v/>
      </c>
      <c r="X645">
        <f>IF($U645=1,IFERROR(IF(VALUE($A645)&lt;100000000,VALUE($A645),1000000000),IFERROR(IF(VALUE(MID($A645,2,20))&lt;100000000,VALUE(MID($A645,2,20)),1000000000),1000000000))+ROW()/100000,"")</f>
        <v/>
      </c>
    </row>
    <row r="646">
      <c r="F646" s="7">
        <f>IF($A646="","",E646*N646/100)</f>
        <v/>
      </c>
      <c r="J646" s="7" t="n"/>
      <c r="K646" s="7">
        <f>IF($A646="","",S646*N646)</f>
        <v/>
      </c>
      <c r="L646" s="7">
        <f>IF($A646="","",N646-K646)</f>
        <v/>
      </c>
      <c r="M646" s="7">
        <f>IF($A646="","",L646-F646)</f>
        <v/>
      </c>
      <c r="N646" s="7" t="n"/>
      <c r="Q646" s="11" t="n"/>
      <c r="S646">
        <f>IF($A646="","",IF($W646=1,Settings!$C$6,Settings!$C$7)*1)</f>
        <v/>
      </c>
      <c r="U646">
        <f>IF($A646="","",IF(COUNTIF($A$2:$A646,$A646)=1,1,0))</f>
        <v/>
      </c>
      <c r="V646">
        <f>IF($U646=1,SUMPRODUCT(--($X$2:$X$3001&lt;$X646))+1,"")</f>
        <v/>
      </c>
      <c r="W646">
        <f>IF($A646="","",IF(OR($T646=TRUE(),$T646="TRUE"),1,0))</f>
        <v/>
      </c>
      <c r="X646">
        <f>IF($U646=1,IFERROR(IF(VALUE($A646)&lt;100000000,VALUE($A646),1000000000),IFERROR(IF(VALUE(MID($A646,2,20))&lt;100000000,VALUE(MID($A646,2,20)),1000000000),1000000000))+ROW()/100000,"")</f>
        <v/>
      </c>
    </row>
    <row r="647">
      <c r="F647" s="7">
        <f>IF($A647="","",E647*N647/100)</f>
        <v/>
      </c>
      <c r="J647" s="7" t="n"/>
      <c r="K647" s="7">
        <f>IF($A647="","",S647*N647)</f>
        <v/>
      </c>
      <c r="L647" s="7">
        <f>IF($A647="","",N647-K647)</f>
        <v/>
      </c>
      <c r="M647" s="7">
        <f>IF($A647="","",L647-F647)</f>
        <v/>
      </c>
      <c r="N647" s="7" t="n"/>
      <c r="Q647" s="11" t="n"/>
      <c r="S647">
        <f>IF($A647="","",IF($W647=1,Settings!$C$6,Settings!$C$7)*1)</f>
        <v/>
      </c>
      <c r="U647">
        <f>IF($A647="","",IF(COUNTIF($A$2:$A647,$A647)=1,1,0))</f>
        <v/>
      </c>
      <c r="V647">
        <f>IF($U647=1,SUMPRODUCT(--($X$2:$X$3001&lt;$X647))+1,"")</f>
        <v/>
      </c>
      <c r="W647">
        <f>IF($A647="","",IF(OR($T647=TRUE(),$T647="TRUE"),1,0))</f>
        <v/>
      </c>
      <c r="X647">
        <f>IF($U647=1,IFERROR(IF(VALUE($A647)&lt;100000000,VALUE($A647),1000000000),IFERROR(IF(VALUE(MID($A647,2,20))&lt;100000000,VALUE(MID($A647,2,20)),1000000000),1000000000))+ROW()/100000,"")</f>
        <v/>
      </c>
    </row>
    <row r="648">
      <c r="F648" s="7">
        <f>IF($A648="","",E648*N648/100)</f>
        <v/>
      </c>
      <c r="J648" s="7" t="n"/>
      <c r="K648" s="7">
        <f>IF($A648="","",S648*N648)</f>
        <v/>
      </c>
      <c r="L648" s="7">
        <f>IF($A648="","",N648-K648)</f>
        <v/>
      </c>
      <c r="M648" s="7">
        <f>IF($A648="","",L648-F648)</f>
        <v/>
      </c>
      <c r="N648" s="7" t="n"/>
      <c r="Q648" s="11" t="n"/>
      <c r="S648">
        <f>IF($A648="","",IF($W648=1,Settings!$C$6,Settings!$C$7)*1)</f>
        <v/>
      </c>
      <c r="U648">
        <f>IF($A648="","",IF(COUNTIF($A$2:$A648,$A648)=1,1,0))</f>
        <v/>
      </c>
      <c r="V648">
        <f>IF($U648=1,SUMPRODUCT(--($X$2:$X$3001&lt;$X648))+1,"")</f>
        <v/>
      </c>
      <c r="W648">
        <f>IF($A648="","",IF(OR($T648=TRUE(),$T648="TRUE"),1,0))</f>
        <v/>
      </c>
      <c r="X648">
        <f>IF($U648=1,IFERROR(IF(VALUE($A648)&lt;100000000,VALUE($A648),1000000000),IFERROR(IF(VALUE(MID($A648,2,20))&lt;100000000,VALUE(MID($A648,2,20)),1000000000),1000000000))+ROW()/100000,"")</f>
        <v/>
      </c>
    </row>
    <row r="649">
      <c r="F649" s="7">
        <f>IF($A649="","",E649*N649/100)</f>
        <v/>
      </c>
      <c r="J649" s="7" t="n"/>
      <c r="K649" s="7">
        <f>IF($A649="","",S649*N649)</f>
        <v/>
      </c>
      <c r="L649" s="7">
        <f>IF($A649="","",N649-K649)</f>
        <v/>
      </c>
      <c r="M649" s="7">
        <f>IF($A649="","",L649-F649)</f>
        <v/>
      </c>
      <c r="N649" s="7" t="n"/>
      <c r="Q649" s="11" t="n"/>
      <c r="S649">
        <f>IF($A649="","",IF($W649=1,Settings!$C$6,Settings!$C$7)*1)</f>
        <v/>
      </c>
      <c r="U649">
        <f>IF($A649="","",IF(COUNTIF($A$2:$A649,$A649)=1,1,0))</f>
        <v/>
      </c>
      <c r="V649">
        <f>IF($U649=1,SUMPRODUCT(--($X$2:$X$3001&lt;$X649))+1,"")</f>
        <v/>
      </c>
      <c r="W649">
        <f>IF($A649="","",IF(OR($T649=TRUE(),$T649="TRUE"),1,0))</f>
        <v/>
      </c>
      <c r="X649">
        <f>IF($U649=1,IFERROR(IF(VALUE($A649)&lt;100000000,VALUE($A649),1000000000),IFERROR(IF(VALUE(MID($A649,2,20))&lt;100000000,VALUE(MID($A649,2,20)),1000000000),1000000000))+ROW()/100000,"")</f>
        <v/>
      </c>
    </row>
    <row r="650">
      <c r="F650" s="7">
        <f>IF($A650="","",E650*N650/100)</f>
        <v/>
      </c>
      <c r="J650" s="7" t="n"/>
      <c r="K650" s="7">
        <f>IF($A650="","",S650*N650)</f>
        <v/>
      </c>
      <c r="L650" s="7">
        <f>IF($A650="","",N650-K650)</f>
        <v/>
      </c>
      <c r="M650" s="7">
        <f>IF($A650="","",L650-F650)</f>
        <v/>
      </c>
      <c r="N650" s="7" t="n"/>
      <c r="Q650" s="11" t="n"/>
      <c r="S650">
        <f>IF($A650="","",IF($W650=1,Settings!$C$6,Settings!$C$7)*1)</f>
        <v/>
      </c>
      <c r="U650">
        <f>IF($A650="","",IF(COUNTIF($A$2:$A650,$A650)=1,1,0))</f>
        <v/>
      </c>
      <c r="V650">
        <f>IF($U650=1,SUMPRODUCT(--($X$2:$X$3001&lt;$X650))+1,"")</f>
        <v/>
      </c>
      <c r="W650">
        <f>IF($A650="","",IF(OR($T650=TRUE(),$T650="TRUE"),1,0))</f>
        <v/>
      </c>
      <c r="X650">
        <f>IF($U650=1,IFERROR(IF(VALUE($A650)&lt;100000000,VALUE($A650),1000000000),IFERROR(IF(VALUE(MID($A650,2,20))&lt;100000000,VALUE(MID($A650,2,20)),1000000000),1000000000))+ROW()/100000,"")</f>
        <v/>
      </c>
    </row>
    <row r="651">
      <c r="F651" s="7">
        <f>IF($A651="","",E651*N651/100)</f>
        <v/>
      </c>
      <c r="J651" s="7" t="n"/>
      <c r="K651" s="7">
        <f>IF($A651="","",S651*N651)</f>
        <v/>
      </c>
      <c r="L651" s="7">
        <f>IF($A651="","",N651-K651)</f>
        <v/>
      </c>
      <c r="M651" s="7">
        <f>IF($A651="","",L651-F651)</f>
        <v/>
      </c>
      <c r="N651" s="7" t="n"/>
      <c r="Q651" s="11" t="n"/>
      <c r="S651">
        <f>IF($A651="","",IF($W651=1,Settings!$C$6,Settings!$C$7)*1)</f>
        <v/>
      </c>
      <c r="U651">
        <f>IF($A651="","",IF(COUNTIF($A$2:$A651,$A651)=1,1,0))</f>
        <v/>
      </c>
      <c r="V651">
        <f>IF($U651=1,SUMPRODUCT(--($X$2:$X$3001&lt;$X651))+1,"")</f>
        <v/>
      </c>
      <c r="W651">
        <f>IF($A651="","",IF(OR($T651=TRUE(),$T651="TRUE"),1,0))</f>
        <v/>
      </c>
      <c r="X651">
        <f>IF($U651=1,IFERROR(IF(VALUE($A651)&lt;100000000,VALUE($A651),1000000000),IFERROR(IF(VALUE(MID($A651,2,20))&lt;100000000,VALUE(MID($A651,2,20)),1000000000),1000000000))+ROW()/100000,"")</f>
        <v/>
      </c>
    </row>
    <row r="652">
      <c r="F652" s="7">
        <f>IF($A652="","",E652*N652/100)</f>
        <v/>
      </c>
      <c r="J652" s="7" t="n"/>
      <c r="K652" s="7">
        <f>IF($A652="","",S652*N652)</f>
        <v/>
      </c>
      <c r="L652" s="7">
        <f>IF($A652="","",N652-K652)</f>
        <v/>
      </c>
      <c r="M652" s="7">
        <f>IF($A652="","",L652-F652)</f>
        <v/>
      </c>
      <c r="N652" s="7" t="n"/>
      <c r="Q652" s="11" t="n"/>
      <c r="S652">
        <f>IF($A652="","",IF($W652=1,Settings!$C$6,Settings!$C$7)*1)</f>
        <v/>
      </c>
      <c r="U652">
        <f>IF($A652="","",IF(COUNTIF($A$2:$A652,$A652)=1,1,0))</f>
        <v/>
      </c>
      <c r="V652">
        <f>IF($U652=1,SUMPRODUCT(--($X$2:$X$3001&lt;$X652))+1,"")</f>
        <v/>
      </c>
      <c r="W652">
        <f>IF($A652="","",IF(OR($T652=TRUE(),$T652="TRUE"),1,0))</f>
        <v/>
      </c>
      <c r="X652">
        <f>IF($U652=1,IFERROR(IF(VALUE($A652)&lt;100000000,VALUE($A652),1000000000),IFERROR(IF(VALUE(MID($A652,2,20))&lt;100000000,VALUE(MID($A652,2,20)),1000000000),1000000000))+ROW()/100000,"")</f>
        <v/>
      </c>
    </row>
    <row r="653">
      <c r="F653" s="7">
        <f>IF($A653="","",E653*N653/100)</f>
        <v/>
      </c>
      <c r="J653" s="7" t="n"/>
      <c r="K653" s="7">
        <f>IF($A653="","",S653*N653)</f>
        <v/>
      </c>
      <c r="L653" s="7">
        <f>IF($A653="","",N653-K653)</f>
        <v/>
      </c>
      <c r="M653" s="7">
        <f>IF($A653="","",L653-F653)</f>
        <v/>
      </c>
      <c r="N653" s="7" t="n"/>
      <c r="Q653" s="11" t="n"/>
      <c r="S653">
        <f>IF($A653="","",IF($W653=1,Settings!$C$6,Settings!$C$7)*1)</f>
        <v/>
      </c>
      <c r="U653">
        <f>IF($A653="","",IF(COUNTIF($A$2:$A653,$A653)=1,1,0))</f>
        <v/>
      </c>
      <c r="V653">
        <f>IF($U653=1,SUMPRODUCT(--($X$2:$X$3001&lt;$X653))+1,"")</f>
        <v/>
      </c>
      <c r="W653">
        <f>IF($A653="","",IF(OR($T653=TRUE(),$T653="TRUE"),1,0))</f>
        <v/>
      </c>
      <c r="X653">
        <f>IF($U653=1,IFERROR(IF(VALUE($A653)&lt;100000000,VALUE($A653),1000000000),IFERROR(IF(VALUE(MID($A653,2,20))&lt;100000000,VALUE(MID($A653,2,20)),1000000000),1000000000))+ROW()/100000,"")</f>
        <v/>
      </c>
    </row>
    <row r="654">
      <c r="F654" s="7">
        <f>IF($A654="","",E654*N654/100)</f>
        <v/>
      </c>
      <c r="J654" s="7" t="n"/>
      <c r="K654" s="7">
        <f>IF($A654="","",S654*N654)</f>
        <v/>
      </c>
      <c r="L654" s="7">
        <f>IF($A654="","",N654-K654)</f>
        <v/>
      </c>
      <c r="M654" s="7">
        <f>IF($A654="","",L654-F654)</f>
        <v/>
      </c>
      <c r="N654" s="7" t="n"/>
      <c r="Q654" s="11" t="n"/>
      <c r="S654">
        <f>IF($A654="","",IF($W654=1,Settings!$C$6,Settings!$C$7)*1)</f>
        <v/>
      </c>
      <c r="U654">
        <f>IF($A654="","",IF(COUNTIF($A$2:$A654,$A654)=1,1,0))</f>
        <v/>
      </c>
      <c r="V654">
        <f>IF($U654=1,SUMPRODUCT(--($X$2:$X$3001&lt;$X654))+1,"")</f>
        <v/>
      </c>
      <c r="W654">
        <f>IF($A654="","",IF(OR($T654=TRUE(),$T654="TRUE"),1,0))</f>
        <v/>
      </c>
      <c r="X654">
        <f>IF($U654=1,IFERROR(IF(VALUE($A654)&lt;100000000,VALUE($A654),1000000000),IFERROR(IF(VALUE(MID($A654,2,20))&lt;100000000,VALUE(MID($A654,2,20)),1000000000),1000000000))+ROW()/100000,"")</f>
        <v/>
      </c>
    </row>
    <row r="655">
      <c r="F655" s="7">
        <f>IF($A655="","",E655*N655/100)</f>
        <v/>
      </c>
      <c r="J655" s="7" t="n"/>
      <c r="K655" s="7">
        <f>IF($A655="","",S655*N655)</f>
        <v/>
      </c>
      <c r="L655" s="7">
        <f>IF($A655="","",N655-K655)</f>
        <v/>
      </c>
      <c r="M655" s="7">
        <f>IF($A655="","",L655-F655)</f>
        <v/>
      </c>
      <c r="N655" s="7" t="n"/>
      <c r="Q655" s="11" t="n"/>
      <c r="S655">
        <f>IF($A655="","",IF($W655=1,Settings!$C$6,Settings!$C$7)*1)</f>
        <v/>
      </c>
      <c r="U655">
        <f>IF($A655="","",IF(COUNTIF($A$2:$A655,$A655)=1,1,0))</f>
        <v/>
      </c>
      <c r="V655">
        <f>IF($U655=1,SUMPRODUCT(--($X$2:$X$3001&lt;$X655))+1,"")</f>
        <v/>
      </c>
      <c r="W655">
        <f>IF($A655="","",IF(OR($T655=TRUE(),$T655="TRUE"),1,0))</f>
        <v/>
      </c>
      <c r="X655">
        <f>IF($U655=1,IFERROR(IF(VALUE($A655)&lt;100000000,VALUE($A655),1000000000),IFERROR(IF(VALUE(MID($A655,2,20))&lt;100000000,VALUE(MID($A655,2,20)),1000000000),1000000000))+ROW()/100000,"")</f>
        <v/>
      </c>
    </row>
    <row r="656">
      <c r="F656" s="7">
        <f>IF($A656="","",E656*N656/100)</f>
        <v/>
      </c>
      <c r="J656" s="7" t="n"/>
      <c r="K656" s="7">
        <f>IF($A656="","",S656*N656)</f>
        <v/>
      </c>
      <c r="L656" s="7">
        <f>IF($A656="","",N656-K656)</f>
        <v/>
      </c>
      <c r="M656" s="7">
        <f>IF($A656="","",L656-F656)</f>
        <v/>
      </c>
      <c r="N656" s="7" t="n"/>
      <c r="Q656" s="11" t="n"/>
      <c r="S656">
        <f>IF($A656="","",IF($W656=1,Settings!$C$6,Settings!$C$7)*1)</f>
        <v/>
      </c>
      <c r="U656">
        <f>IF($A656="","",IF(COUNTIF($A$2:$A656,$A656)=1,1,0))</f>
        <v/>
      </c>
      <c r="V656">
        <f>IF($U656=1,SUMPRODUCT(--($X$2:$X$3001&lt;$X656))+1,"")</f>
        <v/>
      </c>
      <c r="W656">
        <f>IF($A656="","",IF(OR($T656=TRUE(),$T656="TRUE"),1,0))</f>
        <v/>
      </c>
      <c r="X656">
        <f>IF($U656=1,IFERROR(IF(VALUE($A656)&lt;100000000,VALUE($A656),1000000000),IFERROR(IF(VALUE(MID($A656,2,20))&lt;100000000,VALUE(MID($A656,2,20)),1000000000),1000000000))+ROW()/100000,"")</f>
        <v/>
      </c>
    </row>
    <row r="657">
      <c r="F657" s="7">
        <f>IF($A657="","",E657*N657/100)</f>
        <v/>
      </c>
      <c r="J657" s="7" t="n"/>
      <c r="K657" s="7">
        <f>IF($A657="","",S657*N657)</f>
        <v/>
      </c>
      <c r="L657" s="7">
        <f>IF($A657="","",N657-K657)</f>
        <v/>
      </c>
      <c r="M657" s="7">
        <f>IF($A657="","",L657-F657)</f>
        <v/>
      </c>
      <c r="N657" s="7" t="n"/>
      <c r="Q657" s="11" t="n"/>
      <c r="S657">
        <f>IF($A657="","",IF($W657=1,Settings!$C$6,Settings!$C$7)*1)</f>
        <v/>
      </c>
      <c r="U657">
        <f>IF($A657="","",IF(COUNTIF($A$2:$A657,$A657)=1,1,0))</f>
        <v/>
      </c>
      <c r="V657">
        <f>IF($U657=1,SUMPRODUCT(--($X$2:$X$3001&lt;$X657))+1,"")</f>
        <v/>
      </c>
      <c r="W657">
        <f>IF($A657="","",IF(OR($T657=TRUE(),$T657="TRUE"),1,0))</f>
        <v/>
      </c>
      <c r="X657">
        <f>IF($U657=1,IFERROR(IF(VALUE($A657)&lt;100000000,VALUE($A657),1000000000),IFERROR(IF(VALUE(MID($A657,2,20))&lt;100000000,VALUE(MID($A657,2,20)),1000000000),1000000000))+ROW()/100000,"")</f>
        <v/>
      </c>
    </row>
    <row r="658">
      <c r="F658" s="7">
        <f>IF($A658="","",E658*N658/100)</f>
        <v/>
      </c>
      <c r="J658" s="7" t="n"/>
      <c r="K658" s="7">
        <f>IF($A658="","",S658*N658)</f>
        <v/>
      </c>
      <c r="L658" s="7">
        <f>IF($A658="","",N658-K658)</f>
        <v/>
      </c>
      <c r="M658" s="7">
        <f>IF($A658="","",L658-F658)</f>
        <v/>
      </c>
      <c r="N658" s="7" t="n"/>
      <c r="Q658" s="11" t="n"/>
      <c r="S658">
        <f>IF($A658="","",IF($W658=1,Settings!$C$6,Settings!$C$7)*1)</f>
        <v/>
      </c>
      <c r="U658">
        <f>IF($A658="","",IF(COUNTIF($A$2:$A658,$A658)=1,1,0))</f>
        <v/>
      </c>
      <c r="V658">
        <f>IF($U658=1,SUMPRODUCT(--($X$2:$X$3001&lt;$X658))+1,"")</f>
        <v/>
      </c>
      <c r="W658">
        <f>IF($A658="","",IF(OR($T658=TRUE(),$T658="TRUE"),1,0))</f>
        <v/>
      </c>
      <c r="X658">
        <f>IF($U658=1,IFERROR(IF(VALUE($A658)&lt;100000000,VALUE($A658),1000000000),IFERROR(IF(VALUE(MID($A658,2,20))&lt;100000000,VALUE(MID($A658,2,20)),1000000000),1000000000))+ROW()/100000,"")</f>
        <v/>
      </c>
    </row>
    <row r="659">
      <c r="F659" s="7">
        <f>IF($A659="","",E659*N659/100)</f>
        <v/>
      </c>
      <c r="J659" s="7" t="n"/>
      <c r="K659" s="7">
        <f>IF($A659="","",S659*N659)</f>
        <v/>
      </c>
      <c r="L659" s="7">
        <f>IF($A659="","",N659-K659)</f>
        <v/>
      </c>
      <c r="M659" s="7">
        <f>IF($A659="","",L659-F659)</f>
        <v/>
      </c>
      <c r="N659" s="7" t="n"/>
      <c r="Q659" s="11" t="n"/>
      <c r="S659">
        <f>IF($A659="","",IF($W659=1,Settings!$C$6,Settings!$C$7)*1)</f>
        <v/>
      </c>
      <c r="U659">
        <f>IF($A659="","",IF(COUNTIF($A$2:$A659,$A659)=1,1,0))</f>
        <v/>
      </c>
      <c r="V659">
        <f>IF($U659=1,SUMPRODUCT(--($X$2:$X$3001&lt;$X659))+1,"")</f>
        <v/>
      </c>
      <c r="W659">
        <f>IF($A659="","",IF(OR($T659=TRUE(),$T659="TRUE"),1,0))</f>
        <v/>
      </c>
      <c r="X659">
        <f>IF($U659=1,IFERROR(IF(VALUE($A659)&lt;100000000,VALUE($A659),1000000000),IFERROR(IF(VALUE(MID($A659,2,20))&lt;100000000,VALUE(MID($A659,2,20)),1000000000),1000000000))+ROW()/100000,"")</f>
        <v/>
      </c>
    </row>
    <row r="660">
      <c r="F660" s="7">
        <f>IF($A660="","",E660*N660/100)</f>
        <v/>
      </c>
      <c r="J660" s="7" t="n"/>
      <c r="K660" s="7">
        <f>IF($A660="","",S660*N660)</f>
        <v/>
      </c>
      <c r="L660" s="7">
        <f>IF($A660="","",N660-K660)</f>
        <v/>
      </c>
      <c r="M660" s="7">
        <f>IF($A660="","",L660-F660)</f>
        <v/>
      </c>
      <c r="N660" s="7" t="n"/>
      <c r="Q660" s="11" t="n"/>
      <c r="S660">
        <f>IF($A660="","",IF($W660=1,Settings!$C$6,Settings!$C$7)*1)</f>
        <v/>
      </c>
      <c r="U660">
        <f>IF($A660="","",IF(COUNTIF($A$2:$A660,$A660)=1,1,0))</f>
        <v/>
      </c>
      <c r="V660">
        <f>IF($U660=1,SUMPRODUCT(--($X$2:$X$3001&lt;$X660))+1,"")</f>
        <v/>
      </c>
      <c r="W660">
        <f>IF($A660="","",IF(OR($T660=TRUE(),$T660="TRUE"),1,0))</f>
        <v/>
      </c>
      <c r="X660">
        <f>IF($U660=1,IFERROR(IF(VALUE($A660)&lt;100000000,VALUE($A660),1000000000),IFERROR(IF(VALUE(MID($A660,2,20))&lt;100000000,VALUE(MID($A660,2,20)),1000000000),1000000000))+ROW()/100000,"")</f>
        <v/>
      </c>
    </row>
    <row r="661">
      <c r="F661" s="7">
        <f>IF($A661="","",E661*N661/100)</f>
        <v/>
      </c>
      <c r="J661" s="7" t="n"/>
      <c r="K661" s="7">
        <f>IF($A661="","",S661*N661)</f>
        <v/>
      </c>
      <c r="L661" s="7">
        <f>IF($A661="","",N661-K661)</f>
        <v/>
      </c>
      <c r="M661" s="7">
        <f>IF($A661="","",L661-F661)</f>
        <v/>
      </c>
      <c r="N661" s="7" t="n"/>
      <c r="Q661" s="11" t="n"/>
      <c r="S661">
        <f>IF($A661="","",IF($W661=1,Settings!$C$6,Settings!$C$7)*1)</f>
        <v/>
      </c>
      <c r="U661">
        <f>IF($A661="","",IF(COUNTIF($A$2:$A661,$A661)=1,1,0))</f>
        <v/>
      </c>
      <c r="V661">
        <f>IF($U661=1,SUMPRODUCT(--($X$2:$X$3001&lt;$X661))+1,"")</f>
        <v/>
      </c>
      <c r="W661">
        <f>IF($A661="","",IF(OR($T661=TRUE(),$T661="TRUE"),1,0))</f>
        <v/>
      </c>
      <c r="X661">
        <f>IF($U661=1,IFERROR(IF(VALUE($A661)&lt;100000000,VALUE($A661),1000000000),IFERROR(IF(VALUE(MID($A661,2,20))&lt;100000000,VALUE(MID($A661,2,20)),1000000000),1000000000))+ROW()/100000,"")</f>
        <v/>
      </c>
    </row>
    <row r="662">
      <c r="F662" s="7">
        <f>IF($A662="","",E662*N662/100)</f>
        <v/>
      </c>
      <c r="J662" s="7" t="n"/>
      <c r="K662" s="7">
        <f>IF($A662="","",S662*N662)</f>
        <v/>
      </c>
      <c r="L662" s="7">
        <f>IF($A662="","",N662-K662)</f>
        <v/>
      </c>
      <c r="M662" s="7">
        <f>IF($A662="","",L662-F662)</f>
        <v/>
      </c>
      <c r="N662" s="7" t="n"/>
      <c r="Q662" s="11" t="n"/>
      <c r="S662">
        <f>IF($A662="","",IF($W662=1,Settings!$C$6,Settings!$C$7)*1)</f>
        <v/>
      </c>
      <c r="U662">
        <f>IF($A662="","",IF(COUNTIF($A$2:$A662,$A662)=1,1,0))</f>
        <v/>
      </c>
      <c r="V662">
        <f>IF($U662=1,SUMPRODUCT(--($X$2:$X$3001&lt;$X662))+1,"")</f>
        <v/>
      </c>
      <c r="W662">
        <f>IF($A662="","",IF(OR($T662=TRUE(),$T662="TRUE"),1,0))</f>
        <v/>
      </c>
      <c r="X662">
        <f>IF($U662=1,IFERROR(IF(VALUE($A662)&lt;100000000,VALUE($A662),1000000000),IFERROR(IF(VALUE(MID($A662,2,20))&lt;100000000,VALUE(MID($A662,2,20)),1000000000),1000000000))+ROW()/100000,"")</f>
        <v/>
      </c>
    </row>
    <row r="663">
      <c r="F663" s="7">
        <f>IF($A663="","",E663*N663/100)</f>
        <v/>
      </c>
      <c r="J663" s="7" t="n"/>
      <c r="K663" s="7">
        <f>IF($A663="","",S663*N663)</f>
        <v/>
      </c>
      <c r="L663" s="7">
        <f>IF($A663="","",N663-K663)</f>
        <v/>
      </c>
      <c r="M663" s="7">
        <f>IF($A663="","",L663-F663)</f>
        <v/>
      </c>
      <c r="N663" s="7" t="n"/>
      <c r="Q663" s="11" t="n"/>
      <c r="S663">
        <f>IF($A663="","",IF($W663=1,Settings!$C$6,Settings!$C$7)*1)</f>
        <v/>
      </c>
      <c r="U663">
        <f>IF($A663="","",IF(COUNTIF($A$2:$A663,$A663)=1,1,0))</f>
        <v/>
      </c>
      <c r="V663">
        <f>IF($U663=1,SUMPRODUCT(--($X$2:$X$3001&lt;$X663))+1,"")</f>
        <v/>
      </c>
      <c r="W663">
        <f>IF($A663="","",IF(OR($T663=TRUE(),$T663="TRUE"),1,0))</f>
        <v/>
      </c>
      <c r="X663">
        <f>IF($U663=1,IFERROR(IF(VALUE($A663)&lt;100000000,VALUE($A663),1000000000),IFERROR(IF(VALUE(MID($A663,2,20))&lt;100000000,VALUE(MID($A663,2,20)),1000000000),1000000000))+ROW()/100000,"")</f>
        <v/>
      </c>
    </row>
    <row r="664">
      <c r="F664" s="7">
        <f>IF($A664="","",E664*N664/100)</f>
        <v/>
      </c>
      <c r="J664" s="7" t="n"/>
      <c r="K664" s="7">
        <f>IF($A664="","",S664*N664)</f>
        <v/>
      </c>
      <c r="L664" s="7">
        <f>IF($A664="","",N664-K664)</f>
        <v/>
      </c>
      <c r="M664" s="7">
        <f>IF($A664="","",L664-F664)</f>
        <v/>
      </c>
      <c r="N664" s="7" t="n"/>
      <c r="Q664" s="11" t="n"/>
      <c r="S664">
        <f>IF($A664="","",IF($W664=1,Settings!$C$6,Settings!$C$7)*1)</f>
        <v/>
      </c>
      <c r="U664">
        <f>IF($A664="","",IF(COUNTIF($A$2:$A664,$A664)=1,1,0))</f>
        <v/>
      </c>
      <c r="V664">
        <f>IF($U664=1,SUMPRODUCT(--($X$2:$X$3001&lt;$X664))+1,"")</f>
        <v/>
      </c>
      <c r="W664">
        <f>IF($A664="","",IF(OR($T664=TRUE(),$T664="TRUE"),1,0))</f>
        <v/>
      </c>
      <c r="X664">
        <f>IF($U664=1,IFERROR(IF(VALUE($A664)&lt;100000000,VALUE($A664),1000000000),IFERROR(IF(VALUE(MID($A664,2,20))&lt;100000000,VALUE(MID($A664,2,20)),1000000000),1000000000))+ROW()/100000,"")</f>
        <v/>
      </c>
    </row>
    <row r="665">
      <c r="F665" s="7">
        <f>IF($A665="","",E665*N665/100)</f>
        <v/>
      </c>
      <c r="J665" s="7" t="n"/>
      <c r="K665" s="7">
        <f>IF($A665="","",S665*N665)</f>
        <v/>
      </c>
      <c r="L665" s="7">
        <f>IF($A665="","",N665-K665)</f>
        <v/>
      </c>
      <c r="M665" s="7">
        <f>IF($A665="","",L665-F665)</f>
        <v/>
      </c>
      <c r="N665" s="7" t="n"/>
      <c r="Q665" s="11" t="n"/>
      <c r="S665">
        <f>IF($A665="","",IF($W665=1,Settings!$C$6,Settings!$C$7)*1)</f>
        <v/>
      </c>
      <c r="U665">
        <f>IF($A665="","",IF(COUNTIF($A$2:$A665,$A665)=1,1,0))</f>
        <v/>
      </c>
      <c r="V665">
        <f>IF($U665=1,SUMPRODUCT(--($X$2:$X$3001&lt;$X665))+1,"")</f>
        <v/>
      </c>
      <c r="W665">
        <f>IF($A665="","",IF(OR($T665=TRUE(),$T665="TRUE"),1,0))</f>
        <v/>
      </c>
      <c r="X665">
        <f>IF($U665=1,IFERROR(IF(VALUE($A665)&lt;100000000,VALUE($A665),1000000000),IFERROR(IF(VALUE(MID($A665,2,20))&lt;100000000,VALUE(MID($A665,2,20)),1000000000),1000000000))+ROW()/100000,"")</f>
        <v/>
      </c>
    </row>
    <row r="666">
      <c r="F666" s="7">
        <f>IF($A666="","",E666*N666/100)</f>
        <v/>
      </c>
      <c r="J666" s="7" t="n"/>
      <c r="K666" s="7">
        <f>IF($A666="","",S666*N666)</f>
        <v/>
      </c>
      <c r="L666" s="7">
        <f>IF($A666="","",N666-K666)</f>
        <v/>
      </c>
      <c r="M666" s="7">
        <f>IF($A666="","",L666-F666)</f>
        <v/>
      </c>
      <c r="N666" s="7" t="n"/>
      <c r="Q666" s="11" t="n"/>
      <c r="S666">
        <f>IF($A666="","",IF($W666=1,Settings!$C$6,Settings!$C$7)*1)</f>
        <v/>
      </c>
      <c r="U666">
        <f>IF($A666="","",IF(COUNTIF($A$2:$A666,$A666)=1,1,0))</f>
        <v/>
      </c>
      <c r="V666">
        <f>IF($U666=1,SUMPRODUCT(--($X$2:$X$3001&lt;$X666))+1,"")</f>
        <v/>
      </c>
      <c r="W666">
        <f>IF($A666="","",IF(OR($T666=TRUE(),$T666="TRUE"),1,0))</f>
        <v/>
      </c>
      <c r="X666">
        <f>IF($U666=1,IFERROR(IF(VALUE($A666)&lt;100000000,VALUE($A666),1000000000),IFERROR(IF(VALUE(MID($A666,2,20))&lt;100000000,VALUE(MID($A666,2,20)),1000000000),1000000000))+ROW()/100000,"")</f>
        <v/>
      </c>
    </row>
    <row r="667">
      <c r="F667" s="7">
        <f>IF($A667="","",E667*N667/100)</f>
        <v/>
      </c>
      <c r="J667" s="7" t="n"/>
      <c r="K667" s="7">
        <f>IF($A667="","",S667*N667)</f>
        <v/>
      </c>
      <c r="L667" s="7">
        <f>IF($A667="","",N667-K667)</f>
        <v/>
      </c>
      <c r="M667" s="7">
        <f>IF($A667="","",L667-F667)</f>
        <v/>
      </c>
      <c r="N667" s="7" t="n"/>
      <c r="Q667" s="11" t="n"/>
      <c r="S667">
        <f>IF($A667="","",IF($W667=1,Settings!$C$6,Settings!$C$7)*1)</f>
        <v/>
      </c>
      <c r="U667">
        <f>IF($A667="","",IF(COUNTIF($A$2:$A667,$A667)=1,1,0))</f>
        <v/>
      </c>
      <c r="V667">
        <f>IF($U667=1,SUMPRODUCT(--($X$2:$X$3001&lt;$X667))+1,"")</f>
        <v/>
      </c>
      <c r="W667">
        <f>IF($A667="","",IF(OR($T667=TRUE(),$T667="TRUE"),1,0))</f>
        <v/>
      </c>
      <c r="X667">
        <f>IF($U667=1,IFERROR(IF(VALUE($A667)&lt;100000000,VALUE($A667),1000000000),IFERROR(IF(VALUE(MID($A667,2,20))&lt;100000000,VALUE(MID($A667,2,20)),1000000000),1000000000))+ROW()/100000,"")</f>
        <v/>
      </c>
    </row>
    <row r="668">
      <c r="F668" s="7">
        <f>IF($A668="","",E668*N668/100)</f>
        <v/>
      </c>
      <c r="J668" s="7" t="n"/>
      <c r="K668" s="7">
        <f>IF($A668="","",S668*N668)</f>
        <v/>
      </c>
      <c r="L668" s="7">
        <f>IF($A668="","",N668-K668)</f>
        <v/>
      </c>
      <c r="M668" s="7">
        <f>IF($A668="","",L668-F668)</f>
        <v/>
      </c>
      <c r="N668" s="7" t="n"/>
      <c r="Q668" s="11" t="n"/>
      <c r="S668">
        <f>IF($A668="","",IF($W668=1,Settings!$C$6,Settings!$C$7)*1)</f>
        <v/>
      </c>
      <c r="U668">
        <f>IF($A668="","",IF(COUNTIF($A$2:$A668,$A668)=1,1,0))</f>
        <v/>
      </c>
      <c r="V668">
        <f>IF($U668=1,SUMPRODUCT(--($X$2:$X$3001&lt;$X668))+1,"")</f>
        <v/>
      </c>
      <c r="W668">
        <f>IF($A668="","",IF(OR($T668=TRUE(),$T668="TRUE"),1,0))</f>
        <v/>
      </c>
      <c r="X668">
        <f>IF($U668=1,IFERROR(IF(VALUE($A668)&lt;100000000,VALUE($A668),1000000000),IFERROR(IF(VALUE(MID($A668,2,20))&lt;100000000,VALUE(MID($A668,2,20)),1000000000),1000000000))+ROW()/100000,"")</f>
        <v/>
      </c>
    </row>
    <row r="669">
      <c r="F669" s="7">
        <f>IF($A669="","",E669*N669/100)</f>
        <v/>
      </c>
      <c r="J669" s="7" t="n"/>
      <c r="K669" s="7">
        <f>IF($A669="","",S669*N669)</f>
        <v/>
      </c>
      <c r="L669" s="7">
        <f>IF($A669="","",N669-K669)</f>
        <v/>
      </c>
      <c r="M669" s="7">
        <f>IF($A669="","",L669-F669)</f>
        <v/>
      </c>
      <c r="N669" s="7" t="n"/>
      <c r="Q669" s="11" t="n"/>
      <c r="S669">
        <f>IF($A669="","",IF($W669=1,Settings!$C$6,Settings!$C$7)*1)</f>
        <v/>
      </c>
      <c r="U669">
        <f>IF($A669="","",IF(COUNTIF($A$2:$A669,$A669)=1,1,0))</f>
        <v/>
      </c>
      <c r="V669">
        <f>IF($U669=1,SUMPRODUCT(--($X$2:$X$3001&lt;$X669))+1,"")</f>
        <v/>
      </c>
      <c r="W669">
        <f>IF($A669="","",IF(OR($T669=TRUE(),$T669="TRUE"),1,0))</f>
        <v/>
      </c>
      <c r="X669">
        <f>IF($U669=1,IFERROR(IF(VALUE($A669)&lt;100000000,VALUE($A669),1000000000),IFERROR(IF(VALUE(MID($A669,2,20))&lt;100000000,VALUE(MID($A669,2,20)),1000000000),1000000000))+ROW()/100000,"")</f>
        <v/>
      </c>
    </row>
    <row r="670">
      <c r="F670" s="7">
        <f>IF($A670="","",E670*N670/100)</f>
        <v/>
      </c>
      <c r="J670" s="7" t="n"/>
      <c r="K670" s="7">
        <f>IF($A670="","",S670*N670)</f>
        <v/>
      </c>
      <c r="L670" s="7">
        <f>IF($A670="","",N670-K670)</f>
        <v/>
      </c>
      <c r="M670" s="7">
        <f>IF($A670="","",L670-F670)</f>
        <v/>
      </c>
      <c r="N670" s="7" t="n"/>
      <c r="Q670" s="11" t="n"/>
      <c r="S670">
        <f>IF($A670="","",IF($W670=1,Settings!$C$6,Settings!$C$7)*1)</f>
        <v/>
      </c>
      <c r="U670">
        <f>IF($A670="","",IF(COUNTIF($A$2:$A670,$A670)=1,1,0))</f>
        <v/>
      </c>
      <c r="V670">
        <f>IF($U670=1,SUMPRODUCT(--($X$2:$X$3001&lt;$X670))+1,"")</f>
        <v/>
      </c>
      <c r="W670">
        <f>IF($A670="","",IF(OR($T670=TRUE(),$T670="TRUE"),1,0))</f>
        <v/>
      </c>
      <c r="X670">
        <f>IF($U670=1,IFERROR(IF(VALUE($A670)&lt;100000000,VALUE($A670),1000000000),IFERROR(IF(VALUE(MID($A670,2,20))&lt;100000000,VALUE(MID($A670,2,20)),1000000000),1000000000))+ROW()/100000,"")</f>
        <v/>
      </c>
    </row>
    <row r="671">
      <c r="F671" s="7">
        <f>IF($A671="","",E671*N671/100)</f>
        <v/>
      </c>
      <c r="J671" s="7" t="n"/>
      <c r="K671" s="7">
        <f>IF($A671="","",S671*N671)</f>
        <v/>
      </c>
      <c r="L671" s="7">
        <f>IF($A671="","",N671-K671)</f>
        <v/>
      </c>
      <c r="M671" s="7">
        <f>IF($A671="","",L671-F671)</f>
        <v/>
      </c>
      <c r="N671" s="7" t="n"/>
      <c r="Q671" s="11" t="n"/>
      <c r="S671">
        <f>IF($A671="","",IF($W671=1,Settings!$C$6,Settings!$C$7)*1)</f>
        <v/>
      </c>
      <c r="U671">
        <f>IF($A671="","",IF(COUNTIF($A$2:$A671,$A671)=1,1,0))</f>
        <v/>
      </c>
      <c r="V671">
        <f>IF($U671=1,SUMPRODUCT(--($X$2:$X$3001&lt;$X671))+1,"")</f>
        <v/>
      </c>
      <c r="W671">
        <f>IF($A671="","",IF(OR($T671=TRUE(),$T671="TRUE"),1,0))</f>
        <v/>
      </c>
      <c r="X671">
        <f>IF($U671=1,IFERROR(IF(VALUE($A671)&lt;100000000,VALUE($A671),1000000000),IFERROR(IF(VALUE(MID($A671,2,20))&lt;100000000,VALUE(MID($A671,2,20)),1000000000),1000000000))+ROW()/100000,"")</f>
        <v/>
      </c>
    </row>
    <row r="672">
      <c r="F672" s="7">
        <f>IF($A672="","",E672*N672/100)</f>
        <v/>
      </c>
      <c r="J672" s="7" t="n"/>
      <c r="K672" s="7">
        <f>IF($A672="","",S672*N672)</f>
        <v/>
      </c>
      <c r="L672" s="7">
        <f>IF($A672="","",N672-K672)</f>
        <v/>
      </c>
      <c r="M672" s="7">
        <f>IF($A672="","",L672-F672)</f>
        <v/>
      </c>
      <c r="N672" s="7" t="n"/>
      <c r="Q672" s="11" t="n"/>
      <c r="S672">
        <f>IF($A672="","",IF($W672=1,Settings!$C$6,Settings!$C$7)*1)</f>
        <v/>
      </c>
      <c r="U672">
        <f>IF($A672="","",IF(COUNTIF($A$2:$A672,$A672)=1,1,0))</f>
        <v/>
      </c>
      <c r="V672">
        <f>IF($U672=1,SUMPRODUCT(--($X$2:$X$3001&lt;$X672))+1,"")</f>
        <v/>
      </c>
      <c r="W672">
        <f>IF($A672="","",IF(OR($T672=TRUE(),$T672="TRUE"),1,0))</f>
        <v/>
      </c>
      <c r="X672">
        <f>IF($U672=1,IFERROR(IF(VALUE($A672)&lt;100000000,VALUE($A672),1000000000),IFERROR(IF(VALUE(MID($A672,2,20))&lt;100000000,VALUE(MID($A672,2,20)),1000000000),1000000000))+ROW()/100000,"")</f>
        <v/>
      </c>
    </row>
    <row r="673">
      <c r="F673" s="7">
        <f>IF($A673="","",E673*N673/100)</f>
        <v/>
      </c>
      <c r="J673" s="7" t="n"/>
      <c r="K673" s="7">
        <f>IF($A673="","",S673*N673)</f>
        <v/>
      </c>
      <c r="L673" s="7">
        <f>IF($A673="","",N673-K673)</f>
        <v/>
      </c>
      <c r="M673" s="7">
        <f>IF($A673="","",L673-F673)</f>
        <v/>
      </c>
      <c r="N673" s="7" t="n"/>
      <c r="Q673" s="11" t="n"/>
      <c r="S673">
        <f>IF($A673="","",IF($W673=1,Settings!$C$6,Settings!$C$7)*1)</f>
        <v/>
      </c>
      <c r="U673">
        <f>IF($A673="","",IF(COUNTIF($A$2:$A673,$A673)=1,1,0))</f>
        <v/>
      </c>
      <c r="V673">
        <f>IF($U673=1,SUMPRODUCT(--($X$2:$X$3001&lt;$X673))+1,"")</f>
        <v/>
      </c>
      <c r="W673">
        <f>IF($A673="","",IF(OR($T673=TRUE(),$T673="TRUE"),1,0))</f>
        <v/>
      </c>
      <c r="X673">
        <f>IF($U673=1,IFERROR(IF(VALUE($A673)&lt;100000000,VALUE($A673),1000000000),IFERROR(IF(VALUE(MID($A673,2,20))&lt;100000000,VALUE(MID($A673,2,20)),1000000000),1000000000))+ROW()/100000,"")</f>
        <v/>
      </c>
    </row>
    <row r="674">
      <c r="F674" s="7">
        <f>IF($A674="","",E674*N674/100)</f>
        <v/>
      </c>
      <c r="J674" s="7" t="n"/>
      <c r="K674" s="7">
        <f>IF($A674="","",S674*N674)</f>
        <v/>
      </c>
      <c r="L674" s="7">
        <f>IF($A674="","",N674-K674)</f>
        <v/>
      </c>
      <c r="M674" s="7">
        <f>IF($A674="","",L674-F674)</f>
        <v/>
      </c>
      <c r="N674" s="7" t="n"/>
      <c r="Q674" s="11" t="n"/>
      <c r="S674">
        <f>IF($A674="","",IF($W674=1,Settings!$C$6,Settings!$C$7)*1)</f>
        <v/>
      </c>
      <c r="U674">
        <f>IF($A674="","",IF(COUNTIF($A$2:$A674,$A674)=1,1,0))</f>
        <v/>
      </c>
      <c r="V674">
        <f>IF($U674=1,SUMPRODUCT(--($X$2:$X$3001&lt;$X674))+1,"")</f>
        <v/>
      </c>
      <c r="W674">
        <f>IF($A674="","",IF(OR($T674=TRUE(),$T674="TRUE"),1,0))</f>
        <v/>
      </c>
      <c r="X674">
        <f>IF($U674=1,IFERROR(IF(VALUE($A674)&lt;100000000,VALUE($A674),1000000000),IFERROR(IF(VALUE(MID($A674,2,20))&lt;100000000,VALUE(MID($A674,2,20)),1000000000),1000000000))+ROW()/100000,"")</f>
        <v/>
      </c>
    </row>
    <row r="675">
      <c r="F675" s="7">
        <f>IF($A675="","",E675*N675/100)</f>
        <v/>
      </c>
      <c r="J675" s="7" t="n"/>
      <c r="K675" s="7">
        <f>IF($A675="","",S675*N675)</f>
        <v/>
      </c>
      <c r="L675" s="7">
        <f>IF($A675="","",N675-K675)</f>
        <v/>
      </c>
      <c r="M675" s="7">
        <f>IF($A675="","",L675-F675)</f>
        <v/>
      </c>
      <c r="N675" s="7" t="n"/>
      <c r="Q675" s="11" t="n"/>
      <c r="S675">
        <f>IF($A675="","",IF($W675=1,Settings!$C$6,Settings!$C$7)*1)</f>
        <v/>
      </c>
      <c r="U675">
        <f>IF($A675="","",IF(COUNTIF($A$2:$A675,$A675)=1,1,0))</f>
        <v/>
      </c>
      <c r="V675">
        <f>IF($U675=1,SUMPRODUCT(--($X$2:$X$3001&lt;$X675))+1,"")</f>
        <v/>
      </c>
      <c r="W675">
        <f>IF($A675="","",IF(OR($T675=TRUE(),$T675="TRUE"),1,0))</f>
        <v/>
      </c>
      <c r="X675">
        <f>IF($U675=1,IFERROR(IF(VALUE($A675)&lt;100000000,VALUE($A675),1000000000),IFERROR(IF(VALUE(MID($A675,2,20))&lt;100000000,VALUE(MID($A675,2,20)),1000000000),1000000000))+ROW()/100000,"")</f>
        <v/>
      </c>
    </row>
    <row r="676">
      <c r="F676" s="7">
        <f>IF($A676="","",E676*N676/100)</f>
        <v/>
      </c>
      <c r="J676" s="7" t="n"/>
      <c r="K676" s="7">
        <f>IF($A676="","",S676*N676)</f>
        <v/>
      </c>
      <c r="L676" s="7">
        <f>IF($A676="","",N676-K676)</f>
        <v/>
      </c>
      <c r="M676" s="7">
        <f>IF($A676="","",L676-F676)</f>
        <v/>
      </c>
      <c r="N676" s="7" t="n"/>
      <c r="Q676" s="11" t="n"/>
      <c r="S676">
        <f>IF($A676="","",IF($W676=1,Settings!$C$6,Settings!$C$7)*1)</f>
        <v/>
      </c>
      <c r="U676">
        <f>IF($A676="","",IF(COUNTIF($A$2:$A676,$A676)=1,1,0))</f>
        <v/>
      </c>
      <c r="V676">
        <f>IF($U676=1,SUMPRODUCT(--($X$2:$X$3001&lt;$X676))+1,"")</f>
        <v/>
      </c>
      <c r="W676">
        <f>IF($A676="","",IF(OR($T676=TRUE(),$T676="TRUE"),1,0))</f>
        <v/>
      </c>
      <c r="X676">
        <f>IF($U676=1,IFERROR(IF(VALUE($A676)&lt;100000000,VALUE($A676),1000000000),IFERROR(IF(VALUE(MID($A676,2,20))&lt;100000000,VALUE(MID($A676,2,20)),1000000000),1000000000))+ROW()/100000,"")</f>
        <v/>
      </c>
    </row>
    <row r="677">
      <c r="F677" s="7">
        <f>IF($A677="","",E677*N677/100)</f>
        <v/>
      </c>
      <c r="J677" s="7" t="n"/>
      <c r="K677" s="7">
        <f>IF($A677="","",S677*N677)</f>
        <v/>
      </c>
      <c r="L677" s="7">
        <f>IF($A677="","",N677-K677)</f>
        <v/>
      </c>
      <c r="M677" s="7">
        <f>IF($A677="","",L677-F677)</f>
        <v/>
      </c>
      <c r="N677" s="7" t="n"/>
      <c r="Q677" s="11" t="n"/>
      <c r="S677">
        <f>IF($A677="","",IF($W677=1,Settings!$C$6,Settings!$C$7)*1)</f>
        <v/>
      </c>
      <c r="U677">
        <f>IF($A677="","",IF(COUNTIF($A$2:$A677,$A677)=1,1,0))</f>
        <v/>
      </c>
      <c r="V677">
        <f>IF($U677=1,SUMPRODUCT(--($X$2:$X$3001&lt;$X677))+1,"")</f>
        <v/>
      </c>
      <c r="W677">
        <f>IF($A677="","",IF(OR($T677=TRUE(),$T677="TRUE"),1,0))</f>
        <v/>
      </c>
      <c r="X677">
        <f>IF($U677=1,IFERROR(IF(VALUE($A677)&lt;100000000,VALUE($A677),1000000000),IFERROR(IF(VALUE(MID($A677,2,20))&lt;100000000,VALUE(MID($A677,2,20)),1000000000),1000000000))+ROW()/100000,"")</f>
        <v/>
      </c>
    </row>
    <row r="678">
      <c r="F678" s="7">
        <f>IF($A678="","",E678*N678/100)</f>
        <v/>
      </c>
      <c r="J678" s="7" t="n"/>
      <c r="K678" s="7">
        <f>IF($A678="","",S678*N678)</f>
        <v/>
      </c>
      <c r="L678" s="7">
        <f>IF($A678="","",N678-K678)</f>
        <v/>
      </c>
      <c r="M678" s="7">
        <f>IF($A678="","",L678-F678)</f>
        <v/>
      </c>
      <c r="N678" s="7" t="n"/>
      <c r="Q678" s="11" t="n"/>
      <c r="S678">
        <f>IF($A678="","",IF($W678=1,Settings!$C$6,Settings!$C$7)*1)</f>
        <v/>
      </c>
      <c r="U678">
        <f>IF($A678="","",IF(COUNTIF($A$2:$A678,$A678)=1,1,0))</f>
        <v/>
      </c>
      <c r="V678">
        <f>IF($U678=1,SUMPRODUCT(--($X$2:$X$3001&lt;$X678))+1,"")</f>
        <v/>
      </c>
      <c r="W678">
        <f>IF($A678="","",IF(OR($T678=TRUE(),$T678="TRUE"),1,0))</f>
        <v/>
      </c>
      <c r="X678">
        <f>IF($U678=1,IFERROR(IF(VALUE($A678)&lt;100000000,VALUE($A678),1000000000),IFERROR(IF(VALUE(MID($A678,2,20))&lt;100000000,VALUE(MID($A678,2,20)),1000000000),1000000000))+ROW()/100000,"")</f>
        <v/>
      </c>
    </row>
    <row r="679">
      <c r="F679" s="7">
        <f>IF($A679="","",E679*N679/100)</f>
        <v/>
      </c>
      <c r="J679" s="7" t="n"/>
      <c r="K679" s="7">
        <f>IF($A679="","",S679*N679)</f>
        <v/>
      </c>
      <c r="L679" s="7">
        <f>IF($A679="","",N679-K679)</f>
        <v/>
      </c>
      <c r="M679" s="7">
        <f>IF($A679="","",L679-F679)</f>
        <v/>
      </c>
      <c r="N679" s="7" t="n"/>
      <c r="Q679" s="11" t="n"/>
      <c r="S679">
        <f>IF($A679="","",IF($W679=1,Settings!$C$6,Settings!$C$7)*1)</f>
        <v/>
      </c>
      <c r="U679">
        <f>IF($A679="","",IF(COUNTIF($A$2:$A679,$A679)=1,1,0))</f>
        <v/>
      </c>
      <c r="V679">
        <f>IF($U679=1,SUMPRODUCT(--($X$2:$X$3001&lt;$X679))+1,"")</f>
        <v/>
      </c>
      <c r="W679">
        <f>IF($A679="","",IF(OR($T679=TRUE(),$T679="TRUE"),1,0))</f>
        <v/>
      </c>
      <c r="X679">
        <f>IF($U679=1,IFERROR(IF(VALUE($A679)&lt;100000000,VALUE($A679),1000000000),IFERROR(IF(VALUE(MID($A679,2,20))&lt;100000000,VALUE(MID($A679,2,20)),1000000000),1000000000))+ROW()/100000,"")</f>
        <v/>
      </c>
    </row>
    <row r="680">
      <c r="F680" s="7">
        <f>IF($A680="","",E680*N680/100)</f>
        <v/>
      </c>
      <c r="J680" s="7" t="n"/>
      <c r="K680" s="7">
        <f>IF($A680="","",S680*N680)</f>
        <v/>
      </c>
      <c r="L680" s="7">
        <f>IF($A680="","",N680-K680)</f>
        <v/>
      </c>
      <c r="M680" s="7">
        <f>IF($A680="","",L680-F680)</f>
        <v/>
      </c>
      <c r="N680" s="7" t="n"/>
      <c r="Q680" s="11" t="n"/>
      <c r="S680">
        <f>IF($A680="","",IF($W680=1,Settings!$C$6,Settings!$C$7)*1)</f>
        <v/>
      </c>
      <c r="U680">
        <f>IF($A680="","",IF(COUNTIF($A$2:$A680,$A680)=1,1,0))</f>
        <v/>
      </c>
      <c r="V680">
        <f>IF($U680=1,SUMPRODUCT(--($X$2:$X$3001&lt;$X680))+1,"")</f>
        <v/>
      </c>
      <c r="W680">
        <f>IF($A680="","",IF(OR($T680=TRUE(),$T680="TRUE"),1,0))</f>
        <v/>
      </c>
      <c r="X680">
        <f>IF($U680=1,IFERROR(IF(VALUE($A680)&lt;100000000,VALUE($A680),1000000000),IFERROR(IF(VALUE(MID($A680,2,20))&lt;100000000,VALUE(MID($A680,2,20)),1000000000),1000000000))+ROW()/100000,"")</f>
        <v/>
      </c>
    </row>
    <row r="681">
      <c r="F681" s="7">
        <f>IF($A681="","",E681*N681/100)</f>
        <v/>
      </c>
      <c r="J681" s="7" t="n"/>
      <c r="K681" s="7">
        <f>IF($A681="","",S681*N681)</f>
        <v/>
      </c>
      <c r="L681" s="7">
        <f>IF($A681="","",N681-K681)</f>
        <v/>
      </c>
      <c r="M681" s="7">
        <f>IF($A681="","",L681-F681)</f>
        <v/>
      </c>
      <c r="N681" s="7" t="n"/>
      <c r="Q681" s="11" t="n"/>
      <c r="S681">
        <f>IF($A681="","",IF($W681=1,Settings!$C$6,Settings!$C$7)*1)</f>
        <v/>
      </c>
      <c r="U681">
        <f>IF($A681="","",IF(COUNTIF($A$2:$A681,$A681)=1,1,0))</f>
        <v/>
      </c>
      <c r="V681">
        <f>IF($U681=1,SUMPRODUCT(--($X$2:$X$3001&lt;$X681))+1,"")</f>
        <v/>
      </c>
      <c r="W681">
        <f>IF($A681="","",IF(OR($T681=TRUE(),$T681="TRUE"),1,0))</f>
        <v/>
      </c>
      <c r="X681">
        <f>IF($U681=1,IFERROR(IF(VALUE($A681)&lt;100000000,VALUE($A681),1000000000),IFERROR(IF(VALUE(MID($A681,2,20))&lt;100000000,VALUE(MID($A681,2,20)),1000000000),1000000000))+ROW()/100000,"")</f>
        <v/>
      </c>
    </row>
    <row r="682">
      <c r="F682" s="7">
        <f>IF($A682="","",E682*N682/100)</f>
        <v/>
      </c>
      <c r="J682" s="7" t="n"/>
      <c r="K682" s="7">
        <f>IF($A682="","",S682*N682)</f>
        <v/>
      </c>
      <c r="L682" s="7">
        <f>IF($A682="","",N682-K682)</f>
        <v/>
      </c>
      <c r="M682" s="7">
        <f>IF($A682="","",L682-F682)</f>
        <v/>
      </c>
      <c r="N682" s="7" t="n"/>
      <c r="Q682" s="11" t="n"/>
      <c r="S682">
        <f>IF($A682="","",IF($W682=1,Settings!$C$6,Settings!$C$7)*1)</f>
        <v/>
      </c>
      <c r="U682">
        <f>IF($A682="","",IF(COUNTIF($A$2:$A682,$A682)=1,1,0))</f>
        <v/>
      </c>
      <c r="V682">
        <f>IF($U682=1,SUMPRODUCT(--($X$2:$X$3001&lt;$X682))+1,"")</f>
        <v/>
      </c>
      <c r="W682">
        <f>IF($A682="","",IF(OR($T682=TRUE(),$T682="TRUE"),1,0))</f>
        <v/>
      </c>
      <c r="X682">
        <f>IF($U682=1,IFERROR(IF(VALUE($A682)&lt;100000000,VALUE($A682),1000000000),IFERROR(IF(VALUE(MID($A682,2,20))&lt;100000000,VALUE(MID($A682,2,20)),1000000000),1000000000))+ROW()/100000,"")</f>
        <v/>
      </c>
    </row>
    <row r="683">
      <c r="F683" s="7">
        <f>IF($A683="","",E683*N683/100)</f>
        <v/>
      </c>
      <c r="J683" s="7" t="n"/>
      <c r="K683" s="7">
        <f>IF($A683="","",S683*N683)</f>
        <v/>
      </c>
      <c r="L683" s="7">
        <f>IF($A683="","",N683-K683)</f>
        <v/>
      </c>
      <c r="M683" s="7">
        <f>IF($A683="","",L683-F683)</f>
        <v/>
      </c>
      <c r="N683" s="7" t="n"/>
      <c r="Q683" s="11" t="n"/>
      <c r="S683">
        <f>IF($A683="","",IF($W683=1,Settings!$C$6,Settings!$C$7)*1)</f>
        <v/>
      </c>
      <c r="U683">
        <f>IF($A683="","",IF(COUNTIF($A$2:$A683,$A683)=1,1,0))</f>
        <v/>
      </c>
      <c r="V683">
        <f>IF($U683=1,SUMPRODUCT(--($X$2:$X$3001&lt;$X683))+1,"")</f>
        <v/>
      </c>
      <c r="W683">
        <f>IF($A683="","",IF(OR($T683=TRUE(),$T683="TRUE"),1,0))</f>
        <v/>
      </c>
      <c r="X683">
        <f>IF($U683=1,IFERROR(IF(VALUE($A683)&lt;100000000,VALUE($A683),1000000000),IFERROR(IF(VALUE(MID($A683,2,20))&lt;100000000,VALUE(MID($A683,2,20)),1000000000),1000000000))+ROW()/100000,"")</f>
        <v/>
      </c>
    </row>
    <row r="684">
      <c r="F684" s="7">
        <f>IF($A684="","",E684*N684/100)</f>
        <v/>
      </c>
      <c r="J684" s="7" t="n"/>
      <c r="K684" s="7">
        <f>IF($A684="","",S684*N684)</f>
        <v/>
      </c>
      <c r="L684" s="7">
        <f>IF($A684="","",N684-K684)</f>
        <v/>
      </c>
      <c r="M684" s="7">
        <f>IF($A684="","",L684-F684)</f>
        <v/>
      </c>
      <c r="N684" s="7" t="n"/>
      <c r="Q684" s="11" t="n"/>
      <c r="S684">
        <f>IF($A684="","",IF($W684=1,Settings!$C$6,Settings!$C$7)*1)</f>
        <v/>
      </c>
      <c r="U684">
        <f>IF($A684="","",IF(COUNTIF($A$2:$A684,$A684)=1,1,0))</f>
        <v/>
      </c>
      <c r="V684">
        <f>IF($U684=1,SUMPRODUCT(--($X$2:$X$3001&lt;$X684))+1,"")</f>
        <v/>
      </c>
      <c r="W684">
        <f>IF($A684="","",IF(OR($T684=TRUE(),$T684="TRUE"),1,0))</f>
        <v/>
      </c>
      <c r="X684">
        <f>IF($U684=1,IFERROR(IF(VALUE($A684)&lt;100000000,VALUE($A684),1000000000),IFERROR(IF(VALUE(MID($A684,2,20))&lt;100000000,VALUE(MID($A684,2,20)),1000000000),1000000000))+ROW()/100000,"")</f>
        <v/>
      </c>
    </row>
    <row r="685">
      <c r="F685" s="7">
        <f>IF($A685="","",E685*N685/100)</f>
        <v/>
      </c>
      <c r="J685" s="7" t="n"/>
      <c r="K685" s="7">
        <f>IF($A685="","",S685*N685)</f>
        <v/>
      </c>
      <c r="L685" s="7">
        <f>IF($A685="","",N685-K685)</f>
        <v/>
      </c>
      <c r="M685" s="7">
        <f>IF($A685="","",L685-F685)</f>
        <v/>
      </c>
      <c r="N685" s="7" t="n"/>
      <c r="Q685" s="11" t="n"/>
      <c r="S685">
        <f>IF($A685="","",IF($W685=1,Settings!$C$6,Settings!$C$7)*1)</f>
        <v/>
      </c>
      <c r="U685">
        <f>IF($A685="","",IF(COUNTIF($A$2:$A685,$A685)=1,1,0))</f>
        <v/>
      </c>
      <c r="V685">
        <f>IF($U685=1,SUMPRODUCT(--($X$2:$X$3001&lt;$X685))+1,"")</f>
        <v/>
      </c>
      <c r="W685">
        <f>IF($A685="","",IF(OR($T685=TRUE(),$T685="TRUE"),1,0))</f>
        <v/>
      </c>
      <c r="X685">
        <f>IF($U685=1,IFERROR(IF(VALUE($A685)&lt;100000000,VALUE($A685),1000000000),IFERROR(IF(VALUE(MID($A685,2,20))&lt;100000000,VALUE(MID($A685,2,20)),1000000000),1000000000))+ROW()/100000,"")</f>
        <v/>
      </c>
    </row>
    <row r="686">
      <c r="F686" s="7">
        <f>IF($A686="","",E686*N686/100)</f>
        <v/>
      </c>
      <c r="J686" s="7" t="n"/>
      <c r="K686" s="7">
        <f>IF($A686="","",S686*N686)</f>
        <v/>
      </c>
      <c r="L686" s="7">
        <f>IF($A686="","",N686-K686)</f>
        <v/>
      </c>
      <c r="M686" s="7">
        <f>IF($A686="","",L686-F686)</f>
        <v/>
      </c>
      <c r="N686" s="7" t="n"/>
      <c r="Q686" s="11" t="n"/>
      <c r="S686">
        <f>IF($A686="","",IF($W686=1,Settings!$C$6,Settings!$C$7)*1)</f>
        <v/>
      </c>
      <c r="U686">
        <f>IF($A686="","",IF(COUNTIF($A$2:$A686,$A686)=1,1,0))</f>
        <v/>
      </c>
      <c r="V686">
        <f>IF($U686=1,SUMPRODUCT(--($X$2:$X$3001&lt;$X686))+1,"")</f>
        <v/>
      </c>
      <c r="W686">
        <f>IF($A686="","",IF(OR($T686=TRUE(),$T686="TRUE"),1,0))</f>
        <v/>
      </c>
      <c r="X686">
        <f>IF($U686=1,IFERROR(IF(VALUE($A686)&lt;100000000,VALUE($A686),1000000000),IFERROR(IF(VALUE(MID($A686,2,20))&lt;100000000,VALUE(MID($A686,2,20)),1000000000),1000000000))+ROW()/100000,"")</f>
        <v/>
      </c>
    </row>
    <row r="687">
      <c r="F687" s="7">
        <f>IF($A687="","",E687*N687/100)</f>
        <v/>
      </c>
      <c r="J687" s="7" t="n"/>
      <c r="K687" s="7">
        <f>IF($A687="","",S687*N687)</f>
        <v/>
      </c>
      <c r="L687" s="7">
        <f>IF($A687="","",N687-K687)</f>
        <v/>
      </c>
      <c r="M687" s="7">
        <f>IF($A687="","",L687-F687)</f>
        <v/>
      </c>
      <c r="N687" s="7" t="n"/>
      <c r="Q687" s="11" t="n"/>
      <c r="S687">
        <f>IF($A687="","",IF($W687=1,Settings!$C$6,Settings!$C$7)*1)</f>
        <v/>
      </c>
      <c r="U687">
        <f>IF($A687="","",IF(COUNTIF($A$2:$A687,$A687)=1,1,0))</f>
        <v/>
      </c>
      <c r="V687">
        <f>IF($U687=1,SUMPRODUCT(--($X$2:$X$3001&lt;$X687))+1,"")</f>
        <v/>
      </c>
      <c r="W687">
        <f>IF($A687="","",IF(OR($T687=TRUE(),$T687="TRUE"),1,0))</f>
        <v/>
      </c>
      <c r="X687">
        <f>IF($U687=1,IFERROR(IF(VALUE($A687)&lt;100000000,VALUE($A687),1000000000),IFERROR(IF(VALUE(MID($A687,2,20))&lt;100000000,VALUE(MID($A687,2,20)),1000000000),1000000000))+ROW()/100000,"")</f>
        <v/>
      </c>
    </row>
    <row r="688">
      <c r="F688" s="7">
        <f>IF($A688="","",E688*N688/100)</f>
        <v/>
      </c>
      <c r="J688" s="7" t="n"/>
      <c r="K688" s="7">
        <f>IF($A688="","",S688*N688)</f>
        <v/>
      </c>
      <c r="L688" s="7">
        <f>IF($A688="","",N688-K688)</f>
        <v/>
      </c>
      <c r="M688" s="7">
        <f>IF($A688="","",L688-F688)</f>
        <v/>
      </c>
      <c r="N688" s="7" t="n"/>
      <c r="Q688" s="11" t="n"/>
      <c r="S688">
        <f>IF($A688="","",IF($W688=1,Settings!$C$6,Settings!$C$7)*1)</f>
        <v/>
      </c>
      <c r="U688">
        <f>IF($A688="","",IF(COUNTIF($A$2:$A688,$A688)=1,1,0))</f>
        <v/>
      </c>
      <c r="V688">
        <f>IF($U688=1,SUMPRODUCT(--($X$2:$X$3001&lt;$X688))+1,"")</f>
        <v/>
      </c>
      <c r="W688">
        <f>IF($A688="","",IF(OR($T688=TRUE(),$T688="TRUE"),1,0))</f>
        <v/>
      </c>
      <c r="X688">
        <f>IF($U688=1,IFERROR(IF(VALUE($A688)&lt;100000000,VALUE($A688),1000000000),IFERROR(IF(VALUE(MID($A688,2,20))&lt;100000000,VALUE(MID($A688,2,20)),1000000000),1000000000))+ROW()/100000,"")</f>
        <v/>
      </c>
    </row>
    <row r="689">
      <c r="F689" s="7">
        <f>IF($A689="","",E689*N689/100)</f>
        <v/>
      </c>
      <c r="J689" s="7" t="n"/>
      <c r="K689" s="7">
        <f>IF($A689="","",S689*N689)</f>
        <v/>
      </c>
      <c r="L689" s="7">
        <f>IF($A689="","",N689-K689)</f>
        <v/>
      </c>
      <c r="M689" s="7">
        <f>IF($A689="","",L689-F689)</f>
        <v/>
      </c>
      <c r="N689" s="7" t="n"/>
      <c r="Q689" s="11" t="n"/>
      <c r="S689">
        <f>IF($A689="","",IF($W689=1,Settings!$C$6,Settings!$C$7)*1)</f>
        <v/>
      </c>
      <c r="U689">
        <f>IF($A689="","",IF(COUNTIF($A$2:$A689,$A689)=1,1,0))</f>
        <v/>
      </c>
      <c r="V689">
        <f>IF($U689=1,SUMPRODUCT(--($X$2:$X$3001&lt;$X689))+1,"")</f>
        <v/>
      </c>
      <c r="W689">
        <f>IF($A689="","",IF(OR($T689=TRUE(),$T689="TRUE"),1,0))</f>
        <v/>
      </c>
      <c r="X689">
        <f>IF($U689=1,IFERROR(IF(VALUE($A689)&lt;100000000,VALUE($A689),1000000000),IFERROR(IF(VALUE(MID($A689,2,20))&lt;100000000,VALUE(MID($A689,2,20)),1000000000),1000000000))+ROW()/100000,"")</f>
        <v/>
      </c>
    </row>
    <row r="690">
      <c r="F690" s="7">
        <f>IF($A690="","",E690*N690/100)</f>
        <v/>
      </c>
      <c r="J690" s="7" t="n"/>
      <c r="K690" s="7">
        <f>IF($A690="","",S690*N690)</f>
        <v/>
      </c>
      <c r="L690" s="7">
        <f>IF($A690="","",N690-K690)</f>
        <v/>
      </c>
      <c r="M690" s="7">
        <f>IF($A690="","",L690-F690)</f>
        <v/>
      </c>
      <c r="N690" s="7" t="n"/>
      <c r="Q690" s="11" t="n"/>
      <c r="S690">
        <f>IF($A690="","",IF($W690=1,Settings!$C$6,Settings!$C$7)*1)</f>
        <v/>
      </c>
      <c r="U690">
        <f>IF($A690="","",IF(COUNTIF($A$2:$A690,$A690)=1,1,0))</f>
        <v/>
      </c>
      <c r="V690">
        <f>IF($U690=1,SUMPRODUCT(--($X$2:$X$3001&lt;$X690))+1,"")</f>
        <v/>
      </c>
      <c r="W690">
        <f>IF($A690="","",IF(OR($T690=TRUE(),$T690="TRUE"),1,0))</f>
        <v/>
      </c>
      <c r="X690">
        <f>IF($U690=1,IFERROR(IF(VALUE($A690)&lt;100000000,VALUE($A690),1000000000),IFERROR(IF(VALUE(MID($A690,2,20))&lt;100000000,VALUE(MID($A690,2,20)),1000000000),1000000000))+ROW()/100000,"")</f>
        <v/>
      </c>
    </row>
    <row r="691">
      <c r="F691" s="7">
        <f>IF($A691="","",E691*N691/100)</f>
        <v/>
      </c>
      <c r="J691" s="7" t="n"/>
      <c r="K691" s="7">
        <f>IF($A691="","",S691*N691)</f>
        <v/>
      </c>
      <c r="L691" s="7">
        <f>IF($A691="","",N691-K691)</f>
        <v/>
      </c>
      <c r="M691" s="7">
        <f>IF($A691="","",L691-F691)</f>
        <v/>
      </c>
      <c r="N691" s="7" t="n"/>
      <c r="Q691" s="11" t="n"/>
      <c r="S691">
        <f>IF($A691="","",IF($W691=1,Settings!$C$6,Settings!$C$7)*1)</f>
        <v/>
      </c>
      <c r="U691">
        <f>IF($A691="","",IF(COUNTIF($A$2:$A691,$A691)=1,1,0))</f>
        <v/>
      </c>
      <c r="V691">
        <f>IF($U691=1,SUMPRODUCT(--($X$2:$X$3001&lt;$X691))+1,"")</f>
        <v/>
      </c>
      <c r="W691">
        <f>IF($A691="","",IF(OR($T691=TRUE(),$T691="TRUE"),1,0))</f>
        <v/>
      </c>
      <c r="X691">
        <f>IF($U691=1,IFERROR(IF(VALUE($A691)&lt;100000000,VALUE($A691),1000000000),IFERROR(IF(VALUE(MID($A691,2,20))&lt;100000000,VALUE(MID($A691,2,20)),1000000000),1000000000))+ROW()/100000,"")</f>
        <v/>
      </c>
    </row>
    <row r="692">
      <c r="F692" s="7">
        <f>IF($A692="","",E692*N692/100)</f>
        <v/>
      </c>
      <c r="J692" s="7" t="n"/>
      <c r="K692" s="7">
        <f>IF($A692="","",S692*N692)</f>
        <v/>
      </c>
      <c r="L692" s="7">
        <f>IF($A692="","",N692-K692)</f>
        <v/>
      </c>
      <c r="M692" s="7">
        <f>IF($A692="","",L692-F692)</f>
        <v/>
      </c>
      <c r="N692" s="7" t="n"/>
      <c r="Q692" s="11" t="n"/>
      <c r="S692">
        <f>IF($A692="","",IF($W692=1,Settings!$C$6,Settings!$C$7)*1)</f>
        <v/>
      </c>
      <c r="U692">
        <f>IF($A692="","",IF(COUNTIF($A$2:$A692,$A692)=1,1,0))</f>
        <v/>
      </c>
      <c r="V692">
        <f>IF($U692=1,SUMPRODUCT(--($X$2:$X$3001&lt;$X692))+1,"")</f>
        <v/>
      </c>
      <c r="W692">
        <f>IF($A692="","",IF(OR($T692=TRUE(),$T692="TRUE"),1,0))</f>
        <v/>
      </c>
      <c r="X692">
        <f>IF($U692=1,IFERROR(IF(VALUE($A692)&lt;100000000,VALUE($A692),1000000000),IFERROR(IF(VALUE(MID($A692,2,20))&lt;100000000,VALUE(MID($A692,2,20)),1000000000),1000000000))+ROW()/100000,"")</f>
        <v/>
      </c>
    </row>
    <row r="693">
      <c r="F693" s="7">
        <f>IF($A693="","",E693*N693/100)</f>
        <v/>
      </c>
      <c r="J693" s="7" t="n"/>
      <c r="K693" s="7">
        <f>IF($A693="","",S693*N693)</f>
        <v/>
      </c>
      <c r="L693" s="7">
        <f>IF($A693="","",N693-K693)</f>
        <v/>
      </c>
      <c r="M693" s="7">
        <f>IF($A693="","",L693-F693)</f>
        <v/>
      </c>
      <c r="N693" s="7" t="n"/>
      <c r="Q693" s="11" t="n"/>
      <c r="S693">
        <f>IF($A693="","",IF($W693=1,Settings!$C$6,Settings!$C$7)*1)</f>
        <v/>
      </c>
      <c r="U693">
        <f>IF($A693="","",IF(COUNTIF($A$2:$A693,$A693)=1,1,0))</f>
        <v/>
      </c>
      <c r="V693">
        <f>IF($U693=1,SUMPRODUCT(--($X$2:$X$3001&lt;$X693))+1,"")</f>
        <v/>
      </c>
      <c r="W693">
        <f>IF($A693="","",IF(OR($T693=TRUE(),$T693="TRUE"),1,0))</f>
        <v/>
      </c>
      <c r="X693">
        <f>IF($U693=1,IFERROR(IF(VALUE($A693)&lt;100000000,VALUE($A693),1000000000),IFERROR(IF(VALUE(MID($A693,2,20))&lt;100000000,VALUE(MID($A693,2,20)),1000000000),1000000000))+ROW()/100000,"")</f>
        <v/>
      </c>
    </row>
    <row r="694">
      <c r="F694" s="7">
        <f>IF($A694="","",E694*N694/100)</f>
        <v/>
      </c>
      <c r="J694" s="7" t="n"/>
      <c r="K694" s="7">
        <f>IF($A694="","",S694*N694)</f>
        <v/>
      </c>
      <c r="L694" s="7">
        <f>IF($A694="","",N694-K694)</f>
        <v/>
      </c>
      <c r="M694" s="7">
        <f>IF($A694="","",L694-F694)</f>
        <v/>
      </c>
      <c r="N694" s="7" t="n"/>
      <c r="Q694" s="11" t="n"/>
      <c r="S694">
        <f>IF($A694="","",IF($W694=1,Settings!$C$6,Settings!$C$7)*1)</f>
        <v/>
      </c>
      <c r="U694">
        <f>IF($A694="","",IF(COUNTIF($A$2:$A694,$A694)=1,1,0))</f>
        <v/>
      </c>
      <c r="V694">
        <f>IF($U694=1,SUMPRODUCT(--($X$2:$X$3001&lt;$X694))+1,"")</f>
        <v/>
      </c>
      <c r="W694">
        <f>IF($A694="","",IF(OR($T694=TRUE(),$T694="TRUE"),1,0))</f>
        <v/>
      </c>
      <c r="X694">
        <f>IF($U694=1,IFERROR(IF(VALUE($A694)&lt;100000000,VALUE($A694),1000000000),IFERROR(IF(VALUE(MID($A694,2,20))&lt;100000000,VALUE(MID($A694,2,20)),1000000000),1000000000))+ROW()/100000,"")</f>
        <v/>
      </c>
    </row>
    <row r="695">
      <c r="F695" s="7">
        <f>IF($A695="","",E695*N695/100)</f>
        <v/>
      </c>
      <c r="J695" s="7" t="n"/>
      <c r="K695" s="7">
        <f>IF($A695="","",S695*N695)</f>
        <v/>
      </c>
      <c r="L695" s="7">
        <f>IF($A695="","",N695-K695)</f>
        <v/>
      </c>
      <c r="M695" s="7">
        <f>IF($A695="","",L695-F695)</f>
        <v/>
      </c>
      <c r="N695" s="7" t="n"/>
      <c r="Q695" s="11" t="n"/>
      <c r="S695">
        <f>IF($A695="","",IF($W695=1,Settings!$C$6,Settings!$C$7)*1)</f>
        <v/>
      </c>
      <c r="U695">
        <f>IF($A695="","",IF(COUNTIF($A$2:$A695,$A695)=1,1,0))</f>
        <v/>
      </c>
      <c r="V695">
        <f>IF($U695=1,SUMPRODUCT(--($X$2:$X$3001&lt;$X695))+1,"")</f>
        <v/>
      </c>
      <c r="W695">
        <f>IF($A695="","",IF(OR($T695=TRUE(),$T695="TRUE"),1,0))</f>
        <v/>
      </c>
      <c r="X695">
        <f>IF($U695=1,IFERROR(IF(VALUE($A695)&lt;100000000,VALUE($A695),1000000000),IFERROR(IF(VALUE(MID($A695,2,20))&lt;100000000,VALUE(MID($A695,2,20)),1000000000),1000000000))+ROW()/100000,"")</f>
        <v/>
      </c>
    </row>
    <row r="696">
      <c r="F696" s="7">
        <f>IF($A696="","",E696*N696/100)</f>
        <v/>
      </c>
      <c r="J696" s="7" t="n"/>
      <c r="K696" s="7">
        <f>IF($A696="","",S696*N696)</f>
        <v/>
      </c>
      <c r="L696" s="7">
        <f>IF($A696="","",N696-K696)</f>
        <v/>
      </c>
      <c r="M696" s="7">
        <f>IF($A696="","",L696-F696)</f>
        <v/>
      </c>
      <c r="N696" s="7" t="n"/>
      <c r="Q696" s="11" t="n"/>
      <c r="S696">
        <f>IF($A696="","",IF($W696=1,Settings!$C$6,Settings!$C$7)*1)</f>
        <v/>
      </c>
      <c r="U696">
        <f>IF($A696="","",IF(COUNTIF($A$2:$A696,$A696)=1,1,0))</f>
        <v/>
      </c>
      <c r="V696">
        <f>IF($U696=1,SUMPRODUCT(--($X$2:$X$3001&lt;$X696))+1,"")</f>
        <v/>
      </c>
      <c r="W696">
        <f>IF($A696="","",IF(OR($T696=TRUE(),$T696="TRUE"),1,0))</f>
        <v/>
      </c>
      <c r="X696">
        <f>IF($U696=1,IFERROR(IF(VALUE($A696)&lt;100000000,VALUE($A696),1000000000),IFERROR(IF(VALUE(MID($A696,2,20))&lt;100000000,VALUE(MID($A696,2,20)),1000000000),1000000000))+ROW()/100000,"")</f>
        <v/>
      </c>
    </row>
    <row r="697">
      <c r="F697" s="7">
        <f>IF($A697="","",E697*N697/100)</f>
        <v/>
      </c>
      <c r="J697" s="7" t="n"/>
      <c r="K697" s="7">
        <f>IF($A697="","",S697*N697)</f>
        <v/>
      </c>
      <c r="L697" s="7">
        <f>IF($A697="","",N697-K697)</f>
        <v/>
      </c>
      <c r="M697" s="7">
        <f>IF($A697="","",L697-F697)</f>
        <v/>
      </c>
      <c r="N697" s="7" t="n"/>
      <c r="Q697" s="11" t="n"/>
      <c r="S697">
        <f>IF($A697="","",IF($W697=1,Settings!$C$6,Settings!$C$7)*1)</f>
        <v/>
      </c>
      <c r="U697">
        <f>IF($A697="","",IF(COUNTIF($A$2:$A697,$A697)=1,1,0))</f>
        <v/>
      </c>
      <c r="V697">
        <f>IF($U697=1,SUMPRODUCT(--($X$2:$X$3001&lt;$X697))+1,"")</f>
        <v/>
      </c>
      <c r="W697">
        <f>IF($A697="","",IF(OR($T697=TRUE(),$T697="TRUE"),1,0))</f>
        <v/>
      </c>
      <c r="X697">
        <f>IF($U697=1,IFERROR(IF(VALUE($A697)&lt;100000000,VALUE($A697),1000000000),IFERROR(IF(VALUE(MID($A697,2,20))&lt;100000000,VALUE(MID($A697,2,20)),1000000000),1000000000))+ROW()/100000,"")</f>
        <v/>
      </c>
    </row>
    <row r="698">
      <c r="F698" s="7">
        <f>IF($A698="","",E698*N698/100)</f>
        <v/>
      </c>
      <c r="J698" s="7" t="n"/>
      <c r="K698" s="7">
        <f>IF($A698="","",S698*N698)</f>
        <v/>
      </c>
      <c r="L698" s="7">
        <f>IF($A698="","",N698-K698)</f>
        <v/>
      </c>
      <c r="M698" s="7">
        <f>IF($A698="","",L698-F698)</f>
        <v/>
      </c>
      <c r="N698" s="7" t="n"/>
      <c r="Q698" s="11" t="n"/>
      <c r="S698">
        <f>IF($A698="","",IF($W698=1,Settings!$C$6,Settings!$C$7)*1)</f>
        <v/>
      </c>
      <c r="U698">
        <f>IF($A698="","",IF(COUNTIF($A$2:$A698,$A698)=1,1,0))</f>
        <v/>
      </c>
      <c r="V698">
        <f>IF($U698=1,SUMPRODUCT(--($X$2:$X$3001&lt;$X698))+1,"")</f>
        <v/>
      </c>
      <c r="W698">
        <f>IF($A698="","",IF(OR($T698=TRUE(),$T698="TRUE"),1,0))</f>
        <v/>
      </c>
      <c r="X698">
        <f>IF($U698=1,IFERROR(IF(VALUE($A698)&lt;100000000,VALUE($A698),1000000000),IFERROR(IF(VALUE(MID($A698,2,20))&lt;100000000,VALUE(MID($A698,2,20)),1000000000),1000000000))+ROW()/100000,"")</f>
        <v/>
      </c>
    </row>
    <row r="699">
      <c r="F699" s="7">
        <f>IF($A699="","",E699*N699/100)</f>
        <v/>
      </c>
      <c r="J699" s="7" t="n"/>
      <c r="K699" s="7">
        <f>IF($A699="","",S699*N699)</f>
        <v/>
      </c>
      <c r="L699" s="7">
        <f>IF($A699="","",N699-K699)</f>
        <v/>
      </c>
      <c r="M699" s="7">
        <f>IF($A699="","",L699-F699)</f>
        <v/>
      </c>
      <c r="N699" s="7" t="n"/>
      <c r="Q699" s="11" t="n"/>
      <c r="S699">
        <f>IF($A699="","",IF($W699=1,Settings!$C$6,Settings!$C$7)*1)</f>
        <v/>
      </c>
      <c r="U699">
        <f>IF($A699="","",IF(COUNTIF($A$2:$A699,$A699)=1,1,0))</f>
        <v/>
      </c>
      <c r="V699">
        <f>IF($U699=1,SUMPRODUCT(--($X$2:$X$3001&lt;$X699))+1,"")</f>
        <v/>
      </c>
      <c r="W699">
        <f>IF($A699="","",IF(OR($T699=TRUE(),$T699="TRUE"),1,0))</f>
        <v/>
      </c>
      <c r="X699">
        <f>IF($U699=1,IFERROR(IF(VALUE($A699)&lt;100000000,VALUE($A699),1000000000),IFERROR(IF(VALUE(MID($A699,2,20))&lt;100000000,VALUE(MID($A699,2,20)),1000000000),1000000000))+ROW()/100000,"")</f>
        <v/>
      </c>
    </row>
    <row r="700">
      <c r="F700" s="7">
        <f>IF($A700="","",E700*N700/100)</f>
        <v/>
      </c>
      <c r="J700" s="7" t="n"/>
      <c r="K700" s="7">
        <f>IF($A700="","",S700*N700)</f>
        <v/>
      </c>
      <c r="L700" s="7">
        <f>IF($A700="","",N700-K700)</f>
        <v/>
      </c>
      <c r="M700" s="7">
        <f>IF($A700="","",L700-F700)</f>
        <v/>
      </c>
      <c r="N700" s="7" t="n"/>
      <c r="Q700" s="11" t="n"/>
      <c r="S700">
        <f>IF($A700="","",IF($W700=1,Settings!$C$6,Settings!$C$7)*1)</f>
        <v/>
      </c>
      <c r="U700">
        <f>IF($A700="","",IF(COUNTIF($A$2:$A700,$A700)=1,1,0))</f>
        <v/>
      </c>
      <c r="V700">
        <f>IF($U700=1,SUMPRODUCT(--($X$2:$X$3001&lt;$X700))+1,"")</f>
        <v/>
      </c>
      <c r="W700">
        <f>IF($A700="","",IF(OR($T700=TRUE(),$T700="TRUE"),1,0))</f>
        <v/>
      </c>
      <c r="X700">
        <f>IF($U700=1,IFERROR(IF(VALUE($A700)&lt;100000000,VALUE($A700),1000000000),IFERROR(IF(VALUE(MID($A700,2,20))&lt;100000000,VALUE(MID($A700,2,20)),1000000000),1000000000))+ROW()/100000,"")</f>
        <v/>
      </c>
    </row>
    <row r="701">
      <c r="F701" s="7">
        <f>IF($A701="","",E701*N701/100)</f>
        <v/>
      </c>
      <c r="J701" s="7" t="n"/>
      <c r="K701" s="7">
        <f>IF($A701="","",S701*N701)</f>
        <v/>
      </c>
      <c r="L701" s="7">
        <f>IF($A701="","",N701-K701)</f>
        <v/>
      </c>
      <c r="M701" s="7">
        <f>IF($A701="","",L701-F701)</f>
        <v/>
      </c>
      <c r="N701" s="7" t="n"/>
      <c r="Q701" s="11" t="n"/>
      <c r="S701">
        <f>IF($A701="","",IF($W701=1,Settings!$C$6,Settings!$C$7)*1)</f>
        <v/>
      </c>
      <c r="U701">
        <f>IF($A701="","",IF(COUNTIF($A$2:$A701,$A701)=1,1,0))</f>
        <v/>
      </c>
      <c r="V701">
        <f>IF($U701=1,SUMPRODUCT(--($X$2:$X$3001&lt;$X701))+1,"")</f>
        <v/>
      </c>
      <c r="W701">
        <f>IF($A701="","",IF(OR($T701=TRUE(),$T701="TRUE"),1,0))</f>
        <v/>
      </c>
      <c r="X701">
        <f>IF($U701=1,IFERROR(IF(VALUE($A701)&lt;100000000,VALUE($A701),1000000000),IFERROR(IF(VALUE(MID($A701,2,20))&lt;100000000,VALUE(MID($A701,2,20)),1000000000),1000000000))+ROW()/100000,"")</f>
        <v/>
      </c>
    </row>
    <row r="702">
      <c r="F702" s="7">
        <f>IF($A702="","",E702*N702/100)</f>
        <v/>
      </c>
      <c r="J702" s="7" t="n"/>
      <c r="K702" s="7">
        <f>IF($A702="","",S702*N702)</f>
        <v/>
      </c>
      <c r="L702" s="7">
        <f>IF($A702="","",N702-K702)</f>
        <v/>
      </c>
      <c r="M702" s="7">
        <f>IF($A702="","",L702-F702)</f>
        <v/>
      </c>
      <c r="N702" s="7" t="n"/>
      <c r="Q702" s="11" t="n"/>
      <c r="S702">
        <f>IF($A702="","",IF($W702=1,Settings!$C$6,Settings!$C$7)*1)</f>
        <v/>
      </c>
      <c r="U702">
        <f>IF($A702="","",IF(COUNTIF($A$2:$A702,$A702)=1,1,0))</f>
        <v/>
      </c>
      <c r="V702">
        <f>IF($U702=1,SUMPRODUCT(--($X$2:$X$3001&lt;$X702))+1,"")</f>
        <v/>
      </c>
      <c r="W702">
        <f>IF($A702="","",IF(OR($T702=TRUE(),$T702="TRUE"),1,0))</f>
        <v/>
      </c>
      <c r="X702">
        <f>IF($U702=1,IFERROR(IF(VALUE($A702)&lt;100000000,VALUE($A702),1000000000),IFERROR(IF(VALUE(MID($A702,2,20))&lt;100000000,VALUE(MID($A702,2,20)),1000000000),1000000000))+ROW()/100000,"")</f>
        <v/>
      </c>
    </row>
    <row r="703">
      <c r="F703" s="7">
        <f>IF($A703="","",E703*N703/100)</f>
        <v/>
      </c>
      <c r="J703" s="7" t="n"/>
      <c r="K703" s="7">
        <f>IF($A703="","",S703*N703)</f>
        <v/>
      </c>
      <c r="L703" s="7">
        <f>IF($A703="","",N703-K703)</f>
        <v/>
      </c>
      <c r="M703" s="7">
        <f>IF($A703="","",L703-F703)</f>
        <v/>
      </c>
      <c r="N703" s="7" t="n"/>
      <c r="Q703" s="11" t="n"/>
      <c r="S703">
        <f>IF($A703="","",IF($W703=1,Settings!$C$6,Settings!$C$7)*1)</f>
        <v/>
      </c>
      <c r="U703">
        <f>IF($A703="","",IF(COUNTIF($A$2:$A703,$A703)=1,1,0))</f>
        <v/>
      </c>
      <c r="V703">
        <f>IF($U703=1,SUMPRODUCT(--($X$2:$X$3001&lt;$X703))+1,"")</f>
        <v/>
      </c>
      <c r="W703">
        <f>IF($A703="","",IF(OR($T703=TRUE(),$T703="TRUE"),1,0))</f>
        <v/>
      </c>
      <c r="X703">
        <f>IF($U703=1,IFERROR(IF(VALUE($A703)&lt;100000000,VALUE($A703),1000000000),IFERROR(IF(VALUE(MID($A703,2,20))&lt;100000000,VALUE(MID($A703,2,20)),1000000000),1000000000))+ROW()/100000,"")</f>
        <v/>
      </c>
    </row>
    <row r="704">
      <c r="F704" s="7">
        <f>IF($A704="","",E704*N704/100)</f>
        <v/>
      </c>
      <c r="J704" s="7" t="n"/>
      <c r="K704" s="7">
        <f>IF($A704="","",S704*N704)</f>
        <v/>
      </c>
      <c r="L704" s="7">
        <f>IF($A704="","",N704-K704)</f>
        <v/>
      </c>
      <c r="M704" s="7">
        <f>IF($A704="","",L704-F704)</f>
        <v/>
      </c>
      <c r="N704" s="7" t="n"/>
      <c r="Q704" s="11" t="n"/>
      <c r="S704">
        <f>IF($A704="","",IF($W704=1,Settings!$C$6,Settings!$C$7)*1)</f>
        <v/>
      </c>
      <c r="U704">
        <f>IF($A704="","",IF(COUNTIF($A$2:$A704,$A704)=1,1,0))</f>
        <v/>
      </c>
      <c r="V704">
        <f>IF($U704=1,SUMPRODUCT(--($X$2:$X$3001&lt;$X704))+1,"")</f>
        <v/>
      </c>
      <c r="W704">
        <f>IF($A704="","",IF(OR($T704=TRUE(),$T704="TRUE"),1,0))</f>
        <v/>
      </c>
      <c r="X704">
        <f>IF($U704=1,IFERROR(IF(VALUE($A704)&lt;100000000,VALUE($A704),1000000000),IFERROR(IF(VALUE(MID($A704,2,20))&lt;100000000,VALUE(MID($A704,2,20)),1000000000),1000000000))+ROW()/100000,"")</f>
        <v/>
      </c>
    </row>
    <row r="705">
      <c r="F705" s="7">
        <f>IF($A705="","",E705*N705/100)</f>
        <v/>
      </c>
      <c r="J705" s="7" t="n"/>
      <c r="K705" s="7">
        <f>IF($A705="","",S705*N705)</f>
        <v/>
      </c>
      <c r="L705" s="7">
        <f>IF($A705="","",N705-K705)</f>
        <v/>
      </c>
      <c r="M705" s="7">
        <f>IF($A705="","",L705-F705)</f>
        <v/>
      </c>
      <c r="N705" s="7" t="n"/>
      <c r="Q705" s="11" t="n"/>
      <c r="S705">
        <f>IF($A705="","",IF($W705=1,Settings!$C$6,Settings!$C$7)*1)</f>
        <v/>
      </c>
      <c r="U705">
        <f>IF($A705="","",IF(COUNTIF($A$2:$A705,$A705)=1,1,0))</f>
        <v/>
      </c>
      <c r="V705">
        <f>IF($U705=1,SUMPRODUCT(--($X$2:$X$3001&lt;$X705))+1,"")</f>
        <v/>
      </c>
      <c r="W705">
        <f>IF($A705="","",IF(OR($T705=TRUE(),$T705="TRUE"),1,0))</f>
        <v/>
      </c>
      <c r="X705">
        <f>IF($U705=1,IFERROR(IF(VALUE($A705)&lt;100000000,VALUE($A705),1000000000),IFERROR(IF(VALUE(MID($A705,2,20))&lt;100000000,VALUE(MID($A705,2,20)),1000000000),1000000000))+ROW()/100000,"")</f>
        <v/>
      </c>
    </row>
    <row r="706">
      <c r="F706" s="7">
        <f>IF($A706="","",E706*N706/100)</f>
        <v/>
      </c>
      <c r="J706" s="7" t="n"/>
      <c r="K706" s="7">
        <f>IF($A706="","",S706*N706)</f>
        <v/>
      </c>
      <c r="L706" s="7">
        <f>IF($A706="","",N706-K706)</f>
        <v/>
      </c>
      <c r="M706" s="7">
        <f>IF($A706="","",L706-F706)</f>
        <v/>
      </c>
      <c r="N706" s="7" t="n"/>
      <c r="Q706" s="11" t="n"/>
      <c r="S706">
        <f>IF($A706="","",IF($W706=1,Settings!$C$6,Settings!$C$7)*1)</f>
        <v/>
      </c>
      <c r="U706">
        <f>IF($A706="","",IF(COUNTIF($A$2:$A706,$A706)=1,1,0))</f>
        <v/>
      </c>
      <c r="V706">
        <f>IF($U706=1,SUMPRODUCT(--($X$2:$X$3001&lt;$X706))+1,"")</f>
        <v/>
      </c>
      <c r="W706">
        <f>IF($A706="","",IF(OR($T706=TRUE(),$T706="TRUE"),1,0))</f>
        <v/>
      </c>
      <c r="X706">
        <f>IF($U706=1,IFERROR(IF(VALUE($A706)&lt;100000000,VALUE($A706),1000000000),IFERROR(IF(VALUE(MID($A706,2,20))&lt;100000000,VALUE(MID($A706,2,20)),1000000000),1000000000))+ROW()/100000,"")</f>
        <v/>
      </c>
    </row>
    <row r="707">
      <c r="F707" s="7">
        <f>IF($A707="","",E707*N707/100)</f>
        <v/>
      </c>
      <c r="J707" s="7" t="n"/>
      <c r="K707" s="7">
        <f>IF($A707="","",S707*N707)</f>
        <v/>
      </c>
      <c r="L707" s="7">
        <f>IF($A707="","",N707-K707)</f>
        <v/>
      </c>
      <c r="M707" s="7">
        <f>IF($A707="","",L707-F707)</f>
        <v/>
      </c>
      <c r="N707" s="7" t="n"/>
      <c r="Q707" s="11" t="n"/>
      <c r="S707">
        <f>IF($A707="","",IF($W707=1,Settings!$C$6,Settings!$C$7)*1)</f>
        <v/>
      </c>
      <c r="U707">
        <f>IF($A707="","",IF(COUNTIF($A$2:$A707,$A707)=1,1,0))</f>
        <v/>
      </c>
      <c r="V707">
        <f>IF($U707=1,SUMPRODUCT(--($X$2:$X$3001&lt;$X707))+1,"")</f>
        <v/>
      </c>
      <c r="W707">
        <f>IF($A707="","",IF(OR($T707=TRUE(),$T707="TRUE"),1,0))</f>
        <v/>
      </c>
      <c r="X707">
        <f>IF($U707=1,IFERROR(IF(VALUE($A707)&lt;100000000,VALUE($A707),1000000000),IFERROR(IF(VALUE(MID($A707,2,20))&lt;100000000,VALUE(MID($A707,2,20)),1000000000),1000000000))+ROW()/100000,"")</f>
        <v/>
      </c>
    </row>
    <row r="708">
      <c r="F708" s="7">
        <f>IF($A708="","",E708*N708/100)</f>
        <v/>
      </c>
      <c r="J708" s="7" t="n"/>
      <c r="K708" s="7">
        <f>IF($A708="","",S708*N708)</f>
        <v/>
      </c>
      <c r="L708" s="7">
        <f>IF($A708="","",N708-K708)</f>
        <v/>
      </c>
      <c r="M708" s="7">
        <f>IF($A708="","",L708-F708)</f>
        <v/>
      </c>
      <c r="N708" s="7" t="n"/>
      <c r="Q708" s="11" t="n"/>
      <c r="S708">
        <f>IF($A708="","",IF($W708=1,Settings!$C$6,Settings!$C$7)*1)</f>
        <v/>
      </c>
      <c r="U708">
        <f>IF($A708="","",IF(COUNTIF($A$2:$A708,$A708)=1,1,0))</f>
        <v/>
      </c>
      <c r="V708">
        <f>IF($U708=1,SUMPRODUCT(--($X$2:$X$3001&lt;$X708))+1,"")</f>
        <v/>
      </c>
      <c r="W708">
        <f>IF($A708="","",IF(OR($T708=TRUE(),$T708="TRUE"),1,0))</f>
        <v/>
      </c>
      <c r="X708">
        <f>IF($U708=1,IFERROR(IF(VALUE($A708)&lt;100000000,VALUE($A708),1000000000),IFERROR(IF(VALUE(MID($A708,2,20))&lt;100000000,VALUE(MID($A708,2,20)),1000000000),1000000000))+ROW()/100000,"")</f>
        <v/>
      </c>
    </row>
    <row r="709">
      <c r="F709" s="7">
        <f>IF($A709="","",E709*N709/100)</f>
        <v/>
      </c>
      <c r="J709" s="7" t="n"/>
      <c r="K709" s="7">
        <f>IF($A709="","",S709*N709)</f>
        <v/>
      </c>
      <c r="L709" s="7">
        <f>IF($A709="","",N709-K709)</f>
        <v/>
      </c>
      <c r="M709" s="7">
        <f>IF($A709="","",L709-F709)</f>
        <v/>
      </c>
      <c r="N709" s="7" t="n"/>
      <c r="Q709" s="11" t="n"/>
      <c r="S709">
        <f>IF($A709="","",IF($W709=1,Settings!$C$6,Settings!$C$7)*1)</f>
        <v/>
      </c>
      <c r="U709">
        <f>IF($A709="","",IF(COUNTIF($A$2:$A709,$A709)=1,1,0))</f>
        <v/>
      </c>
      <c r="V709">
        <f>IF($U709=1,SUMPRODUCT(--($X$2:$X$3001&lt;$X709))+1,"")</f>
        <v/>
      </c>
      <c r="W709">
        <f>IF($A709="","",IF(OR($T709=TRUE(),$T709="TRUE"),1,0))</f>
        <v/>
      </c>
      <c r="X709">
        <f>IF($U709=1,IFERROR(IF(VALUE($A709)&lt;100000000,VALUE($A709),1000000000),IFERROR(IF(VALUE(MID($A709,2,20))&lt;100000000,VALUE(MID($A709,2,20)),1000000000),1000000000))+ROW()/100000,"")</f>
        <v/>
      </c>
    </row>
    <row r="710">
      <c r="F710" s="7">
        <f>IF($A710="","",E710*N710/100)</f>
        <v/>
      </c>
      <c r="J710" s="7" t="n"/>
      <c r="K710" s="7">
        <f>IF($A710="","",S710*N710)</f>
        <v/>
      </c>
      <c r="L710" s="7">
        <f>IF($A710="","",N710-K710)</f>
        <v/>
      </c>
      <c r="M710" s="7">
        <f>IF($A710="","",L710-F710)</f>
        <v/>
      </c>
      <c r="N710" s="7" t="n"/>
      <c r="Q710" s="11" t="n"/>
      <c r="S710">
        <f>IF($A710="","",IF($W710=1,Settings!$C$6,Settings!$C$7)*1)</f>
        <v/>
      </c>
      <c r="U710">
        <f>IF($A710="","",IF(COUNTIF($A$2:$A710,$A710)=1,1,0))</f>
        <v/>
      </c>
      <c r="V710">
        <f>IF($U710=1,SUMPRODUCT(--($X$2:$X$3001&lt;$X710))+1,"")</f>
        <v/>
      </c>
      <c r="W710">
        <f>IF($A710="","",IF(OR($T710=TRUE(),$T710="TRUE"),1,0))</f>
        <v/>
      </c>
      <c r="X710">
        <f>IF($U710=1,IFERROR(IF(VALUE($A710)&lt;100000000,VALUE($A710),1000000000),IFERROR(IF(VALUE(MID($A710,2,20))&lt;100000000,VALUE(MID($A710,2,20)),1000000000),1000000000))+ROW()/100000,"")</f>
        <v/>
      </c>
    </row>
    <row r="711">
      <c r="F711" s="7">
        <f>IF($A711="","",E711*N711/100)</f>
        <v/>
      </c>
      <c r="J711" s="7" t="n"/>
      <c r="K711" s="7">
        <f>IF($A711="","",S711*N711)</f>
        <v/>
      </c>
      <c r="L711" s="7">
        <f>IF($A711="","",N711-K711)</f>
        <v/>
      </c>
      <c r="M711" s="7">
        <f>IF($A711="","",L711-F711)</f>
        <v/>
      </c>
      <c r="N711" s="7" t="n"/>
      <c r="Q711" s="11" t="n"/>
      <c r="S711">
        <f>IF($A711="","",IF($W711=1,Settings!$C$6,Settings!$C$7)*1)</f>
        <v/>
      </c>
      <c r="U711">
        <f>IF($A711="","",IF(COUNTIF($A$2:$A711,$A711)=1,1,0))</f>
        <v/>
      </c>
      <c r="V711">
        <f>IF($U711=1,SUMPRODUCT(--($X$2:$X$3001&lt;$X711))+1,"")</f>
        <v/>
      </c>
      <c r="W711">
        <f>IF($A711="","",IF(OR($T711=TRUE(),$T711="TRUE"),1,0))</f>
        <v/>
      </c>
      <c r="X711">
        <f>IF($U711=1,IFERROR(IF(VALUE($A711)&lt;100000000,VALUE($A711),1000000000),IFERROR(IF(VALUE(MID($A711,2,20))&lt;100000000,VALUE(MID($A711,2,20)),1000000000),1000000000))+ROW()/100000,"")</f>
        <v/>
      </c>
    </row>
    <row r="712">
      <c r="F712" s="7">
        <f>IF($A712="","",E712*N712/100)</f>
        <v/>
      </c>
      <c r="J712" s="7" t="n"/>
      <c r="K712" s="7">
        <f>IF($A712="","",S712*N712)</f>
        <v/>
      </c>
      <c r="L712" s="7">
        <f>IF($A712="","",N712-K712)</f>
        <v/>
      </c>
      <c r="M712" s="7">
        <f>IF($A712="","",L712-F712)</f>
        <v/>
      </c>
      <c r="N712" s="7" t="n"/>
      <c r="Q712" s="11" t="n"/>
      <c r="S712">
        <f>IF($A712="","",IF($W712=1,Settings!$C$6,Settings!$C$7)*1)</f>
        <v/>
      </c>
      <c r="U712">
        <f>IF($A712="","",IF(COUNTIF($A$2:$A712,$A712)=1,1,0))</f>
        <v/>
      </c>
      <c r="V712">
        <f>IF($U712=1,SUMPRODUCT(--($X$2:$X$3001&lt;$X712))+1,"")</f>
        <v/>
      </c>
      <c r="W712">
        <f>IF($A712="","",IF(OR($T712=TRUE(),$T712="TRUE"),1,0))</f>
        <v/>
      </c>
      <c r="X712">
        <f>IF($U712=1,IFERROR(IF(VALUE($A712)&lt;100000000,VALUE($A712),1000000000),IFERROR(IF(VALUE(MID($A712,2,20))&lt;100000000,VALUE(MID($A712,2,20)),1000000000),1000000000))+ROW()/100000,"")</f>
        <v/>
      </c>
    </row>
    <row r="713">
      <c r="F713" s="7">
        <f>IF($A713="","",E713*N713/100)</f>
        <v/>
      </c>
      <c r="J713" s="7" t="n"/>
      <c r="K713" s="7">
        <f>IF($A713="","",S713*N713)</f>
        <v/>
      </c>
      <c r="L713" s="7">
        <f>IF($A713="","",N713-K713)</f>
        <v/>
      </c>
      <c r="M713" s="7">
        <f>IF($A713="","",L713-F713)</f>
        <v/>
      </c>
      <c r="N713" s="7" t="n"/>
      <c r="Q713" s="11" t="n"/>
      <c r="S713">
        <f>IF($A713="","",IF($W713=1,Settings!$C$6,Settings!$C$7)*1)</f>
        <v/>
      </c>
      <c r="U713">
        <f>IF($A713="","",IF(COUNTIF($A$2:$A713,$A713)=1,1,0))</f>
        <v/>
      </c>
      <c r="V713">
        <f>IF($U713=1,SUMPRODUCT(--($X$2:$X$3001&lt;$X713))+1,"")</f>
        <v/>
      </c>
      <c r="W713">
        <f>IF($A713="","",IF(OR($T713=TRUE(),$T713="TRUE"),1,0))</f>
        <v/>
      </c>
      <c r="X713">
        <f>IF($U713=1,IFERROR(IF(VALUE($A713)&lt;100000000,VALUE($A713),1000000000),IFERROR(IF(VALUE(MID($A713,2,20))&lt;100000000,VALUE(MID($A713,2,20)),1000000000),1000000000))+ROW()/100000,"")</f>
        <v/>
      </c>
    </row>
    <row r="714">
      <c r="F714" s="7">
        <f>IF($A714="","",E714*N714/100)</f>
        <v/>
      </c>
      <c r="J714" s="7" t="n"/>
      <c r="K714" s="7">
        <f>IF($A714="","",S714*N714)</f>
        <v/>
      </c>
      <c r="L714" s="7">
        <f>IF($A714="","",N714-K714)</f>
        <v/>
      </c>
      <c r="M714" s="7">
        <f>IF($A714="","",L714-F714)</f>
        <v/>
      </c>
      <c r="N714" s="7" t="n"/>
      <c r="Q714" s="11" t="n"/>
      <c r="S714">
        <f>IF($A714="","",IF($W714=1,Settings!$C$6,Settings!$C$7)*1)</f>
        <v/>
      </c>
      <c r="U714">
        <f>IF($A714="","",IF(COUNTIF($A$2:$A714,$A714)=1,1,0))</f>
        <v/>
      </c>
      <c r="V714">
        <f>IF($U714=1,SUMPRODUCT(--($X$2:$X$3001&lt;$X714))+1,"")</f>
        <v/>
      </c>
      <c r="W714">
        <f>IF($A714="","",IF(OR($T714=TRUE(),$T714="TRUE"),1,0))</f>
        <v/>
      </c>
      <c r="X714">
        <f>IF($U714=1,IFERROR(IF(VALUE($A714)&lt;100000000,VALUE($A714),1000000000),IFERROR(IF(VALUE(MID($A714,2,20))&lt;100000000,VALUE(MID($A714,2,20)),1000000000),1000000000))+ROW()/100000,"")</f>
        <v/>
      </c>
    </row>
    <row r="715">
      <c r="F715" s="7">
        <f>IF($A715="","",E715*N715/100)</f>
        <v/>
      </c>
      <c r="J715" s="7" t="n"/>
      <c r="K715" s="7">
        <f>IF($A715="","",S715*N715)</f>
        <v/>
      </c>
      <c r="L715" s="7">
        <f>IF($A715="","",N715-K715)</f>
        <v/>
      </c>
      <c r="M715" s="7">
        <f>IF($A715="","",L715-F715)</f>
        <v/>
      </c>
      <c r="N715" s="7" t="n"/>
      <c r="Q715" s="11" t="n"/>
      <c r="S715">
        <f>IF($A715="","",IF($W715=1,Settings!$C$6,Settings!$C$7)*1)</f>
        <v/>
      </c>
      <c r="U715">
        <f>IF($A715="","",IF(COUNTIF($A$2:$A715,$A715)=1,1,0))</f>
        <v/>
      </c>
      <c r="V715">
        <f>IF($U715=1,SUMPRODUCT(--($X$2:$X$3001&lt;$X715))+1,"")</f>
        <v/>
      </c>
      <c r="W715">
        <f>IF($A715="","",IF(OR($T715=TRUE(),$T715="TRUE"),1,0))</f>
        <v/>
      </c>
      <c r="X715">
        <f>IF($U715=1,IFERROR(IF(VALUE($A715)&lt;100000000,VALUE($A715),1000000000),IFERROR(IF(VALUE(MID($A715,2,20))&lt;100000000,VALUE(MID($A715,2,20)),1000000000),1000000000))+ROW()/100000,"")</f>
        <v/>
      </c>
    </row>
    <row r="716">
      <c r="F716" s="7">
        <f>IF($A716="","",E716*N716/100)</f>
        <v/>
      </c>
      <c r="J716" s="7" t="n"/>
      <c r="K716" s="7">
        <f>IF($A716="","",S716*N716)</f>
        <v/>
      </c>
      <c r="L716" s="7">
        <f>IF($A716="","",N716-K716)</f>
        <v/>
      </c>
      <c r="M716" s="7">
        <f>IF($A716="","",L716-F716)</f>
        <v/>
      </c>
      <c r="N716" s="7" t="n"/>
      <c r="Q716" s="11" t="n"/>
      <c r="S716">
        <f>IF($A716="","",IF($W716=1,Settings!$C$6,Settings!$C$7)*1)</f>
        <v/>
      </c>
      <c r="U716">
        <f>IF($A716="","",IF(COUNTIF($A$2:$A716,$A716)=1,1,0))</f>
        <v/>
      </c>
      <c r="V716">
        <f>IF($U716=1,SUMPRODUCT(--($X$2:$X$3001&lt;$X716))+1,"")</f>
        <v/>
      </c>
      <c r="W716">
        <f>IF($A716="","",IF(OR($T716=TRUE(),$T716="TRUE"),1,0))</f>
        <v/>
      </c>
      <c r="X716">
        <f>IF($U716=1,IFERROR(IF(VALUE($A716)&lt;100000000,VALUE($A716),1000000000),IFERROR(IF(VALUE(MID($A716,2,20))&lt;100000000,VALUE(MID($A716,2,20)),1000000000),1000000000))+ROW()/100000,"")</f>
        <v/>
      </c>
    </row>
    <row r="717">
      <c r="F717" s="7">
        <f>IF($A717="","",E717*N717/100)</f>
        <v/>
      </c>
      <c r="J717" s="7" t="n"/>
      <c r="K717" s="7">
        <f>IF($A717="","",S717*N717)</f>
        <v/>
      </c>
      <c r="L717" s="7">
        <f>IF($A717="","",N717-K717)</f>
        <v/>
      </c>
      <c r="M717" s="7">
        <f>IF($A717="","",L717-F717)</f>
        <v/>
      </c>
      <c r="N717" s="7" t="n"/>
      <c r="Q717" s="11" t="n"/>
      <c r="S717">
        <f>IF($A717="","",IF($W717=1,Settings!$C$6,Settings!$C$7)*1)</f>
        <v/>
      </c>
      <c r="U717">
        <f>IF($A717="","",IF(COUNTIF($A$2:$A717,$A717)=1,1,0))</f>
        <v/>
      </c>
      <c r="V717">
        <f>IF($U717=1,SUMPRODUCT(--($X$2:$X$3001&lt;$X717))+1,"")</f>
        <v/>
      </c>
      <c r="W717">
        <f>IF($A717="","",IF(OR($T717=TRUE(),$T717="TRUE"),1,0))</f>
        <v/>
      </c>
      <c r="X717">
        <f>IF($U717=1,IFERROR(IF(VALUE($A717)&lt;100000000,VALUE($A717),1000000000),IFERROR(IF(VALUE(MID($A717,2,20))&lt;100000000,VALUE(MID($A717,2,20)),1000000000),1000000000))+ROW()/100000,"")</f>
        <v/>
      </c>
    </row>
    <row r="718">
      <c r="F718" s="7">
        <f>IF($A718="","",E718*N718/100)</f>
        <v/>
      </c>
      <c r="J718" s="7" t="n"/>
      <c r="K718" s="7">
        <f>IF($A718="","",S718*N718)</f>
        <v/>
      </c>
      <c r="L718" s="7">
        <f>IF($A718="","",N718-K718)</f>
        <v/>
      </c>
      <c r="M718" s="7">
        <f>IF($A718="","",L718-F718)</f>
        <v/>
      </c>
      <c r="N718" s="7" t="n"/>
      <c r="Q718" s="11" t="n"/>
      <c r="S718">
        <f>IF($A718="","",IF($W718=1,Settings!$C$6,Settings!$C$7)*1)</f>
        <v/>
      </c>
      <c r="U718">
        <f>IF($A718="","",IF(COUNTIF($A$2:$A718,$A718)=1,1,0))</f>
        <v/>
      </c>
      <c r="V718">
        <f>IF($U718=1,SUMPRODUCT(--($X$2:$X$3001&lt;$X718))+1,"")</f>
        <v/>
      </c>
      <c r="W718">
        <f>IF($A718="","",IF(OR($T718=TRUE(),$T718="TRUE"),1,0))</f>
        <v/>
      </c>
      <c r="X718">
        <f>IF($U718=1,IFERROR(IF(VALUE($A718)&lt;100000000,VALUE($A718),1000000000),IFERROR(IF(VALUE(MID($A718,2,20))&lt;100000000,VALUE(MID($A718,2,20)),1000000000),1000000000))+ROW()/100000,"")</f>
        <v/>
      </c>
    </row>
    <row r="719">
      <c r="F719" s="7">
        <f>IF($A719="","",E719*N719/100)</f>
        <v/>
      </c>
      <c r="J719" s="7" t="n"/>
      <c r="K719" s="7">
        <f>IF($A719="","",S719*N719)</f>
        <v/>
      </c>
      <c r="L719" s="7">
        <f>IF($A719="","",N719-K719)</f>
        <v/>
      </c>
      <c r="M719" s="7">
        <f>IF($A719="","",L719-F719)</f>
        <v/>
      </c>
      <c r="N719" s="7" t="n"/>
      <c r="Q719" s="11" t="n"/>
      <c r="S719">
        <f>IF($A719="","",IF($W719=1,Settings!$C$6,Settings!$C$7)*1)</f>
        <v/>
      </c>
      <c r="U719">
        <f>IF($A719="","",IF(COUNTIF($A$2:$A719,$A719)=1,1,0))</f>
        <v/>
      </c>
      <c r="V719">
        <f>IF($U719=1,SUMPRODUCT(--($X$2:$X$3001&lt;$X719))+1,"")</f>
        <v/>
      </c>
      <c r="W719">
        <f>IF($A719="","",IF(OR($T719=TRUE(),$T719="TRUE"),1,0))</f>
        <v/>
      </c>
      <c r="X719">
        <f>IF($U719=1,IFERROR(IF(VALUE($A719)&lt;100000000,VALUE($A719),1000000000),IFERROR(IF(VALUE(MID($A719,2,20))&lt;100000000,VALUE(MID($A719,2,20)),1000000000),1000000000))+ROW()/100000,"")</f>
        <v/>
      </c>
    </row>
    <row r="720">
      <c r="F720" s="7">
        <f>IF($A720="","",E720*N720/100)</f>
        <v/>
      </c>
      <c r="J720" s="7" t="n"/>
      <c r="K720" s="7">
        <f>IF($A720="","",S720*N720)</f>
        <v/>
      </c>
      <c r="L720" s="7">
        <f>IF($A720="","",N720-K720)</f>
        <v/>
      </c>
      <c r="M720" s="7">
        <f>IF($A720="","",L720-F720)</f>
        <v/>
      </c>
      <c r="N720" s="7" t="n"/>
      <c r="Q720" s="11" t="n"/>
      <c r="S720">
        <f>IF($A720="","",IF($W720=1,Settings!$C$6,Settings!$C$7)*1)</f>
        <v/>
      </c>
      <c r="U720">
        <f>IF($A720="","",IF(COUNTIF($A$2:$A720,$A720)=1,1,0))</f>
        <v/>
      </c>
      <c r="V720">
        <f>IF($U720=1,SUMPRODUCT(--($X$2:$X$3001&lt;$X720))+1,"")</f>
        <v/>
      </c>
      <c r="W720">
        <f>IF($A720="","",IF(OR($T720=TRUE(),$T720="TRUE"),1,0))</f>
        <v/>
      </c>
      <c r="X720">
        <f>IF($U720=1,IFERROR(IF(VALUE($A720)&lt;100000000,VALUE($A720),1000000000),IFERROR(IF(VALUE(MID($A720,2,20))&lt;100000000,VALUE(MID($A720,2,20)),1000000000),1000000000))+ROW()/100000,"")</f>
        <v/>
      </c>
    </row>
    <row r="721">
      <c r="F721" s="7">
        <f>IF($A721="","",E721*N721/100)</f>
        <v/>
      </c>
      <c r="J721" s="7" t="n"/>
      <c r="K721" s="7">
        <f>IF($A721="","",S721*N721)</f>
        <v/>
      </c>
      <c r="L721" s="7">
        <f>IF($A721="","",N721-K721)</f>
        <v/>
      </c>
      <c r="M721" s="7">
        <f>IF($A721="","",L721-F721)</f>
        <v/>
      </c>
      <c r="N721" s="7" t="n"/>
      <c r="Q721" s="11" t="n"/>
      <c r="S721">
        <f>IF($A721="","",IF($W721=1,Settings!$C$6,Settings!$C$7)*1)</f>
        <v/>
      </c>
      <c r="U721">
        <f>IF($A721="","",IF(COUNTIF($A$2:$A721,$A721)=1,1,0))</f>
        <v/>
      </c>
      <c r="V721">
        <f>IF($U721=1,SUMPRODUCT(--($X$2:$X$3001&lt;$X721))+1,"")</f>
        <v/>
      </c>
      <c r="W721">
        <f>IF($A721="","",IF(OR($T721=TRUE(),$T721="TRUE"),1,0))</f>
        <v/>
      </c>
      <c r="X721">
        <f>IF($U721=1,IFERROR(IF(VALUE($A721)&lt;100000000,VALUE($A721),1000000000),IFERROR(IF(VALUE(MID($A721,2,20))&lt;100000000,VALUE(MID($A721,2,20)),1000000000),1000000000))+ROW()/100000,"")</f>
        <v/>
      </c>
    </row>
    <row r="722">
      <c r="F722" s="7">
        <f>IF($A722="","",E722*N722/100)</f>
        <v/>
      </c>
      <c r="J722" s="7" t="n"/>
      <c r="K722" s="7">
        <f>IF($A722="","",S722*N722)</f>
        <v/>
      </c>
      <c r="L722" s="7">
        <f>IF($A722="","",N722-K722)</f>
        <v/>
      </c>
      <c r="M722" s="7">
        <f>IF($A722="","",L722-F722)</f>
        <v/>
      </c>
      <c r="N722" s="7" t="n"/>
      <c r="Q722" s="11" t="n"/>
      <c r="S722">
        <f>IF($A722="","",IF($W722=1,Settings!$C$6,Settings!$C$7)*1)</f>
        <v/>
      </c>
      <c r="U722">
        <f>IF($A722="","",IF(COUNTIF($A$2:$A722,$A722)=1,1,0))</f>
        <v/>
      </c>
      <c r="V722">
        <f>IF($U722=1,SUMPRODUCT(--($X$2:$X$3001&lt;$X722))+1,"")</f>
        <v/>
      </c>
      <c r="W722">
        <f>IF($A722="","",IF(OR($T722=TRUE(),$T722="TRUE"),1,0))</f>
        <v/>
      </c>
      <c r="X722">
        <f>IF($U722=1,IFERROR(IF(VALUE($A722)&lt;100000000,VALUE($A722),1000000000),IFERROR(IF(VALUE(MID($A722,2,20))&lt;100000000,VALUE(MID($A722,2,20)),1000000000),1000000000))+ROW()/100000,"")</f>
        <v/>
      </c>
    </row>
    <row r="723">
      <c r="F723" s="7">
        <f>IF($A723="","",E723*N723/100)</f>
        <v/>
      </c>
      <c r="J723" s="7" t="n"/>
      <c r="K723" s="7">
        <f>IF($A723="","",S723*N723)</f>
        <v/>
      </c>
      <c r="L723" s="7">
        <f>IF($A723="","",N723-K723)</f>
        <v/>
      </c>
      <c r="M723" s="7">
        <f>IF($A723="","",L723-F723)</f>
        <v/>
      </c>
      <c r="N723" s="7" t="n"/>
      <c r="Q723" s="11" t="n"/>
      <c r="S723">
        <f>IF($A723="","",IF($W723=1,Settings!$C$6,Settings!$C$7)*1)</f>
        <v/>
      </c>
      <c r="U723">
        <f>IF($A723="","",IF(COUNTIF($A$2:$A723,$A723)=1,1,0))</f>
        <v/>
      </c>
      <c r="V723">
        <f>IF($U723=1,SUMPRODUCT(--($X$2:$X$3001&lt;$X723))+1,"")</f>
        <v/>
      </c>
      <c r="W723">
        <f>IF($A723="","",IF(OR($T723=TRUE(),$T723="TRUE"),1,0))</f>
        <v/>
      </c>
      <c r="X723">
        <f>IF($U723=1,IFERROR(IF(VALUE($A723)&lt;100000000,VALUE($A723),1000000000),IFERROR(IF(VALUE(MID($A723,2,20))&lt;100000000,VALUE(MID($A723,2,20)),1000000000),1000000000))+ROW()/100000,"")</f>
        <v/>
      </c>
    </row>
    <row r="724">
      <c r="F724" s="7">
        <f>IF($A724="","",E724*N724/100)</f>
        <v/>
      </c>
      <c r="J724" s="7" t="n"/>
      <c r="K724" s="7">
        <f>IF($A724="","",S724*N724)</f>
        <v/>
      </c>
      <c r="L724" s="7">
        <f>IF($A724="","",N724-K724)</f>
        <v/>
      </c>
      <c r="M724" s="7">
        <f>IF($A724="","",L724-F724)</f>
        <v/>
      </c>
      <c r="N724" s="7" t="n"/>
      <c r="Q724" s="11" t="n"/>
      <c r="S724">
        <f>IF($A724="","",IF($W724=1,Settings!$C$6,Settings!$C$7)*1)</f>
        <v/>
      </c>
      <c r="U724">
        <f>IF($A724="","",IF(COUNTIF($A$2:$A724,$A724)=1,1,0))</f>
        <v/>
      </c>
      <c r="V724">
        <f>IF($U724=1,SUMPRODUCT(--($X$2:$X$3001&lt;$X724))+1,"")</f>
        <v/>
      </c>
      <c r="W724">
        <f>IF($A724="","",IF(OR($T724=TRUE(),$T724="TRUE"),1,0))</f>
        <v/>
      </c>
      <c r="X724">
        <f>IF($U724=1,IFERROR(IF(VALUE($A724)&lt;100000000,VALUE($A724),1000000000),IFERROR(IF(VALUE(MID($A724,2,20))&lt;100000000,VALUE(MID($A724,2,20)),1000000000),1000000000))+ROW()/100000,"")</f>
        <v/>
      </c>
    </row>
    <row r="725">
      <c r="F725" s="7">
        <f>IF($A725="","",E725*N725/100)</f>
        <v/>
      </c>
      <c r="J725" s="7" t="n"/>
      <c r="K725" s="7">
        <f>IF($A725="","",S725*N725)</f>
        <v/>
      </c>
      <c r="L725" s="7">
        <f>IF($A725="","",N725-K725)</f>
        <v/>
      </c>
      <c r="M725" s="7">
        <f>IF($A725="","",L725-F725)</f>
        <v/>
      </c>
      <c r="N725" s="7" t="n"/>
      <c r="Q725" s="11" t="n"/>
      <c r="S725">
        <f>IF($A725="","",IF($W725=1,Settings!$C$6,Settings!$C$7)*1)</f>
        <v/>
      </c>
      <c r="U725">
        <f>IF($A725="","",IF(COUNTIF($A$2:$A725,$A725)=1,1,0))</f>
        <v/>
      </c>
      <c r="V725">
        <f>IF($U725=1,SUMPRODUCT(--($X$2:$X$3001&lt;$X725))+1,"")</f>
        <v/>
      </c>
      <c r="W725">
        <f>IF($A725="","",IF(OR($T725=TRUE(),$T725="TRUE"),1,0))</f>
        <v/>
      </c>
      <c r="X725">
        <f>IF($U725=1,IFERROR(IF(VALUE($A725)&lt;100000000,VALUE($A725),1000000000),IFERROR(IF(VALUE(MID($A725,2,20))&lt;100000000,VALUE(MID($A725,2,20)),1000000000),1000000000))+ROW()/100000,"")</f>
        <v/>
      </c>
    </row>
    <row r="726">
      <c r="F726" s="7">
        <f>IF($A726="","",E726*N726/100)</f>
        <v/>
      </c>
      <c r="J726" s="7" t="n"/>
      <c r="K726" s="7">
        <f>IF($A726="","",S726*N726)</f>
        <v/>
      </c>
      <c r="L726" s="7">
        <f>IF($A726="","",N726-K726)</f>
        <v/>
      </c>
      <c r="M726" s="7">
        <f>IF($A726="","",L726-F726)</f>
        <v/>
      </c>
      <c r="N726" s="7" t="n"/>
      <c r="Q726" s="11" t="n"/>
      <c r="S726">
        <f>IF($A726="","",IF($W726=1,Settings!$C$6,Settings!$C$7)*1)</f>
        <v/>
      </c>
      <c r="U726">
        <f>IF($A726="","",IF(COUNTIF($A$2:$A726,$A726)=1,1,0))</f>
        <v/>
      </c>
      <c r="V726">
        <f>IF($U726=1,SUMPRODUCT(--($X$2:$X$3001&lt;$X726))+1,"")</f>
        <v/>
      </c>
      <c r="W726">
        <f>IF($A726="","",IF(OR($T726=TRUE(),$T726="TRUE"),1,0))</f>
        <v/>
      </c>
      <c r="X726">
        <f>IF($U726=1,IFERROR(IF(VALUE($A726)&lt;100000000,VALUE($A726),1000000000),IFERROR(IF(VALUE(MID($A726,2,20))&lt;100000000,VALUE(MID($A726,2,20)),1000000000),1000000000))+ROW()/100000,"")</f>
        <v/>
      </c>
    </row>
    <row r="727">
      <c r="F727" s="7">
        <f>IF($A727="","",E727*N727/100)</f>
        <v/>
      </c>
      <c r="J727" s="7" t="n"/>
      <c r="K727" s="7">
        <f>IF($A727="","",S727*N727)</f>
        <v/>
      </c>
      <c r="L727" s="7">
        <f>IF($A727="","",N727-K727)</f>
        <v/>
      </c>
      <c r="M727" s="7">
        <f>IF($A727="","",L727-F727)</f>
        <v/>
      </c>
      <c r="N727" s="7" t="n"/>
      <c r="Q727" s="11" t="n"/>
      <c r="S727">
        <f>IF($A727="","",IF($W727=1,Settings!$C$6,Settings!$C$7)*1)</f>
        <v/>
      </c>
      <c r="U727">
        <f>IF($A727="","",IF(COUNTIF($A$2:$A727,$A727)=1,1,0))</f>
        <v/>
      </c>
      <c r="V727">
        <f>IF($U727=1,SUMPRODUCT(--($X$2:$X$3001&lt;$X727))+1,"")</f>
        <v/>
      </c>
      <c r="W727">
        <f>IF($A727="","",IF(OR($T727=TRUE(),$T727="TRUE"),1,0))</f>
        <v/>
      </c>
      <c r="X727">
        <f>IF($U727=1,IFERROR(IF(VALUE($A727)&lt;100000000,VALUE($A727),1000000000),IFERROR(IF(VALUE(MID($A727,2,20))&lt;100000000,VALUE(MID($A727,2,20)),1000000000),1000000000))+ROW()/100000,"")</f>
        <v/>
      </c>
    </row>
    <row r="728">
      <c r="F728" s="7">
        <f>IF($A728="","",E728*N728/100)</f>
        <v/>
      </c>
      <c r="J728" s="7" t="n"/>
      <c r="K728" s="7">
        <f>IF($A728="","",S728*N728)</f>
        <v/>
      </c>
      <c r="L728" s="7">
        <f>IF($A728="","",N728-K728)</f>
        <v/>
      </c>
      <c r="M728" s="7">
        <f>IF($A728="","",L728-F728)</f>
        <v/>
      </c>
      <c r="N728" s="7" t="n"/>
      <c r="Q728" s="11" t="n"/>
      <c r="S728">
        <f>IF($A728="","",IF($W728=1,Settings!$C$6,Settings!$C$7)*1)</f>
        <v/>
      </c>
      <c r="U728">
        <f>IF($A728="","",IF(COUNTIF($A$2:$A728,$A728)=1,1,0))</f>
        <v/>
      </c>
      <c r="V728">
        <f>IF($U728=1,SUMPRODUCT(--($X$2:$X$3001&lt;$X728))+1,"")</f>
        <v/>
      </c>
      <c r="W728">
        <f>IF($A728="","",IF(OR($T728=TRUE(),$T728="TRUE"),1,0))</f>
        <v/>
      </c>
      <c r="X728">
        <f>IF($U728=1,IFERROR(IF(VALUE($A728)&lt;100000000,VALUE($A728),1000000000),IFERROR(IF(VALUE(MID($A728,2,20))&lt;100000000,VALUE(MID($A728,2,20)),1000000000),1000000000))+ROW()/100000,"")</f>
        <v/>
      </c>
    </row>
    <row r="729">
      <c r="F729" s="7">
        <f>IF($A729="","",E729*N729/100)</f>
        <v/>
      </c>
      <c r="J729" s="7" t="n"/>
      <c r="K729" s="7">
        <f>IF($A729="","",S729*N729)</f>
        <v/>
      </c>
      <c r="L729" s="7">
        <f>IF($A729="","",N729-K729)</f>
        <v/>
      </c>
      <c r="M729" s="7">
        <f>IF($A729="","",L729-F729)</f>
        <v/>
      </c>
      <c r="N729" s="7" t="n"/>
      <c r="Q729" s="11" t="n"/>
      <c r="S729">
        <f>IF($A729="","",IF($W729=1,Settings!$C$6,Settings!$C$7)*1)</f>
        <v/>
      </c>
      <c r="U729">
        <f>IF($A729="","",IF(COUNTIF($A$2:$A729,$A729)=1,1,0))</f>
        <v/>
      </c>
      <c r="V729">
        <f>IF($U729=1,SUMPRODUCT(--($X$2:$X$3001&lt;$X729))+1,"")</f>
        <v/>
      </c>
      <c r="W729">
        <f>IF($A729="","",IF(OR($T729=TRUE(),$T729="TRUE"),1,0))</f>
        <v/>
      </c>
      <c r="X729">
        <f>IF($U729=1,IFERROR(IF(VALUE($A729)&lt;100000000,VALUE($A729),1000000000),IFERROR(IF(VALUE(MID($A729,2,20))&lt;100000000,VALUE(MID($A729,2,20)),1000000000),1000000000))+ROW()/100000,"")</f>
        <v/>
      </c>
    </row>
    <row r="730">
      <c r="F730" s="7">
        <f>IF($A730="","",E730*N730/100)</f>
        <v/>
      </c>
      <c r="J730" s="7" t="n"/>
      <c r="K730" s="7">
        <f>IF($A730="","",S730*N730)</f>
        <v/>
      </c>
      <c r="L730" s="7">
        <f>IF($A730="","",N730-K730)</f>
        <v/>
      </c>
      <c r="M730" s="7">
        <f>IF($A730="","",L730-F730)</f>
        <v/>
      </c>
      <c r="N730" s="7" t="n"/>
      <c r="Q730" s="11" t="n"/>
      <c r="S730">
        <f>IF($A730="","",IF($W730=1,Settings!$C$6,Settings!$C$7)*1)</f>
        <v/>
      </c>
      <c r="U730">
        <f>IF($A730="","",IF(COUNTIF($A$2:$A730,$A730)=1,1,0))</f>
        <v/>
      </c>
      <c r="V730">
        <f>IF($U730=1,SUMPRODUCT(--($X$2:$X$3001&lt;$X730))+1,"")</f>
        <v/>
      </c>
      <c r="W730">
        <f>IF($A730="","",IF(OR($T730=TRUE(),$T730="TRUE"),1,0))</f>
        <v/>
      </c>
      <c r="X730">
        <f>IF($U730=1,IFERROR(IF(VALUE($A730)&lt;100000000,VALUE($A730),1000000000),IFERROR(IF(VALUE(MID($A730,2,20))&lt;100000000,VALUE(MID($A730,2,20)),1000000000),1000000000))+ROW()/100000,"")</f>
        <v/>
      </c>
    </row>
    <row r="731">
      <c r="F731" s="7">
        <f>IF($A731="","",E731*N731/100)</f>
        <v/>
      </c>
      <c r="J731" s="7" t="n"/>
      <c r="K731" s="7">
        <f>IF($A731="","",S731*N731)</f>
        <v/>
      </c>
      <c r="L731" s="7">
        <f>IF($A731="","",N731-K731)</f>
        <v/>
      </c>
      <c r="M731" s="7">
        <f>IF($A731="","",L731-F731)</f>
        <v/>
      </c>
      <c r="N731" s="7" t="n"/>
      <c r="Q731" s="11" t="n"/>
      <c r="S731">
        <f>IF($A731="","",IF($W731=1,Settings!$C$6,Settings!$C$7)*1)</f>
        <v/>
      </c>
      <c r="U731">
        <f>IF($A731="","",IF(COUNTIF($A$2:$A731,$A731)=1,1,0))</f>
        <v/>
      </c>
      <c r="V731">
        <f>IF($U731=1,SUMPRODUCT(--($X$2:$X$3001&lt;$X731))+1,"")</f>
        <v/>
      </c>
      <c r="W731">
        <f>IF($A731="","",IF(OR($T731=TRUE(),$T731="TRUE"),1,0))</f>
        <v/>
      </c>
      <c r="X731">
        <f>IF($U731=1,IFERROR(IF(VALUE($A731)&lt;100000000,VALUE($A731),1000000000),IFERROR(IF(VALUE(MID($A731,2,20))&lt;100000000,VALUE(MID($A731,2,20)),1000000000),1000000000))+ROW()/100000,"")</f>
        <v/>
      </c>
    </row>
    <row r="732">
      <c r="F732" s="7">
        <f>IF($A732="","",E732*N732/100)</f>
        <v/>
      </c>
      <c r="J732" s="7" t="n"/>
      <c r="K732" s="7">
        <f>IF($A732="","",S732*N732)</f>
        <v/>
      </c>
      <c r="L732" s="7">
        <f>IF($A732="","",N732-K732)</f>
        <v/>
      </c>
      <c r="M732" s="7">
        <f>IF($A732="","",L732-F732)</f>
        <v/>
      </c>
      <c r="N732" s="7" t="n"/>
      <c r="Q732" s="11" t="n"/>
      <c r="S732">
        <f>IF($A732="","",IF($W732=1,Settings!$C$6,Settings!$C$7)*1)</f>
        <v/>
      </c>
      <c r="U732">
        <f>IF($A732="","",IF(COUNTIF($A$2:$A732,$A732)=1,1,0))</f>
        <v/>
      </c>
      <c r="V732">
        <f>IF($U732=1,SUMPRODUCT(--($X$2:$X$3001&lt;$X732))+1,"")</f>
        <v/>
      </c>
      <c r="W732">
        <f>IF($A732="","",IF(OR($T732=TRUE(),$T732="TRUE"),1,0))</f>
        <v/>
      </c>
      <c r="X732">
        <f>IF($U732=1,IFERROR(IF(VALUE($A732)&lt;100000000,VALUE($A732),1000000000),IFERROR(IF(VALUE(MID($A732,2,20))&lt;100000000,VALUE(MID($A732,2,20)),1000000000),1000000000))+ROW()/100000,"")</f>
        <v/>
      </c>
    </row>
    <row r="733">
      <c r="F733" s="7">
        <f>IF($A733="","",E733*N733/100)</f>
        <v/>
      </c>
      <c r="J733" s="7" t="n"/>
      <c r="K733" s="7">
        <f>IF($A733="","",S733*N733)</f>
        <v/>
      </c>
      <c r="L733" s="7">
        <f>IF($A733="","",N733-K733)</f>
        <v/>
      </c>
      <c r="M733" s="7">
        <f>IF($A733="","",L733-F733)</f>
        <v/>
      </c>
      <c r="N733" s="7" t="n"/>
      <c r="Q733" s="11" t="n"/>
      <c r="S733">
        <f>IF($A733="","",IF($W733=1,Settings!$C$6,Settings!$C$7)*1)</f>
        <v/>
      </c>
      <c r="U733">
        <f>IF($A733="","",IF(COUNTIF($A$2:$A733,$A733)=1,1,0))</f>
        <v/>
      </c>
      <c r="V733">
        <f>IF($U733=1,SUMPRODUCT(--($X$2:$X$3001&lt;$X733))+1,"")</f>
        <v/>
      </c>
      <c r="W733">
        <f>IF($A733="","",IF(OR($T733=TRUE(),$T733="TRUE"),1,0))</f>
        <v/>
      </c>
      <c r="X733">
        <f>IF($U733=1,IFERROR(IF(VALUE($A733)&lt;100000000,VALUE($A733),1000000000),IFERROR(IF(VALUE(MID($A733,2,20))&lt;100000000,VALUE(MID($A733,2,20)),1000000000),1000000000))+ROW()/100000,"")</f>
        <v/>
      </c>
    </row>
    <row r="734">
      <c r="F734" s="7">
        <f>IF($A734="","",E734*N734/100)</f>
        <v/>
      </c>
      <c r="J734" s="7" t="n"/>
      <c r="K734" s="7">
        <f>IF($A734="","",S734*N734)</f>
        <v/>
      </c>
      <c r="L734" s="7">
        <f>IF($A734="","",N734-K734)</f>
        <v/>
      </c>
      <c r="M734" s="7">
        <f>IF($A734="","",L734-F734)</f>
        <v/>
      </c>
      <c r="N734" s="7" t="n"/>
      <c r="Q734" s="11" t="n"/>
      <c r="S734">
        <f>IF($A734="","",IF($W734=1,Settings!$C$6,Settings!$C$7)*1)</f>
        <v/>
      </c>
      <c r="U734">
        <f>IF($A734="","",IF(COUNTIF($A$2:$A734,$A734)=1,1,0))</f>
        <v/>
      </c>
      <c r="V734">
        <f>IF($U734=1,SUMPRODUCT(--($X$2:$X$3001&lt;$X734))+1,"")</f>
        <v/>
      </c>
      <c r="W734">
        <f>IF($A734="","",IF(OR($T734=TRUE(),$T734="TRUE"),1,0))</f>
        <v/>
      </c>
      <c r="X734">
        <f>IF($U734=1,IFERROR(IF(VALUE($A734)&lt;100000000,VALUE($A734),1000000000),IFERROR(IF(VALUE(MID($A734,2,20))&lt;100000000,VALUE(MID($A734,2,20)),1000000000),1000000000))+ROW()/100000,"")</f>
        <v/>
      </c>
    </row>
    <row r="735">
      <c r="F735" s="7">
        <f>IF($A735="","",E735*N735/100)</f>
        <v/>
      </c>
      <c r="J735" s="7" t="n"/>
      <c r="K735" s="7">
        <f>IF($A735="","",S735*N735)</f>
        <v/>
      </c>
      <c r="L735" s="7">
        <f>IF($A735="","",N735-K735)</f>
        <v/>
      </c>
      <c r="M735" s="7">
        <f>IF($A735="","",L735-F735)</f>
        <v/>
      </c>
      <c r="N735" s="7" t="n"/>
      <c r="Q735" s="11" t="n"/>
      <c r="S735">
        <f>IF($A735="","",IF($W735=1,Settings!$C$6,Settings!$C$7)*1)</f>
        <v/>
      </c>
      <c r="U735">
        <f>IF($A735="","",IF(COUNTIF($A$2:$A735,$A735)=1,1,0))</f>
        <v/>
      </c>
      <c r="V735">
        <f>IF($U735=1,SUMPRODUCT(--($X$2:$X$3001&lt;$X735))+1,"")</f>
        <v/>
      </c>
      <c r="W735">
        <f>IF($A735="","",IF(OR($T735=TRUE(),$T735="TRUE"),1,0))</f>
        <v/>
      </c>
      <c r="X735">
        <f>IF($U735=1,IFERROR(IF(VALUE($A735)&lt;100000000,VALUE($A735),1000000000),IFERROR(IF(VALUE(MID($A735,2,20))&lt;100000000,VALUE(MID($A735,2,20)),1000000000),1000000000))+ROW()/100000,"")</f>
        <v/>
      </c>
    </row>
    <row r="736">
      <c r="F736" s="7">
        <f>IF($A736="","",E736*N736/100)</f>
        <v/>
      </c>
      <c r="J736" s="7" t="n"/>
      <c r="K736" s="7">
        <f>IF($A736="","",S736*N736)</f>
        <v/>
      </c>
      <c r="L736" s="7">
        <f>IF($A736="","",N736-K736)</f>
        <v/>
      </c>
      <c r="M736" s="7">
        <f>IF($A736="","",L736-F736)</f>
        <v/>
      </c>
      <c r="N736" s="7" t="n"/>
      <c r="Q736" s="11" t="n"/>
      <c r="S736">
        <f>IF($A736="","",IF($W736=1,Settings!$C$6,Settings!$C$7)*1)</f>
        <v/>
      </c>
      <c r="U736">
        <f>IF($A736="","",IF(COUNTIF($A$2:$A736,$A736)=1,1,0))</f>
        <v/>
      </c>
      <c r="V736">
        <f>IF($U736=1,SUMPRODUCT(--($X$2:$X$3001&lt;$X736))+1,"")</f>
        <v/>
      </c>
      <c r="W736">
        <f>IF($A736="","",IF(OR($T736=TRUE(),$T736="TRUE"),1,0))</f>
        <v/>
      </c>
      <c r="X736">
        <f>IF($U736=1,IFERROR(IF(VALUE($A736)&lt;100000000,VALUE($A736),1000000000),IFERROR(IF(VALUE(MID($A736,2,20))&lt;100000000,VALUE(MID($A736,2,20)),1000000000),1000000000))+ROW()/100000,"")</f>
        <v/>
      </c>
    </row>
    <row r="737">
      <c r="F737" s="7">
        <f>IF($A737="","",E737*N737/100)</f>
        <v/>
      </c>
      <c r="J737" s="7" t="n"/>
      <c r="K737" s="7">
        <f>IF($A737="","",S737*N737)</f>
        <v/>
      </c>
      <c r="L737" s="7">
        <f>IF($A737="","",N737-K737)</f>
        <v/>
      </c>
      <c r="M737" s="7">
        <f>IF($A737="","",L737-F737)</f>
        <v/>
      </c>
      <c r="N737" s="7" t="n"/>
      <c r="Q737" s="11" t="n"/>
      <c r="S737">
        <f>IF($A737="","",IF($W737=1,Settings!$C$6,Settings!$C$7)*1)</f>
        <v/>
      </c>
      <c r="U737">
        <f>IF($A737="","",IF(COUNTIF($A$2:$A737,$A737)=1,1,0))</f>
        <v/>
      </c>
      <c r="V737">
        <f>IF($U737=1,SUMPRODUCT(--($X$2:$X$3001&lt;$X737))+1,"")</f>
        <v/>
      </c>
      <c r="W737">
        <f>IF($A737="","",IF(OR($T737=TRUE(),$T737="TRUE"),1,0))</f>
        <v/>
      </c>
      <c r="X737">
        <f>IF($U737=1,IFERROR(IF(VALUE($A737)&lt;100000000,VALUE($A737),1000000000),IFERROR(IF(VALUE(MID($A737,2,20))&lt;100000000,VALUE(MID($A737,2,20)),1000000000),1000000000))+ROW()/100000,"")</f>
        <v/>
      </c>
    </row>
    <row r="738">
      <c r="F738" s="7">
        <f>IF($A738="","",E738*N738/100)</f>
        <v/>
      </c>
      <c r="J738" s="7" t="n"/>
      <c r="K738" s="7">
        <f>IF($A738="","",S738*N738)</f>
        <v/>
      </c>
      <c r="L738" s="7">
        <f>IF($A738="","",N738-K738)</f>
        <v/>
      </c>
      <c r="M738" s="7">
        <f>IF($A738="","",L738-F738)</f>
        <v/>
      </c>
      <c r="N738" s="7" t="n"/>
      <c r="Q738" s="11" t="n"/>
      <c r="S738">
        <f>IF($A738="","",IF($W738=1,Settings!$C$6,Settings!$C$7)*1)</f>
        <v/>
      </c>
      <c r="U738">
        <f>IF($A738="","",IF(COUNTIF($A$2:$A738,$A738)=1,1,0))</f>
        <v/>
      </c>
      <c r="V738">
        <f>IF($U738=1,SUMPRODUCT(--($X$2:$X$3001&lt;$X738))+1,"")</f>
        <v/>
      </c>
      <c r="W738">
        <f>IF($A738="","",IF(OR($T738=TRUE(),$T738="TRUE"),1,0))</f>
        <v/>
      </c>
      <c r="X738">
        <f>IF($U738=1,IFERROR(IF(VALUE($A738)&lt;100000000,VALUE($A738),1000000000),IFERROR(IF(VALUE(MID($A738,2,20))&lt;100000000,VALUE(MID($A738,2,20)),1000000000),1000000000))+ROW()/100000,"")</f>
        <v/>
      </c>
    </row>
    <row r="739">
      <c r="F739" s="7">
        <f>IF($A739="","",E739*N739/100)</f>
        <v/>
      </c>
      <c r="J739" s="7" t="n"/>
      <c r="K739" s="7">
        <f>IF($A739="","",S739*N739)</f>
        <v/>
      </c>
      <c r="L739" s="7">
        <f>IF($A739="","",N739-K739)</f>
        <v/>
      </c>
      <c r="M739" s="7">
        <f>IF($A739="","",L739-F739)</f>
        <v/>
      </c>
      <c r="N739" s="7" t="n"/>
      <c r="Q739" s="11" t="n"/>
      <c r="S739">
        <f>IF($A739="","",IF($W739=1,Settings!$C$6,Settings!$C$7)*1)</f>
        <v/>
      </c>
      <c r="U739">
        <f>IF($A739="","",IF(COUNTIF($A$2:$A739,$A739)=1,1,0))</f>
        <v/>
      </c>
      <c r="V739">
        <f>IF($U739=1,SUMPRODUCT(--($X$2:$X$3001&lt;$X739))+1,"")</f>
        <v/>
      </c>
      <c r="W739">
        <f>IF($A739="","",IF(OR($T739=TRUE(),$T739="TRUE"),1,0))</f>
        <v/>
      </c>
      <c r="X739">
        <f>IF($U739=1,IFERROR(IF(VALUE($A739)&lt;100000000,VALUE($A739),1000000000),IFERROR(IF(VALUE(MID($A739,2,20))&lt;100000000,VALUE(MID($A739,2,20)),1000000000),1000000000))+ROW()/100000,"")</f>
        <v/>
      </c>
    </row>
    <row r="740">
      <c r="F740" s="7">
        <f>IF($A740="","",E740*N740/100)</f>
        <v/>
      </c>
      <c r="J740" s="7" t="n"/>
      <c r="K740" s="7">
        <f>IF($A740="","",S740*N740)</f>
        <v/>
      </c>
      <c r="L740" s="7">
        <f>IF($A740="","",N740-K740)</f>
        <v/>
      </c>
      <c r="M740" s="7">
        <f>IF($A740="","",L740-F740)</f>
        <v/>
      </c>
      <c r="N740" s="7" t="n"/>
      <c r="Q740" s="11" t="n"/>
      <c r="S740">
        <f>IF($A740="","",IF($W740=1,Settings!$C$6,Settings!$C$7)*1)</f>
        <v/>
      </c>
      <c r="U740">
        <f>IF($A740="","",IF(COUNTIF($A$2:$A740,$A740)=1,1,0))</f>
        <v/>
      </c>
      <c r="V740">
        <f>IF($U740=1,SUMPRODUCT(--($X$2:$X$3001&lt;$X740))+1,"")</f>
        <v/>
      </c>
      <c r="W740">
        <f>IF($A740="","",IF(OR($T740=TRUE(),$T740="TRUE"),1,0))</f>
        <v/>
      </c>
      <c r="X740">
        <f>IF($U740=1,IFERROR(IF(VALUE($A740)&lt;100000000,VALUE($A740),1000000000),IFERROR(IF(VALUE(MID($A740,2,20))&lt;100000000,VALUE(MID($A740,2,20)),1000000000),1000000000))+ROW()/100000,"")</f>
        <v/>
      </c>
    </row>
    <row r="741">
      <c r="F741" s="7">
        <f>IF($A741="","",E741*N741/100)</f>
        <v/>
      </c>
      <c r="J741" s="7" t="n"/>
      <c r="K741" s="7">
        <f>IF($A741="","",S741*N741)</f>
        <v/>
      </c>
      <c r="L741" s="7">
        <f>IF($A741="","",N741-K741)</f>
        <v/>
      </c>
      <c r="M741" s="7">
        <f>IF($A741="","",L741-F741)</f>
        <v/>
      </c>
      <c r="N741" s="7" t="n"/>
      <c r="Q741" s="11" t="n"/>
      <c r="S741">
        <f>IF($A741="","",IF($W741=1,Settings!$C$6,Settings!$C$7)*1)</f>
        <v/>
      </c>
      <c r="U741">
        <f>IF($A741="","",IF(COUNTIF($A$2:$A741,$A741)=1,1,0))</f>
        <v/>
      </c>
      <c r="V741">
        <f>IF($U741=1,SUMPRODUCT(--($X$2:$X$3001&lt;$X741))+1,"")</f>
        <v/>
      </c>
      <c r="W741">
        <f>IF($A741="","",IF(OR($T741=TRUE(),$T741="TRUE"),1,0))</f>
        <v/>
      </c>
      <c r="X741">
        <f>IF($U741=1,IFERROR(IF(VALUE($A741)&lt;100000000,VALUE($A741),1000000000),IFERROR(IF(VALUE(MID($A741,2,20))&lt;100000000,VALUE(MID($A741,2,20)),1000000000),1000000000))+ROW()/100000,"")</f>
        <v/>
      </c>
    </row>
    <row r="742">
      <c r="F742" s="7">
        <f>IF($A742="","",E742*N742/100)</f>
        <v/>
      </c>
      <c r="J742" s="7" t="n"/>
      <c r="K742" s="7">
        <f>IF($A742="","",S742*N742)</f>
        <v/>
      </c>
      <c r="L742" s="7">
        <f>IF($A742="","",N742-K742)</f>
        <v/>
      </c>
      <c r="M742" s="7">
        <f>IF($A742="","",L742-F742)</f>
        <v/>
      </c>
      <c r="N742" s="7" t="n"/>
      <c r="Q742" s="11" t="n"/>
      <c r="S742">
        <f>IF($A742="","",IF($W742=1,Settings!$C$6,Settings!$C$7)*1)</f>
        <v/>
      </c>
      <c r="U742">
        <f>IF($A742="","",IF(COUNTIF($A$2:$A742,$A742)=1,1,0))</f>
        <v/>
      </c>
      <c r="V742">
        <f>IF($U742=1,SUMPRODUCT(--($X$2:$X$3001&lt;$X742))+1,"")</f>
        <v/>
      </c>
      <c r="W742">
        <f>IF($A742="","",IF(OR($T742=TRUE(),$T742="TRUE"),1,0))</f>
        <v/>
      </c>
      <c r="X742">
        <f>IF($U742=1,IFERROR(IF(VALUE($A742)&lt;100000000,VALUE($A742),1000000000),IFERROR(IF(VALUE(MID($A742,2,20))&lt;100000000,VALUE(MID($A742,2,20)),1000000000),1000000000))+ROW()/100000,"")</f>
        <v/>
      </c>
    </row>
    <row r="743">
      <c r="F743" s="7">
        <f>IF($A743="","",E743*N743/100)</f>
        <v/>
      </c>
      <c r="J743" s="7" t="n"/>
      <c r="K743" s="7">
        <f>IF($A743="","",S743*N743)</f>
        <v/>
      </c>
      <c r="L743" s="7">
        <f>IF($A743="","",N743-K743)</f>
        <v/>
      </c>
      <c r="M743" s="7">
        <f>IF($A743="","",L743-F743)</f>
        <v/>
      </c>
      <c r="N743" s="7" t="n"/>
      <c r="Q743" s="11" t="n"/>
      <c r="S743">
        <f>IF($A743="","",IF($W743=1,Settings!$C$6,Settings!$C$7)*1)</f>
        <v/>
      </c>
      <c r="U743">
        <f>IF($A743="","",IF(COUNTIF($A$2:$A743,$A743)=1,1,0))</f>
        <v/>
      </c>
      <c r="V743">
        <f>IF($U743=1,SUMPRODUCT(--($X$2:$X$3001&lt;$X743))+1,"")</f>
        <v/>
      </c>
      <c r="W743">
        <f>IF($A743="","",IF(OR($T743=TRUE(),$T743="TRUE"),1,0))</f>
        <v/>
      </c>
      <c r="X743">
        <f>IF($U743=1,IFERROR(IF(VALUE($A743)&lt;100000000,VALUE($A743),1000000000),IFERROR(IF(VALUE(MID($A743,2,20))&lt;100000000,VALUE(MID($A743,2,20)),1000000000),1000000000))+ROW()/100000,"")</f>
        <v/>
      </c>
    </row>
    <row r="744">
      <c r="F744" s="7">
        <f>IF($A744="","",E744*N744/100)</f>
        <v/>
      </c>
      <c r="J744" s="7" t="n"/>
      <c r="K744" s="7">
        <f>IF($A744="","",S744*N744)</f>
        <v/>
      </c>
      <c r="L744" s="7">
        <f>IF($A744="","",N744-K744)</f>
        <v/>
      </c>
      <c r="M744" s="7">
        <f>IF($A744="","",L744-F744)</f>
        <v/>
      </c>
      <c r="N744" s="7" t="n"/>
      <c r="Q744" s="11" t="n"/>
      <c r="S744">
        <f>IF($A744="","",IF($W744=1,Settings!$C$6,Settings!$C$7)*1)</f>
        <v/>
      </c>
      <c r="U744">
        <f>IF($A744="","",IF(COUNTIF($A$2:$A744,$A744)=1,1,0))</f>
        <v/>
      </c>
      <c r="V744">
        <f>IF($U744=1,SUMPRODUCT(--($X$2:$X$3001&lt;$X744))+1,"")</f>
        <v/>
      </c>
      <c r="W744">
        <f>IF($A744="","",IF(OR($T744=TRUE(),$T744="TRUE"),1,0))</f>
        <v/>
      </c>
      <c r="X744">
        <f>IF($U744=1,IFERROR(IF(VALUE($A744)&lt;100000000,VALUE($A744),1000000000),IFERROR(IF(VALUE(MID($A744,2,20))&lt;100000000,VALUE(MID($A744,2,20)),1000000000),1000000000))+ROW()/100000,"")</f>
        <v/>
      </c>
    </row>
    <row r="745">
      <c r="F745" s="7">
        <f>IF($A745="","",E745*N745/100)</f>
        <v/>
      </c>
      <c r="J745" s="7" t="n"/>
      <c r="K745" s="7">
        <f>IF($A745="","",S745*N745)</f>
        <v/>
      </c>
      <c r="L745" s="7">
        <f>IF($A745="","",N745-K745)</f>
        <v/>
      </c>
      <c r="M745" s="7">
        <f>IF($A745="","",L745-F745)</f>
        <v/>
      </c>
      <c r="N745" s="7" t="n"/>
      <c r="Q745" s="11" t="n"/>
      <c r="S745">
        <f>IF($A745="","",IF($W745=1,Settings!$C$6,Settings!$C$7)*1)</f>
        <v/>
      </c>
      <c r="U745">
        <f>IF($A745="","",IF(COUNTIF($A$2:$A745,$A745)=1,1,0))</f>
        <v/>
      </c>
      <c r="V745">
        <f>IF($U745=1,SUMPRODUCT(--($X$2:$X$3001&lt;$X745))+1,"")</f>
        <v/>
      </c>
      <c r="W745">
        <f>IF($A745="","",IF(OR($T745=TRUE(),$T745="TRUE"),1,0))</f>
        <v/>
      </c>
      <c r="X745">
        <f>IF($U745=1,IFERROR(IF(VALUE($A745)&lt;100000000,VALUE($A745),1000000000),IFERROR(IF(VALUE(MID($A745,2,20))&lt;100000000,VALUE(MID($A745,2,20)),1000000000),1000000000))+ROW()/100000,"")</f>
        <v/>
      </c>
    </row>
    <row r="746">
      <c r="F746" s="7">
        <f>IF($A746="","",E746*N746/100)</f>
        <v/>
      </c>
      <c r="J746" s="7" t="n"/>
      <c r="K746" s="7">
        <f>IF($A746="","",S746*N746)</f>
        <v/>
      </c>
      <c r="L746" s="7">
        <f>IF($A746="","",N746-K746)</f>
        <v/>
      </c>
      <c r="M746" s="7">
        <f>IF($A746="","",L746-F746)</f>
        <v/>
      </c>
      <c r="N746" s="7" t="n"/>
      <c r="Q746" s="11" t="n"/>
      <c r="S746">
        <f>IF($A746="","",IF($W746=1,Settings!$C$6,Settings!$C$7)*1)</f>
        <v/>
      </c>
      <c r="U746">
        <f>IF($A746="","",IF(COUNTIF($A$2:$A746,$A746)=1,1,0))</f>
        <v/>
      </c>
      <c r="V746">
        <f>IF($U746=1,SUMPRODUCT(--($X$2:$X$3001&lt;$X746))+1,"")</f>
        <v/>
      </c>
      <c r="W746">
        <f>IF($A746="","",IF(OR($T746=TRUE(),$T746="TRUE"),1,0))</f>
        <v/>
      </c>
      <c r="X746">
        <f>IF($U746=1,IFERROR(IF(VALUE($A746)&lt;100000000,VALUE($A746),1000000000),IFERROR(IF(VALUE(MID($A746,2,20))&lt;100000000,VALUE(MID($A746,2,20)),1000000000),1000000000))+ROW()/100000,"")</f>
        <v/>
      </c>
    </row>
    <row r="747">
      <c r="F747" s="7">
        <f>IF($A747="","",E747*N747/100)</f>
        <v/>
      </c>
      <c r="J747" s="7" t="n"/>
      <c r="K747" s="7">
        <f>IF($A747="","",S747*N747)</f>
        <v/>
      </c>
      <c r="L747" s="7">
        <f>IF($A747="","",N747-K747)</f>
        <v/>
      </c>
      <c r="M747" s="7">
        <f>IF($A747="","",L747-F747)</f>
        <v/>
      </c>
      <c r="N747" s="7" t="n"/>
      <c r="Q747" s="11" t="n"/>
      <c r="S747">
        <f>IF($A747="","",IF($W747=1,Settings!$C$6,Settings!$C$7)*1)</f>
        <v/>
      </c>
      <c r="U747">
        <f>IF($A747="","",IF(COUNTIF($A$2:$A747,$A747)=1,1,0))</f>
        <v/>
      </c>
      <c r="V747">
        <f>IF($U747=1,SUMPRODUCT(--($X$2:$X$3001&lt;$X747))+1,"")</f>
        <v/>
      </c>
      <c r="W747">
        <f>IF($A747="","",IF(OR($T747=TRUE(),$T747="TRUE"),1,0))</f>
        <v/>
      </c>
      <c r="X747">
        <f>IF($U747=1,IFERROR(IF(VALUE($A747)&lt;100000000,VALUE($A747),1000000000),IFERROR(IF(VALUE(MID($A747,2,20))&lt;100000000,VALUE(MID($A747,2,20)),1000000000),1000000000))+ROW()/100000,"")</f>
        <v/>
      </c>
    </row>
    <row r="748">
      <c r="F748" s="7">
        <f>IF($A748="","",E748*N748/100)</f>
        <v/>
      </c>
      <c r="J748" s="7" t="n"/>
      <c r="K748" s="7">
        <f>IF($A748="","",S748*N748)</f>
        <v/>
      </c>
      <c r="L748" s="7">
        <f>IF($A748="","",N748-K748)</f>
        <v/>
      </c>
      <c r="M748" s="7">
        <f>IF($A748="","",L748-F748)</f>
        <v/>
      </c>
      <c r="N748" s="7" t="n"/>
      <c r="Q748" s="11" t="n"/>
      <c r="S748">
        <f>IF($A748="","",IF($W748=1,Settings!$C$6,Settings!$C$7)*1)</f>
        <v/>
      </c>
      <c r="U748">
        <f>IF($A748="","",IF(COUNTIF($A$2:$A748,$A748)=1,1,0))</f>
        <v/>
      </c>
      <c r="V748">
        <f>IF($U748=1,SUMPRODUCT(--($X$2:$X$3001&lt;$X748))+1,"")</f>
        <v/>
      </c>
      <c r="W748">
        <f>IF($A748="","",IF(OR($T748=TRUE(),$T748="TRUE"),1,0))</f>
        <v/>
      </c>
      <c r="X748">
        <f>IF($U748=1,IFERROR(IF(VALUE($A748)&lt;100000000,VALUE($A748),1000000000),IFERROR(IF(VALUE(MID($A748,2,20))&lt;100000000,VALUE(MID($A748,2,20)),1000000000),1000000000))+ROW()/100000,"")</f>
        <v/>
      </c>
    </row>
    <row r="749">
      <c r="F749" s="7">
        <f>IF($A749="","",E749*N749/100)</f>
        <v/>
      </c>
      <c r="J749" s="7" t="n"/>
      <c r="K749" s="7">
        <f>IF($A749="","",S749*N749)</f>
        <v/>
      </c>
      <c r="L749" s="7">
        <f>IF($A749="","",N749-K749)</f>
        <v/>
      </c>
      <c r="M749" s="7">
        <f>IF($A749="","",L749-F749)</f>
        <v/>
      </c>
      <c r="N749" s="7" t="n"/>
      <c r="Q749" s="11" t="n"/>
      <c r="S749">
        <f>IF($A749="","",IF($W749=1,Settings!$C$6,Settings!$C$7)*1)</f>
        <v/>
      </c>
      <c r="U749">
        <f>IF($A749="","",IF(COUNTIF($A$2:$A749,$A749)=1,1,0))</f>
        <v/>
      </c>
      <c r="V749">
        <f>IF($U749=1,SUMPRODUCT(--($X$2:$X$3001&lt;$X749))+1,"")</f>
        <v/>
      </c>
      <c r="W749">
        <f>IF($A749="","",IF(OR($T749=TRUE(),$T749="TRUE"),1,0))</f>
        <v/>
      </c>
      <c r="X749">
        <f>IF($U749=1,IFERROR(IF(VALUE($A749)&lt;100000000,VALUE($A749),1000000000),IFERROR(IF(VALUE(MID($A749,2,20))&lt;100000000,VALUE(MID($A749,2,20)),1000000000),1000000000))+ROW()/100000,"")</f>
        <v/>
      </c>
    </row>
    <row r="750">
      <c r="F750" s="7">
        <f>IF($A750="","",E750*N750/100)</f>
        <v/>
      </c>
      <c r="J750" s="7" t="n"/>
      <c r="K750" s="7">
        <f>IF($A750="","",S750*N750)</f>
        <v/>
      </c>
      <c r="L750" s="7">
        <f>IF($A750="","",N750-K750)</f>
        <v/>
      </c>
      <c r="M750" s="7">
        <f>IF($A750="","",L750-F750)</f>
        <v/>
      </c>
      <c r="N750" s="7" t="n"/>
      <c r="Q750" s="11" t="n"/>
      <c r="S750">
        <f>IF($A750="","",IF($W750=1,Settings!$C$6,Settings!$C$7)*1)</f>
        <v/>
      </c>
      <c r="U750">
        <f>IF($A750="","",IF(COUNTIF($A$2:$A750,$A750)=1,1,0))</f>
        <v/>
      </c>
      <c r="V750">
        <f>IF($U750=1,SUMPRODUCT(--($X$2:$X$3001&lt;$X750))+1,"")</f>
        <v/>
      </c>
      <c r="W750">
        <f>IF($A750="","",IF(OR($T750=TRUE(),$T750="TRUE"),1,0))</f>
        <v/>
      </c>
      <c r="X750">
        <f>IF($U750=1,IFERROR(IF(VALUE($A750)&lt;100000000,VALUE($A750),1000000000),IFERROR(IF(VALUE(MID($A750,2,20))&lt;100000000,VALUE(MID($A750,2,20)),1000000000),1000000000))+ROW()/100000,"")</f>
        <v/>
      </c>
    </row>
    <row r="751">
      <c r="F751" s="7">
        <f>IF($A751="","",E751*N751/100)</f>
        <v/>
      </c>
      <c r="J751" s="7" t="n"/>
      <c r="K751" s="7">
        <f>IF($A751="","",S751*N751)</f>
        <v/>
      </c>
      <c r="L751" s="7">
        <f>IF($A751="","",N751-K751)</f>
        <v/>
      </c>
      <c r="M751" s="7">
        <f>IF($A751="","",L751-F751)</f>
        <v/>
      </c>
      <c r="N751" s="7" t="n"/>
      <c r="Q751" s="11" t="n"/>
      <c r="S751">
        <f>IF($A751="","",IF($W751=1,Settings!$C$6,Settings!$C$7)*1)</f>
        <v/>
      </c>
      <c r="U751">
        <f>IF($A751="","",IF(COUNTIF($A$2:$A751,$A751)=1,1,0))</f>
        <v/>
      </c>
      <c r="V751">
        <f>IF($U751=1,SUMPRODUCT(--($X$2:$X$3001&lt;$X751))+1,"")</f>
        <v/>
      </c>
      <c r="W751">
        <f>IF($A751="","",IF(OR($T751=TRUE(),$T751="TRUE"),1,0))</f>
        <v/>
      </c>
      <c r="X751">
        <f>IF($U751=1,IFERROR(IF(VALUE($A751)&lt;100000000,VALUE($A751),1000000000),IFERROR(IF(VALUE(MID($A751,2,20))&lt;100000000,VALUE(MID($A751,2,20)),1000000000),1000000000))+ROW()/100000,"")</f>
        <v/>
      </c>
    </row>
    <row r="752">
      <c r="F752" s="7">
        <f>IF($A752="","",E752*N752/100)</f>
        <v/>
      </c>
      <c r="J752" s="7" t="n"/>
      <c r="K752" s="7">
        <f>IF($A752="","",S752*N752)</f>
        <v/>
      </c>
      <c r="L752" s="7">
        <f>IF($A752="","",N752-K752)</f>
        <v/>
      </c>
      <c r="M752" s="7">
        <f>IF($A752="","",L752-F752)</f>
        <v/>
      </c>
      <c r="N752" s="7" t="n"/>
      <c r="Q752" s="11" t="n"/>
      <c r="S752">
        <f>IF($A752="","",IF($W752=1,Settings!$C$6,Settings!$C$7)*1)</f>
        <v/>
      </c>
      <c r="U752">
        <f>IF($A752="","",IF(COUNTIF($A$2:$A752,$A752)=1,1,0))</f>
        <v/>
      </c>
      <c r="V752">
        <f>IF($U752=1,SUMPRODUCT(--($X$2:$X$3001&lt;$X752))+1,"")</f>
        <v/>
      </c>
      <c r="W752">
        <f>IF($A752="","",IF(OR($T752=TRUE(),$T752="TRUE"),1,0))</f>
        <v/>
      </c>
      <c r="X752">
        <f>IF($U752=1,IFERROR(IF(VALUE($A752)&lt;100000000,VALUE($A752),1000000000),IFERROR(IF(VALUE(MID($A752,2,20))&lt;100000000,VALUE(MID($A752,2,20)),1000000000),1000000000))+ROW()/100000,"")</f>
        <v/>
      </c>
    </row>
    <row r="753">
      <c r="F753" s="7">
        <f>IF($A753="","",E753*N753/100)</f>
        <v/>
      </c>
      <c r="J753" s="7" t="n"/>
      <c r="K753" s="7">
        <f>IF($A753="","",S753*N753)</f>
        <v/>
      </c>
      <c r="L753" s="7">
        <f>IF($A753="","",N753-K753)</f>
        <v/>
      </c>
      <c r="M753" s="7">
        <f>IF($A753="","",L753-F753)</f>
        <v/>
      </c>
      <c r="N753" s="7" t="n"/>
      <c r="Q753" s="11" t="n"/>
      <c r="S753">
        <f>IF($A753="","",IF($W753=1,Settings!$C$6,Settings!$C$7)*1)</f>
        <v/>
      </c>
      <c r="U753">
        <f>IF($A753="","",IF(COUNTIF($A$2:$A753,$A753)=1,1,0))</f>
        <v/>
      </c>
      <c r="V753">
        <f>IF($U753=1,SUMPRODUCT(--($X$2:$X$3001&lt;$X753))+1,"")</f>
        <v/>
      </c>
      <c r="W753">
        <f>IF($A753="","",IF(OR($T753=TRUE(),$T753="TRUE"),1,0))</f>
        <v/>
      </c>
      <c r="X753">
        <f>IF($U753=1,IFERROR(IF(VALUE($A753)&lt;100000000,VALUE($A753),1000000000),IFERROR(IF(VALUE(MID($A753,2,20))&lt;100000000,VALUE(MID($A753,2,20)),1000000000),1000000000))+ROW()/100000,"")</f>
        <v/>
      </c>
    </row>
    <row r="754">
      <c r="F754" s="7">
        <f>IF($A754="","",E754*N754/100)</f>
        <v/>
      </c>
      <c r="J754" s="7" t="n"/>
      <c r="K754" s="7">
        <f>IF($A754="","",S754*N754)</f>
        <v/>
      </c>
      <c r="L754" s="7">
        <f>IF($A754="","",N754-K754)</f>
        <v/>
      </c>
      <c r="M754" s="7">
        <f>IF($A754="","",L754-F754)</f>
        <v/>
      </c>
      <c r="N754" s="7" t="n"/>
      <c r="Q754" s="11" t="n"/>
      <c r="S754">
        <f>IF($A754="","",IF($W754=1,Settings!$C$6,Settings!$C$7)*1)</f>
        <v/>
      </c>
      <c r="U754">
        <f>IF($A754="","",IF(COUNTIF($A$2:$A754,$A754)=1,1,0))</f>
        <v/>
      </c>
      <c r="V754">
        <f>IF($U754=1,SUMPRODUCT(--($X$2:$X$3001&lt;$X754))+1,"")</f>
        <v/>
      </c>
      <c r="W754">
        <f>IF($A754="","",IF(OR($T754=TRUE(),$T754="TRUE"),1,0))</f>
        <v/>
      </c>
      <c r="X754">
        <f>IF($U754=1,IFERROR(IF(VALUE($A754)&lt;100000000,VALUE($A754),1000000000),IFERROR(IF(VALUE(MID($A754,2,20))&lt;100000000,VALUE(MID($A754,2,20)),1000000000),1000000000))+ROW()/100000,"")</f>
        <v/>
      </c>
    </row>
    <row r="755">
      <c r="F755" s="7">
        <f>IF($A755="","",E755*N755/100)</f>
        <v/>
      </c>
      <c r="J755" s="7" t="n"/>
      <c r="K755" s="7">
        <f>IF($A755="","",S755*N755)</f>
        <v/>
      </c>
      <c r="L755" s="7">
        <f>IF($A755="","",N755-K755)</f>
        <v/>
      </c>
      <c r="M755" s="7">
        <f>IF($A755="","",L755-F755)</f>
        <v/>
      </c>
      <c r="N755" s="7" t="n"/>
      <c r="Q755" s="11" t="n"/>
      <c r="S755">
        <f>IF($A755="","",IF($W755=1,Settings!$C$6,Settings!$C$7)*1)</f>
        <v/>
      </c>
      <c r="U755">
        <f>IF($A755="","",IF(COUNTIF($A$2:$A755,$A755)=1,1,0))</f>
        <v/>
      </c>
      <c r="V755">
        <f>IF($U755=1,SUMPRODUCT(--($X$2:$X$3001&lt;$X755))+1,"")</f>
        <v/>
      </c>
      <c r="W755">
        <f>IF($A755="","",IF(OR($T755=TRUE(),$T755="TRUE"),1,0))</f>
        <v/>
      </c>
      <c r="X755">
        <f>IF($U755=1,IFERROR(IF(VALUE($A755)&lt;100000000,VALUE($A755),1000000000),IFERROR(IF(VALUE(MID($A755,2,20))&lt;100000000,VALUE(MID($A755,2,20)),1000000000),1000000000))+ROW()/100000,"")</f>
        <v/>
      </c>
    </row>
    <row r="756">
      <c r="F756" s="7">
        <f>IF($A756="","",E756*N756/100)</f>
        <v/>
      </c>
      <c r="J756" s="7" t="n"/>
      <c r="K756" s="7">
        <f>IF($A756="","",S756*N756)</f>
        <v/>
      </c>
      <c r="L756" s="7">
        <f>IF($A756="","",N756-K756)</f>
        <v/>
      </c>
      <c r="M756" s="7">
        <f>IF($A756="","",L756-F756)</f>
        <v/>
      </c>
      <c r="N756" s="7" t="n"/>
      <c r="Q756" s="11" t="n"/>
      <c r="S756">
        <f>IF($A756="","",IF($W756=1,Settings!$C$6,Settings!$C$7)*1)</f>
        <v/>
      </c>
      <c r="U756">
        <f>IF($A756="","",IF(COUNTIF($A$2:$A756,$A756)=1,1,0))</f>
        <v/>
      </c>
      <c r="V756">
        <f>IF($U756=1,SUMPRODUCT(--($X$2:$X$3001&lt;$X756))+1,"")</f>
        <v/>
      </c>
      <c r="W756">
        <f>IF($A756="","",IF(OR($T756=TRUE(),$T756="TRUE"),1,0))</f>
        <v/>
      </c>
      <c r="X756">
        <f>IF($U756=1,IFERROR(IF(VALUE($A756)&lt;100000000,VALUE($A756),1000000000),IFERROR(IF(VALUE(MID($A756,2,20))&lt;100000000,VALUE(MID($A756,2,20)),1000000000),1000000000))+ROW()/100000,"")</f>
        <v/>
      </c>
    </row>
    <row r="757">
      <c r="F757" s="7">
        <f>IF($A757="","",E757*N757/100)</f>
        <v/>
      </c>
      <c r="J757" s="7" t="n"/>
      <c r="K757" s="7">
        <f>IF($A757="","",S757*N757)</f>
        <v/>
      </c>
      <c r="L757" s="7">
        <f>IF($A757="","",N757-K757)</f>
        <v/>
      </c>
      <c r="M757" s="7">
        <f>IF($A757="","",L757-F757)</f>
        <v/>
      </c>
      <c r="N757" s="7" t="n"/>
      <c r="Q757" s="11" t="n"/>
      <c r="S757">
        <f>IF($A757="","",IF($W757=1,Settings!$C$6,Settings!$C$7)*1)</f>
        <v/>
      </c>
      <c r="U757">
        <f>IF($A757="","",IF(COUNTIF($A$2:$A757,$A757)=1,1,0))</f>
        <v/>
      </c>
      <c r="V757">
        <f>IF($U757=1,SUMPRODUCT(--($X$2:$X$3001&lt;$X757))+1,"")</f>
        <v/>
      </c>
      <c r="W757">
        <f>IF($A757="","",IF(OR($T757=TRUE(),$T757="TRUE"),1,0))</f>
        <v/>
      </c>
      <c r="X757">
        <f>IF($U757=1,IFERROR(IF(VALUE($A757)&lt;100000000,VALUE($A757),1000000000),IFERROR(IF(VALUE(MID($A757,2,20))&lt;100000000,VALUE(MID($A757,2,20)),1000000000),1000000000))+ROW()/100000,"")</f>
        <v/>
      </c>
    </row>
    <row r="758">
      <c r="F758" s="7">
        <f>IF($A758="","",E758*N758/100)</f>
        <v/>
      </c>
      <c r="J758" s="7" t="n"/>
      <c r="K758" s="7">
        <f>IF($A758="","",S758*N758)</f>
        <v/>
      </c>
      <c r="L758" s="7">
        <f>IF($A758="","",N758-K758)</f>
        <v/>
      </c>
      <c r="M758" s="7">
        <f>IF($A758="","",L758-F758)</f>
        <v/>
      </c>
      <c r="N758" s="7" t="n"/>
      <c r="Q758" s="11" t="n"/>
      <c r="S758">
        <f>IF($A758="","",IF($W758=1,Settings!$C$6,Settings!$C$7)*1)</f>
        <v/>
      </c>
      <c r="U758">
        <f>IF($A758="","",IF(COUNTIF($A$2:$A758,$A758)=1,1,0))</f>
        <v/>
      </c>
      <c r="V758">
        <f>IF($U758=1,SUMPRODUCT(--($X$2:$X$3001&lt;$X758))+1,"")</f>
        <v/>
      </c>
      <c r="W758">
        <f>IF($A758="","",IF(OR($T758=TRUE(),$T758="TRUE"),1,0))</f>
        <v/>
      </c>
      <c r="X758">
        <f>IF($U758=1,IFERROR(IF(VALUE($A758)&lt;100000000,VALUE($A758),1000000000),IFERROR(IF(VALUE(MID($A758,2,20))&lt;100000000,VALUE(MID($A758,2,20)),1000000000),1000000000))+ROW()/100000,"")</f>
        <v/>
      </c>
    </row>
    <row r="759">
      <c r="F759" s="7">
        <f>IF($A759="","",E759*N759/100)</f>
        <v/>
      </c>
      <c r="J759" s="7" t="n"/>
      <c r="K759" s="7">
        <f>IF($A759="","",S759*N759)</f>
        <v/>
      </c>
      <c r="L759" s="7">
        <f>IF($A759="","",N759-K759)</f>
        <v/>
      </c>
      <c r="M759" s="7">
        <f>IF($A759="","",L759-F759)</f>
        <v/>
      </c>
      <c r="N759" s="7" t="n"/>
      <c r="Q759" s="11" t="n"/>
      <c r="S759">
        <f>IF($A759="","",IF($W759=1,Settings!$C$6,Settings!$C$7)*1)</f>
        <v/>
      </c>
      <c r="U759">
        <f>IF($A759="","",IF(COUNTIF($A$2:$A759,$A759)=1,1,0))</f>
        <v/>
      </c>
      <c r="V759">
        <f>IF($U759=1,SUMPRODUCT(--($X$2:$X$3001&lt;$X759))+1,"")</f>
        <v/>
      </c>
      <c r="W759">
        <f>IF($A759="","",IF(OR($T759=TRUE(),$T759="TRUE"),1,0))</f>
        <v/>
      </c>
      <c r="X759">
        <f>IF($U759=1,IFERROR(IF(VALUE($A759)&lt;100000000,VALUE($A759),1000000000),IFERROR(IF(VALUE(MID($A759,2,20))&lt;100000000,VALUE(MID($A759,2,20)),1000000000),1000000000))+ROW()/100000,"")</f>
        <v/>
      </c>
    </row>
    <row r="760">
      <c r="F760" s="7">
        <f>IF($A760="","",E760*N760/100)</f>
        <v/>
      </c>
      <c r="J760" s="7" t="n"/>
      <c r="K760" s="7">
        <f>IF($A760="","",S760*N760)</f>
        <v/>
      </c>
      <c r="L760" s="7">
        <f>IF($A760="","",N760-K760)</f>
        <v/>
      </c>
      <c r="M760" s="7">
        <f>IF($A760="","",L760-F760)</f>
        <v/>
      </c>
      <c r="N760" s="7" t="n"/>
      <c r="Q760" s="11" t="n"/>
      <c r="S760">
        <f>IF($A760="","",IF($W760=1,Settings!$C$6,Settings!$C$7)*1)</f>
        <v/>
      </c>
      <c r="U760">
        <f>IF($A760="","",IF(COUNTIF($A$2:$A760,$A760)=1,1,0))</f>
        <v/>
      </c>
      <c r="V760">
        <f>IF($U760=1,SUMPRODUCT(--($X$2:$X$3001&lt;$X760))+1,"")</f>
        <v/>
      </c>
      <c r="W760">
        <f>IF($A760="","",IF(OR($T760=TRUE(),$T760="TRUE"),1,0))</f>
        <v/>
      </c>
      <c r="X760">
        <f>IF($U760=1,IFERROR(IF(VALUE($A760)&lt;100000000,VALUE($A760),1000000000),IFERROR(IF(VALUE(MID($A760,2,20))&lt;100000000,VALUE(MID($A760,2,20)),1000000000),1000000000))+ROW()/100000,"")</f>
        <v/>
      </c>
    </row>
    <row r="761">
      <c r="F761" s="7">
        <f>IF($A761="","",E761*N761/100)</f>
        <v/>
      </c>
      <c r="J761" s="7" t="n"/>
      <c r="K761" s="7">
        <f>IF($A761="","",S761*N761)</f>
        <v/>
      </c>
      <c r="L761" s="7">
        <f>IF($A761="","",N761-K761)</f>
        <v/>
      </c>
      <c r="M761" s="7">
        <f>IF($A761="","",L761-F761)</f>
        <v/>
      </c>
      <c r="N761" s="7" t="n"/>
      <c r="Q761" s="11" t="n"/>
      <c r="S761">
        <f>IF($A761="","",IF($W761=1,Settings!$C$6,Settings!$C$7)*1)</f>
        <v/>
      </c>
      <c r="U761">
        <f>IF($A761="","",IF(COUNTIF($A$2:$A761,$A761)=1,1,0))</f>
        <v/>
      </c>
      <c r="V761">
        <f>IF($U761=1,SUMPRODUCT(--($X$2:$X$3001&lt;$X761))+1,"")</f>
        <v/>
      </c>
      <c r="W761">
        <f>IF($A761="","",IF(OR($T761=TRUE(),$T761="TRUE"),1,0))</f>
        <v/>
      </c>
      <c r="X761">
        <f>IF($U761=1,IFERROR(IF(VALUE($A761)&lt;100000000,VALUE($A761),1000000000),IFERROR(IF(VALUE(MID($A761,2,20))&lt;100000000,VALUE(MID($A761,2,20)),1000000000),1000000000))+ROW()/100000,"")</f>
        <v/>
      </c>
    </row>
    <row r="762">
      <c r="F762" s="7">
        <f>IF($A762="","",E762*N762/100)</f>
        <v/>
      </c>
      <c r="J762" s="7" t="n"/>
      <c r="K762" s="7">
        <f>IF($A762="","",S762*N762)</f>
        <v/>
      </c>
      <c r="L762" s="7">
        <f>IF($A762="","",N762-K762)</f>
        <v/>
      </c>
      <c r="M762" s="7">
        <f>IF($A762="","",L762-F762)</f>
        <v/>
      </c>
      <c r="N762" s="7" t="n"/>
      <c r="Q762" s="11" t="n"/>
      <c r="S762">
        <f>IF($A762="","",IF($W762=1,Settings!$C$6,Settings!$C$7)*1)</f>
        <v/>
      </c>
      <c r="U762">
        <f>IF($A762="","",IF(COUNTIF($A$2:$A762,$A762)=1,1,0))</f>
        <v/>
      </c>
      <c r="V762">
        <f>IF($U762=1,SUMPRODUCT(--($X$2:$X$3001&lt;$X762))+1,"")</f>
        <v/>
      </c>
      <c r="W762">
        <f>IF($A762="","",IF(OR($T762=TRUE(),$T762="TRUE"),1,0))</f>
        <v/>
      </c>
      <c r="X762">
        <f>IF($U762=1,IFERROR(IF(VALUE($A762)&lt;100000000,VALUE($A762),1000000000),IFERROR(IF(VALUE(MID($A762,2,20))&lt;100000000,VALUE(MID($A762,2,20)),1000000000),1000000000))+ROW()/100000,"")</f>
        <v/>
      </c>
    </row>
    <row r="763">
      <c r="F763" s="7">
        <f>IF($A763="","",E763*N763/100)</f>
        <v/>
      </c>
      <c r="J763" s="7" t="n"/>
      <c r="K763" s="7">
        <f>IF($A763="","",S763*N763)</f>
        <v/>
      </c>
      <c r="L763" s="7">
        <f>IF($A763="","",N763-K763)</f>
        <v/>
      </c>
      <c r="M763" s="7">
        <f>IF($A763="","",L763-F763)</f>
        <v/>
      </c>
      <c r="N763" s="7" t="n"/>
      <c r="Q763" s="11" t="n"/>
      <c r="S763">
        <f>IF($A763="","",IF($W763=1,Settings!$C$6,Settings!$C$7)*1)</f>
        <v/>
      </c>
      <c r="U763">
        <f>IF($A763="","",IF(COUNTIF($A$2:$A763,$A763)=1,1,0))</f>
        <v/>
      </c>
      <c r="V763">
        <f>IF($U763=1,SUMPRODUCT(--($X$2:$X$3001&lt;$X763))+1,"")</f>
        <v/>
      </c>
      <c r="W763">
        <f>IF($A763="","",IF(OR($T763=TRUE(),$T763="TRUE"),1,0))</f>
        <v/>
      </c>
      <c r="X763">
        <f>IF($U763=1,IFERROR(IF(VALUE($A763)&lt;100000000,VALUE($A763),1000000000),IFERROR(IF(VALUE(MID($A763,2,20))&lt;100000000,VALUE(MID($A763,2,20)),1000000000),1000000000))+ROW()/100000,"")</f>
        <v/>
      </c>
    </row>
    <row r="764">
      <c r="F764" s="7">
        <f>IF($A764="","",E764*N764/100)</f>
        <v/>
      </c>
      <c r="J764" s="7" t="n"/>
      <c r="K764" s="7">
        <f>IF($A764="","",S764*N764)</f>
        <v/>
      </c>
      <c r="L764" s="7">
        <f>IF($A764="","",N764-K764)</f>
        <v/>
      </c>
      <c r="M764" s="7">
        <f>IF($A764="","",L764-F764)</f>
        <v/>
      </c>
      <c r="N764" s="7" t="n"/>
      <c r="Q764" s="11" t="n"/>
      <c r="S764">
        <f>IF($A764="","",IF($W764=1,Settings!$C$6,Settings!$C$7)*1)</f>
        <v/>
      </c>
      <c r="U764">
        <f>IF($A764="","",IF(COUNTIF($A$2:$A764,$A764)=1,1,0))</f>
        <v/>
      </c>
      <c r="V764">
        <f>IF($U764=1,SUMPRODUCT(--($X$2:$X$3001&lt;$X764))+1,"")</f>
        <v/>
      </c>
      <c r="W764">
        <f>IF($A764="","",IF(OR($T764=TRUE(),$T764="TRUE"),1,0))</f>
        <v/>
      </c>
      <c r="X764">
        <f>IF($U764=1,IFERROR(IF(VALUE($A764)&lt;100000000,VALUE($A764),1000000000),IFERROR(IF(VALUE(MID($A764,2,20))&lt;100000000,VALUE(MID($A764,2,20)),1000000000),1000000000))+ROW()/100000,"")</f>
        <v/>
      </c>
    </row>
    <row r="765">
      <c r="F765" s="7">
        <f>IF($A765="","",E765*N765/100)</f>
        <v/>
      </c>
      <c r="J765" s="7" t="n"/>
      <c r="K765" s="7">
        <f>IF($A765="","",S765*N765)</f>
        <v/>
      </c>
      <c r="L765" s="7">
        <f>IF($A765="","",N765-K765)</f>
        <v/>
      </c>
      <c r="M765" s="7">
        <f>IF($A765="","",L765-F765)</f>
        <v/>
      </c>
      <c r="N765" s="7" t="n"/>
      <c r="Q765" s="11" t="n"/>
      <c r="S765">
        <f>IF($A765="","",IF($W765=1,Settings!$C$6,Settings!$C$7)*1)</f>
        <v/>
      </c>
      <c r="U765">
        <f>IF($A765="","",IF(COUNTIF($A$2:$A765,$A765)=1,1,0))</f>
        <v/>
      </c>
      <c r="V765">
        <f>IF($U765=1,SUMPRODUCT(--($X$2:$X$3001&lt;$X765))+1,"")</f>
        <v/>
      </c>
      <c r="W765">
        <f>IF($A765="","",IF(OR($T765=TRUE(),$T765="TRUE"),1,0))</f>
        <v/>
      </c>
      <c r="X765">
        <f>IF($U765=1,IFERROR(IF(VALUE($A765)&lt;100000000,VALUE($A765),1000000000),IFERROR(IF(VALUE(MID($A765,2,20))&lt;100000000,VALUE(MID($A765,2,20)),1000000000),1000000000))+ROW()/100000,"")</f>
        <v/>
      </c>
    </row>
    <row r="766">
      <c r="F766" s="7">
        <f>IF($A766="","",E766*N766/100)</f>
        <v/>
      </c>
      <c r="J766" s="7" t="n"/>
      <c r="K766" s="7">
        <f>IF($A766="","",S766*N766)</f>
        <v/>
      </c>
      <c r="L766" s="7">
        <f>IF($A766="","",N766-K766)</f>
        <v/>
      </c>
      <c r="M766" s="7">
        <f>IF($A766="","",L766-F766)</f>
        <v/>
      </c>
      <c r="N766" s="7" t="n"/>
      <c r="Q766" s="11" t="n"/>
      <c r="S766">
        <f>IF($A766="","",IF($W766=1,Settings!$C$6,Settings!$C$7)*1)</f>
        <v/>
      </c>
      <c r="U766">
        <f>IF($A766="","",IF(COUNTIF($A$2:$A766,$A766)=1,1,0))</f>
        <v/>
      </c>
      <c r="V766">
        <f>IF($U766=1,SUMPRODUCT(--($X$2:$X$3001&lt;$X766))+1,"")</f>
        <v/>
      </c>
      <c r="W766">
        <f>IF($A766="","",IF(OR($T766=TRUE(),$T766="TRUE"),1,0))</f>
        <v/>
      </c>
      <c r="X766">
        <f>IF($U766=1,IFERROR(IF(VALUE($A766)&lt;100000000,VALUE($A766),1000000000),IFERROR(IF(VALUE(MID($A766,2,20))&lt;100000000,VALUE(MID($A766,2,20)),1000000000),1000000000))+ROW()/100000,"")</f>
        <v/>
      </c>
    </row>
    <row r="767">
      <c r="F767" s="7">
        <f>IF($A767="","",E767*N767/100)</f>
        <v/>
      </c>
      <c r="J767" s="7" t="n"/>
      <c r="K767" s="7">
        <f>IF($A767="","",S767*N767)</f>
        <v/>
      </c>
      <c r="L767" s="7">
        <f>IF($A767="","",N767-K767)</f>
        <v/>
      </c>
      <c r="M767" s="7">
        <f>IF($A767="","",L767-F767)</f>
        <v/>
      </c>
      <c r="N767" s="7" t="n"/>
      <c r="Q767" s="11" t="n"/>
      <c r="S767">
        <f>IF($A767="","",IF($W767=1,Settings!$C$6,Settings!$C$7)*1)</f>
        <v/>
      </c>
      <c r="U767">
        <f>IF($A767="","",IF(COUNTIF($A$2:$A767,$A767)=1,1,0))</f>
        <v/>
      </c>
      <c r="V767">
        <f>IF($U767=1,SUMPRODUCT(--($X$2:$X$3001&lt;$X767))+1,"")</f>
        <v/>
      </c>
      <c r="W767">
        <f>IF($A767="","",IF(OR($T767=TRUE(),$T767="TRUE"),1,0))</f>
        <v/>
      </c>
      <c r="X767">
        <f>IF($U767=1,IFERROR(IF(VALUE($A767)&lt;100000000,VALUE($A767),1000000000),IFERROR(IF(VALUE(MID($A767,2,20))&lt;100000000,VALUE(MID($A767,2,20)),1000000000),1000000000))+ROW()/100000,"")</f>
        <v/>
      </c>
    </row>
    <row r="768">
      <c r="F768" s="7">
        <f>IF($A768="","",E768*N768/100)</f>
        <v/>
      </c>
      <c r="J768" s="7" t="n"/>
      <c r="K768" s="7">
        <f>IF($A768="","",S768*N768)</f>
        <v/>
      </c>
      <c r="L768" s="7">
        <f>IF($A768="","",N768-K768)</f>
        <v/>
      </c>
      <c r="M768" s="7">
        <f>IF($A768="","",L768-F768)</f>
        <v/>
      </c>
      <c r="N768" s="7" t="n"/>
      <c r="Q768" s="11" t="n"/>
      <c r="S768">
        <f>IF($A768="","",IF($W768=1,Settings!$C$6,Settings!$C$7)*1)</f>
        <v/>
      </c>
      <c r="U768">
        <f>IF($A768="","",IF(COUNTIF($A$2:$A768,$A768)=1,1,0))</f>
        <v/>
      </c>
      <c r="V768">
        <f>IF($U768=1,SUMPRODUCT(--($X$2:$X$3001&lt;$X768))+1,"")</f>
        <v/>
      </c>
      <c r="W768">
        <f>IF($A768="","",IF(OR($T768=TRUE(),$T768="TRUE"),1,0))</f>
        <v/>
      </c>
      <c r="X768">
        <f>IF($U768=1,IFERROR(IF(VALUE($A768)&lt;100000000,VALUE($A768),1000000000),IFERROR(IF(VALUE(MID($A768,2,20))&lt;100000000,VALUE(MID($A768,2,20)),1000000000),1000000000))+ROW()/100000,"")</f>
        <v/>
      </c>
    </row>
    <row r="769">
      <c r="F769" s="7">
        <f>IF($A769="","",E769*N769/100)</f>
        <v/>
      </c>
      <c r="J769" s="7" t="n"/>
      <c r="K769" s="7">
        <f>IF($A769="","",S769*N769)</f>
        <v/>
      </c>
      <c r="L769" s="7">
        <f>IF($A769="","",N769-K769)</f>
        <v/>
      </c>
      <c r="M769" s="7">
        <f>IF($A769="","",L769-F769)</f>
        <v/>
      </c>
      <c r="N769" s="7" t="n"/>
      <c r="Q769" s="11" t="n"/>
      <c r="S769">
        <f>IF($A769="","",IF($W769=1,Settings!$C$6,Settings!$C$7)*1)</f>
        <v/>
      </c>
      <c r="U769">
        <f>IF($A769="","",IF(COUNTIF($A$2:$A769,$A769)=1,1,0))</f>
        <v/>
      </c>
      <c r="V769">
        <f>IF($U769=1,SUMPRODUCT(--($X$2:$X$3001&lt;$X769))+1,"")</f>
        <v/>
      </c>
      <c r="W769">
        <f>IF($A769="","",IF(OR($T769=TRUE(),$T769="TRUE"),1,0))</f>
        <v/>
      </c>
      <c r="X769">
        <f>IF($U769=1,IFERROR(IF(VALUE($A769)&lt;100000000,VALUE($A769),1000000000),IFERROR(IF(VALUE(MID($A769,2,20))&lt;100000000,VALUE(MID($A769,2,20)),1000000000),1000000000))+ROW()/100000,"")</f>
        <v/>
      </c>
    </row>
    <row r="770">
      <c r="F770" s="7">
        <f>IF($A770="","",E770*N770/100)</f>
        <v/>
      </c>
      <c r="J770" s="7" t="n"/>
      <c r="K770" s="7">
        <f>IF($A770="","",S770*N770)</f>
        <v/>
      </c>
      <c r="L770" s="7">
        <f>IF($A770="","",N770-K770)</f>
        <v/>
      </c>
      <c r="M770" s="7">
        <f>IF($A770="","",L770-F770)</f>
        <v/>
      </c>
      <c r="N770" s="7" t="n"/>
      <c r="Q770" s="11" t="n"/>
      <c r="S770">
        <f>IF($A770="","",IF($W770=1,Settings!$C$6,Settings!$C$7)*1)</f>
        <v/>
      </c>
      <c r="U770">
        <f>IF($A770="","",IF(COUNTIF($A$2:$A770,$A770)=1,1,0))</f>
        <v/>
      </c>
      <c r="V770">
        <f>IF($U770=1,SUMPRODUCT(--($X$2:$X$3001&lt;$X770))+1,"")</f>
        <v/>
      </c>
      <c r="W770">
        <f>IF($A770="","",IF(OR($T770=TRUE(),$T770="TRUE"),1,0))</f>
        <v/>
      </c>
      <c r="X770">
        <f>IF($U770=1,IFERROR(IF(VALUE($A770)&lt;100000000,VALUE($A770),1000000000),IFERROR(IF(VALUE(MID($A770,2,20))&lt;100000000,VALUE(MID($A770,2,20)),1000000000),1000000000))+ROW()/100000,"")</f>
        <v/>
      </c>
    </row>
    <row r="771">
      <c r="F771" s="7">
        <f>IF($A771="","",E771*N771/100)</f>
        <v/>
      </c>
      <c r="J771" s="7" t="n"/>
      <c r="K771" s="7">
        <f>IF($A771="","",S771*N771)</f>
        <v/>
      </c>
      <c r="L771" s="7">
        <f>IF($A771="","",N771-K771)</f>
        <v/>
      </c>
      <c r="M771" s="7">
        <f>IF($A771="","",L771-F771)</f>
        <v/>
      </c>
      <c r="N771" s="7" t="n"/>
      <c r="Q771" s="11" t="n"/>
      <c r="S771">
        <f>IF($A771="","",IF($W771=1,Settings!$C$6,Settings!$C$7)*1)</f>
        <v/>
      </c>
      <c r="U771">
        <f>IF($A771="","",IF(COUNTIF($A$2:$A771,$A771)=1,1,0))</f>
        <v/>
      </c>
      <c r="V771">
        <f>IF($U771=1,SUMPRODUCT(--($X$2:$X$3001&lt;$X771))+1,"")</f>
        <v/>
      </c>
      <c r="W771">
        <f>IF($A771="","",IF(OR($T771=TRUE(),$T771="TRUE"),1,0))</f>
        <v/>
      </c>
      <c r="X771">
        <f>IF($U771=1,IFERROR(IF(VALUE($A771)&lt;100000000,VALUE($A771),1000000000),IFERROR(IF(VALUE(MID($A771,2,20))&lt;100000000,VALUE(MID($A771,2,20)),1000000000),1000000000))+ROW()/100000,"")</f>
        <v/>
      </c>
    </row>
    <row r="772">
      <c r="F772" s="7">
        <f>IF($A772="","",E772*N772/100)</f>
        <v/>
      </c>
      <c r="J772" s="7" t="n"/>
      <c r="K772" s="7">
        <f>IF($A772="","",S772*N772)</f>
        <v/>
      </c>
      <c r="L772" s="7">
        <f>IF($A772="","",N772-K772)</f>
        <v/>
      </c>
      <c r="M772" s="7">
        <f>IF($A772="","",L772-F772)</f>
        <v/>
      </c>
      <c r="N772" s="7" t="n"/>
      <c r="Q772" s="11" t="n"/>
      <c r="S772">
        <f>IF($A772="","",IF($W772=1,Settings!$C$6,Settings!$C$7)*1)</f>
        <v/>
      </c>
      <c r="U772">
        <f>IF($A772="","",IF(COUNTIF($A$2:$A772,$A772)=1,1,0))</f>
        <v/>
      </c>
      <c r="V772">
        <f>IF($U772=1,SUMPRODUCT(--($X$2:$X$3001&lt;$X772))+1,"")</f>
        <v/>
      </c>
      <c r="W772">
        <f>IF($A772="","",IF(OR($T772=TRUE(),$T772="TRUE"),1,0))</f>
        <v/>
      </c>
      <c r="X772">
        <f>IF($U772=1,IFERROR(IF(VALUE($A772)&lt;100000000,VALUE($A772),1000000000),IFERROR(IF(VALUE(MID($A772,2,20))&lt;100000000,VALUE(MID($A772,2,20)),1000000000),1000000000))+ROW()/100000,"")</f>
        <v/>
      </c>
    </row>
    <row r="773">
      <c r="F773" s="7">
        <f>IF($A773="","",E773*N773/100)</f>
        <v/>
      </c>
      <c r="J773" s="7" t="n"/>
      <c r="K773" s="7">
        <f>IF($A773="","",S773*N773)</f>
        <v/>
      </c>
      <c r="L773" s="7">
        <f>IF($A773="","",N773-K773)</f>
        <v/>
      </c>
      <c r="M773" s="7">
        <f>IF($A773="","",L773-F773)</f>
        <v/>
      </c>
      <c r="N773" s="7" t="n"/>
      <c r="Q773" s="11" t="n"/>
      <c r="S773">
        <f>IF($A773="","",IF($W773=1,Settings!$C$6,Settings!$C$7)*1)</f>
        <v/>
      </c>
      <c r="U773">
        <f>IF($A773="","",IF(COUNTIF($A$2:$A773,$A773)=1,1,0))</f>
        <v/>
      </c>
      <c r="V773">
        <f>IF($U773=1,SUMPRODUCT(--($X$2:$X$3001&lt;$X773))+1,"")</f>
        <v/>
      </c>
      <c r="W773">
        <f>IF($A773="","",IF(OR($T773=TRUE(),$T773="TRUE"),1,0))</f>
        <v/>
      </c>
      <c r="X773">
        <f>IF($U773=1,IFERROR(IF(VALUE($A773)&lt;100000000,VALUE($A773),1000000000),IFERROR(IF(VALUE(MID($A773,2,20))&lt;100000000,VALUE(MID($A773,2,20)),1000000000),1000000000))+ROW()/100000,"")</f>
        <v/>
      </c>
    </row>
    <row r="774">
      <c r="F774" s="7">
        <f>IF($A774="","",E774*N774/100)</f>
        <v/>
      </c>
      <c r="J774" s="7" t="n"/>
      <c r="K774" s="7">
        <f>IF($A774="","",S774*N774)</f>
        <v/>
      </c>
      <c r="L774" s="7">
        <f>IF($A774="","",N774-K774)</f>
        <v/>
      </c>
      <c r="M774" s="7">
        <f>IF($A774="","",L774-F774)</f>
        <v/>
      </c>
      <c r="N774" s="7" t="n"/>
      <c r="Q774" s="11" t="n"/>
      <c r="S774">
        <f>IF($A774="","",IF($W774=1,Settings!$C$6,Settings!$C$7)*1)</f>
        <v/>
      </c>
      <c r="U774">
        <f>IF($A774="","",IF(COUNTIF($A$2:$A774,$A774)=1,1,0))</f>
        <v/>
      </c>
      <c r="V774">
        <f>IF($U774=1,SUMPRODUCT(--($X$2:$X$3001&lt;$X774))+1,"")</f>
        <v/>
      </c>
      <c r="W774">
        <f>IF($A774="","",IF(OR($T774=TRUE(),$T774="TRUE"),1,0))</f>
        <v/>
      </c>
      <c r="X774">
        <f>IF($U774=1,IFERROR(IF(VALUE($A774)&lt;100000000,VALUE($A774),1000000000),IFERROR(IF(VALUE(MID($A774,2,20))&lt;100000000,VALUE(MID($A774,2,20)),1000000000),1000000000))+ROW()/100000,"")</f>
        <v/>
      </c>
    </row>
    <row r="775">
      <c r="F775" s="7">
        <f>IF($A775="","",E775*N775/100)</f>
        <v/>
      </c>
      <c r="J775" s="7" t="n"/>
      <c r="K775" s="7">
        <f>IF($A775="","",S775*N775)</f>
        <v/>
      </c>
      <c r="L775" s="7">
        <f>IF($A775="","",N775-K775)</f>
        <v/>
      </c>
      <c r="M775" s="7">
        <f>IF($A775="","",L775-F775)</f>
        <v/>
      </c>
      <c r="N775" s="7" t="n"/>
      <c r="Q775" s="11" t="n"/>
      <c r="S775">
        <f>IF($A775="","",IF($W775=1,Settings!$C$6,Settings!$C$7)*1)</f>
        <v/>
      </c>
      <c r="U775">
        <f>IF($A775="","",IF(COUNTIF($A$2:$A775,$A775)=1,1,0))</f>
        <v/>
      </c>
      <c r="V775">
        <f>IF($U775=1,SUMPRODUCT(--($X$2:$X$3001&lt;$X775))+1,"")</f>
        <v/>
      </c>
      <c r="W775">
        <f>IF($A775="","",IF(OR($T775=TRUE(),$T775="TRUE"),1,0))</f>
        <v/>
      </c>
      <c r="X775">
        <f>IF($U775=1,IFERROR(IF(VALUE($A775)&lt;100000000,VALUE($A775),1000000000),IFERROR(IF(VALUE(MID($A775,2,20))&lt;100000000,VALUE(MID($A775,2,20)),1000000000),1000000000))+ROW()/100000,"")</f>
        <v/>
      </c>
    </row>
    <row r="776">
      <c r="F776" s="7">
        <f>IF($A776="","",E776*N776/100)</f>
        <v/>
      </c>
      <c r="J776" s="7" t="n"/>
      <c r="K776" s="7">
        <f>IF($A776="","",S776*N776)</f>
        <v/>
      </c>
      <c r="L776" s="7">
        <f>IF($A776="","",N776-K776)</f>
        <v/>
      </c>
      <c r="M776" s="7">
        <f>IF($A776="","",L776-F776)</f>
        <v/>
      </c>
      <c r="N776" s="7" t="n"/>
      <c r="Q776" s="11" t="n"/>
      <c r="S776">
        <f>IF($A776="","",IF($W776=1,Settings!$C$6,Settings!$C$7)*1)</f>
        <v/>
      </c>
      <c r="U776">
        <f>IF($A776="","",IF(COUNTIF($A$2:$A776,$A776)=1,1,0))</f>
        <v/>
      </c>
      <c r="V776">
        <f>IF($U776=1,SUMPRODUCT(--($X$2:$X$3001&lt;$X776))+1,"")</f>
        <v/>
      </c>
      <c r="W776">
        <f>IF($A776="","",IF(OR($T776=TRUE(),$T776="TRUE"),1,0))</f>
        <v/>
      </c>
      <c r="X776">
        <f>IF($U776=1,IFERROR(IF(VALUE($A776)&lt;100000000,VALUE($A776),1000000000),IFERROR(IF(VALUE(MID($A776,2,20))&lt;100000000,VALUE(MID($A776,2,20)),1000000000),1000000000))+ROW()/100000,"")</f>
        <v/>
      </c>
    </row>
    <row r="777">
      <c r="F777" s="7">
        <f>IF($A777="","",E777*N777/100)</f>
        <v/>
      </c>
      <c r="J777" s="7" t="n"/>
      <c r="K777" s="7">
        <f>IF($A777="","",S777*N777)</f>
        <v/>
      </c>
      <c r="L777" s="7">
        <f>IF($A777="","",N777-K777)</f>
        <v/>
      </c>
      <c r="M777" s="7">
        <f>IF($A777="","",L777-F777)</f>
        <v/>
      </c>
      <c r="N777" s="7" t="n"/>
      <c r="Q777" s="11" t="n"/>
      <c r="S777">
        <f>IF($A777="","",IF($W777=1,Settings!$C$6,Settings!$C$7)*1)</f>
        <v/>
      </c>
      <c r="U777">
        <f>IF($A777="","",IF(COUNTIF($A$2:$A777,$A777)=1,1,0))</f>
        <v/>
      </c>
      <c r="V777">
        <f>IF($U777=1,SUMPRODUCT(--($X$2:$X$3001&lt;$X777))+1,"")</f>
        <v/>
      </c>
      <c r="W777">
        <f>IF($A777="","",IF(OR($T777=TRUE(),$T777="TRUE"),1,0))</f>
        <v/>
      </c>
      <c r="X777">
        <f>IF($U777=1,IFERROR(IF(VALUE($A777)&lt;100000000,VALUE($A777),1000000000),IFERROR(IF(VALUE(MID($A777,2,20))&lt;100000000,VALUE(MID($A777,2,20)),1000000000),1000000000))+ROW()/100000,"")</f>
        <v/>
      </c>
    </row>
    <row r="778">
      <c r="F778" s="7">
        <f>IF($A778="","",E778*N778/100)</f>
        <v/>
      </c>
      <c r="J778" s="7" t="n"/>
      <c r="K778" s="7">
        <f>IF($A778="","",S778*N778)</f>
        <v/>
      </c>
      <c r="L778" s="7">
        <f>IF($A778="","",N778-K778)</f>
        <v/>
      </c>
      <c r="M778" s="7">
        <f>IF($A778="","",L778-F778)</f>
        <v/>
      </c>
      <c r="N778" s="7" t="n"/>
      <c r="Q778" s="11" t="n"/>
      <c r="S778">
        <f>IF($A778="","",IF($W778=1,Settings!$C$6,Settings!$C$7)*1)</f>
        <v/>
      </c>
      <c r="U778">
        <f>IF($A778="","",IF(COUNTIF($A$2:$A778,$A778)=1,1,0))</f>
        <v/>
      </c>
      <c r="V778">
        <f>IF($U778=1,SUMPRODUCT(--($X$2:$X$3001&lt;$X778))+1,"")</f>
        <v/>
      </c>
      <c r="W778">
        <f>IF($A778="","",IF(OR($T778=TRUE(),$T778="TRUE"),1,0))</f>
        <v/>
      </c>
      <c r="X778">
        <f>IF($U778=1,IFERROR(IF(VALUE($A778)&lt;100000000,VALUE($A778),1000000000),IFERROR(IF(VALUE(MID($A778,2,20))&lt;100000000,VALUE(MID($A778,2,20)),1000000000),1000000000))+ROW()/100000,"")</f>
        <v/>
      </c>
    </row>
    <row r="779">
      <c r="F779" s="7">
        <f>IF($A779="","",E779*N779/100)</f>
        <v/>
      </c>
      <c r="J779" s="7" t="n"/>
      <c r="K779" s="7">
        <f>IF($A779="","",S779*N779)</f>
        <v/>
      </c>
      <c r="L779" s="7">
        <f>IF($A779="","",N779-K779)</f>
        <v/>
      </c>
      <c r="M779" s="7">
        <f>IF($A779="","",L779-F779)</f>
        <v/>
      </c>
      <c r="N779" s="7" t="n"/>
      <c r="Q779" s="11" t="n"/>
      <c r="S779">
        <f>IF($A779="","",IF($W779=1,Settings!$C$6,Settings!$C$7)*1)</f>
        <v/>
      </c>
      <c r="U779">
        <f>IF($A779="","",IF(COUNTIF($A$2:$A779,$A779)=1,1,0))</f>
        <v/>
      </c>
      <c r="V779">
        <f>IF($U779=1,SUMPRODUCT(--($X$2:$X$3001&lt;$X779))+1,"")</f>
        <v/>
      </c>
      <c r="W779">
        <f>IF($A779="","",IF(OR($T779=TRUE(),$T779="TRUE"),1,0))</f>
        <v/>
      </c>
      <c r="X779">
        <f>IF($U779=1,IFERROR(IF(VALUE($A779)&lt;100000000,VALUE($A779),1000000000),IFERROR(IF(VALUE(MID($A779,2,20))&lt;100000000,VALUE(MID($A779,2,20)),1000000000),1000000000))+ROW()/100000,"")</f>
        <v/>
      </c>
    </row>
    <row r="780">
      <c r="F780" s="7">
        <f>IF($A780="","",E780*N780/100)</f>
        <v/>
      </c>
      <c r="J780" s="7" t="n"/>
      <c r="K780" s="7">
        <f>IF($A780="","",S780*N780)</f>
        <v/>
      </c>
      <c r="L780" s="7">
        <f>IF($A780="","",N780-K780)</f>
        <v/>
      </c>
      <c r="M780" s="7">
        <f>IF($A780="","",L780-F780)</f>
        <v/>
      </c>
      <c r="N780" s="7" t="n"/>
      <c r="Q780" s="11" t="n"/>
      <c r="S780">
        <f>IF($A780="","",IF($W780=1,Settings!$C$6,Settings!$C$7)*1)</f>
        <v/>
      </c>
      <c r="U780">
        <f>IF($A780="","",IF(COUNTIF($A$2:$A780,$A780)=1,1,0))</f>
        <v/>
      </c>
      <c r="V780">
        <f>IF($U780=1,SUMPRODUCT(--($X$2:$X$3001&lt;$X780))+1,"")</f>
        <v/>
      </c>
      <c r="W780">
        <f>IF($A780="","",IF(OR($T780=TRUE(),$T780="TRUE"),1,0))</f>
        <v/>
      </c>
      <c r="X780">
        <f>IF($U780=1,IFERROR(IF(VALUE($A780)&lt;100000000,VALUE($A780),1000000000),IFERROR(IF(VALUE(MID($A780,2,20))&lt;100000000,VALUE(MID($A780,2,20)),1000000000),1000000000))+ROW()/100000,"")</f>
        <v/>
      </c>
    </row>
    <row r="781">
      <c r="F781" s="7">
        <f>IF($A781="","",E781*N781/100)</f>
        <v/>
      </c>
      <c r="J781" s="7" t="n"/>
      <c r="K781" s="7">
        <f>IF($A781="","",S781*N781)</f>
        <v/>
      </c>
      <c r="L781" s="7">
        <f>IF($A781="","",N781-K781)</f>
        <v/>
      </c>
      <c r="M781" s="7">
        <f>IF($A781="","",L781-F781)</f>
        <v/>
      </c>
      <c r="N781" s="7" t="n"/>
      <c r="Q781" s="11" t="n"/>
      <c r="S781">
        <f>IF($A781="","",IF($W781=1,Settings!$C$6,Settings!$C$7)*1)</f>
        <v/>
      </c>
      <c r="U781">
        <f>IF($A781="","",IF(COUNTIF($A$2:$A781,$A781)=1,1,0))</f>
        <v/>
      </c>
      <c r="V781">
        <f>IF($U781=1,SUMPRODUCT(--($X$2:$X$3001&lt;$X781))+1,"")</f>
        <v/>
      </c>
      <c r="W781">
        <f>IF($A781="","",IF(OR($T781=TRUE(),$T781="TRUE"),1,0))</f>
        <v/>
      </c>
      <c r="X781">
        <f>IF($U781=1,IFERROR(IF(VALUE($A781)&lt;100000000,VALUE($A781),1000000000),IFERROR(IF(VALUE(MID($A781,2,20))&lt;100000000,VALUE(MID($A781,2,20)),1000000000),1000000000))+ROW()/100000,"")</f>
        <v/>
      </c>
    </row>
    <row r="782">
      <c r="F782" s="7">
        <f>IF($A782="","",E782*N782/100)</f>
        <v/>
      </c>
      <c r="J782" s="7" t="n"/>
      <c r="K782" s="7">
        <f>IF($A782="","",S782*N782)</f>
        <v/>
      </c>
      <c r="L782" s="7">
        <f>IF($A782="","",N782-K782)</f>
        <v/>
      </c>
      <c r="M782" s="7">
        <f>IF($A782="","",L782-F782)</f>
        <v/>
      </c>
      <c r="N782" s="7" t="n"/>
      <c r="Q782" s="11" t="n"/>
      <c r="S782">
        <f>IF($A782="","",IF($W782=1,Settings!$C$6,Settings!$C$7)*1)</f>
        <v/>
      </c>
      <c r="U782">
        <f>IF($A782="","",IF(COUNTIF($A$2:$A782,$A782)=1,1,0))</f>
        <v/>
      </c>
      <c r="V782">
        <f>IF($U782=1,SUMPRODUCT(--($X$2:$X$3001&lt;$X782))+1,"")</f>
        <v/>
      </c>
      <c r="W782">
        <f>IF($A782="","",IF(OR($T782=TRUE(),$T782="TRUE"),1,0))</f>
        <v/>
      </c>
      <c r="X782">
        <f>IF($U782=1,IFERROR(IF(VALUE($A782)&lt;100000000,VALUE($A782),1000000000),IFERROR(IF(VALUE(MID($A782,2,20))&lt;100000000,VALUE(MID($A782,2,20)),1000000000),1000000000))+ROW()/100000,"")</f>
        <v/>
      </c>
    </row>
    <row r="783">
      <c r="F783" s="7">
        <f>IF($A783="","",E783*N783/100)</f>
        <v/>
      </c>
      <c r="J783" s="7" t="n"/>
      <c r="K783" s="7">
        <f>IF($A783="","",S783*N783)</f>
        <v/>
      </c>
      <c r="L783" s="7">
        <f>IF($A783="","",N783-K783)</f>
        <v/>
      </c>
      <c r="M783" s="7">
        <f>IF($A783="","",L783-F783)</f>
        <v/>
      </c>
      <c r="N783" s="7" t="n"/>
      <c r="Q783" s="11" t="n"/>
      <c r="S783">
        <f>IF($A783="","",IF($W783=1,Settings!$C$6,Settings!$C$7)*1)</f>
        <v/>
      </c>
      <c r="U783">
        <f>IF($A783="","",IF(COUNTIF($A$2:$A783,$A783)=1,1,0))</f>
        <v/>
      </c>
      <c r="V783">
        <f>IF($U783=1,SUMPRODUCT(--($X$2:$X$3001&lt;$X783))+1,"")</f>
        <v/>
      </c>
      <c r="W783">
        <f>IF($A783="","",IF(OR($T783=TRUE(),$T783="TRUE"),1,0))</f>
        <v/>
      </c>
      <c r="X783">
        <f>IF($U783=1,IFERROR(IF(VALUE($A783)&lt;100000000,VALUE($A783),1000000000),IFERROR(IF(VALUE(MID($A783,2,20))&lt;100000000,VALUE(MID($A783,2,20)),1000000000),1000000000))+ROW()/100000,"")</f>
        <v/>
      </c>
    </row>
    <row r="784">
      <c r="F784" s="7">
        <f>IF($A784="","",E784*N784/100)</f>
        <v/>
      </c>
      <c r="J784" s="7" t="n"/>
      <c r="K784" s="7">
        <f>IF($A784="","",S784*N784)</f>
        <v/>
      </c>
      <c r="L784" s="7">
        <f>IF($A784="","",N784-K784)</f>
        <v/>
      </c>
      <c r="M784" s="7">
        <f>IF($A784="","",L784-F784)</f>
        <v/>
      </c>
      <c r="N784" s="7" t="n"/>
      <c r="Q784" s="11" t="n"/>
      <c r="S784">
        <f>IF($A784="","",IF($W784=1,Settings!$C$6,Settings!$C$7)*1)</f>
        <v/>
      </c>
      <c r="U784">
        <f>IF($A784="","",IF(COUNTIF($A$2:$A784,$A784)=1,1,0))</f>
        <v/>
      </c>
      <c r="V784">
        <f>IF($U784=1,SUMPRODUCT(--($X$2:$X$3001&lt;$X784))+1,"")</f>
        <v/>
      </c>
      <c r="W784">
        <f>IF($A784="","",IF(OR($T784=TRUE(),$T784="TRUE"),1,0))</f>
        <v/>
      </c>
      <c r="X784">
        <f>IF($U784=1,IFERROR(IF(VALUE($A784)&lt;100000000,VALUE($A784),1000000000),IFERROR(IF(VALUE(MID($A784,2,20))&lt;100000000,VALUE(MID($A784,2,20)),1000000000),1000000000))+ROW()/100000,"")</f>
        <v/>
      </c>
    </row>
    <row r="785">
      <c r="F785" s="7">
        <f>IF($A785="","",E785*N785/100)</f>
        <v/>
      </c>
      <c r="J785" s="7" t="n"/>
      <c r="K785" s="7">
        <f>IF($A785="","",S785*N785)</f>
        <v/>
      </c>
      <c r="L785" s="7">
        <f>IF($A785="","",N785-K785)</f>
        <v/>
      </c>
      <c r="M785" s="7">
        <f>IF($A785="","",L785-F785)</f>
        <v/>
      </c>
      <c r="N785" s="7" t="n"/>
      <c r="Q785" s="11" t="n"/>
      <c r="S785">
        <f>IF($A785="","",IF($W785=1,Settings!$C$6,Settings!$C$7)*1)</f>
        <v/>
      </c>
      <c r="U785">
        <f>IF($A785="","",IF(COUNTIF($A$2:$A785,$A785)=1,1,0))</f>
        <v/>
      </c>
      <c r="V785">
        <f>IF($U785=1,SUMPRODUCT(--($X$2:$X$3001&lt;$X785))+1,"")</f>
        <v/>
      </c>
      <c r="W785">
        <f>IF($A785="","",IF(OR($T785=TRUE(),$T785="TRUE"),1,0))</f>
        <v/>
      </c>
      <c r="X785">
        <f>IF($U785=1,IFERROR(IF(VALUE($A785)&lt;100000000,VALUE($A785),1000000000),IFERROR(IF(VALUE(MID($A785,2,20))&lt;100000000,VALUE(MID($A785,2,20)),1000000000),1000000000))+ROW()/100000,"")</f>
        <v/>
      </c>
    </row>
    <row r="786">
      <c r="F786" s="7">
        <f>IF($A786="","",E786*N786/100)</f>
        <v/>
      </c>
      <c r="J786" s="7" t="n"/>
      <c r="K786" s="7">
        <f>IF($A786="","",S786*N786)</f>
        <v/>
      </c>
      <c r="L786" s="7">
        <f>IF($A786="","",N786-K786)</f>
        <v/>
      </c>
      <c r="M786" s="7">
        <f>IF($A786="","",L786-F786)</f>
        <v/>
      </c>
      <c r="N786" s="7" t="n"/>
      <c r="Q786" s="11" t="n"/>
      <c r="S786">
        <f>IF($A786="","",IF($W786=1,Settings!$C$6,Settings!$C$7)*1)</f>
        <v/>
      </c>
      <c r="U786">
        <f>IF($A786="","",IF(COUNTIF($A$2:$A786,$A786)=1,1,0))</f>
        <v/>
      </c>
      <c r="V786">
        <f>IF($U786=1,SUMPRODUCT(--($X$2:$X$3001&lt;$X786))+1,"")</f>
        <v/>
      </c>
      <c r="W786">
        <f>IF($A786="","",IF(OR($T786=TRUE(),$T786="TRUE"),1,0))</f>
        <v/>
      </c>
      <c r="X786">
        <f>IF($U786=1,IFERROR(IF(VALUE($A786)&lt;100000000,VALUE($A786),1000000000),IFERROR(IF(VALUE(MID($A786,2,20))&lt;100000000,VALUE(MID($A786,2,20)),1000000000),1000000000))+ROW()/100000,"")</f>
        <v/>
      </c>
    </row>
    <row r="787">
      <c r="F787" s="7">
        <f>IF($A787="","",E787*N787/100)</f>
        <v/>
      </c>
      <c r="J787" s="7" t="n"/>
      <c r="K787" s="7">
        <f>IF($A787="","",S787*N787)</f>
        <v/>
      </c>
      <c r="L787" s="7">
        <f>IF($A787="","",N787-K787)</f>
        <v/>
      </c>
      <c r="M787" s="7">
        <f>IF($A787="","",L787-F787)</f>
        <v/>
      </c>
      <c r="N787" s="7" t="n"/>
      <c r="Q787" s="11" t="n"/>
      <c r="S787">
        <f>IF($A787="","",IF($W787=1,Settings!$C$6,Settings!$C$7)*1)</f>
        <v/>
      </c>
      <c r="U787">
        <f>IF($A787="","",IF(COUNTIF($A$2:$A787,$A787)=1,1,0))</f>
        <v/>
      </c>
      <c r="V787">
        <f>IF($U787=1,SUMPRODUCT(--($X$2:$X$3001&lt;$X787))+1,"")</f>
        <v/>
      </c>
      <c r="W787">
        <f>IF($A787="","",IF(OR($T787=TRUE(),$T787="TRUE"),1,0))</f>
        <v/>
      </c>
      <c r="X787">
        <f>IF($U787=1,IFERROR(IF(VALUE($A787)&lt;100000000,VALUE($A787),1000000000),IFERROR(IF(VALUE(MID($A787,2,20))&lt;100000000,VALUE(MID($A787,2,20)),1000000000),1000000000))+ROW()/100000,"")</f>
        <v/>
      </c>
    </row>
    <row r="788">
      <c r="F788" s="7">
        <f>IF($A788="","",E788*N788/100)</f>
        <v/>
      </c>
      <c r="J788" s="7" t="n"/>
      <c r="K788" s="7">
        <f>IF($A788="","",S788*N788)</f>
        <v/>
      </c>
      <c r="L788" s="7">
        <f>IF($A788="","",N788-K788)</f>
        <v/>
      </c>
      <c r="M788" s="7">
        <f>IF($A788="","",L788-F788)</f>
        <v/>
      </c>
      <c r="N788" s="7" t="n"/>
      <c r="Q788" s="11" t="n"/>
      <c r="S788">
        <f>IF($A788="","",IF($W788=1,Settings!$C$6,Settings!$C$7)*1)</f>
        <v/>
      </c>
      <c r="U788">
        <f>IF($A788="","",IF(COUNTIF($A$2:$A788,$A788)=1,1,0))</f>
        <v/>
      </c>
      <c r="V788">
        <f>IF($U788=1,SUMPRODUCT(--($X$2:$X$3001&lt;$X788))+1,"")</f>
        <v/>
      </c>
      <c r="W788">
        <f>IF($A788="","",IF(OR($T788=TRUE(),$T788="TRUE"),1,0))</f>
        <v/>
      </c>
      <c r="X788">
        <f>IF($U788=1,IFERROR(IF(VALUE($A788)&lt;100000000,VALUE($A788),1000000000),IFERROR(IF(VALUE(MID($A788,2,20))&lt;100000000,VALUE(MID($A788,2,20)),1000000000),1000000000))+ROW()/100000,"")</f>
        <v/>
      </c>
    </row>
    <row r="789">
      <c r="F789" s="7">
        <f>IF($A789="","",E789*N789/100)</f>
        <v/>
      </c>
      <c r="J789" s="7" t="n"/>
      <c r="K789" s="7">
        <f>IF($A789="","",S789*N789)</f>
        <v/>
      </c>
      <c r="L789" s="7">
        <f>IF($A789="","",N789-K789)</f>
        <v/>
      </c>
      <c r="M789" s="7">
        <f>IF($A789="","",L789-F789)</f>
        <v/>
      </c>
      <c r="N789" s="7" t="n"/>
      <c r="Q789" s="11" t="n"/>
      <c r="S789">
        <f>IF($A789="","",IF($W789=1,Settings!$C$6,Settings!$C$7)*1)</f>
        <v/>
      </c>
      <c r="U789">
        <f>IF($A789="","",IF(COUNTIF($A$2:$A789,$A789)=1,1,0))</f>
        <v/>
      </c>
      <c r="V789">
        <f>IF($U789=1,SUMPRODUCT(--($X$2:$X$3001&lt;$X789))+1,"")</f>
        <v/>
      </c>
      <c r="W789">
        <f>IF($A789="","",IF(OR($T789=TRUE(),$T789="TRUE"),1,0))</f>
        <v/>
      </c>
      <c r="X789">
        <f>IF($U789=1,IFERROR(IF(VALUE($A789)&lt;100000000,VALUE($A789),1000000000),IFERROR(IF(VALUE(MID($A789,2,20))&lt;100000000,VALUE(MID($A789,2,20)),1000000000),1000000000))+ROW()/100000,"")</f>
        <v/>
      </c>
    </row>
    <row r="790">
      <c r="F790" s="7">
        <f>IF($A790="","",E790*N790/100)</f>
        <v/>
      </c>
      <c r="J790" s="7" t="n"/>
      <c r="K790" s="7">
        <f>IF($A790="","",S790*N790)</f>
        <v/>
      </c>
      <c r="L790" s="7">
        <f>IF($A790="","",N790-K790)</f>
        <v/>
      </c>
      <c r="M790" s="7">
        <f>IF($A790="","",L790-F790)</f>
        <v/>
      </c>
      <c r="N790" s="7" t="n"/>
      <c r="Q790" s="11" t="n"/>
      <c r="S790">
        <f>IF($A790="","",IF($W790=1,Settings!$C$6,Settings!$C$7)*1)</f>
        <v/>
      </c>
      <c r="U790">
        <f>IF($A790="","",IF(COUNTIF($A$2:$A790,$A790)=1,1,0))</f>
        <v/>
      </c>
      <c r="V790">
        <f>IF($U790=1,SUMPRODUCT(--($X$2:$X$3001&lt;$X790))+1,"")</f>
        <v/>
      </c>
      <c r="W790">
        <f>IF($A790="","",IF(OR($T790=TRUE(),$T790="TRUE"),1,0))</f>
        <v/>
      </c>
      <c r="X790">
        <f>IF($U790=1,IFERROR(IF(VALUE($A790)&lt;100000000,VALUE($A790),1000000000),IFERROR(IF(VALUE(MID($A790,2,20))&lt;100000000,VALUE(MID($A790,2,20)),1000000000),1000000000))+ROW()/100000,"")</f>
        <v/>
      </c>
    </row>
    <row r="791">
      <c r="F791" s="7">
        <f>IF($A791="","",E791*N791/100)</f>
        <v/>
      </c>
      <c r="J791" s="7" t="n"/>
      <c r="K791" s="7">
        <f>IF($A791="","",S791*N791)</f>
        <v/>
      </c>
      <c r="L791" s="7">
        <f>IF($A791="","",N791-K791)</f>
        <v/>
      </c>
      <c r="M791" s="7">
        <f>IF($A791="","",L791-F791)</f>
        <v/>
      </c>
      <c r="N791" s="7" t="n"/>
      <c r="Q791" s="11" t="n"/>
      <c r="S791">
        <f>IF($A791="","",IF($W791=1,Settings!$C$6,Settings!$C$7)*1)</f>
        <v/>
      </c>
      <c r="U791">
        <f>IF($A791="","",IF(COUNTIF($A$2:$A791,$A791)=1,1,0))</f>
        <v/>
      </c>
      <c r="V791">
        <f>IF($U791=1,SUMPRODUCT(--($X$2:$X$3001&lt;$X791))+1,"")</f>
        <v/>
      </c>
      <c r="W791">
        <f>IF($A791="","",IF(OR($T791=TRUE(),$T791="TRUE"),1,0))</f>
        <v/>
      </c>
      <c r="X791">
        <f>IF($U791=1,IFERROR(IF(VALUE($A791)&lt;100000000,VALUE($A791),1000000000),IFERROR(IF(VALUE(MID($A791,2,20))&lt;100000000,VALUE(MID($A791,2,20)),1000000000),1000000000))+ROW()/100000,"")</f>
        <v/>
      </c>
    </row>
    <row r="792">
      <c r="F792" s="7">
        <f>IF($A792="","",E792*N792/100)</f>
        <v/>
      </c>
      <c r="J792" s="7" t="n"/>
      <c r="K792" s="7">
        <f>IF($A792="","",S792*N792)</f>
        <v/>
      </c>
      <c r="L792" s="7">
        <f>IF($A792="","",N792-K792)</f>
        <v/>
      </c>
      <c r="M792" s="7">
        <f>IF($A792="","",L792-F792)</f>
        <v/>
      </c>
      <c r="N792" s="7" t="n"/>
      <c r="Q792" s="11" t="n"/>
      <c r="S792">
        <f>IF($A792="","",IF($W792=1,Settings!$C$6,Settings!$C$7)*1)</f>
        <v/>
      </c>
      <c r="U792">
        <f>IF($A792="","",IF(COUNTIF($A$2:$A792,$A792)=1,1,0))</f>
        <v/>
      </c>
      <c r="V792">
        <f>IF($U792=1,SUMPRODUCT(--($X$2:$X$3001&lt;$X792))+1,"")</f>
        <v/>
      </c>
      <c r="W792">
        <f>IF($A792="","",IF(OR($T792=TRUE(),$T792="TRUE"),1,0))</f>
        <v/>
      </c>
      <c r="X792">
        <f>IF($U792=1,IFERROR(IF(VALUE($A792)&lt;100000000,VALUE($A792),1000000000),IFERROR(IF(VALUE(MID($A792,2,20))&lt;100000000,VALUE(MID($A792,2,20)),1000000000),1000000000))+ROW()/100000,"")</f>
        <v/>
      </c>
    </row>
    <row r="793">
      <c r="F793" s="7">
        <f>IF($A793="","",E793*N793/100)</f>
        <v/>
      </c>
      <c r="J793" s="7" t="n"/>
      <c r="K793" s="7">
        <f>IF($A793="","",S793*N793)</f>
        <v/>
      </c>
      <c r="L793" s="7">
        <f>IF($A793="","",N793-K793)</f>
        <v/>
      </c>
      <c r="M793" s="7">
        <f>IF($A793="","",L793-F793)</f>
        <v/>
      </c>
      <c r="N793" s="7" t="n"/>
      <c r="Q793" s="11" t="n"/>
      <c r="S793">
        <f>IF($A793="","",IF($W793=1,Settings!$C$6,Settings!$C$7)*1)</f>
        <v/>
      </c>
      <c r="U793">
        <f>IF($A793="","",IF(COUNTIF($A$2:$A793,$A793)=1,1,0))</f>
        <v/>
      </c>
      <c r="V793">
        <f>IF($U793=1,SUMPRODUCT(--($X$2:$X$3001&lt;$X793))+1,"")</f>
        <v/>
      </c>
      <c r="W793">
        <f>IF($A793="","",IF(OR($T793=TRUE(),$T793="TRUE"),1,0))</f>
        <v/>
      </c>
      <c r="X793">
        <f>IF($U793=1,IFERROR(IF(VALUE($A793)&lt;100000000,VALUE($A793),1000000000),IFERROR(IF(VALUE(MID($A793,2,20))&lt;100000000,VALUE(MID($A793,2,20)),1000000000),1000000000))+ROW()/100000,"")</f>
        <v/>
      </c>
    </row>
    <row r="794">
      <c r="F794" s="7">
        <f>IF($A794="","",E794*N794/100)</f>
        <v/>
      </c>
      <c r="J794" s="7" t="n"/>
      <c r="K794" s="7">
        <f>IF($A794="","",S794*N794)</f>
        <v/>
      </c>
      <c r="L794" s="7">
        <f>IF($A794="","",N794-K794)</f>
        <v/>
      </c>
      <c r="M794" s="7">
        <f>IF($A794="","",L794-F794)</f>
        <v/>
      </c>
      <c r="N794" s="7" t="n"/>
      <c r="Q794" s="11" t="n"/>
      <c r="S794">
        <f>IF($A794="","",IF($W794=1,Settings!$C$6,Settings!$C$7)*1)</f>
        <v/>
      </c>
      <c r="U794">
        <f>IF($A794="","",IF(COUNTIF($A$2:$A794,$A794)=1,1,0))</f>
        <v/>
      </c>
      <c r="V794">
        <f>IF($U794=1,SUMPRODUCT(--($X$2:$X$3001&lt;$X794))+1,"")</f>
        <v/>
      </c>
      <c r="W794">
        <f>IF($A794="","",IF(OR($T794=TRUE(),$T794="TRUE"),1,0))</f>
        <v/>
      </c>
      <c r="X794">
        <f>IF($U794=1,IFERROR(IF(VALUE($A794)&lt;100000000,VALUE($A794),1000000000),IFERROR(IF(VALUE(MID($A794,2,20))&lt;100000000,VALUE(MID($A794,2,20)),1000000000),1000000000))+ROW()/100000,"")</f>
        <v/>
      </c>
    </row>
    <row r="795">
      <c r="F795" s="7">
        <f>IF($A795="","",E795*N795/100)</f>
        <v/>
      </c>
      <c r="J795" s="7" t="n"/>
      <c r="K795" s="7">
        <f>IF($A795="","",S795*N795)</f>
        <v/>
      </c>
      <c r="L795" s="7">
        <f>IF($A795="","",N795-K795)</f>
        <v/>
      </c>
      <c r="M795" s="7">
        <f>IF($A795="","",L795-F795)</f>
        <v/>
      </c>
      <c r="N795" s="7" t="n"/>
      <c r="Q795" s="11" t="n"/>
      <c r="S795">
        <f>IF($A795="","",IF($W795=1,Settings!$C$6,Settings!$C$7)*1)</f>
        <v/>
      </c>
      <c r="U795">
        <f>IF($A795="","",IF(COUNTIF($A$2:$A795,$A795)=1,1,0))</f>
        <v/>
      </c>
      <c r="V795">
        <f>IF($U795=1,SUMPRODUCT(--($X$2:$X$3001&lt;$X795))+1,"")</f>
        <v/>
      </c>
      <c r="W795">
        <f>IF($A795="","",IF(OR($T795=TRUE(),$T795="TRUE"),1,0))</f>
        <v/>
      </c>
      <c r="X795">
        <f>IF($U795=1,IFERROR(IF(VALUE($A795)&lt;100000000,VALUE($A795),1000000000),IFERROR(IF(VALUE(MID($A795,2,20))&lt;100000000,VALUE(MID($A795,2,20)),1000000000),1000000000))+ROW()/100000,"")</f>
        <v/>
      </c>
    </row>
    <row r="796">
      <c r="F796" s="7">
        <f>IF($A796="","",E796*N796/100)</f>
        <v/>
      </c>
      <c r="J796" s="7" t="n"/>
      <c r="K796" s="7">
        <f>IF($A796="","",S796*N796)</f>
        <v/>
      </c>
      <c r="L796" s="7">
        <f>IF($A796="","",N796-K796)</f>
        <v/>
      </c>
      <c r="M796" s="7">
        <f>IF($A796="","",L796-F796)</f>
        <v/>
      </c>
      <c r="N796" s="7" t="n"/>
      <c r="Q796" s="11" t="n"/>
      <c r="S796">
        <f>IF($A796="","",IF($W796=1,Settings!$C$6,Settings!$C$7)*1)</f>
        <v/>
      </c>
      <c r="U796">
        <f>IF($A796="","",IF(COUNTIF($A$2:$A796,$A796)=1,1,0))</f>
        <v/>
      </c>
      <c r="V796">
        <f>IF($U796=1,SUMPRODUCT(--($X$2:$X$3001&lt;$X796))+1,"")</f>
        <v/>
      </c>
      <c r="W796">
        <f>IF($A796="","",IF(OR($T796=TRUE(),$T796="TRUE"),1,0))</f>
        <v/>
      </c>
      <c r="X796">
        <f>IF($U796=1,IFERROR(IF(VALUE($A796)&lt;100000000,VALUE($A796),1000000000),IFERROR(IF(VALUE(MID($A796,2,20))&lt;100000000,VALUE(MID($A796,2,20)),1000000000),1000000000))+ROW()/100000,"")</f>
        <v/>
      </c>
    </row>
    <row r="797">
      <c r="F797" s="7">
        <f>IF($A797="","",E797*N797/100)</f>
        <v/>
      </c>
      <c r="J797" s="7" t="n"/>
      <c r="K797" s="7">
        <f>IF($A797="","",S797*N797)</f>
        <v/>
      </c>
      <c r="L797" s="7">
        <f>IF($A797="","",N797-K797)</f>
        <v/>
      </c>
      <c r="M797" s="7">
        <f>IF($A797="","",L797-F797)</f>
        <v/>
      </c>
      <c r="N797" s="7" t="n"/>
      <c r="Q797" s="11" t="n"/>
      <c r="S797">
        <f>IF($A797="","",IF($W797=1,Settings!$C$6,Settings!$C$7)*1)</f>
        <v/>
      </c>
      <c r="U797">
        <f>IF($A797="","",IF(COUNTIF($A$2:$A797,$A797)=1,1,0))</f>
        <v/>
      </c>
      <c r="V797">
        <f>IF($U797=1,SUMPRODUCT(--($X$2:$X$3001&lt;$X797))+1,"")</f>
        <v/>
      </c>
      <c r="W797">
        <f>IF($A797="","",IF(OR($T797=TRUE(),$T797="TRUE"),1,0))</f>
        <v/>
      </c>
      <c r="X797">
        <f>IF($U797=1,IFERROR(IF(VALUE($A797)&lt;100000000,VALUE($A797),1000000000),IFERROR(IF(VALUE(MID($A797,2,20))&lt;100000000,VALUE(MID($A797,2,20)),1000000000),1000000000))+ROW()/100000,"")</f>
        <v/>
      </c>
    </row>
    <row r="798">
      <c r="F798" s="7">
        <f>IF($A798="","",E798*N798/100)</f>
        <v/>
      </c>
      <c r="J798" s="7" t="n"/>
      <c r="K798" s="7">
        <f>IF($A798="","",S798*N798)</f>
        <v/>
      </c>
      <c r="L798" s="7">
        <f>IF($A798="","",N798-K798)</f>
        <v/>
      </c>
      <c r="M798" s="7">
        <f>IF($A798="","",L798-F798)</f>
        <v/>
      </c>
      <c r="N798" s="7" t="n"/>
      <c r="Q798" s="11" t="n"/>
      <c r="S798">
        <f>IF($A798="","",IF($W798=1,Settings!$C$6,Settings!$C$7)*1)</f>
        <v/>
      </c>
      <c r="U798">
        <f>IF($A798="","",IF(COUNTIF($A$2:$A798,$A798)=1,1,0))</f>
        <v/>
      </c>
      <c r="V798">
        <f>IF($U798=1,SUMPRODUCT(--($X$2:$X$3001&lt;$X798))+1,"")</f>
        <v/>
      </c>
      <c r="W798">
        <f>IF($A798="","",IF(OR($T798=TRUE(),$T798="TRUE"),1,0))</f>
        <v/>
      </c>
      <c r="X798">
        <f>IF($U798=1,IFERROR(IF(VALUE($A798)&lt;100000000,VALUE($A798),1000000000),IFERROR(IF(VALUE(MID($A798,2,20))&lt;100000000,VALUE(MID($A798,2,20)),1000000000),1000000000))+ROW()/100000,"")</f>
        <v/>
      </c>
    </row>
    <row r="799">
      <c r="F799" s="7">
        <f>IF($A799="","",E799*N799/100)</f>
        <v/>
      </c>
      <c r="J799" s="7" t="n"/>
      <c r="K799" s="7">
        <f>IF($A799="","",S799*N799)</f>
        <v/>
      </c>
      <c r="L799" s="7">
        <f>IF($A799="","",N799-K799)</f>
        <v/>
      </c>
      <c r="M799" s="7">
        <f>IF($A799="","",L799-F799)</f>
        <v/>
      </c>
      <c r="N799" s="7" t="n"/>
      <c r="Q799" s="11" t="n"/>
      <c r="S799">
        <f>IF($A799="","",IF($W799=1,Settings!$C$6,Settings!$C$7)*1)</f>
        <v/>
      </c>
      <c r="U799">
        <f>IF($A799="","",IF(COUNTIF($A$2:$A799,$A799)=1,1,0))</f>
        <v/>
      </c>
      <c r="V799">
        <f>IF($U799=1,SUMPRODUCT(--($X$2:$X$3001&lt;$X799))+1,"")</f>
        <v/>
      </c>
      <c r="W799">
        <f>IF($A799="","",IF(OR($T799=TRUE(),$T799="TRUE"),1,0))</f>
        <v/>
      </c>
      <c r="X799">
        <f>IF($U799=1,IFERROR(IF(VALUE($A799)&lt;100000000,VALUE($A799),1000000000),IFERROR(IF(VALUE(MID($A799,2,20))&lt;100000000,VALUE(MID($A799,2,20)),1000000000),1000000000))+ROW()/100000,"")</f>
        <v/>
      </c>
    </row>
    <row r="800">
      <c r="F800" s="7">
        <f>IF($A800="","",E800*N800/100)</f>
        <v/>
      </c>
      <c r="J800" s="7" t="n"/>
      <c r="K800" s="7">
        <f>IF($A800="","",S800*N800)</f>
        <v/>
      </c>
      <c r="L800" s="7">
        <f>IF($A800="","",N800-K800)</f>
        <v/>
      </c>
      <c r="M800" s="7">
        <f>IF($A800="","",L800-F800)</f>
        <v/>
      </c>
      <c r="N800" s="7" t="n"/>
      <c r="Q800" s="11" t="n"/>
      <c r="S800">
        <f>IF($A800="","",IF($W800=1,Settings!$C$6,Settings!$C$7)*1)</f>
        <v/>
      </c>
      <c r="U800">
        <f>IF($A800="","",IF(COUNTIF($A$2:$A800,$A800)=1,1,0))</f>
        <v/>
      </c>
      <c r="V800">
        <f>IF($U800=1,SUMPRODUCT(--($X$2:$X$3001&lt;$X800))+1,"")</f>
        <v/>
      </c>
      <c r="W800">
        <f>IF($A800="","",IF(OR($T800=TRUE(),$T800="TRUE"),1,0))</f>
        <v/>
      </c>
      <c r="X800">
        <f>IF($U800=1,IFERROR(IF(VALUE($A800)&lt;100000000,VALUE($A800),1000000000),IFERROR(IF(VALUE(MID($A800,2,20))&lt;100000000,VALUE(MID($A800,2,20)),1000000000),1000000000))+ROW()/100000,"")</f>
        <v/>
      </c>
    </row>
    <row r="801">
      <c r="F801" s="7">
        <f>IF($A801="","",E801*N801/100)</f>
        <v/>
      </c>
      <c r="J801" s="7" t="n"/>
      <c r="K801" s="7">
        <f>IF($A801="","",S801*N801)</f>
        <v/>
      </c>
      <c r="L801" s="7">
        <f>IF($A801="","",N801-K801)</f>
        <v/>
      </c>
      <c r="M801" s="7">
        <f>IF($A801="","",L801-F801)</f>
        <v/>
      </c>
      <c r="N801" s="7" t="n"/>
      <c r="Q801" s="11" t="n"/>
      <c r="S801">
        <f>IF($A801="","",IF($W801=1,Settings!$C$6,Settings!$C$7)*1)</f>
        <v/>
      </c>
      <c r="U801">
        <f>IF($A801="","",IF(COUNTIF($A$2:$A801,$A801)=1,1,0))</f>
        <v/>
      </c>
      <c r="V801">
        <f>IF($U801=1,SUMPRODUCT(--($X$2:$X$3001&lt;$X801))+1,"")</f>
        <v/>
      </c>
      <c r="W801">
        <f>IF($A801="","",IF(OR($T801=TRUE(),$T801="TRUE"),1,0))</f>
        <v/>
      </c>
      <c r="X801">
        <f>IF($U801=1,IFERROR(IF(VALUE($A801)&lt;100000000,VALUE($A801),1000000000),IFERROR(IF(VALUE(MID($A801,2,20))&lt;100000000,VALUE(MID($A801,2,20)),1000000000),1000000000))+ROW()/100000,"")</f>
        <v/>
      </c>
    </row>
    <row r="802">
      <c r="F802" s="7">
        <f>IF($A802="","",E802*N802/100)</f>
        <v/>
      </c>
      <c r="J802" s="7" t="n"/>
      <c r="K802" s="7">
        <f>IF($A802="","",S802*N802)</f>
        <v/>
      </c>
      <c r="L802" s="7">
        <f>IF($A802="","",N802-K802)</f>
        <v/>
      </c>
      <c r="M802" s="7">
        <f>IF($A802="","",L802-F802)</f>
        <v/>
      </c>
      <c r="N802" s="7" t="n"/>
      <c r="Q802" s="11" t="n"/>
      <c r="S802">
        <f>IF($A802="","",IF($W802=1,Settings!$C$6,Settings!$C$7)*1)</f>
        <v/>
      </c>
      <c r="U802">
        <f>IF($A802="","",IF(COUNTIF($A$2:$A802,$A802)=1,1,0))</f>
        <v/>
      </c>
      <c r="V802">
        <f>IF($U802=1,SUMPRODUCT(--($X$2:$X$3001&lt;$X802))+1,"")</f>
        <v/>
      </c>
      <c r="W802">
        <f>IF($A802="","",IF(OR($T802=TRUE(),$T802="TRUE"),1,0))</f>
        <v/>
      </c>
      <c r="X802">
        <f>IF($U802=1,IFERROR(IF(VALUE($A802)&lt;100000000,VALUE($A802),1000000000),IFERROR(IF(VALUE(MID($A802,2,20))&lt;100000000,VALUE(MID($A802,2,20)),1000000000),1000000000))+ROW()/100000,"")</f>
        <v/>
      </c>
    </row>
    <row r="803">
      <c r="F803" s="7">
        <f>IF($A803="","",E803*N803/100)</f>
        <v/>
      </c>
      <c r="J803" s="7" t="n"/>
      <c r="K803" s="7">
        <f>IF($A803="","",S803*N803)</f>
        <v/>
      </c>
      <c r="L803" s="7">
        <f>IF($A803="","",N803-K803)</f>
        <v/>
      </c>
      <c r="M803" s="7">
        <f>IF($A803="","",L803-F803)</f>
        <v/>
      </c>
      <c r="N803" s="7" t="n"/>
      <c r="Q803" s="11" t="n"/>
      <c r="S803">
        <f>IF($A803="","",IF($W803=1,Settings!$C$6,Settings!$C$7)*1)</f>
        <v/>
      </c>
      <c r="U803">
        <f>IF($A803="","",IF(COUNTIF($A$2:$A803,$A803)=1,1,0))</f>
        <v/>
      </c>
      <c r="V803">
        <f>IF($U803=1,SUMPRODUCT(--($X$2:$X$3001&lt;$X803))+1,"")</f>
        <v/>
      </c>
      <c r="W803">
        <f>IF($A803="","",IF(OR($T803=TRUE(),$T803="TRUE"),1,0))</f>
        <v/>
      </c>
      <c r="X803">
        <f>IF($U803=1,IFERROR(IF(VALUE($A803)&lt;100000000,VALUE($A803),1000000000),IFERROR(IF(VALUE(MID($A803,2,20))&lt;100000000,VALUE(MID($A803,2,20)),1000000000),1000000000))+ROW()/100000,"")</f>
        <v/>
      </c>
    </row>
    <row r="804">
      <c r="F804" s="7">
        <f>IF($A804="","",E804*N804/100)</f>
        <v/>
      </c>
      <c r="J804" s="7" t="n"/>
      <c r="K804" s="7">
        <f>IF($A804="","",S804*N804)</f>
        <v/>
      </c>
      <c r="L804" s="7">
        <f>IF($A804="","",N804-K804)</f>
        <v/>
      </c>
      <c r="M804" s="7">
        <f>IF($A804="","",L804-F804)</f>
        <v/>
      </c>
      <c r="N804" s="7" t="n"/>
      <c r="Q804" s="11" t="n"/>
      <c r="S804">
        <f>IF($A804="","",IF($W804=1,Settings!$C$6,Settings!$C$7)*1)</f>
        <v/>
      </c>
      <c r="U804">
        <f>IF($A804="","",IF(COUNTIF($A$2:$A804,$A804)=1,1,0))</f>
        <v/>
      </c>
      <c r="V804">
        <f>IF($U804=1,SUMPRODUCT(--($X$2:$X$3001&lt;$X804))+1,"")</f>
        <v/>
      </c>
      <c r="W804">
        <f>IF($A804="","",IF(OR($T804=TRUE(),$T804="TRUE"),1,0))</f>
        <v/>
      </c>
      <c r="X804">
        <f>IF($U804=1,IFERROR(IF(VALUE($A804)&lt;100000000,VALUE($A804),1000000000),IFERROR(IF(VALUE(MID($A804,2,20))&lt;100000000,VALUE(MID($A804,2,20)),1000000000),1000000000))+ROW()/100000,"")</f>
        <v/>
      </c>
    </row>
    <row r="805">
      <c r="F805" s="7">
        <f>IF($A805="","",E805*N805/100)</f>
        <v/>
      </c>
      <c r="J805" s="7" t="n"/>
      <c r="K805" s="7">
        <f>IF($A805="","",S805*N805)</f>
        <v/>
      </c>
      <c r="L805" s="7">
        <f>IF($A805="","",N805-K805)</f>
        <v/>
      </c>
      <c r="M805" s="7">
        <f>IF($A805="","",L805-F805)</f>
        <v/>
      </c>
      <c r="N805" s="7" t="n"/>
      <c r="Q805" s="11" t="n"/>
      <c r="S805">
        <f>IF($A805="","",IF($W805=1,Settings!$C$6,Settings!$C$7)*1)</f>
        <v/>
      </c>
      <c r="U805">
        <f>IF($A805="","",IF(COUNTIF($A$2:$A805,$A805)=1,1,0))</f>
        <v/>
      </c>
      <c r="V805">
        <f>IF($U805=1,SUMPRODUCT(--($X$2:$X$3001&lt;$X805))+1,"")</f>
        <v/>
      </c>
      <c r="W805">
        <f>IF($A805="","",IF(OR($T805=TRUE(),$T805="TRUE"),1,0))</f>
        <v/>
      </c>
      <c r="X805">
        <f>IF($U805=1,IFERROR(IF(VALUE($A805)&lt;100000000,VALUE($A805),1000000000),IFERROR(IF(VALUE(MID($A805,2,20))&lt;100000000,VALUE(MID($A805,2,20)),1000000000),1000000000))+ROW()/100000,"")</f>
        <v/>
      </c>
    </row>
    <row r="806">
      <c r="F806" s="7">
        <f>IF($A806="","",E806*N806/100)</f>
        <v/>
      </c>
      <c r="J806" s="7" t="n"/>
      <c r="K806" s="7">
        <f>IF($A806="","",S806*N806)</f>
        <v/>
      </c>
      <c r="L806" s="7">
        <f>IF($A806="","",N806-K806)</f>
        <v/>
      </c>
      <c r="M806" s="7">
        <f>IF($A806="","",L806-F806)</f>
        <v/>
      </c>
      <c r="N806" s="7" t="n"/>
      <c r="Q806" s="11" t="n"/>
      <c r="S806">
        <f>IF($A806="","",IF($W806=1,Settings!$C$6,Settings!$C$7)*1)</f>
        <v/>
      </c>
      <c r="U806">
        <f>IF($A806="","",IF(COUNTIF($A$2:$A806,$A806)=1,1,0))</f>
        <v/>
      </c>
      <c r="V806">
        <f>IF($U806=1,SUMPRODUCT(--($X$2:$X$3001&lt;$X806))+1,"")</f>
        <v/>
      </c>
      <c r="W806">
        <f>IF($A806="","",IF(OR($T806=TRUE(),$T806="TRUE"),1,0))</f>
        <v/>
      </c>
      <c r="X806">
        <f>IF($U806=1,IFERROR(IF(VALUE($A806)&lt;100000000,VALUE($A806),1000000000),IFERROR(IF(VALUE(MID($A806,2,20))&lt;100000000,VALUE(MID($A806,2,20)),1000000000),1000000000))+ROW()/100000,"")</f>
        <v/>
      </c>
    </row>
    <row r="807">
      <c r="F807" s="7">
        <f>IF($A807="","",E807*N807/100)</f>
        <v/>
      </c>
      <c r="J807" s="7" t="n"/>
      <c r="K807" s="7">
        <f>IF($A807="","",S807*N807)</f>
        <v/>
      </c>
      <c r="L807" s="7">
        <f>IF($A807="","",N807-K807)</f>
        <v/>
      </c>
      <c r="M807" s="7">
        <f>IF($A807="","",L807-F807)</f>
        <v/>
      </c>
      <c r="N807" s="7" t="n"/>
      <c r="Q807" s="11" t="n"/>
      <c r="S807">
        <f>IF($A807="","",IF($W807=1,Settings!$C$6,Settings!$C$7)*1)</f>
        <v/>
      </c>
      <c r="U807">
        <f>IF($A807="","",IF(COUNTIF($A$2:$A807,$A807)=1,1,0))</f>
        <v/>
      </c>
      <c r="V807">
        <f>IF($U807=1,SUMPRODUCT(--($X$2:$X$3001&lt;$X807))+1,"")</f>
        <v/>
      </c>
      <c r="W807">
        <f>IF($A807="","",IF(OR($T807=TRUE(),$T807="TRUE"),1,0))</f>
        <v/>
      </c>
      <c r="X807">
        <f>IF($U807=1,IFERROR(IF(VALUE($A807)&lt;100000000,VALUE($A807),1000000000),IFERROR(IF(VALUE(MID($A807,2,20))&lt;100000000,VALUE(MID($A807,2,20)),1000000000),1000000000))+ROW()/100000,"")</f>
        <v/>
      </c>
    </row>
    <row r="808">
      <c r="F808" s="7">
        <f>IF($A808="","",E808*N808/100)</f>
        <v/>
      </c>
      <c r="J808" s="7" t="n"/>
      <c r="K808" s="7">
        <f>IF($A808="","",S808*N808)</f>
        <v/>
      </c>
      <c r="L808" s="7">
        <f>IF($A808="","",N808-K808)</f>
        <v/>
      </c>
      <c r="M808" s="7">
        <f>IF($A808="","",L808-F808)</f>
        <v/>
      </c>
      <c r="N808" s="7" t="n"/>
      <c r="Q808" s="11" t="n"/>
      <c r="S808">
        <f>IF($A808="","",IF($W808=1,Settings!$C$6,Settings!$C$7)*1)</f>
        <v/>
      </c>
      <c r="U808">
        <f>IF($A808="","",IF(COUNTIF($A$2:$A808,$A808)=1,1,0))</f>
        <v/>
      </c>
      <c r="V808">
        <f>IF($U808=1,SUMPRODUCT(--($X$2:$X$3001&lt;$X808))+1,"")</f>
        <v/>
      </c>
      <c r="W808">
        <f>IF($A808="","",IF(OR($T808=TRUE(),$T808="TRUE"),1,0))</f>
        <v/>
      </c>
      <c r="X808">
        <f>IF($U808=1,IFERROR(IF(VALUE($A808)&lt;100000000,VALUE($A808),1000000000),IFERROR(IF(VALUE(MID($A808,2,20))&lt;100000000,VALUE(MID($A808,2,20)),1000000000),1000000000))+ROW()/100000,"")</f>
        <v/>
      </c>
    </row>
    <row r="809">
      <c r="F809" s="7">
        <f>IF($A809="","",E809*N809/100)</f>
        <v/>
      </c>
      <c r="J809" s="7" t="n"/>
      <c r="K809" s="7">
        <f>IF($A809="","",S809*N809)</f>
        <v/>
      </c>
      <c r="L809" s="7">
        <f>IF($A809="","",N809-K809)</f>
        <v/>
      </c>
      <c r="M809" s="7">
        <f>IF($A809="","",L809-F809)</f>
        <v/>
      </c>
      <c r="N809" s="7" t="n"/>
      <c r="Q809" s="11" t="n"/>
      <c r="S809">
        <f>IF($A809="","",IF($W809=1,Settings!$C$6,Settings!$C$7)*1)</f>
        <v/>
      </c>
      <c r="U809">
        <f>IF($A809="","",IF(COUNTIF($A$2:$A809,$A809)=1,1,0))</f>
        <v/>
      </c>
      <c r="V809">
        <f>IF($U809=1,SUMPRODUCT(--($X$2:$X$3001&lt;$X809))+1,"")</f>
        <v/>
      </c>
      <c r="W809">
        <f>IF($A809="","",IF(OR($T809=TRUE(),$T809="TRUE"),1,0))</f>
        <v/>
      </c>
      <c r="X809">
        <f>IF($U809=1,IFERROR(IF(VALUE($A809)&lt;100000000,VALUE($A809),1000000000),IFERROR(IF(VALUE(MID($A809,2,20))&lt;100000000,VALUE(MID($A809,2,20)),1000000000),1000000000))+ROW()/100000,"")</f>
        <v/>
      </c>
    </row>
    <row r="810">
      <c r="F810" s="7">
        <f>IF($A810="","",E810*N810/100)</f>
        <v/>
      </c>
      <c r="J810" s="7" t="n"/>
      <c r="K810" s="7">
        <f>IF($A810="","",S810*N810)</f>
        <v/>
      </c>
      <c r="L810" s="7">
        <f>IF($A810="","",N810-K810)</f>
        <v/>
      </c>
      <c r="M810" s="7">
        <f>IF($A810="","",L810-F810)</f>
        <v/>
      </c>
      <c r="N810" s="7" t="n"/>
      <c r="Q810" s="11" t="n"/>
      <c r="S810">
        <f>IF($A810="","",IF($W810=1,Settings!$C$6,Settings!$C$7)*1)</f>
        <v/>
      </c>
      <c r="U810">
        <f>IF($A810="","",IF(COUNTIF($A$2:$A810,$A810)=1,1,0))</f>
        <v/>
      </c>
      <c r="V810">
        <f>IF($U810=1,SUMPRODUCT(--($X$2:$X$3001&lt;$X810))+1,"")</f>
        <v/>
      </c>
      <c r="W810">
        <f>IF($A810="","",IF(OR($T810=TRUE(),$T810="TRUE"),1,0))</f>
        <v/>
      </c>
      <c r="X810">
        <f>IF($U810=1,IFERROR(IF(VALUE($A810)&lt;100000000,VALUE($A810),1000000000),IFERROR(IF(VALUE(MID($A810,2,20))&lt;100000000,VALUE(MID($A810,2,20)),1000000000),1000000000))+ROW()/100000,"")</f>
        <v/>
      </c>
    </row>
    <row r="811">
      <c r="F811" s="7">
        <f>IF($A811="","",E811*N811/100)</f>
        <v/>
      </c>
      <c r="J811" s="7" t="n"/>
      <c r="K811" s="7">
        <f>IF($A811="","",S811*N811)</f>
        <v/>
      </c>
      <c r="L811" s="7">
        <f>IF($A811="","",N811-K811)</f>
        <v/>
      </c>
      <c r="M811" s="7">
        <f>IF($A811="","",L811-F811)</f>
        <v/>
      </c>
      <c r="N811" s="7" t="n"/>
      <c r="Q811" s="11" t="n"/>
      <c r="S811">
        <f>IF($A811="","",IF($W811=1,Settings!$C$6,Settings!$C$7)*1)</f>
        <v/>
      </c>
      <c r="U811">
        <f>IF($A811="","",IF(COUNTIF($A$2:$A811,$A811)=1,1,0))</f>
        <v/>
      </c>
      <c r="V811">
        <f>IF($U811=1,SUMPRODUCT(--($X$2:$X$3001&lt;$X811))+1,"")</f>
        <v/>
      </c>
      <c r="W811">
        <f>IF($A811="","",IF(OR($T811=TRUE(),$T811="TRUE"),1,0))</f>
        <v/>
      </c>
      <c r="X811">
        <f>IF($U811=1,IFERROR(IF(VALUE($A811)&lt;100000000,VALUE($A811),1000000000),IFERROR(IF(VALUE(MID($A811,2,20))&lt;100000000,VALUE(MID($A811,2,20)),1000000000),1000000000))+ROW()/100000,"")</f>
        <v/>
      </c>
    </row>
    <row r="812">
      <c r="F812" s="7">
        <f>IF($A812="","",E812*N812/100)</f>
        <v/>
      </c>
      <c r="J812" s="7" t="n"/>
      <c r="K812" s="7">
        <f>IF($A812="","",S812*N812)</f>
        <v/>
      </c>
      <c r="L812" s="7">
        <f>IF($A812="","",N812-K812)</f>
        <v/>
      </c>
      <c r="M812" s="7">
        <f>IF($A812="","",L812-F812)</f>
        <v/>
      </c>
      <c r="N812" s="7" t="n"/>
      <c r="Q812" s="11" t="n"/>
      <c r="S812">
        <f>IF($A812="","",IF($W812=1,Settings!$C$6,Settings!$C$7)*1)</f>
        <v/>
      </c>
      <c r="U812">
        <f>IF($A812="","",IF(COUNTIF($A$2:$A812,$A812)=1,1,0))</f>
        <v/>
      </c>
      <c r="V812">
        <f>IF($U812=1,SUMPRODUCT(--($X$2:$X$3001&lt;$X812))+1,"")</f>
        <v/>
      </c>
      <c r="W812">
        <f>IF($A812="","",IF(OR($T812=TRUE(),$T812="TRUE"),1,0))</f>
        <v/>
      </c>
      <c r="X812">
        <f>IF($U812=1,IFERROR(IF(VALUE($A812)&lt;100000000,VALUE($A812),1000000000),IFERROR(IF(VALUE(MID($A812,2,20))&lt;100000000,VALUE(MID($A812,2,20)),1000000000),1000000000))+ROW()/100000,"")</f>
        <v/>
      </c>
    </row>
    <row r="813">
      <c r="F813" s="7">
        <f>IF($A813="","",E813*N813/100)</f>
        <v/>
      </c>
      <c r="J813" s="7" t="n"/>
      <c r="K813" s="7">
        <f>IF($A813="","",S813*N813)</f>
        <v/>
      </c>
      <c r="L813" s="7">
        <f>IF($A813="","",N813-K813)</f>
        <v/>
      </c>
      <c r="M813" s="7">
        <f>IF($A813="","",L813-F813)</f>
        <v/>
      </c>
      <c r="N813" s="7" t="n"/>
      <c r="Q813" s="11" t="n"/>
      <c r="S813">
        <f>IF($A813="","",IF($W813=1,Settings!$C$6,Settings!$C$7)*1)</f>
        <v/>
      </c>
      <c r="U813">
        <f>IF($A813="","",IF(COUNTIF($A$2:$A813,$A813)=1,1,0))</f>
        <v/>
      </c>
      <c r="V813">
        <f>IF($U813=1,SUMPRODUCT(--($X$2:$X$3001&lt;$X813))+1,"")</f>
        <v/>
      </c>
      <c r="W813">
        <f>IF($A813="","",IF(OR($T813=TRUE(),$T813="TRUE"),1,0))</f>
        <v/>
      </c>
      <c r="X813">
        <f>IF($U813=1,IFERROR(IF(VALUE($A813)&lt;100000000,VALUE($A813),1000000000),IFERROR(IF(VALUE(MID($A813,2,20))&lt;100000000,VALUE(MID($A813,2,20)),1000000000),1000000000))+ROW()/100000,"")</f>
        <v/>
      </c>
    </row>
    <row r="814">
      <c r="F814" s="7">
        <f>IF($A814="","",E814*N814/100)</f>
        <v/>
      </c>
      <c r="J814" s="7" t="n"/>
      <c r="K814" s="7">
        <f>IF($A814="","",S814*N814)</f>
        <v/>
      </c>
      <c r="L814" s="7">
        <f>IF($A814="","",N814-K814)</f>
        <v/>
      </c>
      <c r="M814" s="7">
        <f>IF($A814="","",L814-F814)</f>
        <v/>
      </c>
      <c r="N814" s="7" t="n"/>
      <c r="Q814" s="11" t="n"/>
      <c r="S814">
        <f>IF($A814="","",IF($W814=1,Settings!$C$6,Settings!$C$7)*1)</f>
        <v/>
      </c>
      <c r="U814">
        <f>IF($A814="","",IF(COUNTIF($A$2:$A814,$A814)=1,1,0))</f>
        <v/>
      </c>
      <c r="V814">
        <f>IF($U814=1,SUMPRODUCT(--($X$2:$X$3001&lt;$X814))+1,"")</f>
        <v/>
      </c>
      <c r="W814">
        <f>IF($A814="","",IF(OR($T814=TRUE(),$T814="TRUE"),1,0))</f>
        <v/>
      </c>
      <c r="X814">
        <f>IF($U814=1,IFERROR(IF(VALUE($A814)&lt;100000000,VALUE($A814),1000000000),IFERROR(IF(VALUE(MID($A814,2,20))&lt;100000000,VALUE(MID($A814,2,20)),1000000000),1000000000))+ROW()/100000,"")</f>
        <v/>
      </c>
    </row>
    <row r="815">
      <c r="F815" s="7">
        <f>IF($A815="","",E815*N815/100)</f>
        <v/>
      </c>
      <c r="J815" s="7" t="n"/>
      <c r="K815" s="7">
        <f>IF($A815="","",S815*N815)</f>
        <v/>
      </c>
      <c r="L815" s="7">
        <f>IF($A815="","",N815-K815)</f>
        <v/>
      </c>
      <c r="M815" s="7">
        <f>IF($A815="","",L815-F815)</f>
        <v/>
      </c>
      <c r="N815" s="7" t="n"/>
      <c r="Q815" s="11" t="n"/>
      <c r="S815">
        <f>IF($A815="","",IF($W815=1,Settings!$C$6,Settings!$C$7)*1)</f>
        <v/>
      </c>
      <c r="U815">
        <f>IF($A815="","",IF(COUNTIF($A$2:$A815,$A815)=1,1,0))</f>
        <v/>
      </c>
      <c r="V815">
        <f>IF($U815=1,SUMPRODUCT(--($X$2:$X$3001&lt;$X815))+1,"")</f>
        <v/>
      </c>
      <c r="W815">
        <f>IF($A815="","",IF(OR($T815=TRUE(),$T815="TRUE"),1,0))</f>
        <v/>
      </c>
      <c r="X815">
        <f>IF($U815=1,IFERROR(IF(VALUE($A815)&lt;100000000,VALUE($A815),1000000000),IFERROR(IF(VALUE(MID($A815,2,20))&lt;100000000,VALUE(MID($A815,2,20)),1000000000),1000000000))+ROW()/100000,"")</f>
        <v/>
      </c>
    </row>
    <row r="816">
      <c r="F816" s="7">
        <f>IF($A816="","",E816*N816/100)</f>
        <v/>
      </c>
      <c r="J816" s="7" t="n"/>
      <c r="K816" s="7">
        <f>IF($A816="","",S816*N816)</f>
        <v/>
      </c>
      <c r="L816" s="7">
        <f>IF($A816="","",N816-K816)</f>
        <v/>
      </c>
      <c r="M816" s="7">
        <f>IF($A816="","",L816-F816)</f>
        <v/>
      </c>
      <c r="N816" s="7" t="n"/>
      <c r="Q816" s="11" t="n"/>
      <c r="S816">
        <f>IF($A816="","",IF($W816=1,Settings!$C$6,Settings!$C$7)*1)</f>
        <v/>
      </c>
      <c r="U816">
        <f>IF($A816="","",IF(COUNTIF($A$2:$A816,$A816)=1,1,0))</f>
        <v/>
      </c>
      <c r="V816">
        <f>IF($U816=1,SUMPRODUCT(--($X$2:$X$3001&lt;$X816))+1,"")</f>
        <v/>
      </c>
      <c r="W816">
        <f>IF($A816="","",IF(OR($T816=TRUE(),$T816="TRUE"),1,0))</f>
        <v/>
      </c>
      <c r="X816">
        <f>IF($U816=1,IFERROR(IF(VALUE($A816)&lt;100000000,VALUE($A816),1000000000),IFERROR(IF(VALUE(MID($A816,2,20))&lt;100000000,VALUE(MID($A816,2,20)),1000000000),1000000000))+ROW()/100000,"")</f>
        <v/>
      </c>
    </row>
    <row r="817">
      <c r="F817" s="7">
        <f>IF($A817="","",E817*N817/100)</f>
        <v/>
      </c>
      <c r="J817" s="7" t="n"/>
      <c r="K817" s="7">
        <f>IF($A817="","",S817*N817)</f>
        <v/>
      </c>
      <c r="L817" s="7">
        <f>IF($A817="","",N817-K817)</f>
        <v/>
      </c>
      <c r="M817" s="7">
        <f>IF($A817="","",L817-F817)</f>
        <v/>
      </c>
      <c r="N817" s="7" t="n"/>
      <c r="Q817" s="11" t="n"/>
      <c r="S817">
        <f>IF($A817="","",IF($W817=1,Settings!$C$6,Settings!$C$7)*1)</f>
        <v/>
      </c>
      <c r="U817">
        <f>IF($A817="","",IF(COUNTIF($A$2:$A817,$A817)=1,1,0))</f>
        <v/>
      </c>
      <c r="V817">
        <f>IF($U817=1,SUMPRODUCT(--($X$2:$X$3001&lt;$X817))+1,"")</f>
        <v/>
      </c>
      <c r="W817">
        <f>IF($A817="","",IF(OR($T817=TRUE(),$T817="TRUE"),1,0))</f>
        <v/>
      </c>
      <c r="X817">
        <f>IF($U817=1,IFERROR(IF(VALUE($A817)&lt;100000000,VALUE($A817),1000000000),IFERROR(IF(VALUE(MID($A817,2,20))&lt;100000000,VALUE(MID($A817,2,20)),1000000000),1000000000))+ROW()/100000,"")</f>
        <v/>
      </c>
    </row>
    <row r="818">
      <c r="F818" s="7">
        <f>IF($A818="","",E818*N818/100)</f>
        <v/>
      </c>
      <c r="J818" s="7" t="n"/>
      <c r="K818" s="7">
        <f>IF($A818="","",S818*N818)</f>
        <v/>
      </c>
      <c r="L818" s="7">
        <f>IF($A818="","",N818-K818)</f>
        <v/>
      </c>
      <c r="M818" s="7">
        <f>IF($A818="","",L818-F818)</f>
        <v/>
      </c>
      <c r="N818" s="7" t="n"/>
      <c r="Q818" s="11" t="n"/>
      <c r="S818">
        <f>IF($A818="","",IF($W818=1,Settings!$C$6,Settings!$C$7)*1)</f>
        <v/>
      </c>
      <c r="U818">
        <f>IF($A818="","",IF(COUNTIF($A$2:$A818,$A818)=1,1,0))</f>
        <v/>
      </c>
      <c r="V818">
        <f>IF($U818=1,SUMPRODUCT(--($X$2:$X$3001&lt;$X818))+1,"")</f>
        <v/>
      </c>
      <c r="W818">
        <f>IF($A818="","",IF(OR($T818=TRUE(),$T818="TRUE"),1,0))</f>
        <v/>
      </c>
      <c r="X818">
        <f>IF($U818=1,IFERROR(IF(VALUE($A818)&lt;100000000,VALUE($A818),1000000000),IFERROR(IF(VALUE(MID($A818,2,20))&lt;100000000,VALUE(MID($A818,2,20)),1000000000),1000000000))+ROW()/100000,"")</f>
        <v/>
      </c>
    </row>
    <row r="819">
      <c r="F819" s="7">
        <f>IF($A819="","",E819*N819/100)</f>
        <v/>
      </c>
      <c r="J819" s="7" t="n"/>
      <c r="K819" s="7">
        <f>IF($A819="","",S819*N819)</f>
        <v/>
      </c>
      <c r="L819" s="7">
        <f>IF($A819="","",N819-K819)</f>
        <v/>
      </c>
      <c r="M819" s="7">
        <f>IF($A819="","",L819-F819)</f>
        <v/>
      </c>
      <c r="N819" s="7" t="n"/>
      <c r="Q819" s="11" t="n"/>
      <c r="S819">
        <f>IF($A819="","",IF($W819=1,Settings!$C$6,Settings!$C$7)*1)</f>
        <v/>
      </c>
      <c r="U819">
        <f>IF($A819="","",IF(COUNTIF($A$2:$A819,$A819)=1,1,0))</f>
        <v/>
      </c>
      <c r="V819">
        <f>IF($U819=1,SUMPRODUCT(--($X$2:$X$3001&lt;$X819))+1,"")</f>
        <v/>
      </c>
      <c r="W819">
        <f>IF($A819="","",IF(OR($T819=TRUE(),$T819="TRUE"),1,0))</f>
        <v/>
      </c>
      <c r="X819">
        <f>IF($U819=1,IFERROR(IF(VALUE($A819)&lt;100000000,VALUE($A819),1000000000),IFERROR(IF(VALUE(MID($A819,2,20))&lt;100000000,VALUE(MID($A819,2,20)),1000000000),1000000000))+ROW()/100000,"")</f>
        <v/>
      </c>
    </row>
    <row r="820">
      <c r="F820" s="7">
        <f>IF($A820="","",E820*N820/100)</f>
        <v/>
      </c>
      <c r="J820" s="7" t="n"/>
      <c r="K820" s="7">
        <f>IF($A820="","",S820*N820)</f>
        <v/>
      </c>
      <c r="L820" s="7">
        <f>IF($A820="","",N820-K820)</f>
        <v/>
      </c>
      <c r="M820" s="7">
        <f>IF($A820="","",L820-F820)</f>
        <v/>
      </c>
      <c r="N820" s="7" t="n"/>
      <c r="Q820" s="11" t="n"/>
      <c r="S820">
        <f>IF($A820="","",IF($W820=1,Settings!$C$6,Settings!$C$7)*1)</f>
        <v/>
      </c>
      <c r="U820">
        <f>IF($A820="","",IF(COUNTIF($A$2:$A820,$A820)=1,1,0))</f>
        <v/>
      </c>
      <c r="V820">
        <f>IF($U820=1,SUMPRODUCT(--($X$2:$X$3001&lt;$X820))+1,"")</f>
        <v/>
      </c>
      <c r="W820">
        <f>IF($A820="","",IF(OR($T820=TRUE(),$T820="TRUE"),1,0))</f>
        <v/>
      </c>
      <c r="X820">
        <f>IF($U820=1,IFERROR(IF(VALUE($A820)&lt;100000000,VALUE($A820),1000000000),IFERROR(IF(VALUE(MID($A820,2,20))&lt;100000000,VALUE(MID($A820,2,20)),1000000000),1000000000))+ROW()/100000,"")</f>
        <v/>
      </c>
    </row>
    <row r="821">
      <c r="F821" s="7">
        <f>IF($A821="","",E821*N821/100)</f>
        <v/>
      </c>
      <c r="J821" s="7" t="n"/>
      <c r="K821" s="7">
        <f>IF($A821="","",S821*N821)</f>
        <v/>
      </c>
      <c r="L821" s="7">
        <f>IF($A821="","",N821-K821)</f>
        <v/>
      </c>
      <c r="M821" s="7">
        <f>IF($A821="","",L821-F821)</f>
        <v/>
      </c>
      <c r="N821" s="7" t="n"/>
      <c r="Q821" s="11" t="n"/>
      <c r="S821">
        <f>IF($A821="","",IF($W821=1,Settings!$C$6,Settings!$C$7)*1)</f>
        <v/>
      </c>
      <c r="U821">
        <f>IF($A821="","",IF(COUNTIF($A$2:$A821,$A821)=1,1,0))</f>
        <v/>
      </c>
      <c r="V821">
        <f>IF($U821=1,SUMPRODUCT(--($X$2:$X$3001&lt;$X821))+1,"")</f>
        <v/>
      </c>
      <c r="W821">
        <f>IF($A821="","",IF(OR($T821=TRUE(),$T821="TRUE"),1,0))</f>
        <v/>
      </c>
      <c r="X821">
        <f>IF($U821=1,IFERROR(IF(VALUE($A821)&lt;100000000,VALUE($A821),1000000000),IFERROR(IF(VALUE(MID($A821,2,20))&lt;100000000,VALUE(MID($A821,2,20)),1000000000),1000000000))+ROW()/100000,"")</f>
        <v/>
      </c>
    </row>
    <row r="822">
      <c r="F822" s="7">
        <f>IF($A822="","",E822*N822/100)</f>
        <v/>
      </c>
      <c r="J822" s="7" t="n"/>
      <c r="K822" s="7">
        <f>IF($A822="","",S822*N822)</f>
        <v/>
      </c>
      <c r="L822" s="7">
        <f>IF($A822="","",N822-K822)</f>
        <v/>
      </c>
      <c r="M822" s="7">
        <f>IF($A822="","",L822-F822)</f>
        <v/>
      </c>
      <c r="N822" s="7" t="n"/>
      <c r="Q822" s="11" t="n"/>
      <c r="S822">
        <f>IF($A822="","",IF($W822=1,Settings!$C$6,Settings!$C$7)*1)</f>
        <v/>
      </c>
      <c r="U822">
        <f>IF($A822="","",IF(COUNTIF($A$2:$A822,$A822)=1,1,0))</f>
        <v/>
      </c>
      <c r="V822">
        <f>IF($U822=1,SUMPRODUCT(--($X$2:$X$3001&lt;$X822))+1,"")</f>
        <v/>
      </c>
      <c r="W822">
        <f>IF($A822="","",IF(OR($T822=TRUE(),$T822="TRUE"),1,0))</f>
        <v/>
      </c>
      <c r="X822">
        <f>IF($U822=1,IFERROR(IF(VALUE($A822)&lt;100000000,VALUE($A822),1000000000),IFERROR(IF(VALUE(MID($A822,2,20))&lt;100000000,VALUE(MID($A822,2,20)),1000000000),1000000000))+ROW()/100000,"")</f>
        <v/>
      </c>
    </row>
    <row r="823">
      <c r="F823" s="7">
        <f>IF($A823="","",E823*N823/100)</f>
        <v/>
      </c>
      <c r="J823" s="7" t="n"/>
      <c r="K823" s="7">
        <f>IF($A823="","",S823*N823)</f>
        <v/>
      </c>
      <c r="L823" s="7">
        <f>IF($A823="","",N823-K823)</f>
        <v/>
      </c>
      <c r="M823" s="7">
        <f>IF($A823="","",L823-F823)</f>
        <v/>
      </c>
      <c r="N823" s="7" t="n"/>
      <c r="Q823" s="11" t="n"/>
      <c r="S823">
        <f>IF($A823="","",IF($W823=1,Settings!$C$6,Settings!$C$7)*1)</f>
        <v/>
      </c>
      <c r="U823">
        <f>IF($A823="","",IF(COUNTIF($A$2:$A823,$A823)=1,1,0))</f>
        <v/>
      </c>
      <c r="V823">
        <f>IF($U823=1,SUMPRODUCT(--($X$2:$X$3001&lt;$X823))+1,"")</f>
        <v/>
      </c>
      <c r="W823">
        <f>IF($A823="","",IF(OR($T823=TRUE(),$T823="TRUE"),1,0))</f>
        <v/>
      </c>
      <c r="X823">
        <f>IF($U823=1,IFERROR(IF(VALUE($A823)&lt;100000000,VALUE($A823),1000000000),IFERROR(IF(VALUE(MID($A823,2,20))&lt;100000000,VALUE(MID($A823,2,20)),1000000000),1000000000))+ROW()/100000,"")</f>
        <v/>
      </c>
    </row>
    <row r="824">
      <c r="F824" s="7">
        <f>IF($A824="","",E824*N824/100)</f>
        <v/>
      </c>
      <c r="J824" s="7" t="n"/>
      <c r="K824" s="7">
        <f>IF($A824="","",S824*N824)</f>
        <v/>
      </c>
      <c r="L824" s="7">
        <f>IF($A824="","",N824-K824)</f>
        <v/>
      </c>
      <c r="M824" s="7">
        <f>IF($A824="","",L824-F824)</f>
        <v/>
      </c>
      <c r="N824" s="7" t="n"/>
      <c r="Q824" s="11" t="n"/>
      <c r="S824">
        <f>IF($A824="","",IF($W824=1,Settings!$C$6,Settings!$C$7)*1)</f>
        <v/>
      </c>
      <c r="U824">
        <f>IF($A824="","",IF(COUNTIF($A$2:$A824,$A824)=1,1,0))</f>
        <v/>
      </c>
      <c r="V824">
        <f>IF($U824=1,SUMPRODUCT(--($X$2:$X$3001&lt;$X824))+1,"")</f>
        <v/>
      </c>
      <c r="W824">
        <f>IF($A824="","",IF(OR($T824=TRUE(),$T824="TRUE"),1,0))</f>
        <v/>
      </c>
      <c r="X824">
        <f>IF($U824=1,IFERROR(IF(VALUE($A824)&lt;100000000,VALUE($A824),1000000000),IFERROR(IF(VALUE(MID($A824,2,20))&lt;100000000,VALUE(MID($A824,2,20)),1000000000),1000000000))+ROW()/100000,"")</f>
        <v/>
      </c>
    </row>
    <row r="825">
      <c r="F825" s="7">
        <f>IF($A825="","",E825*N825/100)</f>
        <v/>
      </c>
      <c r="J825" s="7" t="n"/>
      <c r="K825" s="7">
        <f>IF($A825="","",S825*N825)</f>
        <v/>
      </c>
      <c r="L825" s="7">
        <f>IF($A825="","",N825-K825)</f>
        <v/>
      </c>
      <c r="M825" s="7">
        <f>IF($A825="","",L825-F825)</f>
        <v/>
      </c>
      <c r="N825" s="7" t="n"/>
      <c r="Q825" s="11" t="n"/>
      <c r="S825">
        <f>IF($A825="","",IF($W825=1,Settings!$C$6,Settings!$C$7)*1)</f>
        <v/>
      </c>
      <c r="U825">
        <f>IF($A825="","",IF(COUNTIF($A$2:$A825,$A825)=1,1,0))</f>
        <v/>
      </c>
      <c r="V825">
        <f>IF($U825=1,SUMPRODUCT(--($X$2:$X$3001&lt;$X825))+1,"")</f>
        <v/>
      </c>
      <c r="W825">
        <f>IF($A825="","",IF(OR($T825=TRUE(),$T825="TRUE"),1,0))</f>
        <v/>
      </c>
      <c r="X825">
        <f>IF($U825=1,IFERROR(IF(VALUE($A825)&lt;100000000,VALUE($A825),1000000000),IFERROR(IF(VALUE(MID($A825,2,20))&lt;100000000,VALUE(MID($A825,2,20)),1000000000),1000000000))+ROW()/100000,"")</f>
        <v/>
      </c>
    </row>
    <row r="826">
      <c r="F826" s="7">
        <f>IF($A826="","",E826*N826/100)</f>
        <v/>
      </c>
      <c r="J826" s="7" t="n"/>
      <c r="K826" s="7">
        <f>IF($A826="","",S826*N826)</f>
        <v/>
      </c>
      <c r="L826" s="7">
        <f>IF($A826="","",N826-K826)</f>
        <v/>
      </c>
      <c r="M826" s="7">
        <f>IF($A826="","",L826-F826)</f>
        <v/>
      </c>
      <c r="N826" s="7" t="n"/>
      <c r="Q826" s="11" t="n"/>
      <c r="S826">
        <f>IF($A826="","",IF($W826=1,Settings!$C$6,Settings!$C$7)*1)</f>
        <v/>
      </c>
      <c r="U826">
        <f>IF($A826="","",IF(COUNTIF($A$2:$A826,$A826)=1,1,0))</f>
        <v/>
      </c>
      <c r="V826">
        <f>IF($U826=1,SUMPRODUCT(--($X$2:$X$3001&lt;$X826))+1,"")</f>
        <v/>
      </c>
      <c r="W826">
        <f>IF($A826="","",IF(OR($T826=TRUE(),$T826="TRUE"),1,0))</f>
        <v/>
      </c>
      <c r="X826">
        <f>IF($U826=1,IFERROR(IF(VALUE($A826)&lt;100000000,VALUE($A826),1000000000),IFERROR(IF(VALUE(MID($A826,2,20))&lt;100000000,VALUE(MID($A826,2,20)),1000000000),1000000000))+ROW()/100000,"")</f>
        <v/>
      </c>
    </row>
    <row r="827">
      <c r="F827" s="7">
        <f>IF($A827="","",E827*N827/100)</f>
        <v/>
      </c>
      <c r="J827" s="7" t="n"/>
      <c r="K827" s="7">
        <f>IF($A827="","",S827*N827)</f>
        <v/>
      </c>
      <c r="L827" s="7">
        <f>IF($A827="","",N827-K827)</f>
        <v/>
      </c>
      <c r="M827" s="7">
        <f>IF($A827="","",L827-F827)</f>
        <v/>
      </c>
      <c r="N827" s="7" t="n"/>
      <c r="Q827" s="11" t="n"/>
      <c r="S827">
        <f>IF($A827="","",IF($W827=1,Settings!$C$6,Settings!$C$7)*1)</f>
        <v/>
      </c>
      <c r="U827">
        <f>IF($A827="","",IF(COUNTIF($A$2:$A827,$A827)=1,1,0))</f>
        <v/>
      </c>
      <c r="V827">
        <f>IF($U827=1,SUMPRODUCT(--($X$2:$X$3001&lt;$X827))+1,"")</f>
        <v/>
      </c>
      <c r="W827">
        <f>IF($A827="","",IF(OR($T827=TRUE(),$T827="TRUE"),1,0))</f>
        <v/>
      </c>
      <c r="X827">
        <f>IF($U827=1,IFERROR(IF(VALUE($A827)&lt;100000000,VALUE($A827),1000000000),IFERROR(IF(VALUE(MID($A827,2,20))&lt;100000000,VALUE(MID($A827,2,20)),1000000000),1000000000))+ROW()/100000,"")</f>
        <v/>
      </c>
    </row>
    <row r="828">
      <c r="F828" s="7">
        <f>IF($A828="","",E828*N828/100)</f>
        <v/>
      </c>
      <c r="J828" s="7" t="n"/>
      <c r="K828" s="7">
        <f>IF($A828="","",S828*N828)</f>
        <v/>
      </c>
      <c r="L828" s="7">
        <f>IF($A828="","",N828-K828)</f>
        <v/>
      </c>
      <c r="M828" s="7">
        <f>IF($A828="","",L828-F828)</f>
        <v/>
      </c>
      <c r="N828" s="7" t="n"/>
      <c r="Q828" s="11" t="n"/>
      <c r="S828">
        <f>IF($A828="","",IF($W828=1,Settings!$C$6,Settings!$C$7)*1)</f>
        <v/>
      </c>
      <c r="U828">
        <f>IF($A828="","",IF(COUNTIF($A$2:$A828,$A828)=1,1,0))</f>
        <v/>
      </c>
      <c r="V828">
        <f>IF($U828=1,SUMPRODUCT(--($X$2:$X$3001&lt;$X828))+1,"")</f>
        <v/>
      </c>
      <c r="W828">
        <f>IF($A828="","",IF(OR($T828=TRUE(),$T828="TRUE"),1,0))</f>
        <v/>
      </c>
      <c r="X828">
        <f>IF($U828=1,IFERROR(IF(VALUE($A828)&lt;100000000,VALUE($A828),1000000000),IFERROR(IF(VALUE(MID($A828,2,20))&lt;100000000,VALUE(MID($A828,2,20)),1000000000),1000000000))+ROW()/100000,"")</f>
        <v/>
      </c>
    </row>
    <row r="829">
      <c r="F829" s="7">
        <f>IF($A829="","",E829*N829/100)</f>
        <v/>
      </c>
      <c r="J829" s="7" t="n"/>
      <c r="K829" s="7">
        <f>IF($A829="","",S829*N829)</f>
        <v/>
      </c>
      <c r="L829" s="7">
        <f>IF($A829="","",N829-K829)</f>
        <v/>
      </c>
      <c r="M829" s="7">
        <f>IF($A829="","",L829-F829)</f>
        <v/>
      </c>
      <c r="N829" s="7" t="n"/>
      <c r="Q829" s="11" t="n"/>
      <c r="S829">
        <f>IF($A829="","",IF($W829=1,Settings!$C$6,Settings!$C$7)*1)</f>
        <v/>
      </c>
      <c r="U829">
        <f>IF($A829="","",IF(COUNTIF($A$2:$A829,$A829)=1,1,0))</f>
        <v/>
      </c>
      <c r="V829">
        <f>IF($U829=1,SUMPRODUCT(--($X$2:$X$3001&lt;$X829))+1,"")</f>
        <v/>
      </c>
      <c r="W829">
        <f>IF($A829="","",IF(OR($T829=TRUE(),$T829="TRUE"),1,0))</f>
        <v/>
      </c>
      <c r="X829">
        <f>IF($U829=1,IFERROR(IF(VALUE($A829)&lt;100000000,VALUE($A829),1000000000),IFERROR(IF(VALUE(MID($A829,2,20))&lt;100000000,VALUE(MID($A829,2,20)),1000000000),1000000000))+ROW()/100000,"")</f>
        <v/>
      </c>
    </row>
    <row r="830">
      <c r="F830" s="7">
        <f>IF($A830="","",E830*N830/100)</f>
        <v/>
      </c>
      <c r="J830" s="7" t="n"/>
      <c r="K830" s="7">
        <f>IF($A830="","",S830*N830)</f>
        <v/>
      </c>
      <c r="L830" s="7">
        <f>IF($A830="","",N830-K830)</f>
        <v/>
      </c>
      <c r="M830" s="7">
        <f>IF($A830="","",L830-F830)</f>
        <v/>
      </c>
      <c r="N830" s="7" t="n"/>
      <c r="Q830" s="11" t="n"/>
      <c r="S830">
        <f>IF($A830="","",IF($W830=1,Settings!$C$6,Settings!$C$7)*1)</f>
        <v/>
      </c>
      <c r="U830">
        <f>IF($A830="","",IF(COUNTIF($A$2:$A830,$A830)=1,1,0))</f>
        <v/>
      </c>
      <c r="V830">
        <f>IF($U830=1,SUMPRODUCT(--($X$2:$X$3001&lt;$X830))+1,"")</f>
        <v/>
      </c>
      <c r="W830">
        <f>IF($A830="","",IF(OR($T830=TRUE(),$T830="TRUE"),1,0))</f>
        <v/>
      </c>
      <c r="X830">
        <f>IF($U830=1,IFERROR(IF(VALUE($A830)&lt;100000000,VALUE($A830),1000000000),IFERROR(IF(VALUE(MID($A830,2,20))&lt;100000000,VALUE(MID($A830,2,20)),1000000000),1000000000))+ROW()/100000,"")</f>
        <v/>
      </c>
    </row>
    <row r="831">
      <c r="F831" s="7">
        <f>IF($A831="","",E831*N831/100)</f>
        <v/>
      </c>
      <c r="J831" s="7" t="n"/>
      <c r="K831" s="7">
        <f>IF($A831="","",S831*N831)</f>
        <v/>
      </c>
      <c r="L831" s="7">
        <f>IF($A831="","",N831-K831)</f>
        <v/>
      </c>
      <c r="M831" s="7">
        <f>IF($A831="","",L831-F831)</f>
        <v/>
      </c>
      <c r="N831" s="7" t="n"/>
      <c r="Q831" s="11" t="n"/>
      <c r="S831">
        <f>IF($A831="","",IF($W831=1,Settings!$C$6,Settings!$C$7)*1)</f>
        <v/>
      </c>
      <c r="U831">
        <f>IF($A831="","",IF(COUNTIF($A$2:$A831,$A831)=1,1,0))</f>
        <v/>
      </c>
      <c r="V831">
        <f>IF($U831=1,SUMPRODUCT(--($X$2:$X$3001&lt;$X831))+1,"")</f>
        <v/>
      </c>
      <c r="W831">
        <f>IF($A831="","",IF(OR($T831=TRUE(),$T831="TRUE"),1,0))</f>
        <v/>
      </c>
      <c r="X831">
        <f>IF($U831=1,IFERROR(IF(VALUE($A831)&lt;100000000,VALUE($A831),1000000000),IFERROR(IF(VALUE(MID($A831,2,20))&lt;100000000,VALUE(MID($A831,2,20)),1000000000),1000000000))+ROW()/100000,"")</f>
        <v/>
      </c>
    </row>
    <row r="832">
      <c r="F832" s="7">
        <f>IF($A832="","",E832*N832/100)</f>
        <v/>
      </c>
      <c r="J832" s="7" t="n"/>
      <c r="K832" s="7">
        <f>IF($A832="","",S832*N832)</f>
        <v/>
      </c>
      <c r="L832" s="7">
        <f>IF($A832="","",N832-K832)</f>
        <v/>
      </c>
      <c r="M832" s="7">
        <f>IF($A832="","",L832-F832)</f>
        <v/>
      </c>
      <c r="N832" s="7" t="n"/>
      <c r="Q832" s="11" t="n"/>
      <c r="S832">
        <f>IF($A832="","",IF($W832=1,Settings!$C$6,Settings!$C$7)*1)</f>
        <v/>
      </c>
      <c r="U832">
        <f>IF($A832="","",IF(COUNTIF($A$2:$A832,$A832)=1,1,0))</f>
        <v/>
      </c>
      <c r="V832">
        <f>IF($U832=1,SUMPRODUCT(--($X$2:$X$3001&lt;$X832))+1,"")</f>
        <v/>
      </c>
      <c r="W832">
        <f>IF($A832="","",IF(OR($T832=TRUE(),$T832="TRUE"),1,0))</f>
        <v/>
      </c>
      <c r="X832">
        <f>IF($U832=1,IFERROR(IF(VALUE($A832)&lt;100000000,VALUE($A832),1000000000),IFERROR(IF(VALUE(MID($A832,2,20))&lt;100000000,VALUE(MID($A832,2,20)),1000000000),1000000000))+ROW()/100000,"")</f>
        <v/>
      </c>
    </row>
    <row r="833">
      <c r="F833" s="7">
        <f>IF($A833="","",E833*N833/100)</f>
        <v/>
      </c>
      <c r="J833" s="7" t="n"/>
      <c r="K833" s="7">
        <f>IF($A833="","",S833*N833)</f>
        <v/>
      </c>
      <c r="L833" s="7">
        <f>IF($A833="","",N833-K833)</f>
        <v/>
      </c>
      <c r="M833" s="7">
        <f>IF($A833="","",L833-F833)</f>
        <v/>
      </c>
      <c r="N833" s="7" t="n"/>
      <c r="Q833" s="11" t="n"/>
      <c r="S833">
        <f>IF($A833="","",IF($W833=1,Settings!$C$6,Settings!$C$7)*1)</f>
        <v/>
      </c>
      <c r="U833">
        <f>IF($A833="","",IF(COUNTIF($A$2:$A833,$A833)=1,1,0))</f>
        <v/>
      </c>
      <c r="V833">
        <f>IF($U833=1,SUMPRODUCT(--($X$2:$X$3001&lt;$X833))+1,"")</f>
        <v/>
      </c>
      <c r="W833">
        <f>IF($A833="","",IF(OR($T833=TRUE(),$T833="TRUE"),1,0))</f>
        <v/>
      </c>
      <c r="X833">
        <f>IF($U833=1,IFERROR(IF(VALUE($A833)&lt;100000000,VALUE($A833),1000000000),IFERROR(IF(VALUE(MID($A833,2,20))&lt;100000000,VALUE(MID($A833,2,20)),1000000000),1000000000))+ROW()/100000,"")</f>
        <v/>
      </c>
    </row>
    <row r="834">
      <c r="F834" s="7">
        <f>IF($A834="","",E834*N834/100)</f>
        <v/>
      </c>
      <c r="J834" s="7" t="n"/>
      <c r="K834" s="7">
        <f>IF($A834="","",S834*N834)</f>
        <v/>
      </c>
      <c r="L834" s="7">
        <f>IF($A834="","",N834-K834)</f>
        <v/>
      </c>
      <c r="M834" s="7">
        <f>IF($A834="","",L834-F834)</f>
        <v/>
      </c>
      <c r="N834" s="7" t="n"/>
      <c r="Q834" s="11" t="n"/>
      <c r="S834">
        <f>IF($A834="","",IF($W834=1,Settings!$C$6,Settings!$C$7)*1)</f>
        <v/>
      </c>
      <c r="U834">
        <f>IF($A834="","",IF(COUNTIF($A$2:$A834,$A834)=1,1,0))</f>
        <v/>
      </c>
      <c r="V834">
        <f>IF($U834=1,SUMPRODUCT(--($X$2:$X$3001&lt;$X834))+1,"")</f>
        <v/>
      </c>
      <c r="W834">
        <f>IF($A834="","",IF(OR($T834=TRUE(),$T834="TRUE"),1,0))</f>
        <v/>
      </c>
      <c r="X834">
        <f>IF($U834=1,IFERROR(IF(VALUE($A834)&lt;100000000,VALUE($A834),1000000000),IFERROR(IF(VALUE(MID($A834,2,20))&lt;100000000,VALUE(MID($A834,2,20)),1000000000),1000000000))+ROW()/100000,"")</f>
        <v/>
      </c>
    </row>
    <row r="835">
      <c r="F835" s="7">
        <f>IF($A835="","",E835*N835/100)</f>
        <v/>
      </c>
      <c r="J835" s="7" t="n"/>
      <c r="K835" s="7">
        <f>IF($A835="","",S835*N835)</f>
        <v/>
      </c>
      <c r="L835" s="7">
        <f>IF($A835="","",N835-K835)</f>
        <v/>
      </c>
      <c r="M835" s="7">
        <f>IF($A835="","",L835-F835)</f>
        <v/>
      </c>
      <c r="N835" s="7" t="n"/>
      <c r="Q835" s="11" t="n"/>
      <c r="S835">
        <f>IF($A835="","",IF($W835=1,Settings!$C$6,Settings!$C$7)*1)</f>
        <v/>
      </c>
      <c r="U835">
        <f>IF($A835="","",IF(COUNTIF($A$2:$A835,$A835)=1,1,0))</f>
        <v/>
      </c>
      <c r="V835">
        <f>IF($U835=1,SUMPRODUCT(--($X$2:$X$3001&lt;$X835))+1,"")</f>
        <v/>
      </c>
      <c r="W835">
        <f>IF($A835="","",IF(OR($T835=TRUE(),$T835="TRUE"),1,0))</f>
        <v/>
      </c>
      <c r="X835">
        <f>IF($U835=1,IFERROR(IF(VALUE($A835)&lt;100000000,VALUE($A835),1000000000),IFERROR(IF(VALUE(MID($A835,2,20))&lt;100000000,VALUE(MID($A835,2,20)),1000000000),1000000000))+ROW()/100000,"")</f>
        <v/>
      </c>
    </row>
    <row r="836">
      <c r="F836" s="7">
        <f>IF($A836="","",E836*N836/100)</f>
        <v/>
      </c>
      <c r="J836" s="7" t="n"/>
      <c r="K836" s="7">
        <f>IF($A836="","",S836*N836)</f>
        <v/>
      </c>
      <c r="L836" s="7">
        <f>IF($A836="","",N836-K836)</f>
        <v/>
      </c>
      <c r="M836" s="7">
        <f>IF($A836="","",L836-F836)</f>
        <v/>
      </c>
      <c r="N836" s="7" t="n"/>
      <c r="Q836" s="11" t="n"/>
      <c r="S836">
        <f>IF($A836="","",IF($W836=1,Settings!$C$6,Settings!$C$7)*1)</f>
        <v/>
      </c>
      <c r="U836">
        <f>IF($A836="","",IF(COUNTIF($A$2:$A836,$A836)=1,1,0))</f>
        <v/>
      </c>
      <c r="V836">
        <f>IF($U836=1,SUMPRODUCT(--($X$2:$X$3001&lt;$X836))+1,"")</f>
        <v/>
      </c>
      <c r="W836">
        <f>IF($A836="","",IF(OR($T836=TRUE(),$T836="TRUE"),1,0))</f>
        <v/>
      </c>
      <c r="X836">
        <f>IF($U836=1,IFERROR(IF(VALUE($A836)&lt;100000000,VALUE($A836),1000000000),IFERROR(IF(VALUE(MID($A836,2,20))&lt;100000000,VALUE(MID($A836,2,20)),1000000000),1000000000))+ROW()/100000,"")</f>
        <v/>
      </c>
    </row>
    <row r="837">
      <c r="F837" s="7">
        <f>IF($A837="","",E837*N837/100)</f>
        <v/>
      </c>
      <c r="J837" s="7" t="n"/>
      <c r="K837" s="7">
        <f>IF($A837="","",S837*N837)</f>
        <v/>
      </c>
      <c r="L837" s="7">
        <f>IF($A837="","",N837-K837)</f>
        <v/>
      </c>
      <c r="M837" s="7">
        <f>IF($A837="","",L837-F837)</f>
        <v/>
      </c>
      <c r="N837" s="7" t="n"/>
      <c r="Q837" s="11" t="n"/>
      <c r="S837">
        <f>IF($A837="","",IF($W837=1,Settings!$C$6,Settings!$C$7)*1)</f>
        <v/>
      </c>
      <c r="U837">
        <f>IF($A837="","",IF(COUNTIF($A$2:$A837,$A837)=1,1,0))</f>
        <v/>
      </c>
      <c r="V837">
        <f>IF($U837=1,SUMPRODUCT(--($X$2:$X$3001&lt;$X837))+1,"")</f>
        <v/>
      </c>
      <c r="W837">
        <f>IF($A837="","",IF(OR($T837=TRUE(),$T837="TRUE"),1,0))</f>
        <v/>
      </c>
      <c r="X837">
        <f>IF($U837=1,IFERROR(IF(VALUE($A837)&lt;100000000,VALUE($A837),1000000000),IFERROR(IF(VALUE(MID($A837,2,20))&lt;100000000,VALUE(MID($A837,2,20)),1000000000),1000000000))+ROW()/100000,"")</f>
        <v/>
      </c>
    </row>
    <row r="838">
      <c r="F838" s="7">
        <f>IF($A838="","",E838*N838/100)</f>
        <v/>
      </c>
      <c r="J838" s="7" t="n"/>
      <c r="K838" s="7">
        <f>IF($A838="","",S838*N838)</f>
        <v/>
      </c>
      <c r="L838" s="7">
        <f>IF($A838="","",N838-K838)</f>
        <v/>
      </c>
      <c r="M838" s="7">
        <f>IF($A838="","",L838-F838)</f>
        <v/>
      </c>
      <c r="N838" s="7" t="n"/>
      <c r="Q838" s="11" t="n"/>
      <c r="S838">
        <f>IF($A838="","",IF($W838=1,Settings!$C$6,Settings!$C$7)*1)</f>
        <v/>
      </c>
      <c r="U838">
        <f>IF($A838="","",IF(COUNTIF($A$2:$A838,$A838)=1,1,0))</f>
        <v/>
      </c>
      <c r="V838">
        <f>IF($U838=1,SUMPRODUCT(--($X$2:$X$3001&lt;$X838))+1,"")</f>
        <v/>
      </c>
      <c r="W838">
        <f>IF($A838="","",IF(OR($T838=TRUE(),$T838="TRUE"),1,0))</f>
        <v/>
      </c>
      <c r="X838">
        <f>IF($U838=1,IFERROR(IF(VALUE($A838)&lt;100000000,VALUE($A838),1000000000),IFERROR(IF(VALUE(MID($A838,2,20))&lt;100000000,VALUE(MID($A838,2,20)),1000000000),1000000000))+ROW()/100000,"")</f>
        <v/>
      </c>
    </row>
    <row r="839">
      <c r="F839" s="7">
        <f>IF($A839="","",E839*N839/100)</f>
        <v/>
      </c>
      <c r="J839" s="7" t="n"/>
      <c r="K839" s="7">
        <f>IF($A839="","",S839*N839)</f>
        <v/>
      </c>
      <c r="L839" s="7">
        <f>IF($A839="","",N839-K839)</f>
        <v/>
      </c>
      <c r="M839" s="7">
        <f>IF($A839="","",L839-F839)</f>
        <v/>
      </c>
      <c r="N839" s="7" t="n"/>
      <c r="Q839" s="11" t="n"/>
      <c r="S839">
        <f>IF($A839="","",IF($W839=1,Settings!$C$6,Settings!$C$7)*1)</f>
        <v/>
      </c>
      <c r="U839">
        <f>IF($A839="","",IF(COUNTIF($A$2:$A839,$A839)=1,1,0))</f>
        <v/>
      </c>
      <c r="V839">
        <f>IF($U839=1,SUMPRODUCT(--($X$2:$X$3001&lt;$X839))+1,"")</f>
        <v/>
      </c>
      <c r="W839">
        <f>IF($A839="","",IF(OR($T839=TRUE(),$T839="TRUE"),1,0))</f>
        <v/>
      </c>
      <c r="X839">
        <f>IF($U839=1,IFERROR(IF(VALUE($A839)&lt;100000000,VALUE($A839),1000000000),IFERROR(IF(VALUE(MID($A839,2,20))&lt;100000000,VALUE(MID($A839,2,20)),1000000000),1000000000))+ROW()/100000,"")</f>
        <v/>
      </c>
    </row>
    <row r="840">
      <c r="F840" s="7">
        <f>IF($A840="","",E840*N840/100)</f>
        <v/>
      </c>
      <c r="J840" s="7" t="n"/>
      <c r="K840" s="7">
        <f>IF($A840="","",S840*N840)</f>
        <v/>
      </c>
      <c r="L840" s="7">
        <f>IF($A840="","",N840-K840)</f>
        <v/>
      </c>
      <c r="M840" s="7">
        <f>IF($A840="","",L840-F840)</f>
        <v/>
      </c>
      <c r="N840" s="7" t="n"/>
      <c r="Q840" s="11" t="n"/>
      <c r="S840">
        <f>IF($A840="","",IF($W840=1,Settings!$C$6,Settings!$C$7)*1)</f>
        <v/>
      </c>
      <c r="U840">
        <f>IF($A840="","",IF(COUNTIF($A$2:$A840,$A840)=1,1,0))</f>
        <v/>
      </c>
      <c r="V840">
        <f>IF($U840=1,SUMPRODUCT(--($X$2:$X$3001&lt;$X840))+1,"")</f>
        <v/>
      </c>
      <c r="W840">
        <f>IF($A840="","",IF(OR($T840=TRUE(),$T840="TRUE"),1,0))</f>
        <v/>
      </c>
      <c r="X840">
        <f>IF($U840=1,IFERROR(IF(VALUE($A840)&lt;100000000,VALUE($A840),1000000000),IFERROR(IF(VALUE(MID($A840,2,20))&lt;100000000,VALUE(MID($A840,2,20)),1000000000),1000000000))+ROW()/100000,"")</f>
        <v/>
      </c>
    </row>
    <row r="841">
      <c r="F841" s="7">
        <f>IF($A841="","",E841*N841/100)</f>
        <v/>
      </c>
      <c r="J841" s="7" t="n"/>
      <c r="K841" s="7">
        <f>IF($A841="","",S841*N841)</f>
        <v/>
      </c>
      <c r="L841" s="7">
        <f>IF($A841="","",N841-K841)</f>
        <v/>
      </c>
      <c r="M841" s="7">
        <f>IF($A841="","",L841-F841)</f>
        <v/>
      </c>
      <c r="N841" s="7" t="n"/>
      <c r="Q841" s="11" t="n"/>
      <c r="S841">
        <f>IF($A841="","",IF($W841=1,Settings!$C$6,Settings!$C$7)*1)</f>
        <v/>
      </c>
      <c r="U841">
        <f>IF($A841="","",IF(COUNTIF($A$2:$A841,$A841)=1,1,0))</f>
        <v/>
      </c>
      <c r="V841">
        <f>IF($U841=1,SUMPRODUCT(--($X$2:$X$3001&lt;$X841))+1,"")</f>
        <v/>
      </c>
      <c r="W841">
        <f>IF($A841="","",IF(OR($T841=TRUE(),$T841="TRUE"),1,0))</f>
        <v/>
      </c>
      <c r="X841">
        <f>IF($U841=1,IFERROR(IF(VALUE($A841)&lt;100000000,VALUE($A841),1000000000),IFERROR(IF(VALUE(MID($A841,2,20))&lt;100000000,VALUE(MID($A841,2,20)),1000000000),1000000000))+ROW()/100000,"")</f>
        <v/>
      </c>
    </row>
    <row r="842">
      <c r="F842" s="7">
        <f>IF($A842="","",E842*N842/100)</f>
        <v/>
      </c>
      <c r="J842" s="7" t="n"/>
      <c r="K842" s="7">
        <f>IF($A842="","",S842*N842)</f>
        <v/>
      </c>
      <c r="L842" s="7">
        <f>IF($A842="","",N842-K842)</f>
        <v/>
      </c>
      <c r="M842" s="7">
        <f>IF($A842="","",L842-F842)</f>
        <v/>
      </c>
      <c r="N842" s="7" t="n"/>
      <c r="Q842" s="11" t="n"/>
      <c r="S842">
        <f>IF($A842="","",IF($W842=1,Settings!$C$6,Settings!$C$7)*1)</f>
        <v/>
      </c>
      <c r="U842">
        <f>IF($A842="","",IF(COUNTIF($A$2:$A842,$A842)=1,1,0))</f>
        <v/>
      </c>
      <c r="V842">
        <f>IF($U842=1,SUMPRODUCT(--($X$2:$X$3001&lt;$X842))+1,"")</f>
        <v/>
      </c>
      <c r="W842">
        <f>IF($A842="","",IF(OR($T842=TRUE(),$T842="TRUE"),1,0))</f>
        <v/>
      </c>
      <c r="X842">
        <f>IF($U842=1,IFERROR(IF(VALUE($A842)&lt;100000000,VALUE($A842),1000000000),IFERROR(IF(VALUE(MID($A842,2,20))&lt;100000000,VALUE(MID($A842,2,20)),1000000000),1000000000))+ROW()/100000,"")</f>
        <v/>
      </c>
    </row>
    <row r="843">
      <c r="F843" s="7">
        <f>IF($A843="","",E843*N843/100)</f>
        <v/>
      </c>
      <c r="J843" s="7" t="n"/>
      <c r="K843" s="7">
        <f>IF($A843="","",S843*N843)</f>
        <v/>
      </c>
      <c r="L843" s="7">
        <f>IF($A843="","",N843-K843)</f>
        <v/>
      </c>
      <c r="M843" s="7">
        <f>IF($A843="","",L843-F843)</f>
        <v/>
      </c>
      <c r="N843" s="7" t="n"/>
      <c r="Q843" s="11" t="n"/>
      <c r="S843">
        <f>IF($A843="","",IF($W843=1,Settings!$C$6,Settings!$C$7)*1)</f>
        <v/>
      </c>
      <c r="U843">
        <f>IF($A843="","",IF(COUNTIF($A$2:$A843,$A843)=1,1,0))</f>
        <v/>
      </c>
      <c r="V843">
        <f>IF($U843=1,SUMPRODUCT(--($X$2:$X$3001&lt;$X843))+1,"")</f>
        <v/>
      </c>
      <c r="W843">
        <f>IF($A843="","",IF(OR($T843=TRUE(),$T843="TRUE"),1,0))</f>
        <v/>
      </c>
      <c r="X843">
        <f>IF($U843=1,IFERROR(IF(VALUE($A843)&lt;100000000,VALUE($A843),1000000000),IFERROR(IF(VALUE(MID($A843,2,20))&lt;100000000,VALUE(MID($A843,2,20)),1000000000),1000000000))+ROW()/100000,"")</f>
        <v/>
      </c>
    </row>
    <row r="844">
      <c r="F844" s="7">
        <f>IF($A844="","",E844*N844/100)</f>
        <v/>
      </c>
      <c r="J844" s="7" t="n"/>
      <c r="K844" s="7">
        <f>IF($A844="","",S844*N844)</f>
        <v/>
      </c>
      <c r="L844" s="7">
        <f>IF($A844="","",N844-K844)</f>
        <v/>
      </c>
      <c r="M844" s="7">
        <f>IF($A844="","",L844-F844)</f>
        <v/>
      </c>
      <c r="N844" s="7" t="n"/>
      <c r="Q844" s="11" t="n"/>
      <c r="S844">
        <f>IF($A844="","",IF($W844=1,Settings!$C$6,Settings!$C$7)*1)</f>
        <v/>
      </c>
      <c r="U844">
        <f>IF($A844="","",IF(COUNTIF($A$2:$A844,$A844)=1,1,0))</f>
        <v/>
      </c>
      <c r="V844">
        <f>IF($U844=1,SUMPRODUCT(--($X$2:$X$3001&lt;$X844))+1,"")</f>
        <v/>
      </c>
      <c r="W844">
        <f>IF($A844="","",IF(OR($T844=TRUE(),$T844="TRUE"),1,0))</f>
        <v/>
      </c>
      <c r="X844">
        <f>IF($U844=1,IFERROR(IF(VALUE($A844)&lt;100000000,VALUE($A844),1000000000),IFERROR(IF(VALUE(MID($A844,2,20))&lt;100000000,VALUE(MID($A844,2,20)),1000000000),1000000000))+ROW()/100000,"")</f>
        <v/>
      </c>
    </row>
    <row r="845">
      <c r="F845" s="7">
        <f>IF($A845="","",E845*N845/100)</f>
        <v/>
      </c>
      <c r="J845" s="7" t="n"/>
      <c r="K845" s="7">
        <f>IF($A845="","",S845*N845)</f>
        <v/>
      </c>
      <c r="L845" s="7">
        <f>IF($A845="","",N845-K845)</f>
        <v/>
      </c>
      <c r="M845" s="7">
        <f>IF($A845="","",L845-F845)</f>
        <v/>
      </c>
      <c r="N845" s="7" t="n"/>
      <c r="Q845" s="11" t="n"/>
      <c r="S845">
        <f>IF($A845="","",IF($W845=1,Settings!$C$6,Settings!$C$7)*1)</f>
        <v/>
      </c>
      <c r="U845">
        <f>IF($A845="","",IF(COUNTIF($A$2:$A845,$A845)=1,1,0))</f>
        <v/>
      </c>
      <c r="V845">
        <f>IF($U845=1,SUMPRODUCT(--($X$2:$X$3001&lt;$X845))+1,"")</f>
        <v/>
      </c>
      <c r="W845">
        <f>IF($A845="","",IF(OR($T845=TRUE(),$T845="TRUE"),1,0))</f>
        <v/>
      </c>
      <c r="X845">
        <f>IF($U845=1,IFERROR(IF(VALUE($A845)&lt;100000000,VALUE($A845),1000000000),IFERROR(IF(VALUE(MID($A845,2,20))&lt;100000000,VALUE(MID($A845,2,20)),1000000000),1000000000))+ROW()/100000,"")</f>
        <v/>
      </c>
    </row>
    <row r="846">
      <c r="F846" s="7">
        <f>IF($A846="","",E846*N846/100)</f>
        <v/>
      </c>
      <c r="J846" s="7" t="n"/>
      <c r="K846" s="7">
        <f>IF($A846="","",S846*N846)</f>
        <v/>
      </c>
      <c r="L846" s="7">
        <f>IF($A846="","",N846-K846)</f>
        <v/>
      </c>
      <c r="M846" s="7">
        <f>IF($A846="","",L846-F846)</f>
        <v/>
      </c>
      <c r="N846" s="7" t="n"/>
      <c r="Q846" s="11" t="n"/>
      <c r="S846">
        <f>IF($A846="","",IF($W846=1,Settings!$C$6,Settings!$C$7)*1)</f>
        <v/>
      </c>
      <c r="U846">
        <f>IF($A846="","",IF(COUNTIF($A$2:$A846,$A846)=1,1,0))</f>
        <v/>
      </c>
      <c r="V846">
        <f>IF($U846=1,SUMPRODUCT(--($X$2:$X$3001&lt;$X846))+1,"")</f>
        <v/>
      </c>
      <c r="W846">
        <f>IF($A846="","",IF(OR($T846=TRUE(),$T846="TRUE"),1,0))</f>
        <v/>
      </c>
      <c r="X846">
        <f>IF($U846=1,IFERROR(IF(VALUE($A846)&lt;100000000,VALUE($A846),1000000000),IFERROR(IF(VALUE(MID($A846,2,20))&lt;100000000,VALUE(MID($A846,2,20)),1000000000),1000000000))+ROW()/100000,"")</f>
        <v/>
      </c>
    </row>
    <row r="847">
      <c r="F847" s="7">
        <f>IF($A847="","",E847*N847/100)</f>
        <v/>
      </c>
      <c r="J847" s="7" t="n"/>
      <c r="K847" s="7">
        <f>IF($A847="","",S847*N847)</f>
        <v/>
      </c>
      <c r="L847" s="7">
        <f>IF($A847="","",N847-K847)</f>
        <v/>
      </c>
      <c r="M847" s="7">
        <f>IF($A847="","",L847-F847)</f>
        <v/>
      </c>
      <c r="N847" s="7" t="n"/>
      <c r="Q847" s="11" t="n"/>
      <c r="S847">
        <f>IF($A847="","",IF($W847=1,Settings!$C$6,Settings!$C$7)*1)</f>
        <v/>
      </c>
      <c r="U847">
        <f>IF($A847="","",IF(COUNTIF($A$2:$A847,$A847)=1,1,0))</f>
        <v/>
      </c>
      <c r="V847">
        <f>IF($U847=1,SUMPRODUCT(--($X$2:$X$3001&lt;$X847))+1,"")</f>
        <v/>
      </c>
      <c r="W847">
        <f>IF($A847="","",IF(OR($T847=TRUE(),$T847="TRUE"),1,0))</f>
        <v/>
      </c>
      <c r="X847">
        <f>IF($U847=1,IFERROR(IF(VALUE($A847)&lt;100000000,VALUE($A847),1000000000),IFERROR(IF(VALUE(MID($A847,2,20))&lt;100000000,VALUE(MID($A847,2,20)),1000000000),1000000000))+ROW()/100000,"")</f>
        <v/>
      </c>
    </row>
    <row r="848">
      <c r="F848" s="7">
        <f>IF($A848="","",E848*N848/100)</f>
        <v/>
      </c>
      <c r="J848" s="7" t="n"/>
      <c r="K848" s="7">
        <f>IF($A848="","",S848*N848)</f>
        <v/>
      </c>
      <c r="L848" s="7">
        <f>IF($A848="","",N848-K848)</f>
        <v/>
      </c>
      <c r="M848" s="7">
        <f>IF($A848="","",L848-F848)</f>
        <v/>
      </c>
      <c r="N848" s="7" t="n"/>
      <c r="Q848" s="11" t="n"/>
      <c r="S848">
        <f>IF($A848="","",IF($W848=1,Settings!$C$6,Settings!$C$7)*1)</f>
        <v/>
      </c>
      <c r="U848">
        <f>IF($A848="","",IF(COUNTIF($A$2:$A848,$A848)=1,1,0))</f>
        <v/>
      </c>
      <c r="V848">
        <f>IF($U848=1,SUMPRODUCT(--($X$2:$X$3001&lt;$X848))+1,"")</f>
        <v/>
      </c>
      <c r="W848">
        <f>IF($A848="","",IF(OR($T848=TRUE(),$T848="TRUE"),1,0))</f>
        <v/>
      </c>
      <c r="X848">
        <f>IF($U848=1,IFERROR(IF(VALUE($A848)&lt;100000000,VALUE($A848),1000000000),IFERROR(IF(VALUE(MID($A848,2,20))&lt;100000000,VALUE(MID($A848,2,20)),1000000000),1000000000))+ROW()/100000,"")</f>
        <v/>
      </c>
    </row>
    <row r="849">
      <c r="F849" s="7">
        <f>IF($A849="","",E849*N849/100)</f>
        <v/>
      </c>
      <c r="J849" s="7" t="n"/>
      <c r="K849" s="7">
        <f>IF($A849="","",S849*N849)</f>
        <v/>
      </c>
      <c r="L849" s="7">
        <f>IF($A849="","",N849-K849)</f>
        <v/>
      </c>
      <c r="M849" s="7">
        <f>IF($A849="","",L849-F849)</f>
        <v/>
      </c>
      <c r="N849" s="7" t="n"/>
      <c r="Q849" s="11" t="n"/>
      <c r="S849">
        <f>IF($A849="","",IF($W849=1,Settings!$C$6,Settings!$C$7)*1)</f>
        <v/>
      </c>
      <c r="U849">
        <f>IF($A849="","",IF(COUNTIF($A$2:$A849,$A849)=1,1,0))</f>
        <v/>
      </c>
      <c r="V849">
        <f>IF($U849=1,SUMPRODUCT(--($X$2:$X$3001&lt;$X849))+1,"")</f>
        <v/>
      </c>
      <c r="W849">
        <f>IF($A849="","",IF(OR($T849=TRUE(),$T849="TRUE"),1,0))</f>
        <v/>
      </c>
      <c r="X849">
        <f>IF($U849=1,IFERROR(IF(VALUE($A849)&lt;100000000,VALUE($A849),1000000000),IFERROR(IF(VALUE(MID($A849,2,20))&lt;100000000,VALUE(MID($A849,2,20)),1000000000),1000000000))+ROW()/100000,"")</f>
        <v/>
      </c>
    </row>
    <row r="850">
      <c r="F850" s="7">
        <f>IF($A850="","",E850*N850/100)</f>
        <v/>
      </c>
      <c r="J850" s="7" t="n"/>
      <c r="K850" s="7">
        <f>IF($A850="","",S850*N850)</f>
        <v/>
      </c>
      <c r="L850" s="7">
        <f>IF($A850="","",N850-K850)</f>
        <v/>
      </c>
      <c r="M850" s="7">
        <f>IF($A850="","",L850-F850)</f>
        <v/>
      </c>
      <c r="N850" s="7" t="n"/>
      <c r="Q850" s="11" t="n"/>
      <c r="S850">
        <f>IF($A850="","",IF($W850=1,Settings!$C$6,Settings!$C$7)*1)</f>
        <v/>
      </c>
      <c r="U850">
        <f>IF($A850="","",IF(COUNTIF($A$2:$A850,$A850)=1,1,0))</f>
        <v/>
      </c>
      <c r="V850">
        <f>IF($U850=1,SUMPRODUCT(--($X$2:$X$3001&lt;$X850))+1,"")</f>
        <v/>
      </c>
      <c r="W850">
        <f>IF($A850="","",IF(OR($T850=TRUE(),$T850="TRUE"),1,0))</f>
        <v/>
      </c>
      <c r="X850">
        <f>IF($U850=1,IFERROR(IF(VALUE($A850)&lt;100000000,VALUE($A850),1000000000),IFERROR(IF(VALUE(MID($A850,2,20))&lt;100000000,VALUE(MID($A850,2,20)),1000000000),1000000000))+ROW()/100000,"")</f>
        <v/>
      </c>
    </row>
    <row r="851">
      <c r="F851" s="7">
        <f>IF($A851="","",E851*N851/100)</f>
        <v/>
      </c>
      <c r="J851" s="7" t="n"/>
      <c r="K851" s="7">
        <f>IF($A851="","",S851*N851)</f>
        <v/>
      </c>
      <c r="L851" s="7">
        <f>IF($A851="","",N851-K851)</f>
        <v/>
      </c>
      <c r="M851" s="7">
        <f>IF($A851="","",L851-F851)</f>
        <v/>
      </c>
      <c r="N851" s="7" t="n"/>
      <c r="Q851" s="11" t="n"/>
      <c r="S851">
        <f>IF($A851="","",IF($W851=1,Settings!$C$6,Settings!$C$7)*1)</f>
        <v/>
      </c>
      <c r="U851">
        <f>IF($A851="","",IF(COUNTIF($A$2:$A851,$A851)=1,1,0))</f>
        <v/>
      </c>
      <c r="V851">
        <f>IF($U851=1,SUMPRODUCT(--($X$2:$X$3001&lt;$X851))+1,"")</f>
        <v/>
      </c>
      <c r="W851">
        <f>IF($A851="","",IF(OR($T851=TRUE(),$T851="TRUE"),1,0))</f>
        <v/>
      </c>
      <c r="X851">
        <f>IF($U851=1,IFERROR(IF(VALUE($A851)&lt;100000000,VALUE($A851),1000000000),IFERROR(IF(VALUE(MID($A851,2,20))&lt;100000000,VALUE(MID($A851,2,20)),1000000000),1000000000))+ROW()/100000,"")</f>
        <v/>
      </c>
    </row>
    <row r="852">
      <c r="F852" s="7">
        <f>IF($A852="","",E852*N852/100)</f>
        <v/>
      </c>
      <c r="J852" s="7" t="n"/>
      <c r="K852" s="7">
        <f>IF($A852="","",S852*N852)</f>
        <v/>
      </c>
      <c r="L852" s="7">
        <f>IF($A852="","",N852-K852)</f>
        <v/>
      </c>
      <c r="M852" s="7">
        <f>IF($A852="","",L852-F852)</f>
        <v/>
      </c>
      <c r="N852" s="7" t="n"/>
      <c r="Q852" s="11" t="n"/>
      <c r="S852">
        <f>IF($A852="","",IF($W852=1,Settings!$C$6,Settings!$C$7)*1)</f>
        <v/>
      </c>
      <c r="U852">
        <f>IF($A852="","",IF(COUNTIF($A$2:$A852,$A852)=1,1,0))</f>
        <v/>
      </c>
      <c r="V852">
        <f>IF($U852=1,SUMPRODUCT(--($X$2:$X$3001&lt;$X852))+1,"")</f>
        <v/>
      </c>
      <c r="W852">
        <f>IF($A852="","",IF(OR($T852=TRUE(),$T852="TRUE"),1,0))</f>
        <v/>
      </c>
      <c r="X852">
        <f>IF($U852=1,IFERROR(IF(VALUE($A852)&lt;100000000,VALUE($A852),1000000000),IFERROR(IF(VALUE(MID($A852,2,20))&lt;100000000,VALUE(MID($A852,2,20)),1000000000),1000000000))+ROW()/100000,"")</f>
        <v/>
      </c>
    </row>
    <row r="853">
      <c r="F853" s="7">
        <f>IF($A853="","",E853*N853/100)</f>
        <v/>
      </c>
      <c r="J853" s="7" t="n"/>
      <c r="K853" s="7">
        <f>IF($A853="","",S853*N853)</f>
        <v/>
      </c>
      <c r="L853" s="7">
        <f>IF($A853="","",N853-K853)</f>
        <v/>
      </c>
      <c r="M853" s="7">
        <f>IF($A853="","",L853-F853)</f>
        <v/>
      </c>
      <c r="N853" s="7" t="n"/>
      <c r="Q853" s="11" t="n"/>
      <c r="S853">
        <f>IF($A853="","",IF($W853=1,Settings!$C$6,Settings!$C$7)*1)</f>
        <v/>
      </c>
      <c r="U853">
        <f>IF($A853="","",IF(COUNTIF($A$2:$A853,$A853)=1,1,0))</f>
        <v/>
      </c>
      <c r="V853">
        <f>IF($U853=1,SUMPRODUCT(--($X$2:$X$3001&lt;$X853))+1,"")</f>
        <v/>
      </c>
      <c r="W853">
        <f>IF($A853="","",IF(OR($T853=TRUE(),$T853="TRUE"),1,0))</f>
        <v/>
      </c>
      <c r="X853">
        <f>IF($U853=1,IFERROR(IF(VALUE($A853)&lt;100000000,VALUE($A853),1000000000),IFERROR(IF(VALUE(MID($A853,2,20))&lt;100000000,VALUE(MID($A853,2,20)),1000000000),1000000000))+ROW()/100000,"")</f>
        <v/>
      </c>
    </row>
    <row r="854">
      <c r="F854" s="7">
        <f>IF($A854="","",E854*N854/100)</f>
        <v/>
      </c>
      <c r="J854" s="7" t="n"/>
      <c r="K854" s="7">
        <f>IF($A854="","",S854*N854)</f>
        <v/>
      </c>
      <c r="L854" s="7">
        <f>IF($A854="","",N854-K854)</f>
        <v/>
      </c>
      <c r="M854" s="7">
        <f>IF($A854="","",L854-F854)</f>
        <v/>
      </c>
      <c r="N854" s="7" t="n"/>
      <c r="Q854" s="11" t="n"/>
      <c r="S854">
        <f>IF($A854="","",IF($W854=1,Settings!$C$6,Settings!$C$7)*1)</f>
        <v/>
      </c>
      <c r="U854">
        <f>IF($A854="","",IF(COUNTIF($A$2:$A854,$A854)=1,1,0))</f>
        <v/>
      </c>
      <c r="V854">
        <f>IF($U854=1,SUMPRODUCT(--($X$2:$X$3001&lt;$X854))+1,"")</f>
        <v/>
      </c>
      <c r="W854">
        <f>IF($A854="","",IF(OR($T854=TRUE(),$T854="TRUE"),1,0))</f>
        <v/>
      </c>
      <c r="X854">
        <f>IF($U854=1,IFERROR(IF(VALUE($A854)&lt;100000000,VALUE($A854),1000000000),IFERROR(IF(VALUE(MID($A854,2,20))&lt;100000000,VALUE(MID($A854,2,20)),1000000000),1000000000))+ROW()/100000,"")</f>
        <v/>
      </c>
    </row>
    <row r="855">
      <c r="F855" s="7">
        <f>IF($A855="","",E855*N855/100)</f>
        <v/>
      </c>
      <c r="J855" s="7" t="n"/>
      <c r="K855" s="7">
        <f>IF($A855="","",S855*N855)</f>
        <v/>
      </c>
      <c r="L855" s="7">
        <f>IF($A855="","",N855-K855)</f>
        <v/>
      </c>
      <c r="M855" s="7">
        <f>IF($A855="","",L855-F855)</f>
        <v/>
      </c>
      <c r="N855" s="7" t="n"/>
      <c r="Q855" s="11" t="n"/>
      <c r="S855">
        <f>IF($A855="","",IF($W855=1,Settings!$C$6,Settings!$C$7)*1)</f>
        <v/>
      </c>
      <c r="U855">
        <f>IF($A855="","",IF(COUNTIF($A$2:$A855,$A855)=1,1,0))</f>
        <v/>
      </c>
      <c r="V855">
        <f>IF($U855=1,SUMPRODUCT(--($X$2:$X$3001&lt;$X855))+1,"")</f>
        <v/>
      </c>
      <c r="W855">
        <f>IF($A855="","",IF(OR($T855=TRUE(),$T855="TRUE"),1,0))</f>
        <v/>
      </c>
      <c r="X855">
        <f>IF($U855=1,IFERROR(IF(VALUE($A855)&lt;100000000,VALUE($A855),1000000000),IFERROR(IF(VALUE(MID($A855,2,20))&lt;100000000,VALUE(MID($A855,2,20)),1000000000),1000000000))+ROW()/100000,"")</f>
        <v/>
      </c>
    </row>
    <row r="856">
      <c r="F856" s="7">
        <f>IF($A856="","",E856*N856/100)</f>
        <v/>
      </c>
      <c r="J856" s="7" t="n"/>
      <c r="K856" s="7">
        <f>IF($A856="","",S856*N856)</f>
        <v/>
      </c>
      <c r="L856" s="7">
        <f>IF($A856="","",N856-K856)</f>
        <v/>
      </c>
      <c r="M856" s="7">
        <f>IF($A856="","",L856-F856)</f>
        <v/>
      </c>
      <c r="N856" s="7" t="n"/>
      <c r="Q856" s="11" t="n"/>
      <c r="S856">
        <f>IF($A856="","",IF($W856=1,Settings!$C$6,Settings!$C$7)*1)</f>
        <v/>
      </c>
      <c r="U856">
        <f>IF($A856="","",IF(COUNTIF($A$2:$A856,$A856)=1,1,0))</f>
        <v/>
      </c>
      <c r="V856">
        <f>IF($U856=1,SUMPRODUCT(--($X$2:$X$3001&lt;$X856))+1,"")</f>
        <v/>
      </c>
      <c r="W856">
        <f>IF($A856="","",IF(OR($T856=TRUE(),$T856="TRUE"),1,0))</f>
        <v/>
      </c>
      <c r="X856">
        <f>IF($U856=1,IFERROR(IF(VALUE($A856)&lt;100000000,VALUE($A856),1000000000),IFERROR(IF(VALUE(MID($A856,2,20))&lt;100000000,VALUE(MID($A856,2,20)),1000000000),1000000000))+ROW()/100000,"")</f>
        <v/>
      </c>
    </row>
    <row r="857">
      <c r="F857" s="7">
        <f>IF($A857="","",E857*N857/100)</f>
        <v/>
      </c>
      <c r="J857" s="7" t="n"/>
      <c r="K857" s="7">
        <f>IF($A857="","",S857*N857)</f>
        <v/>
      </c>
      <c r="L857" s="7">
        <f>IF($A857="","",N857-K857)</f>
        <v/>
      </c>
      <c r="M857" s="7">
        <f>IF($A857="","",L857-F857)</f>
        <v/>
      </c>
      <c r="N857" s="7" t="n"/>
      <c r="Q857" s="11" t="n"/>
      <c r="S857">
        <f>IF($A857="","",IF($W857=1,Settings!$C$6,Settings!$C$7)*1)</f>
        <v/>
      </c>
      <c r="U857">
        <f>IF($A857="","",IF(COUNTIF($A$2:$A857,$A857)=1,1,0))</f>
        <v/>
      </c>
      <c r="V857">
        <f>IF($U857=1,SUMPRODUCT(--($X$2:$X$3001&lt;$X857))+1,"")</f>
        <v/>
      </c>
      <c r="W857">
        <f>IF($A857="","",IF(OR($T857=TRUE(),$T857="TRUE"),1,0))</f>
        <v/>
      </c>
      <c r="X857">
        <f>IF($U857=1,IFERROR(IF(VALUE($A857)&lt;100000000,VALUE($A857),1000000000),IFERROR(IF(VALUE(MID($A857,2,20))&lt;100000000,VALUE(MID($A857,2,20)),1000000000),1000000000))+ROW()/100000,"")</f>
        <v/>
      </c>
    </row>
    <row r="858">
      <c r="F858" s="7">
        <f>IF($A858="","",E858*N858/100)</f>
        <v/>
      </c>
      <c r="J858" s="7" t="n"/>
      <c r="K858" s="7">
        <f>IF($A858="","",S858*N858)</f>
        <v/>
      </c>
      <c r="L858" s="7">
        <f>IF($A858="","",N858-K858)</f>
        <v/>
      </c>
      <c r="M858" s="7">
        <f>IF($A858="","",L858-F858)</f>
        <v/>
      </c>
      <c r="N858" s="7" t="n"/>
      <c r="Q858" s="11" t="n"/>
      <c r="S858">
        <f>IF($A858="","",IF($W858=1,Settings!$C$6,Settings!$C$7)*1)</f>
        <v/>
      </c>
      <c r="U858">
        <f>IF($A858="","",IF(COUNTIF($A$2:$A858,$A858)=1,1,0))</f>
        <v/>
      </c>
      <c r="V858">
        <f>IF($U858=1,SUMPRODUCT(--($X$2:$X$3001&lt;$X858))+1,"")</f>
        <v/>
      </c>
      <c r="W858">
        <f>IF($A858="","",IF(OR($T858=TRUE(),$T858="TRUE"),1,0))</f>
        <v/>
      </c>
      <c r="X858">
        <f>IF($U858=1,IFERROR(IF(VALUE($A858)&lt;100000000,VALUE($A858),1000000000),IFERROR(IF(VALUE(MID($A858,2,20))&lt;100000000,VALUE(MID($A858,2,20)),1000000000),1000000000))+ROW()/100000,"")</f>
        <v/>
      </c>
    </row>
    <row r="859">
      <c r="F859" s="7">
        <f>IF($A859="","",E859*N859/100)</f>
        <v/>
      </c>
      <c r="J859" s="7" t="n"/>
      <c r="K859" s="7">
        <f>IF($A859="","",S859*N859)</f>
        <v/>
      </c>
      <c r="L859" s="7">
        <f>IF($A859="","",N859-K859)</f>
        <v/>
      </c>
      <c r="M859" s="7">
        <f>IF($A859="","",L859-F859)</f>
        <v/>
      </c>
      <c r="N859" s="7" t="n"/>
      <c r="Q859" s="11" t="n"/>
      <c r="S859">
        <f>IF($A859="","",IF($W859=1,Settings!$C$6,Settings!$C$7)*1)</f>
        <v/>
      </c>
      <c r="U859">
        <f>IF($A859="","",IF(COUNTIF($A$2:$A859,$A859)=1,1,0))</f>
        <v/>
      </c>
      <c r="V859">
        <f>IF($U859=1,SUMPRODUCT(--($X$2:$X$3001&lt;$X859))+1,"")</f>
        <v/>
      </c>
      <c r="W859">
        <f>IF($A859="","",IF(OR($T859=TRUE(),$T859="TRUE"),1,0))</f>
        <v/>
      </c>
      <c r="X859">
        <f>IF($U859=1,IFERROR(IF(VALUE($A859)&lt;100000000,VALUE($A859),1000000000),IFERROR(IF(VALUE(MID($A859,2,20))&lt;100000000,VALUE(MID($A859,2,20)),1000000000),1000000000))+ROW()/100000,"")</f>
        <v/>
      </c>
    </row>
    <row r="860">
      <c r="F860" s="7">
        <f>IF($A860="","",E860*N860/100)</f>
        <v/>
      </c>
      <c r="J860" s="7" t="n"/>
      <c r="K860" s="7">
        <f>IF($A860="","",S860*N860)</f>
        <v/>
      </c>
      <c r="L860" s="7">
        <f>IF($A860="","",N860-K860)</f>
        <v/>
      </c>
      <c r="M860" s="7">
        <f>IF($A860="","",L860-F860)</f>
        <v/>
      </c>
      <c r="N860" s="7" t="n"/>
      <c r="Q860" s="11" t="n"/>
      <c r="S860">
        <f>IF($A860="","",IF($W860=1,Settings!$C$6,Settings!$C$7)*1)</f>
        <v/>
      </c>
      <c r="U860">
        <f>IF($A860="","",IF(COUNTIF($A$2:$A860,$A860)=1,1,0))</f>
        <v/>
      </c>
      <c r="V860">
        <f>IF($U860=1,SUMPRODUCT(--($X$2:$X$3001&lt;$X860))+1,"")</f>
        <v/>
      </c>
      <c r="W860">
        <f>IF($A860="","",IF(OR($T860=TRUE(),$T860="TRUE"),1,0))</f>
        <v/>
      </c>
      <c r="X860">
        <f>IF($U860=1,IFERROR(IF(VALUE($A860)&lt;100000000,VALUE($A860),1000000000),IFERROR(IF(VALUE(MID($A860,2,20))&lt;100000000,VALUE(MID($A860,2,20)),1000000000),1000000000))+ROW()/100000,"")</f>
        <v/>
      </c>
    </row>
    <row r="861">
      <c r="F861" s="7">
        <f>IF($A861="","",E861*N861/100)</f>
        <v/>
      </c>
      <c r="J861" s="7" t="n"/>
      <c r="K861" s="7">
        <f>IF($A861="","",S861*N861)</f>
        <v/>
      </c>
      <c r="L861" s="7">
        <f>IF($A861="","",N861-K861)</f>
        <v/>
      </c>
      <c r="M861" s="7">
        <f>IF($A861="","",L861-F861)</f>
        <v/>
      </c>
      <c r="N861" s="7" t="n"/>
      <c r="Q861" s="11" t="n"/>
      <c r="S861">
        <f>IF($A861="","",IF($W861=1,Settings!$C$6,Settings!$C$7)*1)</f>
        <v/>
      </c>
      <c r="U861">
        <f>IF($A861="","",IF(COUNTIF($A$2:$A861,$A861)=1,1,0))</f>
        <v/>
      </c>
      <c r="V861">
        <f>IF($U861=1,SUMPRODUCT(--($X$2:$X$3001&lt;$X861))+1,"")</f>
        <v/>
      </c>
      <c r="W861">
        <f>IF($A861="","",IF(OR($T861=TRUE(),$T861="TRUE"),1,0))</f>
        <v/>
      </c>
      <c r="X861">
        <f>IF($U861=1,IFERROR(IF(VALUE($A861)&lt;100000000,VALUE($A861),1000000000),IFERROR(IF(VALUE(MID($A861,2,20))&lt;100000000,VALUE(MID($A861,2,20)),1000000000),1000000000))+ROW()/100000,"")</f>
        <v/>
      </c>
    </row>
    <row r="862">
      <c r="F862" s="7">
        <f>IF($A862="","",E862*N862/100)</f>
        <v/>
      </c>
      <c r="J862" s="7" t="n"/>
      <c r="K862" s="7">
        <f>IF($A862="","",S862*N862)</f>
        <v/>
      </c>
      <c r="L862" s="7">
        <f>IF($A862="","",N862-K862)</f>
        <v/>
      </c>
      <c r="M862" s="7">
        <f>IF($A862="","",L862-F862)</f>
        <v/>
      </c>
      <c r="N862" s="7" t="n"/>
      <c r="Q862" s="11" t="n"/>
      <c r="S862">
        <f>IF($A862="","",IF($W862=1,Settings!$C$6,Settings!$C$7)*1)</f>
        <v/>
      </c>
      <c r="U862">
        <f>IF($A862="","",IF(COUNTIF($A$2:$A862,$A862)=1,1,0))</f>
        <v/>
      </c>
      <c r="V862">
        <f>IF($U862=1,SUMPRODUCT(--($X$2:$X$3001&lt;$X862))+1,"")</f>
        <v/>
      </c>
      <c r="W862">
        <f>IF($A862="","",IF(OR($T862=TRUE(),$T862="TRUE"),1,0))</f>
        <v/>
      </c>
      <c r="X862">
        <f>IF($U862=1,IFERROR(IF(VALUE($A862)&lt;100000000,VALUE($A862),1000000000),IFERROR(IF(VALUE(MID($A862,2,20))&lt;100000000,VALUE(MID($A862,2,20)),1000000000),1000000000))+ROW()/100000,"")</f>
        <v/>
      </c>
    </row>
    <row r="863">
      <c r="F863" s="7">
        <f>IF($A863="","",E863*N863/100)</f>
        <v/>
      </c>
      <c r="J863" s="7" t="n"/>
      <c r="K863" s="7">
        <f>IF($A863="","",S863*N863)</f>
        <v/>
      </c>
      <c r="L863" s="7">
        <f>IF($A863="","",N863-K863)</f>
        <v/>
      </c>
      <c r="M863" s="7">
        <f>IF($A863="","",L863-F863)</f>
        <v/>
      </c>
      <c r="N863" s="7" t="n"/>
      <c r="Q863" s="11" t="n"/>
      <c r="S863">
        <f>IF($A863="","",IF($W863=1,Settings!$C$6,Settings!$C$7)*1)</f>
        <v/>
      </c>
      <c r="U863">
        <f>IF($A863="","",IF(COUNTIF($A$2:$A863,$A863)=1,1,0))</f>
        <v/>
      </c>
      <c r="V863">
        <f>IF($U863=1,SUMPRODUCT(--($X$2:$X$3001&lt;$X863))+1,"")</f>
        <v/>
      </c>
      <c r="W863">
        <f>IF($A863="","",IF(OR($T863=TRUE(),$T863="TRUE"),1,0))</f>
        <v/>
      </c>
      <c r="X863">
        <f>IF($U863=1,IFERROR(IF(VALUE($A863)&lt;100000000,VALUE($A863),1000000000),IFERROR(IF(VALUE(MID($A863,2,20))&lt;100000000,VALUE(MID($A863,2,20)),1000000000),1000000000))+ROW()/100000,"")</f>
        <v/>
      </c>
    </row>
    <row r="864">
      <c r="F864" s="7">
        <f>IF($A864="","",E864*N864/100)</f>
        <v/>
      </c>
      <c r="J864" s="7" t="n"/>
      <c r="K864" s="7">
        <f>IF($A864="","",S864*N864)</f>
        <v/>
      </c>
      <c r="L864" s="7">
        <f>IF($A864="","",N864-K864)</f>
        <v/>
      </c>
      <c r="M864" s="7">
        <f>IF($A864="","",L864-F864)</f>
        <v/>
      </c>
      <c r="N864" s="7" t="n"/>
      <c r="Q864" s="11" t="n"/>
      <c r="S864">
        <f>IF($A864="","",IF($W864=1,Settings!$C$6,Settings!$C$7)*1)</f>
        <v/>
      </c>
      <c r="U864">
        <f>IF($A864="","",IF(COUNTIF($A$2:$A864,$A864)=1,1,0))</f>
        <v/>
      </c>
      <c r="V864">
        <f>IF($U864=1,SUMPRODUCT(--($X$2:$X$3001&lt;$X864))+1,"")</f>
        <v/>
      </c>
      <c r="W864">
        <f>IF($A864="","",IF(OR($T864=TRUE(),$T864="TRUE"),1,0))</f>
        <v/>
      </c>
      <c r="X864">
        <f>IF($U864=1,IFERROR(IF(VALUE($A864)&lt;100000000,VALUE($A864),1000000000),IFERROR(IF(VALUE(MID($A864,2,20))&lt;100000000,VALUE(MID($A864,2,20)),1000000000),1000000000))+ROW()/100000,"")</f>
        <v/>
      </c>
    </row>
    <row r="865">
      <c r="F865" s="7">
        <f>IF($A865="","",E865*N865/100)</f>
        <v/>
      </c>
      <c r="J865" s="7" t="n"/>
      <c r="K865" s="7">
        <f>IF($A865="","",S865*N865)</f>
        <v/>
      </c>
      <c r="L865" s="7">
        <f>IF($A865="","",N865-K865)</f>
        <v/>
      </c>
      <c r="M865" s="7">
        <f>IF($A865="","",L865-F865)</f>
        <v/>
      </c>
      <c r="N865" s="7" t="n"/>
      <c r="Q865" s="11" t="n"/>
      <c r="S865">
        <f>IF($A865="","",IF($W865=1,Settings!$C$6,Settings!$C$7)*1)</f>
        <v/>
      </c>
      <c r="U865">
        <f>IF($A865="","",IF(COUNTIF($A$2:$A865,$A865)=1,1,0))</f>
        <v/>
      </c>
      <c r="V865">
        <f>IF($U865=1,SUMPRODUCT(--($X$2:$X$3001&lt;$X865))+1,"")</f>
        <v/>
      </c>
      <c r="W865">
        <f>IF($A865="","",IF(OR($T865=TRUE(),$T865="TRUE"),1,0))</f>
        <v/>
      </c>
      <c r="X865">
        <f>IF($U865=1,IFERROR(IF(VALUE($A865)&lt;100000000,VALUE($A865),1000000000),IFERROR(IF(VALUE(MID($A865,2,20))&lt;100000000,VALUE(MID($A865,2,20)),1000000000),1000000000))+ROW()/100000,"")</f>
        <v/>
      </c>
    </row>
    <row r="866">
      <c r="F866" s="7">
        <f>IF($A866="","",E866*N866/100)</f>
        <v/>
      </c>
      <c r="J866" s="7" t="n"/>
      <c r="K866" s="7">
        <f>IF($A866="","",S866*N866)</f>
        <v/>
      </c>
      <c r="L866" s="7">
        <f>IF($A866="","",N866-K866)</f>
        <v/>
      </c>
      <c r="M866" s="7">
        <f>IF($A866="","",L866-F866)</f>
        <v/>
      </c>
      <c r="N866" s="7" t="n"/>
      <c r="Q866" s="11" t="n"/>
      <c r="S866">
        <f>IF($A866="","",IF($W866=1,Settings!$C$6,Settings!$C$7)*1)</f>
        <v/>
      </c>
      <c r="U866">
        <f>IF($A866="","",IF(COUNTIF($A$2:$A866,$A866)=1,1,0))</f>
        <v/>
      </c>
      <c r="V866">
        <f>IF($U866=1,SUMPRODUCT(--($X$2:$X$3001&lt;$X866))+1,"")</f>
        <v/>
      </c>
      <c r="W866">
        <f>IF($A866="","",IF(OR($T866=TRUE(),$T866="TRUE"),1,0))</f>
        <v/>
      </c>
      <c r="X866">
        <f>IF($U866=1,IFERROR(IF(VALUE($A866)&lt;100000000,VALUE($A866),1000000000),IFERROR(IF(VALUE(MID($A866,2,20))&lt;100000000,VALUE(MID($A866,2,20)),1000000000),1000000000))+ROW()/100000,"")</f>
        <v/>
      </c>
    </row>
    <row r="867">
      <c r="F867" s="7">
        <f>IF($A867="","",E867*N867/100)</f>
        <v/>
      </c>
      <c r="J867" s="7" t="n"/>
      <c r="K867" s="7">
        <f>IF($A867="","",S867*N867)</f>
        <v/>
      </c>
      <c r="L867" s="7">
        <f>IF($A867="","",N867-K867)</f>
        <v/>
      </c>
      <c r="M867" s="7">
        <f>IF($A867="","",L867-F867)</f>
        <v/>
      </c>
      <c r="N867" s="7" t="n"/>
      <c r="Q867" s="11" t="n"/>
      <c r="S867">
        <f>IF($A867="","",IF($W867=1,Settings!$C$6,Settings!$C$7)*1)</f>
        <v/>
      </c>
      <c r="U867">
        <f>IF($A867="","",IF(COUNTIF($A$2:$A867,$A867)=1,1,0))</f>
        <v/>
      </c>
      <c r="V867">
        <f>IF($U867=1,SUMPRODUCT(--($X$2:$X$3001&lt;$X867))+1,"")</f>
        <v/>
      </c>
      <c r="W867">
        <f>IF($A867="","",IF(OR($T867=TRUE(),$T867="TRUE"),1,0))</f>
        <v/>
      </c>
      <c r="X867">
        <f>IF($U867=1,IFERROR(IF(VALUE($A867)&lt;100000000,VALUE($A867),1000000000),IFERROR(IF(VALUE(MID($A867,2,20))&lt;100000000,VALUE(MID($A867,2,20)),1000000000),1000000000))+ROW()/100000,"")</f>
        <v/>
      </c>
    </row>
    <row r="868">
      <c r="F868" s="7">
        <f>IF($A868="","",E868*N868/100)</f>
        <v/>
      </c>
      <c r="J868" s="7" t="n"/>
      <c r="K868" s="7">
        <f>IF($A868="","",S868*N868)</f>
        <v/>
      </c>
      <c r="L868" s="7">
        <f>IF($A868="","",N868-K868)</f>
        <v/>
      </c>
      <c r="M868" s="7">
        <f>IF($A868="","",L868-F868)</f>
        <v/>
      </c>
      <c r="N868" s="7" t="n"/>
      <c r="Q868" s="11" t="n"/>
      <c r="S868">
        <f>IF($A868="","",IF($W868=1,Settings!$C$6,Settings!$C$7)*1)</f>
        <v/>
      </c>
      <c r="U868">
        <f>IF($A868="","",IF(COUNTIF($A$2:$A868,$A868)=1,1,0))</f>
        <v/>
      </c>
      <c r="V868">
        <f>IF($U868=1,SUMPRODUCT(--($X$2:$X$3001&lt;$X868))+1,"")</f>
        <v/>
      </c>
      <c r="W868">
        <f>IF($A868="","",IF(OR($T868=TRUE(),$T868="TRUE"),1,0))</f>
        <v/>
      </c>
      <c r="X868">
        <f>IF($U868=1,IFERROR(IF(VALUE($A868)&lt;100000000,VALUE($A868),1000000000),IFERROR(IF(VALUE(MID($A868,2,20))&lt;100000000,VALUE(MID($A868,2,20)),1000000000),1000000000))+ROW()/100000,"")</f>
        <v/>
      </c>
    </row>
    <row r="869">
      <c r="F869" s="7">
        <f>IF($A869="","",E869*N869/100)</f>
        <v/>
      </c>
      <c r="J869" s="7" t="n"/>
      <c r="K869" s="7">
        <f>IF($A869="","",S869*N869)</f>
        <v/>
      </c>
      <c r="L869" s="7">
        <f>IF($A869="","",N869-K869)</f>
        <v/>
      </c>
      <c r="M869" s="7">
        <f>IF($A869="","",L869-F869)</f>
        <v/>
      </c>
      <c r="N869" s="7" t="n"/>
      <c r="Q869" s="11" t="n"/>
      <c r="S869">
        <f>IF($A869="","",IF($W869=1,Settings!$C$6,Settings!$C$7)*1)</f>
        <v/>
      </c>
      <c r="U869">
        <f>IF($A869="","",IF(COUNTIF($A$2:$A869,$A869)=1,1,0))</f>
        <v/>
      </c>
      <c r="V869">
        <f>IF($U869=1,SUMPRODUCT(--($X$2:$X$3001&lt;$X869))+1,"")</f>
        <v/>
      </c>
      <c r="W869">
        <f>IF($A869="","",IF(OR($T869=TRUE(),$T869="TRUE"),1,0))</f>
        <v/>
      </c>
      <c r="X869">
        <f>IF($U869=1,IFERROR(IF(VALUE($A869)&lt;100000000,VALUE($A869),1000000000),IFERROR(IF(VALUE(MID($A869,2,20))&lt;100000000,VALUE(MID($A869,2,20)),1000000000),1000000000))+ROW()/100000,"")</f>
        <v/>
      </c>
    </row>
    <row r="870">
      <c r="F870" s="7">
        <f>IF($A870="","",E870*N870/100)</f>
        <v/>
      </c>
      <c r="J870" s="7" t="n"/>
      <c r="K870" s="7">
        <f>IF($A870="","",S870*N870)</f>
        <v/>
      </c>
      <c r="L870" s="7">
        <f>IF($A870="","",N870-K870)</f>
        <v/>
      </c>
      <c r="M870" s="7">
        <f>IF($A870="","",L870-F870)</f>
        <v/>
      </c>
      <c r="N870" s="7" t="n"/>
      <c r="Q870" s="11" t="n"/>
      <c r="S870">
        <f>IF($A870="","",IF($W870=1,Settings!$C$6,Settings!$C$7)*1)</f>
        <v/>
      </c>
      <c r="U870">
        <f>IF($A870="","",IF(COUNTIF($A$2:$A870,$A870)=1,1,0))</f>
        <v/>
      </c>
      <c r="V870">
        <f>IF($U870=1,SUMPRODUCT(--($X$2:$X$3001&lt;$X870))+1,"")</f>
        <v/>
      </c>
      <c r="W870">
        <f>IF($A870="","",IF(OR($T870=TRUE(),$T870="TRUE"),1,0))</f>
        <v/>
      </c>
      <c r="X870">
        <f>IF($U870=1,IFERROR(IF(VALUE($A870)&lt;100000000,VALUE($A870),1000000000),IFERROR(IF(VALUE(MID($A870,2,20))&lt;100000000,VALUE(MID($A870,2,20)),1000000000),1000000000))+ROW()/100000,"")</f>
        <v/>
      </c>
    </row>
    <row r="871">
      <c r="F871" s="7">
        <f>IF($A871="","",E871*N871/100)</f>
        <v/>
      </c>
      <c r="J871" s="7" t="n"/>
      <c r="K871" s="7">
        <f>IF($A871="","",S871*N871)</f>
        <v/>
      </c>
      <c r="L871" s="7">
        <f>IF($A871="","",N871-K871)</f>
        <v/>
      </c>
      <c r="M871" s="7">
        <f>IF($A871="","",L871-F871)</f>
        <v/>
      </c>
      <c r="N871" s="7" t="n"/>
      <c r="Q871" s="11" t="n"/>
      <c r="S871">
        <f>IF($A871="","",IF($W871=1,Settings!$C$6,Settings!$C$7)*1)</f>
        <v/>
      </c>
      <c r="U871">
        <f>IF($A871="","",IF(COUNTIF($A$2:$A871,$A871)=1,1,0))</f>
        <v/>
      </c>
      <c r="V871">
        <f>IF($U871=1,SUMPRODUCT(--($X$2:$X$3001&lt;$X871))+1,"")</f>
        <v/>
      </c>
      <c r="W871">
        <f>IF($A871="","",IF(OR($T871=TRUE(),$T871="TRUE"),1,0))</f>
        <v/>
      </c>
      <c r="X871">
        <f>IF($U871=1,IFERROR(IF(VALUE($A871)&lt;100000000,VALUE($A871),1000000000),IFERROR(IF(VALUE(MID($A871,2,20))&lt;100000000,VALUE(MID($A871,2,20)),1000000000),1000000000))+ROW()/100000,"")</f>
        <v/>
      </c>
    </row>
    <row r="872">
      <c r="F872" s="7">
        <f>IF($A872="","",E872*N872/100)</f>
        <v/>
      </c>
      <c r="J872" s="7" t="n"/>
      <c r="K872" s="7">
        <f>IF($A872="","",S872*N872)</f>
        <v/>
      </c>
      <c r="L872" s="7">
        <f>IF($A872="","",N872-K872)</f>
        <v/>
      </c>
      <c r="M872" s="7">
        <f>IF($A872="","",L872-F872)</f>
        <v/>
      </c>
      <c r="N872" s="7" t="n"/>
      <c r="Q872" s="11" t="n"/>
      <c r="S872">
        <f>IF($A872="","",IF($W872=1,Settings!$C$6,Settings!$C$7)*1)</f>
        <v/>
      </c>
      <c r="U872">
        <f>IF($A872="","",IF(COUNTIF($A$2:$A872,$A872)=1,1,0))</f>
        <v/>
      </c>
      <c r="V872">
        <f>IF($U872=1,SUMPRODUCT(--($X$2:$X$3001&lt;$X872))+1,"")</f>
        <v/>
      </c>
      <c r="W872">
        <f>IF($A872="","",IF(OR($T872=TRUE(),$T872="TRUE"),1,0))</f>
        <v/>
      </c>
      <c r="X872">
        <f>IF($U872=1,IFERROR(IF(VALUE($A872)&lt;100000000,VALUE($A872),1000000000),IFERROR(IF(VALUE(MID($A872,2,20))&lt;100000000,VALUE(MID($A872,2,20)),1000000000),1000000000))+ROW()/100000,"")</f>
        <v/>
      </c>
    </row>
    <row r="873">
      <c r="F873" s="7">
        <f>IF($A873="","",E873*N873/100)</f>
        <v/>
      </c>
      <c r="J873" s="7" t="n"/>
      <c r="K873" s="7">
        <f>IF($A873="","",S873*N873)</f>
        <v/>
      </c>
      <c r="L873" s="7">
        <f>IF($A873="","",N873-K873)</f>
        <v/>
      </c>
      <c r="M873" s="7">
        <f>IF($A873="","",L873-F873)</f>
        <v/>
      </c>
      <c r="N873" s="7" t="n"/>
      <c r="Q873" s="11" t="n"/>
      <c r="S873">
        <f>IF($A873="","",IF($W873=1,Settings!$C$6,Settings!$C$7)*1)</f>
        <v/>
      </c>
      <c r="U873">
        <f>IF($A873="","",IF(COUNTIF($A$2:$A873,$A873)=1,1,0))</f>
        <v/>
      </c>
      <c r="V873">
        <f>IF($U873=1,SUMPRODUCT(--($X$2:$X$3001&lt;$X873))+1,"")</f>
        <v/>
      </c>
      <c r="W873">
        <f>IF($A873="","",IF(OR($T873=TRUE(),$T873="TRUE"),1,0))</f>
        <v/>
      </c>
      <c r="X873">
        <f>IF($U873=1,IFERROR(IF(VALUE($A873)&lt;100000000,VALUE($A873),1000000000),IFERROR(IF(VALUE(MID($A873,2,20))&lt;100000000,VALUE(MID($A873,2,20)),1000000000),1000000000))+ROW()/100000,"")</f>
        <v/>
      </c>
    </row>
    <row r="874">
      <c r="F874" s="7">
        <f>IF($A874="","",E874*N874/100)</f>
        <v/>
      </c>
      <c r="J874" s="7" t="n"/>
      <c r="K874" s="7">
        <f>IF($A874="","",S874*N874)</f>
        <v/>
      </c>
      <c r="L874" s="7">
        <f>IF($A874="","",N874-K874)</f>
        <v/>
      </c>
      <c r="M874" s="7">
        <f>IF($A874="","",L874-F874)</f>
        <v/>
      </c>
      <c r="N874" s="7" t="n"/>
      <c r="Q874" s="11" t="n"/>
      <c r="S874">
        <f>IF($A874="","",IF($W874=1,Settings!$C$6,Settings!$C$7)*1)</f>
        <v/>
      </c>
      <c r="U874">
        <f>IF($A874="","",IF(COUNTIF($A$2:$A874,$A874)=1,1,0))</f>
        <v/>
      </c>
      <c r="V874">
        <f>IF($U874=1,SUMPRODUCT(--($X$2:$X$3001&lt;$X874))+1,"")</f>
        <v/>
      </c>
      <c r="W874">
        <f>IF($A874="","",IF(OR($T874=TRUE(),$T874="TRUE"),1,0))</f>
        <v/>
      </c>
      <c r="X874">
        <f>IF($U874=1,IFERROR(IF(VALUE($A874)&lt;100000000,VALUE($A874),1000000000),IFERROR(IF(VALUE(MID($A874,2,20))&lt;100000000,VALUE(MID($A874,2,20)),1000000000),1000000000))+ROW()/100000,"")</f>
        <v/>
      </c>
    </row>
    <row r="875">
      <c r="F875" s="7">
        <f>IF($A875="","",E875*N875/100)</f>
        <v/>
      </c>
      <c r="J875" s="7" t="n"/>
      <c r="K875" s="7">
        <f>IF($A875="","",S875*N875)</f>
        <v/>
      </c>
      <c r="L875" s="7">
        <f>IF($A875="","",N875-K875)</f>
        <v/>
      </c>
      <c r="M875" s="7">
        <f>IF($A875="","",L875-F875)</f>
        <v/>
      </c>
      <c r="N875" s="7" t="n"/>
      <c r="Q875" s="11" t="n"/>
      <c r="S875">
        <f>IF($A875="","",IF($W875=1,Settings!$C$6,Settings!$C$7)*1)</f>
        <v/>
      </c>
      <c r="U875">
        <f>IF($A875="","",IF(COUNTIF($A$2:$A875,$A875)=1,1,0))</f>
        <v/>
      </c>
      <c r="V875">
        <f>IF($U875=1,SUMPRODUCT(--($X$2:$X$3001&lt;$X875))+1,"")</f>
        <v/>
      </c>
      <c r="W875">
        <f>IF($A875="","",IF(OR($T875=TRUE(),$T875="TRUE"),1,0))</f>
        <v/>
      </c>
      <c r="X875">
        <f>IF($U875=1,IFERROR(IF(VALUE($A875)&lt;100000000,VALUE($A875),1000000000),IFERROR(IF(VALUE(MID($A875,2,20))&lt;100000000,VALUE(MID($A875,2,20)),1000000000),1000000000))+ROW()/100000,"")</f>
        <v/>
      </c>
    </row>
    <row r="876">
      <c r="F876" s="7">
        <f>IF($A876="","",E876*N876/100)</f>
        <v/>
      </c>
      <c r="J876" s="7" t="n"/>
      <c r="K876" s="7">
        <f>IF($A876="","",S876*N876)</f>
        <v/>
      </c>
      <c r="L876" s="7">
        <f>IF($A876="","",N876-K876)</f>
        <v/>
      </c>
      <c r="M876" s="7">
        <f>IF($A876="","",L876-F876)</f>
        <v/>
      </c>
      <c r="N876" s="7" t="n"/>
      <c r="Q876" s="11" t="n"/>
      <c r="S876">
        <f>IF($A876="","",IF($W876=1,Settings!$C$6,Settings!$C$7)*1)</f>
        <v/>
      </c>
      <c r="U876">
        <f>IF($A876="","",IF(COUNTIF($A$2:$A876,$A876)=1,1,0))</f>
        <v/>
      </c>
      <c r="V876">
        <f>IF($U876=1,SUMPRODUCT(--($X$2:$X$3001&lt;$X876))+1,"")</f>
        <v/>
      </c>
      <c r="W876">
        <f>IF($A876="","",IF(OR($T876=TRUE(),$T876="TRUE"),1,0))</f>
        <v/>
      </c>
      <c r="X876">
        <f>IF($U876=1,IFERROR(IF(VALUE($A876)&lt;100000000,VALUE($A876),1000000000),IFERROR(IF(VALUE(MID($A876,2,20))&lt;100000000,VALUE(MID($A876,2,20)),1000000000),1000000000))+ROW()/100000,"")</f>
        <v/>
      </c>
    </row>
    <row r="877">
      <c r="F877" s="7">
        <f>IF($A877="","",E877*N877/100)</f>
        <v/>
      </c>
      <c r="J877" s="7" t="n"/>
      <c r="K877" s="7">
        <f>IF($A877="","",S877*N877)</f>
        <v/>
      </c>
      <c r="L877" s="7">
        <f>IF($A877="","",N877-K877)</f>
        <v/>
      </c>
      <c r="M877" s="7">
        <f>IF($A877="","",L877-F877)</f>
        <v/>
      </c>
      <c r="N877" s="7" t="n"/>
      <c r="Q877" s="11" t="n"/>
      <c r="S877">
        <f>IF($A877="","",IF($W877=1,Settings!$C$6,Settings!$C$7)*1)</f>
        <v/>
      </c>
      <c r="U877">
        <f>IF($A877="","",IF(COUNTIF($A$2:$A877,$A877)=1,1,0))</f>
        <v/>
      </c>
      <c r="V877">
        <f>IF($U877=1,SUMPRODUCT(--($X$2:$X$3001&lt;$X877))+1,"")</f>
        <v/>
      </c>
      <c r="W877">
        <f>IF($A877="","",IF(OR($T877=TRUE(),$T877="TRUE"),1,0))</f>
        <v/>
      </c>
      <c r="X877">
        <f>IF($U877=1,IFERROR(IF(VALUE($A877)&lt;100000000,VALUE($A877),1000000000),IFERROR(IF(VALUE(MID($A877,2,20))&lt;100000000,VALUE(MID($A877,2,20)),1000000000),1000000000))+ROW()/100000,"")</f>
        <v/>
      </c>
    </row>
    <row r="878">
      <c r="F878" s="7">
        <f>IF($A878="","",E878*N878/100)</f>
        <v/>
      </c>
      <c r="J878" s="7" t="n"/>
      <c r="K878" s="7">
        <f>IF($A878="","",S878*N878)</f>
        <v/>
      </c>
      <c r="L878" s="7">
        <f>IF($A878="","",N878-K878)</f>
        <v/>
      </c>
      <c r="M878" s="7">
        <f>IF($A878="","",L878-F878)</f>
        <v/>
      </c>
      <c r="N878" s="7" t="n"/>
      <c r="Q878" s="11" t="n"/>
      <c r="S878">
        <f>IF($A878="","",IF($W878=1,Settings!$C$6,Settings!$C$7)*1)</f>
        <v/>
      </c>
      <c r="U878">
        <f>IF($A878="","",IF(COUNTIF($A$2:$A878,$A878)=1,1,0))</f>
        <v/>
      </c>
      <c r="V878">
        <f>IF($U878=1,SUMPRODUCT(--($X$2:$X$3001&lt;$X878))+1,"")</f>
        <v/>
      </c>
      <c r="W878">
        <f>IF($A878="","",IF(OR($T878=TRUE(),$T878="TRUE"),1,0))</f>
        <v/>
      </c>
      <c r="X878">
        <f>IF($U878=1,IFERROR(IF(VALUE($A878)&lt;100000000,VALUE($A878),1000000000),IFERROR(IF(VALUE(MID($A878,2,20))&lt;100000000,VALUE(MID($A878,2,20)),1000000000),1000000000))+ROW()/100000,"")</f>
        <v/>
      </c>
    </row>
    <row r="879">
      <c r="F879" s="7">
        <f>IF($A879="","",E879*N879/100)</f>
        <v/>
      </c>
      <c r="J879" s="7" t="n"/>
      <c r="K879" s="7">
        <f>IF($A879="","",S879*N879)</f>
        <v/>
      </c>
      <c r="L879" s="7">
        <f>IF($A879="","",N879-K879)</f>
        <v/>
      </c>
      <c r="M879" s="7">
        <f>IF($A879="","",L879-F879)</f>
        <v/>
      </c>
      <c r="N879" s="7" t="n"/>
      <c r="Q879" s="11" t="n"/>
      <c r="S879">
        <f>IF($A879="","",IF($W879=1,Settings!$C$6,Settings!$C$7)*1)</f>
        <v/>
      </c>
      <c r="U879">
        <f>IF($A879="","",IF(COUNTIF($A$2:$A879,$A879)=1,1,0))</f>
        <v/>
      </c>
      <c r="V879">
        <f>IF($U879=1,SUMPRODUCT(--($X$2:$X$3001&lt;$X879))+1,"")</f>
        <v/>
      </c>
      <c r="W879">
        <f>IF($A879="","",IF(OR($T879=TRUE(),$T879="TRUE"),1,0))</f>
        <v/>
      </c>
      <c r="X879">
        <f>IF($U879=1,IFERROR(IF(VALUE($A879)&lt;100000000,VALUE($A879),1000000000),IFERROR(IF(VALUE(MID($A879,2,20))&lt;100000000,VALUE(MID($A879,2,20)),1000000000),1000000000))+ROW()/100000,"")</f>
        <v/>
      </c>
    </row>
    <row r="880">
      <c r="F880" s="7">
        <f>IF($A880="","",E880*N880/100)</f>
        <v/>
      </c>
      <c r="J880" s="7" t="n"/>
      <c r="K880" s="7">
        <f>IF($A880="","",S880*N880)</f>
        <v/>
      </c>
      <c r="L880" s="7">
        <f>IF($A880="","",N880-K880)</f>
        <v/>
      </c>
      <c r="M880" s="7">
        <f>IF($A880="","",L880-F880)</f>
        <v/>
      </c>
      <c r="N880" s="7" t="n"/>
      <c r="Q880" s="11" t="n"/>
      <c r="S880">
        <f>IF($A880="","",IF($W880=1,Settings!$C$6,Settings!$C$7)*1)</f>
        <v/>
      </c>
      <c r="U880">
        <f>IF($A880="","",IF(COUNTIF($A$2:$A880,$A880)=1,1,0))</f>
        <v/>
      </c>
      <c r="V880">
        <f>IF($U880=1,SUMPRODUCT(--($X$2:$X$3001&lt;$X880))+1,"")</f>
        <v/>
      </c>
      <c r="W880">
        <f>IF($A880="","",IF(OR($T880=TRUE(),$T880="TRUE"),1,0))</f>
        <v/>
      </c>
      <c r="X880">
        <f>IF($U880=1,IFERROR(IF(VALUE($A880)&lt;100000000,VALUE($A880),1000000000),IFERROR(IF(VALUE(MID($A880,2,20))&lt;100000000,VALUE(MID($A880,2,20)),1000000000),1000000000))+ROW()/100000,"")</f>
        <v/>
      </c>
    </row>
    <row r="881">
      <c r="F881" s="7">
        <f>IF($A881="","",E881*N881/100)</f>
        <v/>
      </c>
      <c r="J881" s="7" t="n"/>
      <c r="K881" s="7">
        <f>IF($A881="","",S881*N881)</f>
        <v/>
      </c>
      <c r="L881" s="7">
        <f>IF($A881="","",N881-K881)</f>
        <v/>
      </c>
      <c r="M881" s="7">
        <f>IF($A881="","",L881-F881)</f>
        <v/>
      </c>
      <c r="N881" s="7" t="n"/>
      <c r="Q881" s="11" t="n"/>
      <c r="S881">
        <f>IF($A881="","",IF($W881=1,Settings!$C$6,Settings!$C$7)*1)</f>
        <v/>
      </c>
      <c r="U881">
        <f>IF($A881="","",IF(COUNTIF($A$2:$A881,$A881)=1,1,0))</f>
        <v/>
      </c>
      <c r="V881">
        <f>IF($U881=1,SUMPRODUCT(--($X$2:$X$3001&lt;$X881))+1,"")</f>
        <v/>
      </c>
      <c r="W881">
        <f>IF($A881="","",IF(OR($T881=TRUE(),$T881="TRUE"),1,0))</f>
        <v/>
      </c>
      <c r="X881">
        <f>IF($U881=1,IFERROR(IF(VALUE($A881)&lt;100000000,VALUE($A881),1000000000),IFERROR(IF(VALUE(MID($A881,2,20))&lt;100000000,VALUE(MID($A881,2,20)),1000000000),1000000000))+ROW()/100000,"")</f>
        <v/>
      </c>
    </row>
    <row r="882">
      <c r="F882" s="7">
        <f>IF($A882="","",E882*N882/100)</f>
        <v/>
      </c>
      <c r="J882" s="7" t="n"/>
      <c r="K882" s="7">
        <f>IF($A882="","",S882*N882)</f>
        <v/>
      </c>
      <c r="L882" s="7">
        <f>IF($A882="","",N882-K882)</f>
        <v/>
      </c>
      <c r="M882" s="7">
        <f>IF($A882="","",L882-F882)</f>
        <v/>
      </c>
      <c r="N882" s="7" t="n"/>
      <c r="Q882" s="11" t="n"/>
      <c r="S882">
        <f>IF($A882="","",IF($W882=1,Settings!$C$6,Settings!$C$7)*1)</f>
        <v/>
      </c>
      <c r="U882">
        <f>IF($A882="","",IF(COUNTIF($A$2:$A882,$A882)=1,1,0))</f>
        <v/>
      </c>
      <c r="V882">
        <f>IF($U882=1,SUMPRODUCT(--($X$2:$X$3001&lt;$X882))+1,"")</f>
        <v/>
      </c>
      <c r="W882">
        <f>IF($A882="","",IF(OR($T882=TRUE(),$T882="TRUE"),1,0))</f>
        <v/>
      </c>
      <c r="X882">
        <f>IF($U882=1,IFERROR(IF(VALUE($A882)&lt;100000000,VALUE($A882),1000000000),IFERROR(IF(VALUE(MID($A882,2,20))&lt;100000000,VALUE(MID($A882,2,20)),1000000000),1000000000))+ROW()/100000,"")</f>
        <v/>
      </c>
    </row>
    <row r="883">
      <c r="F883" s="7">
        <f>IF($A883="","",E883*N883/100)</f>
        <v/>
      </c>
      <c r="J883" s="7" t="n"/>
      <c r="K883" s="7">
        <f>IF($A883="","",S883*N883)</f>
        <v/>
      </c>
      <c r="L883" s="7">
        <f>IF($A883="","",N883-K883)</f>
        <v/>
      </c>
      <c r="M883" s="7">
        <f>IF($A883="","",L883-F883)</f>
        <v/>
      </c>
      <c r="N883" s="7" t="n"/>
      <c r="Q883" s="11" t="n"/>
      <c r="S883">
        <f>IF($A883="","",IF($W883=1,Settings!$C$6,Settings!$C$7)*1)</f>
        <v/>
      </c>
      <c r="U883">
        <f>IF($A883="","",IF(COUNTIF($A$2:$A883,$A883)=1,1,0))</f>
        <v/>
      </c>
      <c r="V883">
        <f>IF($U883=1,SUMPRODUCT(--($X$2:$X$3001&lt;$X883))+1,"")</f>
        <v/>
      </c>
      <c r="W883">
        <f>IF($A883="","",IF(OR($T883=TRUE(),$T883="TRUE"),1,0))</f>
        <v/>
      </c>
      <c r="X883">
        <f>IF($U883=1,IFERROR(IF(VALUE($A883)&lt;100000000,VALUE($A883),1000000000),IFERROR(IF(VALUE(MID($A883,2,20))&lt;100000000,VALUE(MID($A883,2,20)),1000000000),1000000000))+ROW()/100000,"")</f>
        <v/>
      </c>
    </row>
    <row r="884">
      <c r="F884" s="7">
        <f>IF($A884="","",E884*N884/100)</f>
        <v/>
      </c>
      <c r="J884" s="7" t="n"/>
      <c r="K884" s="7">
        <f>IF($A884="","",S884*N884)</f>
        <v/>
      </c>
      <c r="L884" s="7">
        <f>IF($A884="","",N884-K884)</f>
        <v/>
      </c>
      <c r="M884" s="7">
        <f>IF($A884="","",L884-F884)</f>
        <v/>
      </c>
      <c r="N884" s="7" t="n"/>
      <c r="Q884" s="11" t="n"/>
      <c r="S884">
        <f>IF($A884="","",IF($W884=1,Settings!$C$6,Settings!$C$7)*1)</f>
        <v/>
      </c>
      <c r="U884">
        <f>IF($A884="","",IF(COUNTIF($A$2:$A884,$A884)=1,1,0))</f>
        <v/>
      </c>
      <c r="V884">
        <f>IF($U884=1,SUMPRODUCT(--($X$2:$X$3001&lt;$X884))+1,"")</f>
        <v/>
      </c>
      <c r="W884">
        <f>IF($A884="","",IF(OR($T884=TRUE(),$T884="TRUE"),1,0))</f>
        <v/>
      </c>
      <c r="X884">
        <f>IF($U884=1,IFERROR(IF(VALUE($A884)&lt;100000000,VALUE($A884),1000000000),IFERROR(IF(VALUE(MID($A884,2,20))&lt;100000000,VALUE(MID($A884,2,20)),1000000000),1000000000))+ROW()/100000,"")</f>
        <v/>
      </c>
    </row>
    <row r="885">
      <c r="F885" s="7">
        <f>IF($A885="","",E885*N885/100)</f>
        <v/>
      </c>
      <c r="J885" s="7" t="n"/>
      <c r="K885" s="7">
        <f>IF($A885="","",S885*N885)</f>
        <v/>
      </c>
      <c r="L885" s="7">
        <f>IF($A885="","",N885-K885)</f>
        <v/>
      </c>
      <c r="M885" s="7">
        <f>IF($A885="","",L885-F885)</f>
        <v/>
      </c>
      <c r="N885" s="7" t="n"/>
      <c r="Q885" s="11" t="n"/>
      <c r="S885">
        <f>IF($A885="","",IF($W885=1,Settings!$C$6,Settings!$C$7)*1)</f>
        <v/>
      </c>
      <c r="U885">
        <f>IF($A885="","",IF(COUNTIF($A$2:$A885,$A885)=1,1,0))</f>
        <v/>
      </c>
      <c r="V885">
        <f>IF($U885=1,SUMPRODUCT(--($X$2:$X$3001&lt;$X885))+1,"")</f>
        <v/>
      </c>
      <c r="W885">
        <f>IF($A885="","",IF(OR($T885=TRUE(),$T885="TRUE"),1,0))</f>
        <v/>
      </c>
      <c r="X885">
        <f>IF($U885=1,IFERROR(IF(VALUE($A885)&lt;100000000,VALUE($A885),1000000000),IFERROR(IF(VALUE(MID($A885,2,20))&lt;100000000,VALUE(MID($A885,2,20)),1000000000),1000000000))+ROW()/100000,"")</f>
        <v/>
      </c>
    </row>
    <row r="886">
      <c r="F886" s="7">
        <f>IF($A886="","",E886*N886/100)</f>
        <v/>
      </c>
      <c r="J886" s="7" t="n"/>
      <c r="K886" s="7">
        <f>IF($A886="","",S886*N886)</f>
        <v/>
      </c>
      <c r="L886" s="7">
        <f>IF($A886="","",N886-K886)</f>
        <v/>
      </c>
      <c r="M886" s="7">
        <f>IF($A886="","",L886-F886)</f>
        <v/>
      </c>
      <c r="N886" s="7" t="n"/>
      <c r="Q886" s="11" t="n"/>
      <c r="S886">
        <f>IF($A886="","",IF($W886=1,Settings!$C$6,Settings!$C$7)*1)</f>
        <v/>
      </c>
      <c r="U886">
        <f>IF($A886="","",IF(COUNTIF($A$2:$A886,$A886)=1,1,0))</f>
        <v/>
      </c>
      <c r="V886">
        <f>IF($U886=1,SUMPRODUCT(--($X$2:$X$3001&lt;$X886))+1,"")</f>
        <v/>
      </c>
      <c r="W886">
        <f>IF($A886="","",IF(OR($T886=TRUE(),$T886="TRUE"),1,0))</f>
        <v/>
      </c>
      <c r="X886">
        <f>IF($U886=1,IFERROR(IF(VALUE($A886)&lt;100000000,VALUE($A886),1000000000),IFERROR(IF(VALUE(MID($A886,2,20))&lt;100000000,VALUE(MID($A886,2,20)),1000000000),1000000000))+ROW()/100000,"")</f>
        <v/>
      </c>
    </row>
    <row r="887">
      <c r="F887" s="7">
        <f>IF($A887="","",E887*N887/100)</f>
        <v/>
      </c>
      <c r="J887" s="7" t="n"/>
      <c r="K887" s="7">
        <f>IF($A887="","",S887*N887)</f>
        <v/>
      </c>
      <c r="L887" s="7">
        <f>IF($A887="","",N887-K887)</f>
        <v/>
      </c>
      <c r="M887" s="7">
        <f>IF($A887="","",L887-F887)</f>
        <v/>
      </c>
      <c r="N887" s="7" t="n"/>
      <c r="Q887" s="11" t="n"/>
      <c r="S887">
        <f>IF($A887="","",IF($W887=1,Settings!$C$6,Settings!$C$7)*1)</f>
        <v/>
      </c>
      <c r="U887">
        <f>IF($A887="","",IF(COUNTIF($A$2:$A887,$A887)=1,1,0))</f>
        <v/>
      </c>
      <c r="V887">
        <f>IF($U887=1,SUMPRODUCT(--($X$2:$X$3001&lt;$X887))+1,"")</f>
        <v/>
      </c>
      <c r="W887">
        <f>IF($A887="","",IF(OR($T887=TRUE(),$T887="TRUE"),1,0))</f>
        <v/>
      </c>
      <c r="X887">
        <f>IF($U887=1,IFERROR(IF(VALUE($A887)&lt;100000000,VALUE($A887),1000000000),IFERROR(IF(VALUE(MID($A887,2,20))&lt;100000000,VALUE(MID($A887,2,20)),1000000000),1000000000))+ROW()/100000,"")</f>
        <v/>
      </c>
    </row>
    <row r="888">
      <c r="F888" s="7">
        <f>IF($A888="","",E888*N888/100)</f>
        <v/>
      </c>
      <c r="J888" s="7" t="n"/>
      <c r="K888" s="7">
        <f>IF($A888="","",S888*N888)</f>
        <v/>
      </c>
      <c r="L888" s="7">
        <f>IF($A888="","",N888-K888)</f>
        <v/>
      </c>
      <c r="M888" s="7">
        <f>IF($A888="","",L888-F888)</f>
        <v/>
      </c>
      <c r="N888" s="7" t="n"/>
      <c r="Q888" s="11" t="n"/>
      <c r="S888">
        <f>IF($A888="","",IF($W888=1,Settings!$C$6,Settings!$C$7)*1)</f>
        <v/>
      </c>
      <c r="U888">
        <f>IF($A888="","",IF(COUNTIF($A$2:$A888,$A888)=1,1,0))</f>
        <v/>
      </c>
      <c r="V888">
        <f>IF($U888=1,SUMPRODUCT(--($X$2:$X$3001&lt;$X888))+1,"")</f>
        <v/>
      </c>
      <c r="W888">
        <f>IF($A888="","",IF(OR($T888=TRUE(),$T888="TRUE"),1,0))</f>
        <v/>
      </c>
      <c r="X888">
        <f>IF($U888=1,IFERROR(IF(VALUE($A888)&lt;100000000,VALUE($A888),1000000000),IFERROR(IF(VALUE(MID($A888,2,20))&lt;100000000,VALUE(MID($A888,2,20)),1000000000),1000000000))+ROW()/100000,"")</f>
        <v/>
      </c>
    </row>
    <row r="889">
      <c r="F889" s="7">
        <f>IF($A889="","",E889*N889/100)</f>
        <v/>
      </c>
      <c r="J889" s="7" t="n"/>
      <c r="K889" s="7">
        <f>IF($A889="","",S889*N889)</f>
        <v/>
      </c>
      <c r="L889" s="7">
        <f>IF($A889="","",N889-K889)</f>
        <v/>
      </c>
      <c r="M889" s="7">
        <f>IF($A889="","",L889-F889)</f>
        <v/>
      </c>
      <c r="N889" s="7" t="n"/>
      <c r="Q889" s="11" t="n"/>
      <c r="S889">
        <f>IF($A889="","",IF($W889=1,Settings!$C$6,Settings!$C$7)*1)</f>
        <v/>
      </c>
      <c r="U889">
        <f>IF($A889="","",IF(COUNTIF($A$2:$A889,$A889)=1,1,0))</f>
        <v/>
      </c>
      <c r="V889">
        <f>IF($U889=1,SUMPRODUCT(--($X$2:$X$3001&lt;$X889))+1,"")</f>
        <v/>
      </c>
      <c r="W889">
        <f>IF($A889="","",IF(OR($T889=TRUE(),$T889="TRUE"),1,0))</f>
        <v/>
      </c>
      <c r="X889">
        <f>IF($U889=1,IFERROR(IF(VALUE($A889)&lt;100000000,VALUE($A889),1000000000),IFERROR(IF(VALUE(MID($A889,2,20))&lt;100000000,VALUE(MID($A889,2,20)),1000000000),1000000000))+ROW()/100000,"")</f>
        <v/>
      </c>
    </row>
    <row r="890">
      <c r="F890" s="7">
        <f>IF($A890="","",E890*N890/100)</f>
        <v/>
      </c>
      <c r="J890" s="7" t="n"/>
      <c r="K890" s="7">
        <f>IF($A890="","",S890*N890)</f>
        <v/>
      </c>
      <c r="L890" s="7">
        <f>IF($A890="","",N890-K890)</f>
        <v/>
      </c>
      <c r="M890" s="7">
        <f>IF($A890="","",L890-F890)</f>
        <v/>
      </c>
      <c r="N890" s="7" t="n"/>
      <c r="Q890" s="11" t="n"/>
      <c r="S890">
        <f>IF($A890="","",IF($W890=1,Settings!$C$6,Settings!$C$7)*1)</f>
        <v/>
      </c>
      <c r="U890">
        <f>IF($A890="","",IF(COUNTIF($A$2:$A890,$A890)=1,1,0))</f>
        <v/>
      </c>
      <c r="V890">
        <f>IF($U890=1,SUMPRODUCT(--($X$2:$X$3001&lt;$X890))+1,"")</f>
        <v/>
      </c>
      <c r="W890">
        <f>IF($A890="","",IF(OR($T890=TRUE(),$T890="TRUE"),1,0))</f>
        <v/>
      </c>
      <c r="X890">
        <f>IF($U890=1,IFERROR(IF(VALUE($A890)&lt;100000000,VALUE($A890),1000000000),IFERROR(IF(VALUE(MID($A890,2,20))&lt;100000000,VALUE(MID($A890,2,20)),1000000000),1000000000))+ROW()/100000,"")</f>
        <v/>
      </c>
    </row>
    <row r="891">
      <c r="F891" s="7">
        <f>IF($A891="","",E891*N891/100)</f>
        <v/>
      </c>
      <c r="J891" s="7" t="n"/>
      <c r="K891" s="7">
        <f>IF($A891="","",S891*N891)</f>
        <v/>
      </c>
      <c r="L891" s="7">
        <f>IF($A891="","",N891-K891)</f>
        <v/>
      </c>
      <c r="M891" s="7">
        <f>IF($A891="","",L891-F891)</f>
        <v/>
      </c>
      <c r="N891" s="7" t="n"/>
      <c r="Q891" s="11" t="n"/>
      <c r="S891">
        <f>IF($A891="","",IF($W891=1,Settings!$C$6,Settings!$C$7)*1)</f>
        <v/>
      </c>
      <c r="U891">
        <f>IF($A891="","",IF(COUNTIF($A$2:$A891,$A891)=1,1,0))</f>
        <v/>
      </c>
      <c r="V891">
        <f>IF($U891=1,SUMPRODUCT(--($X$2:$X$3001&lt;$X891))+1,"")</f>
        <v/>
      </c>
      <c r="W891">
        <f>IF($A891="","",IF(OR($T891=TRUE(),$T891="TRUE"),1,0))</f>
        <v/>
      </c>
      <c r="X891">
        <f>IF($U891=1,IFERROR(IF(VALUE($A891)&lt;100000000,VALUE($A891),1000000000),IFERROR(IF(VALUE(MID($A891,2,20))&lt;100000000,VALUE(MID($A891,2,20)),1000000000),1000000000))+ROW()/100000,"")</f>
        <v/>
      </c>
    </row>
    <row r="892">
      <c r="F892" s="7">
        <f>IF($A892="","",E892*N892/100)</f>
        <v/>
      </c>
      <c r="J892" s="7" t="n"/>
      <c r="K892" s="7">
        <f>IF($A892="","",S892*N892)</f>
        <v/>
      </c>
      <c r="L892" s="7">
        <f>IF($A892="","",N892-K892)</f>
        <v/>
      </c>
      <c r="M892" s="7">
        <f>IF($A892="","",L892-F892)</f>
        <v/>
      </c>
      <c r="N892" s="7" t="n"/>
      <c r="Q892" s="11" t="n"/>
      <c r="S892">
        <f>IF($A892="","",IF($W892=1,Settings!$C$6,Settings!$C$7)*1)</f>
        <v/>
      </c>
      <c r="U892">
        <f>IF($A892="","",IF(COUNTIF($A$2:$A892,$A892)=1,1,0))</f>
        <v/>
      </c>
      <c r="V892">
        <f>IF($U892=1,SUMPRODUCT(--($X$2:$X$3001&lt;$X892))+1,"")</f>
        <v/>
      </c>
      <c r="W892">
        <f>IF($A892="","",IF(OR($T892=TRUE(),$T892="TRUE"),1,0))</f>
        <v/>
      </c>
      <c r="X892">
        <f>IF($U892=1,IFERROR(IF(VALUE($A892)&lt;100000000,VALUE($A892),1000000000),IFERROR(IF(VALUE(MID($A892,2,20))&lt;100000000,VALUE(MID($A892,2,20)),1000000000),1000000000))+ROW()/100000,"")</f>
        <v/>
      </c>
    </row>
    <row r="893">
      <c r="F893" s="7">
        <f>IF($A893="","",E893*N893/100)</f>
        <v/>
      </c>
      <c r="J893" s="7" t="n"/>
      <c r="K893" s="7">
        <f>IF($A893="","",S893*N893)</f>
        <v/>
      </c>
      <c r="L893" s="7">
        <f>IF($A893="","",N893-K893)</f>
        <v/>
      </c>
      <c r="M893" s="7">
        <f>IF($A893="","",L893-F893)</f>
        <v/>
      </c>
      <c r="N893" s="7" t="n"/>
      <c r="Q893" s="11" t="n"/>
      <c r="S893">
        <f>IF($A893="","",IF($W893=1,Settings!$C$6,Settings!$C$7)*1)</f>
        <v/>
      </c>
      <c r="U893">
        <f>IF($A893="","",IF(COUNTIF($A$2:$A893,$A893)=1,1,0))</f>
        <v/>
      </c>
      <c r="V893">
        <f>IF($U893=1,SUMPRODUCT(--($X$2:$X$3001&lt;$X893))+1,"")</f>
        <v/>
      </c>
      <c r="W893">
        <f>IF($A893="","",IF(OR($T893=TRUE(),$T893="TRUE"),1,0))</f>
        <v/>
      </c>
      <c r="X893">
        <f>IF($U893=1,IFERROR(IF(VALUE($A893)&lt;100000000,VALUE($A893),1000000000),IFERROR(IF(VALUE(MID($A893,2,20))&lt;100000000,VALUE(MID($A893,2,20)),1000000000),1000000000))+ROW()/100000,"")</f>
        <v/>
      </c>
    </row>
    <row r="894">
      <c r="F894" s="7">
        <f>IF($A894="","",E894*N894/100)</f>
        <v/>
      </c>
      <c r="J894" s="7" t="n"/>
      <c r="K894" s="7">
        <f>IF($A894="","",S894*N894)</f>
        <v/>
      </c>
      <c r="L894" s="7">
        <f>IF($A894="","",N894-K894)</f>
        <v/>
      </c>
      <c r="M894" s="7">
        <f>IF($A894="","",L894-F894)</f>
        <v/>
      </c>
      <c r="N894" s="7" t="n"/>
      <c r="Q894" s="11" t="n"/>
      <c r="S894">
        <f>IF($A894="","",IF($W894=1,Settings!$C$6,Settings!$C$7)*1)</f>
        <v/>
      </c>
      <c r="U894">
        <f>IF($A894="","",IF(COUNTIF($A$2:$A894,$A894)=1,1,0))</f>
        <v/>
      </c>
      <c r="V894">
        <f>IF($U894=1,SUMPRODUCT(--($X$2:$X$3001&lt;$X894))+1,"")</f>
        <v/>
      </c>
      <c r="W894">
        <f>IF($A894="","",IF(OR($T894=TRUE(),$T894="TRUE"),1,0))</f>
        <v/>
      </c>
      <c r="X894">
        <f>IF($U894=1,IFERROR(IF(VALUE($A894)&lt;100000000,VALUE($A894),1000000000),IFERROR(IF(VALUE(MID($A894,2,20))&lt;100000000,VALUE(MID($A894,2,20)),1000000000),1000000000))+ROW()/100000,"")</f>
        <v/>
      </c>
    </row>
    <row r="895">
      <c r="F895" s="7">
        <f>IF($A895="","",E895*N895/100)</f>
        <v/>
      </c>
      <c r="J895" s="7" t="n"/>
      <c r="K895" s="7">
        <f>IF($A895="","",S895*N895)</f>
        <v/>
      </c>
      <c r="L895" s="7">
        <f>IF($A895="","",N895-K895)</f>
        <v/>
      </c>
      <c r="M895" s="7">
        <f>IF($A895="","",L895-F895)</f>
        <v/>
      </c>
      <c r="N895" s="7" t="n"/>
      <c r="Q895" s="11" t="n"/>
      <c r="S895">
        <f>IF($A895="","",IF($W895=1,Settings!$C$6,Settings!$C$7)*1)</f>
        <v/>
      </c>
      <c r="U895">
        <f>IF($A895="","",IF(COUNTIF($A$2:$A895,$A895)=1,1,0))</f>
        <v/>
      </c>
      <c r="V895">
        <f>IF($U895=1,SUMPRODUCT(--($X$2:$X$3001&lt;$X895))+1,"")</f>
        <v/>
      </c>
      <c r="W895">
        <f>IF($A895="","",IF(OR($T895=TRUE(),$T895="TRUE"),1,0))</f>
        <v/>
      </c>
      <c r="X895">
        <f>IF($U895=1,IFERROR(IF(VALUE($A895)&lt;100000000,VALUE($A895),1000000000),IFERROR(IF(VALUE(MID($A895,2,20))&lt;100000000,VALUE(MID($A895,2,20)),1000000000),1000000000))+ROW()/100000,"")</f>
        <v/>
      </c>
    </row>
    <row r="896">
      <c r="F896" s="7">
        <f>IF($A896="","",E896*N896/100)</f>
        <v/>
      </c>
      <c r="J896" s="7" t="n"/>
      <c r="K896" s="7">
        <f>IF($A896="","",S896*N896)</f>
        <v/>
      </c>
      <c r="L896" s="7">
        <f>IF($A896="","",N896-K896)</f>
        <v/>
      </c>
      <c r="M896" s="7">
        <f>IF($A896="","",L896-F896)</f>
        <v/>
      </c>
      <c r="N896" s="7" t="n"/>
      <c r="Q896" s="11" t="n"/>
      <c r="S896">
        <f>IF($A896="","",IF($W896=1,Settings!$C$6,Settings!$C$7)*1)</f>
        <v/>
      </c>
      <c r="U896">
        <f>IF($A896="","",IF(COUNTIF($A$2:$A896,$A896)=1,1,0))</f>
        <v/>
      </c>
      <c r="V896">
        <f>IF($U896=1,SUMPRODUCT(--($X$2:$X$3001&lt;$X896))+1,"")</f>
        <v/>
      </c>
      <c r="W896">
        <f>IF($A896="","",IF(OR($T896=TRUE(),$T896="TRUE"),1,0))</f>
        <v/>
      </c>
      <c r="X896">
        <f>IF($U896=1,IFERROR(IF(VALUE($A896)&lt;100000000,VALUE($A896),1000000000),IFERROR(IF(VALUE(MID($A896,2,20))&lt;100000000,VALUE(MID($A896,2,20)),1000000000),1000000000))+ROW()/100000,"")</f>
        <v/>
      </c>
    </row>
    <row r="897">
      <c r="F897" s="7">
        <f>IF($A897="","",E897*N897/100)</f>
        <v/>
      </c>
      <c r="J897" s="7" t="n"/>
      <c r="K897" s="7">
        <f>IF($A897="","",S897*N897)</f>
        <v/>
      </c>
      <c r="L897" s="7">
        <f>IF($A897="","",N897-K897)</f>
        <v/>
      </c>
      <c r="M897" s="7">
        <f>IF($A897="","",L897-F897)</f>
        <v/>
      </c>
      <c r="N897" s="7" t="n"/>
      <c r="Q897" s="11" t="n"/>
      <c r="S897">
        <f>IF($A897="","",IF($W897=1,Settings!$C$6,Settings!$C$7)*1)</f>
        <v/>
      </c>
      <c r="U897">
        <f>IF($A897="","",IF(COUNTIF($A$2:$A897,$A897)=1,1,0))</f>
        <v/>
      </c>
      <c r="V897">
        <f>IF($U897=1,SUMPRODUCT(--($X$2:$X$3001&lt;$X897))+1,"")</f>
        <v/>
      </c>
      <c r="W897">
        <f>IF($A897="","",IF(OR($T897=TRUE(),$T897="TRUE"),1,0))</f>
        <v/>
      </c>
      <c r="X897">
        <f>IF($U897=1,IFERROR(IF(VALUE($A897)&lt;100000000,VALUE($A897),1000000000),IFERROR(IF(VALUE(MID($A897,2,20))&lt;100000000,VALUE(MID($A897,2,20)),1000000000),1000000000))+ROW()/100000,"")</f>
        <v/>
      </c>
    </row>
    <row r="898">
      <c r="F898" s="7">
        <f>IF($A898="","",E898*N898/100)</f>
        <v/>
      </c>
      <c r="J898" s="7" t="n"/>
      <c r="K898" s="7">
        <f>IF($A898="","",S898*N898)</f>
        <v/>
      </c>
      <c r="L898" s="7">
        <f>IF($A898="","",N898-K898)</f>
        <v/>
      </c>
      <c r="M898" s="7">
        <f>IF($A898="","",L898-F898)</f>
        <v/>
      </c>
      <c r="N898" s="7" t="n"/>
      <c r="Q898" s="11" t="n"/>
      <c r="S898">
        <f>IF($A898="","",IF($W898=1,Settings!$C$6,Settings!$C$7)*1)</f>
        <v/>
      </c>
      <c r="U898">
        <f>IF($A898="","",IF(COUNTIF($A$2:$A898,$A898)=1,1,0))</f>
        <v/>
      </c>
      <c r="V898">
        <f>IF($U898=1,SUMPRODUCT(--($X$2:$X$3001&lt;$X898))+1,"")</f>
        <v/>
      </c>
      <c r="W898">
        <f>IF($A898="","",IF(OR($T898=TRUE(),$T898="TRUE"),1,0))</f>
        <v/>
      </c>
      <c r="X898">
        <f>IF($U898=1,IFERROR(IF(VALUE($A898)&lt;100000000,VALUE($A898),1000000000),IFERROR(IF(VALUE(MID($A898,2,20))&lt;100000000,VALUE(MID($A898,2,20)),1000000000),1000000000))+ROW()/100000,"")</f>
        <v/>
      </c>
    </row>
    <row r="899">
      <c r="F899" s="7">
        <f>IF($A899="","",E899*N899/100)</f>
        <v/>
      </c>
      <c r="J899" s="7" t="n"/>
      <c r="K899" s="7">
        <f>IF($A899="","",S899*N899)</f>
        <v/>
      </c>
      <c r="L899" s="7">
        <f>IF($A899="","",N899-K899)</f>
        <v/>
      </c>
      <c r="M899" s="7">
        <f>IF($A899="","",L899-F899)</f>
        <v/>
      </c>
      <c r="N899" s="7" t="n"/>
      <c r="Q899" s="11" t="n"/>
      <c r="S899">
        <f>IF($A899="","",IF($W899=1,Settings!$C$6,Settings!$C$7)*1)</f>
        <v/>
      </c>
      <c r="U899">
        <f>IF($A899="","",IF(COUNTIF($A$2:$A899,$A899)=1,1,0))</f>
        <v/>
      </c>
      <c r="V899">
        <f>IF($U899=1,SUMPRODUCT(--($X$2:$X$3001&lt;$X899))+1,"")</f>
        <v/>
      </c>
      <c r="W899">
        <f>IF($A899="","",IF(OR($T899=TRUE(),$T899="TRUE"),1,0))</f>
        <v/>
      </c>
      <c r="X899">
        <f>IF($U899=1,IFERROR(IF(VALUE($A899)&lt;100000000,VALUE($A899),1000000000),IFERROR(IF(VALUE(MID($A899,2,20))&lt;100000000,VALUE(MID($A899,2,20)),1000000000),1000000000))+ROW()/100000,"")</f>
        <v/>
      </c>
    </row>
    <row r="900">
      <c r="F900" s="7">
        <f>IF($A900="","",E900*N900/100)</f>
        <v/>
      </c>
      <c r="J900" s="7" t="n"/>
      <c r="K900" s="7">
        <f>IF($A900="","",S900*N900)</f>
        <v/>
      </c>
      <c r="L900" s="7">
        <f>IF($A900="","",N900-K900)</f>
        <v/>
      </c>
      <c r="M900" s="7">
        <f>IF($A900="","",L900-F900)</f>
        <v/>
      </c>
      <c r="N900" s="7" t="n"/>
      <c r="Q900" s="11" t="n"/>
      <c r="S900">
        <f>IF($A900="","",IF($W900=1,Settings!$C$6,Settings!$C$7)*1)</f>
        <v/>
      </c>
      <c r="U900">
        <f>IF($A900="","",IF(COUNTIF($A$2:$A900,$A900)=1,1,0))</f>
        <v/>
      </c>
      <c r="V900">
        <f>IF($U900=1,SUMPRODUCT(--($X$2:$X$3001&lt;$X900))+1,"")</f>
        <v/>
      </c>
      <c r="W900">
        <f>IF($A900="","",IF(OR($T900=TRUE(),$T900="TRUE"),1,0))</f>
        <v/>
      </c>
      <c r="X900">
        <f>IF($U900=1,IFERROR(IF(VALUE($A900)&lt;100000000,VALUE($A900),1000000000),IFERROR(IF(VALUE(MID($A900,2,20))&lt;100000000,VALUE(MID($A900,2,20)),1000000000),1000000000))+ROW()/100000,"")</f>
        <v/>
      </c>
    </row>
    <row r="901">
      <c r="F901" s="7">
        <f>IF($A901="","",E901*N901/100)</f>
        <v/>
      </c>
      <c r="J901" s="7" t="n"/>
      <c r="K901" s="7">
        <f>IF($A901="","",S901*N901)</f>
        <v/>
      </c>
      <c r="L901" s="7">
        <f>IF($A901="","",N901-K901)</f>
        <v/>
      </c>
      <c r="M901" s="7">
        <f>IF($A901="","",L901-F901)</f>
        <v/>
      </c>
      <c r="N901" s="7" t="n"/>
      <c r="Q901" s="11" t="n"/>
      <c r="S901">
        <f>IF($A901="","",IF($W901=1,Settings!$C$6,Settings!$C$7)*1)</f>
        <v/>
      </c>
      <c r="U901">
        <f>IF($A901="","",IF(COUNTIF($A$2:$A901,$A901)=1,1,0))</f>
        <v/>
      </c>
      <c r="V901">
        <f>IF($U901=1,SUMPRODUCT(--($X$2:$X$3001&lt;$X901))+1,"")</f>
        <v/>
      </c>
      <c r="W901">
        <f>IF($A901="","",IF(OR($T901=TRUE(),$T901="TRUE"),1,0))</f>
        <v/>
      </c>
      <c r="X901">
        <f>IF($U901=1,IFERROR(IF(VALUE($A901)&lt;100000000,VALUE($A901),1000000000),IFERROR(IF(VALUE(MID($A901,2,20))&lt;100000000,VALUE(MID($A901,2,20)),1000000000),1000000000))+ROW()/100000,"")</f>
        <v/>
      </c>
    </row>
    <row r="902">
      <c r="F902" s="7">
        <f>IF($A902="","",E902*N902/100)</f>
        <v/>
      </c>
      <c r="J902" s="7" t="n"/>
      <c r="K902" s="7">
        <f>IF($A902="","",S902*N902)</f>
        <v/>
      </c>
      <c r="L902" s="7">
        <f>IF($A902="","",N902-K902)</f>
        <v/>
      </c>
      <c r="M902" s="7">
        <f>IF($A902="","",L902-F902)</f>
        <v/>
      </c>
      <c r="N902" s="7" t="n"/>
      <c r="Q902" s="11" t="n"/>
      <c r="S902">
        <f>IF($A902="","",IF($W902=1,Settings!$C$6,Settings!$C$7)*1)</f>
        <v/>
      </c>
      <c r="U902">
        <f>IF($A902="","",IF(COUNTIF($A$2:$A902,$A902)=1,1,0))</f>
        <v/>
      </c>
      <c r="V902">
        <f>IF($U902=1,SUMPRODUCT(--($X$2:$X$3001&lt;$X902))+1,"")</f>
        <v/>
      </c>
      <c r="W902">
        <f>IF($A902="","",IF(OR($T902=TRUE(),$T902="TRUE"),1,0))</f>
        <v/>
      </c>
      <c r="X902">
        <f>IF($U902=1,IFERROR(IF(VALUE($A902)&lt;100000000,VALUE($A902),1000000000),IFERROR(IF(VALUE(MID($A902,2,20))&lt;100000000,VALUE(MID($A902,2,20)),1000000000),1000000000))+ROW()/100000,"")</f>
        <v/>
      </c>
    </row>
    <row r="903">
      <c r="F903" s="7">
        <f>IF($A903="","",E903*N903/100)</f>
        <v/>
      </c>
      <c r="J903" s="7" t="n"/>
      <c r="K903" s="7">
        <f>IF($A903="","",S903*N903)</f>
        <v/>
      </c>
      <c r="L903" s="7">
        <f>IF($A903="","",N903-K903)</f>
        <v/>
      </c>
      <c r="M903" s="7">
        <f>IF($A903="","",L903-F903)</f>
        <v/>
      </c>
      <c r="N903" s="7" t="n"/>
      <c r="Q903" s="11" t="n"/>
      <c r="S903">
        <f>IF($A903="","",IF($W903=1,Settings!$C$6,Settings!$C$7)*1)</f>
        <v/>
      </c>
      <c r="U903">
        <f>IF($A903="","",IF(COUNTIF($A$2:$A903,$A903)=1,1,0))</f>
        <v/>
      </c>
      <c r="V903">
        <f>IF($U903=1,SUMPRODUCT(--($X$2:$X$3001&lt;$X903))+1,"")</f>
        <v/>
      </c>
      <c r="W903">
        <f>IF($A903="","",IF(OR($T903=TRUE(),$T903="TRUE"),1,0))</f>
        <v/>
      </c>
      <c r="X903">
        <f>IF($U903=1,IFERROR(IF(VALUE($A903)&lt;100000000,VALUE($A903),1000000000),IFERROR(IF(VALUE(MID($A903,2,20))&lt;100000000,VALUE(MID($A903,2,20)),1000000000),1000000000))+ROW()/100000,"")</f>
        <v/>
      </c>
    </row>
    <row r="904">
      <c r="F904" s="7">
        <f>IF($A904="","",E904*N904/100)</f>
        <v/>
      </c>
      <c r="J904" s="7" t="n"/>
      <c r="K904" s="7">
        <f>IF($A904="","",S904*N904)</f>
        <v/>
      </c>
      <c r="L904" s="7">
        <f>IF($A904="","",N904-K904)</f>
        <v/>
      </c>
      <c r="M904" s="7">
        <f>IF($A904="","",L904-F904)</f>
        <v/>
      </c>
      <c r="N904" s="7" t="n"/>
      <c r="Q904" s="11" t="n"/>
      <c r="S904">
        <f>IF($A904="","",IF($W904=1,Settings!$C$6,Settings!$C$7)*1)</f>
        <v/>
      </c>
      <c r="U904">
        <f>IF($A904="","",IF(COUNTIF($A$2:$A904,$A904)=1,1,0))</f>
        <v/>
      </c>
      <c r="V904">
        <f>IF($U904=1,SUMPRODUCT(--($X$2:$X$3001&lt;$X904))+1,"")</f>
        <v/>
      </c>
      <c r="W904">
        <f>IF($A904="","",IF(OR($T904=TRUE(),$T904="TRUE"),1,0))</f>
        <v/>
      </c>
      <c r="X904">
        <f>IF($U904=1,IFERROR(IF(VALUE($A904)&lt;100000000,VALUE($A904),1000000000),IFERROR(IF(VALUE(MID($A904,2,20))&lt;100000000,VALUE(MID($A904,2,20)),1000000000),1000000000))+ROW()/100000,"")</f>
        <v/>
      </c>
    </row>
    <row r="905">
      <c r="F905" s="7">
        <f>IF($A905="","",E905*N905/100)</f>
        <v/>
      </c>
      <c r="J905" s="7" t="n"/>
      <c r="K905" s="7">
        <f>IF($A905="","",S905*N905)</f>
        <v/>
      </c>
      <c r="L905" s="7">
        <f>IF($A905="","",N905-K905)</f>
        <v/>
      </c>
      <c r="M905" s="7">
        <f>IF($A905="","",L905-F905)</f>
        <v/>
      </c>
      <c r="N905" s="7" t="n"/>
      <c r="Q905" s="11" t="n"/>
      <c r="S905">
        <f>IF($A905="","",IF($W905=1,Settings!$C$6,Settings!$C$7)*1)</f>
        <v/>
      </c>
      <c r="U905">
        <f>IF($A905="","",IF(COUNTIF($A$2:$A905,$A905)=1,1,0))</f>
        <v/>
      </c>
      <c r="V905">
        <f>IF($U905=1,SUMPRODUCT(--($X$2:$X$3001&lt;$X905))+1,"")</f>
        <v/>
      </c>
      <c r="W905">
        <f>IF($A905="","",IF(OR($T905=TRUE(),$T905="TRUE"),1,0))</f>
        <v/>
      </c>
      <c r="X905">
        <f>IF($U905=1,IFERROR(IF(VALUE($A905)&lt;100000000,VALUE($A905),1000000000),IFERROR(IF(VALUE(MID($A905,2,20))&lt;100000000,VALUE(MID($A905,2,20)),1000000000),1000000000))+ROW()/100000,"")</f>
        <v/>
      </c>
    </row>
    <row r="906">
      <c r="F906" s="7">
        <f>IF($A906="","",E906*N906/100)</f>
        <v/>
      </c>
      <c r="J906" s="7" t="n"/>
      <c r="K906" s="7">
        <f>IF($A906="","",S906*N906)</f>
        <v/>
      </c>
      <c r="L906" s="7">
        <f>IF($A906="","",N906-K906)</f>
        <v/>
      </c>
      <c r="M906" s="7">
        <f>IF($A906="","",L906-F906)</f>
        <v/>
      </c>
      <c r="N906" s="7" t="n"/>
      <c r="Q906" s="11" t="n"/>
      <c r="S906">
        <f>IF($A906="","",IF($W906=1,Settings!$C$6,Settings!$C$7)*1)</f>
        <v/>
      </c>
      <c r="U906">
        <f>IF($A906="","",IF(COUNTIF($A$2:$A906,$A906)=1,1,0))</f>
        <v/>
      </c>
      <c r="V906">
        <f>IF($U906=1,SUMPRODUCT(--($X$2:$X$3001&lt;$X906))+1,"")</f>
        <v/>
      </c>
      <c r="W906">
        <f>IF($A906="","",IF(OR($T906=TRUE(),$T906="TRUE"),1,0))</f>
        <v/>
      </c>
      <c r="X906">
        <f>IF($U906=1,IFERROR(IF(VALUE($A906)&lt;100000000,VALUE($A906),1000000000),IFERROR(IF(VALUE(MID($A906,2,20))&lt;100000000,VALUE(MID($A906,2,20)),1000000000),1000000000))+ROW()/100000,"")</f>
        <v/>
      </c>
    </row>
    <row r="907">
      <c r="F907" s="7">
        <f>IF($A907="","",E907*N907/100)</f>
        <v/>
      </c>
      <c r="J907" s="7" t="n"/>
      <c r="K907" s="7">
        <f>IF($A907="","",S907*N907)</f>
        <v/>
      </c>
      <c r="L907" s="7">
        <f>IF($A907="","",N907-K907)</f>
        <v/>
      </c>
      <c r="M907" s="7">
        <f>IF($A907="","",L907-F907)</f>
        <v/>
      </c>
      <c r="N907" s="7" t="n"/>
      <c r="Q907" s="11" t="n"/>
      <c r="S907">
        <f>IF($A907="","",IF($W907=1,Settings!$C$6,Settings!$C$7)*1)</f>
        <v/>
      </c>
      <c r="U907">
        <f>IF($A907="","",IF(COUNTIF($A$2:$A907,$A907)=1,1,0))</f>
        <v/>
      </c>
      <c r="V907">
        <f>IF($U907=1,SUMPRODUCT(--($X$2:$X$3001&lt;$X907))+1,"")</f>
        <v/>
      </c>
      <c r="W907">
        <f>IF($A907="","",IF(OR($T907=TRUE(),$T907="TRUE"),1,0))</f>
        <v/>
      </c>
      <c r="X907">
        <f>IF($U907=1,IFERROR(IF(VALUE($A907)&lt;100000000,VALUE($A907),1000000000),IFERROR(IF(VALUE(MID($A907,2,20))&lt;100000000,VALUE(MID($A907,2,20)),1000000000),1000000000))+ROW()/100000,"")</f>
        <v/>
      </c>
    </row>
    <row r="908">
      <c r="F908" s="7">
        <f>IF($A908="","",E908*N908/100)</f>
        <v/>
      </c>
      <c r="J908" s="7" t="n"/>
      <c r="K908" s="7">
        <f>IF($A908="","",S908*N908)</f>
        <v/>
      </c>
      <c r="L908" s="7">
        <f>IF($A908="","",N908-K908)</f>
        <v/>
      </c>
      <c r="M908" s="7">
        <f>IF($A908="","",L908-F908)</f>
        <v/>
      </c>
      <c r="N908" s="7" t="n"/>
      <c r="Q908" s="11" t="n"/>
      <c r="S908">
        <f>IF($A908="","",IF($W908=1,Settings!$C$6,Settings!$C$7)*1)</f>
        <v/>
      </c>
      <c r="U908">
        <f>IF($A908="","",IF(COUNTIF($A$2:$A908,$A908)=1,1,0))</f>
        <v/>
      </c>
      <c r="V908">
        <f>IF($U908=1,SUMPRODUCT(--($X$2:$X$3001&lt;$X908))+1,"")</f>
        <v/>
      </c>
      <c r="W908">
        <f>IF($A908="","",IF(OR($T908=TRUE(),$T908="TRUE"),1,0))</f>
        <v/>
      </c>
      <c r="X908">
        <f>IF($U908=1,IFERROR(IF(VALUE($A908)&lt;100000000,VALUE($A908),1000000000),IFERROR(IF(VALUE(MID($A908,2,20))&lt;100000000,VALUE(MID($A908,2,20)),1000000000),1000000000))+ROW()/100000,"")</f>
        <v/>
      </c>
    </row>
    <row r="909">
      <c r="F909" s="7">
        <f>IF($A909="","",E909*N909/100)</f>
        <v/>
      </c>
      <c r="J909" s="7" t="n"/>
      <c r="K909" s="7">
        <f>IF($A909="","",S909*N909)</f>
        <v/>
      </c>
      <c r="L909" s="7">
        <f>IF($A909="","",N909-K909)</f>
        <v/>
      </c>
      <c r="M909" s="7">
        <f>IF($A909="","",L909-F909)</f>
        <v/>
      </c>
      <c r="N909" s="7" t="n"/>
      <c r="Q909" s="11" t="n"/>
      <c r="S909">
        <f>IF($A909="","",IF($W909=1,Settings!$C$6,Settings!$C$7)*1)</f>
        <v/>
      </c>
      <c r="U909">
        <f>IF($A909="","",IF(COUNTIF($A$2:$A909,$A909)=1,1,0))</f>
        <v/>
      </c>
      <c r="V909">
        <f>IF($U909=1,SUMPRODUCT(--($X$2:$X$3001&lt;$X909))+1,"")</f>
        <v/>
      </c>
      <c r="W909">
        <f>IF($A909="","",IF(OR($T909=TRUE(),$T909="TRUE"),1,0))</f>
        <v/>
      </c>
      <c r="X909">
        <f>IF($U909=1,IFERROR(IF(VALUE($A909)&lt;100000000,VALUE($A909),1000000000),IFERROR(IF(VALUE(MID($A909,2,20))&lt;100000000,VALUE(MID($A909,2,20)),1000000000),1000000000))+ROW()/100000,"")</f>
        <v/>
      </c>
    </row>
    <row r="910">
      <c r="F910" s="7">
        <f>IF($A910="","",E910*N910/100)</f>
        <v/>
      </c>
      <c r="J910" s="7" t="n"/>
      <c r="K910" s="7">
        <f>IF($A910="","",S910*N910)</f>
        <v/>
      </c>
      <c r="L910" s="7">
        <f>IF($A910="","",N910-K910)</f>
        <v/>
      </c>
      <c r="M910" s="7">
        <f>IF($A910="","",L910-F910)</f>
        <v/>
      </c>
      <c r="N910" s="7" t="n"/>
      <c r="Q910" s="11" t="n"/>
      <c r="S910">
        <f>IF($A910="","",IF($W910=1,Settings!$C$6,Settings!$C$7)*1)</f>
        <v/>
      </c>
      <c r="U910">
        <f>IF($A910="","",IF(COUNTIF($A$2:$A910,$A910)=1,1,0))</f>
        <v/>
      </c>
      <c r="V910">
        <f>IF($U910=1,SUMPRODUCT(--($X$2:$X$3001&lt;$X910))+1,"")</f>
        <v/>
      </c>
      <c r="W910">
        <f>IF($A910="","",IF(OR($T910=TRUE(),$T910="TRUE"),1,0))</f>
        <v/>
      </c>
      <c r="X910">
        <f>IF($U910=1,IFERROR(IF(VALUE($A910)&lt;100000000,VALUE($A910),1000000000),IFERROR(IF(VALUE(MID($A910,2,20))&lt;100000000,VALUE(MID($A910,2,20)),1000000000),1000000000))+ROW()/100000,"")</f>
        <v/>
      </c>
    </row>
    <row r="911">
      <c r="F911" s="7">
        <f>IF($A911="","",E911*N911/100)</f>
        <v/>
      </c>
      <c r="J911" s="7" t="n"/>
      <c r="K911" s="7">
        <f>IF($A911="","",S911*N911)</f>
        <v/>
      </c>
      <c r="L911" s="7">
        <f>IF($A911="","",N911-K911)</f>
        <v/>
      </c>
      <c r="M911" s="7">
        <f>IF($A911="","",L911-F911)</f>
        <v/>
      </c>
      <c r="N911" s="7" t="n"/>
      <c r="Q911" s="11" t="n"/>
      <c r="S911">
        <f>IF($A911="","",IF($W911=1,Settings!$C$6,Settings!$C$7)*1)</f>
        <v/>
      </c>
      <c r="U911">
        <f>IF($A911="","",IF(COUNTIF($A$2:$A911,$A911)=1,1,0))</f>
        <v/>
      </c>
      <c r="V911">
        <f>IF($U911=1,SUMPRODUCT(--($X$2:$X$3001&lt;$X911))+1,"")</f>
        <v/>
      </c>
      <c r="W911">
        <f>IF($A911="","",IF(OR($T911=TRUE(),$T911="TRUE"),1,0))</f>
        <v/>
      </c>
      <c r="X911">
        <f>IF($U911=1,IFERROR(IF(VALUE($A911)&lt;100000000,VALUE($A911),1000000000),IFERROR(IF(VALUE(MID($A911,2,20))&lt;100000000,VALUE(MID($A911,2,20)),1000000000),1000000000))+ROW()/100000,"")</f>
        <v/>
      </c>
    </row>
    <row r="912">
      <c r="F912" s="7">
        <f>IF($A912="","",E912*N912/100)</f>
        <v/>
      </c>
      <c r="J912" s="7" t="n"/>
      <c r="K912" s="7">
        <f>IF($A912="","",S912*N912)</f>
        <v/>
      </c>
      <c r="L912" s="7">
        <f>IF($A912="","",N912-K912)</f>
        <v/>
      </c>
      <c r="M912" s="7">
        <f>IF($A912="","",L912-F912)</f>
        <v/>
      </c>
      <c r="N912" s="7" t="n"/>
      <c r="Q912" s="11" t="n"/>
      <c r="S912">
        <f>IF($A912="","",IF($W912=1,Settings!$C$6,Settings!$C$7)*1)</f>
        <v/>
      </c>
      <c r="U912">
        <f>IF($A912="","",IF(COUNTIF($A$2:$A912,$A912)=1,1,0))</f>
        <v/>
      </c>
      <c r="V912">
        <f>IF($U912=1,SUMPRODUCT(--($X$2:$X$3001&lt;$X912))+1,"")</f>
        <v/>
      </c>
      <c r="W912">
        <f>IF($A912="","",IF(OR($T912=TRUE(),$T912="TRUE"),1,0))</f>
        <v/>
      </c>
      <c r="X912">
        <f>IF($U912=1,IFERROR(IF(VALUE($A912)&lt;100000000,VALUE($A912),1000000000),IFERROR(IF(VALUE(MID($A912,2,20))&lt;100000000,VALUE(MID($A912,2,20)),1000000000),1000000000))+ROW()/100000,"")</f>
        <v/>
      </c>
    </row>
    <row r="913">
      <c r="F913" s="7">
        <f>IF($A913="","",E913*N913/100)</f>
        <v/>
      </c>
      <c r="J913" s="7" t="n"/>
      <c r="K913" s="7">
        <f>IF($A913="","",S913*N913)</f>
        <v/>
      </c>
      <c r="L913" s="7">
        <f>IF($A913="","",N913-K913)</f>
        <v/>
      </c>
      <c r="M913" s="7">
        <f>IF($A913="","",L913-F913)</f>
        <v/>
      </c>
      <c r="N913" s="7" t="n"/>
      <c r="Q913" s="11" t="n"/>
      <c r="S913">
        <f>IF($A913="","",IF($W913=1,Settings!$C$6,Settings!$C$7)*1)</f>
        <v/>
      </c>
      <c r="U913">
        <f>IF($A913="","",IF(COUNTIF($A$2:$A913,$A913)=1,1,0))</f>
        <v/>
      </c>
      <c r="V913">
        <f>IF($U913=1,SUMPRODUCT(--($X$2:$X$3001&lt;$X913))+1,"")</f>
        <v/>
      </c>
      <c r="W913">
        <f>IF($A913="","",IF(OR($T913=TRUE(),$T913="TRUE"),1,0))</f>
        <v/>
      </c>
      <c r="X913">
        <f>IF($U913=1,IFERROR(IF(VALUE($A913)&lt;100000000,VALUE($A913),1000000000),IFERROR(IF(VALUE(MID($A913,2,20))&lt;100000000,VALUE(MID($A913,2,20)),1000000000),1000000000))+ROW()/100000,"")</f>
        <v/>
      </c>
    </row>
    <row r="914">
      <c r="F914" s="7">
        <f>IF($A914="","",E914*N914/100)</f>
        <v/>
      </c>
      <c r="J914" s="7" t="n"/>
      <c r="K914" s="7">
        <f>IF($A914="","",S914*N914)</f>
        <v/>
      </c>
      <c r="L914" s="7">
        <f>IF($A914="","",N914-K914)</f>
        <v/>
      </c>
      <c r="M914" s="7">
        <f>IF($A914="","",L914-F914)</f>
        <v/>
      </c>
      <c r="N914" s="7" t="n"/>
      <c r="Q914" s="11" t="n"/>
      <c r="S914">
        <f>IF($A914="","",IF($W914=1,Settings!$C$6,Settings!$C$7)*1)</f>
        <v/>
      </c>
      <c r="U914">
        <f>IF($A914="","",IF(COUNTIF($A$2:$A914,$A914)=1,1,0))</f>
        <v/>
      </c>
      <c r="V914">
        <f>IF($U914=1,SUMPRODUCT(--($X$2:$X$3001&lt;$X914))+1,"")</f>
        <v/>
      </c>
      <c r="W914">
        <f>IF($A914="","",IF(OR($T914=TRUE(),$T914="TRUE"),1,0))</f>
        <v/>
      </c>
      <c r="X914">
        <f>IF($U914=1,IFERROR(IF(VALUE($A914)&lt;100000000,VALUE($A914),1000000000),IFERROR(IF(VALUE(MID($A914,2,20))&lt;100000000,VALUE(MID($A914,2,20)),1000000000),1000000000))+ROW()/100000,"")</f>
        <v/>
      </c>
    </row>
    <row r="915">
      <c r="F915" s="7">
        <f>IF($A915="","",E915*N915/100)</f>
        <v/>
      </c>
      <c r="J915" s="7" t="n"/>
      <c r="K915" s="7">
        <f>IF($A915="","",S915*N915)</f>
        <v/>
      </c>
      <c r="L915" s="7">
        <f>IF($A915="","",N915-K915)</f>
        <v/>
      </c>
      <c r="M915" s="7">
        <f>IF($A915="","",L915-F915)</f>
        <v/>
      </c>
      <c r="N915" s="7" t="n"/>
      <c r="Q915" s="11" t="n"/>
      <c r="S915">
        <f>IF($A915="","",IF($W915=1,Settings!$C$6,Settings!$C$7)*1)</f>
        <v/>
      </c>
      <c r="U915">
        <f>IF($A915="","",IF(COUNTIF($A$2:$A915,$A915)=1,1,0))</f>
        <v/>
      </c>
      <c r="V915">
        <f>IF($U915=1,SUMPRODUCT(--($X$2:$X$3001&lt;$X915))+1,"")</f>
        <v/>
      </c>
      <c r="W915">
        <f>IF($A915="","",IF(OR($T915=TRUE(),$T915="TRUE"),1,0))</f>
        <v/>
      </c>
      <c r="X915">
        <f>IF($U915=1,IFERROR(IF(VALUE($A915)&lt;100000000,VALUE($A915),1000000000),IFERROR(IF(VALUE(MID($A915,2,20))&lt;100000000,VALUE(MID($A915,2,20)),1000000000),1000000000))+ROW()/100000,"")</f>
        <v/>
      </c>
    </row>
    <row r="916">
      <c r="F916" s="7">
        <f>IF($A916="","",E916*N916/100)</f>
        <v/>
      </c>
      <c r="J916" s="7" t="n"/>
      <c r="K916" s="7">
        <f>IF($A916="","",S916*N916)</f>
        <v/>
      </c>
      <c r="L916" s="7">
        <f>IF($A916="","",N916-K916)</f>
        <v/>
      </c>
      <c r="M916" s="7">
        <f>IF($A916="","",L916-F916)</f>
        <v/>
      </c>
      <c r="N916" s="7" t="n"/>
      <c r="Q916" s="11" t="n"/>
      <c r="S916">
        <f>IF($A916="","",IF($W916=1,Settings!$C$6,Settings!$C$7)*1)</f>
        <v/>
      </c>
      <c r="U916">
        <f>IF($A916="","",IF(COUNTIF($A$2:$A916,$A916)=1,1,0))</f>
        <v/>
      </c>
      <c r="V916">
        <f>IF($U916=1,SUMPRODUCT(--($X$2:$X$3001&lt;$X916))+1,"")</f>
        <v/>
      </c>
      <c r="W916">
        <f>IF($A916="","",IF(OR($T916=TRUE(),$T916="TRUE"),1,0))</f>
        <v/>
      </c>
      <c r="X916">
        <f>IF($U916=1,IFERROR(IF(VALUE($A916)&lt;100000000,VALUE($A916),1000000000),IFERROR(IF(VALUE(MID($A916,2,20))&lt;100000000,VALUE(MID($A916,2,20)),1000000000),1000000000))+ROW()/100000,"")</f>
        <v/>
      </c>
    </row>
    <row r="917">
      <c r="F917" s="7">
        <f>IF($A917="","",E917*N917/100)</f>
        <v/>
      </c>
      <c r="J917" s="7" t="n"/>
      <c r="K917" s="7">
        <f>IF($A917="","",S917*N917)</f>
        <v/>
      </c>
      <c r="L917" s="7">
        <f>IF($A917="","",N917-K917)</f>
        <v/>
      </c>
      <c r="M917" s="7">
        <f>IF($A917="","",L917-F917)</f>
        <v/>
      </c>
      <c r="N917" s="7" t="n"/>
      <c r="Q917" s="11" t="n"/>
      <c r="S917">
        <f>IF($A917="","",IF($W917=1,Settings!$C$6,Settings!$C$7)*1)</f>
        <v/>
      </c>
      <c r="U917">
        <f>IF($A917="","",IF(COUNTIF($A$2:$A917,$A917)=1,1,0))</f>
        <v/>
      </c>
      <c r="V917">
        <f>IF($U917=1,SUMPRODUCT(--($X$2:$X$3001&lt;$X917))+1,"")</f>
        <v/>
      </c>
      <c r="W917">
        <f>IF($A917="","",IF(OR($T917=TRUE(),$T917="TRUE"),1,0))</f>
        <v/>
      </c>
      <c r="X917">
        <f>IF($U917=1,IFERROR(IF(VALUE($A917)&lt;100000000,VALUE($A917),1000000000),IFERROR(IF(VALUE(MID($A917,2,20))&lt;100000000,VALUE(MID($A917,2,20)),1000000000),1000000000))+ROW()/100000,"")</f>
        <v/>
      </c>
    </row>
    <row r="918">
      <c r="F918" s="7">
        <f>IF($A918="","",E918*N918/100)</f>
        <v/>
      </c>
      <c r="J918" s="7" t="n"/>
      <c r="K918" s="7">
        <f>IF($A918="","",S918*N918)</f>
        <v/>
      </c>
      <c r="L918" s="7">
        <f>IF($A918="","",N918-K918)</f>
        <v/>
      </c>
      <c r="M918" s="7">
        <f>IF($A918="","",L918-F918)</f>
        <v/>
      </c>
      <c r="N918" s="7" t="n"/>
      <c r="Q918" s="11" t="n"/>
      <c r="S918">
        <f>IF($A918="","",IF($W918=1,Settings!$C$6,Settings!$C$7)*1)</f>
        <v/>
      </c>
      <c r="U918">
        <f>IF($A918="","",IF(COUNTIF($A$2:$A918,$A918)=1,1,0))</f>
        <v/>
      </c>
      <c r="V918">
        <f>IF($U918=1,SUMPRODUCT(--($X$2:$X$3001&lt;$X918))+1,"")</f>
        <v/>
      </c>
      <c r="W918">
        <f>IF($A918="","",IF(OR($T918=TRUE(),$T918="TRUE"),1,0))</f>
        <v/>
      </c>
      <c r="X918">
        <f>IF($U918=1,IFERROR(IF(VALUE($A918)&lt;100000000,VALUE($A918),1000000000),IFERROR(IF(VALUE(MID($A918,2,20))&lt;100000000,VALUE(MID($A918,2,20)),1000000000),1000000000))+ROW()/100000,"")</f>
        <v/>
      </c>
    </row>
    <row r="919">
      <c r="F919" s="7">
        <f>IF($A919="","",E919*N919/100)</f>
        <v/>
      </c>
      <c r="J919" s="7" t="n"/>
      <c r="K919" s="7">
        <f>IF($A919="","",S919*N919)</f>
        <v/>
      </c>
      <c r="L919" s="7">
        <f>IF($A919="","",N919-K919)</f>
        <v/>
      </c>
      <c r="M919" s="7">
        <f>IF($A919="","",L919-F919)</f>
        <v/>
      </c>
      <c r="N919" s="7" t="n"/>
      <c r="Q919" s="11" t="n"/>
      <c r="S919">
        <f>IF($A919="","",IF($W919=1,Settings!$C$6,Settings!$C$7)*1)</f>
        <v/>
      </c>
      <c r="U919">
        <f>IF($A919="","",IF(COUNTIF($A$2:$A919,$A919)=1,1,0))</f>
        <v/>
      </c>
      <c r="V919">
        <f>IF($U919=1,SUMPRODUCT(--($X$2:$X$3001&lt;$X919))+1,"")</f>
        <v/>
      </c>
      <c r="W919">
        <f>IF($A919="","",IF(OR($T919=TRUE(),$T919="TRUE"),1,0))</f>
        <v/>
      </c>
      <c r="X919">
        <f>IF($U919=1,IFERROR(IF(VALUE($A919)&lt;100000000,VALUE($A919),1000000000),IFERROR(IF(VALUE(MID($A919,2,20))&lt;100000000,VALUE(MID($A919,2,20)),1000000000),1000000000))+ROW()/100000,"")</f>
        <v/>
      </c>
    </row>
    <row r="920">
      <c r="F920" s="7">
        <f>IF($A920="","",E920*N920/100)</f>
        <v/>
      </c>
      <c r="J920" s="7" t="n"/>
      <c r="K920" s="7">
        <f>IF($A920="","",S920*N920)</f>
        <v/>
      </c>
      <c r="L920" s="7">
        <f>IF($A920="","",N920-K920)</f>
        <v/>
      </c>
      <c r="M920" s="7">
        <f>IF($A920="","",L920-F920)</f>
        <v/>
      </c>
      <c r="N920" s="7" t="n"/>
      <c r="Q920" s="11" t="n"/>
      <c r="S920">
        <f>IF($A920="","",IF($W920=1,Settings!$C$6,Settings!$C$7)*1)</f>
        <v/>
      </c>
      <c r="U920">
        <f>IF($A920="","",IF(COUNTIF($A$2:$A920,$A920)=1,1,0))</f>
        <v/>
      </c>
      <c r="V920">
        <f>IF($U920=1,SUMPRODUCT(--($X$2:$X$3001&lt;$X920))+1,"")</f>
        <v/>
      </c>
      <c r="W920">
        <f>IF($A920="","",IF(OR($T920=TRUE(),$T920="TRUE"),1,0))</f>
        <v/>
      </c>
      <c r="X920">
        <f>IF($U920=1,IFERROR(IF(VALUE($A920)&lt;100000000,VALUE($A920),1000000000),IFERROR(IF(VALUE(MID($A920,2,20))&lt;100000000,VALUE(MID($A920,2,20)),1000000000),1000000000))+ROW()/100000,"")</f>
        <v/>
      </c>
    </row>
    <row r="921">
      <c r="F921" s="7">
        <f>IF($A921="","",E921*N921/100)</f>
        <v/>
      </c>
      <c r="J921" s="7" t="n"/>
      <c r="K921" s="7">
        <f>IF($A921="","",S921*N921)</f>
        <v/>
      </c>
      <c r="L921" s="7">
        <f>IF($A921="","",N921-K921)</f>
        <v/>
      </c>
      <c r="M921" s="7">
        <f>IF($A921="","",L921-F921)</f>
        <v/>
      </c>
      <c r="N921" s="7" t="n"/>
      <c r="Q921" s="11" t="n"/>
      <c r="S921">
        <f>IF($A921="","",IF($W921=1,Settings!$C$6,Settings!$C$7)*1)</f>
        <v/>
      </c>
      <c r="U921">
        <f>IF($A921="","",IF(COUNTIF($A$2:$A921,$A921)=1,1,0))</f>
        <v/>
      </c>
      <c r="V921">
        <f>IF($U921=1,SUMPRODUCT(--($X$2:$X$3001&lt;$X921))+1,"")</f>
        <v/>
      </c>
      <c r="W921">
        <f>IF($A921="","",IF(OR($T921=TRUE(),$T921="TRUE"),1,0))</f>
        <v/>
      </c>
      <c r="X921">
        <f>IF($U921=1,IFERROR(IF(VALUE($A921)&lt;100000000,VALUE($A921),1000000000),IFERROR(IF(VALUE(MID($A921,2,20))&lt;100000000,VALUE(MID($A921,2,20)),1000000000),1000000000))+ROW()/100000,"")</f>
        <v/>
      </c>
    </row>
    <row r="922">
      <c r="F922" s="7">
        <f>IF($A922="","",E922*N922/100)</f>
        <v/>
      </c>
      <c r="J922" s="7" t="n"/>
      <c r="K922" s="7">
        <f>IF($A922="","",S922*N922)</f>
        <v/>
      </c>
      <c r="L922" s="7">
        <f>IF($A922="","",N922-K922)</f>
        <v/>
      </c>
      <c r="M922" s="7">
        <f>IF($A922="","",L922-F922)</f>
        <v/>
      </c>
      <c r="N922" s="7" t="n"/>
      <c r="Q922" s="11" t="n"/>
      <c r="S922">
        <f>IF($A922="","",IF($W922=1,Settings!$C$6,Settings!$C$7)*1)</f>
        <v/>
      </c>
      <c r="U922">
        <f>IF($A922="","",IF(COUNTIF($A$2:$A922,$A922)=1,1,0))</f>
        <v/>
      </c>
      <c r="V922">
        <f>IF($U922=1,SUMPRODUCT(--($X$2:$X$3001&lt;$X922))+1,"")</f>
        <v/>
      </c>
      <c r="W922">
        <f>IF($A922="","",IF(OR($T922=TRUE(),$T922="TRUE"),1,0))</f>
        <v/>
      </c>
      <c r="X922">
        <f>IF($U922=1,IFERROR(IF(VALUE($A922)&lt;100000000,VALUE($A922),1000000000),IFERROR(IF(VALUE(MID($A922,2,20))&lt;100000000,VALUE(MID($A922,2,20)),1000000000),1000000000))+ROW()/100000,"")</f>
        <v/>
      </c>
    </row>
    <row r="923">
      <c r="F923" s="7">
        <f>IF($A923="","",E923*N923/100)</f>
        <v/>
      </c>
      <c r="J923" s="7" t="n"/>
      <c r="K923" s="7">
        <f>IF($A923="","",S923*N923)</f>
        <v/>
      </c>
      <c r="L923" s="7">
        <f>IF($A923="","",N923-K923)</f>
        <v/>
      </c>
      <c r="M923" s="7">
        <f>IF($A923="","",L923-F923)</f>
        <v/>
      </c>
      <c r="N923" s="7" t="n"/>
      <c r="Q923" s="11" t="n"/>
      <c r="S923">
        <f>IF($A923="","",IF($W923=1,Settings!$C$6,Settings!$C$7)*1)</f>
        <v/>
      </c>
      <c r="U923">
        <f>IF($A923="","",IF(COUNTIF($A$2:$A923,$A923)=1,1,0))</f>
        <v/>
      </c>
      <c r="V923">
        <f>IF($U923=1,SUMPRODUCT(--($X$2:$X$3001&lt;$X923))+1,"")</f>
        <v/>
      </c>
      <c r="W923">
        <f>IF($A923="","",IF(OR($T923=TRUE(),$T923="TRUE"),1,0))</f>
        <v/>
      </c>
      <c r="X923">
        <f>IF($U923=1,IFERROR(IF(VALUE($A923)&lt;100000000,VALUE($A923),1000000000),IFERROR(IF(VALUE(MID($A923,2,20))&lt;100000000,VALUE(MID($A923,2,20)),1000000000),1000000000))+ROW()/100000,"")</f>
        <v/>
      </c>
    </row>
    <row r="924">
      <c r="F924" s="7">
        <f>IF($A924="","",E924*N924/100)</f>
        <v/>
      </c>
      <c r="J924" s="7" t="n"/>
      <c r="K924" s="7">
        <f>IF($A924="","",S924*N924)</f>
        <v/>
      </c>
      <c r="L924" s="7">
        <f>IF($A924="","",N924-K924)</f>
        <v/>
      </c>
      <c r="M924" s="7">
        <f>IF($A924="","",L924-F924)</f>
        <v/>
      </c>
      <c r="N924" s="7" t="n"/>
      <c r="Q924" s="11" t="n"/>
      <c r="S924">
        <f>IF($A924="","",IF($W924=1,Settings!$C$6,Settings!$C$7)*1)</f>
        <v/>
      </c>
      <c r="U924">
        <f>IF($A924="","",IF(COUNTIF($A$2:$A924,$A924)=1,1,0))</f>
        <v/>
      </c>
      <c r="V924">
        <f>IF($U924=1,SUMPRODUCT(--($X$2:$X$3001&lt;$X924))+1,"")</f>
        <v/>
      </c>
      <c r="W924">
        <f>IF($A924="","",IF(OR($T924=TRUE(),$T924="TRUE"),1,0))</f>
        <v/>
      </c>
      <c r="X924">
        <f>IF($U924=1,IFERROR(IF(VALUE($A924)&lt;100000000,VALUE($A924),1000000000),IFERROR(IF(VALUE(MID($A924,2,20))&lt;100000000,VALUE(MID($A924,2,20)),1000000000),1000000000))+ROW()/100000,"")</f>
        <v/>
      </c>
    </row>
    <row r="925">
      <c r="F925" s="7">
        <f>IF($A925="","",E925*N925/100)</f>
        <v/>
      </c>
      <c r="J925" s="7" t="n"/>
      <c r="K925" s="7">
        <f>IF($A925="","",S925*N925)</f>
        <v/>
      </c>
      <c r="L925" s="7">
        <f>IF($A925="","",N925-K925)</f>
        <v/>
      </c>
      <c r="M925" s="7">
        <f>IF($A925="","",L925-F925)</f>
        <v/>
      </c>
      <c r="N925" s="7" t="n"/>
      <c r="Q925" s="11" t="n"/>
      <c r="S925">
        <f>IF($A925="","",IF($W925=1,Settings!$C$6,Settings!$C$7)*1)</f>
        <v/>
      </c>
      <c r="U925">
        <f>IF($A925="","",IF(COUNTIF($A$2:$A925,$A925)=1,1,0))</f>
        <v/>
      </c>
      <c r="V925">
        <f>IF($U925=1,SUMPRODUCT(--($X$2:$X$3001&lt;$X925))+1,"")</f>
        <v/>
      </c>
      <c r="W925">
        <f>IF($A925="","",IF(OR($T925=TRUE(),$T925="TRUE"),1,0))</f>
        <v/>
      </c>
      <c r="X925">
        <f>IF($U925=1,IFERROR(IF(VALUE($A925)&lt;100000000,VALUE($A925),1000000000),IFERROR(IF(VALUE(MID($A925,2,20))&lt;100000000,VALUE(MID($A925,2,20)),1000000000),1000000000))+ROW()/100000,"")</f>
        <v/>
      </c>
    </row>
    <row r="926">
      <c r="F926" s="7">
        <f>IF($A926="","",E926*N926/100)</f>
        <v/>
      </c>
      <c r="J926" s="7" t="n"/>
      <c r="K926" s="7">
        <f>IF($A926="","",S926*N926)</f>
        <v/>
      </c>
      <c r="L926" s="7">
        <f>IF($A926="","",N926-K926)</f>
        <v/>
      </c>
      <c r="M926" s="7">
        <f>IF($A926="","",L926-F926)</f>
        <v/>
      </c>
      <c r="N926" s="7" t="n"/>
      <c r="Q926" s="11" t="n"/>
      <c r="S926">
        <f>IF($A926="","",IF($W926=1,Settings!$C$6,Settings!$C$7)*1)</f>
        <v/>
      </c>
      <c r="U926">
        <f>IF($A926="","",IF(COUNTIF($A$2:$A926,$A926)=1,1,0))</f>
        <v/>
      </c>
      <c r="V926">
        <f>IF($U926=1,SUMPRODUCT(--($X$2:$X$3001&lt;$X926))+1,"")</f>
        <v/>
      </c>
      <c r="W926">
        <f>IF($A926="","",IF(OR($T926=TRUE(),$T926="TRUE"),1,0))</f>
        <v/>
      </c>
      <c r="X926">
        <f>IF($U926=1,IFERROR(IF(VALUE($A926)&lt;100000000,VALUE($A926),1000000000),IFERROR(IF(VALUE(MID($A926,2,20))&lt;100000000,VALUE(MID($A926,2,20)),1000000000),1000000000))+ROW()/100000,"")</f>
        <v/>
      </c>
    </row>
    <row r="927">
      <c r="F927" s="7">
        <f>IF($A927="","",E927*N927/100)</f>
        <v/>
      </c>
      <c r="J927" s="7" t="n"/>
      <c r="K927" s="7">
        <f>IF($A927="","",S927*N927)</f>
        <v/>
      </c>
      <c r="L927" s="7">
        <f>IF($A927="","",N927-K927)</f>
        <v/>
      </c>
      <c r="M927" s="7">
        <f>IF($A927="","",L927-F927)</f>
        <v/>
      </c>
      <c r="N927" s="7" t="n"/>
      <c r="Q927" s="11" t="n"/>
      <c r="S927">
        <f>IF($A927="","",IF($W927=1,Settings!$C$6,Settings!$C$7)*1)</f>
        <v/>
      </c>
      <c r="U927">
        <f>IF($A927="","",IF(COUNTIF($A$2:$A927,$A927)=1,1,0))</f>
        <v/>
      </c>
      <c r="V927">
        <f>IF($U927=1,SUMPRODUCT(--($X$2:$X$3001&lt;$X927))+1,"")</f>
        <v/>
      </c>
      <c r="W927">
        <f>IF($A927="","",IF(OR($T927=TRUE(),$T927="TRUE"),1,0))</f>
        <v/>
      </c>
      <c r="X927">
        <f>IF($U927=1,IFERROR(IF(VALUE($A927)&lt;100000000,VALUE($A927),1000000000),IFERROR(IF(VALUE(MID($A927,2,20))&lt;100000000,VALUE(MID($A927,2,20)),1000000000),1000000000))+ROW()/100000,"")</f>
        <v/>
      </c>
    </row>
    <row r="928">
      <c r="F928" s="7">
        <f>IF($A928="","",E928*N928/100)</f>
        <v/>
      </c>
      <c r="J928" s="7" t="n"/>
      <c r="K928" s="7">
        <f>IF($A928="","",S928*N928)</f>
        <v/>
      </c>
      <c r="L928" s="7">
        <f>IF($A928="","",N928-K928)</f>
        <v/>
      </c>
      <c r="M928" s="7">
        <f>IF($A928="","",L928-F928)</f>
        <v/>
      </c>
      <c r="N928" s="7" t="n"/>
      <c r="Q928" s="11" t="n"/>
      <c r="S928">
        <f>IF($A928="","",IF($W928=1,Settings!$C$6,Settings!$C$7)*1)</f>
        <v/>
      </c>
      <c r="U928">
        <f>IF($A928="","",IF(COUNTIF($A$2:$A928,$A928)=1,1,0))</f>
        <v/>
      </c>
      <c r="V928">
        <f>IF($U928=1,SUMPRODUCT(--($X$2:$X$3001&lt;$X928))+1,"")</f>
        <v/>
      </c>
      <c r="W928">
        <f>IF($A928="","",IF(OR($T928=TRUE(),$T928="TRUE"),1,0))</f>
        <v/>
      </c>
      <c r="X928">
        <f>IF($U928=1,IFERROR(IF(VALUE($A928)&lt;100000000,VALUE($A928),1000000000),IFERROR(IF(VALUE(MID($A928,2,20))&lt;100000000,VALUE(MID($A928,2,20)),1000000000),1000000000))+ROW()/100000,"")</f>
        <v/>
      </c>
    </row>
    <row r="929">
      <c r="F929" s="7">
        <f>IF($A929="","",E929*N929/100)</f>
        <v/>
      </c>
      <c r="J929" s="7" t="n"/>
      <c r="K929" s="7">
        <f>IF($A929="","",S929*N929)</f>
        <v/>
      </c>
      <c r="L929" s="7">
        <f>IF($A929="","",N929-K929)</f>
        <v/>
      </c>
      <c r="M929" s="7">
        <f>IF($A929="","",L929-F929)</f>
        <v/>
      </c>
      <c r="N929" s="7" t="n"/>
      <c r="Q929" s="11" t="n"/>
      <c r="S929">
        <f>IF($A929="","",IF($W929=1,Settings!$C$6,Settings!$C$7)*1)</f>
        <v/>
      </c>
      <c r="U929">
        <f>IF($A929="","",IF(COUNTIF($A$2:$A929,$A929)=1,1,0))</f>
        <v/>
      </c>
      <c r="V929">
        <f>IF($U929=1,SUMPRODUCT(--($X$2:$X$3001&lt;$X929))+1,"")</f>
        <v/>
      </c>
      <c r="W929">
        <f>IF($A929="","",IF(OR($T929=TRUE(),$T929="TRUE"),1,0))</f>
        <v/>
      </c>
      <c r="X929">
        <f>IF($U929=1,IFERROR(IF(VALUE($A929)&lt;100000000,VALUE($A929),1000000000),IFERROR(IF(VALUE(MID($A929,2,20))&lt;100000000,VALUE(MID($A929,2,20)),1000000000),1000000000))+ROW()/100000,"")</f>
        <v/>
      </c>
    </row>
    <row r="930">
      <c r="F930" s="7">
        <f>IF($A930="","",E930*N930/100)</f>
        <v/>
      </c>
      <c r="J930" s="7" t="n"/>
      <c r="K930" s="7">
        <f>IF($A930="","",S930*N930)</f>
        <v/>
      </c>
      <c r="L930" s="7">
        <f>IF($A930="","",N930-K930)</f>
        <v/>
      </c>
      <c r="M930" s="7">
        <f>IF($A930="","",L930-F930)</f>
        <v/>
      </c>
      <c r="N930" s="7" t="n"/>
      <c r="Q930" s="11" t="n"/>
      <c r="S930">
        <f>IF($A930="","",IF($W930=1,Settings!$C$6,Settings!$C$7)*1)</f>
        <v/>
      </c>
      <c r="U930">
        <f>IF($A930="","",IF(COUNTIF($A$2:$A930,$A930)=1,1,0))</f>
        <v/>
      </c>
      <c r="V930">
        <f>IF($U930=1,SUMPRODUCT(--($X$2:$X$3001&lt;$X930))+1,"")</f>
        <v/>
      </c>
      <c r="W930">
        <f>IF($A930="","",IF(OR($T930=TRUE(),$T930="TRUE"),1,0))</f>
        <v/>
      </c>
      <c r="X930">
        <f>IF($U930=1,IFERROR(IF(VALUE($A930)&lt;100000000,VALUE($A930),1000000000),IFERROR(IF(VALUE(MID($A930,2,20))&lt;100000000,VALUE(MID($A930,2,20)),1000000000),1000000000))+ROW()/100000,"")</f>
        <v/>
      </c>
    </row>
    <row r="931">
      <c r="F931" s="7">
        <f>IF($A931="","",E931*N931/100)</f>
        <v/>
      </c>
      <c r="J931" s="7" t="n"/>
      <c r="K931" s="7">
        <f>IF($A931="","",S931*N931)</f>
        <v/>
      </c>
      <c r="L931" s="7">
        <f>IF($A931="","",N931-K931)</f>
        <v/>
      </c>
      <c r="M931" s="7">
        <f>IF($A931="","",L931-F931)</f>
        <v/>
      </c>
      <c r="N931" s="7" t="n"/>
      <c r="Q931" s="11" t="n"/>
      <c r="S931">
        <f>IF($A931="","",IF($W931=1,Settings!$C$6,Settings!$C$7)*1)</f>
        <v/>
      </c>
      <c r="U931">
        <f>IF($A931="","",IF(COUNTIF($A$2:$A931,$A931)=1,1,0))</f>
        <v/>
      </c>
      <c r="V931">
        <f>IF($U931=1,SUMPRODUCT(--($X$2:$X$3001&lt;$X931))+1,"")</f>
        <v/>
      </c>
      <c r="W931">
        <f>IF($A931="","",IF(OR($T931=TRUE(),$T931="TRUE"),1,0))</f>
        <v/>
      </c>
      <c r="X931">
        <f>IF($U931=1,IFERROR(IF(VALUE($A931)&lt;100000000,VALUE($A931),1000000000),IFERROR(IF(VALUE(MID($A931,2,20))&lt;100000000,VALUE(MID($A931,2,20)),1000000000),1000000000))+ROW()/100000,"")</f>
        <v/>
      </c>
    </row>
    <row r="932">
      <c r="F932" s="7">
        <f>IF($A932="","",E932*N932/100)</f>
        <v/>
      </c>
      <c r="J932" s="7" t="n"/>
      <c r="K932" s="7">
        <f>IF($A932="","",S932*N932)</f>
        <v/>
      </c>
      <c r="L932" s="7">
        <f>IF($A932="","",N932-K932)</f>
        <v/>
      </c>
      <c r="M932" s="7">
        <f>IF($A932="","",L932-F932)</f>
        <v/>
      </c>
      <c r="N932" s="7" t="n"/>
      <c r="Q932" s="11" t="n"/>
      <c r="S932">
        <f>IF($A932="","",IF($W932=1,Settings!$C$6,Settings!$C$7)*1)</f>
        <v/>
      </c>
      <c r="U932">
        <f>IF($A932="","",IF(COUNTIF($A$2:$A932,$A932)=1,1,0))</f>
        <v/>
      </c>
      <c r="V932">
        <f>IF($U932=1,SUMPRODUCT(--($X$2:$X$3001&lt;$X932))+1,"")</f>
        <v/>
      </c>
      <c r="W932">
        <f>IF($A932="","",IF(OR($T932=TRUE(),$T932="TRUE"),1,0))</f>
        <v/>
      </c>
      <c r="X932">
        <f>IF($U932=1,IFERROR(IF(VALUE($A932)&lt;100000000,VALUE($A932),1000000000),IFERROR(IF(VALUE(MID($A932,2,20))&lt;100000000,VALUE(MID($A932,2,20)),1000000000),1000000000))+ROW()/100000,"")</f>
        <v/>
      </c>
    </row>
    <row r="933">
      <c r="F933" s="7">
        <f>IF($A933="","",E933*N933/100)</f>
        <v/>
      </c>
      <c r="J933" s="7" t="n"/>
      <c r="K933" s="7">
        <f>IF($A933="","",S933*N933)</f>
        <v/>
      </c>
      <c r="L933" s="7">
        <f>IF($A933="","",N933-K933)</f>
        <v/>
      </c>
      <c r="M933" s="7">
        <f>IF($A933="","",L933-F933)</f>
        <v/>
      </c>
      <c r="N933" s="7" t="n"/>
      <c r="Q933" s="11" t="n"/>
      <c r="S933">
        <f>IF($A933="","",IF($W933=1,Settings!$C$6,Settings!$C$7)*1)</f>
        <v/>
      </c>
      <c r="U933">
        <f>IF($A933="","",IF(COUNTIF($A$2:$A933,$A933)=1,1,0))</f>
        <v/>
      </c>
      <c r="V933">
        <f>IF($U933=1,SUMPRODUCT(--($X$2:$X$3001&lt;$X933))+1,"")</f>
        <v/>
      </c>
      <c r="W933">
        <f>IF($A933="","",IF(OR($T933=TRUE(),$T933="TRUE"),1,0))</f>
        <v/>
      </c>
      <c r="X933">
        <f>IF($U933=1,IFERROR(IF(VALUE($A933)&lt;100000000,VALUE($A933),1000000000),IFERROR(IF(VALUE(MID($A933,2,20))&lt;100000000,VALUE(MID($A933,2,20)),1000000000),1000000000))+ROW()/100000,"")</f>
        <v/>
      </c>
    </row>
    <row r="934">
      <c r="F934" s="7">
        <f>IF($A934="","",E934*N934/100)</f>
        <v/>
      </c>
      <c r="J934" s="7" t="n"/>
      <c r="K934" s="7">
        <f>IF($A934="","",S934*N934)</f>
        <v/>
      </c>
      <c r="L934" s="7">
        <f>IF($A934="","",N934-K934)</f>
        <v/>
      </c>
      <c r="M934" s="7">
        <f>IF($A934="","",L934-F934)</f>
        <v/>
      </c>
      <c r="N934" s="7" t="n"/>
      <c r="Q934" s="11" t="n"/>
      <c r="S934">
        <f>IF($A934="","",IF($W934=1,Settings!$C$6,Settings!$C$7)*1)</f>
        <v/>
      </c>
      <c r="U934">
        <f>IF($A934="","",IF(COUNTIF($A$2:$A934,$A934)=1,1,0))</f>
        <v/>
      </c>
      <c r="V934">
        <f>IF($U934=1,SUMPRODUCT(--($X$2:$X$3001&lt;$X934))+1,"")</f>
        <v/>
      </c>
      <c r="W934">
        <f>IF($A934="","",IF(OR($T934=TRUE(),$T934="TRUE"),1,0))</f>
        <v/>
      </c>
      <c r="X934">
        <f>IF($U934=1,IFERROR(IF(VALUE($A934)&lt;100000000,VALUE($A934),1000000000),IFERROR(IF(VALUE(MID($A934,2,20))&lt;100000000,VALUE(MID($A934,2,20)),1000000000),1000000000))+ROW()/100000,"")</f>
        <v/>
      </c>
    </row>
    <row r="935">
      <c r="F935" s="7">
        <f>IF($A935="","",E935*N935/100)</f>
        <v/>
      </c>
      <c r="J935" s="7" t="n"/>
      <c r="K935" s="7">
        <f>IF($A935="","",S935*N935)</f>
        <v/>
      </c>
      <c r="L935" s="7">
        <f>IF($A935="","",N935-K935)</f>
        <v/>
      </c>
      <c r="M935" s="7">
        <f>IF($A935="","",L935-F935)</f>
        <v/>
      </c>
      <c r="N935" s="7" t="n"/>
      <c r="Q935" s="11" t="n"/>
      <c r="S935">
        <f>IF($A935="","",IF($W935=1,Settings!$C$6,Settings!$C$7)*1)</f>
        <v/>
      </c>
      <c r="U935">
        <f>IF($A935="","",IF(COUNTIF($A$2:$A935,$A935)=1,1,0))</f>
        <v/>
      </c>
      <c r="V935">
        <f>IF($U935=1,SUMPRODUCT(--($X$2:$X$3001&lt;$X935))+1,"")</f>
        <v/>
      </c>
      <c r="W935">
        <f>IF($A935="","",IF(OR($T935=TRUE(),$T935="TRUE"),1,0))</f>
        <v/>
      </c>
      <c r="X935">
        <f>IF($U935=1,IFERROR(IF(VALUE($A935)&lt;100000000,VALUE($A935),1000000000),IFERROR(IF(VALUE(MID($A935,2,20))&lt;100000000,VALUE(MID($A935,2,20)),1000000000),1000000000))+ROW()/100000,"")</f>
        <v/>
      </c>
    </row>
    <row r="936">
      <c r="F936" s="7">
        <f>IF($A936="","",E936*N936/100)</f>
        <v/>
      </c>
      <c r="J936" s="7" t="n"/>
      <c r="K936" s="7">
        <f>IF($A936="","",S936*N936)</f>
        <v/>
      </c>
      <c r="L936" s="7">
        <f>IF($A936="","",N936-K936)</f>
        <v/>
      </c>
      <c r="M936" s="7">
        <f>IF($A936="","",L936-F936)</f>
        <v/>
      </c>
      <c r="N936" s="7" t="n"/>
      <c r="Q936" s="11" t="n"/>
      <c r="S936">
        <f>IF($A936="","",IF($W936=1,Settings!$C$6,Settings!$C$7)*1)</f>
        <v/>
      </c>
      <c r="U936">
        <f>IF($A936="","",IF(COUNTIF($A$2:$A936,$A936)=1,1,0))</f>
        <v/>
      </c>
      <c r="V936">
        <f>IF($U936=1,SUMPRODUCT(--($X$2:$X$3001&lt;$X936))+1,"")</f>
        <v/>
      </c>
      <c r="W936">
        <f>IF($A936="","",IF(OR($T936=TRUE(),$T936="TRUE"),1,0))</f>
        <v/>
      </c>
      <c r="X936">
        <f>IF($U936=1,IFERROR(IF(VALUE($A936)&lt;100000000,VALUE($A936),1000000000),IFERROR(IF(VALUE(MID($A936,2,20))&lt;100000000,VALUE(MID($A936,2,20)),1000000000),1000000000))+ROW()/100000,"")</f>
        <v/>
      </c>
    </row>
    <row r="937">
      <c r="F937" s="7">
        <f>IF($A937="","",E937*N937/100)</f>
        <v/>
      </c>
      <c r="J937" s="7" t="n"/>
      <c r="K937" s="7">
        <f>IF($A937="","",S937*N937)</f>
        <v/>
      </c>
      <c r="L937" s="7">
        <f>IF($A937="","",N937-K937)</f>
        <v/>
      </c>
      <c r="M937" s="7">
        <f>IF($A937="","",L937-F937)</f>
        <v/>
      </c>
      <c r="N937" s="7" t="n"/>
      <c r="Q937" s="11" t="n"/>
      <c r="S937">
        <f>IF($A937="","",IF($W937=1,Settings!$C$6,Settings!$C$7)*1)</f>
        <v/>
      </c>
      <c r="U937">
        <f>IF($A937="","",IF(COUNTIF($A$2:$A937,$A937)=1,1,0))</f>
        <v/>
      </c>
      <c r="V937">
        <f>IF($U937=1,SUMPRODUCT(--($X$2:$X$3001&lt;$X937))+1,"")</f>
        <v/>
      </c>
      <c r="W937">
        <f>IF($A937="","",IF(OR($T937=TRUE(),$T937="TRUE"),1,0))</f>
        <v/>
      </c>
      <c r="X937">
        <f>IF($U937=1,IFERROR(IF(VALUE($A937)&lt;100000000,VALUE($A937),1000000000),IFERROR(IF(VALUE(MID($A937,2,20))&lt;100000000,VALUE(MID($A937,2,20)),1000000000),1000000000))+ROW()/100000,"")</f>
        <v/>
      </c>
    </row>
    <row r="938">
      <c r="F938" s="7">
        <f>IF($A938="","",E938*N938/100)</f>
        <v/>
      </c>
      <c r="J938" s="7" t="n"/>
      <c r="K938" s="7">
        <f>IF($A938="","",S938*N938)</f>
        <v/>
      </c>
      <c r="L938" s="7">
        <f>IF($A938="","",N938-K938)</f>
        <v/>
      </c>
      <c r="M938" s="7">
        <f>IF($A938="","",L938-F938)</f>
        <v/>
      </c>
      <c r="N938" s="7" t="n"/>
      <c r="Q938" s="11" t="n"/>
      <c r="S938">
        <f>IF($A938="","",IF($W938=1,Settings!$C$6,Settings!$C$7)*1)</f>
        <v/>
      </c>
      <c r="U938">
        <f>IF($A938="","",IF(COUNTIF($A$2:$A938,$A938)=1,1,0))</f>
        <v/>
      </c>
      <c r="V938">
        <f>IF($U938=1,SUMPRODUCT(--($X$2:$X$3001&lt;$X938))+1,"")</f>
        <v/>
      </c>
      <c r="W938">
        <f>IF($A938="","",IF(OR($T938=TRUE(),$T938="TRUE"),1,0))</f>
        <v/>
      </c>
      <c r="X938">
        <f>IF($U938=1,IFERROR(IF(VALUE($A938)&lt;100000000,VALUE($A938),1000000000),IFERROR(IF(VALUE(MID($A938,2,20))&lt;100000000,VALUE(MID($A938,2,20)),1000000000),1000000000))+ROW()/100000,"")</f>
        <v/>
      </c>
    </row>
    <row r="939">
      <c r="F939" s="7">
        <f>IF($A939="","",E939*N939/100)</f>
        <v/>
      </c>
      <c r="J939" s="7" t="n"/>
      <c r="K939" s="7">
        <f>IF($A939="","",S939*N939)</f>
        <v/>
      </c>
      <c r="L939" s="7">
        <f>IF($A939="","",N939-K939)</f>
        <v/>
      </c>
      <c r="M939" s="7">
        <f>IF($A939="","",L939-F939)</f>
        <v/>
      </c>
      <c r="N939" s="7" t="n"/>
      <c r="Q939" s="11" t="n"/>
      <c r="S939">
        <f>IF($A939="","",IF($W939=1,Settings!$C$6,Settings!$C$7)*1)</f>
        <v/>
      </c>
      <c r="U939">
        <f>IF($A939="","",IF(COUNTIF($A$2:$A939,$A939)=1,1,0))</f>
        <v/>
      </c>
      <c r="V939">
        <f>IF($U939=1,SUMPRODUCT(--($X$2:$X$3001&lt;$X939))+1,"")</f>
        <v/>
      </c>
      <c r="W939">
        <f>IF($A939="","",IF(OR($T939=TRUE(),$T939="TRUE"),1,0))</f>
        <v/>
      </c>
      <c r="X939">
        <f>IF($U939=1,IFERROR(IF(VALUE($A939)&lt;100000000,VALUE($A939),1000000000),IFERROR(IF(VALUE(MID($A939,2,20))&lt;100000000,VALUE(MID($A939,2,20)),1000000000),1000000000))+ROW()/100000,"")</f>
        <v/>
      </c>
    </row>
    <row r="940">
      <c r="F940" s="7">
        <f>IF($A940="","",E940*N940/100)</f>
        <v/>
      </c>
      <c r="J940" s="7" t="n"/>
      <c r="K940" s="7">
        <f>IF($A940="","",S940*N940)</f>
        <v/>
      </c>
      <c r="L940" s="7">
        <f>IF($A940="","",N940-K940)</f>
        <v/>
      </c>
      <c r="M940" s="7">
        <f>IF($A940="","",L940-F940)</f>
        <v/>
      </c>
      <c r="N940" s="7" t="n"/>
      <c r="Q940" s="11" t="n"/>
      <c r="S940">
        <f>IF($A940="","",IF($W940=1,Settings!$C$6,Settings!$C$7)*1)</f>
        <v/>
      </c>
      <c r="U940">
        <f>IF($A940="","",IF(COUNTIF($A$2:$A940,$A940)=1,1,0))</f>
        <v/>
      </c>
      <c r="V940">
        <f>IF($U940=1,SUMPRODUCT(--($X$2:$X$3001&lt;$X940))+1,"")</f>
        <v/>
      </c>
      <c r="W940">
        <f>IF($A940="","",IF(OR($T940=TRUE(),$T940="TRUE"),1,0))</f>
        <v/>
      </c>
      <c r="X940">
        <f>IF($U940=1,IFERROR(IF(VALUE($A940)&lt;100000000,VALUE($A940),1000000000),IFERROR(IF(VALUE(MID($A940,2,20))&lt;100000000,VALUE(MID($A940,2,20)),1000000000),1000000000))+ROW()/100000,"")</f>
        <v/>
      </c>
    </row>
    <row r="941">
      <c r="F941" s="7">
        <f>IF($A941="","",E941*N941/100)</f>
        <v/>
      </c>
      <c r="J941" s="7" t="n"/>
      <c r="K941" s="7">
        <f>IF($A941="","",S941*N941)</f>
        <v/>
      </c>
      <c r="L941" s="7">
        <f>IF($A941="","",N941-K941)</f>
        <v/>
      </c>
      <c r="M941" s="7">
        <f>IF($A941="","",L941-F941)</f>
        <v/>
      </c>
      <c r="N941" s="7" t="n"/>
      <c r="Q941" s="11" t="n"/>
      <c r="S941">
        <f>IF($A941="","",IF($W941=1,Settings!$C$6,Settings!$C$7)*1)</f>
        <v/>
      </c>
      <c r="U941">
        <f>IF($A941="","",IF(COUNTIF($A$2:$A941,$A941)=1,1,0))</f>
        <v/>
      </c>
      <c r="V941">
        <f>IF($U941=1,SUMPRODUCT(--($X$2:$X$3001&lt;$X941))+1,"")</f>
        <v/>
      </c>
      <c r="W941">
        <f>IF($A941="","",IF(OR($T941=TRUE(),$T941="TRUE"),1,0))</f>
        <v/>
      </c>
      <c r="X941">
        <f>IF($U941=1,IFERROR(IF(VALUE($A941)&lt;100000000,VALUE($A941),1000000000),IFERROR(IF(VALUE(MID($A941,2,20))&lt;100000000,VALUE(MID($A941,2,20)),1000000000),1000000000))+ROW()/100000,"")</f>
        <v/>
      </c>
    </row>
    <row r="942">
      <c r="F942" s="7">
        <f>IF($A942="","",E942*N942/100)</f>
        <v/>
      </c>
      <c r="J942" s="7" t="n"/>
      <c r="K942" s="7">
        <f>IF($A942="","",S942*N942)</f>
        <v/>
      </c>
      <c r="L942" s="7">
        <f>IF($A942="","",N942-K942)</f>
        <v/>
      </c>
      <c r="M942" s="7">
        <f>IF($A942="","",L942-F942)</f>
        <v/>
      </c>
      <c r="N942" s="7" t="n"/>
      <c r="Q942" s="11" t="n"/>
      <c r="S942">
        <f>IF($A942="","",IF($W942=1,Settings!$C$6,Settings!$C$7)*1)</f>
        <v/>
      </c>
      <c r="U942">
        <f>IF($A942="","",IF(COUNTIF($A$2:$A942,$A942)=1,1,0))</f>
        <v/>
      </c>
      <c r="V942">
        <f>IF($U942=1,SUMPRODUCT(--($X$2:$X$3001&lt;$X942))+1,"")</f>
        <v/>
      </c>
      <c r="W942">
        <f>IF($A942="","",IF(OR($T942=TRUE(),$T942="TRUE"),1,0))</f>
        <v/>
      </c>
      <c r="X942">
        <f>IF($U942=1,IFERROR(IF(VALUE($A942)&lt;100000000,VALUE($A942),1000000000),IFERROR(IF(VALUE(MID($A942,2,20))&lt;100000000,VALUE(MID($A942,2,20)),1000000000),1000000000))+ROW()/100000,"")</f>
        <v/>
      </c>
    </row>
    <row r="943">
      <c r="F943" s="7">
        <f>IF($A943="","",E943*N943/100)</f>
        <v/>
      </c>
      <c r="J943" s="7" t="n"/>
      <c r="K943" s="7">
        <f>IF($A943="","",S943*N943)</f>
        <v/>
      </c>
      <c r="L943" s="7">
        <f>IF($A943="","",N943-K943)</f>
        <v/>
      </c>
      <c r="M943" s="7">
        <f>IF($A943="","",L943-F943)</f>
        <v/>
      </c>
      <c r="N943" s="7" t="n"/>
      <c r="Q943" s="11" t="n"/>
      <c r="S943">
        <f>IF($A943="","",IF($W943=1,Settings!$C$6,Settings!$C$7)*1)</f>
        <v/>
      </c>
      <c r="U943">
        <f>IF($A943="","",IF(COUNTIF($A$2:$A943,$A943)=1,1,0))</f>
        <v/>
      </c>
      <c r="V943">
        <f>IF($U943=1,SUMPRODUCT(--($X$2:$X$3001&lt;$X943))+1,"")</f>
        <v/>
      </c>
      <c r="W943">
        <f>IF($A943="","",IF(OR($T943=TRUE(),$T943="TRUE"),1,0))</f>
        <v/>
      </c>
      <c r="X943">
        <f>IF($U943=1,IFERROR(IF(VALUE($A943)&lt;100000000,VALUE($A943),1000000000),IFERROR(IF(VALUE(MID($A943,2,20))&lt;100000000,VALUE(MID($A943,2,20)),1000000000),1000000000))+ROW()/100000,"")</f>
        <v/>
      </c>
    </row>
    <row r="944">
      <c r="F944" s="7">
        <f>IF($A944="","",E944*N944/100)</f>
        <v/>
      </c>
      <c r="J944" s="7" t="n"/>
      <c r="K944" s="7">
        <f>IF($A944="","",S944*N944)</f>
        <v/>
      </c>
      <c r="L944" s="7">
        <f>IF($A944="","",N944-K944)</f>
        <v/>
      </c>
      <c r="M944" s="7">
        <f>IF($A944="","",L944-F944)</f>
        <v/>
      </c>
      <c r="N944" s="7" t="n"/>
      <c r="Q944" s="11" t="n"/>
      <c r="S944">
        <f>IF($A944="","",IF($W944=1,Settings!$C$6,Settings!$C$7)*1)</f>
        <v/>
      </c>
      <c r="U944">
        <f>IF($A944="","",IF(COUNTIF($A$2:$A944,$A944)=1,1,0))</f>
        <v/>
      </c>
      <c r="V944">
        <f>IF($U944=1,SUMPRODUCT(--($X$2:$X$3001&lt;$X944))+1,"")</f>
        <v/>
      </c>
      <c r="W944">
        <f>IF($A944="","",IF(OR($T944=TRUE(),$T944="TRUE"),1,0))</f>
        <v/>
      </c>
      <c r="X944">
        <f>IF($U944=1,IFERROR(IF(VALUE($A944)&lt;100000000,VALUE($A944),1000000000),IFERROR(IF(VALUE(MID($A944,2,20))&lt;100000000,VALUE(MID($A944,2,20)),1000000000),1000000000))+ROW()/100000,"")</f>
        <v/>
      </c>
    </row>
    <row r="945">
      <c r="F945" s="7">
        <f>IF($A945="","",E945*N945/100)</f>
        <v/>
      </c>
      <c r="J945" s="7" t="n"/>
      <c r="K945" s="7">
        <f>IF($A945="","",S945*N945)</f>
        <v/>
      </c>
      <c r="L945" s="7">
        <f>IF($A945="","",N945-K945)</f>
        <v/>
      </c>
      <c r="M945" s="7">
        <f>IF($A945="","",L945-F945)</f>
        <v/>
      </c>
      <c r="N945" s="7" t="n"/>
      <c r="Q945" s="11" t="n"/>
      <c r="S945">
        <f>IF($A945="","",IF($W945=1,Settings!$C$6,Settings!$C$7)*1)</f>
        <v/>
      </c>
      <c r="U945">
        <f>IF($A945="","",IF(COUNTIF($A$2:$A945,$A945)=1,1,0))</f>
        <v/>
      </c>
      <c r="V945">
        <f>IF($U945=1,SUMPRODUCT(--($X$2:$X$3001&lt;$X945))+1,"")</f>
        <v/>
      </c>
      <c r="W945">
        <f>IF($A945="","",IF(OR($T945=TRUE(),$T945="TRUE"),1,0))</f>
        <v/>
      </c>
      <c r="X945">
        <f>IF($U945=1,IFERROR(IF(VALUE($A945)&lt;100000000,VALUE($A945),1000000000),IFERROR(IF(VALUE(MID($A945,2,20))&lt;100000000,VALUE(MID($A945,2,20)),1000000000),1000000000))+ROW()/100000,"")</f>
        <v/>
      </c>
    </row>
    <row r="946">
      <c r="F946" s="7">
        <f>IF($A946="","",E946*N946/100)</f>
        <v/>
      </c>
      <c r="J946" s="7" t="n"/>
      <c r="K946" s="7">
        <f>IF($A946="","",S946*N946)</f>
        <v/>
      </c>
      <c r="L946" s="7">
        <f>IF($A946="","",N946-K946)</f>
        <v/>
      </c>
      <c r="M946" s="7">
        <f>IF($A946="","",L946-F946)</f>
        <v/>
      </c>
      <c r="N946" s="7" t="n"/>
      <c r="Q946" s="11" t="n"/>
      <c r="S946">
        <f>IF($A946="","",IF($W946=1,Settings!$C$6,Settings!$C$7)*1)</f>
        <v/>
      </c>
      <c r="U946">
        <f>IF($A946="","",IF(COUNTIF($A$2:$A946,$A946)=1,1,0))</f>
        <v/>
      </c>
      <c r="V946">
        <f>IF($U946=1,SUMPRODUCT(--($X$2:$X$3001&lt;$X946))+1,"")</f>
        <v/>
      </c>
      <c r="W946">
        <f>IF($A946="","",IF(OR($T946=TRUE(),$T946="TRUE"),1,0))</f>
        <v/>
      </c>
      <c r="X946">
        <f>IF($U946=1,IFERROR(IF(VALUE($A946)&lt;100000000,VALUE($A946),1000000000),IFERROR(IF(VALUE(MID($A946,2,20))&lt;100000000,VALUE(MID($A946,2,20)),1000000000),1000000000))+ROW()/100000,"")</f>
        <v/>
      </c>
    </row>
    <row r="947">
      <c r="F947" s="7">
        <f>IF($A947="","",E947*N947/100)</f>
        <v/>
      </c>
      <c r="J947" s="7" t="n"/>
      <c r="K947" s="7">
        <f>IF($A947="","",S947*N947)</f>
        <v/>
      </c>
      <c r="L947" s="7">
        <f>IF($A947="","",N947-K947)</f>
        <v/>
      </c>
      <c r="M947" s="7">
        <f>IF($A947="","",L947-F947)</f>
        <v/>
      </c>
      <c r="N947" s="7" t="n"/>
      <c r="Q947" s="11" t="n"/>
      <c r="S947">
        <f>IF($A947="","",IF($W947=1,Settings!$C$6,Settings!$C$7)*1)</f>
        <v/>
      </c>
      <c r="U947">
        <f>IF($A947="","",IF(COUNTIF($A$2:$A947,$A947)=1,1,0))</f>
        <v/>
      </c>
      <c r="V947">
        <f>IF($U947=1,SUMPRODUCT(--($X$2:$X$3001&lt;$X947))+1,"")</f>
        <v/>
      </c>
      <c r="W947">
        <f>IF($A947="","",IF(OR($T947=TRUE(),$T947="TRUE"),1,0))</f>
        <v/>
      </c>
      <c r="X947">
        <f>IF($U947=1,IFERROR(IF(VALUE($A947)&lt;100000000,VALUE($A947),1000000000),IFERROR(IF(VALUE(MID($A947,2,20))&lt;100000000,VALUE(MID($A947,2,20)),1000000000),1000000000))+ROW()/100000,"")</f>
        <v/>
      </c>
    </row>
    <row r="948">
      <c r="F948" s="7">
        <f>IF($A948="","",E948*N948/100)</f>
        <v/>
      </c>
      <c r="J948" s="7" t="n"/>
      <c r="K948" s="7">
        <f>IF($A948="","",S948*N948)</f>
        <v/>
      </c>
      <c r="L948" s="7">
        <f>IF($A948="","",N948-K948)</f>
        <v/>
      </c>
      <c r="M948" s="7">
        <f>IF($A948="","",L948-F948)</f>
        <v/>
      </c>
      <c r="N948" s="7" t="n"/>
      <c r="Q948" s="11" t="n"/>
      <c r="S948">
        <f>IF($A948="","",IF($W948=1,Settings!$C$6,Settings!$C$7)*1)</f>
        <v/>
      </c>
      <c r="U948">
        <f>IF($A948="","",IF(COUNTIF($A$2:$A948,$A948)=1,1,0))</f>
        <v/>
      </c>
      <c r="V948">
        <f>IF($U948=1,SUMPRODUCT(--($X$2:$X$3001&lt;$X948))+1,"")</f>
        <v/>
      </c>
      <c r="W948">
        <f>IF($A948="","",IF(OR($T948=TRUE(),$T948="TRUE"),1,0))</f>
        <v/>
      </c>
      <c r="X948">
        <f>IF($U948=1,IFERROR(IF(VALUE($A948)&lt;100000000,VALUE($A948),1000000000),IFERROR(IF(VALUE(MID($A948,2,20))&lt;100000000,VALUE(MID($A948,2,20)),1000000000),1000000000))+ROW()/100000,"")</f>
        <v/>
      </c>
    </row>
    <row r="949">
      <c r="F949" s="7">
        <f>IF($A949="","",E949*N949/100)</f>
        <v/>
      </c>
      <c r="J949" s="7" t="n"/>
      <c r="K949" s="7">
        <f>IF($A949="","",S949*N949)</f>
        <v/>
      </c>
      <c r="L949" s="7">
        <f>IF($A949="","",N949-K949)</f>
        <v/>
      </c>
      <c r="M949" s="7">
        <f>IF($A949="","",L949-F949)</f>
        <v/>
      </c>
      <c r="N949" s="7" t="n"/>
      <c r="Q949" s="11" t="n"/>
      <c r="S949">
        <f>IF($A949="","",IF($W949=1,Settings!$C$6,Settings!$C$7)*1)</f>
        <v/>
      </c>
      <c r="U949">
        <f>IF($A949="","",IF(COUNTIF($A$2:$A949,$A949)=1,1,0))</f>
        <v/>
      </c>
      <c r="V949">
        <f>IF($U949=1,SUMPRODUCT(--($X$2:$X$3001&lt;$X949))+1,"")</f>
        <v/>
      </c>
      <c r="W949">
        <f>IF($A949="","",IF(OR($T949=TRUE(),$T949="TRUE"),1,0))</f>
        <v/>
      </c>
      <c r="X949">
        <f>IF($U949=1,IFERROR(IF(VALUE($A949)&lt;100000000,VALUE($A949),1000000000),IFERROR(IF(VALUE(MID($A949,2,20))&lt;100000000,VALUE(MID($A949,2,20)),1000000000),1000000000))+ROW()/100000,"")</f>
        <v/>
      </c>
    </row>
    <row r="950">
      <c r="F950" s="7">
        <f>IF($A950="","",E950*N950/100)</f>
        <v/>
      </c>
      <c r="J950" s="7" t="n"/>
      <c r="K950" s="7">
        <f>IF($A950="","",S950*N950)</f>
        <v/>
      </c>
      <c r="L950" s="7">
        <f>IF($A950="","",N950-K950)</f>
        <v/>
      </c>
      <c r="M950" s="7">
        <f>IF($A950="","",L950-F950)</f>
        <v/>
      </c>
      <c r="N950" s="7" t="n"/>
      <c r="Q950" s="11" t="n"/>
      <c r="S950">
        <f>IF($A950="","",IF($W950=1,Settings!$C$6,Settings!$C$7)*1)</f>
        <v/>
      </c>
      <c r="U950">
        <f>IF($A950="","",IF(COUNTIF($A$2:$A950,$A950)=1,1,0))</f>
        <v/>
      </c>
      <c r="V950">
        <f>IF($U950=1,SUMPRODUCT(--($X$2:$X$3001&lt;$X950))+1,"")</f>
        <v/>
      </c>
      <c r="W950">
        <f>IF($A950="","",IF(OR($T950=TRUE(),$T950="TRUE"),1,0))</f>
        <v/>
      </c>
      <c r="X950">
        <f>IF($U950=1,IFERROR(IF(VALUE($A950)&lt;100000000,VALUE($A950),1000000000),IFERROR(IF(VALUE(MID($A950,2,20))&lt;100000000,VALUE(MID($A950,2,20)),1000000000),1000000000))+ROW()/100000,"")</f>
        <v/>
      </c>
    </row>
    <row r="951">
      <c r="F951" s="7">
        <f>IF($A951="","",E951*N951/100)</f>
        <v/>
      </c>
      <c r="J951" s="7" t="n"/>
      <c r="K951" s="7">
        <f>IF($A951="","",S951*N951)</f>
        <v/>
      </c>
      <c r="L951" s="7">
        <f>IF($A951="","",N951-K951)</f>
        <v/>
      </c>
      <c r="M951" s="7">
        <f>IF($A951="","",L951-F951)</f>
        <v/>
      </c>
      <c r="N951" s="7" t="n"/>
      <c r="Q951" s="11" t="n"/>
      <c r="S951">
        <f>IF($A951="","",IF($W951=1,Settings!$C$6,Settings!$C$7)*1)</f>
        <v/>
      </c>
      <c r="U951">
        <f>IF($A951="","",IF(COUNTIF($A$2:$A951,$A951)=1,1,0))</f>
        <v/>
      </c>
      <c r="V951">
        <f>IF($U951=1,SUMPRODUCT(--($X$2:$X$3001&lt;$X951))+1,"")</f>
        <v/>
      </c>
      <c r="W951">
        <f>IF($A951="","",IF(OR($T951=TRUE(),$T951="TRUE"),1,0))</f>
        <v/>
      </c>
      <c r="X951">
        <f>IF($U951=1,IFERROR(IF(VALUE($A951)&lt;100000000,VALUE($A951),1000000000),IFERROR(IF(VALUE(MID($A951,2,20))&lt;100000000,VALUE(MID($A951,2,20)),1000000000),1000000000))+ROW()/100000,"")</f>
        <v/>
      </c>
    </row>
    <row r="952">
      <c r="F952" s="7">
        <f>IF($A952="","",E952*N952/100)</f>
        <v/>
      </c>
      <c r="J952" s="7" t="n"/>
      <c r="K952" s="7">
        <f>IF($A952="","",S952*N952)</f>
        <v/>
      </c>
      <c r="L952" s="7">
        <f>IF($A952="","",N952-K952)</f>
        <v/>
      </c>
      <c r="M952" s="7">
        <f>IF($A952="","",L952-F952)</f>
        <v/>
      </c>
      <c r="N952" s="7" t="n"/>
      <c r="Q952" s="11" t="n"/>
      <c r="S952">
        <f>IF($A952="","",IF($W952=1,Settings!$C$6,Settings!$C$7)*1)</f>
        <v/>
      </c>
      <c r="U952">
        <f>IF($A952="","",IF(COUNTIF($A$2:$A952,$A952)=1,1,0))</f>
        <v/>
      </c>
      <c r="V952">
        <f>IF($U952=1,SUMPRODUCT(--($X$2:$X$3001&lt;$X952))+1,"")</f>
        <v/>
      </c>
      <c r="W952">
        <f>IF($A952="","",IF(OR($T952=TRUE(),$T952="TRUE"),1,0))</f>
        <v/>
      </c>
      <c r="X952">
        <f>IF($U952=1,IFERROR(IF(VALUE($A952)&lt;100000000,VALUE($A952),1000000000),IFERROR(IF(VALUE(MID($A952,2,20))&lt;100000000,VALUE(MID($A952,2,20)),1000000000),1000000000))+ROW()/100000,"")</f>
        <v/>
      </c>
    </row>
    <row r="953">
      <c r="F953" s="7">
        <f>IF($A953="","",E953*N953/100)</f>
        <v/>
      </c>
      <c r="J953" s="7" t="n"/>
      <c r="K953" s="7">
        <f>IF($A953="","",S953*N953)</f>
        <v/>
      </c>
      <c r="L953" s="7">
        <f>IF($A953="","",N953-K953)</f>
        <v/>
      </c>
      <c r="M953" s="7">
        <f>IF($A953="","",L953-F953)</f>
        <v/>
      </c>
      <c r="N953" s="7" t="n"/>
      <c r="Q953" s="11" t="n"/>
      <c r="S953">
        <f>IF($A953="","",IF($W953=1,Settings!$C$6,Settings!$C$7)*1)</f>
        <v/>
      </c>
      <c r="U953">
        <f>IF($A953="","",IF(COUNTIF($A$2:$A953,$A953)=1,1,0))</f>
        <v/>
      </c>
      <c r="V953">
        <f>IF($U953=1,SUMPRODUCT(--($X$2:$X$3001&lt;$X953))+1,"")</f>
        <v/>
      </c>
      <c r="W953">
        <f>IF($A953="","",IF(OR($T953=TRUE(),$T953="TRUE"),1,0))</f>
        <v/>
      </c>
      <c r="X953">
        <f>IF($U953=1,IFERROR(IF(VALUE($A953)&lt;100000000,VALUE($A953),1000000000),IFERROR(IF(VALUE(MID($A953,2,20))&lt;100000000,VALUE(MID($A953,2,20)),1000000000),1000000000))+ROW()/100000,"")</f>
        <v/>
      </c>
    </row>
    <row r="954">
      <c r="F954" s="7">
        <f>IF($A954="","",E954*N954/100)</f>
        <v/>
      </c>
      <c r="J954" s="7" t="n"/>
      <c r="K954" s="7">
        <f>IF($A954="","",S954*N954)</f>
        <v/>
      </c>
      <c r="L954" s="7">
        <f>IF($A954="","",N954-K954)</f>
        <v/>
      </c>
      <c r="M954" s="7">
        <f>IF($A954="","",L954-F954)</f>
        <v/>
      </c>
      <c r="N954" s="7" t="n"/>
      <c r="Q954" s="11" t="n"/>
      <c r="S954">
        <f>IF($A954="","",IF($W954=1,Settings!$C$6,Settings!$C$7)*1)</f>
        <v/>
      </c>
      <c r="U954">
        <f>IF($A954="","",IF(COUNTIF($A$2:$A954,$A954)=1,1,0))</f>
        <v/>
      </c>
      <c r="V954">
        <f>IF($U954=1,SUMPRODUCT(--($X$2:$X$3001&lt;$X954))+1,"")</f>
        <v/>
      </c>
      <c r="W954">
        <f>IF($A954="","",IF(OR($T954=TRUE(),$T954="TRUE"),1,0))</f>
        <v/>
      </c>
      <c r="X954">
        <f>IF($U954=1,IFERROR(IF(VALUE($A954)&lt;100000000,VALUE($A954),1000000000),IFERROR(IF(VALUE(MID($A954,2,20))&lt;100000000,VALUE(MID($A954,2,20)),1000000000),1000000000))+ROW()/100000,"")</f>
        <v/>
      </c>
    </row>
    <row r="955">
      <c r="F955" s="7">
        <f>IF($A955="","",E955*N955/100)</f>
        <v/>
      </c>
      <c r="J955" s="7" t="n"/>
      <c r="K955" s="7">
        <f>IF($A955="","",S955*N955)</f>
        <v/>
      </c>
      <c r="L955" s="7">
        <f>IF($A955="","",N955-K955)</f>
        <v/>
      </c>
      <c r="M955" s="7">
        <f>IF($A955="","",L955-F955)</f>
        <v/>
      </c>
      <c r="N955" s="7" t="n"/>
      <c r="Q955" s="11" t="n"/>
      <c r="S955">
        <f>IF($A955="","",IF($W955=1,Settings!$C$6,Settings!$C$7)*1)</f>
        <v/>
      </c>
      <c r="U955">
        <f>IF($A955="","",IF(COUNTIF($A$2:$A955,$A955)=1,1,0))</f>
        <v/>
      </c>
      <c r="V955">
        <f>IF($U955=1,SUMPRODUCT(--($X$2:$X$3001&lt;$X955))+1,"")</f>
        <v/>
      </c>
      <c r="W955">
        <f>IF($A955="","",IF(OR($T955=TRUE(),$T955="TRUE"),1,0))</f>
        <v/>
      </c>
      <c r="X955">
        <f>IF($U955=1,IFERROR(IF(VALUE($A955)&lt;100000000,VALUE($A955),1000000000),IFERROR(IF(VALUE(MID($A955,2,20))&lt;100000000,VALUE(MID($A955,2,20)),1000000000),1000000000))+ROW()/100000,"")</f>
        <v/>
      </c>
    </row>
    <row r="956">
      <c r="F956" s="7">
        <f>IF($A956="","",E956*N956/100)</f>
        <v/>
      </c>
      <c r="J956" s="7" t="n"/>
      <c r="K956" s="7">
        <f>IF($A956="","",S956*N956)</f>
        <v/>
      </c>
      <c r="L956" s="7">
        <f>IF($A956="","",N956-K956)</f>
        <v/>
      </c>
      <c r="M956" s="7">
        <f>IF($A956="","",L956-F956)</f>
        <v/>
      </c>
      <c r="N956" s="7" t="n"/>
      <c r="Q956" s="11" t="n"/>
      <c r="S956">
        <f>IF($A956="","",IF($W956=1,Settings!$C$6,Settings!$C$7)*1)</f>
        <v/>
      </c>
      <c r="U956">
        <f>IF($A956="","",IF(COUNTIF($A$2:$A956,$A956)=1,1,0))</f>
        <v/>
      </c>
      <c r="V956">
        <f>IF($U956=1,SUMPRODUCT(--($X$2:$X$3001&lt;$X956))+1,"")</f>
        <v/>
      </c>
      <c r="W956">
        <f>IF($A956="","",IF(OR($T956=TRUE(),$T956="TRUE"),1,0))</f>
        <v/>
      </c>
      <c r="X956">
        <f>IF($U956=1,IFERROR(IF(VALUE($A956)&lt;100000000,VALUE($A956),1000000000),IFERROR(IF(VALUE(MID($A956,2,20))&lt;100000000,VALUE(MID($A956,2,20)),1000000000),1000000000))+ROW()/100000,"")</f>
        <v/>
      </c>
    </row>
    <row r="957">
      <c r="F957" s="7">
        <f>IF($A957="","",E957*N957/100)</f>
        <v/>
      </c>
      <c r="J957" s="7" t="n"/>
      <c r="K957" s="7">
        <f>IF($A957="","",S957*N957)</f>
        <v/>
      </c>
      <c r="L957" s="7">
        <f>IF($A957="","",N957-K957)</f>
        <v/>
      </c>
      <c r="M957" s="7">
        <f>IF($A957="","",L957-F957)</f>
        <v/>
      </c>
      <c r="N957" s="7" t="n"/>
      <c r="Q957" s="11" t="n"/>
      <c r="S957">
        <f>IF($A957="","",IF($W957=1,Settings!$C$6,Settings!$C$7)*1)</f>
        <v/>
      </c>
      <c r="U957">
        <f>IF($A957="","",IF(COUNTIF($A$2:$A957,$A957)=1,1,0))</f>
        <v/>
      </c>
      <c r="V957">
        <f>IF($U957=1,SUMPRODUCT(--($X$2:$X$3001&lt;$X957))+1,"")</f>
        <v/>
      </c>
      <c r="W957">
        <f>IF($A957="","",IF(OR($T957=TRUE(),$T957="TRUE"),1,0))</f>
        <v/>
      </c>
      <c r="X957">
        <f>IF($U957=1,IFERROR(IF(VALUE($A957)&lt;100000000,VALUE($A957),1000000000),IFERROR(IF(VALUE(MID($A957,2,20))&lt;100000000,VALUE(MID($A957,2,20)),1000000000),1000000000))+ROW()/100000,"")</f>
        <v/>
      </c>
    </row>
    <row r="958">
      <c r="F958" s="7">
        <f>IF($A958="","",E958*N958/100)</f>
        <v/>
      </c>
      <c r="J958" s="7" t="n"/>
      <c r="K958" s="7">
        <f>IF($A958="","",S958*N958)</f>
        <v/>
      </c>
      <c r="L958" s="7">
        <f>IF($A958="","",N958-K958)</f>
        <v/>
      </c>
      <c r="M958" s="7">
        <f>IF($A958="","",L958-F958)</f>
        <v/>
      </c>
      <c r="N958" s="7" t="n"/>
      <c r="Q958" s="11" t="n"/>
      <c r="S958">
        <f>IF($A958="","",IF($W958=1,Settings!$C$6,Settings!$C$7)*1)</f>
        <v/>
      </c>
      <c r="U958">
        <f>IF($A958="","",IF(COUNTIF($A$2:$A958,$A958)=1,1,0))</f>
        <v/>
      </c>
      <c r="V958">
        <f>IF($U958=1,SUMPRODUCT(--($X$2:$X$3001&lt;$X958))+1,"")</f>
        <v/>
      </c>
      <c r="W958">
        <f>IF($A958="","",IF(OR($T958=TRUE(),$T958="TRUE"),1,0))</f>
        <v/>
      </c>
      <c r="X958">
        <f>IF($U958=1,IFERROR(IF(VALUE($A958)&lt;100000000,VALUE($A958),1000000000),IFERROR(IF(VALUE(MID($A958,2,20))&lt;100000000,VALUE(MID($A958,2,20)),1000000000),1000000000))+ROW()/100000,"")</f>
        <v/>
      </c>
    </row>
    <row r="959">
      <c r="F959" s="7">
        <f>IF($A959="","",E959*N959/100)</f>
        <v/>
      </c>
      <c r="J959" s="7" t="n"/>
      <c r="K959" s="7">
        <f>IF($A959="","",S959*N959)</f>
        <v/>
      </c>
      <c r="L959" s="7">
        <f>IF($A959="","",N959-K959)</f>
        <v/>
      </c>
      <c r="M959" s="7">
        <f>IF($A959="","",L959-F959)</f>
        <v/>
      </c>
      <c r="N959" s="7" t="n"/>
      <c r="Q959" s="11" t="n"/>
      <c r="S959">
        <f>IF($A959="","",IF($W959=1,Settings!$C$6,Settings!$C$7)*1)</f>
        <v/>
      </c>
      <c r="U959">
        <f>IF($A959="","",IF(COUNTIF($A$2:$A959,$A959)=1,1,0))</f>
        <v/>
      </c>
      <c r="V959">
        <f>IF($U959=1,SUMPRODUCT(--($X$2:$X$3001&lt;$X959))+1,"")</f>
        <v/>
      </c>
      <c r="W959">
        <f>IF($A959="","",IF(OR($T959=TRUE(),$T959="TRUE"),1,0))</f>
        <v/>
      </c>
      <c r="X959">
        <f>IF($U959=1,IFERROR(IF(VALUE($A959)&lt;100000000,VALUE($A959),1000000000),IFERROR(IF(VALUE(MID($A959,2,20))&lt;100000000,VALUE(MID($A959,2,20)),1000000000),1000000000))+ROW()/100000,"")</f>
        <v/>
      </c>
    </row>
    <row r="960">
      <c r="F960" s="7">
        <f>IF($A960="","",E960*N960/100)</f>
        <v/>
      </c>
      <c r="J960" s="7" t="n"/>
      <c r="K960" s="7">
        <f>IF($A960="","",S960*N960)</f>
        <v/>
      </c>
      <c r="L960" s="7">
        <f>IF($A960="","",N960-K960)</f>
        <v/>
      </c>
      <c r="M960" s="7">
        <f>IF($A960="","",L960-F960)</f>
        <v/>
      </c>
      <c r="N960" s="7" t="n"/>
      <c r="Q960" s="11" t="n"/>
      <c r="S960">
        <f>IF($A960="","",IF($W960=1,Settings!$C$6,Settings!$C$7)*1)</f>
        <v/>
      </c>
      <c r="U960">
        <f>IF($A960="","",IF(COUNTIF($A$2:$A960,$A960)=1,1,0))</f>
        <v/>
      </c>
      <c r="V960">
        <f>IF($U960=1,SUMPRODUCT(--($X$2:$X$3001&lt;$X960))+1,"")</f>
        <v/>
      </c>
      <c r="W960">
        <f>IF($A960="","",IF(OR($T960=TRUE(),$T960="TRUE"),1,0))</f>
        <v/>
      </c>
      <c r="X960">
        <f>IF($U960=1,IFERROR(IF(VALUE($A960)&lt;100000000,VALUE($A960),1000000000),IFERROR(IF(VALUE(MID($A960,2,20))&lt;100000000,VALUE(MID($A960,2,20)),1000000000),1000000000))+ROW()/100000,"")</f>
        <v/>
      </c>
    </row>
    <row r="961">
      <c r="F961" s="7">
        <f>IF($A961="","",E961*N961/100)</f>
        <v/>
      </c>
      <c r="J961" s="7" t="n"/>
      <c r="K961" s="7">
        <f>IF($A961="","",S961*N961)</f>
        <v/>
      </c>
      <c r="L961" s="7">
        <f>IF($A961="","",N961-K961)</f>
        <v/>
      </c>
      <c r="M961" s="7">
        <f>IF($A961="","",L961-F961)</f>
        <v/>
      </c>
      <c r="N961" s="7" t="n"/>
      <c r="Q961" s="11" t="n"/>
      <c r="S961">
        <f>IF($A961="","",IF($W961=1,Settings!$C$6,Settings!$C$7)*1)</f>
        <v/>
      </c>
      <c r="U961">
        <f>IF($A961="","",IF(COUNTIF($A$2:$A961,$A961)=1,1,0))</f>
        <v/>
      </c>
      <c r="V961">
        <f>IF($U961=1,SUMPRODUCT(--($X$2:$X$3001&lt;$X961))+1,"")</f>
        <v/>
      </c>
      <c r="W961">
        <f>IF($A961="","",IF(OR($T961=TRUE(),$T961="TRUE"),1,0))</f>
        <v/>
      </c>
      <c r="X961">
        <f>IF($U961=1,IFERROR(IF(VALUE($A961)&lt;100000000,VALUE($A961),1000000000),IFERROR(IF(VALUE(MID($A961,2,20))&lt;100000000,VALUE(MID($A961,2,20)),1000000000),1000000000))+ROW()/100000,"")</f>
        <v/>
      </c>
    </row>
    <row r="962">
      <c r="F962" s="7">
        <f>IF($A962="","",E962*N962/100)</f>
        <v/>
      </c>
      <c r="J962" s="7" t="n"/>
      <c r="K962" s="7">
        <f>IF($A962="","",S962*N962)</f>
        <v/>
      </c>
      <c r="L962" s="7">
        <f>IF($A962="","",N962-K962)</f>
        <v/>
      </c>
      <c r="M962" s="7">
        <f>IF($A962="","",L962-F962)</f>
        <v/>
      </c>
      <c r="N962" s="7" t="n"/>
      <c r="Q962" s="11" t="n"/>
      <c r="S962">
        <f>IF($A962="","",IF($W962=1,Settings!$C$6,Settings!$C$7)*1)</f>
        <v/>
      </c>
      <c r="U962">
        <f>IF($A962="","",IF(COUNTIF($A$2:$A962,$A962)=1,1,0))</f>
        <v/>
      </c>
      <c r="V962">
        <f>IF($U962=1,SUMPRODUCT(--($X$2:$X$3001&lt;$X962))+1,"")</f>
        <v/>
      </c>
      <c r="W962">
        <f>IF($A962="","",IF(OR($T962=TRUE(),$T962="TRUE"),1,0))</f>
        <v/>
      </c>
      <c r="X962">
        <f>IF($U962=1,IFERROR(IF(VALUE($A962)&lt;100000000,VALUE($A962),1000000000),IFERROR(IF(VALUE(MID($A962,2,20))&lt;100000000,VALUE(MID($A962,2,20)),1000000000),1000000000))+ROW()/100000,"")</f>
        <v/>
      </c>
    </row>
    <row r="963">
      <c r="F963" s="7">
        <f>IF($A963="","",E963*N963/100)</f>
        <v/>
      </c>
      <c r="J963" s="7" t="n"/>
      <c r="K963" s="7">
        <f>IF($A963="","",S963*N963)</f>
        <v/>
      </c>
      <c r="L963" s="7">
        <f>IF($A963="","",N963-K963)</f>
        <v/>
      </c>
      <c r="M963" s="7">
        <f>IF($A963="","",L963-F963)</f>
        <v/>
      </c>
      <c r="N963" s="7" t="n"/>
      <c r="Q963" s="11" t="n"/>
      <c r="S963">
        <f>IF($A963="","",IF($W963=1,Settings!$C$6,Settings!$C$7)*1)</f>
        <v/>
      </c>
      <c r="U963">
        <f>IF($A963="","",IF(COUNTIF($A$2:$A963,$A963)=1,1,0))</f>
        <v/>
      </c>
      <c r="V963">
        <f>IF($U963=1,SUMPRODUCT(--($X$2:$X$3001&lt;$X963))+1,"")</f>
        <v/>
      </c>
      <c r="W963">
        <f>IF($A963="","",IF(OR($T963=TRUE(),$T963="TRUE"),1,0))</f>
        <v/>
      </c>
      <c r="X963">
        <f>IF($U963=1,IFERROR(IF(VALUE($A963)&lt;100000000,VALUE($A963),1000000000),IFERROR(IF(VALUE(MID($A963,2,20))&lt;100000000,VALUE(MID($A963,2,20)),1000000000),1000000000))+ROW()/100000,"")</f>
        <v/>
      </c>
    </row>
    <row r="964">
      <c r="F964" s="7">
        <f>IF($A964="","",E964*N964/100)</f>
        <v/>
      </c>
      <c r="J964" s="7" t="n"/>
      <c r="K964" s="7">
        <f>IF($A964="","",S964*N964)</f>
        <v/>
      </c>
      <c r="L964" s="7">
        <f>IF($A964="","",N964-K964)</f>
        <v/>
      </c>
      <c r="M964" s="7">
        <f>IF($A964="","",L964-F964)</f>
        <v/>
      </c>
      <c r="N964" s="7" t="n"/>
      <c r="Q964" s="11" t="n"/>
      <c r="S964">
        <f>IF($A964="","",IF($W964=1,Settings!$C$6,Settings!$C$7)*1)</f>
        <v/>
      </c>
      <c r="U964">
        <f>IF($A964="","",IF(COUNTIF($A$2:$A964,$A964)=1,1,0))</f>
        <v/>
      </c>
      <c r="V964">
        <f>IF($U964=1,SUMPRODUCT(--($X$2:$X$3001&lt;$X964))+1,"")</f>
        <v/>
      </c>
      <c r="W964">
        <f>IF($A964="","",IF(OR($T964=TRUE(),$T964="TRUE"),1,0))</f>
        <v/>
      </c>
      <c r="X964">
        <f>IF($U964=1,IFERROR(IF(VALUE($A964)&lt;100000000,VALUE($A964),1000000000),IFERROR(IF(VALUE(MID($A964,2,20))&lt;100000000,VALUE(MID($A964,2,20)),1000000000),1000000000))+ROW()/100000,"")</f>
        <v/>
      </c>
    </row>
    <row r="965">
      <c r="F965" s="7">
        <f>IF($A965="","",E965*N965/100)</f>
        <v/>
      </c>
      <c r="J965" s="7" t="n"/>
      <c r="K965" s="7">
        <f>IF($A965="","",S965*N965)</f>
        <v/>
      </c>
      <c r="L965" s="7">
        <f>IF($A965="","",N965-K965)</f>
        <v/>
      </c>
      <c r="M965" s="7">
        <f>IF($A965="","",L965-F965)</f>
        <v/>
      </c>
      <c r="N965" s="7" t="n"/>
      <c r="Q965" s="11" t="n"/>
      <c r="S965">
        <f>IF($A965="","",IF($W965=1,Settings!$C$6,Settings!$C$7)*1)</f>
        <v/>
      </c>
      <c r="U965">
        <f>IF($A965="","",IF(COUNTIF($A$2:$A965,$A965)=1,1,0))</f>
        <v/>
      </c>
      <c r="V965">
        <f>IF($U965=1,SUMPRODUCT(--($X$2:$X$3001&lt;$X965))+1,"")</f>
        <v/>
      </c>
      <c r="W965">
        <f>IF($A965="","",IF(OR($T965=TRUE(),$T965="TRUE"),1,0))</f>
        <v/>
      </c>
      <c r="X965">
        <f>IF($U965=1,IFERROR(IF(VALUE($A965)&lt;100000000,VALUE($A965),1000000000),IFERROR(IF(VALUE(MID($A965,2,20))&lt;100000000,VALUE(MID($A965,2,20)),1000000000),1000000000))+ROW()/100000,"")</f>
        <v/>
      </c>
    </row>
    <row r="966">
      <c r="F966" s="7">
        <f>IF($A966="","",E966*N966/100)</f>
        <v/>
      </c>
      <c r="J966" s="7" t="n"/>
      <c r="K966" s="7">
        <f>IF($A966="","",S966*N966)</f>
        <v/>
      </c>
      <c r="L966" s="7">
        <f>IF($A966="","",N966-K966)</f>
        <v/>
      </c>
      <c r="M966" s="7">
        <f>IF($A966="","",L966-F966)</f>
        <v/>
      </c>
      <c r="N966" s="7" t="n"/>
      <c r="Q966" s="11" t="n"/>
      <c r="S966">
        <f>IF($A966="","",IF($W966=1,Settings!$C$6,Settings!$C$7)*1)</f>
        <v/>
      </c>
      <c r="U966">
        <f>IF($A966="","",IF(COUNTIF($A$2:$A966,$A966)=1,1,0))</f>
        <v/>
      </c>
      <c r="V966">
        <f>IF($U966=1,SUMPRODUCT(--($X$2:$X$3001&lt;$X966))+1,"")</f>
        <v/>
      </c>
      <c r="W966">
        <f>IF($A966="","",IF(OR($T966=TRUE(),$T966="TRUE"),1,0))</f>
        <v/>
      </c>
      <c r="X966">
        <f>IF($U966=1,IFERROR(IF(VALUE($A966)&lt;100000000,VALUE($A966),1000000000),IFERROR(IF(VALUE(MID($A966,2,20))&lt;100000000,VALUE(MID($A966,2,20)),1000000000),1000000000))+ROW()/100000,"")</f>
        <v/>
      </c>
    </row>
    <row r="967">
      <c r="F967" s="7">
        <f>IF($A967="","",E967*N967/100)</f>
        <v/>
      </c>
      <c r="J967" s="7" t="n"/>
      <c r="K967" s="7">
        <f>IF($A967="","",S967*N967)</f>
        <v/>
      </c>
      <c r="L967" s="7">
        <f>IF($A967="","",N967-K967)</f>
        <v/>
      </c>
      <c r="M967" s="7">
        <f>IF($A967="","",L967-F967)</f>
        <v/>
      </c>
      <c r="N967" s="7" t="n"/>
      <c r="Q967" s="11" t="n"/>
      <c r="S967">
        <f>IF($A967="","",IF($W967=1,Settings!$C$6,Settings!$C$7)*1)</f>
        <v/>
      </c>
      <c r="U967">
        <f>IF($A967="","",IF(COUNTIF($A$2:$A967,$A967)=1,1,0))</f>
        <v/>
      </c>
      <c r="V967">
        <f>IF($U967=1,SUMPRODUCT(--($X$2:$X$3001&lt;$X967))+1,"")</f>
        <v/>
      </c>
      <c r="W967">
        <f>IF($A967="","",IF(OR($T967=TRUE(),$T967="TRUE"),1,0))</f>
        <v/>
      </c>
      <c r="X967">
        <f>IF($U967=1,IFERROR(IF(VALUE($A967)&lt;100000000,VALUE($A967),1000000000),IFERROR(IF(VALUE(MID($A967,2,20))&lt;100000000,VALUE(MID($A967,2,20)),1000000000),1000000000))+ROW()/100000,"")</f>
        <v/>
      </c>
    </row>
    <row r="968">
      <c r="F968" s="7">
        <f>IF($A968="","",E968*N968/100)</f>
        <v/>
      </c>
      <c r="J968" s="7" t="n"/>
      <c r="K968" s="7">
        <f>IF($A968="","",S968*N968)</f>
        <v/>
      </c>
      <c r="L968" s="7">
        <f>IF($A968="","",N968-K968)</f>
        <v/>
      </c>
      <c r="M968" s="7">
        <f>IF($A968="","",L968-F968)</f>
        <v/>
      </c>
      <c r="N968" s="7" t="n"/>
      <c r="Q968" s="11" t="n"/>
      <c r="S968">
        <f>IF($A968="","",IF($W968=1,Settings!$C$6,Settings!$C$7)*1)</f>
        <v/>
      </c>
      <c r="U968">
        <f>IF($A968="","",IF(COUNTIF($A$2:$A968,$A968)=1,1,0))</f>
        <v/>
      </c>
      <c r="V968">
        <f>IF($U968=1,SUMPRODUCT(--($X$2:$X$3001&lt;$X968))+1,"")</f>
        <v/>
      </c>
      <c r="W968">
        <f>IF($A968="","",IF(OR($T968=TRUE(),$T968="TRUE"),1,0))</f>
        <v/>
      </c>
      <c r="X968">
        <f>IF($U968=1,IFERROR(IF(VALUE($A968)&lt;100000000,VALUE($A968),1000000000),IFERROR(IF(VALUE(MID($A968,2,20))&lt;100000000,VALUE(MID($A968,2,20)),1000000000),1000000000))+ROW()/100000,"")</f>
        <v/>
      </c>
    </row>
    <row r="969">
      <c r="F969" s="7">
        <f>IF($A969="","",E969*N969/100)</f>
        <v/>
      </c>
      <c r="J969" s="7" t="n"/>
      <c r="K969" s="7">
        <f>IF($A969="","",S969*N969)</f>
        <v/>
      </c>
      <c r="L969" s="7">
        <f>IF($A969="","",N969-K969)</f>
        <v/>
      </c>
      <c r="M969" s="7">
        <f>IF($A969="","",L969-F969)</f>
        <v/>
      </c>
      <c r="N969" s="7" t="n"/>
      <c r="Q969" s="11" t="n"/>
      <c r="S969">
        <f>IF($A969="","",IF($W969=1,Settings!$C$6,Settings!$C$7)*1)</f>
        <v/>
      </c>
      <c r="U969">
        <f>IF($A969="","",IF(COUNTIF($A$2:$A969,$A969)=1,1,0))</f>
        <v/>
      </c>
      <c r="V969">
        <f>IF($U969=1,SUMPRODUCT(--($X$2:$X$3001&lt;$X969))+1,"")</f>
        <v/>
      </c>
      <c r="W969">
        <f>IF($A969="","",IF(OR($T969=TRUE(),$T969="TRUE"),1,0))</f>
        <v/>
      </c>
      <c r="X969">
        <f>IF($U969=1,IFERROR(IF(VALUE($A969)&lt;100000000,VALUE($A969),1000000000),IFERROR(IF(VALUE(MID($A969,2,20))&lt;100000000,VALUE(MID($A969,2,20)),1000000000),1000000000))+ROW()/100000,"")</f>
        <v/>
      </c>
    </row>
    <row r="970">
      <c r="F970" s="7">
        <f>IF($A970="","",E970*N970/100)</f>
        <v/>
      </c>
      <c r="J970" s="7" t="n"/>
      <c r="K970" s="7">
        <f>IF($A970="","",S970*N970)</f>
        <v/>
      </c>
      <c r="L970" s="7">
        <f>IF($A970="","",N970-K970)</f>
        <v/>
      </c>
      <c r="M970" s="7">
        <f>IF($A970="","",L970-F970)</f>
        <v/>
      </c>
      <c r="N970" s="7" t="n"/>
      <c r="Q970" s="11" t="n"/>
      <c r="S970">
        <f>IF($A970="","",IF($W970=1,Settings!$C$6,Settings!$C$7)*1)</f>
        <v/>
      </c>
      <c r="U970">
        <f>IF($A970="","",IF(COUNTIF($A$2:$A970,$A970)=1,1,0))</f>
        <v/>
      </c>
      <c r="V970">
        <f>IF($U970=1,SUMPRODUCT(--($X$2:$X$3001&lt;$X970))+1,"")</f>
        <v/>
      </c>
      <c r="W970">
        <f>IF($A970="","",IF(OR($T970=TRUE(),$T970="TRUE"),1,0))</f>
        <v/>
      </c>
      <c r="X970">
        <f>IF($U970=1,IFERROR(IF(VALUE($A970)&lt;100000000,VALUE($A970),1000000000),IFERROR(IF(VALUE(MID($A970,2,20))&lt;100000000,VALUE(MID($A970,2,20)),1000000000),1000000000))+ROW()/100000,"")</f>
        <v/>
      </c>
    </row>
    <row r="971">
      <c r="F971" s="7">
        <f>IF($A971="","",E971*N971/100)</f>
        <v/>
      </c>
      <c r="J971" s="7" t="n"/>
      <c r="K971" s="7">
        <f>IF($A971="","",S971*N971)</f>
        <v/>
      </c>
      <c r="L971" s="7">
        <f>IF($A971="","",N971-K971)</f>
        <v/>
      </c>
      <c r="M971" s="7">
        <f>IF($A971="","",L971-F971)</f>
        <v/>
      </c>
      <c r="N971" s="7" t="n"/>
      <c r="Q971" s="11" t="n"/>
      <c r="S971">
        <f>IF($A971="","",IF($W971=1,Settings!$C$6,Settings!$C$7)*1)</f>
        <v/>
      </c>
      <c r="U971">
        <f>IF($A971="","",IF(COUNTIF($A$2:$A971,$A971)=1,1,0))</f>
        <v/>
      </c>
      <c r="V971">
        <f>IF($U971=1,SUMPRODUCT(--($X$2:$X$3001&lt;$X971))+1,"")</f>
        <v/>
      </c>
      <c r="W971">
        <f>IF($A971="","",IF(OR($T971=TRUE(),$T971="TRUE"),1,0))</f>
        <v/>
      </c>
      <c r="X971">
        <f>IF($U971=1,IFERROR(IF(VALUE($A971)&lt;100000000,VALUE($A971),1000000000),IFERROR(IF(VALUE(MID($A971,2,20))&lt;100000000,VALUE(MID($A971,2,20)),1000000000),1000000000))+ROW()/100000,"")</f>
        <v/>
      </c>
    </row>
    <row r="972">
      <c r="F972" s="7">
        <f>IF($A972="","",E972*N972/100)</f>
        <v/>
      </c>
      <c r="J972" s="7" t="n"/>
      <c r="K972" s="7">
        <f>IF($A972="","",S972*N972)</f>
        <v/>
      </c>
      <c r="L972" s="7">
        <f>IF($A972="","",N972-K972)</f>
        <v/>
      </c>
      <c r="M972" s="7">
        <f>IF($A972="","",L972-F972)</f>
        <v/>
      </c>
      <c r="N972" s="7" t="n"/>
      <c r="Q972" s="11" t="n"/>
      <c r="S972">
        <f>IF($A972="","",IF($W972=1,Settings!$C$6,Settings!$C$7)*1)</f>
        <v/>
      </c>
      <c r="U972">
        <f>IF($A972="","",IF(COUNTIF($A$2:$A972,$A972)=1,1,0))</f>
        <v/>
      </c>
      <c r="V972">
        <f>IF($U972=1,SUMPRODUCT(--($X$2:$X$3001&lt;$X972))+1,"")</f>
        <v/>
      </c>
      <c r="W972">
        <f>IF($A972="","",IF(OR($T972=TRUE(),$T972="TRUE"),1,0))</f>
        <v/>
      </c>
      <c r="X972">
        <f>IF($U972=1,IFERROR(IF(VALUE($A972)&lt;100000000,VALUE($A972),1000000000),IFERROR(IF(VALUE(MID($A972,2,20))&lt;100000000,VALUE(MID($A972,2,20)),1000000000),1000000000))+ROW()/100000,"")</f>
        <v/>
      </c>
    </row>
    <row r="973">
      <c r="F973" s="7">
        <f>IF($A973="","",E973*N973/100)</f>
        <v/>
      </c>
      <c r="J973" s="7" t="n"/>
      <c r="K973" s="7">
        <f>IF($A973="","",S973*N973)</f>
        <v/>
      </c>
      <c r="L973" s="7">
        <f>IF($A973="","",N973-K973)</f>
        <v/>
      </c>
      <c r="M973" s="7">
        <f>IF($A973="","",L973-F973)</f>
        <v/>
      </c>
      <c r="N973" s="7" t="n"/>
      <c r="Q973" s="11" t="n"/>
      <c r="S973">
        <f>IF($A973="","",IF($W973=1,Settings!$C$6,Settings!$C$7)*1)</f>
        <v/>
      </c>
      <c r="U973">
        <f>IF($A973="","",IF(COUNTIF($A$2:$A973,$A973)=1,1,0))</f>
        <v/>
      </c>
      <c r="V973">
        <f>IF($U973=1,SUMPRODUCT(--($X$2:$X$3001&lt;$X973))+1,"")</f>
        <v/>
      </c>
      <c r="W973">
        <f>IF($A973="","",IF(OR($T973=TRUE(),$T973="TRUE"),1,0))</f>
        <v/>
      </c>
      <c r="X973">
        <f>IF($U973=1,IFERROR(IF(VALUE($A973)&lt;100000000,VALUE($A973),1000000000),IFERROR(IF(VALUE(MID($A973,2,20))&lt;100000000,VALUE(MID($A973,2,20)),1000000000),1000000000))+ROW()/100000,"")</f>
        <v/>
      </c>
    </row>
    <row r="974">
      <c r="F974" s="7">
        <f>IF($A974="","",E974*N974/100)</f>
        <v/>
      </c>
      <c r="J974" s="7" t="n"/>
      <c r="K974" s="7">
        <f>IF($A974="","",S974*N974)</f>
        <v/>
      </c>
      <c r="L974" s="7">
        <f>IF($A974="","",N974-K974)</f>
        <v/>
      </c>
      <c r="M974" s="7">
        <f>IF($A974="","",L974-F974)</f>
        <v/>
      </c>
      <c r="N974" s="7" t="n"/>
      <c r="Q974" s="11" t="n"/>
      <c r="S974">
        <f>IF($A974="","",IF($W974=1,Settings!$C$6,Settings!$C$7)*1)</f>
        <v/>
      </c>
      <c r="U974">
        <f>IF($A974="","",IF(COUNTIF($A$2:$A974,$A974)=1,1,0))</f>
        <v/>
      </c>
      <c r="V974">
        <f>IF($U974=1,SUMPRODUCT(--($X$2:$X$3001&lt;$X974))+1,"")</f>
        <v/>
      </c>
      <c r="W974">
        <f>IF($A974="","",IF(OR($T974=TRUE(),$T974="TRUE"),1,0))</f>
        <v/>
      </c>
      <c r="X974">
        <f>IF($U974=1,IFERROR(IF(VALUE($A974)&lt;100000000,VALUE($A974),1000000000),IFERROR(IF(VALUE(MID($A974,2,20))&lt;100000000,VALUE(MID($A974,2,20)),1000000000),1000000000))+ROW()/100000,"")</f>
        <v/>
      </c>
    </row>
    <row r="975">
      <c r="F975" s="7">
        <f>IF($A975="","",E975*N975/100)</f>
        <v/>
      </c>
      <c r="J975" s="7" t="n"/>
      <c r="K975" s="7">
        <f>IF($A975="","",S975*N975)</f>
        <v/>
      </c>
      <c r="L975" s="7">
        <f>IF($A975="","",N975-K975)</f>
        <v/>
      </c>
      <c r="M975" s="7">
        <f>IF($A975="","",L975-F975)</f>
        <v/>
      </c>
      <c r="N975" s="7" t="n"/>
      <c r="Q975" s="11" t="n"/>
      <c r="S975">
        <f>IF($A975="","",IF($W975=1,Settings!$C$6,Settings!$C$7)*1)</f>
        <v/>
      </c>
      <c r="U975">
        <f>IF($A975="","",IF(COUNTIF($A$2:$A975,$A975)=1,1,0))</f>
        <v/>
      </c>
      <c r="V975">
        <f>IF($U975=1,SUMPRODUCT(--($X$2:$X$3001&lt;$X975))+1,"")</f>
        <v/>
      </c>
      <c r="W975">
        <f>IF($A975="","",IF(OR($T975=TRUE(),$T975="TRUE"),1,0))</f>
        <v/>
      </c>
      <c r="X975">
        <f>IF($U975=1,IFERROR(IF(VALUE($A975)&lt;100000000,VALUE($A975),1000000000),IFERROR(IF(VALUE(MID($A975,2,20))&lt;100000000,VALUE(MID($A975,2,20)),1000000000),1000000000))+ROW()/100000,"")</f>
        <v/>
      </c>
    </row>
    <row r="976">
      <c r="F976" s="7">
        <f>IF($A976="","",E976*N976/100)</f>
        <v/>
      </c>
      <c r="J976" s="7" t="n"/>
      <c r="K976" s="7">
        <f>IF($A976="","",S976*N976)</f>
        <v/>
      </c>
      <c r="L976" s="7">
        <f>IF($A976="","",N976-K976)</f>
        <v/>
      </c>
      <c r="M976" s="7">
        <f>IF($A976="","",L976-F976)</f>
        <v/>
      </c>
      <c r="N976" s="7" t="n"/>
      <c r="Q976" s="11" t="n"/>
      <c r="S976">
        <f>IF($A976="","",IF($W976=1,Settings!$C$6,Settings!$C$7)*1)</f>
        <v/>
      </c>
      <c r="U976">
        <f>IF($A976="","",IF(COUNTIF($A$2:$A976,$A976)=1,1,0))</f>
        <v/>
      </c>
      <c r="V976">
        <f>IF($U976=1,SUMPRODUCT(--($X$2:$X$3001&lt;$X976))+1,"")</f>
        <v/>
      </c>
      <c r="W976">
        <f>IF($A976="","",IF(OR($T976=TRUE(),$T976="TRUE"),1,0))</f>
        <v/>
      </c>
      <c r="X976">
        <f>IF($U976=1,IFERROR(IF(VALUE($A976)&lt;100000000,VALUE($A976),1000000000),IFERROR(IF(VALUE(MID($A976,2,20))&lt;100000000,VALUE(MID($A976,2,20)),1000000000),1000000000))+ROW()/100000,"")</f>
        <v/>
      </c>
    </row>
    <row r="977">
      <c r="F977" s="7">
        <f>IF($A977="","",E977*N977/100)</f>
        <v/>
      </c>
      <c r="J977" s="7" t="n"/>
      <c r="K977" s="7">
        <f>IF($A977="","",S977*N977)</f>
        <v/>
      </c>
      <c r="L977" s="7">
        <f>IF($A977="","",N977-K977)</f>
        <v/>
      </c>
      <c r="M977" s="7">
        <f>IF($A977="","",L977-F977)</f>
        <v/>
      </c>
      <c r="N977" s="7" t="n"/>
      <c r="Q977" s="11" t="n"/>
      <c r="S977">
        <f>IF($A977="","",IF($W977=1,Settings!$C$6,Settings!$C$7)*1)</f>
        <v/>
      </c>
      <c r="U977">
        <f>IF($A977="","",IF(COUNTIF($A$2:$A977,$A977)=1,1,0))</f>
        <v/>
      </c>
      <c r="V977">
        <f>IF($U977=1,SUMPRODUCT(--($X$2:$X$3001&lt;$X977))+1,"")</f>
        <v/>
      </c>
      <c r="W977">
        <f>IF($A977="","",IF(OR($T977=TRUE(),$T977="TRUE"),1,0))</f>
        <v/>
      </c>
      <c r="X977">
        <f>IF($U977=1,IFERROR(IF(VALUE($A977)&lt;100000000,VALUE($A977),1000000000),IFERROR(IF(VALUE(MID($A977,2,20))&lt;100000000,VALUE(MID($A977,2,20)),1000000000),1000000000))+ROW()/100000,"")</f>
        <v/>
      </c>
    </row>
    <row r="978">
      <c r="F978" s="7">
        <f>IF($A978="","",E978*N978/100)</f>
        <v/>
      </c>
      <c r="J978" s="7" t="n"/>
      <c r="K978" s="7">
        <f>IF($A978="","",S978*N978)</f>
        <v/>
      </c>
      <c r="L978" s="7">
        <f>IF($A978="","",N978-K978)</f>
        <v/>
      </c>
      <c r="M978" s="7">
        <f>IF($A978="","",L978-F978)</f>
        <v/>
      </c>
      <c r="N978" s="7" t="n"/>
      <c r="Q978" s="11" t="n"/>
      <c r="S978">
        <f>IF($A978="","",IF($W978=1,Settings!$C$6,Settings!$C$7)*1)</f>
        <v/>
      </c>
      <c r="U978">
        <f>IF($A978="","",IF(COUNTIF($A$2:$A978,$A978)=1,1,0))</f>
        <v/>
      </c>
      <c r="V978">
        <f>IF($U978=1,SUMPRODUCT(--($X$2:$X$3001&lt;$X978))+1,"")</f>
        <v/>
      </c>
      <c r="W978">
        <f>IF($A978="","",IF(OR($T978=TRUE(),$T978="TRUE"),1,0))</f>
        <v/>
      </c>
      <c r="X978">
        <f>IF($U978=1,IFERROR(IF(VALUE($A978)&lt;100000000,VALUE($A978),1000000000),IFERROR(IF(VALUE(MID($A978,2,20))&lt;100000000,VALUE(MID($A978,2,20)),1000000000),1000000000))+ROW()/100000,"")</f>
        <v/>
      </c>
    </row>
    <row r="979">
      <c r="F979" s="7">
        <f>IF($A979="","",E979*N979/100)</f>
        <v/>
      </c>
      <c r="J979" s="7" t="n"/>
      <c r="K979" s="7">
        <f>IF($A979="","",S979*N979)</f>
        <v/>
      </c>
      <c r="L979" s="7">
        <f>IF($A979="","",N979-K979)</f>
        <v/>
      </c>
      <c r="M979" s="7">
        <f>IF($A979="","",L979-F979)</f>
        <v/>
      </c>
      <c r="N979" s="7" t="n"/>
      <c r="Q979" s="11" t="n"/>
      <c r="S979">
        <f>IF($A979="","",IF($W979=1,Settings!$C$6,Settings!$C$7)*1)</f>
        <v/>
      </c>
      <c r="U979">
        <f>IF($A979="","",IF(COUNTIF($A$2:$A979,$A979)=1,1,0))</f>
        <v/>
      </c>
      <c r="V979">
        <f>IF($U979=1,SUMPRODUCT(--($X$2:$X$3001&lt;$X979))+1,"")</f>
        <v/>
      </c>
      <c r="W979">
        <f>IF($A979="","",IF(OR($T979=TRUE(),$T979="TRUE"),1,0))</f>
        <v/>
      </c>
      <c r="X979">
        <f>IF($U979=1,IFERROR(IF(VALUE($A979)&lt;100000000,VALUE($A979),1000000000),IFERROR(IF(VALUE(MID($A979,2,20))&lt;100000000,VALUE(MID($A979,2,20)),1000000000),1000000000))+ROW()/100000,"")</f>
        <v/>
      </c>
    </row>
    <row r="980">
      <c r="F980" s="7">
        <f>IF($A980="","",E980*N980/100)</f>
        <v/>
      </c>
      <c r="J980" s="7" t="n"/>
      <c r="K980" s="7">
        <f>IF($A980="","",S980*N980)</f>
        <v/>
      </c>
      <c r="L980" s="7">
        <f>IF($A980="","",N980-K980)</f>
        <v/>
      </c>
      <c r="M980" s="7">
        <f>IF($A980="","",L980-F980)</f>
        <v/>
      </c>
      <c r="N980" s="7" t="n"/>
      <c r="Q980" s="11" t="n"/>
      <c r="S980">
        <f>IF($A980="","",IF($W980=1,Settings!$C$6,Settings!$C$7)*1)</f>
        <v/>
      </c>
      <c r="U980">
        <f>IF($A980="","",IF(COUNTIF($A$2:$A980,$A980)=1,1,0))</f>
        <v/>
      </c>
      <c r="V980">
        <f>IF($U980=1,SUMPRODUCT(--($X$2:$X$3001&lt;$X980))+1,"")</f>
        <v/>
      </c>
      <c r="W980">
        <f>IF($A980="","",IF(OR($T980=TRUE(),$T980="TRUE"),1,0))</f>
        <v/>
      </c>
      <c r="X980">
        <f>IF($U980=1,IFERROR(IF(VALUE($A980)&lt;100000000,VALUE($A980),1000000000),IFERROR(IF(VALUE(MID($A980,2,20))&lt;100000000,VALUE(MID($A980,2,20)),1000000000),1000000000))+ROW()/100000,"")</f>
        <v/>
      </c>
    </row>
    <row r="981">
      <c r="F981" s="7">
        <f>IF($A981="","",E981*N981/100)</f>
        <v/>
      </c>
      <c r="J981" s="7" t="n"/>
      <c r="K981" s="7">
        <f>IF($A981="","",S981*N981)</f>
        <v/>
      </c>
      <c r="L981" s="7">
        <f>IF($A981="","",N981-K981)</f>
        <v/>
      </c>
      <c r="M981" s="7">
        <f>IF($A981="","",L981-F981)</f>
        <v/>
      </c>
      <c r="N981" s="7" t="n"/>
      <c r="Q981" s="11" t="n"/>
      <c r="S981">
        <f>IF($A981="","",IF($W981=1,Settings!$C$6,Settings!$C$7)*1)</f>
        <v/>
      </c>
      <c r="U981">
        <f>IF($A981="","",IF(COUNTIF($A$2:$A981,$A981)=1,1,0))</f>
        <v/>
      </c>
      <c r="V981">
        <f>IF($U981=1,SUMPRODUCT(--($X$2:$X$3001&lt;$X981))+1,"")</f>
        <v/>
      </c>
      <c r="W981">
        <f>IF($A981="","",IF(OR($T981=TRUE(),$T981="TRUE"),1,0))</f>
        <v/>
      </c>
      <c r="X981">
        <f>IF($U981=1,IFERROR(IF(VALUE($A981)&lt;100000000,VALUE($A981),1000000000),IFERROR(IF(VALUE(MID($A981,2,20))&lt;100000000,VALUE(MID($A981,2,20)),1000000000),1000000000))+ROW()/100000,"")</f>
        <v/>
      </c>
    </row>
    <row r="982">
      <c r="F982" s="7">
        <f>IF($A982="","",E982*N982/100)</f>
        <v/>
      </c>
      <c r="J982" s="7" t="n"/>
      <c r="K982" s="7">
        <f>IF($A982="","",S982*N982)</f>
        <v/>
      </c>
      <c r="L982" s="7">
        <f>IF($A982="","",N982-K982)</f>
        <v/>
      </c>
      <c r="M982" s="7">
        <f>IF($A982="","",L982-F982)</f>
        <v/>
      </c>
      <c r="N982" s="7" t="n"/>
      <c r="Q982" s="11" t="n"/>
      <c r="S982">
        <f>IF($A982="","",IF($W982=1,Settings!$C$6,Settings!$C$7)*1)</f>
        <v/>
      </c>
      <c r="U982">
        <f>IF($A982="","",IF(COUNTIF($A$2:$A982,$A982)=1,1,0))</f>
        <v/>
      </c>
      <c r="V982">
        <f>IF($U982=1,SUMPRODUCT(--($X$2:$X$3001&lt;$X982))+1,"")</f>
        <v/>
      </c>
      <c r="W982">
        <f>IF($A982="","",IF(OR($T982=TRUE(),$T982="TRUE"),1,0))</f>
        <v/>
      </c>
      <c r="X982">
        <f>IF($U982=1,IFERROR(IF(VALUE($A982)&lt;100000000,VALUE($A982),1000000000),IFERROR(IF(VALUE(MID($A982,2,20))&lt;100000000,VALUE(MID($A982,2,20)),1000000000),1000000000))+ROW()/100000,"")</f>
        <v/>
      </c>
    </row>
    <row r="983">
      <c r="F983" s="7">
        <f>IF($A983="","",E983*N983/100)</f>
        <v/>
      </c>
      <c r="J983" s="7" t="n"/>
      <c r="K983" s="7">
        <f>IF($A983="","",S983*N983)</f>
        <v/>
      </c>
      <c r="L983" s="7">
        <f>IF($A983="","",N983-K983)</f>
        <v/>
      </c>
      <c r="M983" s="7">
        <f>IF($A983="","",L983-F983)</f>
        <v/>
      </c>
      <c r="N983" s="7" t="n"/>
      <c r="Q983" s="11" t="n"/>
      <c r="S983">
        <f>IF($A983="","",IF($W983=1,Settings!$C$6,Settings!$C$7)*1)</f>
        <v/>
      </c>
      <c r="U983">
        <f>IF($A983="","",IF(COUNTIF($A$2:$A983,$A983)=1,1,0))</f>
        <v/>
      </c>
      <c r="V983">
        <f>IF($U983=1,SUMPRODUCT(--($X$2:$X$3001&lt;$X983))+1,"")</f>
        <v/>
      </c>
      <c r="W983">
        <f>IF($A983="","",IF(OR($T983=TRUE(),$T983="TRUE"),1,0))</f>
        <v/>
      </c>
      <c r="X983">
        <f>IF($U983=1,IFERROR(IF(VALUE($A983)&lt;100000000,VALUE($A983),1000000000),IFERROR(IF(VALUE(MID($A983,2,20))&lt;100000000,VALUE(MID($A983,2,20)),1000000000),1000000000))+ROW()/100000,"")</f>
        <v/>
      </c>
    </row>
    <row r="984">
      <c r="F984" s="7">
        <f>IF($A984="","",E984*N984/100)</f>
        <v/>
      </c>
      <c r="J984" s="7" t="n"/>
      <c r="K984" s="7">
        <f>IF($A984="","",S984*N984)</f>
        <v/>
      </c>
      <c r="L984" s="7">
        <f>IF($A984="","",N984-K984)</f>
        <v/>
      </c>
      <c r="M984" s="7">
        <f>IF($A984="","",L984-F984)</f>
        <v/>
      </c>
      <c r="N984" s="7" t="n"/>
      <c r="Q984" s="11" t="n"/>
      <c r="S984">
        <f>IF($A984="","",IF($W984=1,Settings!$C$6,Settings!$C$7)*1)</f>
        <v/>
      </c>
      <c r="U984">
        <f>IF($A984="","",IF(COUNTIF($A$2:$A984,$A984)=1,1,0))</f>
        <v/>
      </c>
      <c r="V984">
        <f>IF($U984=1,SUMPRODUCT(--($X$2:$X$3001&lt;$X984))+1,"")</f>
        <v/>
      </c>
      <c r="W984">
        <f>IF($A984="","",IF(OR($T984=TRUE(),$T984="TRUE"),1,0))</f>
        <v/>
      </c>
      <c r="X984">
        <f>IF($U984=1,IFERROR(IF(VALUE($A984)&lt;100000000,VALUE($A984),1000000000),IFERROR(IF(VALUE(MID($A984,2,20))&lt;100000000,VALUE(MID($A984,2,20)),1000000000),1000000000))+ROW()/100000,"")</f>
        <v/>
      </c>
    </row>
    <row r="985">
      <c r="F985" s="7">
        <f>IF($A985="","",E985*N985/100)</f>
        <v/>
      </c>
      <c r="J985" s="7" t="n"/>
      <c r="K985" s="7">
        <f>IF($A985="","",S985*N985)</f>
        <v/>
      </c>
      <c r="L985" s="7">
        <f>IF($A985="","",N985-K985)</f>
        <v/>
      </c>
      <c r="M985" s="7">
        <f>IF($A985="","",L985-F985)</f>
        <v/>
      </c>
      <c r="N985" s="7" t="n"/>
      <c r="Q985" s="11" t="n"/>
      <c r="S985">
        <f>IF($A985="","",IF($W985=1,Settings!$C$6,Settings!$C$7)*1)</f>
        <v/>
      </c>
      <c r="U985">
        <f>IF($A985="","",IF(COUNTIF($A$2:$A985,$A985)=1,1,0))</f>
        <v/>
      </c>
      <c r="V985">
        <f>IF($U985=1,SUMPRODUCT(--($X$2:$X$3001&lt;$X985))+1,"")</f>
        <v/>
      </c>
      <c r="W985">
        <f>IF($A985="","",IF(OR($T985=TRUE(),$T985="TRUE"),1,0))</f>
        <v/>
      </c>
      <c r="X985">
        <f>IF($U985=1,IFERROR(IF(VALUE($A985)&lt;100000000,VALUE($A985),1000000000),IFERROR(IF(VALUE(MID($A985,2,20))&lt;100000000,VALUE(MID($A985,2,20)),1000000000),1000000000))+ROW()/100000,"")</f>
        <v/>
      </c>
    </row>
    <row r="986">
      <c r="F986" s="7">
        <f>IF($A986="","",E986*N986/100)</f>
        <v/>
      </c>
      <c r="J986" s="7" t="n"/>
      <c r="K986" s="7">
        <f>IF($A986="","",S986*N986)</f>
        <v/>
      </c>
      <c r="L986" s="7">
        <f>IF($A986="","",N986-K986)</f>
        <v/>
      </c>
      <c r="M986" s="7">
        <f>IF($A986="","",L986-F986)</f>
        <v/>
      </c>
      <c r="N986" s="7" t="n"/>
      <c r="Q986" s="11" t="n"/>
      <c r="S986">
        <f>IF($A986="","",IF($W986=1,Settings!$C$6,Settings!$C$7)*1)</f>
        <v/>
      </c>
      <c r="U986">
        <f>IF($A986="","",IF(COUNTIF($A$2:$A986,$A986)=1,1,0))</f>
        <v/>
      </c>
      <c r="V986">
        <f>IF($U986=1,SUMPRODUCT(--($X$2:$X$3001&lt;$X986))+1,"")</f>
        <v/>
      </c>
      <c r="W986">
        <f>IF($A986="","",IF(OR($T986=TRUE(),$T986="TRUE"),1,0))</f>
        <v/>
      </c>
      <c r="X986">
        <f>IF($U986=1,IFERROR(IF(VALUE($A986)&lt;100000000,VALUE($A986),1000000000),IFERROR(IF(VALUE(MID($A986,2,20))&lt;100000000,VALUE(MID($A986,2,20)),1000000000),1000000000))+ROW()/100000,"")</f>
        <v/>
      </c>
    </row>
    <row r="987">
      <c r="F987" s="7">
        <f>IF($A987="","",E987*N987/100)</f>
        <v/>
      </c>
      <c r="J987" s="7" t="n"/>
      <c r="K987" s="7">
        <f>IF($A987="","",S987*N987)</f>
        <v/>
      </c>
      <c r="L987" s="7">
        <f>IF($A987="","",N987-K987)</f>
        <v/>
      </c>
      <c r="M987" s="7">
        <f>IF($A987="","",L987-F987)</f>
        <v/>
      </c>
      <c r="N987" s="7" t="n"/>
      <c r="Q987" s="11" t="n"/>
      <c r="S987">
        <f>IF($A987="","",IF($W987=1,Settings!$C$6,Settings!$C$7)*1)</f>
        <v/>
      </c>
      <c r="U987">
        <f>IF($A987="","",IF(COUNTIF($A$2:$A987,$A987)=1,1,0))</f>
        <v/>
      </c>
      <c r="V987">
        <f>IF($U987=1,SUMPRODUCT(--($X$2:$X$3001&lt;$X987))+1,"")</f>
        <v/>
      </c>
      <c r="W987">
        <f>IF($A987="","",IF(OR($T987=TRUE(),$T987="TRUE"),1,0))</f>
        <v/>
      </c>
      <c r="X987">
        <f>IF($U987=1,IFERROR(IF(VALUE($A987)&lt;100000000,VALUE($A987),1000000000),IFERROR(IF(VALUE(MID($A987,2,20))&lt;100000000,VALUE(MID($A987,2,20)),1000000000),1000000000))+ROW()/100000,"")</f>
        <v/>
      </c>
    </row>
    <row r="988">
      <c r="F988" s="7">
        <f>IF($A988="","",E988*N988/100)</f>
        <v/>
      </c>
      <c r="J988" s="7" t="n"/>
      <c r="K988" s="7">
        <f>IF($A988="","",S988*N988)</f>
        <v/>
      </c>
      <c r="L988" s="7">
        <f>IF($A988="","",N988-K988)</f>
        <v/>
      </c>
      <c r="M988" s="7">
        <f>IF($A988="","",L988-F988)</f>
        <v/>
      </c>
      <c r="N988" s="7" t="n"/>
      <c r="Q988" s="11" t="n"/>
      <c r="S988">
        <f>IF($A988="","",IF($W988=1,Settings!$C$6,Settings!$C$7)*1)</f>
        <v/>
      </c>
      <c r="U988">
        <f>IF($A988="","",IF(COUNTIF($A$2:$A988,$A988)=1,1,0))</f>
        <v/>
      </c>
      <c r="V988">
        <f>IF($U988=1,SUMPRODUCT(--($X$2:$X$3001&lt;$X988))+1,"")</f>
        <v/>
      </c>
      <c r="W988">
        <f>IF($A988="","",IF(OR($T988=TRUE(),$T988="TRUE"),1,0))</f>
        <v/>
      </c>
      <c r="X988">
        <f>IF($U988=1,IFERROR(IF(VALUE($A988)&lt;100000000,VALUE($A988),1000000000),IFERROR(IF(VALUE(MID($A988,2,20))&lt;100000000,VALUE(MID($A988,2,20)),1000000000),1000000000))+ROW()/100000,"")</f>
        <v/>
      </c>
    </row>
    <row r="989">
      <c r="F989" s="7">
        <f>IF($A989="","",E989*N989/100)</f>
        <v/>
      </c>
      <c r="J989" s="7" t="n"/>
      <c r="K989" s="7">
        <f>IF($A989="","",S989*N989)</f>
        <v/>
      </c>
      <c r="L989" s="7">
        <f>IF($A989="","",N989-K989)</f>
        <v/>
      </c>
      <c r="M989" s="7">
        <f>IF($A989="","",L989-F989)</f>
        <v/>
      </c>
      <c r="N989" s="7" t="n"/>
      <c r="Q989" s="11" t="n"/>
      <c r="S989">
        <f>IF($A989="","",IF($W989=1,Settings!$C$6,Settings!$C$7)*1)</f>
        <v/>
      </c>
      <c r="U989">
        <f>IF($A989="","",IF(COUNTIF($A$2:$A989,$A989)=1,1,0))</f>
        <v/>
      </c>
      <c r="V989">
        <f>IF($U989=1,SUMPRODUCT(--($X$2:$X$3001&lt;$X989))+1,"")</f>
        <v/>
      </c>
      <c r="W989">
        <f>IF($A989="","",IF(OR($T989=TRUE(),$T989="TRUE"),1,0))</f>
        <v/>
      </c>
      <c r="X989">
        <f>IF($U989=1,IFERROR(IF(VALUE($A989)&lt;100000000,VALUE($A989),1000000000),IFERROR(IF(VALUE(MID($A989,2,20))&lt;100000000,VALUE(MID($A989,2,20)),1000000000),1000000000))+ROW()/100000,"")</f>
        <v/>
      </c>
    </row>
    <row r="990">
      <c r="F990" s="7">
        <f>IF($A990="","",E990*N990/100)</f>
        <v/>
      </c>
      <c r="J990" s="7" t="n"/>
      <c r="K990" s="7">
        <f>IF($A990="","",S990*N990)</f>
        <v/>
      </c>
      <c r="L990" s="7">
        <f>IF($A990="","",N990-K990)</f>
        <v/>
      </c>
      <c r="M990" s="7">
        <f>IF($A990="","",L990-F990)</f>
        <v/>
      </c>
      <c r="N990" s="7" t="n"/>
      <c r="Q990" s="11" t="n"/>
      <c r="S990">
        <f>IF($A990="","",IF($W990=1,Settings!$C$6,Settings!$C$7)*1)</f>
        <v/>
      </c>
      <c r="U990">
        <f>IF($A990="","",IF(COUNTIF($A$2:$A990,$A990)=1,1,0))</f>
        <v/>
      </c>
      <c r="V990">
        <f>IF($U990=1,SUMPRODUCT(--($X$2:$X$3001&lt;$X990))+1,"")</f>
        <v/>
      </c>
      <c r="W990">
        <f>IF($A990="","",IF(OR($T990=TRUE(),$T990="TRUE"),1,0))</f>
        <v/>
      </c>
      <c r="X990">
        <f>IF($U990=1,IFERROR(IF(VALUE($A990)&lt;100000000,VALUE($A990),1000000000),IFERROR(IF(VALUE(MID($A990,2,20))&lt;100000000,VALUE(MID($A990,2,20)),1000000000),1000000000))+ROW()/100000,"")</f>
        <v/>
      </c>
    </row>
    <row r="991">
      <c r="F991" s="7">
        <f>IF($A991="","",E991*N991/100)</f>
        <v/>
      </c>
      <c r="J991" s="7" t="n"/>
      <c r="K991" s="7">
        <f>IF($A991="","",S991*N991)</f>
        <v/>
      </c>
      <c r="L991" s="7">
        <f>IF($A991="","",N991-K991)</f>
        <v/>
      </c>
      <c r="M991" s="7">
        <f>IF($A991="","",L991-F991)</f>
        <v/>
      </c>
      <c r="N991" s="7" t="n"/>
      <c r="Q991" s="11" t="n"/>
      <c r="S991">
        <f>IF($A991="","",IF($W991=1,Settings!$C$6,Settings!$C$7)*1)</f>
        <v/>
      </c>
      <c r="U991">
        <f>IF($A991="","",IF(COUNTIF($A$2:$A991,$A991)=1,1,0))</f>
        <v/>
      </c>
      <c r="V991">
        <f>IF($U991=1,SUMPRODUCT(--($X$2:$X$3001&lt;$X991))+1,"")</f>
        <v/>
      </c>
      <c r="W991">
        <f>IF($A991="","",IF(OR($T991=TRUE(),$T991="TRUE"),1,0))</f>
        <v/>
      </c>
      <c r="X991">
        <f>IF($U991=1,IFERROR(IF(VALUE($A991)&lt;100000000,VALUE($A991),1000000000),IFERROR(IF(VALUE(MID($A991,2,20))&lt;100000000,VALUE(MID($A991,2,20)),1000000000),1000000000))+ROW()/100000,"")</f>
        <v/>
      </c>
    </row>
    <row r="992">
      <c r="F992" s="7">
        <f>IF($A992="","",E992*N992/100)</f>
        <v/>
      </c>
      <c r="J992" s="7" t="n"/>
      <c r="K992" s="7">
        <f>IF($A992="","",S992*N992)</f>
        <v/>
      </c>
      <c r="L992" s="7">
        <f>IF($A992="","",N992-K992)</f>
        <v/>
      </c>
      <c r="M992" s="7">
        <f>IF($A992="","",L992-F992)</f>
        <v/>
      </c>
      <c r="N992" s="7" t="n"/>
      <c r="Q992" s="11" t="n"/>
      <c r="S992">
        <f>IF($A992="","",IF($W992=1,Settings!$C$6,Settings!$C$7)*1)</f>
        <v/>
      </c>
      <c r="U992">
        <f>IF($A992="","",IF(COUNTIF($A$2:$A992,$A992)=1,1,0))</f>
        <v/>
      </c>
      <c r="V992">
        <f>IF($U992=1,SUMPRODUCT(--($X$2:$X$3001&lt;$X992))+1,"")</f>
        <v/>
      </c>
      <c r="W992">
        <f>IF($A992="","",IF(OR($T992=TRUE(),$T992="TRUE"),1,0))</f>
        <v/>
      </c>
      <c r="X992">
        <f>IF($U992=1,IFERROR(IF(VALUE($A992)&lt;100000000,VALUE($A992),1000000000),IFERROR(IF(VALUE(MID($A992,2,20))&lt;100000000,VALUE(MID($A992,2,20)),1000000000),1000000000))+ROW()/100000,"")</f>
        <v/>
      </c>
    </row>
    <row r="993">
      <c r="F993" s="7">
        <f>IF($A993="","",E993*N993/100)</f>
        <v/>
      </c>
      <c r="J993" s="7" t="n"/>
      <c r="K993" s="7">
        <f>IF($A993="","",S993*N993)</f>
        <v/>
      </c>
      <c r="L993" s="7">
        <f>IF($A993="","",N993-K993)</f>
        <v/>
      </c>
      <c r="M993" s="7">
        <f>IF($A993="","",L993-F993)</f>
        <v/>
      </c>
      <c r="N993" s="7" t="n"/>
      <c r="Q993" s="11" t="n"/>
      <c r="S993">
        <f>IF($A993="","",IF($W993=1,Settings!$C$6,Settings!$C$7)*1)</f>
        <v/>
      </c>
      <c r="U993">
        <f>IF($A993="","",IF(COUNTIF($A$2:$A993,$A993)=1,1,0))</f>
        <v/>
      </c>
      <c r="V993">
        <f>IF($U993=1,SUMPRODUCT(--($X$2:$X$3001&lt;$X993))+1,"")</f>
        <v/>
      </c>
      <c r="W993">
        <f>IF($A993="","",IF(OR($T993=TRUE(),$T993="TRUE"),1,0))</f>
        <v/>
      </c>
      <c r="X993">
        <f>IF($U993=1,IFERROR(IF(VALUE($A993)&lt;100000000,VALUE($A993),1000000000),IFERROR(IF(VALUE(MID($A993,2,20))&lt;100000000,VALUE(MID($A993,2,20)),1000000000),1000000000))+ROW()/100000,"")</f>
        <v/>
      </c>
    </row>
    <row r="994">
      <c r="F994" s="7">
        <f>IF($A994="","",E994*N994/100)</f>
        <v/>
      </c>
      <c r="J994" s="7" t="n"/>
      <c r="K994" s="7">
        <f>IF($A994="","",S994*N994)</f>
        <v/>
      </c>
      <c r="L994" s="7">
        <f>IF($A994="","",N994-K994)</f>
        <v/>
      </c>
      <c r="M994" s="7">
        <f>IF($A994="","",L994-F994)</f>
        <v/>
      </c>
      <c r="N994" s="7" t="n"/>
      <c r="Q994" s="11" t="n"/>
      <c r="S994">
        <f>IF($A994="","",IF($W994=1,Settings!$C$6,Settings!$C$7)*1)</f>
        <v/>
      </c>
      <c r="U994">
        <f>IF($A994="","",IF(COUNTIF($A$2:$A994,$A994)=1,1,0))</f>
        <v/>
      </c>
      <c r="V994">
        <f>IF($U994=1,SUMPRODUCT(--($X$2:$X$3001&lt;$X994))+1,"")</f>
        <v/>
      </c>
      <c r="W994">
        <f>IF($A994="","",IF(OR($T994=TRUE(),$T994="TRUE"),1,0))</f>
        <v/>
      </c>
      <c r="X994">
        <f>IF($U994=1,IFERROR(IF(VALUE($A994)&lt;100000000,VALUE($A994),1000000000),IFERROR(IF(VALUE(MID($A994,2,20))&lt;100000000,VALUE(MID($A994,2,20)),1000000000),1000000000))+ROW()/100000,"")</f>
        <v/>
      </c>
    </row>
    <row r="995">
      <c r="F995" s="7">
        <f>IF($A995="","",E995*N995/100)</f>
        <v/>
      </c>
      <c r="J995" s="7" t="n"/>
      <c r="K995" s="7">
        <f>IF($A995="","",S995*N995)</f>
        <v/>
      </c>
      <c r="L995" s="7">
        <f>IF($A995="","",N995-K995)</f>
        <v/>
      </c>
      <c r="M995" s="7">
        <f>IF($A995="","",L995-F995)</f>
        <v/>
      </c>
      <c r="N995" s="7" t="n"/>
      <c r="Q995" s="11" t="n"/>
      <c r="S995">
        <f>IF($A995="","",IF($W995=1,Settings!$C$6,Settings!$C$7)*1)</f>
        <v/>
      </c>
      <c r="U995">
        <f>IF($A995="","",IF(COUNTIF($A$2:$A995,$A995)=1,1,0))</f>
        <v/>
      </c>
      <c r="V995">
        <f>IF($U995=1,SUMPRODUCT(--($X$2:$X$3001&lt;$X995))+1,"")</f>
        <v/>
      </c>
      <c r="W995">
        <f>IF($A995="","",IF(OR($T995=TRUE(),$T995="TRUE"),1,0))</f>
        <v/>
      </c>
      <c r="X995">
        <f>IF($U995=1,IFERROR(IF(VALUE($A995)&lt;100000000,VALUE($A995),1000000000),IFERROR(IF(VALUE(MID($A995,2,20))&lt;100000000,VALUE(MID($A995,2,20)),1000000000),1000000000))+ROW()/100000,"")</f>
        <v/>
      </c>
    </row>
    <row r="996">
      <c r="F996" s="7">
        <f>IF($A996="","",E996*N996/100)</f>
        <v/>
      </c>
      <c r="J996" s="7" t="n"/>
      <c r="K996" s="7">
        <f>IF($A996="","",S996*N996)</f>
        <v/>
      </c>
      <c r="L996" s="7">
        <f>IF($A996="","",N996-K996)</f>
        <v/>
      </c>
      <c r="M996" s="7">
        <f>IF($A996="","",L996-F996)</f>
        <v/>
      </c>
      <c r="N996" s="7" t="n"/>
      <c r="Q996" s="11" t="n"/>
      <c r="S996">
        <f>IF($A996="","",IF($W996=1,Settings!$C$6,Settings!$C$7)*1)</f>
        <v/>
      </c>
      <c r="U996">
        <f>IF($A996="","",IF(COUNTIF($A$2:$A996,$A996)=1,1,0))</f>
        <v/>
      </c>
      <c r="V996">
        <f>IF($U996=1,SUMPRODUCT(--($X$2:$X$3001&lt;$X996))+1,"")</f>
        <v/>
      </c>
      <c r="W996">
        <f>IF($A996="","",IF(OR($T996=TRUE(),$T996="TRUE"),1,0))</f>
        <v/>
      </c>
      <c r="X996">
        <f>IF($U996=1,IFERROR(IF(VALUE($A996)&lt;100000000,VALUE($A996),1000000000),IFERROR(IF(VALUE(MID($A996,2,20))&lt;100000000,VALUE(MID($A996,2,20)),1000000000),1000000000))+ROW()/100000,"")</f>
        <v/>
      </c>
    </row>
    <row r="997">
      <c r="F997" s="7">
        <f>IF($A997="","",E997*N997/100)</f>
        <v/>
      </c>
      <c r="J997" s="7" t="n"/>
      <c r="K997" s="7">
        <f>IF($A997="","",S997*N997)</f>
        <v/>
      </c>
      <c r="L997" s="7">
        <f>IF($A997="","",N997-K997)</f>
        <v/>
      </c>
      <c r="M997" s="7">
        <f>IF($A997="","",L997-F997)</f>
        <v/>
      </c>
      <c r="N997" s="7" t="n"/>
      <c r="Q997" s="11" t="n"/>
      <c r="S997">
        <f>IF($A997="","",IF($W997=1,Settings!$C$6,Settings!$C$7)*1)</f>
        <v/>
      </c>
      <c r="U997">
        <f>IF($A997="","",IF(COUNTIF($A$2:$A997,$A997)=1,1,0))</f>
        <v/>
      </c>
      <c r="V997">
        <f>IF($U997=1,SUMPRODUCT(--($X$2:$X$3001&lt;$X997))+1,"")</f>
        <v/>
      </c>
      <c r="W997">
        <f>IF($A997="","",IF(OR($T997=TRUE(),$T997="TRUE"),1,0))</f>
        <v/>
      </c>
      <c r="X997">
        <f>IF($U997=1,IFERROR(IF(VALUE($A997)&lt;100000000,VALUE($A997),1000000000),IFERROR(IF(VALUE(MID($A997,2,20))&lt;100000000,VALUE(MID($A997,2,20)),1000000000),1000000000))+ROW()/100000,"")</f>
        <v/>
      </c>
    </row>
    <row r="998">
      <c r="F998" s="7">
        <f>IF($A998="","",E998*N998/100)</f>
        <v/>
      </c>
      <c r="J998" s="7" t="n"/>
      <c r="K998" s="7">
        <f>IF($A998="","",S998*N998)</f>
        <v/>
      </c>
      <c r="L998" s="7">
        <f>IF($A998="","",N998-K998)</f>
        <v/>
      </c>
      <c r="M998" s="7">
        <f>IF($A998="","",L998-F998)</f>
        <v/>
      </c>
      <c r="N998" s="7" t="n"/>
      <c r="Q998" s="11" t="n"/>
      <c r="S998">
        <f>IF($A998="","",IF($W998=1,Settings!$C$6,Settings!$C$7)*1)</f>
        <v/>
      </c>
      <c r="U998">
        <f>IF($A998="","",IF(COUNTIF($A$2:$A998,$A998)=1,1,0))</f>
        <v/>
      </c>
      <c r="V998">
        <f>IF($U998=1,SUMPRODUCT(--($X$2:$X$3001&lt;$X998))+1,"")</f>
        <v/>
      </c>
      <c r="W998">
        <f>IF($A998="","",IF(OR($T998=TRUE(),$T998="TRUE"),1,0))</f>
        <v/>
      </c>
      <c r="X998">
        <f>IF($U998=1,IFERROR(IF(VALUE($A998)&lt;100000000,VALUE($A998),1000000000),IFERROR(IF(VALUE(MID($A998,2,20))&lt;100000000,VALUE(MID($A998,2,20)),1000000000),1000000000))+ROW()/100000,"")</f>
        <v/>
      </c>
    </row>
    <row r="999">
      <c r="F999" s="7">
        <f>IF($A999="","",E999*N999/100)</f>
        <v/>
      </c>
      <c r="J999" s="7" t="n"/>
      <c r="K999" s="7">
        <f>IF($A999="","",S999*N999)</f>
        <v/>
      </c>
      <c r="L999" s="7">
        <f>IF($A999="","",N999-K999)</f>
        <v/>
      </c>
      <c r="M999" s="7">
        <f>IF($A999="","",L999-F999)</f>
        <v/>
      </c>
      <c r="N999" s="7" t="n"/>
      <c r="Q999" s="11" t="n"/>
      <c r="S999">
        <f>IF($A999="","",IF($W999=1,Settings!$C$6,Settings!$C$7)*1)</f>
        <v/>
      </c>
      <c r="U999">
        <f>IF($A999="","",IF(COUNTIF($A$2:$A999,$A999)=1,1,0))</f>
        <v/>
      </c>
      <c r="V999">
        <f>IF($U999=1,SUMPRODUCT(--($X$2:$X$3001&lt;$X999))+1,"")</f>
        <v/>
      </c>
      <c r="W999">
        <f>IF($A999="","",IF(OR($T999=TRUE(),$T999="TRUE"),1,0))</f>
        <v/>
      </c>
      <c r="X999">
        <f>IF($U999=1,IFERROR(IF(VALUE($A999)&lt;100000000,VALUE($A999),1000000000),IFERROR(IF(VALUE(MID($A999,2,20))&lt;100000000,VALUE(MID($A999,2,20)),1000000000),1000000000))+ROW()/100000,"")</f>
        <v/>
      </c>
    </row>
    <row r="1000">
      <c r="F1000" s="7">
        <f>IF($A1000="","",E1000*N1000/100)</f>
        <v/>
      </c>
      <c r="J1000" s="7" t="n"/>
      <c r="K1000" s="7">
        <f>IF($A1000="","",S1000*N1000)</f>
        <v/>
      </c>
      <c r="L1000" s="7">
        <f>IF($A1000="","",N1000-K1000)</f>
        <v/>
      </c>
      <c r="M1000" s="7">
        <f>IF($A1000="","",L1000-F1000)</f>
        <v/>
      </c>
      <c r="N1000" s="7" t="n"/>
      <c r="Q1000" s="11" t="n"/>
      <c r="S1000">
        <f>IF($A1000="","",IF($W1000=1,Settings!$C$6,Settings!$C$7)*1)</f>
        <v/>
      </c>
      <c r="U1000">
        <f>IF($A1000="","",IF(COUNTIF($A$2:$A1000,$A1000)=1,1,0))</f>
        <v/>
      </c>
      <c r="V1000">
        <f>IF($U1000=1,SUMPRODUCT(--($X$2:$X$3001&lt;$X1000))+1,"")</f>
        <v/>
      </c>
      <c r="W1000">
        <f>IF($A1000="","",IF(OR($T1000=TRUE(),$T1000="TRUE"),1,0))</f>
        <v/>
      </c>
      <c r="X1000">
        <f>IF($U1000=1,IFERROR(IF(VALUE($A1000)&lt;100000000,VALUE($A1000),1000000000),IFERROR(IF(VALUE(MID($A1000,2,20))&lt;100000000,VALUE(MID($A1000,2,20)),1000000000),1000000000))+ROW()/100000,"")</f>
        <v/>
      </c>
    </row>
    <row r="1001">
      <c r="F1001" s="7">
        <f>IF($A1001="","",E1001*N1001/100)</f>
        <v/>
      </c>
      <c r="J1001" s="7" t="n"/>
      <c r="K1001" s="7">
        <f>IF($A1001="","",S1001*N1001)</f>
        <v/>
      </c>
      <c r="L1001" s="7">
        <f>IF($A1001="","",N1001-K1001)</f>
        <v/>
      </c>
      <c r="M1001" s="7">
        <f>IF($A1001="","",L1001-F1001)</f>
        <v/>
      </c>
      <c r="N1001" s="7" t="n"/>
      <c r="Q1001" s="11" t="n"/>
      <c r="S1001">
        <f>IF($A1001="","",IF($W1001=1,Settings!$C$6,Settings!$C$7)*1)</f>
        <v/>
      </c>
      <c r="U1001">
        <f>IF($A1001="","",IF(COUNTIF($A$2:$A1001,$A1001)=1,1,0))</f>
        <v/>
      </c>
      <c r="V1001">
        <f>IF($U1001=1,SUMPRODUCT(--($X$2:$X$3001&lt;$X1001))+1,"")</f>
        <v/>
      </c>
      <c r="W1001">
        <f>IF($A1001="","",IF(OR($T1001=TRUE(),$T1001="TRUE"),1,0))</f>
        <v/>
      </c>
      <c r="X1001">
        <f>IF($U1001=1,IFERROR(IF(VALUE($A1001)&lt;100000000,VALUE($A1001),1000000000),IFERROR(IF(VALUE(MID($A1001,2,20))&lt;100000000,VALUE(MID($A1001,2,20)),1000000000),1000000000))+ROW()/100000,"")</f>
        <v/>
      </c>
    </row>
    <row r="1002">
      <c r="F1002" s="7">
        <f>IF($A1002="","",E1002*N1002/100)</f>
        <v/>
      </c>
      <c r="J1002" s="7" t="n"/>
      <c r="K1002" s="7">
        <f>IF($A1002="","",S1002*N1002)</f>
        <v/>
      </c>
      <c r="L1002" s="7">
        <f>IF($A1002="","",N1002-K1002)</f>
        <v/>
      </c>
      <c r="M1002" s="7">
        <f>IF($A1002="","",L1002-F1002)</f>
        <v/>
      </c>
      <c r="N1002" s="7" t="n"/>
      <c r="Q1002" s="11" t="n"/>
      <c r="S1002">
        <f>IF($A1002="","",IF($W1002=1,Settings!$C$6,Settings!$C$7)*1)</f>
        <v/>
      </c>
      <c r="U1002">
        <f>IF($A1002="","",IF(COUNTIF($A$2:$A1002,$A1002)=1,1,0))</f>
        <v/>
      </c>
      <c r="V1002">
        <f>IF($U1002=1,SUMPRODUCT(--($X$2:$X$3001&lt;$X1002))+1,"")</f>
        <v/>
      </c>
      <c r="W1002">
        <f>IF($A1002="","",IF(OR($T1002=TRUE(),$T1002="TRUE"),1,0))</f>
        <v/>
      </c>
      <c r="X1002">
        <f>IF($U1002=1,IFERROR(IF(VALUE($A1002)&lt;100000000,VALUE($A1002),1000000000),IFERROR(IF(VALUE(MID($A1002,2,20))&lt;100000000,VALUE(MID($A1002,2,20)),1000000000),1000000000))+ROW()/100000,"")</f>
        <v/>
      </c>
    </row>
    <row r="1003">
      <c r="F1003" s="7">
        <f>IF($A1003="","",E1003*N1003/100)</f>
        <v/>
      </c>
      <c r="J1003" s="7" t="n"/>
      <c r="K1003" s="7">
        <f>IF($A1003="","",S1003*N1003)</f>
        <v/>
      </c>
      <c r="L1003" s="7">
        <f>IF($A1003="","",N1003-K1003)</f>
        <v/>
      </c>
      <c r="M1003" s="7">
        <f>IF($A1003="","",L1003-F1003)</f>
        <v/>
      </c>
      <c r="N1003" s="7" t="n"/>
      <c r="Q1003" s="11" t="n"/>
      <c r="S1003">
        <f>IF($A1003="","",IF($W1003=1,Settings!$C$6,Settings!$C$7)*1)</f>
        <v/>
      </c>
      <c r="U1003">
        <f>IF($A1003="","",IF(COUNTIF($A$2:$A1003,$A1003)=1,1,0))</f>
        <v/>
      </c>
      <c r="V1003">
        <f>IF($U1003=1,SUMPRODUCT(--($X$2:$X$3001&lt;$X1003))+1,"")</f>
        <v/>
      </c>
      <c r="W1003">
        <f>IF($A1003="","",IF(OR($T1003=TRUE(),$T1003="TRUE"),1,0))</f>
        <v/>
      </c>
      <c r="X1003">
        <f>IF($U1003=1,IFERROR(IF(VALUE($A1003)&lt;100000000,VALUE($A1003),1000000000),IFERROR(IF(VALUE(MID($A1003,2,20))&lt;100000000,VALUE(MID($A1003,2,20)),1000000000),1000000000))+ROW()/100000,"")</f>
        <v/>
      </c>
    </row>
    <row r="1004">
      <c r="F1004" s="7">
        <f>IF($A1004="","",E1004*N1004/100)</f>
        <v/>
      </c>
      <c r="J1004" s="7" t="n"/>
      <c r="K1004" s="7">
        <f>IF($A1004="","",S1004*N1004)</f>
        <v/>
      </c>
      <c r="L1004" s="7">
        <f>IF($A1004="","",N1004-K1004)</f>
        <v/>
      </c>
      <c r="M1004" s="7">
        <f>IF($A1004="","",L1004-F1004)</f>
        <v/>
      </c>
      <c r="N1004" s="7" t="n"/>
      <c r="Q1004" s="11" t="n"/>
      <c r="S1004">
        <f>IF($A1004="","",IF($W1004=1,Settings!$C$6,Settings!$C$7)*1)</f>
        <v/>
      </c>
      <c r="U1004">
        <f>IF($A1004="","",IF(COUNTIF($A$2:$A1004,$A1004)=1,1,0))</f>
        <v/>
      </c>
      <c r="V1004">
        <f>IF($U1004=1,SUMPRODUCT(--($X$2:$X$3001&lt;$X1004))+1,"")</f>
        <v/>
      </c>
      <c r="W1004">
        <f>IF($A1004="","",IF(OR($T1004=TRUE(),$T1004="TRUE"),1,0))</f>
        <v/>
      </c>
      <c r="X1004">
        <f>IF($U1004=1,IFERROR(IF(VALUE($A1004)&lt;100000000,VALUE($A1004),1000000000),IFERROR(IF(VALUE(MID($A1004,2,20))&lt;100000000,VALUE(MID($A1004,2,20)),1000000000),1000000000))+ROW()/100000,"")</f>
        <v/>
      </c>
    </row>
    <row r="1005">
      <c r="F1005" s="7">
        <f>IF($A1005="","",E1005*N1005/100)</f>
        <v/>
      </c>
      <c r="J1005" s="7" t="n"/>
      <c r="K1005" s="7">
        <f>IF($A1005="","",S1005*N1005)</f>
        <v/>
      </c>
      <c r="L1005" s="7">
        <f>IF($A1005="","",N1005-K1005)</f>
        <v/>
      </c>
      <c r="M1005" s="7">
        <f>IF($A1005="","",L1005-F1005)</f>
        <v/>
      </c>
      <c r="N1005" s="7" t="n"/>
      <c r="Q1005" s="11" t="n"/>
      <c r="S1005">
        <f>IF($A1005="","",IF($W1005=1,Settings!$C$6,Settings!$C$7)*1)</f>
        <v/>
      </c>
      <c r="U1005">
        <f>IF($A1005="","",IF(COUNTIF($A$2:$A1005,$A1005)=1,1,0))</f>
        <v/>
      </c>
      <c r="V1005">
        <f>IF($U1005=1,SUMPRODUCT(--($X$2:$X$3001&lt;$X1005))+1,"")</f>
        <v/>
      </c>
      <c r="W1005">
        <f>IF($A1005="","",IF(OR($T1005=TRUE(),$T1005="TRUE"),1,0))</f>
        <v/>
      </c>
      <c r="X1005">
        <f>IF($U1005=1,IFERROR(IF(VALUE($A1005)&lt;100000000,VALUE($A1005),1000000000),IFERROR(IF(VALUE(MID($A1005,2,20))&lt;100000000,VALUE(MID($A1005,2,20)),1000000000),1000000000))+ROW()/100000,"")</f>
        <v/>
      </c>
    </row>
    <row r="1006">
      <c r="F1006" s="7">
        <f>IF($A1006="","",E1006*N1006/100)</f>
        <v/>
      </c>
      <c r="J1006" s="7" t="n"/>
      <c r="K1006" s="7">
        <f>IF($A1006="","",S1006*N1006)</f>
        <v/>
      </c>
      <c r="L1006" s="7">
        <f>IF($A1006="","",N1006-K1006)</f>
        <v/>
      </c>
      <c r="M1006" s="7">
        <f>IF($A1006="","",L1006-F1006)</f>
        <v/>
      </c>
      <c r="N1006" s="7" t="n"/>
      <c r="Q1006" s="11" t="n"/>
      <c r="S1006">
        <f>IF($A1006="","",IF($W1006=1,Settings!$C$6,Settings!$C$7)*1)</f>
        <v/>
      </c>
      <c r="U1006">
        <f>IF($A1006="","",IF(COUNTIF($A$2:$A1006,$A1006)=1,1,0))</f>
        <v/>
      </c>
      <c r="V1006">
        <f>IF($U1006=1,SUMPRODUCT(--($X$2:$X$3001&lt;$X1006))+1,"")</f>
        <v/>
      </c>
      <c r="W1006">
        <f>IF($A1006="","",IF(OR($T1006=TRUE(),$T1006="TRUE"),1,0))</f>
        <v/>
      </c>
      <c r="X1006">
        <f>IF($U1006=1,IFERROR(IF(VALUE($A1006)&lt;100000000,VALUE($A1006),1000000000),IFERROR(IF(VALUE(MID($A1006,2,20))&lt;100000000,VALUE(MID($A1006,2,20)),1000000000),1000000000))+ROW()/100000,"")</f>
        <v/>
      </c>
    </row>
    <row r="1007">
      <c r="F1007" s="7">
        <f>IF($A1007="","",E1007*N1007/100)</f>
        <v/>
      </c>
      <c r="J1007" s="7" t="n"/>
      <c r="K1007" s="7">
        <f>IF($A1007="","",S1007*N1007)</f>
        <v/>
      </c>
      <c r="L1007" s="7">
        <f>IF($A1007="","",N1007-K1007)</f>
        <v/>
      </c>
      <c r="M1007" s="7">
        <f>IF($A1007="","",L1007-F1007)</f>
        <v/>
      </c>
      <c r="N1007" s="7" t="n"/>
      <c r="Q1007" s="11" t="n"/>
      <c r="S1007">
        <f>IF($A1007="","",IF($W1007=1,Settings!$C$6,Settings!$C$7)*1)</f>
        <v/>
      </c>
      <c r="U1007">
        <f>IF($A1007="","",IF(COUNTIF($A$2:$A1007,$A1007)=1,1,0))</f>
        <v/>
      </c>
      <c r="V1007">
        <f>IF($U1007=1,SUMPRODUCT(--($X$2:$X$3001&lt;$X1007))+1,"")</f>
        <v/>
      </c>
      <c r="W1007">
        <f>IF($A1007="","",IF(OR($T1007=TRUE(),$T1007="TRUE"),1,0))</f>
        <v/>
      </c>
      <c r="X1007">
        <f>IF($U1007=1,IFERROR(IF(VALUE($A1007)&lt;100000000,VALUE($A1007),1000000000),IFERROR(IF(VALUE(MID($A1007,2,20))&lt;100000000,VALUE(MID($A1007,2,20)),1000000000),1000000000))+ROW()/100000,"")</f>
        <v/>
      </c>
    </row>
    <row r="1008">
      <c r="F1008" s="7">
        <f>IF($A1008="","",E1008*N1008/100)</f>
        <v/>
      </c>
      <c r="J1008" s="7" t="n"/>
      <c r="K1008" s="7">
        <f>IF($A1008="","",S1008*N1008)</f>
        <v/>
      </c>
      <c r="L1008" s="7">
        <f>IF($A1008="","",N1008-K1008)</f>
        <v/>
      </c>
      <c r="M1008" s="7">
        <f>IF($A1008="","",L1008-F1008)</f>
        <v/>
      </c>
      <c r="N1008" s="7" t="n"/>
      <c r="Q1008" s="11" t="n"/>
      <c r="S1008">
        <f>IF($A1008="","",IF($W1008=1,Settings!$C$6,Settings!$C$7)*1)</f>
        <v/>
      </c>
      <c r="U1008">
        <f>IF($A1008="","",IF(COUNTIF($A$2:$A1008,$A1008)=1,1,0))</f>
        <v/>
      </c>
      <c r="V1008">
        <f>IF($U1008=1,SUMPRODUCT(--($X$2:$X$3001&lt;$X1008))+1,"")</f>
        <v/>
      </c>
      <c r="W1008">
        <f>IF($A1008="","",IF(OR($T1008=TRUE(),$T1008="TRUE"),1,0))</f>
        <v/>
      </c>
      <c r="X1008">
        <f>IF($U1008=1,IFERROR(IF(VALUE($A1008)&lt;100000000,VALUE($A1008),1000000000),IFERROR(IF(VALUE(MID($A1008,2,20))&lt;100000000,VALUE(MID($A1008,2,20)),1000000000),1000000000))+ROW()/100000,"")</f>
        <v/>
      </c>
    </row>
    <row r="1009">
      <c r="F1009" s="7">
        <f>IF($A1009="","",E1009*N1009/100)</f>
        <v/>
      </c>
      <c r="J1009" s="7" t="n"/>
      <c r="K1009" s="7">
        <f>IF($A1009="","",S1009*N1009)</f>
        <v/>
      </c>
      <c r="L1009" s="7">
        <f>IF($A1009="","",N1009-K1009)</f>
        <v/>
      </c>
      <c r="M1009" s="7">
        <f>IF($A1009="","",L1009-F1009)</f>
        <v/>
      </c>
      <c r="N1009" s="7" t="n"/>
      <c r="Q1009" s="11" t="n"/>
      <c r="S1009">
        <f>IF($A1009="","",IF($W1009=1,Settings!$C$6,Settings!$C$7)*1)</f>
        <v/>
      </c>
      <c r="U1009">
        <f>IF($A1009="","",IF(COUNTIF($A$2:$A1009,$A1009)=1,1,0))</f>
        <v/>
      </c>
      <c r="V1009">
        <f>IF($U1009=1,SUMPRODUCT(--($X$2:$X$3001&lt;$X1009))+1,"")</f>
        <v/>
      </c>
      <c r="W1009">
        <f>IF($A1009="","",IF(OR($T1009=TRUE(),$T1009="TRUE"),1,0))</f>
        <v/>
      </c>
      <c r="X1009">
        <f>IF($U1009=1,IFERROR(IF(VALUE($A1009)&lt;100000000,VALUE($A1009),1000000000),IFERROR(IF(VALUE(MID($A1009,2,20))&lt;100000000,VALUE(MID($A1009,2,20)),1000000000),1000000000))+ROW()/100000,"")</f>
        <v/>
      </c>
    </row>
    <row r="1010">
      <c r="F1010" s="7">
        <f>IF($A1010="","",E1010*N1010/100)</f>
        <v/>
      </c>
      <c r="J1010" s="7" t="n"/>
      <c r="K1010" s="7">
        <f>IF($A1010="","",S1010*N1010)</f>
        <v/>
      </c>
      <c r="L1010" s="7">
        <f>IF($A1010="","",N1010-K1010)</f>
        <v/>
      </c>
      <c r="M1010" s="7">
        <f>IF($A1010="","",L1010-F1010)</f>
        <v/>
      </c>
      <c r="N1010" s="7" t="n"/>
      <c r="Q1010" s="11" t="n"/>
      <c r="S1010">
        <f>IF($A1010="","",IF($W1010=1,Settings!$C$6,Settings!$C$7)*1)</f>
        <v/>
      </c>
      <c r="U1010">
        <f>IF($A1010="","",IF(COUNTIF($A$2:$A1010,$A1010)=1,1,0))</f>
        <v/>
      </c>
      <c r="V1010">
        <f>IF($U1010=1,SUMPRODUCT(--($X$2:$X$3001&lt;$X1010))+1,"")</f>
        <v/>
      </c>
      <c r="W1010">
        <f>IF($A1010="","",IF(OR($T1010=TRUE(),$T1010="TRUE"),1,0))</f>
        <v/>
      </c>
      <c r="X1010">
        <f>IF($U1010=1,IFERROR(IF(VALUE($A1010)&lt;100000000,VALUE($A1010),1000000000),IFERROR(IF(VALUE(MID($A1010,2,20))&lt;100000000,VALUE(MID($A1010,2,20)),1000000000),1000000000))+ROW()/100000,"")</f>
        <v/>
      </c>
    </row>
    <row r="1011">
      <c r="F1011" s="7">
        <f>IF($A1011="","",E1011*N1011/100)</f>
        <v/>
      </c>
      <c r="J1011" s="7" t="n"/>
      <c r="K1011" s="7">
        <f>IF($A1011="","",S1011*N1011)</f>
        <v/>
      </c>
      <c r="L1011" s="7">
        <f>IF($A1011="","",N1011-K1011)</f>
        <v/>
      </c>
      <c r="M1011" s="7">
        <f>IF($A1011="","",L1011-F1011)</f>
        <v/>
      </c>
      <c r="N1011" s="7" t="n"/>
      <c r="Q1011" s="11" t="n"/>
      <c r="S1011">
        <f>IF($A1011="","",IF($W1011=1,Settings!$C$6,Settings!$C$7)*1)</f>
        <v/>
      </c>
      <c r="U1011">
        <f>IF($A1011="","",IF(COUNTIF($A$2:$A1011,$A1011)=1,1,0))</f>
        <v/>
      </c>
      <c r="V1011">
        <f>IF($U1011=1,SUMPRODUCT(--($X$2:$X$3001&lt;$X1011))+1,"")</f>
        <v/>
      </c>
      <c r="W1011">
        <f>IF($A1011="","",IF(OR($T1011=TRUE(),$T1011="TRUE"),1,0))</f>
        <v/>
      </c>
      <c r="X1011">
        <f>IF($U1011=1,IFERROR(IF(VALUE($A1011)&lt;100000000,VALUE($A1011),1000000000),IFERROR(IF(VALUE(MID($A1011,2,20))&lt;100000000,VALUE(MID($A1011,2,20)),1000000000),1000000000))+ROW()/100000,"")</f>
        <v/>
      </c>
    </row>
    <row r="1012">
      <c r="F1012" s="7">
        <f>IF($A1012="","",E1012*N1012/100)</f>
        <v/>
      </c>
      <c r="J1012" s="7" t="n"/>
      <c r="K1012" s="7">
        <f>IF($A1012="","",S1012*N1012)</f>
        <v/>
      </c>
      <c r="L1012" s="7">
        <f>IF($A1012="","",N1012-K1012)</f>
        <v/>
      </c>
      <c r="M1012" s="7">
        <f>IF($A1012="","",L1012-F1012)</f>
        <v/>
      </c>
      <c r="N1012" s="7" t="n"/>
      <c r="Q1012" s="11" t="n"/>
      <c r="S1012">
        <f>IF($A1012="","",IF($W1012=1,Settings!$C$6,Settings!$C$7)*1)</f>
        <v/>
      </c>
      <c r="U1012">
        <f>IF($A1012="","",IF(COUNTIF($A$2:$A1012,$A1012)=1,1,0))</f>
        <v/>
      </c>
      <c r="V1012">
        <f>IF($U1012=1,SUMPRODUCT(--($X$2:$X$3001&lt;$X1012))+1,"")</f>
        <v/>
      </c>
      <c r="W1012">
        <f>IF($A1012="","",IF(OR($T1012=TRUE(),$T1012="TRUE"),1,0))</f>
        <v/>
      </c>
      <c r="X1012">
        <f>IF($U1012=1,IFERROR(IF(VALUE($A1012)&lt;100000000,VALUE($A1012),1000000000),IFERROR(IF(VALUE(MID($A1012,2,20))&lt;100000000,VALUE(MID($A1012,2,20)),1000000000),1000000000))+ROW()/100000,"")</f>
        <v/>
      </c>
    </row>
    <row r="1013">
      <c r="F1013" s="7">
        <f>IF($A1013="","",E1013*N1013/100)</f>
        <v/>
      </c>
      <c r="J1013" s="7" t="n"/>
      <c r="K1013" s="7">
        <f>IF($A1013="","",S1013*N1013)</f>
        <v/>
      </c>
      <c r="L1013" s="7">
        <f>IF($A1013="","",N1013-K1013)</f>
        <v/>
      </c>
      <c r="M1013" s="7">
        <f>IF($A1013="","",L1013-F1013)</f>
        <v/>
      </c>
      <c r="N1013" s="7" t="n"/>
      <c r="Q1013" s="11" t="n"/>
      <c r="S1013">
        <f>IF($A1013="","",IF($W1013=1,Settings!$C$6,Settings!$C$7)*1)</f>
        <v/>
      </c>
      <c r="U1013">
        <f>IF($A1013="","",IF(COUNTIF($A$2:$A1013,$A1013)=1,1,0))</f>
        <v/>
      </c>
      <c r="V1013">
        <f>IF($U1013=1,SUMPRODUCT(--($X$2:$X$3001&lt;$X1013))+1,"")</f>
        <v/>
      </c>
      <c r="W1013">
        <f>IF($A1013="","",IF(OR($T1013=TRUE(),$T1013="TRUE"),1,0))</f>
        <v/>
      </c>
      <c r="X1013">
        <f>IF($U1013=1,IFERROR(IF(VALUE($A1013)&lt;100000000,VALUE($A1013),1000000000),IFERROR(IF(VALUE(MID($A1013,2,20))&lt;100000000,VALUE(MID($A1013,2,20)),1000000000),1000000000))+ROW()/100000,"")</f>
        <v/>
      </c>
    </row>
    <row r="1014">
      <c r="F1014" s="7">
        <f>IF($A1014="","",E1014*N1014/100)</f>
        <v/>
      </c>
      <c r="J1014" s="7" t="n"/>
      <c r="K1014" s="7">
        <f>IF($A1014="","",S1014*N1014)</f>
        <v/>
      </c>
      <c r="L1014" s="7">
        <f>IF($A1014="","",N1014-K1014)</f>
        <v/>
      </c>
      <c r="M1014" s="7">
        <f>IF($A1014="","",L1014-F1014)</f>
        <v/>
      </c>
      <c r="N1014" s="7" t="n"/>
      <c r="Q1014" s="11" t="n"/>
      <c r="S1014">
        <f>IF($A1014="","",IF($W1014=1,Settings!$C$6,Settings!$C$7)*1)</f>
        <v/>
      </c>
      <c r="U1014">
        <f>IF($A1014="","",IF(COUNTIF($A$2:$A1014,$A1014)=1,1,0))</f>
        <v/>
      </c>
      <c r="V1014">
        <f>IF($U1014=1,SUMPRODUCT(--($X$2:$X$3001&lt;$X1014))+1,"")</f>
        <v/>
      </c>
      <c r="W1014">
        <f>IF($A1014="","",IF(OR($T1014=TRUE(),$T1014="TRUE"),1,0))</f>
        <v/>
      </c>
      <c r="X1014">
        <f>IF($U1014=1,IFERROR(IF(VALUE($A1014)&lt;100000000,VALUE($A1014),1000000000),IFERROR(IF(VALUE(MID($A1014,2,20))&lt;100000000,VALUE(MID($A1014,2,20)),1000000000),1000000000))+ROW()/100000,"")</f>
        <v/>
      </c>
    </row>
    <row r="1015">
      <c r="F1015" s="7">
        <f>IF($A1015="","",E1015*N1015/100)</f>
        <v/>
      </c>
      <c r="J1015" s="7" t="n"/>
      <c r="K1015" s="7">
        <f>IF($A1015="","",S1015*N1015)</f>
        <v/>
      </c>
      <c r="L1015" s="7">
        <f>IF($A1015="","",N1015-K1015)</f>
        <v/>
      </c>
      <c r="M1015" s="7">
        <f>IF($A1015="","",L1015-F1015)</f>
        <v/>
      </c>
      <c r="N1015" s="7" t="n"/>
      <c r="Q1015" s="11" t="n"/>
      <c r="S1015">
        <f>IF($A1015="","",IF($W1015=1,Settings!$C$6,Settings!$C$7)*1)</f>
        <v/>
      </c>
      <c r="U1015">
        <f>IF($A1015="","",IF(COUNTIF($A$2:$A1015,$A1015)=1,1,0))</f>
        <v/>
      </c>
      <c r="V1015">
        <f>IF($U1015=1,SUMPRODUCT(--($X$2:$X$3001&lt;$X1015))+1,"")</f>
        <v/>
      </c>
      <c r="W1015">
        <f>IF($A1015="","",IF(OR($T1015=TRUE(),$T1015="TRUE"),1,0))</f>
        <v/>
      </c>
      <c r="X1015">
        <f>IF($U1015=1,IFERROR(IF(VALUE($A1015)&lt;100000000,VALUE($A1015),1000000000),IFERROR(IF(VALUE(MID($A1015,2,20))&lt;100000000,VALUE(MID($A1015,2,20)),1000000000),1000000000))+ROW()/100000,"")</f>
        <v/>
      </c>
    </row>
    <row r="1016">
      <c r="F1016" s="7">
        <f>IF($A1016="","",E1016*N1016/100)</f>
        <v/>
      </c>
      <c r="J1016" s="7" t="n"/>
      <c r="K1016" s="7">
        <f>IF($A1016="","",S1016*N1016)</f>
        <v/>
      </c>
      <c r="L1016" s="7">
        <f>IF($A1016="","",N1016-K1016)</f>
        <v/>
      </c>
      <c r="M1016" s="7">
        <f>IF($A1016="","",L1016-F1016)</f>
        <v/>
      </c>
      <c r="N1016" s="7" t="n"/>
      <c r="Q1016" s="11" t="n"/>
      <c r="S1016">
        <f>IF($A1016="","",IF($W1016=1,Settings!$C$6,Settings!$C$7)*1)</f>
        <v/>
      </c>
      <c r="U1016">
        <f>IF($A1016="","",IF(COUNTIF($A$2:$A1016,$A1016)=1,1,0))</f>
        <v/>
      </c>
      <c r="V1016">
        <f>IF($U1016=1,SUMPRODUCT(--($X$2:$X$3001&lt;$X1016))+1,"")</f>
        <v/>
      </c>
      <c r="W1016">
        <f>IF($A1016="","",IF(OR($T1016=TRUE(),$T1016="TRUE"),1,0))</f>
        <v/>
      </c>
      <c r="X1016">
        <f>IF($U1016=1,IFERROR(IF(VALUE($A1016)&lt;100000000,VALUE($A1016),1000000000),IFERROR(IF(VALUE(MID($A1016,2,20))&lt;100000000,VALUE(MID($A1016,2,20)),1000000000),1000000000))+ROW()/100000,"")</f>
        <v/>
      </c>
    </row>
    <row r="1017">
      <c r="F1017" s="7">
        <f>IF($A1017="","",E1017*N1017/100)</f>
        <v/>
      </c>
      <c r="J1017" s="7" t="n"/>
      <c r="K1017" s="7">
        <f>IF($A1017="","",S1017*N1017)</f>
        <v/>
      </c>
      <c r="L1017" s="7">
        <f>IF($A1017="","",N1017-K1017)</f>
        <v/>
      </c>
      <c r="M1017" s="7">
        <f>IF($A1017="","",L1017-F1017)</f>
        <v/>
      </c>
      <c r="N1017" s="7" t="n"/>
      <c r="Q1017" s="11" t="n"/>
      <c r="S1017">
        <f>IF($A1017="","",IF($W1017=1,Settings!$C$6,Settings!$C$7)*1)</f>
        <v/>
      </c>
      <c r="U1017">
        <f>IF($A1017="","",IF(COUNTIF($A$2:$A1017,$A1017)=1,1,0))</f>
        <v/>
      </c>
      <c r="V1017">
        <f>IF($U1017=1,SUMPRODUCT(--($X$2:$X$3001&lt;$X1017))+1,"")</f>
        <v/>
      </c>
      <c r="W1017">
        <f>IF($A1017="","",IF(OR($T1017=TRUE(),$T1017="TRUE"),1,0))</f>
        <v/>
      </c>
      <c r="X1017">
        <f>IF($U1017=1,IFERROR(IF(VALUE($A1017)&lt;100000000,VALUE($A1017),1000000000),IFERROR(IF(VALUE(MID($A1017,2,20))&lt;100000000,VALUE(MID($A1017,2,20)),1000000000),1000000000))+ROW()/100000,"")</f>
        <v/>
      </c>
    </row>
    <row r="1018">
      <c r="F1018" s="7">
        <f>IF($A1018="","",E1018*N1018/100)</f>
        <v/>
      </c>
      <c r="J1018" s="7" t="n"/>
      <c r="K1018" s="7">
        <f>IF($A1018="","",S1018*N1018)</f>
        <v/>
      </c>
      <c r="L1018" s="7">
        <f>IF($A1018="","",N1018-K1018)</f>
        <v/>
      </c>
      <c r="M1018" s="7">
        <f>IF($A1018="","",L1018-F1018)</f>
        <v/>
      </c>
      <c r="N1018" s="7" t="n"/>
      <c r="Q1018" s="11" t="n"/>
      <c r="S1018">
        <f>IF($A1018="","",IF($W1018=1,Settings!$C$6,Settings!$C$7)*1)</f>
        <v/>
      </c>
      <c r="U1018">
        <f>IF($A1018="","",IF(COUNTIF($A$2:$A1018,$A1018)=1,1,0))</f>
        <v/>
      </c>
      <c r="V1018">
        <f>IF($U1018=1,SUMPRODUCT(--($X$2:$X$3001&lt;$X1018))+1,"")</f>
        <v/>
      </c>
      <c r="W1018">
        <f>IF($A1018="","",IF(OR($T1018=TRUE(),$T1018="TRUE"),1,0))</f>
        <v/>
      </c>
      <c r="X1018">
        <f>IF($U1018=1,IFERROR(IF(VALUE($A1018)&lt;100000000,VALUE($A1018),1000000000),IFERROR(IF(VALUE(MID($A1018,2,20))&lt;100000000,VALUE(MID($A1018,2,20)),1000000000),1000000000))+ROW()/100000,"")</f>
        <v/>
      </c>
    </row>
    <row r="1019">
      <c r="F1019" s="7">
        <f>IF($A1019="","",E1019*N1019/100)</f>
        <v/>
      </c>
      <c r="J1019" s="7" t="n"/>
      <c r="K1019" s="7">
        <f>IF($A1019="","",S1019*N1019)</f>
        <v/>
      </c>
      <c r="L1019" s="7">
        <f>IF($A1019="","",N1019-K1019)</f>
        <v/>
      </c>
      <c r="M1019" s="7">
        <f>IF($A1019="","",L1019-F1019)</f>
        <v/>
      </c>
      <c r="N1019" s="7" t="n"/>
      <c r="Q1019" s="11" t="n"/>
      <c r="S1019">
        <f>IF($A1019="","",IF($W1019=1,Settings!$C$6,Settings!$C$7)*1)</f>
        <v/>
      </c>
      <c r="U1019">
        <f>IF($A1019="","",IF(COUNTIF($A$2:$A1019,$A1019)=1,1,0))</f>
        <v/>
      </c>
      <c r="V1019">
        <f>IF($U1019=1,SUMPRODUCT(--($X$2:$X$3001&lt;$X1019))+1,"")</f>
        <v/>
      </c>
      <c r="W1019">
        <f>IF($A1019="","",IF(OR($T1019=TRUE(),$T1019="TRUE"),1,0))</f>
        <v/>
      </c>
      <c r="X1019">
        <f>IF($U1019=1,IFERROR(IF(VALUE($A1019)&lt;100000000,VALUE($A1019),1000000000),IFERROR(IF(VALUE(MID($A1019,2,20))&lt;100000000,VALUE(MID($A1019,2,20)),1000000000),1000000000))+ROW()/100000,"")</f>
        <v/>
      </c>
    </row>
    <row r="1020">
      <c r="F1020" s="7">
        <f>IF($A1020="","",E1020*N1020/100)</f>
        <v/>
      </c>
      <c r="J1020" s="7" t="n"/>
      <c r="K1020" s="7">
        <f>IF($A1020="","",S1020*N1020)</f>
        <v/>
      </c>
      <c r="L1020" s="7">
        <f>IF($A1020="","",N1020-K1020)</f>
        <v/>
      </c>
      <c r="M1020" s="7">
        <f>IF($A1020="","",L1020-F1020)</f>
        <v/>
      </c>
      <c r="N1020" s="7" t="n"/>
      <c r="Q1020" s="11" t="n"/>
      <c r="S1020">
        <f>IF($A1020="","",IF($W1020=1,Settings!$C$6,Settings!$C$7)*1)</f>
        <v/>
      </c>
      <c r="U1020">
        <f>IF($A1020="","",IF(COUNTIF($A$2:$A1020,$A1020)=1,1,0))</f>
        <v/>
      </c>
      <c r="V1020">
        <f>IF($U1020=1,SUMPRODUCT(--($X$2:$X$3001&lt;$X1020))+1,"")</f>
        <v/>
      </c>
      <c r="W1020">
        <f>IF($A1020="","",IF(OR($T1020=TRUE(),$T1020="TRUE"),1,0))</f>
        <v/>
      </c>
      <c r="X1020">
        <f>IF($U1020=1,IFERROR(IF(VALUE($A1020)&lt;100000000,VALUE($A1020),1000000000),IFERROR(IF(VALUE(MID($A1020,2,20))&lt;100000000,VALUE(MID($A1020,2,20)),1000000000),1000000000))+ROW()/100000,"")</f>
        <v/>
      </c>
    </row>
    <row r="1021">
      <c r="F1021" s="7">
        <f>IF($A1021="","",E1021*N1021/100)</f>
        <v/>
      </c>
      <c r="J1021" s="7" t="n"/>
      <c r="K1021" s="7">
        <f>IF($A1021="","",S1021*N1021)</f>
        <v/>
      </c>
      <c r="L1021" s="7">
        <f>IF($A1021="","",N1021-K1021)</f>
        <v/>
      </c>
      <c r="M1021" s="7">
        <f>IF($A1021="","",L1021-F1021)</f>
        <v/>
      </c>
      <c r="N1021" s="7" t="n"/>
      <c r="Q1021" s="11" t="n"/>
      <c r="S1021">
        <f>IF($A1021="","",IF($W1021=1,Settings!$C$6,Settings!$C$7)*1)</f>
        <v/>
      </c>
      <c r="U1021">
        <f>IF($A1021="","",IF(COUNTIF($A$2:$A1021,$A1021)=1,1,0))</f>
        <v/>
      </c>
      <c r="V1021">
        <f>IF($U1021=1,SUMPRODUCT(--($X$2:$X$3001&lt;$X1021))+1,"")</f>
        <v/>
      </c>
      <c r="W1021">
        <f>IF($A1021="","",IF(OR($T1021=TRUE(),$T1021="TRUE"),1,0))</f>
        <v/>
      </c>
      <c r="X1021">
        <f>IF($U1021=1,IFERROR(IF(VALUE($A1021)&lt;100000000,VALUE($A1021),1000000000),IFERROR(IF(VALUE(MID($A1021,2,20))&lt;100000000,VALUE(MID($A1021,2,20)),1000000000),1000000000))+ROW()/100000,"")</f>
        <v/>
      </c>
    </row>
    <row r="1022">
      <c r="F1022" s="7">
        <f>IF($A1022="","",E1022*N1022/100)</f>
        <v/>
      </c>
      <c r="J1022" s="7" t="n"/>
      <c r="K1022" s="7">
        <f>IF($A1022="","",S1022*N1022)</f>
        <v/>
      </c>
      <c r="L1022" s="7">
        <f>IF($A1022="","",N1022-K1022)</f>
        <v/>
      </c>
      <c r="M1022" s="7">
        <f>IF($A1022="","",L1022-F1022)</f>
        <v/>
      </c>
      <c r="N1022" s="7" t="n"/>
      <c r="Q1022" s="11" t="n"/>
      <c r="S1022">
        <f>IF($A1022="","",IF($W1022=1,Settings!$C$6,Settings!$C$7)*1)</f>
        <v/>
      </c>
      <c r="U1022">
        <f>IF($A1022="","",IF(COUNTIF($A$2:$A1022,$A1022)=1,1,0))</f>
        <v/>
      </c>
      <c r="V1022">
        <f>IF($U1022=1,SUMPRODUCT(--($X$2:$X$3001&lt;$X1022))+1,"")</f>
        <v/>
      </c>
      <c r="W1022">
        <f>IF($A1022="","",IF(OR($T1022=TRUE(),$T1022="TRUE"),1,0))</f>
        <v/>
      </c>
      <c r="X1022">
        <f>IF($U1022=1,IFERROR(IF(VALUE($A1022)&lt;100000000,VALUE($A1022),1000000000),IFERROR(IF(VALUE(MID($A1022,2,20))&lt;100000000,VALUE(MID($A1022,2,20)),1000000000),1000000000))+ROW()/100000,"")</f>
        <v/>
      </c>
    </row>
    <row r="1023">
      <c r="F1023" s="7">
        <f>IF($A1023="","",E1023*N1023/100)</f>
        <v/>
      </c>
      <c r="J1023" s="7" t="n"/>
      <c r="K1023" s="7">
        <f>IF($A1023="","",S1023*N1023)</f>
        <v/>
      </c>
      <c r="L1023" s="7">
        <f>IF($A1023="","",N1023-K1023)</f>
        <v/>
      </c>
      <c r="M1023" s="7">
        <f>IF($A1023="","",L1023-F1023)</f>
        <v/>
      </c>
      <c r="N1023" s="7" t="n"/>
      <c r="Q1023" s="11" t="n"/>
      <c r="S1023">
        <f>IF($A1023="","",IF($W1023=1,Settings!$C$6,Settings!$C$7)*1)</f>
        <v/>
      </c>
      <c r="U1023">
        <f>IF($A1023="","",IF(COUNTIF($A$2:$A1023,$A1023)=1,1,0))</f>
        <v/>
      </c>
      <c r="V1023">
        <f>IF($U1023=1,SUMPRODUCT(--($X$2:$X$3001&lt;$X1023))+1,"")</f>
        <v/>
      </c>
      <c r="W1023">
        <f>IF($A1023="","",IF(OR($T1023=TRUE(),$T1023="TRUE"),1,0))</f>
        <v/>
      </c>
      <c r="X1023">
        <f>IF($U1023=1,IFERROR(IF(VALUE($A1023)&lt;100000000,VALUE($A1023),1000000000),IFERROR(IF(VALUE(MID($A1023,2,20))&lt;100000000,VALUE(MID($A1023,2,20)),1000000000),1000000000))+ROW()/100000,"")</f>
        <v/>
      </c>
    </row>
    <row r="1024">
      <c r="F1024" s="7">
        <f>IF($A1024="","",E1024*N1024/100)</f>
        <v/>
      </c>
      <c r="J1024" s="7" t="n"/>
      <c r="K1024" s="7">
        <f>IF($A1024="","",S1024*N1024)</f>
        <v/>
      </c>
      <c r="L1024" s="7">
        <f>IF($A1024="","",N1024-K1024)</f>
        <v/>
      </c>
      <c r="M1024" s="7">
        <f>IF($A1024="","",L1024-F1024)</f>
        <v/>
      </c>
      <c r="N1024" s="7" t="n"/>
      <c r="Q1024" s="11" t="n"/>
      <c r="S1024">
        <f>IF($A1024="","",IF($W1024=1,Settings!$C$6,Settings!$C$7)*1)</f>
        <v/>
      </c>
      <c r="U1024">
        <f>IF($A1024="","",IF(COUNTIF($A$2:$A1024,$A1024)=1,1,0))</f>
        <v/>
      </c>
      <c r="V1024">
        <f>IF($U1024=1,SUMPRODUCT(--($X$2:$X$3001&lt;$X1024))+1,"")</f>
        <v/>
      </c>
      <c r="W1024">
        <f>IF($A1024="","",IF(OR($T1024=TRUE(),$T1024="TRUE"),1,0))</f>
        <v/>
      </c>
      <c r="X1024">
        <f>IF($U1024=1,IFERROR(IF(VALUE($A1024)&lt;100000000,VALUE($A1024),1000000000),IFERROR(IF(VALUE(MID($A1024,2,20))&lt;100000000,VALUE(MID($A1024,2,20)),1000000000),1000000000))+ROW()/100000,"")</f>
        <v/>
      </c>
    </row>
    <row r="1025">
      <c r="F1025" s="7">
        <f>IF($A1025="","",E1025*N1025/100)</f>
        <v/>
      </c>
      <c r="J1025" s="7" t="n"/>
      <c r="K1025" s="7">
        <f>IF($A1025="","",S1025*N1025)</f>
        <v/>
      </c>
      <c r="L1025" s="7">
        <f>IF($A1025="","",N1025-K1025)</f>
        <v/>
      </c>
      <c r="M1025" s="7">
        <f>IF($A1025="","",L1025-F1025)</f>
        <v/>
      </c>
      <c r="N1025" s="7" t="n"/>
      <c r="Q1025" s="11" t="n"/>
      <c r="S1025">
        <f>IF($A1025="","",IF($W1025=1,Settings!$C$6,Settings!$C$7)*1)</f>
        <v/>
      </c>
      <c r="U1025">
        <f>IF($A1025="","",IF(COUNTIF($A$2:$A1025,$A1025)=1,1,0))</f>
        <v/>
      </c>
      <c r="V1025">
        <f>IF($U1025=1,SUMPRODUCT(--($X$2:$X$3001&lt;$X1025))+1,"")</f>
        <v/>
      </c>
      <c r="W1025">
        <f>IF($A1025="","",IF(OR($T1025=TRUE(),$T1025="TRUE"),1,0))</f>
        <v/>
      </c>
      <c r="X1025">
        <f>IF($U1025=1,IFERROR(IF(VALUE($A1025)&lt;100000000,VALUE($A1025),1000000000),IFERROR(IF(VALUE(MID($A1025,2,20))&lt;100000000,VALUE(MID($A1025,2,20)),1000000000),1000000000))+ROW()/100000,"")</f>
        <v/>
      </c>
    </row>
    <row r="1026">
      <c r="F1026" s="7">
        <f>IF($A1026="","",E1026*N1026/100)</f>
        <v/>
      </c>
      <c r="J1026" s="7" t="n"/>
      <c r="K1026" s="7">
        <f>IF($A1026="","",S1026*N1026)</f>
        <v/>
      </c>
      <c r="L1026" s="7">
        <f>IF($A1026="","",N1026-K1026)</f>
        <v/>
      </c>
      <c r="M1026" s="7">
        <f>IF($A1026="","",L1026-F1026)</f>
        <v/>
      </c>
      <c r="N1026" s="7" t="n"/>
      <c r="Q1026" s="11" t="n"/>
      <c r="S1026">
        <f>IF($A1026="","",IF($W1026=1,Settings!$C$6,Settings!$C$7)*1)</f>
        <v/>
      </c>
      <c r="U1026">
        <f>IF($A1026="","",IF(COUNTIF($A$2:$A1026,$A1026)=1,1,0))</f>
        <v/>
      </c>
      <c r="V1026">
        <f>IF($U1026=1,SUMPRODUCT(--($X$2:$X$3001&lt;$X1026))+1,"")</f>
        <v/>
      </c>
      <c r="W1026">
        <f>IF($A1026="","",IF(OR($T1026=TRUE(),$T1026="TRUE"),1,0))</f>
        <v/>
      </c>
      <c r="X1026">
        <f>IF($U1026=1,IFERROR(IF(VALUE($A1026)&lt;100000000,VALUE($A1026),1000000000),IFERROR(IF(VALUE(MID($A1026,2,20))&lt;100000000,VALUE(MID($A1026,2,20)),1000000000),1000000000))+ROW()/100000,"")</f>
        <v/>
      </c>
    </row>
    <row r="1027">
      <c r="F1027" s="7">
        <f>IF($A1027="","",E1027*N1027/100)</f>
        <v/>
      </c>
      <c r="J1027" s="7" t="n"/>
      <c r="K1027" s="7">
        <f>IF($A1027="","",S1027*N1027)</f>
        <v/>
      </c>
      <c r="L1027" s="7">
        <f>IF($A1027="","",N1027-K1027)</f>
        <v/>
      </c>
      <c r="M1027" s="7">
        <f>IF($A1027="","",L1027-F1027)</f>
        <v/>
      </c>
      <c r="N1027" s="7" t="n"/>
      <c r="Q1027" s="11" t="n"/>
      <c r="S1027">
        <f>IF($A1027="","",IF($W1027=1,Settings!$C$6,Settings!$C$7)*1)</f>
        <v/>
      </c>
      <c r="U1027">
        <f>IF($A1027="","",IF(COUNTIF($A$2:$A1027,$A1027)=1,1,0))</f>
        <v/>
      </c>
      <c r="V1027">
        <f>IF($U1027=1,SUMPRODUCT(--($X$2:$X$3001&lt;$X1027))+1,"")</f>
        <v/>
      </c>
      <c r="W1027">
        <f>IF($A1027="","",IF(OR($T1027=TRUE(),$T1027="TRUE"),1,0))</f>
        <v/>
      </c>
      <c r="X1027">
        <f>IF($U1027=1,IFERROR(IF(VALUE($A1027)&lt;100000000,VALUE($A1027),1000000000),IFERROR(IF(VALUE(MID($A1027,2,20))&lt;100000000,VALUE(MID($A1027,2,20)),1000000000),1000000000))+ROW()/100000,"")</f>
        <v/>
      </c>
    </row>
    <row r="1028">
      <c r="F1028" s="7">
        <f>IF($A1028="","",E1028*N1028/100)</f>
        <v/>
      </c>
      <c r="J1028" s="7" t="n"/>
      <c r="K1028" s="7">
        <f>IF($A1028="","",S1028*N1028)</f>
        <v/>
      </c>
      <c r="L1028" s="7">
        <f>IF($A1028="","",N1028-K1028)</f>
        <v/>
      </c>
      <c r="M1028" s="7">
        <f>IF($A1028="","",L1028-F1028)</f>
        <v/>
      </c>
      <c r="N1028" s="7" t="n"/>
      <c r="Q1028" s="11" t="n"/>
      <c r="S1028">
        <f>IF($A1028="","",IF($W1028=1,Settings!$C$6,Settings!$C$7)*1)</f>
        <v/>
      </c>
      <c r="U1028">
        <f>IF($A1028="","",IF(COUNTIF($A$2:$A1028,$A1028)=1,1,0))</f>
        <v/>
      </c>
      <c r="V1028">
        <f>IF($U1028=1,SUMPRODUCT(--($X$2:$X$3001&lt;$X1028))+1,"")</f>
        <v/>
      </c>
      <c r="W1028">
        <f>IF($A1028="","",IF(OR($T1028=TRUE(),$T1028="TRUE"),1,0))</f>
        <v/>
      </c>
      <c r="X1028">
        <f>IF($U1028=1,IFERROR(IF(VALUE($A1028)&lt;100000000,VALUE($A1028),1000000000),IFERROR(IF(VALUE(MID($A1028,2,20))&lt;100000000,VALUE(MID($A1028,2,20)),1000000000),1000000000))+ROW()/100000,"")</f>
        <v/>
      </c>
    </row>
    <row r="1029">
      <c r="F1029" s="7">
        <f>IF($A1029="","",E1029*N1029/100)</f>
        <v/>
      </c>
      <c r="J1029" s="7" t="n"/>
      <c r="K1029" s="7">
        <f>IF($A1029="","",S1029*N1029)</f>
        <v/>
      </c>
      <c r="L1029" s="7">
        <f>IF($A1029="","",N1029-K1029)</f>
        <v/>
      </c>
      <c r="M1029" s="7">
        <f>IF($A1029="","",L1029-F1029)</f>
        <v/>
      </c>
      <c r="N1029" s="7" t="n"/>
      <c r="Q1029" s="11" t="n"/>
      <c r="S1029">
        <f>IF($A1029="","",IF($W1029=1,Settings!$C$6,Settings!$C$7)*1)</f>
        <v/>
      </c>
      <c r="U1029">
        <f>IF($A1029="","",IF(COUNTIF($A$2:$A1029,$A1029)=1,1,0))</f>
        <v/>
      </c>
      <c r="V1029">
        <f>IF($U1029=1,SUMPRODUCT(--($X$2:$X$3001&lt;$X1029))+1,"")</f>
        <v/>
      </c>
      <c r="W1029">
        <f>IF($A1029="","",IF(OR($T1029=TRUE(),$T1029="TRUE"),1,0))</f>
        <v/>
      </c>
      <c r="X1029">
        <f>IF($U1029=1,IFERROR(IF(VALUE($A1029)&lt;100000000,VALUE($A1029),1000000000),IFERROR(IF(VALUE(MID($A1029,2,20))&lt;100000000,VALUE(MID($A1029,2,20)),1000000000),1000000000))+ROW()/100000,"")</f>
        <v/>
      </c>
    </row>
    <row r="1030">
      <c r="F1030" s="7">
        <f>IF($A1030="","",E1030*N1030/100)</f>
        <v/>
      </c>
      <c r="J1030" s="7" t="n"/>
      <c r="K1030" s="7">
        <f>IF($A1030="","",S1030*N1030)</f>
        <v/>
      </c>
      <c r="L1030" s="7">
        <f>IF($A1030="","",N1030-K1030)</f>
        <v/>
      </c>
      <c r="M1030" s="7">
        <f>IF($A1030="","",L1030-F1030)</f>
        <v/>
      </c>
      <c r="N1030" s="7" t="n"/>
      <c r="Q1030" s="11" t="n"/>
      <c r="S1030">
        <f>IF($A1030="","",IF($W1030=1,Settings!$C$6,Settings!$C$7)*1)</f>
        <v/>
      </c>
      <c r="U1030">
        <f>IF($A1030="","",IF(COUNTIF($A$2:$A1030,$A1030)=1,1,0))</f>
        <v/>
      </c>
      <c r="V1030">
        <f>IF($U1030=1,SUMPRODUCT(--($X$2:$X$3001&lt;$X1030))+1,"")</f>
        <v/>
      </c>
      <c r="W1030">
        <f>IF($A1030="","",IF(OR($T1030=TRUE(),$T1030="TRUE"),1,0))</f>
        <v/>
      </c>
      <c r="X1030">
        <f>IF($U1030=1,IFERROR(IF(VALUE($A1030)&lt;100000000,VALUE($A1030),1000000000),IFERROR(IF(VALUE(MID($A1030,2,20))&lt;100000000,VALUE(MID($A1030,2,20)),1000000000),1000000000))+ROW()/100000,"")</f>
        <v/>
      </c>
    </row>
    <row r="1031">
      <c r="F1031" s="7">
        <f>IF($A1031="","",E1031*N1031/100)</f>
        <v/>
      </c>
      <c r="J1031" s="7" t="n"/>
      <c r="K1031" s="7">
        <f>IF($A1031="","",S1031*N1031)</f>
        <v/>
      </c>
      <c r="L1031" s="7">
        <f>IF($A1031="","",N1031-K1031)</f>
        <v/>
      </c>
      <c r="M1031" s="7">
        <f>IF($A1031="","",L1031-F1031)</f>
        <v/>
      </c>
      <c r="N1031" s="7" t="n"/>
      <c r="Q1031" s="11" t="n"/>
      <c r="S1031">
        <f>IF($A1031="","",IF($W1031=1,Settings!$C$6,Settings!$C$7)*1)</f>
        <v/>
      </c>
      <c r="U1031">
        <f>IF($A1031="","",IF(COUNTIF($A$2:$A1031,$A1031)=1,1,0))</f>
        <v/>
      </c>
      <c r="V1031">
        <f>IF($U1031=1,SUMPRODUCT(--($X$2:$X$3001&lt;$X1031))+1,"")</f>
        <v/>
      </c>
      <c r="W1031">
        <f>IF($A1031="","",IF(OR($T1031=TRUE(),$T1031="TRUE"),1,0))</f>
        <v/>
      </c>
      <c r="X1031">
        <f>IF($U1031=1,IFERROR(IF(VALUE($A1031)&lt;100000000,VALUE($A1031),1000000000),IFERROR(IF(VALUE(MID($A1031,2,20))&lt;100000000,VALUE(MID($A1031,2,20)),1000000000),1000000000))+ROW()/100000,"")</f>
        <v/>
      </c>
    </row>
    <row r="1032">
      <c r="F1032" s="7">
        <f>IF($A1032="","",E1032*N1032/100)</f>
        <v/>
      </c>
      <c r="J1032" s="7" t="n"/>
      <c r="K1032" s="7">
        <f>IF($A1032="","",S1032*N1032)</f>
        <v/>
      </c>
      <c r="L1032" s="7">
        <f>IF($A1032="","",N1032-K1032)</f>
        <v/>
      </c>
      <c r="M1032" s="7">
        <f>IF($A1032="","",L1032-F1032)</f>
        <v/>
      </c>
      <c r="N1032" s="7" t="n"/>
      <c r="Q1032" s="11" t="n"/>
      <c r="S1032">
        <f>IF($A1032="","",IF($W1032=1,Settings!$C$6,Settings!$C$7)*1)</f>
        <v/>
      </c>
      <c r="U1032">
        <f>IF($A1032="","",IF(COUNTIF($A$2:$A1032,$A1032)=1,1,0))</f>
        <v/>
      </c>
      <c r="V1032">
        <f>IF($U1032=1,SUMPRODUCT(--($X$2:$X$3001&lt;$X1032))+1,"")</f>
        <v/>
      </c>
      <c r="W1032">
        <f>IF($A1032="","",IF(OR($T1032=TRUE(),$T1032="TRUE"),1,0))</f>
        <v/>
      </c>
      <c r="X1032">
        <f>IF($U1032=1,IFERROR(IF(VALUE($A1032)&lt;100000000,VALUE($A1032),1000000000),IFERROR(IF(VALUE(MID($A1032,2,20))&lt;100000000,VALUE(MID($A1032,2,20)),1000000000),1000000000))+ROW()/100000,"")</f>
        <v/>
      </c>
    </row>
    <row r="1033">
      <c r="F1033" s="7">
        <f>IF($A1033="","",E1033*N1033/100)</f>
        <v/>
      </c>
      <c r="J1033" s="7" t="n"/>
      <c r="K1033" s="7">
        <f>IF($A1033="","",S1033*N1033)</f>
        <v/>
      </c>
      <c r="L1033" s="7">
        <f>IF($A1033="","",N1033-K1033)</f>
        <v/>
      </c>
      <c r="M1033" s="7">
        <f>IF($A1033="","",L1033-F1033)</f>
        <v/>
      </c>
      <c r="N1033" s="7" t="n"/>
      <c r="Q1033" s="11" t="n"/>
      <c r="S1033">
        <f>IF($A1033="","",IF($W1033=1,Settings!$C$6,Settings!$C$7)*1)</f>
        <v/>
      </c>
      <c r="U1033">
        <f>IF($A1033="","",IF(COUNTIF($A$2:$A1033,$A1033)=1,1,0))</f>
        <v/>
      </c>
      <c r="V1033">
        <f>IF($U1033=1,SUMPRODUCT(--($X$2:$X$3001&lt;$X1033))+1,"")</f>
        <v/>
      </c>
      <c r="W1033">
        <f>IF($A1033="","",IF(OR($T1033=TRUE(),$T1033="TRUE"),1,0))</f>
        <v/>
      </c>
      <c r="X1033">
        <f>IF($U1033=1,IFERROR(IF(VALUE($A1033)&lt;100000000,VALUE($A1033),1000000000),IFERROR(IF(VALUE(MID($A1033,2,20))&lt;100000000,VALUE(MID($A1033,2,20)),1000000000),1000000000))+ROW()/100000,"")</f>
        <v/>
      </c>
    </row>
    <row r="1034">
      <c r="F1034" s="7">
        <f>IF($A1034="","",E1034*N1034/100)</f>
        <v/>
      </c>
      <c r="J1034" s="7" t="n"/>
      <c r="K1034" s="7">
        <f>IF($A1034="","",S1034*N1034)</f>
        <v/>
      </c>
      <c r="L1034" s="7">
        <f>IF($A1034="","",N1034-K1034)</f>
        <v/>
      </c>
      <c r="M1034" s="7">
        <f>IF($A1034="","",L1034-F1034)</f>
        <v/>
      </c>
      <c r="N1034" s="7" t="n"/>
      <c r="Q1034" s="11" t="n"/>
      <c r="S1034">
        <f>IF($A1034="","",IF($W1034=1,Settings!$C$6,Settings!$C$7)*1)</f>
        <v/>
      </c>
      <c r="U1034">
        <f>IF($A1034="","",IF(COUNTIF($A$2:$A1034,$A1034)=1,1,0))</f>
        <v/>
      </c>
      <c r="V1034">
        <f>IF($U1034=1,SUMPRODUCT(--($X$2:$X$3001&lt;$X1034))+1,"")</f>
        <v/>
      </c>
      <c r="W1034">
        <f>IF($A1034="","",IF(OR($T1034=TRUE(),$T1034="TRUE"),1,0))</f>
        <v/>
      </c>
      <c r="X1034">
        <f>IF($U1034=1,IFERROR(IF(VALUE($A1034)&lt;100000000,VALUE($A1034),1000000000),IFERROR(IF(VALUE(MID($A1034,2,20))&lt;100000000,VALUE(MID($A1034,2,20)),1000000000),1000000000))+ROW()/100000,"")</f>
        <v/>
      </c>
    </row>
    <row r="1035">
      <c r="F1035" s="7">
        <f>IF($A1035="","",E1035*N1035/100)</f>
        <v/>
      </c>
      <c r="J1035" s="7" t="n"/>
      <c r="K1035" s="7">
        <f>IF($A1035="","",S1035*N1035)</f>
        <v/>
      </c>
      <c r="L1035" s="7">
        <f>IF($A1035="","",N1035-K1035)</f>
        <v/>
      </c>
      <c r="M1035" s="7">
        <f>IF($A1035="","",L1035-F1035)</f>
        <v/>
      </c>
      <c r="N1035" s="7" t="n"/>
      <c r="Q1035" s="11" t="n"/>
      <c r="S1035">
        <f>IF($A1035="","",IF($W1035=1,Settings!$C$6,Settings!$C$7)*1)</f>
        <v/>
      </c>
      <c r="U1035">
        <f>IF($A1035="","",IF(COUNTIF($A$2:$A1035,$A1035)=1,1,0))</f>
        <v/>
      </c>
      <c r="V1035">
        <f>IF($U1035=1,SUMPRODUCT(--($X$2:$X$3001&lt;$X1035))+1,"")</f>
        <v/>
      </c>
      <c r="W1035">
        <f>IF($A1035="","",IF(OR($T1035=TRUE(),$T1035="TRUE"),1,0))</f>
        <v/>
      </c>
      <c r="X1035">
        <f>IF($U1035=1,IFERROR(IF(VALUE($A1035)&lt;100000000,VALUE($A1035),1000000000),IFERROR(IF(VALUE(MID($A1035,2,20))&lt;100000000,VALUE(MID($A1035,2,20)),1000000000),1000000000))+ROW()/100000,"")</f>
        <v/>
      </c>
    </row>
    <row r="1036">
      <c r="F1036" s="7">
        <f>IF($A1036="","",E1036*N1036/100)</f>
        <v/>
      </c>
      <c r="J1036" s="7" t="n"/>
      <c r="K1036" s="7">
        <f>IF($A1036="","",S1036*N1036)</f>
        <v/>
      </c>
      <c r="L1036" s="7">
        <f>IF($A1036="","",N1036-K1036)</f>
        <v/>
      </c>
      <c r="M1036" s="7">
        <f>IF($A1036="","",L1036-F1036)</f>
        <v/>
      </c>
      <c r="N1036" s="7" t="n"/>
      <c r="Q1036" s="11" t="n"/>
      <c r="S1036">
        <f>IF($A1036="","",IF($W1036=1,Settings!$C$6,Settings!$C$7)*1)</f>
        <v/>
      </c>
      <c r="U1036">
        <f>IF($A1036="","",IF(COUNTIF($A$2:$A1036,$A1036)=1,1,0))</f>
        <v/>
      </c>
      <c r="V1036">
        <f>IF($U1036=1,SUMPRODUCT(--($X$2:$X$3001&lt;$X1036))+1,"")</f>
        <v/>
      </c>
      <c r="W1036">
        <f>IF($A1036="","",IF(OR($T1036=TRUE(),$T1036="TRUE"),1,0))</f>
        <v/>
      </c>
      <c r="X1036">
        <f>IF($U1036=1,IFERROR(IF(VALUE($A1036)&lt;100000000,VALUE($A1036),1000000000),IFERROR(IF(VALUE(MID($A1036,2,20))&lt;100000000,VALUE(MID($A1036,2,20)),1000000000),1000000000))+ROW()/100000,"")</f>
        <v/>
      </c>
    </row>
    <row r="1037">
      <c r="F1037" s="7">
        <f>IF($A1037="","",E1037*N1037/100)</f>
        <v/>
      </c>
      <c r="J1037" s="7" t="n"/>
      <c r="K1037" s="7">
        <f>IF($A1037="","",S1037*N1037)</f>
        <v/>
      </c>
      <c r="L1037" s="7">
        <f>IF($A1037="","",N1037-K1037)</f>
        <v/>
      </c>
      <c r="M1037" s="7">
        <f>IF($A1037="","",L1037-F1037)</f>
        <v/>
      </c>
      <c r="N1037" s="7" t="n"/>
      <c r="Q1037" s="11" t="n"/>
      <c r="S1037">
        <f>IF($A1037="","",IF($W1037=1,Settings!$C$6,Settings!$C$7)*1)</f>
        <v/>
      </c>
      <c r="U1037">
        <f>IF($A1037="","",IF(COUNTIF($A$2:$A1037,$A1037)=1,1,0))</f>
        <v/>
      </c>
      <c r="V1037">
        <f>IF($U1037=1,SUMPRODUCT(--($X$2:$X$3001&lt;$X1037))+1,"")</f>
        <v/>
      </c>
      <c r="W1037">
        <f>IF($A1037="","",IF(OR($T1037=TRUE(),$T1037="TRUE"),1,0))</f>
        <v/>
      </c>
      <c r="X1037">
        <f>IF($U1037=1,IFERROR(IF(VALUE($A1037)&lt;100000000,VALUE($A1037),1000000000),IFERROR(IF(VALUE(MID($A1037,2,20))&lt;100000000,VALUE(MID($A1037,2,20)),1000000000),1000000000))+ROW()/100000,"")</f>
        <v/>
      </c>
    </row>
    <row r="1038">
      <c r="F1038" s="7">
        <f>IF($A1038="","",E1038*N1038/100)</f>
        <v/>
      </c>
      <c r="J1038" s="7" t="n"/>
      <c r="K1038" s="7">
        <f>IF($A1038="","",S1038*N1038)</f>
        <v/>
      </c>
      <c r="L1038" s="7">
        <f>IF($A1038="","",N1038-K1038)</f>
        <v/>
      </c>
      <c r="M1038" s="7">
        <f>IF($A1038="","",L1038-F1038)</f>
        <v/>
      </c>
      <c r="N1038" s="7" t="n"/>
      <c r="Q1038" s="11" t="n"/>
      <c r="S1038">
        <f>IF($A1038="","",IF($W1038=1,Settings!$C$6,Settings!$C$7)*1)</f>
        <v/>
      </c>
      <c r="U1038">
        <f>IF($A1038="","",IF(COUNTIF($A$2:$A1038,$A1038)=1,1,0))</f>
        <v/>
      </c>
      <c r="V1038">
        <f>IF($U1038=1,SUMPRODUCT(--($X$2:$X$3001&lt;$X1038))+1,"")</f>
        <v/>
      </c>
      <c r="W1038">
        <f>IF($A1038="","",IF(OR($T1038=TRUE(),$T1038="TRUE"),1,0))</f>
        <v/>
      </c>
      <c r="X1038">
        <f>IF($U1038=1,IFERROR(IF(VALUE($A1038)&lt;100000000,VALUE($A1038),1000000000),IFERROR(IF(VALUE(MID($A1038,2,20))&lt;100000000,VALUE(MID($A1038,2,20)),1000000000),1000000000))+ROW()/100000,"")</f>
        <v/>
      </c>
    </row>
    <row r="1039">
      <c r="F1039" s="7">
        <f>IF($A1039="","",E1039*N1039/100)</f>
        <v/>
      </c>
      <c r="J1039" s="7" t="n"/>
      <c r="K1039" s="7">
        <f>IF($A1039="","",S1039*N1039)</f>
        <v/>
      </c>
      <c r="L1039" s="7">
        <f>IF($A1039="","",N1039-K1039)</f>
        <v/>
      </c>
      <c r="M1039" s="7">
        <f>IF($A1039="","",L1039-F1039)</f>
        <v/>
      </c>
      <c r="N1039" s="7" t="n"/>
      <c r="Q1039" s="11" t="n"/>
      <c r="S1039">
        <f>IF($A1039="","",IF($W1039=1,Settings!$C$6,Settings!$C$7)*1)</f>
        <v/>
      </c>
      <c r="U1039">
        <f>IF($A1039="","",IF(COUNTIF($A$2:$A1039,$A1039)=1,1,0))</f>
        <v/>
      </c>
      <c r="V1039">
        <f>IF($U1039=1,SUMPRODUCT(--($X$2:$X$3001&lt;$X1039))+1,"")</f>
        <v/>
      </c>
      <c r="W1039">
        <f>IF($A1039="","",IF(OR($T1039=TRUE(),$T1039="TRUE"),1,0))</f>
        <v/>
      </c>
      <c r="X1039">
        <f>IF($U1039=1,IFERROR(IF(VALUE($A1039)&lt;100000000,VALUE($A1039),1000000000),IFERROR(IF(VALUE(MID($A1039,2,20))&lt;100000000,VALUE(MID($A1039,2,20)),1000000000),1000000000))+ROW()/100000,"")</f>
        <v/>
      </c>
    </row>
    <row r="1040">
      <c r="F1040" s="7">
        <f>IF($A1040="","",E1040*N1040/100)</f>
        <v/>
      </c>
      <c r="J1040" s="7" t="n"/>
      <c r="K1040" s="7">
        <f>IF($A1040="","",S1040*N1040)</f>
        <v/>
      </c>
      <c r="L1040" s="7">
        <f>IF($A1040="","",N1040-K1040)</f>
        <v/>
      </c>
      <c r="M1040" s="7">
        <f>IF($A1040="","",L1040-F1040)</f>
        <v/>
      </c>
      <c r="N1040" s="7" t="n"/>
      <c r="Q1040" s="11" t="n"/>
      <c r="S1040">
        <f>IF($A1040="","",IF($W1040=1,Settings!$C$6,Settings!$C$7)*1)</f>
        <v/>
      </c>
      <c r="U1040">
        <f>IF($A1040="","",IF(COUNTIF($A$2:$A1040,$A1040)=1,1,0))</f>
        <v/>
      </c>
      <c r="V1040">
        <f>IF($U1040=1,SUMPRODUCT(--($X$2:$X$3001&lt;$X1040))+1,"")</f>
        <v/>
      </c>
      <c r="W1040">
        <f>IF($A1040="","",IF(OR($T1040=TRUE(),$T1040="TRUE"),1,0))</f>
        <v/>
      </c>
      <c r="X1040">
        <f>IF($U1040=1,IFERROR(IF(VALUE($A1040)&lt;100000000,VALUE($A1040),1000000000),IFERROR(IF(VALUE(MID($A1040,2,20))&lt;100000000,VALUE(MID($A1040,2,20)),1000000000),1000000000))+ROW()/100000,"")</f>
        <v/>
      </c>
    </row>
    <row r="1041">
      <c r="F1041" s="7">
        <f>IF($A1041="","",E1041*N1041/100)</f>
        <v/>
      </c>
      <c r="J1041" s="7" t="n"/>
      <c r="K1041" s="7">
        <f>IF($A1041="","",S1041*N1041)</f>
        <v/>
      </c>
      <c r="L1041" s="7">
        <f>IF($A1041="","",N1041-K1041)</f>
        <v/>
      </c>
      <c r="M1041" s="7">
        <f>IF($A1041="","",L1041-F1041)</f>
        <v/>
      </c>
      <c r="N1041" s="7" t="n"/>
      <c r="Q1041" s="11" t="n"/>
      <c r="S1041">
        <f>IF($A1041="","",IF($W1041=1,Settings!$C$6,Settings!$C$7)*1)</f>
        <v/>
      </c>
      <c r="U1041">
        <f>IF($A1041="","",IF(COUNTIF($A$2:$A1041,$A1041)=1,1,0))</f>
        <v/>
      </c>
      <c r="V1041">
        <f>IF($U1041=1,SUMPRODUCT(--($X$2:$X$3001&lt;$X1041))+1,"")</f>
        <v/>
      </c>
      <c r="W1041">
        <f>IF($A1041="","",IF(OR($T1041=TRUE(),$T1041="TRUE"),1,0))</f>
        <v/>
      </c>
      <c r="X1041">
        <f>IF($U1041=1,IFERROR(IF(VALUE($A1041)&lt;100000000,VALUE($A1041),1000000000),IFERROR(IF(VALUE(MID($A1041,2,20))&lt;100000000,VALUE(MID($A1041,2,20)),1000000000),1000000000))+ROW()/100000,"")</f>
        <v/>
      </c>
    </row>
    <row r="1042">
      <c r="F1042" s="7">
        <f>IF($A1042="","",E1042*N1042/100)</f>
        <v/>
      </c>
      <c r="J1042" s="7" t="n"/>
      <c r="K1042" s="7">
        <f>IF($A1042="","",S1042*N1042)</f>
        <v/>
      </c>
      <c r="L1042" s="7">
        <f>IF($A1042="","",N1042-K1042)</f>
        <v/>
      </c>
      <c r="M1042" s="7">
        <f>IF($A1042="","",L1042-F1042)</f>
        <v/>
      </c>
      <c r="N1042" s="7" t="n"/>
      <c r="Q1042" s="11" t="n"/>
      <c r="S1042">
        <f>IF($A1042="","",IF($W1042=1,Settings!$C$6,Settings!$C$7)*1)</f>
        <v/>
      </c>
      <c r="U1042">
        <f>IF($A1042="","",IF(COUNTIF($A$2:$A1042,$A1042)=1,1,0))</f>
        <v/>
      </c>
      <c r="V1042">
        <f>IF($U1042=1,SUMPRODUCT(--($X$2:$X$3001&lt;$X1042))+1,"")</f>
        <v/>
      </c>
      <c r="W1042">
        <f>IF($A1042="","",IF(OR($T1042=TRUE(),$T1042="TRUE"),1,0))</f>
        <v/>
      </c>
      <c r="X1042">
        <f>IF($U1042=1,IFERROR(IF(VALUE($A1042)&lt;100000000,VALUE($A1042),1000000000),IFERROR(IF(VALUE(MID($A1042,2,20))&lt;100000000,VALUE(MID($A1042,2,20)),1000000000),1000000000))+ROW()/100000,"")</f>
        <v/>
      </c>
    </row>
    <row r="1043">
      <c r="F1043" s="7">
        <f>IF($A1043="","",E1043*N1043/100)</f>
        <v/>
      </c>
      <c r="J1043" s="7" t="n"/>
      <c r="K1043" s="7">
        <f>IF($A1043="","",S1043*N1043)</f>
        <v/>
      </c>
      <c r="L1043" s="7">
        <f>IF($A1043="","",N1043-K1043)</f>
        <v/>
      </c>
      <c r="M1043" s="7">
        <f>IF($A1043="","",L1043-F1043)</f>
        <v/>
      </c>
      <c r="N1043" s="7" t="n"/>
      <c r="Q1043" s="11" t="n"/>
      <c r="S1043">
        <f>IF($A1043="","",IF($W1043=1,Settings!$C$6,Settings!$C$7)*1)</f>
        <v/>
      </c>
      <c r="U1043">
        <f>IF($A1043="","",IF(COUNTIF($A$2:$A1043,$A1043)=1,1,0))</f>
        <v/>
      </c>
      <c r="V1043">
        <f>IF($U1043=1,SUMPRODUCT(--($X$2:$X$3001&lt;$X1043))+1,"")</f>
        <v/>
      </c>
      <c r="W1043">
        <f>IF($A1043="","",IF(OR($T1043=TRUE(),$T1043="TRUE"),1,0))</f>
        <v/>
      </c>
      <c r="X1043">
        <f>IF($U1043=1,IFERROR(IF(VALUE($A1043)&lt;100000000,VALUE($A1043),1000000000),IFERROR(IF(VALUE(MID($A1043,2,20))&lt;100000000,VALUE(MID($A1043,2,20)),1000000000),1000000000))+ROW()/100000,"")</f>
        <v/>
      </c>
    </row>
    <row r="1044">
      <c r="F1044" s="7">
        <f>IF($A1044="","",E1044*N1044/100)</f>
        <v/>
      </c>
      <c r="J1044" s="7" t="n"/>
      <c r="K1044" s="7">
        <f>IF($A1044="","",S1044*N1044)</f>
        <v/>
      </c>
      <c r="L1044" s="7">
        <f>IF($A1044="","",N1044-K1044)</f>
        <v/>
      </c>
      <c r="M1044" s="7">
        <f>IF($A1044="","",L1044-F1044)</f>
        <v/>
      </c>
      <c r="N1044" s="7" t="n"/>
      <c r="Q1044" s="11" t="n"/>
      <c r="S1044">
        <f>IF($A1044="","",IF($W1044=1,Settings!$C$6,Settings!$C$7)*1)</f>
        <v/>
      </c>
      <c r="U1044">
        <f>IF($A1044="","",IF(COUNTIF($A$2:$A1044,$A1044)=1,1,0))</f>
        <v/>
      </c>
      <c r="V1044">
        <f>IF($U1044=1,SUMPRODUCT(--($X$2:$X$3001&lt;$X1044))+1,"")</f>
        <v/>
      </c>
      <c r="W1044">
        <f>IF($A1044="","",IF(OR($T1044=TRUE(),$T1044="TRUE"),1,0))</f>
        <v/>
      </c>
      <c r="X1044">
        <f>IF($U1044=1,IFERROR(IF(VALUE($A1044)&lt;100000000,VALUE($A1044),1000000000),IFERROR(IF(VALUE(MID($A1044,2,20))&lt;100000000,VALUE(MID($A1044,2,20)),1000000000),1000000000))+ROW()/100000,"")</f>
        <v/>
      </c>
    </row>
    <row r="1045">
      <c r="F1045" s="7">
        <f>IF($A1045="","",E1045*N1045/100)</f>
        <v/>
      </c>
      <c r="J1045" s="7" t="n"/>
      <c r="K1045" s="7">
        <f>IF($A1045="","",S1045*N1045)</f>
        <v/>
      </c>
      <c r="L1045" s="7">
        <f>IF($A1045="","",N1045-K1045)</f>
        <v/>
      </c>
      <c r="M1045" s="7">
        <f>IF($A1045="","",L1045-F1045)</f>
        <v/>
      </c>
      <c r="N1045" s="7" t="n"/>
      <c r="Q1045" s="11" t="n"/>
      <c r="S1045">
        <f>IF($A1045="","",IF($W1045=1,Settings!$C$6,Settings!$C$7)*1)</f>
        <v/>
      </c>
      <c r="U1045">
        <f>IF($A1045="","",IF(COUNTIF($A$2:$A1045,$A1045)=1,1,0))</f>
        <v/>
      </c>
      <c r="V1045">
        <f>IF($U1045=1,SUMPRODUCT(--($X$2:$X$3001&lt;$X1045))+1,"")</f>
        <v/>
      </c>
      <c r="W1045">
        <f>IF($A1045="","",IF(OR($T1045=TRUE(),$T1045="TRUE"),1,0))</f>
        <v/>
      </c>
      <c r="X1045">
        <f>IF($U1045=1,IFERROR(IF(VALUE($A1045)&lt;100000000,VALUE($A1045),1000000000),IFERROR(IF(VALUE(MID($A1045,2,20))&lt;100000000,VALUE(MID($A1045,2,20)),1000000000),1000000000))+ROW()/100000,"")</f>
        <v/>
      </c>
    </row>
    <row r="1046">
      <c r="F1046" s="7">
        <f>IF($A1046="","",E1046*N1046/100)</f>
        <v/>
      </c>
      <c r="J1046" s="7" t="n"/>
      <c r="K1046" s="7">
        <f>IF($A1046="","",S1046*N1046)</f>
        <v/>
      </c>
      <c r="L1046" s="7">
        <f>IF($A1046="","",N1046-K1046)</f>
        <v/>
      </c>
      <c r="M1046" s="7">
        <f>IF($A1046="","",L1046-F1046)</f>
        <v/>
      </c>
      <c r="N1046" s="7" t="n"/>
      <c r="Q1046" s="11" t="n"/>
      <c r="S1046">
        <f>IF($A1046="","",IF($W1046=1,Settings!$C$6,Settings!$C$7)*1)</f>
        <v/>
      </c>
      <c r="U1046">
        <f>IF($A1046="","",IF(COUNTIF($A$2:$A1046,$A1046)=1,1,0))</f>
        <v/>
      </c>
      <c r="V1046">
        <f>IF($U1046=1,SUMPRODUCT(--($X$2:$X$3001&lt;$X1046))+1,"")</f>
        <v/>
      </c>
      <c r="W1046">
        <f>IF($A1046="","",IF(OR($T1046=TRUE(),$T1046="TRUE"),1,0))</f>
        <v/>
      </c>
      <c r="X1046">
        <f>IF($U1046=1,IFERROR(IF(VALUE($A1046)&lt;100000000,VALUE($A1046),1000000000),IFERROR(IF(VALUE(MID($A1046,2,20))&lt;100000000,VALUE(MID($A1046,2,20)),1000000000),1000000000))+ROW()/100000,"")</f>
        <v/>
      </c>
    </row>
    <row r="1047">
      <c r="F1047" s="7">
        <f>IF($A1047="","",E1047*N1047/100)</f>
        <v/>
      </c>
      <c r="J1047" s="7" t="n"/>
      <c r="K1047" s="7">
        <f>IF($A1047="","",S1047*N1047)</f>
        <v/>
      </c>
      <c r="L1047" s="7">
        <f>IF($A1047="","",N1047-K1047)</f>
        <v/>
      </c>
      <c r="M1047" s="7">
        <f>IF($A1047="","",L1047-F1047)</f>
        <v/>
      </c>
      <c r="N1047" s="7" t="n"/>
      <c r="Q1047" s="11" t="n"/>
      <c r="S1047">
        <f>IF($A1047="","",IF($W1047=1,Settings!$C$6,Settings!$C$7)*1)</f>
        <v/>
      </c>
      <c r="U1047">
        <f>IF($A1047="","",IF(COUNTIF($A$2:$A1047,$A1047)=1,1,0))</f>
        <v/>
      </c>
      <c r="V1047">
        <f>IF($U1047=1,SUMPRODUCT(--($X$2:$X$3001&lt;$X1047))+1,"")</f>
        <v/>
      </c>
      <c r="W1047">
        <f>IF($A1047="","",IF(OR($T1047=TRUE(),$T1047="TRUE"),1,0))</f>
        <v/>
      </c>
      <c r="X1047">
        <f>IF($U1047=1,IFERROR(IF(VALUE($A1047)&lt;100000000,VALUE($A1047),1000000000),IFERROR(IF(VALUE(MID($A1047,2,20))&lt;100000000,VALUE(MID($A1047,2,20)),1000000000),1000000000))+ROW()/100000,"")</f>
        <v/>
      </c>
    </row>
    <row r="1048">
      <c r="F1048" s="7">
        <f>IF($A1048="","",E1048*N1048/100)</f>
        <v/>
      </c>
      <c r="J1048" s="7" t="n"/>
      <c r="K1048" s="7">
        <f>IF($A1048="","",S1048*N1048)</f>
        <v/>
      </c>
      <c r="L1048" s="7">
        <f>IF($A1048="","",N1048-K1048)</f>
        <v/>
      </c>
      <c r="M1048" s="7">
        <f>IF($A1048="","",L1048-F1048)</f>
        <v/>
      </c>
      <c r="N1048" s="7" t="n"/>
      <c r="Q1048" s="11" t="n"/>
      <c r="S1048">
        <f>IF($A1048="","",IF($W1048=1,Settings!$C$6,Settings!$C$7)*1)</f>
        <v/>
      </c>
      <c r="U1048">
        <f>IF($A1048="","",IF(COUNTIF($A$2:$A1048,$A1048)=1,1,0))</f>
        <v/>
      </c>
      <c r="V1048">
        <f>IF($U1048=1,SUMPRODUCT(--($X$2:$X$3001&lt;$X1048))+1,"")</f>
        <v/>
      </c>
      <c r="W1048">
        <f>IF($A1048="","",IF(OR($T1048=TRUE(),$T1048="TRUE"),1,0))</f>
        <v/>
      </c>
      <c r="X1048">
        <f>IF($U1048=1,IFERROR(IF(VALUE($A1048)&lt;100000000,VALUE($A1048),1000000000),IFERROR(IF(VALUE(MID($A1048,2,20))&lt;100000000,VALUE(MID($A1048,2,20)),1000000000),1000000000))+ROW()/100000,"")</f>
        <v/>
      </c>
    </row>
    <row r="1049">
      <c r="F1049" s="7">
        <f>IF($A1049="","",E1049*N1049/100)</f>
        <v/>
      </c>
      <c r="J1049" s="7" t="n"/>
      <c r="K1049" s="7">
        <f>IF($A1049="","",S1049*N1049)</f>
        <v/>
      </c>
      <c r="L1049" s="7">
        <f>IF($A1049="","",N1049-K1049)</f>
        <v/>
      </c>
      <c r="M1049" s="7">
        <f>IF($A1049="","",L1049-F1049)</f>
        <v/>
      </c>
      <c r="N1049" s="7" t="n"/>
      <c r="Q1049" s="11" t="n"/>
      <c r="S1049">
        <f>IF($A1049="","",IF($W1049=1,Settings!$C$6,Settings!$C$7)*1)</f>
        <v/>
      </c>
      <c r="U1049">
        <f>IF($A1049="","",IF(COUNTIF($A$2:$A1049,$A1049)=1,1,0))</f>
        <v/>
      </c>
      <c r="V1049">
        <f>IF($U1049=1,SUMPRODUCT(--($X$2:$X$3001&lt;$X1049))+1,"")</f>
        <v/>
      </c>
      <c r="W1049">
        <f>IF($A1049="","",IF(OR($T1049=TRUE(),$T1049="TRUE"),1,0))</f>
        <v/>
      </c>
      <c r="X1049">
        <f>IF($U1049=1,IFERROR(IF(VALUE($A1049)&lt;100000000,VALUE($A1049),1000000000),IFERROR(IF(VALUE(MID($A1049,2,20))&lt;100000000,VALUE(MID($A1049,2,20)),1000000000),1000000000))+ROW()/100000,"")</f>
        <v/>
      </c>
    </row>
    <row r="1050">
      <c r="F1050" s="7">
        <f>IF($A1050="","",E1050*N1050/100)</f>
        <v/>
      </c>
      <c r="J1050" s="7" t="n"/>
      <c r="K1050" s="7">
        <f>IF($A1050="","",S1050*N1050)</f>
        <v/>
      </c>
      <c r="L1050" s="7">
        <f>IF($A1050="","",N1050-K1050)</f>
        <v/>
      </c>
      <c r="M1050" s="7">
        <f>IF($A1050="","",L1050-F1050)</f>
        <v/>
      </c>
      <c r="N1050" s="7" t="n"/>
      <c r="Q1050" s="11" t="n"/>
      <c r="S1050">
        <f>IF($A1050="","",IF($W1050=1,Settings!$C$6,Settings!$C$7)*1)</f>
        <v/>
      </c>
      <c r="U1050">
        <f>IF($A1050="","",IF(COUNTIF($A$2:$A1050,$A1050)=1,1,0))</f>
        <v/>
      </c>
      <c r="V1050">
        <f>IF($U1050=1,SUMPRODUCT(--($X$2:$X$3001&lt;$X1050))+1,"")</f>
        <v/>
      </c>
      <c r="W1050">
        <f>IF($A1050="","",IF(OR($T1050=TRUE(),$T1050="TRUE"),1,0))</f>
        <v/>
      </c>
      <c r="X1050">
        <f>IF($U1050=1,IFERROR(IF(VALUE($A1050)&lt;100000000,VALUE($A1050),1000000000),IFERROR(IF(VALUE(MID($A1050,2,20))&lt;100000000,VALUE(MID($A1050,2,20)),1000000000),1000000000))+ROW()/100000,"")</f>
        <v/>
      </c>
    </row>
    <row r="1051">
      <c r="F1051" s="7">
        <f>IF($A1051="","",E1051*N1051/100)</f>
        <v/>
      </c>
      <c r="J1051" s="7" t="n"/>
      <c r="K1051" s="7">
        <f>IF($A1051="","",S1051*N1051)</f>
        <v/>
      </c>
      <c r="L1051" s="7">
        <f>IF($A1051="","",N1051-K1051)</f>
        <v/>
      </c>
      <c r="M1051" s="7">
        <f>IF($A1051="","",L1051-F1051)</f>
        <v/>
      </c>
      <c r="N1051" s="7" t="n"/>
      <c r="Q1051" s="11" t="n"/>
      <c r="S1051">
        <f>IF($A1051="","",IF($W1051=1,Settings!$C$6,Settings!$C$7)*1)</f>
        <v/>
      </c>
      <c r="U1051">
        <f>IF($A1051="","",IF(COUNTIF($A$2:$A1051,$A1051)=1,1,0))</f>
        <v/>
      </c>
      <c r="V1051">
        <f>IF($U1051=1,SUMPRODUCT(--($X$2:$X$3001&lt;$X1051))+1,"")</f>
        <v/>
      </c>
      <c r="W1051">
        <f>IF($A1051="","",IF(OR($T1051=TRUE(),$T1051="TRUE"),1,0))</f>
        <v/>
      </c>
      <c r="X1051">
        <f>IF($U1051=1,IFERROR(IF(VALUE($A1051)&lt;100000000,VALUE($A1051),1000000000),IFERROR(IF(VALUE(MID($A1051,2,20))&lt;100000000,VALUE(MID($A1051,2,20)),1000000000),1000000000))+ROW()/100000,"")</f>
        <v/>
      </c>
    </row>
    <row r="1052">
      <c r="F1052" s="7">
        <f>IF($A1052="","",E1052*N1052/100)</f>
        <v/>
      </c>
      <c r="J1052" s="7" t="n"/>
      <c r="K1052" s="7">
        <f>IF($A1052="","",S1052*N1052)</f>
        <v/>
      </c>
      <c r="L1052" s="7">
        <f>IF($A1052="","",N1052-K1052)</f>
        <v/>
      </c>
      <c r="M1052" s="7">
        <f>IF($A1052="","",L1052-F1052)</f>
        <v/>
      </c>
      <c r="N1052" s="7" t="n"/>
      <c r="Q1052" s="11" t="n"/>
      <c r="S1052">
        <f>IF($A1052="","",IF($W1052=1,Settings!$C$6,Settings!$C$7)*1)</f>
        <v/>
      </c>
      <c r="U1052">
        <f>IF($A1052="","",IF(COUNTIF($A$2:$A1052,$A1052)=1,1,0))</f>
        <v/>
      </c>
      <c r="V1052">
        <f>IF($U1052=1,SUMPRODUCT(--($X$2:$X$3001&lt;$X1052))+1,"")</f>
        <v/>
      </c>
      <c r="W1052">
        <f>IF($A1052="","",IF(OR($T1052=TRUE(),$T1052="TRUE"),1,0))</f>
        <v/>
      </c>
      <c r="X1052">
        <f>IF($U1052=1,IFERROR(IF(VALUE($A1052)&lt;100000000,VALUE($A1052),1000000000),IFERROR(IF(VALUE(MID($A1052,2,20))&lt;100000000,VALUE(MID($A1052,2,20)),1000000000),1000000000))+ROW()/100000,"")</f>
        <v/>
      </c>
    </row>
    <row r="1053">
      <c r="F1053" s="7">
        <f>IF($A1053="","",E1053*N1053/100)</f>
        <v/>
      </c>
      <c r="J1053" s="7" t="n"/>
      <c r="K1053" s="7">
        <f>IF($A1053="","",S1053*N1053)</f>
        <v/>
      </c>
      <c r="L1053" s="7">
        <f>IF($A1053="","",N1053-K1053)</f>
        <v/>
      </c>
      <c r="M1053" s="7">
        <f>IF($A1053="","",L1053-F1053)</f>
        <v/>
      </c>
      <c r="N1053" s="7" t="n"/>
      <c r="Q1053" s="11" t="n"/>
      <c r="S1053">
        <f>IF($A1053="","",IF($W1053=1,Settings!$C$6,Settings!$C$7)*1)</f>
        <v/>
      </c>
      <c r="U1053">
        <f>IF($A1053="","",IF(COUNTIF($A$2:$A1053,$A1053)=1,1,0))</f>
        <v/>
      </c>
      <c r="V1053">
        <f>IF($U1053=1,SUMPRODUCT(--($X$2:$X$3001&lt;$X1053))+1,"")</f>
        <v/>
      </c>
      <c r="W1053">
        <f>IF($A1053="","",IF(OR($T1053=TRUE(),$T1053="TRUE"),1,0))</f>
        <v/>
      </c>
      <c r="X1053">
        <f>IF($U1053=1,IFERROR(IF(VALUE($A1053)&lt;100000000,VALUE($A1053),1000000000),IFERROR(IF(VALUE(MID($A1053,2,20))&lt;100000000,VALUE(MID($A1053,2,20)),1000000000),1000000000))+ROW()/100000,"")</f>
        <v/>
      </c>
    </row>
    <row r="1054">
      <c r="F1054" s="7">
        <f>IF($A1054="","",E1054*N1054/100)</f>
        <v/>
      </c>
      <c r="J1054" s="7" t="n"/>
      <c r="K1054" s="7">
        <f>IF($A1054="","",S1054*N1054)</f>
        <v/>
      </c>
      <c r="L1054" s="7">
        <f>IF($A1054="","",N1054-K1054)</f>
        <v/>
      </c>
      <c r="M1054" s="7">
        <f>IF($A1054="","",L1054-F1054)</f>
        <v/>
      </c>
      <c r="N1054" s="7" t="n"/>
      <c r="Q1054" s="11" t="n"/>
      <c r="S1054">
        <f>IF($A1054="","",IF($W1054=1,Settings!$C$6,Settings!$C$7)*1)</f>
        <v/>
      </c>
      <c r="U1054">
        <f>IF($A1054="","",IF(COUNTIF($A$2:$A1054,$A1054)=1,1,0))</f>
        <v/>
      </c>
      <c r="V1054">
        <f>IF($U1054=1,SUMPRODUCT(--($X$2:$X$3001&lt;$X1054))+1,"")</f>
        <v/>
      </c>
      <c r="W1054">
        <f>IF($A1054="","",IF(OR($T1054=TRUE(),$T1054="TRUE"),1,0))</f>
        <v/>
      </c>
      <c r="X1054">
        <f>IF($U1054=1,IFERROR(IF(VALUE($A1054)&lt;100000000,VALUE($A1054),1000000000),IFERROR(IF(VALUE(MID($A1054,2,20))&lt;100000000,VALUE(MID($A1054,2,20)),1000000000),1000000000))+ROW()/100000,"")</f>
        <v/>
      </c>
    </row>
    <row r="1055">
      <c r="F1055" s="7">
        <f>IF($A1055="","",E1055*N1055/100)</f>
        <v/>
      </c>
      <c r="J1055" s="7" t="n"/>
      <c r="K1055" s="7">
        <f>IF($A1055="","",S1055*N1055)</f>
        <v/>
      </c>
      <c r="L1055" s="7">
        <f>IF($A1055="","",N1055-K1055)</f>
        <v/>
      </c>
      <c r="M1055" s="7">
        <f>IF($A1055="","",L1055-F1055)</f>
        <v/>
      </c>
      <c r="N1055" s="7" t="n"/>
      <c r="Q1055" s="11" t="n"/>
      <c r="S1055">
        <f>IF($A1055="","",IF($W1055=1,Settings!$C$6,Settings!$C$7)*1)</f>
        <v/>
      </c>
      <c r="U1055">
        <f>IF($A1055="","",IF(COUNTIF($A$2:$A1055,$A1055)=1,1,0))</f>
        <v/>
      </c>
      <c r="V1055">
        <f>IF($U1055=1,SUMPRODUCT(--($X$2:$X$3001&lt;$X1055))+1,"")</f>
        <v/>
      </c>
      <c r="W1055">
        <f>IF($A1055="","",IF(OR($T1055=TRUE(),$T1055="TRUE"),1,0))</f>
        <v/>
      </c>
      <c r="X1055">
        <f>IF($U1055=1,IFERROR(IF(VALUE($A1055)&lt;100000000,VALUE($A1055),1000000000),IFERROR(IF(VALUE(MID($A1055,2,20))&lt;100000000,VALUE(MID($A1055,2,20)),1000000000),1000000000))+ROW()/100000,"")</f>
        <v/>
      </c>
    </row>
    <row r="1056">
      <c r="F1056" s="7">
        <f>IF($A1056="","",E1056*N1056/100)</f>
        <v/>
      </c>
      <c r="J1056" s="7" t="n"/>
      <c r="K1056" s="7">
        <f>IF($A1056="","",S1056*N1056)</f>
        <v/>
      </c>
      <c r="L1056" s="7">
        <f>IF($A1056="","",N1056-K1056)</f>
        <v/>
      </c>
      <c r="M1056" s="7">
        <f>IF($A1056="","",L1056-F1056)</f>
        <v/>
      </c>
      <c r="N1056" s="7" t="n"/>
      <c r="Q1056" s="11" t="n"/>
      <c r="S1056">
        <f>IF($A1056="","",IF($W1056=1,Settings!$C$6,Settings!$C$7)*1)</f>
        <v/>
      </c>
      <c r="U1056">
        <f>IF($A1056="","",IF(COUNTIF($A$2:$A1056,$A1056)=1,1,0))</f>
        <v/>
      </c>
      <c r="V1056">
        <f>IF($U1056=1,SUMPRODUCT(--($X$2:$X$3001&lt;$X1056))+1,"")</f>
        <v/>
      </c>
      <c r="W1056">
        <f>IF($A1056="","",IF(OR($T1056=TRUE(),$T1056="TRUE"),1,0))</f>
        <v/>
      </c>
      <c r="X1056">
        <f>IF($U1056=1,IFERROR(IF(VALUE($A1056)&lt;100000000,VALUE($A1056),1000000000),IFERROR(IF(VALUE(MID($A1056,2,20))&lt;100000000,VALUE(MID($A1056,2,20)),1000000000),1000000000))+ROW()/100000,"")</f>
        <v/>
      </c>
    </row>
    <row r="1057">
      <c r="F1057" s="7">
        <f>IF($A1057="","",E1057*N1057/100)</f>
        <v/>
      </c>
      <c r="J1057" s="7" t="n"/>
      <c r="K1057" s="7">
        <f>IF($A1057="","",S1057*N1057)</f>
        <v/>
      </c>
      <c r="L1057" s="7">
        <f>IF($A1057="","",N1057-K1057)</f>
        <v/>
      </c>
      <c r="M1057" s="7">
        <f>IF($A1057="","",L1057-F1057)</f>
        <v/>
      </c>
      <c r="N1057" s="7" t="n"/>
      <c r="Q1057" s="11" t="n"/>
      <c r="S1057">
        <f>IF($A1057="","",IF($W1057=1,Settings!$C$6,Settings!$C$7)*1)</f>
        <v/>
      </c>
      <c r="U1057">
        <f>IF($A1057="","",IF(COUNTIF($A$2:$A1057,$A1057)=1,1,0))</f>
        <v/>
      </c>
      <c r="V1057">
        <f>IF($U1057=1,SUMPRODUCT(--($X$2:$X$3001&lt;$X1057))+1,"")</f>
        <v/>
      </c>
      <c r="W1057">
        <f>IF($A1057="","",IF(OR($T1057=TRUE(),$T1057="TRUE"),1,0))</f>
        <v/>
      </c>
      <c r="X1057">
        <f>IF($U1057=1,IFERROR(IF(VALUE($A1057)&lt;100000000,VALUE($A1057),1000000000),IFERROR(IF(VALUE(MID($A1057,2,20))&lt;100000000,VALUE(MID($A1057,2,20)),1000000000),1000000000))+ROW()/100000,"")</f>
        <v/>
      </c>
    </row>
    <row r="1058">
      <c r="F1058" s="7">
        <f>IF($A1058="","",E1058*N1058/100)</f>
        <v/>
      </c>
      <c r="J1058" s="7" t="n"/>
      <c r="K1058" s="7">
        <f>IF($A1058="","",S1058*N1058)</f>
        <v/>
      </c>
      <c r="L1058" s="7">
        <f>IF($A1058="","",N1058-K1058)</f>
        <v/>
      </c>
      <c r="M1058" s="7">
        <f>IF($A1058="","",L1058-F1058)</f>
        <v/>
      </c>
      <c r="N1058" s="7" t="n"/>
      <c r="Q1058" s="11" t="n"/>
      <c r="S1058">
        <f>IF($A1058="","",IF($W1058=1,Settings!$C$6,Settings!$C$7)*1)</f>
        <v/>
      </c>
      <c r="U1058">
        <f>IF($A1058="","",IF(COUNTIF($A$2:$A1058,$A1058)=1,1,0))</f>
        <v/>
      </c>
      <c r="V1058">
        <f>IF($U1058=1,SUMPRODUCT(--($X$2:$X$3001&lt;$X1058))+1,"")</f>
        <v/>
      </c>
      <c r="W1058">
        <f>IF($A1058="","",IF(OR($T1058=TRUE(),$T1058="TRUE"),1,0))</f>
        <v/>
      </c>
      <c r="X1058">
        <f>IF($U1058=1,IFERROR(IF(VALUE($A1058)&lt;100000000,VALUE($A1058),1000000000),IFERROR(IF(VALUE(MID($A1058,2,20))&lt;100000000,VALUE(MID($A1058,2,20)),1000000000),1000000000))+ROW()/100000,"")</f>
        <v/>
      </c>
    </row>
    <row r="1059">
      <c r="F1059" s="7">
        <f>IF($A1059="","",E1059*N1059/100)</f>
        <v/>
      </c>
      <c r="J1059" s="7" t="n"/>
      <c r="K1059" s="7">
        <f>IF($A1059="","",S1059*N1059)</f>
        <v/>
      </c>
      <c r="L1059" s="7">
        <f>IF($A1059="","",N1059-K1059)</f>
        <v/>
      </c>
      <c r="M1059" s="7">
        <f>IF($A1059="","",L1059-F1059)</f>
        <v/>
      </c>
      <c r="N1059" s="7" t="n"/>
      <c r="Q1059" s="11" t="n"/>
      <c r="S1059">
        <f>IF($A1059="","",IF($W1059=1,Settings!$C$6,Settings!$C$7)*1)</f>
        <v/>
      </c>
      <c r="U1059">
        <f>IF($A1059="","",IF(COUNTIF($A$2:$A1059,$A1059)=1,1,0))</f>
        <v/>
      </c>
      <c r="V1059">
        <f>IF($U1059=1,SUMPRODUCT(--($X$2:$X$3001&lt;$X1059))+1,"")</f>
        <v/>
      </c>
      <c r="W1059">
        <f>IF($A1059="","",IF(OR($T1059=TRUE(),$T1059="TRUE"),1,0))</f>
        <v/>
      </c>
      <c r="X1059">
        <f>IF($U1059=1,IFERROR(IF(VALUE($A1059)&lt;100000000,VALUE($A1059),1000000000),IFERROR(IF(VALUE(MID($A1059,2,20))&lt;100000000,VALUE(MID($A1059,2,20)),1000000000),1000000000))+ROW()/100000,"")</f>
        <v/>
      </c>
    </row>
    <row r="1060">
      <c r="F1060" s="7">
        <f>IF($A1060="","",E1060*N1060/100)</f>
        <v/>
      </c>
      <c r="J1060" s="7" t="n"/>
      <c r="K1060" s="7">
        <f>IF($A1060="","",S1060*N1060)</f>
        <v/>
      </c>
      <c r="L1060" s="7">
        <f>IF($A1060="","",N1060-K1060)</f>
        <v/>
      </c>
      <c r="M1060" s="7">
        <f>IF($A1060="","",L1060-F1060)</f>
        <v/>
      </c>
      <c r="N1060" s="7" t="n"/>
      <c r="Q1060" s="11" t="n"/>
      <c r="S1060">
        <f>IF($A1060="","",IF($W1060=1,Settings!$C$6,Settings!$C$7)*1)</f>
        <v/>
      </c>
      <c r="U1060">
        <f>IF($A1060="","",IF(COUNTIF($A$2:$A1060,$A1060)=1,1,0))</f>
        <v/>
      </c>
      <c r="V1060">
        <f>IF($U1060=1,SUMPRODUCT(--($X$2:$X$3001&lt;$X1060))+1,"")</f>
        <v/>
      </c>
      <c r="W1060">
        <f>IF($A1060="","",IF(OR($T1060=TRUE(),$T1060="TRUE"),1,0))</f>
        <v/>
      </c>
      <c r="X1060">
        <f>IF($U1060=1,IFERROR(IF(VALUE($A1060)&lt;100000000,VALUE($A1060),1000000000),IFERROR(IF(VALUE(MID($A1060,2,20))&lt;100000000,VALUE(MID($A1060,2,20)),1000000000),1000000000))+ROW()/100000,"")</f>
        <v/>
      </c>
    </row>
    <row r="1061">
      <c r="F1061" s="7">
        <f>IF($A1061="","",E1061*N1061/100)</f>
        <v/>
      </c>
      <c r="J1061" s="7" t="n"/>
      <c r="K1061" s="7">
        <f>IF($A1061="","",S1061*N1061)</f>
        <v/>
      </c>
      <c r="L1061" s="7">
        <f>IF($A1061="","",N1061-K1061)</f>
        <v/>
      </c>
      <c r="M1061" s="7">
        <f>IF($A1061="","",L1061-F1061)</f>
        <v/>
      </c>
      <c r="N1061" s="7" t="n"/>
      <c r="Q1061" s="11" t="n"/>
      <c r="S1061">
        <f>IF($A1061="","",IF($W1061=1,Settings!$C$6,Settings!$C$7)*1)</f>
        <v/>
      </c>
      <c r="U1061">
        <f>IF($A1061="","",IF(COUNTIF($A$2:$A1061,$A1061)=1,1,0))</f>
        <v/>
      </c>
      <c r="V1061">
        <f>IF($U1061=1,SUMPRODUCT(--($X$2:$X$3001&lt;$X1061))+1,"")</f>
        <v/>
      </c>
      <c r="W1061">
        <f>IF($A1061="","",IF(OR($T1061=TRUE(),$T1061="TRUE"),1,0))</f>
        <v/>
      </c>
      <c r="X1061">
        <f>IF($U1061=1,IFERROR(IF(VALUE($A1061)&lt;100000000,VALUE($A1061),1000000000),IFERROR(IF(VALUE(MID($A1061,2,20))&lt;100000000,VALUE(MID($A1061,2,20)),1000000000),1000000000))+ROW()/100000,"")</f>
        <v/>
      </c>
    </row>
    <row r="1062">
      <c r="F1062" s="7">
        <f>IF($A1062="","",E1062*N1062/100)</f>
        <v/>
      </c>
      <c r="J1062" s="7" t="n"/>
      <c r="K1062" s="7">
        <f>IF($A1062="","",S1062*N1062)</f>
        <v/>
      </c>
      <c r="L1062" s="7">
        <f>IF($A1062="","",N1062-K1062)</f>
        <v/>
      </c>
      <c r="M1062" s="7">
        <f>IF($A1062="","",L1062-F1062)</f>
        <v/>
      </c>
      <c r="N1062" s="7" t="n"/>
      <c r="Q1062" s="11" t="n"/>
      <c r="S1062">
        <f>IF($A1062="","",IF($W1062=1,Settings!$C$6,Settings!$C$7)*1)</f>
        <v/>
      </c>
      <c r="U1062">
        <f>IF($A1062="","",IF(COUNTIF($A$2:$A1062,$A1062)=1,1,0))</f>
        <v/>
      </c>
      <c r="V1062">
        <f>IF($U1062=1,SUMPRODUCT(--($X$2:$X$3001&lt;$X1062))+1,"")</f>
        <v/>
      </c>
      <c r="W1062">
        <f>IF($A1062="","",IF(OR($T1062=TRUE(),$T1062="TRUE"),1,0))</f>
        <v/>
      </c>
      <c r="X1062">
        <f>IF($U1062=1,IFERROR(IF(VALUE($A1062)&lt;100000000,VALUE($A1062),1000000000),IFERROR(IF(VALUE(MID($A1062,2,20))&lt;100000000,VALUE(MID($A1062,2,20)),1000000000),1000000000))+ROW()/100000,"")</f>
        <v/>
      </c>
    </row>
    <row r="1063">
      <c r="F1063" s="7">
        <f>IF($A1063="","",E1063*N1063/100)</f>
        <v/>
      </c>
      <c r="J1063" s="7" t="n"/>
      <c r="K1063" s="7">
        <f>IF($A1063="","",S1063*N1063)</f>
        <v/>
      </c>
      <c r="L1063" s="7">
        <f>IF($A1063="","",N1063-K1063)</f>
        <v/>
      </c>
      <c r="M1063" s="7">
        <f>IF($A1063="","",L1063-F1063)</f>
        <v/>
      </c>
      <c r="N1063" s="7" t="n"/>
      <c r="Q1063" s="11" t="n"/>
      <c r="S1063">
        <f>IF($A1063="","",IF($W1063=1,Settings!$C$6,Settings!$C$7)*1)</f>
        <v/>
      </c>
      <c r="U1063">
        <f>IF($A1063="","",IF(COUNTIF($A$2:$A1063,$A1063)=1,1,0))</f>
        <v/>
      </c>
      <c r="V1063">
        <f>IF($U1063=1,SUMPRODUCT(--($X$2:$X$3001&lt;$X1063))+1,"")</f>
        <v/>
      </c>
      <c r="W1063">
        <f>IF($A1063="","",IF(OR($T1063=TRUE(),$T1063="TRUE"),1,0))</f>
        <v/>
      </c>
      <c r="X1063">
        <f>IF($U1063=1,IFERROR(IF(VALUE($A1063)&lt;100000000,VALUE($A1063),1000000000),IFERROR(IF(VALUE(MID($A1063,2,20))&lt;100000000,VALUE(MID($A1063,2,20)),1000000000),1000000000))+ROW()/100000,"")</f>
        <v/>
      </c>
    </row>
    <row r="1064">
      <c r="F1064" s="7">
        <f>IF($A1064="","",E1064*N1064/100)</f>
        <v/>
      </c>
      <c r="J1064" s="7" t="n"/>
      <c r="K1064" s="7">
        <f>IF($A1064="","",S1064*N1064)</f>
        <v/>
      </c>
      <c r="L1064" s="7">
        <f>IF($A1064="","",N1064-K1064)</f>
        <v/>
      </c>
      <c r="M1064" s="7">
        <f>IF($A1064="","",L1064-F1064)</f>
        <v/>
      </c>
      <c r="N1064" s="7" t="n"/>
      <c r="Q1064" s="11" t="n"/>
      <c r="S1064">
        <f>IF($A1064="","",IF($W1064=1,Settings!$C$6,Settings!$C$7)*1)</f>
        <v/>
      </c>
      <c r="U1064">
        <f>IF($A1064="","",IF(COUNTIF($A$2:$A1064,$A1064)=1,1,0))</f>
        <v/>
      </c>
      <c r="V1064">
        <f>IF($U1064=1,SUMPRODUCT(--($X$2:$X$3001&lt;$X1064))+1,"")</f>
        <v/>
      </c>
      <c r="W1064">
        <f>IF($A1064="","",IF(OR($T1064=TRUE(),$T1064="TRUE"),1,0))</f>
        <v/>
      </c>
      <c r="X1064">
        <f>IF($U1064=1,IFERROR(IF(VALUE($A1064)&lt;100000000,VALUE($A1064),1000000000),IFERROR(IF(VALUE(MID($A1064,2,20))&lt;100000000,VALUE(MID($A1064,2,20)),1000000000),1000000000))+ROW()/100000,"")</f>
        <v/>
      </c>
    </row>
    <row r="1065">
      <c r="F1065" s="7">
        <f>IF($A1065="","",E1065*N1065/100)</f>
        <v/>
      </c>
      <c r="J1065" s="7" t="n"/>
      <c r="K1065" s="7">
        <f>IF($A1065="","",S1065*N1065)</f>
        <v/>
      </c>
      <c r="L1065" s="7">
        <f>IF($A1065="","",N1065-K1065)</f>
        <v/>
      </c>
      <c r="M1065" s="7">
        <f>IF($A1065="","",L1065-F1065)</f>
        <v/>
      </c>
      <c r="N1065" s="7" t="n"/>
      <c r="Q1065" s="11" t="n"/>
      <c r="S1065">
        <f>IF($A1065="","",IF($W1065=1,Settings!$C$6,Settings!$C$7)*1)</f>
        <v/>
      </c>
      <c r="U1065">
        <f>IF($A1065="","",IF(COUNTIF($A$2:$A1065,$A1065)=1,1,0))</f>
        <v/>
      </c>
      <c r="V1065">
        <f>IF($U1065=1,SUMPRODUCT(--($X$2:$X$3001&lt;$X1065))+1,"")</f>
        <v/>
      </c>
      <c r="W1065">
        <f>IF($A1065="","",IF(OR($T1065=TRUE(),$T1065="TRUE"),1,0))</f>
        <v/>
      </c>
      <c r="X1065">
        <f>IF($U1065=1,IFERROR(IF(VALUE($A1065)&lt;100000000,VALUE($A1065),1000000000),IFERROR(IF(VALUE(MID($A1065,2,20))&lt;100000000,VALUE(MID($A1065,2,20)),1000000000),1000000000))+ROW()/100000,"")</f>
        <v/>
      </c>
    </row>
    <row r="1066">
      <c r="F1066" s="7">
        <f>IF($A1066="","",E1066*N1066/100)</f>
        <v/>
      </c>
      <c r="J1066" s="7" t="n"/>
      <c r="K1066" s="7">
        <f>IF($A1066="","",S1066*N1066)</f>
        <v/>
      </c>
      <c r="L1066" s="7">
        <f>IF($A1066="","",N1066-K1066)</f>
        <v/>
      </c>
      <c r="M1066" s="7">
        <f>IF($A1066="","",L1066-F1066)</f>
        <v/>
      </c>
      <c r="N1066" s="7" t="n"/>
      <c r="Q1066" s="11" t="n"/>
      <c r="S1066">
        <f>IF($A1066="","",IF($W1066=1,Settings!$C$6,Settings!$C$7)*1)</f>
        <v/>
      </c>
      <c r="U1066">
        <f>IF($A1066="","",IF(COUNTIF($A$2:$A1066,$A1066)=1,1,0))</f>
        <v/>
      </c>
      <c r="V1066">
        <f>IF($U1066=1,SUMPRODUCT(--($X$2:$X$3001&lt;$X1066))+1,"")</f>
        <v/>
      </c>
      <c r="W1066">
        <f>IF($A1066="","",IF(OR($T1066=TRUE(),$T1066="TRUE"),1,0))</f>
        <v/>
      </c>
      <c r="X1066">
        <f>IF($U1066=1,IFERROR(IF(VALUE($A1066)&lt;100000000,VALUE($A1066),1000000000),IFERROR(IF(VALUE(MID($A1066,2,20))&lt;100000000,VALUE(MID($A1066,2,20)),1000000000),1000000000))+ROW()/100000,"")</f>
        <v/>
      </c>
    </row>
    <row r="1067">
      <c r="F1067" s="7">
        <f>IF($A1067="","",E1067*N1067/100)</f>
        <v/>
      </c>
      <c r="J1067" s="7" t="n"/>
      <c r="K1067" s="7">
        <f>IF($A1067="","",S1067*N1067)</f>
        <v/>
      </c>
      <c r="L1067" s="7">
        <f>IF($A1067="","",N1067-K1067)</f>
        <v/>
      </c>
      <c r="M1067" s="7">
        <f>IF($A1067="","",L1067-F1067)</f>
        <v/>
      </c>
      <c r="N1067" s="7" t="n"/>
      <c r="Q1067" s="11" t="n"/>
      <c r="S1067">
        <f>IF($A1067="","",IF($W1067=1,Settings!$C$6,Settings!$C$7)*1)</f>
        <v/>
      </c>
      <c r="U1067">
        <f>IF($A1067="","",IF(COUNTIF($A$2:$A1067,$A1067)=1,1,0))</f>
        <v/>
      </c>
      <c r="V1067">
        <f>IF($U1067=1,SUMPRODUCT(--($X$2:$X$3001&lt;$X1067))+1,"")</f>
        <v/>
      </c>
      <c r="W1067">
        <f>IF($A1067="","",IF(OR($T1067=TRUE(),$T1067="TRUE"),1,0))</f>
        <v/>
      </c>
      <c r="X1067">
        <f>IF($U1067=1,IFERROR(IF(VALUE($A1067)&lt;100000000,VALUE($A1067),1000000000),IFERROR(IF(VALUE(MID($A1067,2,20))&lt;100000000,VALUE(MID($A1067,2,20)),1000000000),1000000000))+ROW()/100000,"")</f>
        <v/>
      </c>
    </row>
    <row r="1068">
      <c r="F1068" s="7">
        <f>IF($A1068="","",E1068*N1068/100)</f>
        <v/>
      </c>
      <c r="J1068" s="7" t="n"/>
      <c r="K1068" s="7">
        <f>IF($A1068="","",S1068*N1068)</f>
        <v/>
      </c>
      <c r="L1068" s="7">
        <f>IF($A1068="","",N1068-K1068)</f>
        <v/>
      </c>
      <c r="M1068" s="7">
        <f>IF($A1068="","",L1068-F1068)</f>
        <v/>
      </c>
      <c r="N1068" s="7" t="n"/>
      <c r="Q1068" s="11" t="n"/>
      <c r="S1068">
        <f>IF($A1068="","",IF($W1068=1,Settings!$C$6,Settings!$C$7)*1)</f>
        <v/>
      </c>
      <c r="U1068">
        <f>IF($A1068="","",IF(COUNTIF($A$2:$A1068,$A1068)=1,1,0))</f>
        <v/>
      </c>
      <c r="V1068">
        <f>IF($U1068=1,SUMPRODUCT(--($X$2:$X$3001&lt;$X1068))+1,"")</f>
        <v/>
      </c>
      <c r="W1068">
        <f>IF($A1068="","",IF(OR($T1068=TRUE(),$T1068="TRUE"),1,0))</f>
        <v/>
      </c>
      <c r="X1068">
        <f>IF($U1068=1,IFERROR(IF(VALUE($A1068)&lt;100000000,VALUE($A1068),1000000000),IFERROR(IF(VALUE(MID($A1068,2,20))&lt;100000000,VALUE(MID($A1068,2,20)),1000000000),1000000000))+ROW()/100000,"")</f>
        <v/>
      </c>
    </row>
    <row r="1069">
      <c r="F1069" s="7">
        <f>IF($A1069="","",E1069*N1069/100)</f>
        <v/>
      </c>
      <c r="J1069" s="7" t="n"/>
      <c r="K1069" s="7">
        <f>IF($A1069="","",S1069*N1069)</f>
        <v/>
      </c>
      <c r="L1069" s="7">
        <f>IF($A1069="","",N1069-K1069)</f>
        <v/>
      </c>
      <c r="M1069" s="7">
        <f>IF($A1069="","",L1069-F1069)</f>
        <v/>
      </c>
      <c r="N1069" s="7" t="n"/>
      <c r="Q1069" s="11" t="n"/>
      <c r="S1069">
        <f>IF($A1069="","",IF($W1069=1,Settings!$C$6,Settings!$C$7)*1)</f>
        <v/>
      </c>
      <c r="U1069">
        <f>IF($A1069="","",IF(COUNTIF($A$2:$A1069,$A1069)=1,1,0))</f>
        <v/>
      </c>
      <c r="V1069">
        <f>IF($U1069=1,SUMPRODUCT(--($X$2:$X$3001&lt;$X1069))+1,"")</f>
        <v/>
      </c>
      <c r="W1069">
        <f>IF($A1069="","",IF(OR($T1069=TRUE(),$T1069="TRUE"),1,0))</f>
        <v/>
      </c>
      <c r="X1069">
        <f>IF($U1069=1,IFERROR(IF(VALUE($A1069)&lt;100000000,VALUE($A1069),1000000000),IFERROR(IF(VALUE(MID($A1069,2,20))&lt;100000000,VALUE(MID($A1069,2,20)),1000000000),1000000000))+ROW()/100000,"")</f>
        <v/>
      </c>
    </row>
    <row r="1070">
      <c r="F1070" s="7">
        <f>IF($A1070="","",E1070*N1070/100)</f>
        <v/>
      </c>
      <c r="J1070" s="7" t="n"/>
      <c r="K1070" s="7">
        <f>IF($A1070="","",S1070*N1070)</f>
        <v/>
      </c>
      <c r="L1070" s="7">
        <f>IF($A1070="","",N1070-K1070)</f>
        <v/>
      </c>
      <c r="M1070" s="7">
        <f>IF($A1070="","",L1070-F1070)</f>
        <v/>
      </c>
      <c r="N1070" s="7" t="n"/>
      <c r="Q1070" s="11" t="n"/>
      <c r="S1070">
        <f>IF($A1070="","",IF($W1070=1,Settings!$C$6,Settings!$C$7)*1)</f>
        <v/>
      </c>
      <c r="U1070">
        <f>IF($A1070="","",IF(COUNTIF($A$2:$A1070,$A1070)=1,1,0))</f>
        <v/>
      </c>
      <c r="V1070">
        <f>IF($U1070=1,SUMPRODUCT(--($X$2:$X$3001&lt;$X1070))+1,"")</f>
        <v/>
      </c>
      <c r="W1070">
        <f>IF($A1070="","",IF(OR($T1070=TRUE(),$T1070="TRUE"),1,0))</f>
        <v/>
      </c>
      <c r="X1070">
        <f>IF($U1070=1,IFERROR(IF(VALUE($A1070)&lt;100000000,VALUE($A1070),1000000000),IFERROR(IF(VALUE(MID($A1070,2,20))&lt;100000000,VALUE(MID($A1070,2,20)),1000000000),1000000000))+ROW()/100000,"")</f>
        <v/>
      </c>
    </row>
    <row r="1071">
      <c r="F1071" s="7">
        <f>IF($A1071="","",E1071*N1071/100)</f>
        <v/>
      </c>
      <c r="J1071" s="7" t="n"/>
      <c r="K1071" s="7">
        <f>IF($A1071="","",S1071*N1071)</f>
        <v/>
      </c>
      <c r="L1071" s="7">
        <f>IF($A1071="","",N1071-K1071)</f>
        <v/>
      </c>
      <c r="M1071" s="7">
        <f>IF($A1071="","",L1071-F1071)</f>
        <v/>
      </c>
      <c r="N1071" s="7" t="n"/>
      <c r="Q1071" s="11" t="n"/>
      <c r="S1071">
        <f>IF($A1071="","",IF($W1071=1,Settings!$C$6,Settings!$C$7)*1)</f>
        <v/>
      </c>
      <c r="U1071">
        <f>IF($A1071="","",IF(COUNTIF($A$2:$A1071,$A1071)=1,1,0))</f>
        <v/>
      </c>
      <c r="V1071">
        <f>IF($U1071=1,SUMPRODUCT(--($X$2:$X$3001&lt;$X1071))+1,"")</f>
        <v/>
      </c>
      <c r="W1071">
        <f>IF($A1071="","",IF(OR($T1071=TRUE(),$T1071="TRUE"),1,0))</f>
        <v/>
      </c>
      <c r="X1071">
        <f>IF($U1071=1,IFERROR(IF(VALUE($A1071)&lt;100000000,VALUE($A1071),1000000000),IFERROR(IF(VALUE(MID($A1071,2,20))&lt;100000000,VALUE(MID($A1071,2,20)),1000000000),1000000000))+ROW()/100000,"")</f>
        <v/>
      </c>
    </row>
    <row r="1072">
      <c r="F1072" s="7">
        <f>IF($A1072="","",E1072*N1072/100)</f>
        <v/>
      </c>
      <c r="J1072" s="7" t="n"/>
      <c r="K1072" s="7">
        <f>IF($A1072="","",S1072*N1072)</f>
        <v/>
      </c>
      <c r="L1072" s="7">
        <f>IF($A1072="","",N1072-K1072)</f>
        <v/>
      </c>
      <c r="M1072" s="7">
        <f>IF($A1072="","",L1072-F1072)</f>
        <v/>
      </c>
      <c r="N1072" s="7" t="n"/>
      <c r="Q1072" s="11" t="n"/>
      <c r="S1072">
        <f>IF($A1072="","",IF($W1072=1,Settings!$C$6,Settings!$C$7)*1)</f>
        <v/>
      </c>
      <c r="U1072">
        <f>IF($A1072="","",IF(COUNTIF($A$2:$A1072,$A1072)=1,1,0))</f>
        <v/>
      </c>
      <c r="V1072">
        <f>IF($U1072=1,SUMPRODUCT(--($X$2:$X$3001&lt;$X1072))+1,"")</f>
        <v/>
      </c>
      <c r="W1072">
        <f>IF($A1072="","",IF(OR($T1072=TRUE(),$T1072="TRUE"),1,0))</f>
        <v/>
      </c>
      <c r="X1072">
        <f>IF($U1072=1,IFERROR(IF(VALUE($A1072)&lt;100000000,VALUE($A1072),1000000000),IFERROR(IF(VALUE(MID($A1072,2,20))&lt;100000000,VALUE(MID($A1072,2,20)),1000000000),1000000000))+ROW()/100000,"")</f>
        <v/>
      </c>
    </row>
    <row r="1073">
      <c r="F1073" s="7">
        <f>IF($A1073="","",E1073*N1073/100)</f>
        <v/>
      </c>
      <c r="J1073" s="7" t="n"/>
      <c r="K1073" s="7">
        <f>IF($A1073="","",S1073*N1073)</f>
        <v/>
      </c>
      <c r="L1073" s="7">
        <f>IF($A1073="","",N1073-K1073)</f>
        <v/>
      </c>
      <c r="M1073" s="7">
        <f>IF($A1073="","",L1073-F1073)</f>
        <v/>
      </c>
      <c r="N1073" s="7" t="n"/>
      <c r="Q1073" s="11" t="n"/>
      <c r="S1073">
        <f>IF($A1073="","",IF($W1073=1,Settings!$C$6,Settings!$C$7)*1)</f>
        <v/>
      </c>
      <c r="U1073">
        <f>IF($A1073="","",IF(COUNTIF($A$2:$A1073,$A1073)=1,1,0))</f>
        <v/>
      </c>
      <c r="V1073">
        <f>IF($U1073=1,SUMPRODUCT(--($X$2:$X$3001&lt;$X1073))+1,"")</f>
        <v/>
      </c>
      <c r="W1073">
        <f>IF($A1073="","",IF(OR($T1073=TRUE(),$T1073="TRUE"),1,0))</f>
        <v/>
      </c>
      <c r="X1073">
        <f>IF($U1073=1,IFERROR(IF(VALUE($A1073)&lt;100000000,VALUE($A1073),1000000000),IFERROR(IF(VALUE(MID($A1073,2,20))&lt;100000000,VALUE(MID($A1073,2,20)),1000000000),1000000000))+ROW()/100000,"")</f>
        <v/>
      </c>
    </row>
    <row r="1074">
      <c r="F1074" s="7">
        <f>IF($A1074="","",E1074*N1074/100)</f>
        <v/>
      </c>
      <c r="J1074" s="7" t="n"/>
      <c r="K1074" s="7">
        <f>IF($A1074="","",S1074*N1074)</f>
        <v/>
      </c>
      <c r="L1074" s="7">
        <f>IF($A1074="","",N1074-K1074)</f>
        <v/>
      </c>
      <c r="M1074" s="7">
        <f>IF($A1074="","",L1074-F1074)</f>
        <v/>
      </c>
      <c r="N1074" s="7" t="n"/>
      <c r="Q1074" s="11" t="n"/>
      <c r="S1074">
        <f>IF($A1074="","",IF($W1074=1,Settings!$C$6,Settings!$C$7)*1)</f>
        <v/>
      </c>
      <c r="U1074">
        <f>IF($A1074="","",IF(COUNTIF($A$2:$A1074,$A1074)=1,1,0))</f>
        <v/>
      </c>
      <c r="V1074">
        <f>IF($U1074=1,SUMPRODUCT(--($X$2:$X$3001&lt;$X1074))+1,"")</f>
        <v/>
      </c>
      <c r="W1074">
        <f>IF($A1074="","",IF(OR($T1074=TRUE(),$T1074="TRUE"),1,0))</f>
        <v/>
      </c>
      <c r="X1074">
        <f>IF($U1074=1,IFERROR(IF(VALUE($A1074)&lt;100000000,VALUE($A1074),1000000000),IFERROR(IF(VALUE(MID($A1074,2,20))&lt;100000000,VALUE(MID($A1074,2,20)),1000000000),1000000000))+ROW()/100000,"")</f>
        <v/>
      </c>
    </row>
    <row r="1075">
      <c r="F1075" s="7">
        <f>IF($A1075="","",E1075*N1075/100)</f>
        <v/>
      </c>
      <c r="J1075" s="7" t="n"/>
      <c r="K1075" s="7">
        <f>IF($A1075="","",S1075*N1075)</f>
        <v/>
      </c>
      <c r="L1075" s="7">
        <f>IF($A1075="","",N1075-K1075)</f>
        <v/>
      </c>
      <c r="M1075" s="7">
        <f>IF($A1075="","",L1075-F1075)</f>
        <v/>
      </c>
      <c r="N1075" s="7" t="n"/>
      <c r="Q1075" s="11" t="n"/>
      <c r="S1075">
        <f>IF($A1075="","",IF($W1075=1,Settings!$C$6,Settings!$C$7)*1)</f>
        <v/>
      </c>
      <c r="U1075">
        <f>IF($A1075="","",IF(COUNTIF($A$2:$A1075,$A1075)=1,1,0))</f>
        <v/>
      </c>
      <c r="V1075">
        <f>IF($U1075=1,SUMPRODUCT(--($X$2:$X$3001&lt;$X1075))+1,"")</f>
        <v/>
      </c>
      <c r="W1075">
        <f>IF($A1075="","",IF(OR($T1075=TRUE(),$T1075="TRUE"),1,0))</f>
        <v/>
      </c>
      <c r="X1075">
        <f>IF($U1075=1,IFERROR(IF(VALUE($A1075)&lt;100000000,VALUE($A1075),1000000000),IFERROR(IF(VALUE(MID($A1075,2,20))&lt;100000000,VALUE(MID($A1075,2,20)),1000000000),1000000000))+ROW()/100000,"")</f>
        <v/>
      </c>
    </row>
    <row r="1076">
      <c r="F1076" s="7">
        <f>IF($A1076="","",E1076*N1076/100)</f>
        <v/>
      </c>
      <c r="J1076" s="7" t="n"/>
      <c r="K1076" s="7">
        <f>IF($A1076="","",S1076*N1076)</f>
        <v/>
      </c>
      <c r="L1076" s="7">
        <f>IF($A1076="","",N1076-K1076)</f>
        <v/>
      </c>
      <c r="M1076" s="7">
        <f>IF($A1076="","",L1076-F1076)</f>
        <v/>
      </c>
      <c r="N1076" s="7" t="n"/>
      <c r="Q1076" s="11" t="n"/>
      <c r="S1076">
        <f>IF($A1076="","",IF($W1076=1,Settings!$C$6,Settings!$C$7)*1)</f>
        <v/>
      </c>
      <c r="U1076">
        <f>IF($A1076="","",IF(COUNTIF($A$2:$A1076,$A1076)=1,1,0))</f>
        <v/>
      </c>
      <c r="V1076">
        <f>IF($U1076=1,SUMPRODUCT(--($X$2:$X$3001&lt;$X1076))+1,"")</f>
        <v/>
      </c>
      <c r="W1076">
        <f>IF($A1076="","",IF(OR($T1076=TRUE(),$T1076="TRUE"),1,0))</f>
        <v/>
      </c>
      <c r="X1076">
        <f>IF($U1076=1,IFERROR(IF(VALUE($A1076)&lt;100000000,VALUE($A1076),1000000000),IFERROR(IF(VALUE(MID($A1076,2,20))&lt;100000000,VALUE(MID($A1076,2,20)),1000000000),1000000000))+ROW()/100000,"")</f>
        <v/>
      </c>
    </row>
    <row r="1077">
      <c r="F1077" s="7">
        <f>IF($A1077="","",E1077*N1077/100)</f>
        <v/>
      </c>
      <c r="J1077" s="7" t="n"/>
      <c r="K1077" s="7">
        <f>IF($A1077="","",S1077*N1077)</f>
        <v/>
      </c>
      <c r="L1077" s="7">
        <f>IF($A1077="","",N1077-K1077)</f>
        <v/>
      </c>
      <c r="M1077" s="7">
        <f>IF($A1077="","",L1077-F1077)</f>
        <v/>
      </c>
      <c r="N1077" s="7" t="n"/>
      <c r="Q1077" s="11" t="n"/>
      <c r="S1077">
        <f>IF($A1077="","",IF($W1077=1,Settings!$C$6,Settings!$C$7)*1)</f>
        <v/>
      </c>
      <c r="U1077">
        <f>IF($A1077="","",IF(COUNTIF($A$2:$A1077,$A1077)=1,1,0))</f>
        <v/>
      </c>
      <c r="V1077">
        <f>IF($U1077=1,SUMPRODUCT(--($X$2:$X$3001&lt;$X1077))+1,"")</f>
        <v/>
      </c>
      <c r="W1077">
        <f>IF($A1077="","",IF(OR($T1077=TRUE(),$T1077="TRUE"),1,0))</f>
        <v/>
      </c>
      <c r="X1077">
        <f>IF($U1077=1,IFERROR(IF(VALUE($A1077)&lt;100000000,VALUE($A1077),1000000000),IFERROR(IF(VALUE(MID($A1077,2,20))&lt;100000000,VALUE(MID($A1077,2,20)),1000000000),1000000000))+ROW()/100000,"")</f>
        <v/>
      </c>
    </row>
    <row r="1078">
      <c r="F1078" s="7">
        <f>IF($A1078="","",E1078*N1078/100)</f>
        <v/>
      </c>
      <c r="J1078" s="7" t="n"/>
      <c r="K1078" s="7">
        <f>IF($A1078="","",S1078*N1078)</f>
        <v/>
      </c>
      <c r="L1078" s="7">
        <f>IF($A1078="","",N1078-K1078)</f>
        <v/>
      </c>
      <c r="M1078" s="7">
        <f>IF($A1078="","",L1078-F1078)</f>
        <v/>
      </c>
      <c r="N1078" s="7" t="n"/>
      <c r="Q1078" s="11" t="n"/>
      <c r="S1078">
        <f>IF($A1078="","",IF($W1078=1,Settings!$C$6,Settings!$C$7)*1)</f>
        <v/>
      </c>
      <c r="U1078">
        <f>IF($A1078="","",IF(COUNTIF($A$2:$A1078,$A1078)=1,1,0))</f>
        <v/>
      </c>
      <c r="V1078">
        <f>IF($U1078=1,SUMPRODUCT(--($X$2:$X$3001&lt;$X1078))+1,"")</f>
        <v/>
      </c>
      <c r="W1078">
        <f>IF($A1078="","",IF(OR($T1078=TRUE(),$T1078="TRUE"),1,0))</f>
        <v/>
      </c>
      <c r="X1078">
        <f>IF($U1078=1,IFERROR(IF(VALUE($A1078)&lt;100000000,VALUE($A1078),1000000000),IFERROR(IF(VALUE(MID($A1078,2,20))&lt;100000000,VALUE(MID($A1078,2,20)),1000000000),1000000000))+ROW()/100000,"")</f>
        <v/>
      </c>
    </row>
    <row r="1079">
      <c r="F1079" s="7">
        <f>IF($A1079="","",E1079*N1079/100)</f>
        <v/>
      </c>
      <c r="J1079" s="7" t="n"/>
      <c r="K1079" s="7">
        <f>IF($A1079="","",S1079*N1079)</f>
        <v/>
      </c>
      <c r="L1079" s="7">
        <f>IF($A1079="","",N1079-K1079)</f>
        <v/>
      </c>
      <c r="M1079" s="7">
        <f>IF($A1079="","",L1079-F1079)</f>
        <v/>
      </c>
      <c r="N1079" s="7" t="n"/>
      <c r="Q1079" s="11" t="n"/>
      <c r="S1079">
        <f>IF($A1079="","",IF($W1079=1,Settings!$C$6,Settings!$C$7)*1)</f>
        <v/>
      </c>
      <c r="U1079">
        <f>IF($A1079="","",IF(COUNTIF($A$2:$A1079,$A1079)=1,1,0))</f>
        <v/>
      </c>
      <c r="V1079">
        <f>IF($U1079=1,SUMPRODUCT(--($X$2:$X$3001&lt;$X1079))+1,"")</f>
        <v/>
      </c>
      <c r="W1079">
        <f>IF($A1079="","",IF(OR($T1079=TRUE(),$T1079="TRUE"),1,0))</f>
        <v/>
      </c>
      <c r="X1079">
        <f>IF($U1079=1,IFERROR(IF(VALUE($A1079)&lt;100000000,VALUE($A1079),1000000000),IFERROR(IF(VALUE(MID($A1079,2,20))&lt;100000000,VALUE(MID($A1079,2,20)),1000000000),1000000000))+ROW()/100000,"")</f>
        <v/>
      </c>
    </row>
    <row r="1080">
      <c r="F1080" s="7">
        <f>IF($A1080="","",E1080*N1080/100)</f>
        <v/>
      </c>
      <c r="J1080" s="7" t="n"/>
      <c r="K1080" s="7">
        <f>IF($A1080="","",S1080*N1080)</f>
        <v/>
      </c>
      <c r="L1080" s="7">
        <f>IF($A1080="","",N1080-K1080)</f>
        <v/>
      </c>
      <c r="M1080" s="7">
        <f>IF($A1080="","",L1080-F1080)</f>
        <v/>
      </c>
      <c r="N1080" s="7" t="n"/>
      <c r="Q1080" s="11" t="n"/>
      <c r="S1080">
        <f>IF($A1080="","",IF($W1080=1,Settings!$C$6,Settings!$C$7)*1)</f>
        <v/>
      </c>
      <c r="U1080">
        <f>IF($A1080="","",IF(COUNTIF($A$2:$A1080,$A1080)=1,1,0))</f>
        <v/>
      </c>
      <c r="V1080">
        <f>IF($U1080=1,SUMPRODUCT(--($X$2:$X$3001&lt;$X1080))+1,"")</f>
        <v/>
      </c>
      <c r="W1080">
        <f>IF($A1080="","",IF(OR($T1080=TRUE(),$T1080="TRUE"),1,0))</f>
        <v/>
      </c>
      <c r="X1080">
        <f>IF($U1080=1,IFERROR(IF(VALUE($A1080)&lt;100000000,VALUE($A1080),1000000000),IFERROR(IF(VALUE(MID($A1080,2,20))&lt;100000000,VALUE(MID($A1080,2,20)),1000000000),1000000000))+ROW()/100000,"")</f>
        <v/>
      </c>
    </row>
    <row r="1081">
      <c r="F1081" s="7">
        <f>IF($A1081="","",E1081*N1081/100)</f>
        <v/>
      </c>
      <c r="J1081" s="7" t="n"/>
      <c r="K1081" s="7">
        <f>IF($A1081="","",S1081*N1081)</f>
        <v/>
      </c>
      <c r="L1081" s="7">
        <f>IF($A1081="","",N1081-K1081)</f>
        <v/>
      </c>
      <c r="M1081" s="7">
        <f>IF($A1081="","",L1081-F1081)</f>
        <v/>
      </c>
      <c r="N1081" s="7" t="n"/>
      <c r="Q1081" s="11" t="n"/>
      <c r="S1081">
        <f>IF($A1081="","",IF($W1081=1,Settings!$C$6,Settings!$C$7)*1)</f>
        <v/>
      </c>
      <c r="U1081">
        <f>IF($A1081="","",IF(COUNTIF($A$2:$A1081,$A1081)=1,1,0))</f>
        <v/>
      </c>
      <c r="V1081">
        <f>IF($U1081=1,SUMPRODUCT(--($X$2:$X$3001&lt;$X1081))+1,"")</f>
        <v/>
      </c>
      <c r="W1081">
        <f>IF($A1081="","",IF(OR($T1081=TRUE(),$T1081="TRUE"),1,0))</f>
        <v/>
      </c>
      <c r="X1081">
        <f>IF($U1081=1,IFERROR(IF(VALUE($A1081)&lt;100000000,VALUE($A1081),1000000000),IFERROR(IF(VALUE(MID($A1081,2,20))&lt;100000000,VALUE(MID($A1081,2,20)),1000000000),1000000000))+ROW()/100000,"")</f>
        <v/>
      </c>
    </row>
    <row r="1082">
      <c r="F1082" s="7">
        <f>IF($A1082="","",E1082*N1082/100)</f>
        <v/>
      </c>
      <c r="J1082" s="7" t="n"/>
      <c r="K1082" s="7">
        <f>IF($A1082="","",S1082*N1082)</f>
        <v/>
      </c>
      <c r="L1082" s="7">
        <f>IF($A1082="","",N1082-K1082)</f>
        <v/>
      </c>
      <c r="M1082" s="7">
        <f>IF($A1082="","",L1082-F1082)</f>
        <v/>
      </c>
      <c r="N1082" s="7" t="n"/>
      <c r="Q1082" s="11" t="n"/>
      <c r="S1082">
        <f>IF($A1082="","",IF($W1082=1,Settings!$C$6,Settings!$C$7)*1)</f>
        <v/>
      </c>
      <c r="U1082">
        <f>IF($A1082="","",IF(COUNTIF($A$2:$A1082,$A1082)=1,1,0))</f>
        <v/>
      </c>
      <c r="V1082">
        <f>IF($U1082=1,SUMPRODUCT(--($X$2:$X$3001&lt;$X1082))+1,"")</f>
        <v/>
      </c>
      <c r="W1082">
        <f>IF($A1082="","",IF(OR($T1082=TRUE(),$T1082="TRUE"),1,0))</f>
        <v/>
      </c>
      <c r="X1082">
        <f>IF($U1082=1,IFERROR(IF(VALUE($A1082)&lt;100000000,VALUE($A1082),1000000000),IFERROR(IF(VALUE(MID($A1082,2,20))&lt;100000000,VALUE(MID($A1082,2,20)),1000000000),1000000000))+ROW()/100000,"")</f>
        <v/>
      </c>
    </row>
    <row r="1083">
      <c r="F1083" s="7">
        <f>IF($A1083="","",E1083*N1083/100)</f>
        <v/>
      </c>
      <c r="J1083" s="7" t="n"/>
      <c r="K1083" s="7">
        <f>IF($A1083="","",S1083*N1083)</f>
        <v/>
      </c>
      <c r="L1083" s="7">
        <f>IF($A1083="","",N1083-K1083)</f>
        <v/>
      </c>
      <c r="M1083" s="7">
        <f>IF($A1083="","",L1083-F1083)</f>
        <v/>
      </c>
      <c r="N1083" s="7" t="n"/>
      <c r="Q1083" s="11" t="n"/>
      <c r="S1083">
        <f>IF($A1083="","",IF($W1083=1,Settings!$C$6,Settings!$C$7)*1)</f>
        <v/>
      </c>
      <c r="U1083">
        <f>IF($A1083="","",IF(COUNTIF($A$2:$A1083,$A1083)=1,1,0))</f>
        <v/>
      </c>
      <c r="V1083">
        <f>IF($U1083=1,SUMPRODUCT(--($X$2:$X$3001&lt;$X1083))+1,"")</f>
        <v/>
      </c>
      <c r="W1083">
        <f>IF($A1083="","",IF(OR($T1083=TRUE(),$T1083="TRUE"),1,0))</f>
        <v/>
      </c>
      <c r="X1083">
        <f>IF($U1083=1,IFERROR(IF(VALUE($A1083)&lt;100000000,VALUE($A1083),1000000000),IFERROR(IF(VALUE(MID($A1083,2,20))&lt;100000000,VALUE(MID($A1083,2,20)),1000000000),1000000000))+ROW()/100000,"")</f>
        <v/>
      </c>
    </row>
    <row r="1084">
      <c r="F1084" s="7">
        <f>IF($A1084="","",E1084*N1084/100)</f>
        <v/>
      </c>
      <c r="J1084" s="7" t="n"/>
      <c r="K1084" s="7">
        <f>IF($A1084="","",S1084*N1084)</f>
        <v/>
      </c>
      <c r="L1084" s="7">
        <f>IF($A1084="","",N1084-K1084)</f>
        <v/>
      </c>
      <c r="M1084" s="7">
        <f>IF($A1084="","",L1084-F1084)</f>
        <v/>
      </c>
      <c r="N1084" s="7" t="n"/>
      <c r="Q1084" s="11" t="n"/>
      <c r="S1084">
        <f>IF($A1084="","",IF($W1084=1,Settings!$C$6,Settings!$C$7)*1)</f>
        <v/>
      </c>
      <c r="U1084">
        <f>IF($A1084="","",IF(COUNTIF($A$2:$A1084,$A1084)=1,1,0))</f>
        <v/>
      </c>
      <c r="V1084">
        <f>IF($U1084=1,SUMPRODUCT(--($X$2:$X$3001&lt;$X1084))+1,"")</f>
        <v/>
      </c>
      <c r="W1084">
        <f>IF($A1084="","",IF(OR($T1084=TRUE(),$T1084="TRUE"),1,0))</f>
        <v/>
      </c>
      <c r="X1084">
        <f>IF($U1084=1,IFERROR(IF(VALUE($A1084)&lt;100000000,VALUE($A1084),1000000000),IFERROR(IF(VALUE(MID($A1084,2,20))&lt;100000000,VALUE(MID($A1084,2,20)),1000000000),1000000000))+ROW()/100000,"")</f>
        <v/>
      </c>
    </row>
    <row r="1085">
      <c r="F1085" s="7">
        <f>IF($A1085="","",E1085*N1085/100)</f>
        <v/>
      </c>
      <c r="J1085" s="7" t="n"/>
      <c r="K1085" s="7">
        <f>IF($A1085="","",S1085*N1085)</f>
        <v/>
      </c>
      <c r="L1085" s="7">
        <f>IF($A1085="","",N1085-K1085)</f>
        <v/>
      </c>
      <c r="M1085" s="7">
        <f>IF($A1085="","",L1085-F1085)</f>
        <v/>
      </c>
      <c r="N1085" s="7" t="n"/>
      <c r="Q1085" s="11" t="n"/>
      <c r="S1085">
        <f>IF($A1085="","",IF($W1085=1,Settings!$C$6,Settings!$C$7)*1)</f>
        <v/>
      </c>
      <c r="U1085">
        <f>IF($A1085="","",IF(COUNTIF($A$2:$A1085,$A1085)=1,1,0))</f>
        <v/>
      </c>
      <c r="V1085">
        <f>IF($U1085=1,SUMPRODUCT(--($X$2:$X$3001&lt;$X1085))+1,"")</f>
        <v/>
      </c>
      <c r="W1085">
        <f>IF($A1085="","",IF(OR($T1085=TRUE(),$T1085="TRUE"),1,0))</f>
        <v/>
      </c>
      <c r="X1085">
        <f>IF($U1085=1,IFERROR(IF(VALUE($A1085)&lt;100000000,VALUE($A1085),1000000000),IFERROR(IF(VALUE(MID($A1085,2,20))&lt;100000000,VALUE(MID($A1085,2,20)),1000000000),1000000000))+ROW()/100000,"")</f>
        <v/>
      </c>
    </row>
    <row r="1086">
      <c r="F1086" s="7">
        <f>IF($A1086="","",E1086*N1086/100)</f>
        <v/>
      </c>
      <c r="J1086" s="7" t="n"/>
      <c r="K1086" s="7">
        <f>IF($A1086="","",S1086*N1086)</f>
        <v/>
      </c>
      <c r="L1086" s="7">
        <f>IF($A1086="","",N1086-K1086)</f>
        <v/>
      </c>
      <c r="M1086" s="7">
        <f>IF($A1086="","",L1086-F1086)</f>
        <v/>
      </c>
      <c r="N1086" s="7" t="n"/>
      <c r="Q1086" s="11" t="n"/>
      <c r="S1086">
        <f>IF($A1086="","",IF($W1086=1,Settings!$C$6,Settings!$C$7)*1)</f>
        <v/>
      </c>
      <c r="U1086">
        <f>IF($A1086="","",IF(COUNTIF($A$2:$A1086,$A1086)=1,1,0))</f>
        <v/>
      </c>
      <c r="V1086">
        <f>IF($U1086=1,SUMPRODUCT(--($X$2:$X$3001&lt;$X1086))+1,"")</f>
        <v/>
      </c>
      <c r="W1086">
        <f>IF($A1086="","",IF(OR($T1086=TRUE(),$T1086="TRUE"),1,0))</f>
        <v/>
      </c>
      <c r="X1086">
        <f>IF($U1086=1,IFERROR(IF(VALUE($A1086)&lt;100000000,VALUE($A1086),1000000000),IFERROR(IF(VALUE(MID($A1086,2,20))&lt;100000000,VALUE(MID($A1086,2,20)),1000000000),1000000000))+ROW()/100000,"")</f>
        <v/>
      </c>
    </row>
    <row r="1087">
      <c r="F1087" s="7">
        <f>IF($A1087="","",E1087*N1087/100)</f>
        <v/>
      </c>
      <c r="J1087" s="7" t="n"/>
      <c r="K1087" s="7">
        <f>IF($A1087="","",S1087*N1087)</f>
        <v/>
      </c>
      <c r="L1087" s="7">
        <f>IF($A1087="","",N1087-K1087)</f>
        <v/>
      </c>
      <c r="M1087" s="7">
        <f>IF($A1087="","",L1087-F1087)</f>
        <v/>
      </c>
      <c r="N1087" s="7" t="n"/>
      <c r="Q1087" s="11" t="n"/>
      <c r="S1087">
        <f>IF($A1087="","",IF($W1087=1,Settings!$C$6,Settings!$C$7)*1)</f>
        <v/>
      </c>
      <c r="U1087">
        <f>IF($A1087="","",IF(COUNTIF($A$2:$A1087,$A1087)=1,1,0))</f>
        <v/>
      </c>
      <c r="V1087">
        <f>IF($U1087=1,SUMPRODUCT(--($X$2:$X$3001&lt;$X1087))+1,"")</f>
        <v/>
      </c>
      <c r="W1087">
        <f>IF($A1087="","",IF(OR($T1087=TRUE(),$T1087="TRUE"),1,0))</f>
        <v/>
      </c>
      <c r="X1087">
        <f>IF($U1087=1,IFERROR(IF(VALUE($A1087)&lt;100000000,VALUE($A1087),1000000000),IFERROR(IF(VALUE(MID($A1087,2,20))&lt;100000000,VALUE(MID($A1087,2,20)),1000000000),1000000000))+ROW()/100000,"")</f>
        <v/>
      </c>
    </row>
    <row r="1088">
      <c r="F1088" s="7">
        <f>IF($A1088="","",E1088*N1088/100)</f>
        <v/>
      </c>
      <c r="J1088" s="7" t="n"/>
      <c r="K1088" s="7">
        <f>IF($A1088="","",S1088*N1088)</f>
        <v/>
      </c>
      <c r="L1088" s="7">
        <f>IF($A1088="","",N1088-K1088)</f>
        <v/>
      </c>
      <c r="M1088" s="7">
        <f>IF($A1088="","",L1088-F1088)</f>
        <v/>
      </c>
      <c r="N1088" s="7" t="n"/>
      <c r="Q1088" s="11" t="n"/>
      <c r="S1088">
        <f>IF($A1088="","",IF($W1088=1,Settings!$C$6,Settings!$C$7)*1)</f>
        <v/>
      </c>
      <c r="U1088">
        <f>IF($A1088="","",IF(COUNTIF($A$2:$A1088,$A1088)=1,1,0))</f>
        <v/>
      </c>
      <c r="V1088">
        <f>IF($U1088=1,SUMPRODUCT(--($X$2:$X$3001&lt;$X1088))+1,"")</f>
        <v/>
      </c>
      <c r="W1088">
        <f>IF($A1088="","",IF(OR($T1088=TRUE(),$T1088="TRUE"),1,0))</f>
        <v/>
      </c>
      <c r="X1088">
        <f>IF($U1088=1,IFERROR(IF(VALUE($A1088)&lt;100000000,VALUE($A1088),1000000000),IFERROR(IF(VALUE(MID($A1088,2,20))&lt;100000000,VALUE(MID($A1088,2,20)),1000000000),1000000000))+ROW()/100000,"")</f>
        <v/>
      </c>
    </row>
    <row r="1089">
      <c r="F1089" s="7">
        <f>IF($A1089="","",E1089*N1089/100)</f>
        <v/>
      </c>
      <c r="J1089" s="7" t="n"/>
      <c r="K1089" s="7">
        <f>IF($A1089="","",S1089*N1089)</f>
        <v/>
      </c>
      <c r="L1089" s="7">
        <f>IF($A1089="","",N1089-K1089)</f>
        <v/>
      </c>
      <c r="M1089" s="7">
        <f>IF($A1089="","",L1089-F1089)</f>
        <v/>
      </c>
      <c r="N1089" s="7" t="n"/>
      <c r="Q1089" s="11" t="n"/>
      <c r="S1089">
        <f>IF($A1089="","",IF($W1089=1,Settings!$C$6,Settings!$C$7)*1)</f>
        <v/>
      </c>
      <c r="U1089">
        <f>IF($A1089="","",IF(COUNTIF($A$2:$A1089,$A1089)=1,1,0))</f>
        <v/>
      </c>
      <c r="V1089">
        <f>IF($U1089=1,SUMPRODUCT(--($X$2:$X$3001&lt;$X1089))+1,"")</f>
        <v/>
      </c>
      <c r="W1089">
        <f>IF($A1089="","",IF(OR($T1089=TRUE(),$T1089="TRUE"),1,0))</f>
        <v/>
      </c>
      <c r="X1089">
        <f>IF($U1089=1,IFERROR(IF(VALUE($A1089)&lt;100000000,VALUE($A1089),1000000000),IFERROR(IF(VALUE(MID($A1089,2,20))&lt;100000000,VALUE(MID($A1089,2,20)),1000000000),1000000000))+ROW()/100000,"")</f>
        <v/>
      </c>
    </row>
    <row r="1090">
      <c r="F1090" s="7">
        <f>IF($A1090="","",E1090*N1090/100)</f>
        <v/>
      </c>
      <c r="J1090" s="7" t="n"/>
      <c r="K1090" s="7">
        <f>IF($A1090="","",S1090*N1090)</f>
        <v/>
      </c>
      <c r="L1090" s="7">
        <f>IF($A1090="","",N1090-K1090)</f>
        <v/>
      </c>
      <c r="M1090" s="7">
        <f>IF($A1090="","",L1090-F1090)</f>
        <v/>
      </c>
      <c r="N1090" s="7" t="n"/>
      <c r="Q1090" s="11" t="n"/>
      <c r="S1090">
        <f>IF($A1090="","",IF($W1090=1,Settings!$C$6,Settings!$C$7)*1)</f>
        <v/>
      </c>
      <c r="U1090">
        <f>IF($A1090="","",IF(COUNTIF($A$2:$A1090,$A1090)=1,1,0))</f>
        <v/>
      </c>
      <c r="V1090">
        <f>IF($U1090=1,SUMPRODUCT(--($X$2:$X$3001&lt;$X1090))+1,"")</f>
        <v/>
      </c>
      <c r="W1090">
        <f>IF($A1090="","",IF(OR($T1090=TRUE(),$T1090="TRUE"),1,0))</f>
        <v/>
      </c>
      <c r="X1090">
        <f>IF($U1090=1,IFERROR(IF(VALUE($A1090)&lt;100000000,VALUE($A1090),1000000000),IFERROR(IF(VALUE(MID($A1090,2,20))&lt;100000000,VALUE(MID($A1090,2,20)),1000000000),1000000000))+ROW()/100000,"")</f>
        <v/>
      </c>
    </row>
    <row r="1091">
      <c r="F1091" s="7">
        <f>IF($A1091="","",E1091*N1091/100)</f>
        <v/>
      </c>
      <c r="J1091" s="7" t="n"/>
      <c r="K1091" s="7">
        <f>IF($A1091="","",S1091*N1091)</f>
        <v/>
      </c>
      <c r="L1091" s="7">
        <f>IF($A1091="","",N1091-K1091)</f>
        <v/>
      </c>
      <c r="M1091" s="7">
        <f>IF($A1091="","",L1091-F1091)</f>
        <v/>
      </c>
      <c r="N1091" s="7" t="n"/>
      <c r="Q1091" s="11" t="n"/>
      <c r="S1091">
        <f>IF($A1091="","",IF($W1091=1,Settings!$C$6,Settings!$C$7)*1)</f>
        <v/>
      </c>
      <c r="U1091">
        <f>IF($A1091="","",IF(COUNTIF($A$2:$A1091,$A1091)=1,1,0))</f>
        <v/>
      </c>
      <c r="V1091">
        <f>IF($U1091=1,SUMPRODUCT(--($X$2:$X$3001&lt;$X1091))+1,"")</f>
        <v/>
      </c>
      <c r="W1091">
        <f>IF($A1091="","",IF(OR($T1091=TRUE(),$T1091="TRUE"),1,0))</f>
        <v/>
      </c>
      <c r="X1091">
        <f>IF($U1091=1,IFERROR(IF(VALUE($A1091)&lt;100000000,VALUE($A1091),1000000000),IFERROR(IF(VALUE(MID($A1091,2,20))&lt;100000000,VALUE(MID($A1091,2,20)),1000000000),1000000000))+ROW()/100000,"")</f>
        <v/>
      </c>
    </row>
    <row r="1092">
      <c r="F1092" s="7">
        <f>IF($A1092="","",E1092*N1092/100)</f>
        <v/>
      </c>
      <c r="J1092" s="7" t="n"/>
      <c r="K1092" s="7">
        <f>IF($A1092="","",S1092*N1092)</f>
        <v/>
      </c>
      <c r="L1092" s="7">
        <f>IF($A1092="","",N1092-K1092)</f>
        <v/>
      </c>
      <c r="M1092" s="7">
        <f>IF($A1092="","",L1092-F1092)</f>
        <v/>
      </c>
      <c r="N1092" s="7" t="n"/>
      <c r="Q1092" s="11" t="n"/>
      <c r="S1092">
        <f>IF($A1092="","",IF($W1092=1,Settings!$C$6,Settings!$C$7)*1)</f>
        <v/>
      </c>
      <c r="U1092">
        <f>IF($A1092="","",IF(COUNTIF($A$2:$A1092,$A1092)=1,1,0))</f>
        <v/>
      </c>
      <c r="V1092">
        <f>IF($U1092=1,SUMPRODUCT(--($X$2:$X$3001&lt;$X1092))+1,"")</f>
        <v/>
      </c>
      <c r="W1092">
        <f>IF($A1092="","",IF(OR($T1092=TRUE(),$T1092="TRUE"),1,0))</f>
        <v/>
      </c>
      <c r="X1092">
        <f>IF($U1092=1,IFERROR(IF(VALUE($A1092)&lt;100000000,VALUE($A1092),1000000000),IFERROR(IF(VALUE(MID($A1092,2,20))&lt;100000000,VALUE(MID($A1092,2,20)),1000000000),1000000000))+ROW()/100000,"")</f>
        <v/>
      </c>
    </row>
    <row r="1093">
      <c r="F1093" s="7">
        <f>IF($A1093="","",E1093*N1093/100)</f>
        <v/>
      </c>
      <c r="J1093" s="7" t="n"/>
      <c r="K1093" s="7">
        <f>IF($A1093="","",S1093*N1093)</f>
        <v/>
      </c>
      <c r="L1093" s="7">
        <f>IF($A1093="","",N1093-K1093)</f>
        <v/>
      </c>
      <c r="M1093" s="7">
        <f>IF($A1093="","",L1093-F1093)</f>
        <v/>
      </c>
      <c r="N1093" s="7" t="n"/>
      <c r="Q1093" s="11" t="n"/>
      <c r="S1093">
        <f>IF($A1093="","",IF($W1093=1,Settings!$C$6,Settings!$C$7)*1)</f>
        <v/>
      </c>
      <c r="U1093">
        <f>IF($A1093="","",IF(COUNTIF($A$2:$A1093,$A1093)=1,1,0))</f>
        <v/>
      </c>
      <c r="V1093">
        <f>IF($U1093=1,SUMPRODUCT(--($X$2:$X$3001&lt;$X1093))+1,"")</f>
        <v/>
      </c>
      <c r="W1093">
        <f>IF($A1093="","",IF(OR($T1093=TRUE(),$T1093="TRUE"),1,0))</f>
        <v/>
      </c>
      <c r="X1093">
        <f>IF($U1093=1,IFERROR(IF(VALUE($A1093)&lt;100000000,VALUE($A1093),1000000000),IFERROR(IF(VALUE(MID($A1093,2,20))&lt;100000000,VALUE(MID($A1093,2,20)),1000000000),1000000000))+ROW()/100000,"")</f>
        <v/>
      </c>
    </row>
    <row r="1094">
      <c r="F1094" s="7">
        <f>IF($A1094="","",E1094*N1094/100)</f>
        <v/>
      </c>
      <c r="J1094" s="7" t="n"/>
      <c r="K1094" s="7">
        <f>IF($A1094="","",S1094*N1094)</f>
        <v/>
      </c>
      <c r="L1094" s="7">
        <f>IF($A1094="","",N1094-K1094)</f>
        <v/>
      </c>
      <c r="M1094" s="7">
        <f>IF($A1094="","",L1094-F1094)</f>
        <v/>
      </c>
      <c r="N1094" s="7" t="n"/>
      <c r="Q1094" s="11" t="n"/>
      <c r="S1094">
        <f>IF($A1094="","",IF($W1094=1,Settings!$C$6,Settings!$C$7)*1)</f>
        <v/>
      </c>
      <c r="U1094">
        <f>IF($A1094="","",IF(COUNTIF($A$2:$A1094,$A1094)=1,1,0))</f>
        <v/>
      </c>
      <c r="V1094">
        <f>IF($U1094=1,SUMPRODUCT(--($X$2:$X$3001&lt;$X1094))+1,"")</f>
        <v/>
      </c>
      <c r="W1094">
        <f>IF($A1094="","",IF(OR($T1094=TRUE(),$T1094="TRUE"),1,0))</f>
        <v/>
      </c>
      <c r="X1094">
        <f>IF($U1094=1,IFERROR(IF(VALUE($A1094)&lt;100000000,VALUE($A1094),1000000000),IFERROR(IF(VALUE(MID($A1094,2,20))&lt;100000000,VALUE(MID($A1094,2,20)),1000000000),1000000000))+ROW()/100000,"")</f>
        <v/>
      </c>
    </row>
    <row r="1095">
      <c r="F1095" s="7">
        <f>IF($A1095="","",E1095*N1095/100)</f>
        <v/>
      </c>
      <c r="J1095" s="7" t="n"/>
      <c r="K1095" s="7">
        <f>IF($A1095="","",S1095*N1095)</f>
        <v/>
      </c>
      <c r="L1095" s="7">
        <f>IF($A1095="","",N1095-K1095)</f>
        <v/>
      </c>
      <c r="M1095" s="7">
        <f>IF($A1095="","",L1095-F1095)</f>
        <v/>
      </c>
      <c r="N1095" s="7" t="n"/>
      <c r="Q1095" s="11" t="n"/>
      <c r="S1095">
        <f>IF($A1095="","",IF($W1095=1,Settings!$C$6,Settings!$C$7)*1)</f>
        <v/>
      </c>
      <c r="U1095">
        <f>IF($A1095="","",IF(COUNTIF($A$2:$A1095,$A1095)=1,1,0))</f>
        <v/>
      </c>
      <c r="V1095">
        <f>IF($U1095=1,SUMPRODUCT(--($X$2:$X$3001&lt;$X1095))+1,"")</f>
        <v/>
      </c>
      <c r="W1095">
        <f>IF($A1095="","",IF(OR($T1095=TRUE(),$T1095="TRUE"),1,0))</f>
        <v/>
      </c>
      <c r="X1095">
        <f>IF($U1095=1,IFERROR(IF(VALUE($A1095)&lt;100000000,VALUE($A1095),1000000000),IFERROR(IF(VALUE(MID($A1095,2,20))&lt;100000000,VALUE(MID($A1095,2,20)),1000000000),1000000000))+ROW()/100000,"")</f>
        <v/>
      </c>
    </row>
    <row r="1096">
      <c r="F1096" s="7">
        <f>IF($A1096="","",E1096*N1096/100)</f>
        <v/>
      </c>
      <c r="J1096" s="7" t="n"/>
      <c r="K1096" s="7">
        <f>IF($A1096="","",S1096*N1096)</f>
        <v/>
      </c>
      <c r="L1096" s="7">
        <f>IF($A1096="","",N1096-K1096)</f>
        <v/>
      </c>
      <c r="M1096" s="7">
        <f>IF($A1096="","",L1096-F1096)</f>
        <v/>
      </c>
      <c r="N1096" s="7" t="n"/>
      <c r="Q1096" s="11" t="n"/>
      <c r="S1096">
        <f>IF($A1096="","",IF($W1096=1,Settings!$C$6,Settings!$C$7)*1)</f>
        <v/>
      </c>
      <c r="U1096">
        <f>IF($A1096="","",IF(COUNTIF($A$2:$A1096,$A1096)=1,1,0))</f>
        <v/>
      </c>
      <c r="V1096">
        <f>IF($U1096=1,SUMPRODUCT(--($X$2:$X$3001&lt;$X1096))+1,"")</f>
        <v/>
      </c>
      <c r="W1096">
        <f>IF($A1096="","",IF(OR($T1096=TRUE(),$T1096="TRUE"),1,0))</f>
        <v/>
      </c>
      <c r="X1096">
        <f>IF($U1096=1,IFERROR(IF(VALUE($A1096)&lt;100000000,VALUE($A1096),1000000000),IFERROR(IF(VALUE(MID($A1096,2,20))&lt;100000000,VALUE(MID($A1096,2,20)),1000000000),1000000000))+ROW()/100000,"")</f>
        <v/>
      </c>
    </row>
    <row r="1097">
      <c r="F1097" s="7">
        <f>IF($A1097="","",E1097*N1097/100)</f>
        <v/>
      </c>
      <c r="J1097" s="7" t="n"/>
      <c r="K1097" s="7">
        <f>IF($A1097="","",S1097*N1097)</f>
        <v/>
      </c>
      <c r="L1097" s="7">
        <f>IF($A1097="","",N1097-K1097)</f>
        <v/>
      </c>
      <c r="M1097" s="7">
        <f>IF($A1097="","",L1097-F1097)</f>
        <v/>
      </c>
      <c r="N1097" s="7" t="n"/>
      <c r="Q1097" s="11" t="n"/>
      <c r="S1097">
        <f>IF($A1097="","",IF($W1097=1,Settings!$C$6,Settings!$C$7)*1)</f>
        <v/>
      </c>
      <c r="U1097">
        <f>IF($A1097="","",IF(COUNTIF($A$2:$A1097,$A1097)=1,1,0))</f>
        <v/>
      </c>
      <c r="V1097">
        <f>IF($U1097=1,SUMPRODUCT(--($X$2:$X$3001&lt;$X1097))+1,"")</f>
        <v/>
      </c>
      <c r="W1097">
        <f>IF($A1097="","",IF(OR($T1097=TRUE(),$T1097="TRUE"),1,0))</f>
        <v/>
      </c>
      <c r="X1097">
        <f>IF($U1097=1,IFERROR(IF(VALUE($A1097)&lt;100000000,VALUE($A1097),1000000000),IFERROR(IF(VALUE(MID($A1097,2,20))&lt;100000000,VALUE(MID($A1097,2,20)),1000000000),1000000000))+ROW()/100000,"")</f>
        <v/>
      </c>
    </row>
    <row r="1098">
      <c r="F1098" s="7">
        <f>IF($A1098="","",E1098*N1098/100)</f>
        <v/>
      </c>
      <c r="J1098" s="7" t="n"/>
      <c r="K1098" s="7">
        <f>IF($A1098="","",S1098*N1098)</f>
        <v/>
      </c>
      <c r="L1098" s="7">
        <f>IF($A1098="","",N1098-K1098)</f>
        <v/>
      </c>
      <c r="M1098" s="7">
        <f>IF($A1098="","",L1098-F1098)</f>
        <v/>
      </c>
      <c r="N1098" s="7" t="n"/>
      <c r="Q1098" s="11" t="n"/>
      <c r="S1098">
        <f>IF($A1098="","",IF($W1098=1,Settings!$C$6,Settings!$C$7)*1)</f>
        <v/>
      </c>
      <c r="U1098">
        <f>IF($A1098="","",IF(COUNTIF($A$2:$A1098,$A1098)=1,1,0))</f>
        <v/>
      </c>
      <c r="V1098">
        <f>IF($U1098=1,SUMPRODUCT(--($X$2:$X$3001&lt;$X1098))+1,"")</f>
        <v/>
      </c>
      <c r="W1098">
        <f>IF($A1098="","",IF(OR($T1098=TRUE(),$T1098="TRUE"),1,0))</f>
        <v/>
      </c>
      <c r="X1098">
        <f>IF($U1098=1,IFERROR(IF(VALUE($A1098)&lt;100000000,VALUE($A1098),1000000000),IFERROR(IF(VALUE(MID($A1098,2,20))&lt;100000000,VALUE(MID($A1098,2,20)),1000000000),1000000000))+ROW()/100000,"")</f>
        <v/>
      </c>
    </row>
    <row r="1099">
      <c r="F1099" s="7">
        <f>IF($A1099="","",E1099*N1099/100)</f>
        <v/>
      </c>
      <c r="J1099" s="7" t="n"/>
      <c r="K1099" s="7">
        <f>IF($A1099="","",S1099*N1099)</f>
        <v/>
      </c>
      <c r="L1099" s="7">
        <f>IF($A1099="","",N1099-K1099)</f>
        <v/>
      </c>
      <c r="M1099" s="7">
        <f>IF($A1099="","",L1099-F1099)</f>
        <v/>
      </c>
      <c r="N1099" s="7" t="n"/>
      <c r="Q1099" s="11" t="n"/>
      <c r="S1099">
        <f>IF($A1099="","",IF($W1099=1,Settings!$C$6,Settings!$C$7)*1)</f>
        <v/>
      </c>
      <c r="U1099">
        <f>IF($A1099="","",IF(COUNTIF($A$2:$A1099,$A1099)=1,1,0))</f>
        <v/>
      </c>
      <c r="V1099">
        <f>IF($U1099=1,SUMPRODUCT(--($X$2:$X$3001&lt;$X1099))+1,"")</f>
        <v/>
      </c>
      <c r="W1099">
        <f>IF($A1099="","",IF(OR($T1099=TRUE(),$T1099="TRUE"),1,0))</f>
        <v/>
      </c>
      <c r="X1099">
        <f>IF($U1099=1,IFERROR(IF(VALUE($A1099)&lt;100000000,VALUE($A1099),1000000000),IFERROR(IF(VALUE(MID($A1099,2,20))&lt;100000000,VALUE(MID($A1099,2,20)),1000000000),1000000000))+ROW()/100000,"")</f>
        <v/>
      </c>
    </row>
    <row r="1100">
      <c r="F1100" s="7">
        <f>IF($A1100="","",E1100*N1100/100)</f>
        <v/>
      </c>
      <c r="J1100" s="7" t="n"/>
      <c r="K1100" s="7">
        <f>IF($A1100="","",S1100*N1100)</f>
        <v/>
      </c>
      <c r="L1100" s="7">
        <f>IF($A1100="","",N1100-K1100)</f>
        <v/>
      </c>
      <c r="M1100" s="7">
        <f>IF($A1100="","",L1100-F1100)</f>
        <v/>
      </c>
      <c r="N1100" s="7" t="n"/>
      <c r="Q1100" s="11" t="n"/>
      <c r="S1100">
        <f>IF($A1100="","",IF($W1100=1,Settings!$C$6,Settings!$C$7)*1)</f>
        <v/>
      </c>
      <c r="U1100">
        <f>IF($A1100="","",IF(COUNTIF($A$2:$A1100,$A1100)=1,1,0))</f>
        <v/>
      </c>
      <c r="V1100">
        <f>IF($U1100=1,SUMPRODUCT(--($X$2:$X$3001&lt;$X1100))+1,"")</f>
        <v/>
      </c>
      <c r="W1100">
        <f>IF($A1100="","",IF(OR($T1100=TRUE(),$T1100="TRUE"),1,0))</f>
        <v/>
      </c>
      <c r="X1100">
        <f>IF($U1100=1,IFERROR(IF(VALUE($A1100)&lt;100000000,VALUE($A1100),1000000000),IFERROR(IF(VALUE(MID($A1100,2,20))&lt;100000000,VALUE(MID($A1100,2,20)),1000000000),1000000000))+ROW()/100000,"")</f>
        <v/>
      </c>
    </row>
    <row r="1101">
      <c r="F1101" s="7">
        <f>IF($A1101="","",E1101*N1101/100)</f>
        <v/>
      </c>
      <c r="J1101" s="7" t="n"/>
      <c r="K1101" s="7">
        <f>IF($A1101="","",S1101*N1101)</f>
        <v/>
      </c>
      <c r="L1101" s="7">
        <f>IF($A1101="","",N1101-K1101)</f>
        <v/>
      </c>
      <c r="M1101" s="7">
        <f>IF($A1101="","",L1101-F1101)</f>
        <v/>
      </c>
      <c r="N1101" s="7" t="n"/>
      <c r="Q1101" s="11" t="n"/>
      <c r="S1101">
        <f>IF($A1101="","",IF($W1101=1,Settings!$C$6,Settings!$C$7)*1)</f>
        <v/>
      </c>
      <c r="U1101">
        <f>IF($A1101="","",IF(COUNTIF($A$2:$A1101,$A1101)=1,1,0))</f>
        <v/>
      </c>
      <c r="V1101">
        <f>IF($U1101=1,SUMPRODUCT(--($X$2:$X$3001&lt;$X1101))+1,"")</f>
        <v/>
      </c>
      <c r="W1101">
        <f>IF($A1101="","",IF(OR($T1101=TRUE(),$T1101="TRUE"),1,0))</f>
        <v/>
      </c>
      <c r="X1101">
        <f>IF($U1101=1,IFERROR(IF(VALUE($A1101)&lt;100000000,VALUE($A1101),1000000000),IFERROR(IF(VALUE(MID($A1101,2,20))&lt;100000000,VALUE(MID($A1101,2,20)),1000000000),1000000000))+ROW()/100000,"")</f>
        <v/>
      </c>
    </row>
    <row r="1102">
      <c r="F1102" s="7">
        <f>IF($A1102="","",E1102*N1102/100)</f>
        <v/>
      </c>
      <c r="J1102" s="7" t="n"/>
      <c r="K1102" s="7">
        <f>IF($A1102="","",S1102*N1102)</f>
        <v/>
      </c>
      <c r="L1102" s="7">
        <f>IF($A1102="","",N1102-K1102)</f>
        <v/>
      </c>
      <c r="M1102" s="7">
        <f>IF($A1102="","",L1102-F1102)</f>
        <v/>
      </c>
      <c r="N1102" s="7" t="n"/>
      <c r="Q1102" s="11" t="n"/>
      <c r="S1102">
        <f>IF($A1102="","",IF($W1102=1,Settings!$C$6,Settings!$C$7)*1)</f>
        <v/>
      </c>
      <c r="U1102">
        <f>IF($A1102="","",IF(COUNTIF($A$2:$A1102,$A1102)=1,1,0))</f>
        <v/>
      </c>
      <c r="V1102">
        <f>IF($U1102=1,SUMPRODUCT(--($X$2:$X$3001&lt;$X1102))+1,"")</f>
        <v/>
      </c>
      <c r="W1102">
        <f>IF($A1102="","",IF(OR($T1102=TRUE(),$T1102="TRUE"),1,0))</f>
        <v/>
      </c>
      <c r="X1102">
        <f>IF($U1102=1,IFERROR(IF(VALUE($A1102)&lt;100000000,VALUE($A1102),1000000000),IFERROR(IF(VALUE(MID($A1102,2,20))&lt;100000000,VALUE(MID($A1102,2,20)),1000000000),1000000000))+ROW()/100000,"")</f>
        <v/>
      </c>
    </row>
    <row r="1103">
      <c r="F1103" s="7">
        <f>IF($A1103="","",E1103*N1103/100)</f>
        <v/>
      </c>
      <c r="J1103" s="7" t="n"/>
      <c r="K1103" s="7">
        <f>IF($A1103="","",S1103*N1103)</f>
        <v/>
      </c>
      <c r="L1103" s="7">
        <f>IF($A1103="","",N1103-K1103)</f>
        <v/>
      </c>
      <c r="M1103" s="7">
        <f>IF($A1103="","",L1103-F1103)</f>
        <v/>
      </c>
      <c r="N1103" s="7" t="n"/>
      <c r="Q1103" s="11" t="n"/>
      <c r="S1103">
        <f>IF($A1103="","",IF($W1103=1,Settings!$C$6,Settings!$C$7)*1)</f>
        <v/>
      </c>
      <c r="U1103">
        <f>IF($A1103="","",IF(COUNTIF($A$2:$A1103,$A1103)=1,1,0))</f>
        <v/>
      </c>
      <c r="V1103">
        <f>IF($U1103=1,SUMPRODUCT(--($X$2:$X$3001&lt;$X1103))+1,"")</f>
        <v/>
      </c>
      <c r="W1103">
        <f>IF($A1103="","",IF(OR($T1103=TRUE(),$T1103="TRUE"),1,0))</f>
        <v/>
      </c>
      <c r="X1103">
        <f>IF($U1103=1,IFERROR(IF(VALUE($A1103)&lt;100000000,VALUE($A1103),1000000000),IFERROR(IF(VALUE(MID($A1103,2,20))&lt;100000000,VALUE(MID($A1103,2,20)),1000000000),1000000000))+ROW()/100000,"")</f>
        <v/>
      </c>
    </row>
    <row r="1104">
      <c r="F1104" s="7">
        <f>IF($A1104="","",E1104*N1104/100)</f>
        <v/>
      </c>
      <c r="J1104" s="7" t="n"/>
      <c r="K1104" s="7">
        <f>IF($A1104="","",S1104*N1104)</f>
        <v/>
      </c>
      <c r="L1104" s="7">
        <f>IF($A1104="","",N1104-K1104)</f>
        <v/>
      </c>
      <c r="M1104" s="7">
        <f>IF($A1104="","",L1104-F1104)</f>
        <v/>
      </c>
      <c r="N1104" s="7" t="n"/>
      <c r="Q1104" s="11" t="n"/>
      <c r="S1104">
        <f>IF($A1104="","",IF($W1104=1,Settings!$C$6,Settings!$C$7)*1)</f>
        <v/>
      </c>
      <c r="U1104">
        <f>IF($A1104="","",IF(COUNTIF($A$2:$A1104,$A1104)=1,1,0))</f>
        <v/>
      </c>
      <c r="V1104">
        <f>IF($U1104=1,SUMPRODUCT(--($X$2:$X$3001&lt;$X1104))+1,"")</f>
        <v/>
      </c>
      <c r="W1104">
        <f>IF($A1104="","",IF(OR($T1104=TRUE(),$T1104="TRUE"),1,0))</f>
        <v/>
      </c>
      <c r="X1104">
        <f>IF($U1104=1,IFERROR(IF(VALUE($A1104)&lt;100000000,VALUE($A1104),1000000000),IFERROR(IF(VALUE(MID($A1104,2,20))&lt;100000000,VALUE(MID($A1104,2,20)),1000000000),1000000000))+ROW()/100000,"")</f>
        <v/>
      </c>
    </row>
    <row r="1105">
      <c r="F1105" s="7">
        <f>IF($A1105="","",E1105*N1105/100)</f>
        <v/>
      </c>
      <c r="J1105" s="7" t="n"/>
      <c r="K1105" s="7">
        <f>IF($A1105="","",S1105*N1105)</f>
        <v/>
      </c>
      <c r="L1105" s="7">
        <f>IF($A1105="","",N1105-K1105)</f>
        <v/>
      </c>
      <c r="M1105" s="7">
        <f>IF($A1105="","",L1105-F1105)</f>
        <v/>
      </c>
      <c r="N1105" s="7" t="n"/>
      <c r="Q1105" s="11" t="n"/>
      <c r="S1105">
        <f>IF($A1105="","",IF($W1105=1,Settings!$C$6,Settings!$C$7)*1)</f>
        <v/>
      </c>
      <c r="U1105">
        <f>IF($A1105="","",IF(COUNTIF($A$2:$A1105,$A1105)=1,1,0))</f>
        <v/>
      </c>
      <c r="V1105">
        <f>IF($U1105=1,SUMPRODUCT(--($X$2:$X$3001&lt;$X1105))+1,"")</f>
        <v/>
      </c>
      <c r="W1105">
        <f>IF($A1105="","",IF(OR($T1105=TRUE(),$T1105="TRUE"),1,0))</f>
        <v/>
      </c>
      <c r="X1105">
        <f>IF($U1105=1,IFERROR(IF(VALUE($A1105)&lt;100000000,VALUE($A1105),1000000000),IFERROR(IF(VALUE(MID($A1105,2,20))&lt;100000000,VALUE(MID($A1105,2,20)),1000000000),1000000000))+ROW()/100000,"")</f>
        <v/>
      </c>
    </row>
    <row r="1106">
      <c r="F1106" s="7">
        <f>IF($A1106="","",E1106*N1106/100)</f>
        <v/>
      </c>
      <c r="J1106" s="7" t="n"/>
      <c r="K1106" s="7">
        <f>IF($A1106="","",S1106*N1106)</f>
        <v/>
      </c>
      <c r="L1106" s="7">
        <f>IF($A1106="","",N1106-K1106)</f>
        <v/>
      </c>
      <c r="M1106" s="7">
        <f>IF($A1106="","",L1106-F1106)</f>
        <v/>
      </c>
      <c r="N1106" s="7" t="n"/>
      <c r="Q1106" s="11" t="n"/>
      <c r="S1106">
        <f>IF($A1106="","",IF($W1106=1,Settings!$C$6,Settings!$C$7)*1)</f>
        <v/>
      </c>
      <c r="U1106">
        <f>IF($A1106="","",IF(COUNTIF($A$2:$A1106,$A1106)=1,1,0))</f>
        <v/>
      </c>
      <c r="V1106">
        <f>IF($U1106=1,SUMPRODUCT(--($X$2:$X$3001&lt;$X1106))+1,"")</f>
        <v/>
      </c>
      <c r="W1106">
        <f>IF($A1106="","",IF(OR($T1106=TRUE(),$T1106="TRUE"),1,0))</f>
        <v/>
      </c>
      <c r="X1106">
        <f>IF($U1106=1,IFERROR(IF(VALUE($A1106)&lt;100000000,VALUE($A1106),1000000000),IFERROR(IF(VALUE(MID($A1106,2,20))&lt;100000000,VALUE(MID($A1106,2,20)),1000000000),1000000000))+ROW()/100000,"")</f>
        <v/>
      </c>
    </row>
    <row r="1107">
      <c r="F1107" s="7">
        <f>IF($A1107="","",E1107*N1107/100)</f>
        <v/>
      </c>
      <c r="J1107" s="7" t="n"/>
      <c r="K1107" s="7">
        <f>IF($A1107="","",S1107*N1107)</f>
        <v/>
      </c>
      <c r="L1107" s="7">
        <f>IF($A1107="","",N1107-K1107)</f>
        <v/>
      </c>
      <c r="M1107" s="7">
        <f>IF($A1107="","",L1107-F1107)</f>
        <v/>
      </c>
      <c r="N1107" s="7" t="n"/>
      <c r="Q1107" s="11" t="n"/>
      <c r="S1107">
        <f>IF($A1107="","",IF($W1107=1,Settings!$C$6,Settings!$C$7)*1)</f>
        <v/>
      </c>
      <c r="U1107">
        <f>IF($A1107="","",IF(COUNTIF($A$2:$A1107,$A1107)=1,1,0))</f>
        <v/>
      </c>
      <c r="V1107">
        <f>IF($U1107=1,SUMPRODUCT(--($X$2:$X$3001&lt;$X1107))+1,"")</f>
        <v/>
      </c>
      <c r="W1107">
        <f>IF($A1107="","",IF(OR($T1107=TRUE(),$T1107="TRUE"),1,0))</f>
        <v/>
      </c>
      <c r="X1107">
        <f>IF($U1107=1,IFERROR(IF(VALUE($A1107)&lt;100000000,VALUE($A1107),1000000000),IFERROR(IF(VALUE(MID($A1107,2,20))&lt;100000000,VALUE(MID($A1107,2,20)),1000000000),1000000000))+ROW()/100000,"")</f>
        <v/>
      </c>
    </row>
    <row r="1108">
      <c r="F1108" s="7">
        <f>IF($A1108="","",E1108*N1108/100)</f>
        <v/>
      </c>
      <c r="J1108" s="7" t="n"/>
      <c r="K1108" s="7">
        <f>IF($A1108="","",S1108*N1108)</f>
        <v/>
      </c>
      <c r="L1108" s="7">
        <f>IF($A1108="","",N1108-K1108)</f>
        <v/>
      </c>
      <c r="M1108" s="7">
        <f>IF($A1108="","",L1108-F1108)</f>
        <v/>
      </c>
      <c r="N1108" s="7" t="n"/>
      <c r="Q1108" s="11" t="n"/>
      <c r="S1108">
        <f>IF($A1108="","",IF($W1108=1,Settings!$C$6,Settings!$C$7)*1)</f>
        <v/>
      </c>
      <c r="U1108">
        <f>IF($A1108="","",IF(COUNTIF($A$2:$A1108,$A1108)=1,1,0))</f>
        <v/>
      </c>
      <c r="V1108">
        <f>IF($U1108=1,SUMPRODUCT(--($X$2:$X$3001&lt;$X1108))+1,"")</f>
        <v/>
      </c>
      <c r="W1108">
        <f>IF($A1108="","",IF(OR($T1108=TRUE(),$T1108="TRUE"),1,0))</f>
        <v/>
      </c>
      <c r="X1108">
        <f>IF($U1108=1,IFERROR(IF(VALUE($A1108)&lt;100000000,VALUE($A1108),1000000000),IFERROR(IF(VALUE(MID($A1108,2,20))&lt;100000000,VALUE(MID($A1108,2,20)),1000000000),1000000000))+ROW()/100000,"")</f>
        <v/>
      </c>
    </row>
    <row r="1109">
      <c r="F1109" s="7">
        <f>IF($A1109="","",E1109*N1109/100)</f>
        <v/>
      </c>
      <c r="J1109" s="7" t="n"/>
      <c r="K1109" s="7">
        <f>IF($A1109="","",S1109*N1109)</f>
        <v/>
      </c>
      <c r="L1109" s="7">
        <f>IF($A1109="","",N1109-K1109)</f>
        <v/>
      </c>
      <c r="M1109" s="7">
        <f>IF($A1109="","",L1109-F1109)</f>
        <v/>
      </c>
      <c r="N1109" s="7" t="n"/>
      <c r="Q1109" s="11" t="n"/>
      <c r="S1109">
        <f>IF($A1109="","",IF($W1109=1,Settings!$C$6,Settings!$C$7)*1)</f>
        <v/>
      </c>
      <c r="U1109">
        <f>IF($A1109="","",IF(COUNTIF($A$2:$A1109,$A1109)=1,1,0))</f>
        <v/>
      </c>
      <c r="V1109">
        <f>IF($U1109=1,SUMPRODUCT(--($X$2:$X$3001&lt;$X1109))+1,"")</f>
        <v/>
      </c>
      <c r="W1109">
        <f>IF($A1109="","",IF(OR($T1109=TRUE(),$T1109="TRUE"),1,0))</f>
        <v/>
      </c>
      <c r="X1109">
        <f>IF($U1109=1,IFERROR(IF(VALUE($A1109)&lt;100000000,VALUE($A1109),1000000000),IFERROR(IF(VALUE(MID($A1109,2,20))&lt;100000000,VALUE(MID($A1109,2,20)),1000000000),1000000000))+ROW()/100000,"")</f>
        <v/>
      </c>
    </row>
    <row r="1110">
      <c r="F1110" s="7">
        <f>IF($A1110="","",E1110*N1110/100)</f>
        <v/>
      </c>
      <c r="J1110" s="7" t="n"/>
      <c r="K1110" s="7">
        <f>IF($A1110="","",S1110*N1110)</f>
        <v/>
      </c>
      <c r="L1110" s="7">
        <f>IF($A1110="","",N1110-K1110)</f>
        <v/>
      </c>
      <c r="M1110" s="7">
        <f>IF($A1110="","",L1110-F1110)</f>
        <v/>
      </c>
      <c r="N1110" s="7" t="n"/>
      <c r="Q1110" s="11" t="n"/>
      <c r="S1110">
        <f>IF($A1110="","",IF($W1110=1,Settings!$C$6,Settings!$C$7)*1)</f>
        <v/>
      </c>
      <c r="U1110">
        <f>IF($A1110="","",IF(COUNTIF($A$2:$A1110,$A1110)=1,1,0))</f>
        <v/>
      </c>
      <c r="V1110">
        <f>IF($U1110=1,SUMPRODUCT(--($X$2:$X$3001&lt;$X1110))+1,"")</f>
        <v/>
      </c>
      <c r="W1110">
        <f>IF($A1110="","",IF(OR($T1110=TRUE(),$T1110="TRUE"),1,0))</f>
        <v/>
      </c>
      <c r="X1110">
        <f>IF($U1110=1,IFERROR(IF(VALUE($A1110)&lt;100000000,VALUE($A1110),1000000000),IFERROR(IF(VALUE(MID($A1110,2,20))&lt;100000000,VALUE(MID($A1110,2,20)),1000000000),1000000000))+ROW()/100000,"")</f>
        <v/>
      </c>
    </row>
    <row r="1111">
      <c r="F1111" s="7">
        <f>IF($A1111="","",E1111*N1111/100)</f>
        <v/>
      </c>
      <c r="J1111" s="7" t="n"/>
      <c r="K1111" s="7">
        <f>IF($A1111="","",S1111*N1111)</f>
        <v/>
      </c>
      <c r="L1111" s="7">
        <f>IF($A1111="","",N1111-K1111)</f>
        <v/>
      </c>
      <c r="M1111" s="7">
        <f>IF($A1111="","",L1111-F1111)</f>
        <v/>
      </c>
      <c r="N1111" s="7" t="n"/>
      <c r="Q1111" s="11" t="n"/>
      <c r="S1111">
        <f>IF($A1111="","",IF($W1111=1,Settings!$C$6,Settings!$C$7)*1)</f>
        <v/>
      </c>
      <c r="U1111">
        <f>IF($A1111="","",IF(COUNTIF($A$2:$A1111,$A1111)=1,1,0))</f>
        <v/>
      </c>
      <c r="V1111">
        <f>IF($U1111=1,SUMPRODUCT(--($X$2:$X$3001&lt;$X1111))+1,"")</f>
        <v/>
      </c>
      <c r="W1111">
        <f>IF($A1111="","",IF(OR($T1111=TRUE(),$T1111="TRUE"),1,0))</f>
        <v/>
      </c>
      <c r="X1111">
        <f>IF($U1111=1,IFERROR(IF(VALUE($A1111)&lt;100000000,VALUE($A1111),1000000000),IFERROR(IF(VALUE(MID($A1111,2,20))&lt;100000000,VALUE(MID($A1111,2,20)),1000000000),1000000000))+ROW()/100000,"")</f>
        <v/>
      </c>
    </row>
    <row r="1112">
      <c r="F1112" s="7">
        <f>IF($A1112="","",E1112*N1112/100)</f>
        <v/>
      </c>
      <c r="J1112" s="7" t="n"/>
      <c r="K1112" s="7">
        <f>IF($A1112="","",S1112*N1112)</f>
        <v/>
      </c>
      <c r="L1112" s="7">
        <f>IF($A1112="","",N1112-K1112)</f>
        <v/>
      </c>
      <c r="M1112" s="7">
        <f>IF($A1112="","",L1112-F1112)</f>
        <v/>
      </c>
      <c r="N1112" s="7" t="n"/>
      <c r="Q1112" s="11" t="n"/>
      <c r="S1112">
        <f>IF($A1112="","",IF($W1112=1,Settings!$C$6,Settings!$C$7)*1)</f>
        <v/>
      </c>
      <c r="U1112">
        <f>IF($A1112="","",IF(COUNTIF($A$2:$A1112,$A1112)=1,1,0))</f>
        <v/>
      </c>
      <c r="V1112">
        <f>IF($U1112=1,SUMPRODUCT(--($X$2:$X$3001&lt;$X1112))+1,"")</f>
        <v/>
      </c>
      <c r="W1112">
        <f>IF($A1112="","",IF(OR($T1112=TRUE(),$T1112="TRUE"),1,0))</f>
        <v/>
      </c>
      <c r="X1112">
        <f>IF($U1112=1,IFERROR(IF(VALUE($A1112)&lt;100000000,VALUE($A1112),1000000000),IFERROR(IF(VALUE(MID($A1112,2,20))&lt;100000000,VALUE(MID($A1112,2,20)),1000000000),1000000000))+ROW()/100000,"")</f>
        <v/>
      </c>
    </row>
    <row r="1113">
      <c r="F1113" s="7">
        <f>IF($A1113="","",E1113*N1113/100)</f>
        <v/>
      </c>
      <c r="J1113" s="7" t="n"/>
      <c r="K1113" s="7">
        <f>IF($A1113="","",S1113*N1113)</f>
        <v/>
      </c>
      <c r="L1113" s="7">
        <f>IF($A1113="","",N1113-K1113)</f>
        <v/>
      </c>
      <c r="M1113" s="7">
        <f>IF($A1113="","",L1113-F1113)</f>
        <v/>
      </c>
      <c r="N1113" s="7" t="n"/>
      <c r="Q1113" s="11" t="n"/>
      <c r="S1113">
        <f>IF($A1113="","",IF($W1113=1,Settings!$C$6,Settings!$C$7)*1)</f>
        <v/>
      </c>
      <c r="U1113">
        <f>IF($A1113="","",IF(COUNTIF($A$2:$A1113,$A1113)=1,1,0))</f>
        <v/>
      </c>
      <c r="V1113">
        <f>IF($U1113=1,SUMPRODUCT(--($X$2:$X$3001&lt;$X1113))+1,"")</f>
        <v/>
      </c>
      <c r="W1113">
        <f>IF($A1113="","",IF(OR($T1113=TRUE(),$T1113="TRUE"),1,0))</f>
        <v/>
      </c>
      <c r="X1113">
        <f>IF($U1113=1,IFERROR(IF(VALUE($A1113)&lt;100000000,VALUE($A1113),1000000000),IFERROR(IF(VALUE(MID($A1113,2,20))&lt;100000000,VALUE(MID($A1113,2,20)),1000000000),1000000000))+ROW()/100000,"")</f>
        <v/>
      </c>
    </row>
    <row r="1114">
      <c r="F1114" s="7">
        <f>IF($A1114="","",E1114*N1114/100)</f>
        <v/>
      </c>
      <c r="J1114" s="7" t="n"/>
      <c r="K1114" s="7">
        <f>IF($A1114="","",S1114*N1114)</f>
        <v/>
      </c>
      <c r="L1114" s="7">
        <f>IF($A1114="","",N1114-K1114)</f>
        <v/>
      </c>
      <c r="M1114" s="7">
        <f>IF($A1114="","",L1114-F1114)</f>
        <v/>
      </c>
      <c r="N1114" s="7" t="n"/>
      <c r="Q1114" s="11" t="n"/>
      <c r="S1114">
        <f>IF($A1114="","",IF($W1114=1,Settings!$C$6,Settings!$C$7)*1)</f>
        <v/>
      </c>
      <c r="U1114">
        <f>IF($A1114="","",IF(COUNTIF($A$2:$A1114,$A1114)=1,1,0))</f>
        <v/>
      </c>
      <c r="V1114">
        <f>IF($U1114=1,SUMPRODUCT(--($X$2:$X$3001&lt;$X1114))+1,"")</f>
        <v/>
      </c>
      <c r="W1114">
        <f>IF($A1114="","",IF(OR($T1114=TRUE(),$T1114="TRUE"),1,0))</f>
        <v/>
      </c>
      <c r="X1114">
        <f>IF($U1114=1,IFERROR(IF(VALUE($A1114)&lt;100000000,VALUE($A1114),1000000000),IFERROR(IF(VALUE(MID($A1114,2,20))&lt;100000000,VALUE(MID($A1114,2,20)),1000000000),1000000000))+ROW()/100000,"")</f>
        <v/>
      </c>
    </row>
    <row r="1115">
      <c r="F1115" s="7">
        <f>IF($A1115="","",E1115*N1115/100)</f>
        <v/>
      </c>
      <c r="J1115" s="7" t="n"/>
      <c r="K1115" s="7">
        <f>IF($A1115="","",S1115*N1115)</f>
        <v/>
      </c>
      <c r="L1115" s="7">
        <f>IF($A1115="","",N1115-K1115)</f>
        <v/>
      </c>
      <c r="M1115" s="7">
        <f>IF($A1115="","",L1115-F1115)</f>
        <v/>
      </c>
      <c r="N1115" s="7" t="n"/>
      <c r="Q1115" s="11" t="n"/>
      <c r="S1115">
        <f>IF($A1115="","",IF($W1115=1,Settings!$C$6,Settings!$C$7)*1)</f>
        <v/>
      </c>
      <c r="U1115">
        <f>IF($A1115="","",IF(COUNTIF($A$2:$A1115,$A1115)=1,1,0))</f>
        <v/>
      </c>
      <c r="V1115">
        <f>IF($U1115=1,SUMPRODUCT(--($X$2:$X$3001&lt;$X1115))+1,"")</f>
        <v/>
      </c>
      <c r="W1115">
        <f>IF($A1115="","",IF(OR($T1115=TRUE(),$T1115="TRUE"),1,0))</f>
        <v/>
      </c>
      <c r="X1115">
        <f>IF($U1115=1,IFERROR(IF(VALUE($A1115)&lt;100000000,VALUE($A1115),1000000000),IFERROR(IF(VALUE(MID($A1115,2,20))&lt;100000000,VALUE(MID($A1115,2,20)),1000000000),1000000000))+ROW()/100000,"")</f>
        <v/>
      </c>
    </row>
    <row r="1116">
      <c r="F1116" s="7">
        <f>IF($A1116="","",E1116*N1116/100)</f>
        <v/>
      </c>
      <c r="J1116" s="7" t="n"/>
      <c r="K1116" s="7">
        <f>IF($A1116="","",S1116*N1116)</f>
        <v/>
      </c>
      <c r="L1116" s="7">
        <f>IF($A1116="","",N1116-K1116)</f>
        <v/>
      </c>
      <c r="M1116" s="7">
        <f>IF($A1116="","",L1116-F1116)</f>
        <v/>
      </c>
      <c r="N1116" s="7" t="n"/>
      <c r="Q1116" s="11" t="n"/>
      <c r="S1116">
        <f>IF($A1116="","",IF($W1116=1,Settings!$C$6,Settings!$C$7)*1)</f>
        <v/>
      </c>
      <c r="U1116">
        <f>IF($A1116="","",IF(COUNTIF($A$2:$A1116,$A1116)=1,1,0))</f>
        <v/>
      </c>
      <c r="V1116">
        <f>IF($U1116=1,SUMPRODUCT(--($X$2:$X$3001&lt;$X1116))+1,"")</f>
        <v/>
      </c>
      <c r="W1116">
        <f>IF($A1116="","",IF(OR($T1116=TRUE(),$T1116="TRUE"),1,0))</f>
        <v/>
      </c>
      <c r="X1116">
        <f>IF($U1116=1,IFERROR(IF(VALUE($A1116)&lt;100000000,VALUE($A1116),1000000000),IFERROR(IF(VALUE(MID($A1116,2,20))&lt;100000000,VALUE(MID($A1116,2,20)),1000000000),1000000000))+ROW()/100000,"")</f>
        <v/>
      </c>
    </row>
    <row r="1117">
      <c r="F1117" s="7">
        <f>IF($A1117="","",E1117*N1117/100)</f>
        <v/>
      </c>
      <c r="J1117" s="7" t="n"/>
      <c r="K1117" s="7">
        <f>IF($A1117="","",S1117*N1117)</f>
        <v/>
      </c>
      <c r="L1117" s="7">
        <f>IF($A1117="","",N1117-K1117)</f>
        <v/>
      </c>
      <c r="M1117" s="7">
        <f>IF($A1117="","",L1117-F1117)</f>
        <v/>
      </c>
      <c r="N1117" s="7" t="n"/>
      <c r="Q1117" s="11" t="n"/>
      <c r="S1117">
        <f>IF($A1117="","",IF($W1117=1,Settings!$C$6,Settings!$C$7)*1)</f>
        <v/>
      </c>
      <c r="U1117">
        <f>IF($A1117="","",IF(COUNTIF($A$2:$A1117,$A1117)=1,1,0))</f>
        <v/>
      </c>
      <c r="V1117">
        <f>IF($U1117=1,SUMPRODUCT(--($X$2:$X$3001&lt;$X1117))+1,"")</f>
        <v/>
      </c>
      <c r="W1117">
        <f>IF($A1117="","",IF(OR($T1117=TRUE(),$T1117="TRUE"),1,0))</f>
        <v/>
      </c>
      <c r="X1117">
        <f>IF($U1117=1,IFERROR(IF(VALUE($A1117)&lt;100000000,VALUE($A1117),1000000000),IFERROR(IF(VALUE(MID($A1117,2,20))&lt;100000000,VALUE(MID($A1117,2,20)),1000000000),1000000000))+ROW()/100000,"")</f>
        <v/>
      </c>
    </row>
    <row r="1118">
      <c r="F1118" s="7">
        <f>IF($A1118="","",E1118*N1118/100)</f>
        <v/>
      </c>
      <c r="J1118" s="7" t="n"/>
      <c r="K1118" s="7">
        <f>IF($A1118="","",S1118*N1118)</f>
        <v/>
      </c>
      <c r="L1118" s="7">
        <f>IF($A1118="","",N1118-K1118)</f>
        <v/>
      </c>
      <c r="M1118" s="7">
        <f>IF($A1118="","",L1118-F1118)</f>
        <v/>
      </c>
      <c r="N1118" s="7" t="n"/>
      <c r="Q1118" s="11" t="n"/>
      <c r="S1118">
        <f>IF($A1118="","",IF($W1118=1,Settings!$C$6,Settings!$C$7)*1)</f>
        <v/>
      </c>
      <c r="U1118">
        <f>IF($A1118="","",IF(COUNTIF($A$2:$A1118,$A1118)=1,1,0))</f>
        <v/>
      </c>
      <c r="V1118">
        <f>IF($U1118=1,SUMPRODUCT(--($X$2:$X$3001&lt;$X1118))+1,"")</f>
        <v/>
      </c>
      <c r="W1118">
        <f>IF($A1118="","",IF(OR($T1118=TRUE(),$T1118="TRUE"),1,0))</f>
        <v/>
      </c>
      <c r="X1118">
        <f>IF($U1118=1,IFERROR(IF(VALUE($A1118)&lt;100000000,VALUE($A1118),1000000000),IFERROR(IF(VALUE(MID($A1118,2,20))&lt;100000000,VALUE(MID($A1118,2,20)),1000000000),1000000000))+ROW()/100000,"")</f>
        <v/>
      </c>
    </row>
    <row r="1119">
      <c r="F1119" s="7">
        <f>IF($A1119="","",E1119*N1119/100)</f>
        <v/>
      </c>
      <c r="J1119" s="7" t="n"/>
      <c r="K1119" s="7">
        <f>IF($A1119="","",S1119*N1119)</f>
        <v/>
      </c>
      <c r="L1119" s="7">
        <f>IF($A1119="","",N1119-K1119)</f>
        <v/>
      </c>
      <c r="M1119" s="7">
        <f>IF($A1119="","",L1119-F1119)</f>
        <v/>
      </c>
      <c r="N1119" s="7" t="n"/>
      <c r="Q1119" s="11" t="n"/>
      <c r="S1119">
        <f>IF($A1119="","",IF($W1119=1,Settings!$C$6,Settings!$C$7)*1)</f>
        <v/>
      </c>
      <c r="U1119">
        <f>IF($A1119="","",IF(COUNTIF($A$2:$A1119,$A1119)=1,1,0))</f>
        <v/>
      </c>
      <c r="V1119">
        <f>IF($U1119=1,SUMPRODUCT(--($X$2:$X$3001&lt;$X1119))+1,"")</f>
        <v/>
      </c>
      <c r="W1119">
        <f>IF($A1119="","",IF(OR($T1119=TRUE(),$T1119="TRUE"),1,0))</f>
        <v/>
      </c>
      <c r="X1119">
        <f>IF($U1119=1,IFERROR(IF(VALUE($A1119)&lt;100000000,VALUE($A1119),1000000000),IFERROR(IF(VALUE(MID($A1119,2,20))&lt;100000000,VALUE(MID($A1119,2,20)),1000000000),1000000000))+ROW()/100000,"")</f>
        <v/>
      </c>
    </row>
    <row r="1120">
      <c r="F1120" s="7">
        <f>IF($A1120="","",E1120*N1120/100)</f>
        <v/>
      </c>
      <c r="J1120" s="7" t="n"/>
      <c r="K1120" s="7">
        <f>IF($A1120="","",S1120*N1120)</f>
        <v/>
      </c>
      <c r="L1120" s="7">
        <f>IF($A1120="","",N1120-K1120)</f>
        <v/>
      </c>
      <c r="M1120" s="7">
        <f>IF($A1120="","",L1120-F1120)</f>
        <v/>
      </c>
      <c r="N1120" s="7" t="n"/>
      <c r="Q1120" s="11" t="n"/>
      <c r="S1120">
        <f>IF($A1120="","",IF($W1120=1,Settings!$C$6,Settings!$C$7)*1)</f>
        <v/>
      </c>
      <c r="U1120">
        <f>IF($A1120="","",IF(COUNTIF($A$2:$A1120,$A1120)=1,1,0))</f>
        <v/>
      </c>
      <c r="V1120">
        <f>IF($U1120=1,SUMPRODUCT(--($X$2:$X$3001&lt;$X1120))+1,"")</f>
        <v/>
      </c>
      <c r="W1120">
        <f>IF($A1120="","",IF(OR($T1120=TRUE(),$T1120="TRUE"),1,0))</f>
        <v/>
      </c>
      <c r="X1120">
        <f>IF($U1120=1,IFERROR(IF(VALUE($A1120)&lt;100000000,VALUE($A1120),1000000000),IFERROR(IF(VALUE(MID($A1120,2,20))&lt;100000000,VALUE(MID($A1120,2,20)),1000000000),1000000000))+ROW()/100000,"")</f>
        <v/>
      </c>
    </row>
    <row r="1121">
      <c r="F1121" s="7">
        <f>IF($A1121="","",E1121*N1121/100)</f>
        <v/>
      </c>
      <c r="J1121" s="7" t="n"/>
      <c r="K1121" s="7">
        <f>IF($A1121="","",S1121*N1121)</f>
        <v/>
      </c>
      <c r="L1121" s="7">
        <f>IF($A1121="","",N1121-K1121)</f>
        <v/>
      </c>
      <c r="M1121" s="7">
        <f>IF($A1121="","",L1121-F1121)</f>
        <v/>
      </c>
      <c r="N1121" s="7" t="n"/>
      <c r="Q1121" s="11" t="n"/>
      <c r="S1121">
        <f>IF($A1121="","",IF($W1121=1,Settings!$C$6,Settings!$C$7)*1)</f>
        <v/>
      </c>
      <c r="U1121">
        <f>IF($A1121="","",IF(COUNTIF($A$2:$A1121,$A1121)=1,1,0))</f>
        <v/>
      </c>
      <c r="V1121">
        <f>IF($U1121=1,SUMPRODUCT(--($X$2:$X$3001&lt;$X1121))+1,"")</f>
        <v/>
      </c>
      <c r="W1121">
        <f>IF($A1121="","",IF(OR($T1121=TRUE(),$T1121="TRUE"),1,0))</f>
        <v/>
      </c>
      <c r="X1121">
        <f>IF($U1121=1,IFERROR(IF(VALUE($A1121)&lt;100000000,VALUE($A1121),1000000000),IFERROR(IF(VALUE(MID($A1121,2,20))&lt;100000000,VALUE(MID($A1121,2,20)),1000000000),1000000000))+ROW()/100000,"")</f>
        <v/>
      </c>
    </row>
    <row r="1122">
      <c r="F1122" s="7">
        <f>IF($A1122="","",E1122*N1122/100)</f>
        <v/>
      </c>
      <c r="J1122" s="7" t="n"/>
      <c r="K1122" s="7">
        <f>IF($A1122="","",S1122*N1122)</f>
        <v/>
      </c>
      <c r="L1122" s="7">
        <f>IF($A1122="","",N1122-K1122)</f>
        <v/>
      </c>
      <c r="M1122" s="7">
        <f>IF($A1122="","",L1122-F1122)</f>
        <v/>
      </c>
      <c r="N1122" s="7" t="n"/>
      <c r="Q1122" s="11" t="n"/>
      <c r="S1122">
        <f>IF($A1122="","",IF($W1122=1,Settings!$C$6,Settings!$C$7)*1)</f>
        <v/>
      </c>
      <c r="U1122">
        <f>IF($A1122="","",IF(COUNTIF($A$2:$A1122,$A1122)=1,1,0))</f>
        <v/>
      </c>
      <c r="V1122">
        <f>IF($U1122=1,SUMPRODUCT(--($X$2:$X$3001&lt;$X1122))+1,"")</f>
        <v/>
      </c>
      <c r="W1122">
        <f>IF($A1122="","",IF(OR($T1122=TRUE(),$T1122="TRUE"),1,0))</f>
        <v/>
      </c>
      <c r="X1122">
        <f>IF($U1122=1,IFERROR(IF(VALUE($A1122)&lt;100000000,VALUE($A1122),1000000000),IFERROR(IF(VALUE(MID($A1122,2,20))&lt;100000000,VALUE(MID($A1122,2,20)),1000000000),1000000000))+ROW()/100000,"")</f>
        <v/>
      </c>
    </row>
    <row r="1123">
      <c r="F1123" s="7">
        <f>IF($A1123="","",E1123*N1123/100)</f>
        <v/>
      </c>
      <c r="J1123" s="7" t="n"/>
      <c r="K1123" s="7">
        <f>IF($A1123="","",S1123*N1123)</f>
        <v/>
      </c>
      <c r="L1123" s="7">
        <f>IF($A1123="","",N1123-K1123)</f>
        <v/>
      </c>
      <c r="M1123" s="7">
        <f>IF($A1123="","",L1123-F1123)</f>
        <v/>
      </c>
      <c r="N1123" s="7" t="n"/>
      <c r="Q1123" s="11" t="n"/>
      <c r="S1123">
        <f>IF($A1123="","",IF($W1123=1,Settings!$C$6,Settings!$C$7)*1)</f>
        <v/>
      </c>
      <c r="U1123">
        <f>IF($A1123="","",IF(COUNTIF($A$2:$A1123,$A1123)=1,1,0))</f>
        <v/>
      </c>
      <c r="V1123">
        <f>IF($U1123=1,SUMPRODUCT(--($X$2:$X$3001&lt;$X1123))+1,"")</f>
        <v/>
      </c>
      <c r="W1123">
        <f>IF($A1123="","",IF(OR($T1123=TRUE(),$T1123="TRUE"),1,0))</f>
        <v/>
      </c>
      <c r="X1123">
        <f>IF($U1123=1,IFERROR(IF(VALUE($A1123)&lt;100000000,VALUE($A1123),1000000000),IFERROR(IF(VALUE(MID($A1123,2,20))&lt;100000000,VALUE(MID($A1123,2,20)),1000000000),1000000000))+ROW()/100000,"")</f>
        <v/>
      </c>
    </row>
    <row r="1124">
      <c r="F1124" s="7">
        <f>IF($A1124="","",E1124*N1124/100)</f>
        <v/>
      </c>
      <c r="J1124" s="7" t="n"/>
      <c r="K1124" s="7">
        <f>IF($A1124="","",S1124*N1124)</f>
        <v/>
      </c>
      <c r="L1124" s="7">
        <f>IF($A1124="","",N1124-K1124)</f>
        <v/>
      </c>
      <c r="M1124" s="7">
        <f>IF($A1124="","",L1124-F1124)</f>
        <v/>
      </c>
      <c r="N1124" s="7" t="n"/>
      <c r="Q1124" s="11" t="n"/>
      <c r="S1124">
        <f>IF($A1124="","",IF($W1124=1,Settings!$C$6,Settings!$C$7)*1)</f>
        <v/>
      </c>
      <c r="U1124">
        <f>IF($A1124="","",IF(COUNTIF($A$2:$A1124,$A1124)=1,1,0))</f>
        <v/>
      </c>
      <c r="V1124">
        <f>IF($U1124=1,SUMPRODUCT(--($X$2:$X$3001&lt;$X1124))+1,"")</f>
        <v/>
      </c>
      <c r="W1124">
        <f>IF($A1124="","",IF(OR($T1124=TRUE(),$T1124="TRUE"),1,0))</f>
        <v/>
      </c>
      <c r="X1124">
        <f>IF($U1124=1,IFERROR(IF(VALUE($A1124)&lt;100000000,VALUE($A1124),1000000000),IFERROR(IF(VALUE(MID($A1124,2,20))&lt;100000000,VALUE(MID($A1124,2,20)),1000000000),1000000000))+ROW()/100000,"")</f>
        <v/>
      </c>
    </row>
    <row r="1125">
      <c r="F1125" s="7">
        <f>IF($A1125="","",E1125*N1125/100)</f>
        <v/>
      </c>
      <c r="J1125" s="7" t="n"/>
      <c r="K1125" s="7">
        <f>IF($A1125="","",S1125*N1125)</f>
        <v/>
      </c>
      <c r="L1125" s="7">
        <f>IF($A1125="","",N1125-K1125)</f>
        <v/>
      </c>
      <c r="M1125" s="7">
        <f>IF($A1125="","",L1125-F1125)</f>
        <v/>
      </c>
      <c r="N1125" s="7" t="n"/>
      <c r="Q1125" s="11" t="n"/>
      <c r="S1125">
        <f>IF($A1125="","",IF($W1125=1,Settings!$C$6,Settings!$C$7)*1)</f>
        <v/>
      </c>
      <c r="U1125">
        <f>IF($A1125="","",IF(COUNTIF($A$2:$A1125,$A1125)=1,1,0))</f>
        <v/>
      </c>
      <c r="V1125">
        <f>IF($U1125=1,SUMPRODUCT(--($X$2:$X$3001&lt;$X1125))+1,"")</f>
        <v/>
      </c>
      <c r="W1125">
        <f>IF($A1125="","",IF(OR($T1125=TRUE(),$T1125="TRUE"),1,0))</f>
        <v/>
      </c>
      <c r="X1125">
        <f>IF($U1125=1,IFERROR(IF(VALUE($A1125)&lt;100000000,VALUE($A1125),1000000000),IFERROR(IF(VALUE(MID($A1125,2,20))&lt;100000000,VALUE(MID($A1125,2,20)),1000000000),1000000000))+ROW()/100000,"")</f>
        <v/>
      </c>
    </row>
    <row r="1126">
      <c r="F1126" s="7">
        <f>IF($A1126="","",E1126*N1126/100)</f>
        <v/>
      </c>
      <c r="J1126" s="7" t="n"/>
      <c r="K1126" s="7">
        <f>IF($A1126="","",S1126*N1126)</f>
        <v/>
      </c>
      <c r="L1126" s="7">
        <f>IF($A1126="","",N1126-K1126)</f>
        <v/>
      </c>
      <c r="M1126" s="7">
        <f>IF($A1126="","",L1126-F1126)</f>
        <v/>
      </c>
      <c r="N1126" s="7" t="n"/>
      <c r="Q1126" s="11" t="n"/>
      <c r="S1126">
        <f>IF($A1126="","",IF($W1126=1,Settings!$C$6,Settings!$C$7)*1)</f>
        <v/>
      </c>
      <c r="U1126">
        <f>IF($A1126="","",IF(COUNTIF($A$2:$A1126,$A1126)=1,1,0))</f>
        <v/>
      </c>
      <c r="V1126">
        <f>IF($U1126=1,SUMPRODUCT(--($X$2:$X$3001&lt;$X1126))+1,"")</f>
        <v/>
      </c>
      <c r="W1126">
        <f>IF($A1126="","",IF(OR($T1126=TRUE(),$T1126="TRUE"),1,0))</f>
        <v/>
      </c>
      <c r="X1126">
        <f>IF($U1126=1,IFERROR(IF(VALUE($A1126)&lt;100000000,VALUE($A1126),1000000000),IFERROR(IF(VALUE(MID($A1126,2,20))&lt;100000000,VALUE(MID($A1126,2,20)),1000000000),1000000000))+ROW()/100000,"")</f>
        <v/>
      </c>
    </row>
    <row r="1127">
      <c r="F1127" s="7">
        <f>IF($A1127="","",E1127*N1127/100)</f>
        <v/>
      </c>
      <c r="J1127" s="7" t="n"/>
      <c r="K1127" s="7">
        <f>IF($A1127="","",S1127*N1127)</f>
        <v/>
      </c>
      <c r="L1127" s="7">
        <f>IF($A1127="","",N1127-K1127)</f>
        <v/>
      </c>
      <c r="M1127" s="7">
        <f>IF($A1127="","",L1127-F1127)</f>
        <v/>
      </c>
      <c r="N1127" s="7" t="n"/>
      <c r="Q1127" s="11" t="n"/>
      <c r="S1127">
        <f>IF($A1127="","",IF($W1127=1,Settings!$C$6,Settings!$C$7)*1)</f>
        <v/>
      </c>
      <c r="U1127">
        <f>IF($A1127="","",IF(COUNTIF($A$2:$A1127,$A1127)=1,1,0))</f>
        <v/>
      </c>
      <c r="V1127">
        <f>IF($U1127=1,SUMPRODUCT(--($X$2:$X$3001&lt;$X1127))+1,"")</f>
        <v/>
      </c>
      <c r="W1127">
        <f>IF($A1127="","",IF(OR($T1127=TRUE(),$T1127="TRUE"),1,0))</f>
        <v/>
      </c>
      <c r="X1127">
        <f>IF($U1127=1,IFERROR(IF(VALUE($A1127)&lt;100000000,VALUE($A1127),1000000000),IFERROR(IF(VALUE(MID($A1127,2,20))&lt;100000000,VALUE(MID($A1127,2,20)),1000000000),1000000000))+ROW()/100000,"")</f>
        <v/>
      </c>
    </row>
    <row r="1128">
      <c r="F1128" s="7">
        <f>IF($A1128="","",E1128*N1128/100)</f>
        <v/>
      </c>
      <c r="J1128" s="7" t="n"/>
      <c r="K1128" s="7">
        <f>IF($A1128="","",S1128*N1128)</f>
        <v/>
      </c>
      <c r="L1128" s="7">
        <f>IF($A1128="","",N1128-K1128)</f>
        <v/>
      </c>
      <c r="M1128" s="7">
        <f>IF($A1128="","",L1128-F1128)</f>
        <v/>
      </c>
      <c r="N1128" s="7" t="n"/>
      <c r="Q1128" s="11" t="n"/>
      <c r="S1128">
        <f>IF($A1128="","",IF($W1128=1,Settings!$C$6,Settings!$C$7)*1)</f>
        <v/>
      </c>
      <c r="U1128">
        <f>IF($A1128="","",IF(COUNTIF($A$2:$A1128,$A1128)=1,1,0))</f>
        <v/>
      </c>
      <c r="V1128">
        <f>IF($U1128=1,SUMPRODUCT(--($X$2:$X$3001&lt;$X1128))+1,"")</f>
        <v/>
      </c>
      <c r="W1128">
        <f>IF($A1128="","",IF(OR($T1128=TRUE(),$T1128="TRUE"),1,0))</f>
        <v/>
      </c>
      <c r="X1128">
        <f>IF($U1128=1,IFERROR(IF(VALUE($A1128)&lt;100000000,VALUE($A1128),1000000000),IFERROR(IF(VALUE(MID($A1128,2,20))&lt;100000000,VALUE(MID($A1128,2,20)),1000000000),1000000000))+ROW()/100000,"")</f>
        <v/>
      </c>
    </row>
    <row r="1129">
      <c r="F1129" s="7">
        <f>IF($A1129="","",E1129*N1129/100)</f>
        <v/>
      </c>
      <c r="J1129" s="7" t="n"/>
      <c r="K1129" s="7">
        <f>IF($A1129="","",S1129*N1129)</f>
        <v/>
      </c>
      <c r="L1129" s="7">
        <f>IF($A1129="","",N1129-K1129)</f>
        <v/>
      </c>
      <c r="M1129" s="7">
        <f>IF($A1129="","",L1129-F1129)</f>
        <v/>
      </c>
      <c r="N1129" s="7" t="n"/>
      <c r="Q1129" s="11" t="n"/>
      <c r="S1129">
        <f>IF($A1129="","",IF($W1129=1,Settings!$C$6,Settings!$C$7)*1)</f>
        <v/>
      </c>
      <c r="U1129">
        <f>IF($A1129="","",IF(COUNTIF($A$2:$A1129,$A1129)=1,1,0))</f>
        <v/>
      </c>
      <c r="V1129">
        <f>IF($U1129=1,SUMPRODUCT(--($X$2:$X$3001&lt;$X1129))+1,"")</f>
        <v/>
      </c>
      <c r="W1129">
        <f>IF($A1129="","",IF(OR($T1129=TRUE(),$T1129="TRUE"),1,0))</f>
        <v/>
      </c>
      <c r="X1129">
        <f>IF($U1129=1,IFERROR(IF(VALUE($A1129)&lt;100000000,VALUE($A1129),1000000000),IFERROR(IF(VALUE(MID($A1129,2,20))&lt;100000000,VALUE(MID($A1129,2,20)),1000000000),1000000000))+ROW()/100000,"")</f>
        <v/>
      </c>
    </row>
    <row r="1130">
      <c r="F1130" s="7">
        <f>IF($A1130="","",E1130*N1130/100)</f>
        <v/>
      </c>
      <c r="J1130" s="7" t="n"/>
      <c r="K1130" s="7">
        <f>IF($A1130="","",S1130*N1130)</f>
        <v/>
      </c>
      <c r="L1130" s="7">
        <f>IF($A1130="","",N1130-K1130)</f>
        <v/>
      </c>
      <c r="M1130" s="7">
        <f>IF($A1130="","",L1130-F1130)</f>
        <v/>
      </c>
      <c r="N1130" s="7" t="n"/>
      <c r="Q1130" s="11" t="n"/>
      <c r="S1130">
        <f>IF($A1130="","",IF($W1130=1,Settings!$C$6,Settings!$C$7)*1)</f>
        <v/>
      </c>
      <c r="U1130">
        <f>IF($A1130="","",IF(COUNTIF($A$2:$A1130,$A1130)=1,1,0))</f>
        <v/>
      </c>
      <c r="V1130">
        <f>IF($U1130=1,SUMPRODUCT(--($X$2:$X$3001&lt;$X1130))+1,"")</f>
        <v/>
      </c>
      <c r="W1130">
        <f>IF($A1130="","",IF(OR($T1130=TRUE(),$T1130="TRUE"),1,0))</f>
        <v/>
      </c>
      <c r="X1130">
        <f>IF($U1130=1,IFERROR(IF(VALUE($A1130)&lt;100000000,VALUE($A1130),1000000000),IFERROR(IF(VALUE(MID($A1130,2,20))&lt;100000000,VALUE(MID($A1130,2,20)),1000000000),1000000000))+ROW()/100000,"")</f>
        <v/>
      </c>
    </row>
    <row r="1131">
      <c r="F1131" s="7">
        <f>IF($A1131="","",E1131*N1131/100)</f>
        <v/>
      </c>
      <c r="J1131" s="7" t="n"/>
      <c r="K1131" s="7">
        <f>IF($A1131="","",S1131*N1131)</f>
        <v/>
      </c>
      <c r="L1131" s="7">
        <f>IF($A1131="","",N1131-K1131)</f>
        <v/>
      </c>
      <c r="M1131" s="7">
        <f>IF($A1131="","",L1131-F1131)</f>
        <v/>
      </c>
      <c r="N1131" s="7" t="n"/>
      <c r="Q1131" s="11" t="n"/>
      <c r="S1131">
        <f>IF($A1131="","",IF($W1131=1,Settings!$C$6,Settings!$C$7)*1)</f>
        <v/>
      </c>
      <c r="U1131">
        <f>IF($A1131="","",IF(COUNTIF($A$2:$A1131,$A1131)=1,1,0))</f>
        <v/>
      </c>
      <c r="V1131">
        <f>IF($U1131=1,SUMPRODUCT(--($X$2:$X$3001&lt;$X1131))+1,"")</f>
        <v/>
      </c>
      <c r="W1131">
        <f>IF($A1131="","",IF(OR($T1131=TRUE(),$T1131="TRUE"),1,0))</f>
        <v/>
      </c>
      <c r="X1131">
        <f>IF($U1131=1,IFERROR(IF(VALUE($A1131)&lt;100000000,VALUE($A1131),1000000000),IFERROR(IF(VALUE(MID($A1131,2,20))&lt;100000000,VALUE(MID($A1131,2,20)),1000000000),1000000000))+ROW()/100000,"")</f>
        <v/>
      </c>
    </row>
    <row r="1132">
      <c r="F1132" s="7">
        <f>IF($A1132="","",E1132*N1132/100)</f>
        <v/>
      </c>
      <c r="J1132" s="7" t="n"/>
      <c r="K1132" s="7">
        <f>IF($A1132="","",S1132*N1132)</f>
        <v/>
      </c>
      <c r="L1132" s="7">
        <f>IF($A1132="","",N1132-K1132)</f>
        <v/>
      </c>
      <c r="M1132" s="7">
        <f>IF($A1132="","",L1132-F1132)</f>
        <v/>
      </c>
      <c r="N1132" s="7" t="n"/>
      <c r="Q1132" s="11" t="n"/>
      <c r="S1132">
        <f>IF($A1132="","",IF($W1132=1,Settings!$C$6,Settings!$C$7)*1)</f>
        <v/>
      </c>
      <c r="U1132">
        <f>IF($A1132="","",IF(COUNTIF($A$2:$A1132,$A1132)=1,1,0))</f>
        <v/>
      </c>
      <c r="V1132">
        <f>IF($U1132=1,SUMPRODUCT(--($X$2:$X$3001&lt;$X1132))+1,"")</f>
        <v/>
      </c>
      <c r="W1132">
        <f>IF($A1132="","",IF(OR($T1132=TRUE(),$T1132="TRUE"),1,0))</f>
        <v/>
      </c>
      <c r="X1132">
        <f>IF($U1132=1,IFERROR(IF(VALUE($A1132)&lt;100000000,VALUE($A1132),1000000000),IFERROR(IF(VALUE(MID($A1132,2,20))&lt;100000000,VALUE(MID($A1132,2,20)),1000000000),1000000000))+ROW()/100000,"")</f>
        <v/>
      </c>
    </row>
    <row r="1133">
      <c r="F1133" s="7">
        <f>IF($A1133="","",E1133*N1133/100)</f>
        <v/>
      </c>
      <c r="J1133" s="7" t="n"/>
      <c r="K1133" s="7">
        <f>IF($A1133="","",S1133*N1133)</f>
        <v/>
      </c>
      <c r="L1133" s="7">
        <f>IF($A1133="","",N1133-K1133)</f>
        <v/>
      </c>
      <c r="M1133" s="7">
        <f>IF($A1133="","",L1133-F1133)</f>
        <v/>
      </c>
      <c r="N1133" s="7" t="n"/>
      <c r="Q1133" s="11" t="n"/>
      <c r="S1133">
        <f>IF($A1133="","",IF($W1133=1,Settings!$C$6,Settings!$C$7)*1)</f>
        <v/>
      </c>
      <c r="U1133">
        <f>IF($A1133="","",IF(COUNTIF($A$2:$A1133,$A1133)=1,1,0))</f>
        <v/>
      </c>
      <c r="V1133">
        <f>IF($U1133=1,SUMPRODUCT(--($X$2:$X$3001&lt;$X1133))+1,"")</f>
        <v/>
      </c>
      <c r="W1133">
        <f>IF($A1133="","",IF(OR($T1133=TRUE(),$T1133="TRUE"),1,0))</f>
        <v/>
      </c>
      <c r="X1133">
        <f>IF($U1133=1,IFERROR(IF(VALUE($A1133)&lt;100000000,VALUE($A1133),1000000000),IFERROR(IF(VALUE(MID($A1133,2,20))&lt;100000000,VALUE(MID($A1133,2,20)),1000000000),1000000000))+ROW()/100000,"")</f>
        <v/>
      </c>
    </row>
    <row r="1134">
      <c r="F1134" s="7">
        <f>IF($A1134="","",E1134*N1134/100)</f>
        <v/>
      </c>
      <c r="J1134" s="7" t="n"/>
      <c r="K1134" s="7">
        <f>IF($A1134="","",S1134*N1134)</f>
        <v/>
      </c>
      <c r="L1134" s="7">
        <f>IF($A1134="","",N1134-K1134)</f>
        <v/>
      </c>
      <c r="M1134" s="7">
        <f>IF($A1134="","",L1134-F1134)</f>
        <v/>
      </c>
      <c r="N1134" s="7" t="n"/>
      <c r="Q1134" s="11" t="n"/>
      <c r="S1134">
        <f>IF($A1134="","",IF($W1134=1,Settings!$C$6,Settings!$C$7)*1)</f>
        <v/>
      </c>
      <c r="U1134">
        <f>IF($A1134="","",IF(COUNTIF($A$2:$A1134,$A1134)=1,1,0))</f>
        <v/>
      </c>
      <c r="V1134">
        <f>IF($U1134=1,SUMPRODUCT(--($X$2:$X$3001&lt;$X1134))+1,"")</f>
        <v/>
      </c>
      <c r="W1134">
        <f>IF($A1134="","",IF(OR($T1134=TRUE(),$T1134="TRUE"),1,0))</f>
        <v/>
      </c>
      <c r="X1134">
        <f>IF($U1134=1,IFERROR(IF(VALUE($A1134)&lt;100000000,VALUE($A1134),1000000000),IFERROR(IF(VALUE(MID($A1134,2,20))&lt;100000000,VALUE(MID($A1134,2,20)),1000000000),1000000000))+ROW()/100000,"")</f>
        <v/>
      </c>
    </row>
    <row r="1135">
      <c r="F1135" s="7">
        <f>IF($A1135="","",E1135*N1135/100)</f>
        <v/>
      </c>
      <c r="J1135" s="7" t="n"/>
      <c r="K1135" s="7">
        <f>IF($A1135="","",S1135*N1135)</f>
        <v/>
      </c>
      <c r="L1135" s="7">
        <f>IF($A1135="","",N1135-K1135)</f>
        <v/>
      </c>
      <c r="M1135" s="7">
        <f>IF($A1135="","",L1135-F1135)</f>
        <v/>
      </c>
      <c r="N1135" s="7" t="n"/>
      <c r="Q1135" s="11" t="n"/>
      <c r="S1135">
        <f>IF($A1135="","",IF($W1135=1,Settings!$C$6,Settings!$C$7)*1)</f>
        <v/>
      </c>
      <c r="U1135">
        <f>IF($A1135="","",IF(COUNTIF($A$2:$A1135,$A1135)=1,1,0))</f>
        <v/>
      </c>
      <c r="V1135">
        <f>IF($U1135=1,SUMPRODUCT(--($X$2:$X$3001&lt;$X1135))+1,"")</f>
        <v/>
      </c>
      <c r="W1135">
        <f>IF($A1135="","",IF(OR($T1135=TRUE(),$T1135="TRUE"),1,0))</f>
        <v/>
      </c>
      <c r="X1135">
        <f>IF($U1135=1,IFERROR(IF(VALUE($A1135)&lt;100000000,VALUE($A1135),1000000000),IFERROR(IF(VALUE(MID($A1135,2,20))&lt;100000000,VALUE(MID($A1135,2,20)),1000000000),1000000000))+ROW()/100000,"")</f>
        <v/>
      </c>
    </row>
    <row r="1136">
      <c r="F1136" s="7">
        <f>IF($A1136="","",E1136*N1136/100)</f>
        <v/>
      </c>
      <c r="J1136" s="7" t="n"/>
      <c r="K1136" s="7">
        <f>IF($A1136="","",S1136*N1136)</f>
        <v/>
      </c>
      <c r="L1136" s="7">
        <f>IF($A1136="","",N1136-K1136)</f>
        <v/>
      </c>
      <c r="M1136" s="7">
        <f>IF($A1136="","",L1136-F1136)</f>
        <v/>
      </c>
      <c r="N1136" s="7" t="n"/>
      <c r="Q1136" s="11" t="n"/>
      <c r="S1136">
        <f>IF($A1136="","",IF($W1136=1,Settings!$C$6,Settings!$C$7)*1)</f>
        <v/>
      </c>
      <c r="U1136">
        <f>IF($A1136="","",IF(COUNTIF($A$2:$A1136,$A1136)=1,1,0))</f>
        <v/>
      </c>
      <c r="V1136">
        <f>IF($U1136=1,SUMPRODUCT(--($X$2:$X$3001&lt;$X1136))+1,"")</f>
        <v/>
      </c>
      <c r="W1136">
        <f>IF($A1136="","",IF(OR($T1136=TRUE(),$T1136="TRUE"),1,0))</f>
        <v/>
      </c>
      <c r="X1136">
        <f>IF($U1136=1,IFERROR(IF(VALUE($A1136)&lt;100000000,VALUE($A1136),1000000000),IFERROR(IF(VALUE(MID($A1136,2,20))&lt;100000000,VALUE(MID($A1136,2,20)),1000000000),1000000000))+ROW()/100000,"")</f>
        <v/>
      </c>
    </row>
    <row r="1137">
      <c r="F1137" s="7">
        <f>IF($A1137="","",E1137*N1137/100)</f>
        <v/>
      </c>
      <c r="J1137" s="7" t="n"/>
      <c r="K1137" s="7">
        <f>IF($A1137="","",S1137*N1137)</f>
        <v/>
      </c>
      <c r="L1137" s="7">
        <f>IF($A1137="","",N1137-K1137)</f>
        <v/>
      </c>
      <c r="M1137" s="7">
        <f>IF($A1137="","",L1137-F1137)</f>
        <v/>
      </c>
      <c r="N1137" s="7" t="n"/>
      <c r="Q1137" s="11" t="n"/>
      <c r="S1137">
        <f>IF($A1137="","",IF($W1137=1,Settings!$C$6,Settings!$C$7)*1)</f>
        <v/>
      </c>
      <c r="U1137">
        <f>IF($A1137="","",IF(COUNTIF($A$2:$A1137,$A1137)=1,1,0))</f>
        <v/>
      </c>
      <c r="V1137">
        <f>IF($U1137=1,SUMPRODUCT(--($X$2:$X$3001&lt;$X1137))+1,"")</f>
        <v/>
      </c>
      <c r="W1137">
        <f>IF($A1137="","",IF(OR($T1137=TRUE(),$T1137="TRUE"),1,0))</f>
        <v/>
      </c>
      <c r="X1137">
        <f>IF($U1137=1,IFERROR(IF(VALUE($A1137)&lt;100000000,VALUE($A1137),1000000000),IFERROR(IF(VALUE(MID($A1137,2,20))&lt;100000000,VALUE(MID($A1137,2,20)),1000000000),1000000000))+ROW()/100000,"")</f>
        <v/>
      </c>
    </row>
    <row r="1138">
      <c r="F1138" s="7">
        <f>IF($A1138="","",E1138*N1138/100)</f>
        <v/>
      </c>
      <c r="J1138" s="7" t="n"/>
      <c r="K1138" s="7">
        <f>IF($A1138="","",S1138*N1138)</f>
        <v/>
      </c>
      <c r="L1138" s="7">
        <f>IF($A1138="","",N1138-K1138)</f>
        <v/>
      </c>
      <c r="M1138" s="7">
        <f>IF($A1138="","",L1138-F1138)</f>
        <v/>
      </c>
      <c r="N1138" s="7" t="n"/>
      <c r="Q1138" s="11" t="n"/>
      <c r="S1138">
        <f>IF($A1138="","",IF($W1138=1,Settings!$C$6,Settings!$C$7)*1)</f>
        <v/>
      </c>
      <c r="U1138">
        <f>IF($A1138="","",IF(COUNTIF($A$2:$A1138,$A1138)=1,1,0))</f>
        <v/>
      </c>
      <c r="V1138">
        <f>IF($U1138=1,SUMPRODUCT(--($X$2:$X$3001&lt;$X1138))+1,"")</f>
        <v/>
      </c>
      <c r="W1138">
        <f>IF($A1138="","",IF(OR($T1138=TRUE(),$T1138="TRUE"),1,0))</f>
        <v/>
      </c>
      <c r="X1138">
        <f>IF($U1138=1,IFERROR(IF(VALUE($A1138)&lt;100000000,VALUE($A1138),1000000000),IFERROR(IF(VALUE(MID($A1138,2,20))&lt;100000000,VALUE(MID($A1138,2,20)),1000000000),1000000000))+ROW()/100000,"")</f>
        <v/>
      </c>
    </row>
    <row r="1139">
      <c r="F1139" s="7">
        <f>IF($A1139="","",E1139*N1139/100)</f>
        <v/>
      </c>
      <c r="J1139" s="7" t="n"/>
      <c r="K1139" s="7">
        <f>IF($A1139="","",S1139*N1139)</f>
        <v/>
      </c>
      <c r="L1139" s="7">
        <f>IF($A1139="","",N1139-K1139)</f>
        <v/>
      </c>
      <c r="M1139" s="7">
        <f>IF($A1139="","",L1139-F1139)</f>
        <v/>
      </c>
      <c r="N1139" s="7" t="n"/>
      <c r="Q1139" s="11" t="n"/>
      <c r="S1139">
        <f>IF($A1139="","",IF($W1139=1,Settings!$C$6,Settings!$C$7)*1)</f>
        <v/>
      </c>
      <c r="U1139">
        <f>IF($A1139="","",IF(COUNTIF($A$2:$A1139,$A1139)=1,1,0))</f>
        <v/>
      </c>
      <c r="V1139">
        <f>IF($U1139=1,SUMPRODUCT(--($X$2:$X$3001&lt;$X1139))+1,"")</f>
        <v/>
      </c>
      <c r="W1139">
        <f>IF($A1139="","",IF(OR($T1139=TRUE(),$T1139="TRUE"),1,0))</f>
        <v/>
      </c>
      <c r="X1139">
        <f>IF($U1139=1,IFERROR(IF(VALUE($A1139)&lt;100000000,VALUE($A1139),1000000000),IFERROR(IF(VALUE(MID($A1139,2,20))&lt;100000000,VALUE(MID($A1139,2,20)),1000000000),1000000000))+ROW()/100000,"")</f>
        <v/>
      </c>
    </row>
    <row r="1140">
      <c r="F1140" s="7">
        <f>IF($A1140="","",E1140*N1140/100)</f>
        <v/>
      </c>
      <c r="J1140" s="7" t="n"/>
      <c r="K1140" s="7">
        <f>IF($A1140="","",S1140*N1140)</f>
        <v/>
      </c>
      <c r="L1140" s="7">
        <f>IF($A1140="","",N1140-K1140)</f>
        <v/>
      </c>
      <c r="M1140" s="7">
        <f>IF($A1140="","",L1140-F1140)</f>
        <v/>
      </c>
      <c r="N1140" s="7" t="n"/>
      <c r="Q1140" s="11" t="n"/>
      <c r="S1140">
        <f>IF($A1140="","",IF($W1140=1,Settings!$C$6,Settings!$C$7)*1)</f>
        <v/>
      </c>
      <c r="U1140">
        <f>IF($A1140="","",IF(COUNTIF($A$2:$A1140,$A1140)=1,1,0))</f>
        <v/>
      </c>
      <c r="V1140">
        <f>IF($U1140=1,SUMPRODUCT(--($X$2:$X$3001&lt;$X1140))+1,"")</f>
        <v/>
      </c>
      <c r="W1140">
        <f>IF($A1140="","",IF(OR($T1140=TRUE(),$T1140="TRUE"),1,0))</f>
        <v/>
      </c>
      <c r="X1140">
        <f>IF($U1140=1,IFERROR(IF(VALUE($A1140)&lt;100000000,VALUE($A1140),1000000000),IFERROR(IF(VALUE(MID($A1140,2,20))&lt;100000000,VALUE(MID($A1140,2,20)),1000000000),1000000000))+ROW()/100000,"")</f>
        <v/>
      </c>
    </row>
    <row r="1141">
      <c r="F1141" s="7">
        <f>IF($A1141="","",E1141*N1141/100)</f>
        <v/>
      </c>
      <c r="J1141" s="7" t="n"/>
      <c r="K1141" s="7">
        <f>IF($A1141="","",S1141*N1141)</f>
        <v/>
      </c>
      <c r="L1141" s="7">
        <f>IF($A1141="","",N1141-K1141)</f>
        <v/>
      </c>
      <c r="M1141" s="7">
        <f>IF($A1141="","",L1141-F1141)</f>
        <v/>
      </c>
      <c r="N1141" s="7" t="n"/>
      <c r="Q1141" s="11" t="n"/>
      <c r="S1141">
        <f>IF($A1141="","",IF($W1141=1,Settings!$C$6,Settings!$C$7)*1)</f>
        <v/>
      </c>
      <c r="U1141">
        <f>IF($A1141="","",IF(COUNTIF($A$2:$A1141,$A1141)=1,1,0))</f>
        <v/>
      </c>
      <c r="V1141">
        <f>IF($U1141=1,SUMPRODUCT(--($X$2:$X$3001&lt;$X1141))+1,"")</f>
        <v/>
      </c>
      <c r="W1141">
        <f>IF($A1141="","",IF(OR($T1141=TRUE(),$T1141="TRUE"),1,0))</f>
        <v/>
      </c>
      <c r="X1141">
        <f>IF($U1141=1,IFERROR(IF(VALUE($A1141)&lt;100000000,VALUE($A1141),1000000000),IFERROR(IF(VALUE(MID($A1141,2,20))&lt;100000000,VALUE(MID($A1141,2,20)),1000000000),1000000000))+ROW()/100000,"")</f>
        <v/>
      </c>
    </row>
    <row r="1142">
      <c r="F1142" s="7">
        <f>IF($A1142="","",E1142*N1142/100)</f>
        <v/>
      </c>
      <c r="J1142" s="7" t="n"/>
      <c r="K1142" s="7">
        <f>IF($A1142="","",S1142*N1142)</f>
        <v/>
      </c>
      <c r="L1142" s="7">
        <f>IF($A1142="","",N1142-K1142)</f>
        <v/>
      </c>
      <c r="M1142" s="7">
        <f>IF($A1142="","",L1142-F1142)</f>
        <v/>
      </c>
      <c r="N1142" s="7" t="n"/>
      <c r="Q1142" s="11" t="n"/>
      <c r="S1142">
        <f>IF($A1142="","",IF($W1142=1,Settings!$C$6,Settings!$C$7)*1)</f>
        <v/>
      </c>
      <c r="U1142">
        <f>IF($A1142="","",IF(COUNTIF($A$2:$A1142,$A1142)=1,1,0))</f>
        <v/>
      </c>
      <c r="V1142">
        <f>IF($U1142=1,SUMPRODUCT(--($X$2:$X$3001&lt;$X1142))+1,"")</f>
        <v/>
      </c>
      <c r="W1142">
        <f>IF($A1142="","",IF(OR($T1142=TRUE(),$T1142="TRUE"),1,0))</f>
        <v/>
      </c>
      <c r="X1142">
        <f>IF($U1142=1,IFERROR(IF(VALUE($A1142)&lt;100000000,VALUE($A1142),1000000000),IFERROR(IF(VALUE(MID($A1142,2,20))&lt;100000000,VALUE(MID($A1142,2,20)),1000000000),1000000000))+ROW()/100000,"")</f>
        <v/>
      </c>
    </row>
    <row r="1143">
      <c r="F1143" s="7">
        <f>IF($A1143="","",E1143*N1143/100)</f>
        <v/>
      </c>
      <c r="J1143" s="7" t="n"/>
      <c r="K1143" s="7">
        <f>IF($A1143="","",S1143*N1143)</f>
        <v/>
      </c>
      <c r="L1143" s="7">
        <f>IF($A1143="","",N1143-K1143)</f>
        <v/>
      </c>
      <c r="M1143" s="7">
        <f>IF($A1143="","",L1143-F1143)</f>
        <v/>
      </c>
      <c r="N1143" s="7" t="n"/>
      <c r="Q1143" s="11" t="n"/>
      <c r="S1143">
        <f>IF($A1143="","",IF($W1143=1,Settings!$C$6,Settings!$C$7)*1)</f>
        <v/>
      </c>
      <c r="U1143">
        <f>IF($A1143="","",IF(COUNTIF($A$2:$A1143,$A1143)=1,1,0))</f>
        <v/>
      </c>
      <c r="V1143">
        <f>IF($U1143=1,SUMPRODUCT(--($X$2:$X$3001&lt;$X1143))+1,"")</f>
        <v/>
      </c>
      <c r="W1143">
        <f>IF($A1143="","",IF(OR($T1143=TRUE(),$T1143="TRUE"),1,0))</f>
        <v/>
      </c>
      <c r="X1143">
        <f>IF($U1143=1,IFERROR(IF(VALUE($A1143)&lt;100000000,VALUE($A1143),1000000000),IFERROR(IF(VALUE(MID($A1143,2,20))&lt;100000000,VALUE(MID($A1143,2,20)),1000000000),1000000000))+ROW()/100000,"")</f>
        <v/>
      </c>
    </row>
    <row r="1144">
      <c r="F1144" s="7">
        <f>IF($A1144="","",E1144*N1144/100)</f>
        <v/>
      </c>
      <c r="J1144" s="7" t="n"/>
      <c r="K1144" s="7">
        <f>IF($A1144="","",S1144*N1144)</f>
        <v/>
      </c>
      <c r="L1144" s="7">
        <f>IF($A1144="","",N1144-K1144)</f>
        <v/>
      </c>
      <c r="M1144" s="7">
        <f>IF($A1144="","",L1144-F1144)</f>
        <v/>
      </c>
      <c r="N1144" s="7" t="n"/>
      <c r="Q1144" s="11" t="n"/>
      <c r="S1144">
        <f>IF($A1144="","",IF($W1144=1,Settings!$C$6,Settings!$C$7)*1)</f>
        <v/>
      </c>
      <c r="U1144">
        <f>IF($A1144="","",IF(COUNTIF($A$2:$A1144,$A1144)=1,1,0))</f>
        <v/>
      </c>
      <c r="V1144">
        <f>IF($U1144=1,SUMPRODUCT(--($X$2:$X$3001&lt;$X1144))+1,"")</f>
        <v/>
      </c>
      <c r="W1144">
        <f>IF($A1144="","",IF(OR($T1144=TRUE(),$T1144="TRUE"),1,0))</f>
        <v/>
      </c>
      <c r="X1144">
        <f>IF($U1144=1,IFERROR(IF(VALUE($A1144)&lt;100000000,VALUE($A1144),1000000000),IFERROR(IF(VALUE(MID($A1144,2,20))&lt;100000000,VALUE(MID($A1144,2,20)),1000000000),1000000000))+ROW()/100000,"")</f>
        <v/>
      </c>
    </row>
    <row r="1145">
      <c r="F1145" s="7">
        <f>IF($A1145="","",E1145*N1145/100)</f>
        <v/>
      </c>
      <c r="J1145" s="7" t="n"/>
      <c r="K1145" s="7">
        <f>IF($A1145="","",S1145*N1145)</f>
        <v/>
      </c>
      <c r="L1145" s="7">
        <f>IF($A1145="","",N1145-K1145)</f>
        <v/>
      </c>
      <c r="M1145" s="7">
        <f>IF($A1145="","",L1145-F1145)</f>
        <v/>
      </c>
      <c r="N1145" s="7" t="n"/>
      <c r="Q1145" s="11" t="n"/>
      <c r="S1145">
        <f>IF($A1145="","",IF($W1145=1,Settings!$C$6,Settings!$C$7)*1)</f>
        <v/>
      </c>
      <c r="U1145">
        <f>IF($A1145="","",IF(COUNTIF($A$2:$A1145,$A1145)=1,1,0))</f>
        <v/>
      </c>
      <c r="V1145">
        <f>IF($U1145=1,SUMPRODUCT(--($X$2:$X$3001&lt;$X1145))+1,"")</f>
        <v/>
      </c>
      <c r="W1145">
        <f>IF($A1145="","",IF(OR($T1145=TRUE(),$T1145="TRUE"),1,0))</f>
        <v/>
      </c>
      <c r="X1145">
        <f>IF($U1145=1,IFERROR(IF(VALUE($A1145)&lt;100000000,VALUE($A1145),1000000000),IFERROR(IF(VALUE(MID($A1145,2,20))&lt;100000000,VALUE(MID($A1145,2,20)),1000000000),1000000000))+ROW()/100000,"")</f>
        <v/>
      </c>
    </row>
    <row r="1146">
      <c r="F1146" s="7">
        <f>IF($A1146="","",E1146*N1146/100)</f>
        <v/>
      </c>
      <c r="J1146" s="7" t="n"/>
      <c r="K1146" s="7">
        <f>IF($A1146="","",S1146*N1146)</f>
        <v/>
      </c>
      <c r="L1146" s="7">
        <f>IF($A1146="","",N1146-K1146)</f>
        <v/>
      </c>
      <c r="M1146" s="7">
        <f>IF($A1146="","",L1146-F1146)</f>
        <v/>
      </c>
      <c r="N1146" s="7" t="n"/>
      <c r="Q1146" s="11" t="n"/>
      <c r="S1146">
        <f>IF($A1146="","",IF($W1146=1,Settings!$C$6,Settings!$C$7)*1)</f>
        <v/>
      </c>
      <c r="U1146">
        <f>IF($A1146="","",IF(COUNTIF($A$2:$A1146,$A1146)=1,1,0))</f>
        <v/>
      </c>
      <c r="V1146">
        <f>IF($U1146=1,SUMPRODUCT(--($X$2:$X$3001&lt;$X1146))+1,"")</f>
        <v/>
      </c>
      <c r="W1146">
        <f>IF($A1146="","",IF(OR($T1146=TRUE(),$T1146="TRUE"),1,0))</f>
        <v/>
      </c>
      <c r="X1146">
        <f>IF($U1146=1,IFERROR(IF(VALUE($A1146)&lt;100000000,VALUE($A1146),1000000000),IFERROR(IF(VALUE(MID($A1146,2,20))&lt;100000000,VALUE(MID($A1146,2,20)),1000000000),1000000000))+ROW()/100000,"")</f>
        <v/>
      </c>
    </row>
    <row r="1147">
      <c r="F1147" s="7">
        <f>IF($A1147="","",E1147*N1147/100)</f>
        <v/>
      </c>
      <c r="J1147" s="7" t="n"/>
      <c r="K1147" s="7">
        <f>IF($A1147="","",S1147*N1147)</f>
        <v/>
      </c>
      <c r="L1147" s="7">
        <f>IF($A1147="","",N1147-K1147)</f>
        <v/>
      </c>
      <c r="M1147" s="7">
        <f>IF($A1147="","",L1147-F1147)</f>
        <v/>
      </c>
      <c r="N1147" s="7" t="n"/>
      <c r="Q1147" s="11" t="n"/>
      <c r="S1147">
        <f>IF($A1147="","",IF($W1147=1,Settings!$C$6,Settings!$C$7)*1)</f>
        <v/>
      </c>
      <c r="U1147">
        <f>IF($A1147="","",IF(COUNTIF($A$2:$A1147,$A1147)=1,1,0))</f>
        <v/>
      </c>
      <c r="V1147">
        <f>IF($U1147=1,SUMPRODUCT(--($X$2:$X$3001&lt;$X1147))+1,"")</f>
        <v/>
      </c>
      <c r="W1147">
        <f>IF($A1147="","",IF(OR($T1147=TRUE(),$T1147="TRUE"),1,0))</f>
        <v/>
      </c>
      <c r="X1147">
        <f>IF($U1147=1,IFERROR(IF(VALUE($A1147)&lt;100000000,VALUE($A1147),1000000000),IFERROR(IF(VALUE(MID($A1147,2,20))&lt;100000000,VALUE(MID($A1147,2,20)),1000000000),1000000000))+ROW()/100000,"")</f>
        <v/>
      </c>
    </row>
    <row r="1148">
      <c r="F1148" s="7">
        <f>IF($A1148="","",E1148*N1148/100)</f>
        <v/>
      </c>
      <c r="J1148" s="7" t="n"/>
      <c r="K1148" s="7">
        <f>IF($A1148="","",S1148*N1148)</f>
        <v/>
      </c>
      <c r="L1148" s="7">
        <f>IF($A1148="","",N1148-K1148)</f>
        <v/>
      </c>
      <c r="M1148" s="7">
        <f>IF($A1148="","",L1148-F1148)</f>
        <v/>
      </c>
      <c r="N1148" s="7" t="n"/>
      <c r="Q1148" s="11" t="n"/>
      <c r="S1148">
        <f>IF($A1148="","",IF($W1148=1,Settings!$C$6,Settings!$C$7)*1)</f>
        <v/>
      </c>
      <c r="U1148">
        <f>IF($A1148="","",IF(COUNTIF($A$2:$A1148,$A1148)=1,1,0))</f>
        <v/>
      </c>
      <c r="V1148">
        <f>IF($U1148=1,SUMPRODUCT(--($X$2:$X$3001&lt;$X1148))+1,"")</f>
        <v/>
      </c>
      <c r="W1148">
        <f>IF($A1148="","",IF(OR($T1148=TRUE(),$T1148="TRUE"),1,0))</f>
        <v/>
      </c>
      <c r="X1148">
        <f>IF($U1148=1,IFERROR(IF(VALUE($A1148)&lt;100000000,VALUE($A1148),1000000000),IFERROR(IF(VALUE(MID($A1148,2,20))&lt;100000000,VALUE(MID($A1148,2,20)),1000000000),1000000000))+ROW()/100000,"")</f>
        <v/>
      </c>
    </row>
    <row r="1149">
      <c r="F1149" s="7">
        <f>IF($A1149="","",E1149*N1149/100)</f>
        <v/>
      </c>
      <c r="J1149" s="7" t="n"/>
      <c r="K1149" s="7">
        <f>IF($A1149="","",S1149*N1149)</f>
        <v/>
      </c>
      <c r="L1149" s="7">
        <f>IF($A1149="","",N1149-K1149)</f>
        <v/>
      </c>
      <c r="M1149" s="7">
        <f>IF($A1149="","",L1149-F1149)</f>
        <v/>
      </c>
      <c r="N1149" s="7" t="n"/>
      <c r="Q1149" s="11" t="n"/>
      <c r="S1149">
        <f>IF($A1149="","",IF($W1149=1,Settings!$C$6,Settings!$C$7)*1)</f>
        <v/>
      </c>
      <c r="U1149">
        <f>IF($A1149="","",IF(COUNTIF($A$2:$A1149,$A1149)=1,1,0))</f>
        <v/>
      </c>
      <c r="V1149">
        <f>IF($U1149=1,SUMPRODUCT(--($X$2:$X$3001&lt;$X1149))+1,"")</f>
        <v/>
      </c>
      <c r="W1149">
        <f>IF($A1149="","",IF(OR($T1149=TRUE(),$T1149="TRUE"),1,0))</f>
        <v/>
      </c>
      <c r="X1149">
        <f>IF($U1149=1,IFERROR(IF(VALUE($A1149)&lt;100000000,VALUE($A1149),1000000000),IFERROR(IF(VALUE(MID($A1149,2,20))&lt;100000000,VALUE(MID($A1149,2,20)),1000000000),1000000000))+ROW()/100000,"")</f>
        <v/>
      </c>
    </row>
    <row r="1150">
      <c r="F1150" s="7">
        <f>IF($A1150="","",E1150*N1150/100)</f>
        <v/>
      </c>
      <c r="J1150" s="7" t="n"/>
      <c r="K1150" s="7">
        <f>IF($A1150="","",S1150*N1150)</f>
        <v/>
      </c>
      <c r="L1150" s="7">
        <f>IF($A1150="","",N1150-K1150)</f>
        <v/>
      </c>
      <c r="M1150" s="7">
        <f>IF($A1150="","",L1150-F1150)</f>
        <v/>
      </c>
      <c r="N1150" s="7" t="n"/>
      <c r="Q1150" s="11" t="n"/>
      <c r="S1150">
        <f>IF($A1150="","",IF($W1150=1,Settings!$C$6,Settings!$C$7)*1)</f>
        <v/>
      </c>
      <c r="U1150">
        <f>IF($A1150="","",IF(COUNTIF($A$2:$A1150,$A1150)=1,1,0))</f>
        <v/>
      </c>
      <c r="V1150">
        <f>IF($U1150=1,SUMPRODUCT(--($X$2:$X$3001&lt;$X1150))+1,"")</f>
        <v/>
      </c>
      <c r="W1150">
        <f>IF($A1150="","",IF(OR($T1150=TRUE(),$T1150="TRUE"),1,0))</f>
        <v/>
      </c>
      <c r="X1150">
        <f>IF($U1150=1,IFERROR(IF(VALUE($A1150)&lt;100000000,VALUE($A1150),1000000000),IFERROR(IF(VALUE(MID($A1150,2,20))&lt;100000000,VALUE(MID($A1150,2,20)),1000000000),1000000000))+ROW()/100000,"")</f>
        <v/>
      </c>
    </row>
    <row r="1151">
      <c r="F1151" s="7">
        <f>IF($A1151="","",E1151*N1151/100)</f>
        <v/>
      </c>
      <c r="J1151" s="7" t="n"/>
      <c r="K1151" s="7">
        <f>IF($A1151="","",S1151*N1151)</f>
        <v/>
      </c>
      <c r="L1151" s="7">
        <f>IF($A1151="","",N1151-K1151)</f>
        <v/>
      </c>
      <c r="M1151" s="7">
        <f>IF($A1151="","",L1151-F1151)</f>
        <v/>
      </c>
      <c r="N1151" s="7" t="n"/>
      <c r="Q1151" s="11" t="n"/>
      <c r="S1151">
        <f>IF($A1151="","",IF($W1151=1,Settings!$C$6,Settings!$C$7)*1)</f>
        <v/>
      </c>
      <c r="U1151">
        <f>IF($A1151="","",IF(COUNTIF($A$2:$A1151,$A1151)=1,1,0))</f>
        <v/>
      </c>
      <c r="V1151">
        <f>IF($U1151=1,SUMPRODUCT(--($X$2:$X$3001&lt;$X1151))+1,"")</f>
        <v/>
      </c>
      <c r="W1151">
        <f>IF($A1151="","",IF(OR($T1151=TRUE(),$T1151="TRUE"),1,0))</f>
        <v/>
      </c>
      <c r="X1151">
        <f>IF($U1151=1,IFERROR(IF(VALUE($A1151)&lt;100000000,VALUE($A1151),1000000000),IFERROR(IF(VALUE(MID($A1151,2,20))&lt;100000000,VALUE(MID($A1151,2,20)),1000000000),1000000000))+ROW()/100000,"")</f>
        <v/>
      </c>
    </row>
    <row r="1152">
      <c r="F1152" s="7">
        <f>IF($A1152="","",E1152*N1152/100)</f>
        <v/>
      </c>
      <c r="J1152" s="7" t="n"/>
      <c r="K1152" s="7">
        <f>IF($A1152="","",S1152*N1152)</f>
        <v/>
      </c>
      <c r="L1152" s="7">
        <f>IF($A1152="","",N1152-K1152)</f>
        <v/>
      </c>
      <c r="M1152" s="7">
        <f>IF($A1152="","",L1152-F1152)</f>
        <v/>
      </c>
      <c r="N1152" s="7" t="n"/>
      <c r="Q1152" s="11" t="n"/>
      <c r="S1152">
        <f>IF($A1152="","",IF($W1152=1,Settings!$C$6,Settings!$C$7)*1)</f>
        <v/>
      </c>
      <c r="U1152">
        <f>IF($A1152="","",IF(COUNTIF($A$2:$A1152,$A1152)=1,1,0))</f>
        <v/>
      </c>
      <c r="V1152">
        <f>IF($U1152=1,SUMPRODUCT(--($X$2:$X$3001&lt;$X1152))+1,"")</f>
        <v/>
      </c>
      <c r="W1152">
        <f>IF($A1152="","",IF(OR($T1152=TRUE(),$T1152="TRUE"),1,0))</f>
        <v/>
      </c>
      <c r="X1152">
        <f>IF($U1152=1,IFERROR(IF(VALUE($A1152)&lt;100000000,VALUE($A1152),1000000000),IFERROR(IF(VALUE(MID($A1152,2,20))&lt;100000000,VALUE(MID($A1152,2,20)),1000000000),1000000000))+ROW()/100000,"")</f>
        <v/>
      </c>
    </row>
    <row r="1153">
      <c r="F1153" s="7">
        <f>IF($A1153="","",E1153*N1153/100)</f>
        <v/>
      </c>
      <c r="J1153" s="7" t="n"/>
      <c r="K1153" s="7">
        <f>IF($A1153="","",S1153*N1153)</f>
        <v/>
      </c>
      <c r="L1153" s="7">
        <f>IF($A1153="","",N1153-K1153)</f>
        <v/>
      </c>
      <c r="M1153" s="7">
        <f>IF($A1153="","",L1153-F1153)</f>
        <v/>
      </c>
      <c r="N1153" s="7" t="n"/>
      <c r="Q1153" s="11" t="n"/>
      <c r="S1153">
        <f>IF($A1153="","",IF($W1153=1,Settings!$C$6,Settings!$C$7)*1)</f>
        <v/>
      </c>
      <c r="U1153">
        <f>IF($A1153="","",IF(COUNTIF($A$2:$A1153,$A1153)=1,1,0))</f>
        <v/>
      </c>
      <c r="V1153">
        <f>IF($U1153=1,SUMPRODUCT(--($X$2:$X$3001&lt;$X1153))+1,"")</f>
        <v/>
      </c>
      <c r="W1153">
        <f>IF($A1153="","",IF(OR($T1153=TRUE(),$T1153="TRUE"),1,0))</f>
        <v/>
      </c>
      <c r="X1153">
        <f>IF($U1153=1,IFERROR(IF(VALUE($A1153)&lt;100000000,VALUE($A1153),1000000000),IFERROR(IF(VALUE(MID($A1153,2,20))&lt;100000000,VALUE(MID($A1153,2,20)),1000000000),1000000000))+ROW()/100000,"")</f>
        <v/>
      </c>
    </row>
    <row r="1154">
      <c r="F1154" s="7">
        <f>IF($A1154="","",E1154*N1154/100)</f>
        <v/>
      </c>
      <c r="J1154" s="7" t="n"/>
      <c r="K1154" s="7">
        <f>IF($A1154="","",S1154*N1154)</f>
        <v/>
      </c>
      <c r="L1154" s="7">
        <f>IF($A1154="","",N1154-K1154)</f>
        <v/>
      </c>
      <c r="M1154" s="7">
        <f>IF($A1154="","",L1154-F1154)</f>
        <v/>
      </c>
      <c r="N1154" s="7" t="n"/>
      <c r="Q1154" s="11" t="n"/>
      <c r="S1154">
        <f>IF($A1154="","",IF($W1154=1,Settings!$C$6,Settings!$C$7)*1)</f>
        <v/>
      </c>
      <c r="U1154">
        <f>IF($A1154="","",IF(COUNTIF($A$2:$A1154,$A1154)=1,1,0))</f>
        <v/>
      </c>
      <c r="V1154">
        <f>IF($U1154=1,SUMPRODUCT(--($X$2:$X$3001&lt;$X1154))+1,"")</f>
        <v/>
      </c>
      <c r="W1154">
        <f>IF($A1154="","",IF(OR($T1154=TRUE(),$T1154="TRUE"),1,0))</f>
        <v/>
      </c>
      <c r="X1154">
        <f>IF($U1154=1,IFERROR(IF(VALUE($A1154)&lt;100000000,VALUE($A1154),1000000000),IFERROR(IF(VALUE(MID($A1154,2,20))&lt;100000000,VALUE(MID($A1154,2,20)),1000000000),1000000000))+ROW()/100000,"")</f>
        <v/>
      </c>
    </row>
    <row r="1155">
      <c r="F1155" s="7">
        <f>IF($A1155="","",E1155*N1155/100)</f>
        <v/>
      </c>
      <c r="J1155" s="7" t="n"/>
      <c r="K1155" s="7">
        <f>IF($A1155="","",S1155*N1155)</f>
        <v/>
      </c>
      <c r="L1155" s="7">
        <f>IF($A1155="","",N1155-K1155)</f>
        <v/>
      </c>
      <c r="M1155" s="7">
        <f>IF($A1155="","",L1155-F1155)</f>
        <v/>
      </c>
      <c r="N1155" s="7" t="n"/>
      <c r="Q1155" s="11" t="n"/>
      <c r="S1155">
        <f>IF($A1155="","",IF($W1155=1,Settings!$C$6,Settings!$C$7)*1)</f>
        <v/>
      </c>
      <c r="U1155">
        <f>IF($A1155="","",IF(COUNTIF($A$2:$A1155,$A1155)=1,1,0))</f>
        <v/>
      </c>
      <c r="V1155">
        <f>IF($U1155=1,SUMPRODUCT(--($X$2:$X$3001&lt;$X1155))+1,"")</f>
        <v/>
      </c>
      <c r="W1155">
        <f>IF($A1155="","",IF(OR($T1155=TRUE(),$T1155="TRUE"),1,0))</f>
        <v/>
      </c>
      <c r="X1155">
        <f>IF($U1155=1,IFERROR(IF(VALUE($A1155)&lt;100000000,VALUE($A1155),1000000000),IFERROR(IF(VALUE(MID($A1155,2,20))&lt;100000000,VALUE(MID($A1155,2,20)),1000000000),1000000000))+ROW()/100000,"")</f>
        <v/>
      </c>
    </row>
    <row r="1156">
      <c r="F1156" s="7">
        <f>IF($A1156="","",E1156*N1156/100)</f>
        <v/>
      </c>
      <c r="J1156" s="7" t="n"/>
      <c r="K1156" s="7">
        <f>IF($A1156="","",S1156*N1156)</f>
        <v/>
      </c>
      <c r="L1156" s="7">
        <f>IF($A1156="","",N1156-K1156)</f>
        <v/>
      </c>
      <c r="M1156" s="7">
        <f>IF($A1156="","",L1156-F1156)</f>
        <v/>
      </c>
      <c r="N1156" s="7" t="n"/>
      <c r="Q1156" s="11" t="n"/>
      <c r="S1156">
        <f>IF($A1156="","",IF($W1156=1,Settings!$C$6,Settings!$C$7)*1)</f>
        <v/>
      </c>
      <c r="U1156">
        <f>IF($A1156="","",IF(COUNTIF($A$2:$A1156,$A1156)=1,1,0))</f>
        <v/>
      </c>
      <c r="V1156">
        <f>IF($U1156=1,SUMPRODUCT(--($X$2:$X$3001&lt;$X1156))+1,"")</f>
        <v/>
      </c>
      <c r="W1156">
        <f>IF($A1156="","",IF(OR($T1156=TRUE(),$T1156="TRUE"),1,0))</f>
        <v/>
      </c>
      <c r="X1156">
        <f>IF($U1156=1,IFERROR(IF(VALUE($A1156)&lt;100000000,VALUE($A1156),1000000000),IFERROR(IF(VALUE(MID($A1156,2,20))&lt;100000000,VALUE(MID($A1156,2,20)),1000000000),1000000000))+ROW()/100000,"")</f>
        <v/>
      </c>
    </row>
    <row r="1157">
      <c r="F1157" s="7">
        <f>IF($A1157="","",E1157*N1157/100)</f>
        <v/>
      </c>
      <c r="J1157" s="7" t="n"/>
      <c r="K1157" s="7">
        <f>IF($A1157="","",S1157*N1157)</f>
        <v/>
      </c>
      <c r="L1157" s="7">
        <f>IF($A1157="","",N1157-K1157)</f>
        <v/>
      </c>
      <c r="M1157" s="7">
        <f>IF($A1157="","",L1157-F1157)</f>
        <v/>
      </c>
      <c r="N1157" s="7" t="n"/>
      <c r="Q1157" s="11" t="n"/>
      <c r="S1157">
        <f>IF($A1157="","",IF($W1157=1,Settings!$C$6,Settings!$C$7)*1)</f>
        <v/>
      </c>
      <c r="U1157">
        <f>IF($A1157="","",IF(COUNTIF($A$2:$A1157,$A1157)=1,1,0))</f>
        <v/>
      </c>
      <c r="V1157">
        <f>IF($U1157=1,SUMPRODUCT(--($X$2:$X$3001&lt;$X1157))+1,"")</f>
        <v/>
      </c>
      <c r="W1157">
        <f>IF($A1157="","",IF(OR($T1157=TRUE(),$T1157="TRUE"),1,0))</f>
        <v/>
      </c>
      <c r="X1157">
        <f>IF($U1157=1,IFERROR(IF(VALUE($A1157)&lt;100000000,VALUE($A1157),1000000000),IFERROR(IF(VALUE(MID($A1157,2,20))&lt;100000000,VALUE(MID($A1157,2,20)),1000000000),1000000000))+ROW()/100000,"")</f>
        <v/>
      </c>
    </row>
    <row r="1158">
      <c r="F1158" s="7">
        <f>IF($A1158="","",E1158*N1158/100)</f>
        <v/>
      </c>
      <c r="J1158" s="7" t="n"/>
      <c r="K1158" s="7">
        <f>IF($A1158="","",S1158*N1158)</f>
        <v/>
      </c>
      <c r="L1158" s="7">
        <f>IF($A1158="","",N1158-K1158)</f>
        <v/>
      </c>
      <c r="M1158" s="7">
        <f>IF($A1158="","",L1158-F1158)</f>
        <v/>
      </c>
      <c r="N1158" s="7" t="n"/>
      <c r="Q1158" s="11" t="n"/>
      <c r="S1158">
        <f>IF($A1158="","",IF($W1158=1,Settings!$C$6,Settings!$C$7)*1)</f>
        <v/>
      </c>
      <c r="U1158">
        <f>IF($A1158="","",IF(COUNTIF($A$2:$A1158,$A1158)=1,1,0))</f>
        <v/>
      </c>
      <c r="V1158">
        <f>IF($U1158=1,SUMPRODUCT(--($X$2:$X$3001&lt;$X1158))+1,"")</f>
        <v/>
      </c>
      <c r="W1158">
        <f>IF($A1158="","",IF(OR($T1158=TRUE(),$T1158="TRUE"),1,0))</f>
        <v/>
      </c>
      <c r="X1158">
        <f>IF($U1158=1,IFERROR(IF(VALUE($A1158)&lt;100000000,VALUE($A1158),1000000000),IFERROR(IF(VALUE(MID($A1158,2,20))&lt;100000000,VALUE(MID($A1158,2,20)),1000000000),1000000000))+ROW()/100000,"")</f>
        <v/>
      </c>
    </row>
    <row r="1159">
      <c r="F1159" s="7">
        <f>IF($A1159="","",E1159*N1159/100)</f>
        <v/>
      </c>
      <c r="J1159" s="7" t="n"/>
      <c r="K1159" s="7">
        <f>IF($A1159="","",S1159*N1159)</f>
        <v/>
      </c>
      <c r="L1159" s="7">
        <f>IF($A1159="","",N1159-K1159)</f>
        <v/>
      </c>
      <c r="M1159" s="7">
        <f>IF($A1159="","",L1159-F1159)</f>
        <v/>
      </c>
      <c r="N1159" s="7" t="n"/>
      <c r="Q1159" s="11" t="n"/>
      <c r="S1159">
        <f>IF($A1159="","",IF($W1159=1,Settings!$C$6,Settings!$C$7)*1)</f>
        <v/>
      </c>
      <c r="U1159">
        <f>IF($A1159="","",IF(COUNTIF($A$2:$A1159,$A1159)=1,1,0))</f>
        <v/>
      </c>
      <c r="V1159">
        <f>IF($U1159=1,SUMPRODUCT(--($X$2:$X$3001&lt;$X1159))+1,"")</f>
        <v/>
      </c>
      <c r="W1159">
        <f>IF($A1159="","",IF(OR($T1159=TRUE(),$T1159="TRUE"),1,0))</f>
        <v/>
      </c>
      <c r="X1159">
        <f>IF($U1159=1,IFERROR(IF(VALUE($A1159)&lt;100000000,VALUE($A1159),1000000000),IFERROR(IF(VALUE(MID($A1159,2,20))&lt;100000000,VALUE(MID($A1159,2,20)),1000000000),1000000000))+ROW()/100000,"")</f>
        <v/>
      </c>
    </row>
    <row r="1160">
      <c r="F1160" s="7">
        <f>IF($A1160="","",E1160*N1160/100)</f>
        <v/>
      </c>
      <c r="J1160" s="7" t="n"/>
      <c r="K1160" s="7">
        <f>IF($A1160="","",S1160*N1160)</f>
        <v/>
      </c>
      <c r="L1160" s="7">
        <f>IF($A1160="","",N1160-K1160)</f>
        <v/>
      </c>
      <c r="M1160" s="7">
        <f>IF($A1160="","",L1160-F1160)</f>
        <v/>
      </c>
      <c r="N1160" s="7" t="n"/>
      <c r="Q1160" s="11" t="n"/>
      <c r="S1160">
        <f>IF($A1160="","",IF($W1160=1,Settings!$C$6,Settings!$C$7)*1)</f>
        <v/>
      </c>
      <c r="U1160">
        <f>IF($A1160="","",IF(COUNTIF($A$2:$A1160,$A1160)=1,1,0))</f>
        <v/>
      </c>
      <c r="V1160">
        <f>IF($U1160=1,SUMPRODUCT(--($X$2:$X$3001&lt;$X1160))+1,"")</f>
        <v/>
      </c>
      <c r="W1160">
        <f>IF($A1160="","",IF(OR($T1160=TRUE(),$T1160="TRUE"),1,0))</f>
        <v/>
      </c>
      <c r="X1160">
        <f>IF($U1160=1,IFERROR(IF(VALUE($A1160)&lt;100000000,VALUE($A1160),1000000000),IFERROR(IF(VALUE(MID($A1160,2,20))&lt;100000000,VALUE(MID($A1160,2,20)),1000000000),1000000000))+ROW()/100000,"")</f>
        <v/>
      </c>
    </row>
    <row r="1161">
      <c r="F1161" s="7">
        <f>IF($A1161="","",E1161*N1161/100)</f>
        <v/>
      </c>
      <c r="J1161" s="7" t="n"/>
      <c r="K1161" s="7">
        <f>IF($A1161="","",S1161*N1161)</f>
        <v/>
      </c>
      <c r="L1161" s="7">
        <f>IF($A1161="","",N1161-K1161)</f>
        <v/>
      </c>
      <c r="M1161" s="7">
        <f>IF($A1161="","",L1161-F1161)</f>
        <v/>
      </c>
      <c r="N1161" s="7" t="n"/>
      <c r="Q1161" s="11" t="n"/>
      <c r="S1161">
        <f>IF($A1161="","",IF($W1161=1,Settings!$C$6,Settings!$C$7)*1)</f>
        <v/>
      </c>
      <c r="U1161">
        <f>IF($A1161="","",IF(COUNTIF($A$2:$A1161,$A1161)=1,1,0))</f>
        <v/>
      </c>
      <c r="V1161">
        <f>IF($U1161=1,SUMPRODUCT(--($X$2:$X$3001&lt;$X1161))+1,"")</f>
        <v/>
      </c>
      <c r="W1161">
        <f>IF($A1161="","",IF(OR($T1161=TRUE(),$T1161="TRUE"),1,0))</f>
        <v/>
      </c>
      <c r="X1161">
        <f>IF($U1161=1,IFERROR(IF(VALUE($A1161)&lt;100000000,VALUE($A1161),1000000000),IFERROR(IF(VALUE(MID($A1161,2,20))&lt;100000000,VALUE(MID($A1161,2,20)),1000000000),1000000000))+ROW()/100000,"")</f>
        <v/>
      </c>
    </row>
    <row r="1162">
      <c r="F1162" s="7">
        <f>IF($A1162="","",E1162*N1162/100)</f>
        <v/>
      </c>
      <c r="J1162" s="7" t="n"/>
      <c r="K1162" s="7">
        <f>IF($A1162="","",S1162*N1162)</f>
        <v/>
      </c>
      <c r="L1162" s="7">
        <f>IF($A1162="","",N1162-K1162)</f>
        <v/>
      </c>
      <c r="M1162" s="7">
        <f>IF($A1162="","",L1162-F1162)</f>
        <v/>
      </c>
      <c r="N1162" s="7" t="n"/>
      <c r="Q1162" s="11" t="n"/>
      <c r="S1162">
        <f>IF($A1162="","",IF($W1162=1,Settings!$C$6,Settings!$C$7)*1)</f>
        <v/>
      </c>
      <c r="U1162">
        <f>IF($A1162="","",IF(COUNTIF($A$2:$A1162,$A1162)=1,1,0))</f>
        <v/>
      </c>
      <c r="V1162">
        <f>IF($U1162=1,SUMPRODUCT(--($X$2:$X$3001&lt;$X1162))+1,"")</f>
        <v/>
      </c>
      <c r="W1162">
        <f>IF($A1162="","",IF(OR($T1162=TRUE(),$T1162="TRUE"),1,0))</f>
        <v/>
      </c>
      <c r="X1162">
        <f>IF($U1162=1,IFERROR(IF(VALUE($A1162)&lt;100000000,VALUE($A1162),1000000000),IFERROR(IF(VALUE(MID($A1162,2,20))&lt;100000000,VALUE(MID($A1162,2,20)),1000000000),1000000000))+ROW()/100000,"")</f>
        <v/>
      </c>
    </row>
    <row r="1163">
      <c r="F1163" s="7">
        <f>IF($A1163="","",E1163*N1163/100)</f>
        <v/>
      </c>
      <c r="J1163" s="7" t="n"/>
      <c r="K1163" s="7">
        <f>IF($A1163="","",S1163*N1163)</f>
        <v/>
      </c>
      <c r="L1163" s="7">
        <f>IF($A1163="","",N1163-K1163)</f>
        <v/>
      </c>
      <c r="M1163" s="7">
        <f>IF($A1163="","",L1163-F1163)</f>
        <v/>
      </c>
      <c r="N1163" s="7" t="n"/>
      <c r="Q1163" s="11" t="n"/>
      <c r="S1163">
        <f>IF($A1163="","",IF($W1163=1,Settings!$C$6,Settings!$C$7)*1)</f>
        <v/>
      </c>
      <c r="U1163">
        <f>IF($A1163="","",IF(COUNTIF($A$2:$A1163,$A1163)=1,1,0))</f>
        <v/>
      </c>
      <c r="V1163">
        <f>IF($U1163=1,SUMPRODUCT(--($X$2:$X$3001&lt;$X1163))+1,"")</f>
        <v/>
      </c>
      <c r="W1163">
        <f>IF($A1163="","",IF(OR($T1163=TRUE(),$T1163="TRUE"),1,0))</f>
        <v/>
      </c>
      <c r="X1163">
        <f>IF($U1163=1,IFERROR(IF(VALUE($A1163)&lt;100000000,VALUE($A1163),1000000000),IFERROR(IF(VALUE(MID($A1163,2,20))&lt;100000000,VALUE(MID($A1163,2,20)),1000000000),1000000000))+ROW()/100000,"")</f>
        <v/>
      </c>
    </row>
    <row r="1164">
      <c r="F1164" s="7">
        <f>IF($A1164="","",E1164*N1164/100)</f>
        <v/>
      </c>
      <c r="J1164" s="7" t="n"/>
      <c r="K1164" s="7">
        <f>IF($A1164="","",S1164*N1164)</f>
        <v/>
      </c>
      <c r="L1164" s="7">
        <f>IF($A1164="","",N1164-K1164)</f>
        <v/>
      </c>
      <c r="M1164" s="7">
        <f>IF($A1164="","",L1164-F1164)</f>
        <v/>
      </c>
      <c r="N1164" s="7" t="n"/>
      <c r="Q1164" s="11" t="n"/>
      <c r="S1164">
        <f>IF($A1164="","",IF($W1164=1,Settings!$C$6,Settings!$C$7)*1)</f>
        <v/>
      </c>
      <c r="U1164">
        <f>IF($A1164="","",IF(COUNTIF($A$2:$A1164,$A1164)=1,1,0))</f>
        <v/>
      </c>
      <c r="V1164">
        <f>IF($U1164=1,SUMPRODUCT(--($X$2:$X$3001&lt;$X1164))+1,"")</f>
        <v/>
      </c>
      <c r="W1164">
        <f>IF($A1164="","",IF(OR($T1164=TRUE(),$T1164="TRUE"),1,0))</f>
        <v/>
      </c>
      <c r="X1164">
        <f>IF($U1164=1,IFERROR(IF(VALUE($A1164)&lt;100000000,VALUE($A1164),1000000000),IFERROR(IF(VALUE(MID($A1164,2,20))&lt;100000000,VALUE(MID($A1164,2,20)),1000000000),1000000000))+ROW()/100000,"")</f>
        <v/>
      </c>
    </row>
    <row r="1165">
      <c r="F1165" s="7">
        <f>IF($A1165="","",E1165*N1165/100)</f>
        <v/>
      </c>
      <c r="J1165" s="7" t="n"/>
      <c r="K1165" s="7">
        <f>IF($A1165="","",S1165*N1165)</f>
        <v/>
      </c>
      <c r="L1165" s="7">
        <f>IF($A1165="","",N1165-K1165)</f>
        <v/>
      </c>
      <c r="M1165" s="7">
        <f>IF($A1165="","",L1165-F1165)</f>
        <v/>
      </c>
      <c r="N1165" s="7" t="n"/>
      <c r="Q1165" s="11" t="n"/>
      <c r="S1165">
        <f>IF($A1165="","",IF($W1165=1,Settings!$C$6,Settings!$C$7)*1)</f>
        <v/>
      </c>
      <c r="U1165">
        <f>IF($A1165="","",IF(COUNTIF($A$2:$A1165,$A1165)=1,1,0))</f>
        <v/>
      </c>
      <c r="V1165">
        <f>IF($U1165=1,SUMPRODUCT(--($X$2:$X$3001&lt;$X1165))+1,"")</f>
        <v/>
      </c>
      <c r="W1165">
        <f>IF($A1165="","",IF(OR($T1165=TRUE(),$T1165="TRUE"),1,0))</f>
        <v/>
      </c>
      <c r="X1165">
        <f>IF($U1165=1,IFERROR(IF(VALUE($A1165)&lt;100000000,VALUE($A1165),1000000000),IFERROR(IF(VALUE(MID($A1165,2,20))&lt;100000000,VALUE(MID($A1165,2,20)),1000000000),1000000000))+ROW()/100000,"")</f>
        <v/>
      </c>
    </row>
    <row r="1166">
      <c r="F1166" s="7">
        <f>IF($A1166="","",E1166*N1166/100)</f>
        <v/>
      </c>
      <c r="J1166" s="7" t="n"/>
      <c r="K1166" s="7">
        <f>IF($A1166="","",S1166*N1166)</f>
        <v/>
      </c>
      <c r="L1166" s="7">
        <f>IF($A1166="","",N1166-K1166)</f>
        <v/>
      </c>
      <c r="M1166" s="7">
        <f>IF($A1166="","",L1166-F1166)</f>
        <v/>
      </c>
      <c r="N1166" s="7" t="n"/>
      <c r="Q1166" s="11" t="n"/>
      <c r="S1166">
        <f>IF($A1166="","",IF($W1166=1,Settings!$C$6,Settings!$C$7)*1)</f>
        <v/>
      </c>
      <c r="U1166">
        <f>IF($A1166="","",IF(COUNTIF($A$2:$A1166,$A1166)=1,1,0))</f>
        <v/>
      </c>
      <c r="V1166">
        <f>IF($U1166=1,SUMPRODUCT(--($X$2:$X$3001&lt;$X1166))+1,"")</f>
        <v/>
      </c>
      <c r="W1166">
        <f>IF($A1166="","",IF(OR($T1166=TRUE(),$T1166="TRUE"),1,0))</f>
        <v/>
      </c>
      <c r="X1166">
        <f>IF($U1166=1,IFERROR(IF(VALUE($A1166)&lt;100000000,VALUE($A1166),1000000000),IFERROR(IF(VALUE(MID($A1166,2,20))&lt;100000000,VALUE(MID($A1166,2,20)),1000000000),1000000000))+ROW()/100000,"")</f>
        <v/>
      </c>
    </row>
    <row r="1167">
      <c r="F1167" s="7">
        <f>IF($A1167="","",E1167*N1167/100)</f>
        <v/>
      </c>
      <c r="J1167" s="7" t="n"/>
      <c r="K1167" s="7">
        <f>IF($A1167="","",S1167*N1167)</f>
        <v/>
      </c>
      <c r="L1167" s="7">
        <f>IF($A1167="","",N1167-K1167)</f>
        <v/>
      </c>
      <c r="M1167" s="7">
        <f>IF($A1167="","",L1167-F1167)</f>
        <v/>
      </c>
      <c r="N1167" s="7" t="n"/>
      <c r="Q1167" s="11" t="n"/>
      <c r="S1167">
        <f>IF($A1167="","",IF($W1167=1,Settings!$C$6,Settings!$C$7)*1)</f>
        <v/>
      </c>
      <c r="U1167">
        <f>IF($A1167="","",IF(COUNTIF($A$2:$A1167,$A1167)=1,1,0))</f>
        <v/>
      </c>
      <c r="V1167">
        <f>IF($U1167=1,SUMPRODUCT(--($X$2:$X$3001&lt;$X1167))+1,"")</f>
        <v/>
      </c>
      <c r="W1167">
        <f>IF($A1167="","",IF(OR($T1167=TRUE(),$T1167="TRUE"),1,0))</f>
        <v/>
      </c>
      <c r="X1167">
        <f>IF($U1167=1,IFERROR(IF(VALUE($A1167)&lt;100000000,VALUE($A1167),1000000000),IFERROR(IF(VALUE(MID($A1167,2,20))&lt;100000000,VALUE(MID($A1167,2,20)),1000000000),1000000000))+ROW()/100000,"")</f>
        <v/>
      </c>
    </row>
    <row r="1168">
      <c r="F1168" s="7">
        <f>IF($A1168="","",E1168*N1168/100)</f>
        <v/>
      </c>
      <c r="J1168" s="7" t="n"/>
      <c r="K1168" s="7">
        <f>IF($A1168="","",S1168*N1168)</f>
        <v/>
      </c>
      <c r="L1168" s="7">
        <f>IF($A1168="","",N1168-K1168)</f>
        <v/>
      </c>
      <c r="M1168" s="7">
        <f>IF($A1168="","",L1168-F1168)</f>
        <v/>
      </c>
      <c r="N1168" s="7" t="n"/>
      <c r="Q1168" s="11" t="n"/>
      <c r="S1168">
        <f>IF($A1168="","",IF($W1168=1,Settings!$C$6,Settings!$C$7)*1)</f>
        <v/>
      </c>
      <c r="U1168">
        <f>IF($A1168="","",IF(COUNTIF($A$2:$A1168,$A1168)=1,1,0))</f>
        <v/>
      </c>
      <c r="V1168">
        <f>IF($U1168=1,SUMPRODUCT(--($X$2:$X$3001&lt;$X1168))+1,"")</f>
        <v/>
      </c>
      <c r="W1168">
        <f>IF($A1168="","",IF(OR($T1168=TRUE(),$T1168="TRUE"),1,0))</f>
        <v/>
      </c>
      <c r="X1168">
        <f>IF($U1168=1,IFERROR(IF(VALUE($A1168)&lt;100000000,VALUE($A1168),1000000000),IFERROR(IF(VALUE(MID($A1168,2,20))&lt;100000000,VALUE(MID($A1168,2,20)),1000000000),1000000000))+ROW()/100000,"")</f>
        <v/>
      </c>
    </row>
    <row r="1169">
      <c r="F1169" s="7">
        <f>IF($A1169="","",E1169*N1169/100)</f>
        <v/>
      </c>
      <c r="J1169" s="7" t="n"/>
      <c r="K1169" s="7">
        <f>IF($A1169="","",S1169*N1169)</f>
        <v/>
      </c>
      <c r="L1169" s="7">
        <f>IF($A1169="","",N1169-K1169)</f>
        <v/>
      </c>
      <c r="M1169" s="7">
        <f>IF($A1169="","",L1169-F1169)</f>
        <v/>
      </c>
      <c r="N1169" s="7" t="n"/>
      <c r="Q1169" s="11" t="n"/>
      <c r="S1169">
        <f>IF($A1169="","",IF($W1169=1,Settings!$C$6,Settings!$C$7)*1)</f>
        <v/>
      </c>
      <c r="U1169">
        <f>IF($A1169="","",IF(COUNTIF($A$2:$A1169,$A1169)=1,1,0))</f>
        <v/>
      </c>
      <c r="V1169">
        <f>IF($U1169=1,SUMPRODUCT(--($X$2:$X$3001&lt;$X1169))+1,"")</f>
        <v/>
      </c>
      <c r="W1169">
        <f>IF($A1169="","",IF(OR($T1169=TRUE(),$T1169="TRUE"),1,0))</f>
        <v/>
      </c>
      <c r="X1169">
        <f>IF($U1169=1,IFERROR(IF(VALUE($A1169)&lt;100000000,VALUE($A1169),1000000000),IFERROR(IF(VALUE(MID($A1169,2,20))&lt;100000000,VALUE(MID($A1169,2,20)),1000000000),1000000000))+ROW()/100000,"")</f>
        <v/>
      </c>
    </row>
    <row r="1170">
      <c r="F1170" s="7">
        <f>IF($A1170="","",E1170*N1170/100)</f>
        <v/>
      </c>
      <c r="J1170" s="7" t="n"/>
      <c r="K1170" s="7">
        <f>IF($A1170="","",S1170*N1170)</f>
        <v/>
      </c>
      <c r="L1170" s="7">
        <f>IF($A1170="","",N1170-K1170)</f>
        <v/>
      </c>
      <c r="M1170" s="7">
        <f>IF($A1170="","",L1170-F1170)</f>
        <v/>
      </c>
      <c r="N1170" s="7" t="n"/>
      <c r="Q1170" s="11" t="n"/>
      <c r="S1170">
        <f>IF($A1170="","",IF($W1170=1,Settings!$C$6,Settings!$C$7)*1)</f>
        <v/>
      </c>
      <c r="U1170">
        <f>IF($A1170="","",IF(COUNTIF($A$2:$A1170,$A1170)=1,1,0))</f>
        <v/>
      </c>
      <c r="V1170">
        <f>IF($U1170=1,SUMPRODUCT(--($X$2:$X$3001&lt;$X1170))+1,"")</f>
        <v/>
      </c>
      <c r="W1170">
        <f>IF($A1170="","",IF(OR($T1170=TRUE(),$T1170="TRUE"),1,0))</f>
        <v/>
      </c>
      <c r="X1170">
        <f>IF($U1170=1,IFERROR(IF(VALUE($A1170)&lt;100000000,VALUE($A1170),1000000000),IFERROR(IF(VALUE(MID($A1170,2,20))&lt;100000000,VALUE(MID($A1170,2,20)),1000000000),1000000000))+ROW()/100000,"")</f>
        <v/>
      </c>
    </row>
    <row r="1171">
      <c r="F1171" s="7">
        <f>IF($A1171="","",E1171*N1171/100)</f>
        <v/>
      </c>
      <c r="J1171" s="7" t="n"/>
      <c r="K1171" s="7">
        <f>IF($A1171="","",S1171*N1171)</f>
        <v/>
      </c>
      <c r="L1171" s="7">
        <f>IF($A1171="","",N1171-K1171)</f>
        <v/>
      </c>
      <c r="M1171" s="7">
        <f>IF($A1171="","",L1171-F1171)</f>
        <v/>
      </c>
      <c r="N1171" s="7" t="n"/>
      <c r="Q1171" s="11" t="n"/>
      <c r="S1171">
        <f>IF($A1171="","",IF($W1171=1,Settings!$C$6,Settings!$C$7)*1)</f>
        <v/>
      </c>
      <c r="U1171">
        <f>IF($A1171="","",IF(COUNTIF($A$2:$A1171,$A1171)=1,1,0))</f>
        <v/>
      </c>
      <c r="V1171">
        <f>IF($U1171=1,SUMPRODUCT(--($X$2:$X$3001&lt;$X1171))+1,"")</f>
        <v/>
      </c>
      <c r="W1171">
        <f>IF($A1171="","",IF(OR($T1171=TRUE(),$T1171="TRUE"),1,0))</f>
        <v/>
      </c>
      <c r="X1171">
        <f>IF($U1171=1,IFERROR(IF(VALUE($A1171)&lt;100000000,VALUE($A1171),1000000000),IFERROR(IF(VALUE(MID($A1171,2,20))&lt;100000000,VALUE(MID($A1171,2,20)),1000000000),1000000000))+ROW()/100000,"")</f>
        <v/>
      </c>
    </row>
    <row r="1172">
      <c r="F1172" s="7">
        <f>IF($A1172="","",E1172*N1172/100)</f>
        <v/>
      </c>
      <c r="J1172" s="7" t="n"/>
      <c r="K1172" s="7">
        <f>IF($A1172="","",S1172*N1172)</f>
        <v/>
      </c>
      <c r="L1172" s="7">
        <f>IF($A1172="","",N1172-K1172)</f>
        <v/>
      </c>
      <c r="M1172" s="7">
        <f>IF($A1172="","",L1172-F1172)</f>
        <v/>
      </c>
      <c r="N1172" s="7" t="n"/>
      <c r="Q1172" s="11" t="n"/>
      <c r="S1172">
        <f>IF($A1172="","",IF($W1172=1,Settings!$C$6,Settings!$C$7)*1)</f>
        <v/>
      </c>
      <c r="U1172">
        <f>IF($A1172="","",IF(COUNTIF($A$2:$A1172,$A1172)=1,1,0))</f>
        <v/>
      </c>
      <c r="V1172">
        <f>IF($U1172=1,SUMPRODUCT(--($X$2:$X$3001&lt;$X1172))+1,"")</f>
        <v/>
      </c>
      <c r="W1172">
        <f>IF($A1172="","",IF(OR($T1172=TRUE(),$T1172="TRUE"),1,0))</f>
        <v/>
      </c>
      <c r="X1172">
        <f>IF($U1172=1,IFERROR(IF(VALUE($A1172)&lt;100000000,VALUE($A1172),1000000000),IFERROR(IF(VALUE(MID($A1172,2,20))&lt;100000000,VALUE(MID($A1172,2,20)),1000000000),1000000000))+ROW()/100000,"")</f>
        <v/>
      </c>
    </row>
    <row r="1173">
      <c r="F1173" s="7">
        <f>IF($A1173="","",E1173*N1173/100)</f>
        <v/>
      </c>
      <c r="J1173" s="7" t="n"/>
      <c r="K1173" s="7">
        <f>IF($A1173="","",S1173*N1173)</f>
        <v/>
      </c>
      <c r="L1173" s="7">
        <f>IF($A1173="","",N1173-K1173)</f>
        <v/>
      </c>
      <c r="M1173" s="7">
        <f>IF($A1173="","",L1173-F1173)</f>
        <v/>
      </c>
      <c r="N1173" s="7" t="n"/>
      <c r="Q1173" s="11" t="n"/>
      <c r="S1173">
        <f>IF($A1173="","",IF($W1173=1,Settings!$C$6,Settings!$C$7)*1)</f>
        <v/>
      </c>
      <c r="U1173">
        <f>IF($A1173="","",IF(COUNTIF($A$2:$A1173,$A1173)=1,1,0))</f>
        <v/>
      </c>
      <c r="V1173">
        <f>IF($U1173=1,SUMPRODUCT(--($X$2:$X$3001&lt;$X1173))+1,"")</f>
        <v/>
      </c>
      <c r="W1173">
        <f>IF($A1173="","",IF(OR($T1173=TRUE(),$T1173="TRUE"),1,0))</f>
        <v/>
      </c>
      <c r="X1173">
        <f>IF($U1173=1,IFERROR(IF(VALUE($A1173)&lt;100000000,VALUE($A1173),1000000000),IFERROR(IF(VALUE(MID($A1173,2,20))&lt;100000000,VALUE(MID($A1173,2,20)),1000000000),1000000000))+ROW()/100000,"")</f>
        <v/>
      </c>
    </row>
    <row r="1174">
      <c r="F1174" s="7">
        <f>IF($A1174="","",E1174*N1174/100)</f>
        <v/>
      </c>
      <c r="J1174" s="7" t="n"/>
      <c r="K1174" s="7">
        <f>IF($A1174="","",S1174*N1174)</f>
        <v/>
      </c>
      <c r="L1174" s="7">
        <f>IF($A1174="","",N1174-K1174)</f>
        <v/>
      </c>
      <c r="M1174" s="7">
        <f>IF($A1174="","",L1174-F1174)</f>
        <v/>
      </c>
      <c r="N1174" s="7" t="n"/>
      <c r="Q1174" s="11" t="n"/>
      <c r="S1174">
        <f>IF($A1174="","",IF($W1174=1,Settings!$C$6,Settings!$C$7)*1)</f>
        <v/>
      </c>
      <c r="U1174">
        <f>IF($A1174="","",IF(COUNTIF($A$2:$A1174,$A1174)=1,1,0))</f>
        <v/>
      </c>
      <c r="V1174">
        <f>IF($U1174=1,SUMPRODUCT(--($X$2:$X$3001&lt;$X1174))+1,"")</f>
        <v/>
      </c>
      <c r="W1174">
        <f>IF($A1174="","",IF(OR($T1174=TRUE(),$T1174="TRUE"),1,0))</f>
        <v/>
      </c>
      <c r="X1174">
        <f>IF($U1174=1,IFERROR(IF(VALUE($A1174)&lt;100000000,VALUE($A1174),1000000000),IFERROR(IF(VALUE(MID($A1174,2,20))&lt;100000000,VALUE(MID($A1174,2,20)),1000000000),1000000000))+ROW()/100000,"")</f>
        <v/>
      </c>
    </row>
    <row r="1175">
      <c r="F1175" s="7">
        <f>IF($A1175="","",E1175*N1175/100)</f>
        <v/>
      </c>
      <c r="J1175" s="7" t="n"/>
      <c r="K1175" s="7">
        <f>IF($A1175="","",S1175*N1175)</f>
        <v/>
      </c>
      <c r="L1175" s="7">
        <f>IF($A1175="","",N1175-K1175)</f>
        <v/>
      </c>
      <c r="M1175" s="7">
        <f>IF($A1175="","",L1175-F1175)</f>
        <v/>
      </c>
      <c r="N1175" s="7" t="n"/>
      <c r="Q1175" s="11" t="n"/>
      <c r="S1175">
        <f>IF($A1175="","",IF($W1175=1,Settings!$C$6,Settings!$C$7)*1)</f>
        <v/>
      </c>
      <c r="U1175">
        <f>IF($A1175="","",IF(COUNTIF($A$2:$A1175,$A1175)=1,1,0))</f>
        <v/>
      </c>
      <c r="V1175">
        <f>IF($U1175=1,SUMPRODUCT(--($X$2:$X$3001&lt;$X1175))+1,"")</f>
        <v/>
      </c>
      <c r="W1175">
        <f>IF($A1175="","",IF(OR($T1175=TRUE(),$T1175="TRUE"),1,0))</f>
        <v/>
      </c>
      <c r="X1175">
        <f>IF($U1175=1,IFERROR(IF(VALUE($A1175)&lt;100000000,VALUE($A1175),1000000000),IFERROR(IF(VALUE(MID($A1175,2,20))&lt;100000000,VALUE(MID($A1175,2,20)),1000000000),1000000000))+ROW()/100000,"")</f>
        <v/>
      </c>
    </row>
    <row r="1176">
      <c r="F1176" s="7">
        <f>IF($A1176="","",E1176*N1176/100)</f>
        <v/>
      </c>
      <c r="J1176" s="7" t="n"/>
      <c r="K1176" s="7">
        <f>IF($A1176="","",S1176*N1176)</f>
        <v/>
      </c>
      <c r="L1176" s="7">
        <f>IF($A1176="","",N1176-K1176)</f>
        <v/>
      </c>
      <c r="M1176" s="7">
        <f>IF($A1176="","",L1176-F1176)</f>
        <v/>
      </c>
      <c r="N1176" s="7" t="n"/>
      <c r="Q1176" s="11" t="n"/>
      <c r="S1176">
        <f>IF($A1176="","",IF($W1176=1,Settings!$C$6,Settings!$C$7)*1)</f>
        <v/>
      </c>
      <c r="U1176">
        <f>IF($A1176="","",IF(COUNTIF($A$2:$A1176,$A1176)=1,1,0))</f>
        <v/>
      </c>
      <c r="V1176">
        <f>IF($U1176=1,SUMPRODUCT(--($X$2:$X$3001&lt;$X1176))+1,"")</f>
        <v/>
      </c>
      <c r="W1176">
        <f>IF($A1176="","",IF(OR($T1176=TRUE(),$T1176="TRUE"),1,0))</f>
        <v/>
      </c>
      <c r="X1176">
        <f>IF($U1176=1,IFERROR(IF(VALUE($A1176)&lt;100000000,VALUE($A1176),1000000000),IFERROR(IF(VALUE(MID($A1176,2,20))&lt;100000000,VALUE(MID($A1176,2,20)),1000000000),1000000000))+ROW()/100000,"")</f>
        <v/>
      </c>
    </row>
    <row r="1177">
      <c r="F1177" s="7">
        <f>IF($A1177="","",E1177*N1177/100)</f>
        <v/>
      </c>
      <c r="J1177" s="7" t="n"/>
      <c r="K1177" s="7">
        <f>IF($A1177="","",S1177*N1177)</f>
        <v/>
      </c>
      <c r="L1177" s="7">
        <f>IF($A1177="","",N1177-K1177)</f>
        <v/>
      </c>
      <c r="M1177" s="7">
        <f>IF($A1177="","",L1177-F1177)</f>
        <v/>
      </c>
      <c r="N1177" s="7" t="n"/>
      <c r="Q1177" s="11" t="n"/>
      <c r="S1177">
        <f>IF($A1177="","",IF($W1177=1,Settings!$C$6,Settings!$C$7)*1)</f>
        <v/>
      </c>
      <c r="U1177">
        <f>IF($A1177="","",IF(COUNTIF($A$2:$A1177,$A1177)=1,1,0))</f>
        <v/>
      </c>
      <c r="V1177">
        <f>IF($U1177=1,SUMPRODUCT(--($X$2:$X$3001&lt;$X1177))+1,"")</f>
        <v/>
      </c>
      <c r="W1177">
        <f>IF($A1177="","",IF(OR($T1177=TRUE(),$T1177="TRUE"),1,0))</f>
        <v/>
      </c>
      <c r="X1177">
        <f>IF($U1177=1,IFERROR(IF(VALUE($A1177)&lt;100000000,VALUE($A1177),1000000000),IFERROR(IF(VALUE(MID($A1177,2,20))&lt;100000000,VALUE(MID($A1177,2,20)),1000000000),1000000000))+ROW()/100000,"")</f>
        <v/>
      </c>
    </row>
    <row r="1178">
      <c r="F1178" s="7">
        <f>IF($A1178="","",E1178*N1178/100)</f>
        <v/>
      </c>
      <c r="J1178" s="7" t="n"/>
      <c r="K1178" s="7">
        <f>IF($A1178="","",S1178*N1178)</f>
        <v/>
      </c>
      <c r="L1178" s="7">
        <f>IF($A1178="","",N1178-K1178)</f>
        <v/>
      </c>
      <c r="M1178" s="7">
        <f>IF($A1178="","",L1178-F1178)</f>
        <v/>
      </c>
      <c r="N1178" s="7" t="n"/>
      <c r="Q1178" s="11" t="n"/>
      <c r="S1178">
        <f>IF($A1178="","",IF($W1178=1,Settings!$C$6,Settings!$C$7)*1)</f>
        <v/>
      </c>
      <c r="U1178">
        <f>IF($A1178="","",IF(COUNTIF($A$2:$A1178,$A1178)=1,1,0))</f>
        <v/>
      </c>
      <c r="V1178">
        <f>IF($U1178=1,SUMPRODUCT(--($X$2:$X$3001&lt;$X1178))+1,"")</f>
        <v/>
      </c>
      <c r="W1178">
        <f>IF($A1178="","",IF(OR($T1178=TRUE(),$T1178="TRUE"),1,0))</f>
        <v/>
      </c>
      <c r="X1178">
        <f>IF($U1178=1,IFERROR(IF(VALUE($A1178)&lt;100000000,VALUE($A1178),1000000000),IFERROR(IF(VALUE(MID($A1178,2,20))&lt;100000000,VALUE(MID($A1178,2,20)),1000000000),1000000000))+ROW()/100000,"")</f>
        <v/>
      </c>
    </row>
    <row r="1179">
      <c r="F1179" s="7">
        <f>IF($A1179="","",E1179*N1179/100)</f>
        <v/>
      </c>
      <c r="J1179" s="7" t="n"/>
      <c r="K1179" s="7">
        <f>IF($A1179="","",S1179*N1179)</f>
        <v/>
      </c>
      <c r="L1179" s="7">
        <f>IF($A1179="","",N1179-K1179)</f>
        <v/>
      </c>
      <c r="M1179" s="7">
        <f>IF($A1179="","",L1179-F1179)</f>
        <v/>
      </c>
      <c r="N1179" s="7" t="n"/>
      <c r="Q1179" s="11" t="n"/>
      <c r="S1179">
        <f>IF($A1179="","",IF($W1179=1,Settings!$C$6,Settings!$C$7)*1)</f>
        <v/>
      </c>
      <c r="U1179">
        <f>IF($A1179="","",IF(COUNTIF($A$2:$A1179,$A1179)=1,1,0))</f>
        <v/>
      </c>
      <c r="V1179">
        <f>IF($U1179=1,SUMPRODUCT(--($X$2:$X$3001&lt;$X1179))+1,"")</f>
        <v/>
      </c>
      <c r="W1179">
        <f>IF($A1179="","",IF(OR($T1179=TRUE(),$T1179="TRUE"),1,0))</f>
        <v/>
      </c>
      <c r="X1179">
        <f>IF($U1179=1,IFERROR(IF(VALUE($A1179)&lt;100000000,VALUE($A1179),1000000000),IFERROR(IF(VALUE(MID($A1179,2,20))&lt;100000000,VALUE(MID($A1179,2,20)),1000000000),1000000000))+ROW()/100000,"")</f>
        <v/>
      </c>
    </row>
    <row r="1180">
      <c r="F1180" s="7">
        <f>IF($A1180="","",E1180*N1180/100)</f>
        <v/>
      </c>
      <c r="J1180" s="7" t="n"/>
      <c r="K1180" s="7">
        <f>IF($A1180="","",S1180*N1180)</f>
        <v/>
      </c>
      <c r="L1180" s="7">
        <f>IF($A1180="","",N1180-K1180)</f>
        <v/>
      </c>
      <c r="M1180" s="7">
        <f>IF($A1180="","",L1180-F1180)</f>
        <v/>
      </c>
      <c r="N1180" s="7" t="n"/>
      <c r="Q1180" s="11" t="n"/>
      <c r="S1180">
        <f>IF($A1180="","",IF($W1180=1,Settings!$C$6,Settings!$C$7)*1)</f>
        <v/>
      </c>
      <c r="U1180">
        <f>IF($A1180="","",IF(COUNTIF($A$2:$A1180,$A1180)=1,1,0))</f>
        <v/>
      </c>
      <c r="V1180">
        <f>IF($U1180=1,SUMPRODUCT(--($X$2:$X$3001&lt;$X1180))+1,"")</f>
        <v/>
      </c>
      <c r="W1180">
        <f>IF($A1180="","",IF(OR($T1180=TRUE(),$T1180="TRUE"),1,0))</f>
        <v/>
      </c>
      <c r="X1180">
        <f>IF($U1180=1,IFERROR(IF(VALUE($A1180)&lt;100000000,VALUE($A1180),1000000000),IFERROR(IF(VALUE(MID($A1180,2,20))&lt;100000000,VALUE(MID($A1180,2,20)),1000000000),1000000000))+ROW()/100000,"")</f>
        <v/>
      </c>
    </row>
    <row r="1181">
      <c r="F1181" s="7">
        <f>IF($A1181="","",E1181*N1181/100)</f>
        <v/>
      </c>
      <c r="J1181" s="7" t="n"/>
      <c r="K1181" s="7">
        <f>IF($A1181="","",S1181*N1181)</f>
        <v/>
      </c>
      <c r="L1181" s="7">
        <f>IF($A1181="","",N1181-K1181)</f>
        <v/>
      </c>
      <c r="M1181" s="7">
        <f>IF($A1181="","",L1181-F1181)</f>
        <v/>
      </c>
      <c r="N1181" s="7" t="n"/>
      <c r="Q1181" s="11" t="n"/>
      <c r="S1181">
        <f>IF($A1181="","",IF($W1181=1,Settings!$C$6,Settings!$C$7)*1)</f>
        <v/>
      </c>
      <c r="U1181">
        <f>IF($A1181="","",IF(COUNTIF($A$2:$A1181,$A1181)=1,1,0))</f>
        <v/>
      </c>
      <c r="V1181">
        <f>IF($U1181=1,SUMPRODUCT(--($X$2:$X$3001&lt;$X1181))+1,"")</f>
        <v/>
      </c>
      <c r="W1181">
        <f>IF($A1181="","",IF(OR($T1181=TRUE(),$T1181="TRUE"),1,0))</f>
        <v/>
      </c>
      <c r="X1181">
        <f>IF($U1181=1,IFERROR(IF(VALUE($A1181)&lt;100000000,VALUE($A1181),1000000000),IFERROR(IF(VALUE(MID($A1181,2,20))&lt;100000000,VALUE(MID($A1181,2,20)),1000000000),1000000000))+ROW()/100000,"")</f>
        <v/>
      </c>
    </row>
    <row r="1182">
      <c r="F1182" s="7">
        <f>IF($A1182="","",E1182*N1182/100)</f>
        <v/>
      </c>
      <c r="J1182" s="7" t="n"/>
      <c r="K1182" s="7">
        <f>IF($A1182="","",S1182*N1182)</f>
        <v/>
      </c>
      <c r="L1182" s="7">
        <f>IF($A1182="","",N1182-K1182)</f>
        <v/>
      </c>
      <c r="M1182" s="7">
        <f>IF($A1182="","",L1182-F1182)</f>
        <v/>
      </c>
      <c r="N1182" s="7" t="n"/>
      <c r="Q1182" s="11" t="n"/>
      <c r="S1182">
        <f>IF($A1182="","",IF($W1182=1,Settings!$C$6,Settings!$C$7)*1)</f>
        <v/>
      </c>
      <c r="U1182">
        <f>IF($A1182="","",IF(COUNTIF($A$2:$A1182,$A1182)=1,1,0))</f>
        <v/>
      </c>
      <c r="V1182">
        <f>IF($U1182=1,SUMPRODUCT(--($X$2:$X$3001&lt;$X1182))+1,"")</f>
        <v/>
      </c>
      <c r="W1182">
        <f>IF($A1182="","",IF(OR($T1182=TRUE(),$T1182="TRUE"),1,0))</f>
        <v/>
      </c>
      <c r="X1182">
        <f>IF($U1182=1,IFERROR(IF(VALUE($A1182)&lt;100000000,VALUE($A1182),1000000000),IFERROR(IF(VALUE(MID($A1182,2,20))&lt;100000000,VALUE(MID($A1182,2,20)),1000000000),1000000000))+ROW()/100000,"")</f>
        <v/>
      </c>
    </row>
    <row r="1183">
      <c r="F1183" s="7">
        <f>IF($A1183="","",E1183*N1183/100)</f>
        <v/>
      </c>
      <c r="J1183" s="7" t="n"/>
      <c r="K1183" s="7">
        <f>IF($A1183="","",S1183*N1183)</f>
        <v/>
      </c>
      <c r="L1183" s="7">
        <f>IF($A1183="","",N1183-K1183)</f>
        <v/>
      </c>
      <c r="M1183" s="7">
        <f>IF($A1183="","",L1183-F1183)</f>
        <v/>
      </c>
      <c r="N1183" s="7" t="n"/>
      <c r="Q1183" s="11" t="n"/>
      <c r="S1183">
        <f>IF($A1183="","",IF($W1183=1,Settings!$C$6,Settings!$C$7)*1)</f>
        <v/>
      </c>
      <c r="U1183">
        <f>IF($A1183="","",IF(COUNTIF($A$2:$A1183,$A1183)=1,1,0))</f>
        <v/>
      </c>
      <c r="V1183">
        <f>IF($U1183=1,SUMPRODUCT(--($X$2:$X$3001&lt;$X1183))+1,"")</f>
        <v/>
      </c>
      <c r="W1183">
        <f>IF($A1183="","",IF(OR($T1183=TRUE(),$T1183="TRUE"),1,0))</f>
        <v/>
      </c>
      <c r="X1183">
        <f>IF($U1183=1,IFERROR(IF(VALUE($A1183)&lt;100000000,VALUE($A1183),1000000000),IFERROR(IF(VALUE(MID($A1183,2,20))&lt;100000000,VALUE(MID($A1183,2,20)),1000000000),1000000000))+ROW()/100000,"")</f>
        <v/>
      </c>
    </row>
    <row r="1184">
      <c r="F1184" s="7">
        <f>IF($A1184="","",E1184*N1184/100)</f>
        <v/>
      </c>
      <c r="J1184" s="7" t="n"/>
      <c r="K1184" s="7">
        <f>IF($A1184="","",S1184*N1184)</f>
        <v/>
      </c>
      <c r="L1184" s="7">
        <f>IF($A1184="","",N1184-K1184)</f>
        <v/>
      </c>
      <c r="M1184" s="7">
        <f>IF($A1184="","",L1184-F1184)</f>
        <v/>
      </c>
      <c r="N1184" s="7" t="n"/>
      <c r="Q1184" s="11" t="n"/>
      <c r="S1184">
        <f>IF($A1184="","",IF($W1184=1,Settings!$C$6,Settings!$C$7)*1)</f>
        <v/>
      </c>
      <c r="U1184">
        <f>IF($A1184="","",IF(COUNTIF($A$2:$A1184,$A1184)=1,1,0))</f>
        <v/>
      </c>
      <c r="V1184">
        <f>IF($U1184=1,SUMPRODUCT(--($X$2:$X$3001&lt;$X1184))+1,"")</f>
        <v/>
      </c>
      <c r="W1184">
        <f>IF($A1184="","",IF(OR($T1184=TRUE(),$T1184="TRUE"),1,0))</f>
        <v/>
      </c>
      <c r="X1184">
        <f>IF($U1184=1,IFERROR(IF(VALUE($A1184)&lt;100000000,VALUE($A1184),1000000000),IFERROR(IF(VALUE(MID($A1184,2,20))&lt;100000000,VALUE(MID($A1184,2,20)),1000000000),1000000000))+ROW()/100000,"")</f>
        <v/>
      </c>
    </row>
    <row r="1185">
      <c r="F1185" s="7">
        <f>IF($A1185="","",E1185*N1185/100)</f>
        <v/>
      </c>
      <c r="J1185" s="7" t="n"/>
      <c r="K1185" s="7">
        <f>IF($A1185="","",S1185*N1185)</f>
        <v/>
      </c>
      <c r="L1185" s="7">
        <f>IF($A1185="","",N1185-K1185)</f>
        <v/>
      </c>
      <c r="M1185" s="7">
        <f>IF($A1185="","",L1185-F1185)</f>
        <v/>
      </c>
      <c r="N1185" s="7" t="n"/>
      <c r="Q1185" s="11" t="n"/>
      <c r="S1185">
        <f>IF($A1185="","",IF($W1185=1,Settings!$C$6,Settings!$C$7)*1)</f>
        <v/>
      </c>
      <c r="U1185">
        <f>IF($A1185="","",IF(COUNTIF($A$2:$A1185,$A1185)=1,1,0))</f>
        <v/>
      </c>
      <c r="V1185">
        <f>IF($U1185=1,SUMPRODUCT(--($X$2:$X$3001&lt;$X1185))+1,"")</f>
        <v/>
      </c>
      <c r="W1185">
        <f>IF($A1185="","",IF(OR($T1185=TRUE(),$T1185="TRUE"),1,0))</f>
        <v/>
      </c>
      <c r="X1185">
        <f>IF($U1185=1,IFERROR(IF(VALUE($A1185)&lt;100000000,VALUE($A1185),1000000000),IFERROR(IF(VALUE(MID($A1185,2,20))&lt;100000000,VALUE(MID($A1185,2,20)),1000000000),1000000000))+ROW()/100000,"")</f>
        <v/>
      </c>
    </row>
    <row r="1186">
      <c r="F1186" s="7">
        <f>IF($A1186="","",E1186*N1186/100)</f>
        <v/>
      </c>
      <c r="J1186" s="7" t="n"/>
      <c r="K1186" s="7">
        <f>IF($A1186="","",S1186*N1186)</f>
        <v/>
      </c>
      <c r="L1186" s="7">
        <f>IF($A1186="","",N1186-K1186)</f>
        <v/>
      </c>
      <c r="M1186" s="7">
        <f>IF($A1186="","",L1186-F1186)</f>
        <v/>
      </c>
      <c r="N1186" s="7" t="n"/>
      <c r="Q1186" s="11" t="n"/>
      <c r="S1186">
        <f>IF($A1186="","",IF($W1186=1,Settings!$C$6,Settings!$C$7)*1)</f>
        <v/>
      </c>
      <c r="U1186">
        <f>IF($A1186="","",IF(COUNTIF($A$2:$A1186,$A1186)=1,1,0))</f>
        <v/>
      </c>
      <c r="V1186">
        <f>IF($U1186=1,SUMPRODUCT(--($X$2:$X$3001&lt;$X1186))+1,"")</f>
        <v/>
      </c>
      <c r="W1186">
        <f>IF($A1186="","",IF(OR($T1186=TRUE(),$T1186="TRUE"),1,0))</f>
        <v/>
      </c>
      <c r="X1186">
        <f>IF($U1186=1,IFERROR(IF(VALUE($A1186)&lt;100000000,VALUE($A1186),1000000000),IFERROR(IF(VALUE(MID($A1186,2,20))&lt;100000000,VALUE(MID($A1186,2,20)),1000000000),1000000000))+ROW()/100000,"")</f>
        <v/>
      </c>
    </row>
    <row r="1187">
      <c r="F1187" s="7">
        <f>IF($A1187="","",E1187*N1187/100)</f>
        <v/>
      </c>
      <c r="J1187" s="7" t="n"/>
      <c r="K1187" s="7">
        <f>IF($A1187="","",S1187*N1187)</f>
        <v/>
      </c>
      <c r="L1187" s="7">
        <f>IF($A1187="","",N1187-K1187)</f>
        <v/>
      </c>
      <c r="M1187" s="7">
        <f>IF($A1187="","",L1187-F1187)</f>
        <v/>
      </c>
      <c r="N1187" s="7" t="n"/>
      <c r="Q1187" s="11" t="n"/>
      <c r="S1187">
        <f>IF($A1187="","",IF($W1187=1,Settings!$C$6,Settings!$C$7)*1)</f>
        <v/>
      </c>
      <c r="U1187">
        <f>IF($A1187="","",IF(COUNTIF($A$2:$A1187,$A1187)=1,1,0))</f>
        <v/>
      </c>
      <c r="V1187">
        <f>IF($U1187=1,SUMPRODUCT(--($X$2:$X$3001&lt;$X1187))+1,"")</f>
        <v/>
      </c>
      <c r="W1187">
        <f>IF($A1187="","",IF(OR($T1187=TRUE(),$T1187="TRUE"),1,0))</f>
        <v/>
      </c>
      <c r="X1187">
        <f>IF($U1187=1,IFERROR(IF(VALUE($A1187)&lt;100000000,VALUE($A1187),1000000000),IFERROR(IF(VALUE(MID($A1187,2,20))&lt;100000000,VALUE(MID($A1187,2,20)),1000000000),1000000000))+ROW()/100000,"")</f>
        <v/>
      </c>
    </row>
    <row r="1188">
      <c r="F1188" s="7">
        <f>IF($A1188="","",E1188*N1188/100)</f>
        <v/>
      </c>
      <c r="J1188" s="7" t="n"/>
      <c r="K1188" s="7">
        <f>IF($A1188="","",S1188*N1188)</f>
        <v/>
      </c>
      <c r="L1188" s="7">
        <f>IF($A1188="","",N1188-K1188)</f>
        <v/>
      </c>
      <c r="M1188" s="7">
        <f>IF($A1188="","",L1188-F1188)</f>
        <v/>
      </c>
      <c r="N1188" s="7" t="n"/>
      <c r="Q1188" s="11" t="n"/>
      <c r="S1188">
        <f>IF($A1188="","",IF($W1188=1,Settings!$C$6,Settings!$C$7)*1)</f>
        <v/>
      </c>
      <c r="U1188">
        <f>IF($A1188="","",IF(COUNTIF($A$2:$A1188,$A1188)=1,1,0))</f>
        <v/>
      </c>
      <c r="V1188">
        <f>IF($U1188=1,SUMPRODUCT(--($X$2:$X$3001&lt;$X1188))+1,"")</f>
        <v/>
      </c>
      <c r="W1188">
        <f>IF($A1188="","",IF(OR($T1188=TRUE(),$T1188="TRUE"),1,0))</f>
        <v/>
      </c>
      <c r="X1188">
        <f>IF($U1188=1,IFERROR(IF(VALUE($A1188)&lt;100000000,VALUE($A1188),1000000000),IFERROR(IF(VALUE(MID($A1188,2,20))&lt;100000000,VALUE(MID($A1188,2,20)),1000000000),1000000000))+ROW()/100000,"")</f>
        <v/>
      </c>
    </row>
    <row r="1189">
      <c r="F1189" s="7">
        <f>IF($A1189="","",E1189*N1189/100)</f>
        <v/>
      </c>
      <c r="J1189" s="7" t="n"/>
      <c r="K1189" s="7">
        <f>IF($A1189="","",S1189*N1189)</f>
        <v/>
      </c>
      <c r="L1189" s="7">
        <f>IF($A1189="","",N1189-K1189)</f>
        <v/>
      </c>
      <c r="M1189" s="7">
        <f>IF($A1189="","",L1189-F1189)</f>
        <v/>
      </c>
      <c r="N1189" s="7" t="n"/>
      <c r="Q1189" s="11" t="n"/>
      <c r="S1189">
        <f>IF($A1189="","",IF($W1189=1,Settings!$C$6,Settings!$C$7)*1)</f>
        <v/>
      </c>
      <c r="U1189">
        <f>IF($A1189="","",IF(COUNTIF($A$2:$A1189,$A1189)=1,1,0))</f>
        <v/>
      </c>
      <c r="V1189">
        <f>IF($U1189=1,SUMPRODUCT(--($X$2:$X$3001&lt;$X1189))+1,"")</f>
        <v/>
      </c>
      <c r="W1189">
        <f>IF($A1189="","",IF(OR($T1189=TRUE(),$T1189="TRUE"),1,0))</f>
        <v/>
      </c>
      <c r="X1189">
        <f>IF($U1189=1,IFERROR(IF(VALUE($A1189)&lt;100000000,VALUE($A1189),1000000000),IFERROR(IF(VALUE(MID($A1189,2,20))&lt;100000000,VALUE(MID($A1189,2,20)),1000000000),1000000000))+ROW()/100000,"")</f>
        <v/>
      </c>
    </row>
    <row r="1190">
      <c r="F1190" s="7">
        <f>IF($A1190="","",E1190*N1190/100)</f>
        <v/>
      </c>
      <c r="J1190" s="7" t="n"/>
      <c r="K1190" s="7">
        <f>IF($A1190="","",S1190*N1190)</f>
        <v/>
      </c>
      <c r="L1190" s="7">
        <f>IF($A1190="","",N1190-K1190)</f>
        <v/>
      </c>
      <c r="M1190" s="7">
        <f>IF($A1190="","",L1190-F1190)</f>
        <v/>
      </c>
      <c r="N1190" s="7" t="n"/>
      <c r="Q1190" s="11" t="n"/>
      <c r="S1190">
        <f>IF($A1190="","",IF($W1190=1,Settings!$C$6,Settings!$C$7)*1)</f>
        <v/>
      </c>
      <c r="U1190">
        <f>IF($A1190="","",IF(COUNTIF($A$2:$A1190,$A1190)=1,1,0))</f>
        <v/>
      </c>
      <c r="V1190">
        <f>IF($U1190=1,SUMPRODUCT(--($X$2:$X$3001&lt;$X1190))+1,"")</f>
        <v/>
      </c>
      <c r="W1190">
        <f>IF($A1190="","",IF(OR($T1190=TRUE(),$T1190="TRUE"),1,0))</f>
        <v/>
      </c>
      <c r="X1190">
        <f>IF($U1190=1,IFERROR(IF(VALUE($A1190)&lt;100000000,VALUE($A1190),1000000000),IFERROR(IF(VALUE(MID($A1190,2,20))&lt;100000000,VALUE(MID($A1190,2,20)),1000000000),1000000000))+ROW()/100000,"")</f>
        <v/>
      </c>
    </row>
    <row r="1191">
      <c r="F1191" s="7">
        <f>IF($A1191="","",E1191*N1191/100)</f>
        <v/>
      </c>
      <c r="J1191" s="7" t="n"/>
      <c r="K1191" s="7">
        <f>IF($A1191="","",S1191*N1191)</f>
        <v/>
      </c>
      <c r="L1191" s="7">
        <f>IF($A1191="","",N1191-K1191)</f>
        <v/>
      </c>
      <c r="M1191" s="7">
        <f>IF($A1191="","",L1191-F1191)</f>
        <v/>
      </c>
      <c r="N1191" s="7" t="n"/>
      <c r="Q1191" s="11" t="n"/>
      <c r="S1191">
        <f>IF($A1191="","",IF($W1191=1,Settings!$C$6,Settings!$C$7)*1)</f>
        <v/>
      </c>
      <c r="U1191">
        <f>IF($A1191="","",IF(COUNTIF($A$2:$A1191,$A1191)=1,1,0))</f>
        <v/>
      </c>
      <c r="V1191">
        <f>IF($U1191=1,SUMPRODUCT(--($X$2:$X$3001&lt;$X1191))+1,"")</f>
        <v/>
      </c>
      <c r="W1191">
        <f>IF($A1191="","",IF(OR($T1191=TRUE(),$T1191="TRUE"),1,0))</f>
        <v/>
      </c>
      <c r="X1191">
        <f>IF($U1191=1,IFERROR(IF(VALUE($A1191)&lt;100000000,VALUE($A1191),1000000000),IFERROR(IF(VALUE(MID($A1191,2,20))&lt;100000000,VALUE(MID($A1191,2,20)),1000000000),1000000000))+ROW()/100000,"")</f>
        <v/>
      </c>
    </row>
    <row r="1192">
      <c r="F1192" s="7">
        <f>IF($A1192="","",E1192*N1192/100)</f>
        <v/>
      </c>
      <c r="J1192" s="7" t="n"/>
      <c r="K1192" s="7">
        <f>IF($A1192="","",S1192*N1192)</f>
        <v/>
      </c>
      <c r="L1192" s="7">
        <f>IF($A1192="","",N1192-K1192)</f>
        <v/>
      </c>
      <c r="M1192" s="7">
        <f>IF($A1192="","",L1192-F1192)</f>
        <v/>
      </c>
      <c r="N1192" s="7" t="n"/>
      <c r="Q1192" s="11" t="n"/>
      <c r="S1192">
        <f>IF($A1192="","",IF($W1192=1,Settings!$C$6,Settings!$C$7)*1)</f>
        <v/>
      </c>
      <c r="U1192">
        <f>IF($A1192="","",IF(COUNTIF($A$2:$A1192,$A1192)=1,1,0))</f>
        <v/>
      </c>
      <c r="V1192">
        <f>IF($U1192=1,SUMPRODUCT(--($X$2:$X$3001&lt;$X1192))+1,"")</f>
        <v/>
      </c>
      <c r="W1192">
        <f>IF($A1192="","",IF(OR($T1192=TRUE(),$T1192="TRUE"),1,0))</f>
        <v/>
      </c>
      <c r="X1192">
        <f>IF($U1192=1,IFERROR(IF(VALUE($A1192)&lt;100000000,VALUE($A1192),1000000000),IFERROR(IF(VALUE(MID($A1192,2,20))&lt;100000000,VALUE(MID($A1192,2,20)),1000000000),1000000000))+ROW()/100000,"")</f>
        <v/>
      </c>
    </row>
    <row r="1193">
      <c r="F1193" s="7">
        <f>IF($A1193="","",E1193*N1193/100)</f>
        <v/>
      </c>
      <c r="J1193" s="7" t="n"/>
      <c r="K1193" s="7">
        <f>IF($A1193="","",S1193*N1193)</f>
        <v/>
      </c>
      <c r="L1193" s="7">
        <f>IF($A1193="","",N1193-K1193)</f>
        <v/>
      </c>
      <c r="M1193" s="7">
        <f>IF($A1193="","",L1193-F1193)</f>
        <v/>
      </c>
      <c r="N1193" s="7" t="n"/>
      <c r="Q1193" s="11" t="n"/>
      <c r="S1193">
        <f>IF($A1193="","",IF($W1193=1,Settings!$C$6,Settings!$C$7)*1)</f>
        <v/>
      </c>
      <c r="U1193">
        <f>IF($A1193="","",IF(COUNTIF($A$2:$A1193,$A1193)=1,1,0))</f>
        <v/>
      </c>
      <c r="V1193">
        <f>IF($U1193=1,SUMPRODUCT(--($X$2:$X$3001&lt;$X1193))+1,"")</f>
        <v/>
      </c>
      <c r="W1193">
        <f>IF($A1193="","",IF(OR($T1193=TRUE(),$T1193="TRUE"),1,0))</f>
        <v/>
      </c>
      <c r="X1193">
        <f>IF($U1193=1,IFERROR(IF(VALUE($A1193)&lt;100000000,VALUE($A1193),1000000000),IFERROR(IF(VALUE(MID($A1193,2,20))&lt;100000000,VALUE(MID($A1193,2,20)),1000000000),1000000000))+ROW()/100000,"")</f>
        <v/>
      </c>
    </row>
    <row r="1194">
      <c r="F1194" s="7">
        <f>IF($A1194="","",E1194*N1194/100)</f>
        <v/>
      </c>
      <c r="J1194" s="7" t="n"/>
      <c r="K1194" s="7">
        <f>IF($A1194="","",S1194*N1194)</f>
        <v/>
      </c>
      <c r="L1194" s="7">
        <f>IF($A1194="","",N1194-K1194)</f>
        <v/>
      </c>
      <c r="M1194" s="7">
        <f>IF($A1194="","",L1194-F1194)</f>
        <v/>
      </c>
      <c r="N1194" s="7" t="n"/>
      <c r="Q1194" s="11" t="n"/>
      <c r="S1194">
        <f>IF($A1194="","",IF($W1194=1,Settings!$C$6,Settings!$C$7)*1)</f>
        <v/>
      </c>
      <c r="U1194">
        <f>IF($A1194="","",IF(COUNTIF($A$2:$A1194,$A1194)=1,1,0))</f>
        <v/>
      </c>
      <c r="V1194">
        <f>IF($U1194=1,SUMPRODUCT(--($X$2:$X$3001&lt;$X1194))+1,"")</f>
        <v/>
      </c>
      <c r="W1194">
        <f>IF($A1194="","",IF(OR($T1194=TRUE(),$T1194="TRUE"),1,0))</f>
        <v/>
      </c>
      <c r="X1194">
        <f>IF($U1194=1,IFERROR(IF(VALUE($A1194)&lt;100000000,VALUE($A1194),1000000000),IFERROR(IF(VALUE(MID($A1194,2,20))&lt;100000000,VALUE(MID($A1194,2,20)),1000000000),1000000000))+ROW()/100000,"")</f>
        <v/>
      </c>
    </row>
    <row r="1195">
      <c r="F1195" s="7">
        <f>IF($A1195="","",E1195*N1195/100)</f>
        <v/>
      </c>
      <c r="J1195" s="7" t="n"/>
      <c r="K1195" s="7">
        <f>IF($A1195="","",S1195*N1195)</f>
        <v/>
      </c>
      <c r="L1195" s="7">
        <f>IF($A1195="","",N1195-K1195)</f>
        <v/>
      </c>
      <c r="M1195" s="7">
        <f>IF($A1195="","",L1195-F1195)</f>
        <v/>
      </c>
      <c r="N1195" s="7" t="n"/>
      <c r="Q1195" s="11" t="n"/>
      <c r="S1195">
        <f>IF($A1195="","",IF($W1195=1,Settings!$C$6,Settings!$C$7)*1)</f>
        <v/>
      </c>
      <c r="U1195">
        <f>IF($A1195="","",IF(COUNTIF($A$2:$A1195,$A1195)=1,1,0))</f>
        <v/>
      </c>
      <c r="V1195">
        <f>IF($U1195=1,SUMPRODUCT(--($X$2:$X$3001&lt;$X1195))+1,"")</f>
        <v/>
      </c>
      <c r="W1195">
        <f>IF($A1195="","",IF(OR($T1195=TRUE(),$T1195="TRUE"),1,0))</f>
        <v/>
      </c>
      <c r="X1195">
        <f>IF($U1195=1,IFERROR(IF(VALUE($A1195)&lt;100000000,VALUE($A1195),1000000000),IFERROR(IF(VALUE(MID($A1195,2,20))&lt;100000000,VALUE(MID($A1195,2,20)),1000000000),1000000000))+ROW()/100000,"")</f>
        <v/>
      </c>
    </row>
    <row r="1196">
      <c r="F1196" s="7">
        <f>IF($A1196="","",E1196*N1196/100)</f>
        <v/>
      </c>
      <c r="J1196" s="7" t="n"/>
      <c r="K1196" s="7">
        <f>IF($A1196="","",S1196*N1196)</f>
        <v/>
      </c>
      <c r="L1196" s="7">
        <f>IF($A1196="","",N1196-K1196)</f>
        <v/>
      </c>
      <c r="M1196" s="7">
        <f>IF($A1196="","",L1196-F1196)</f>
        <v/>
      </c>
      <c r="N1196" s="7" t="n"/>
      <c r="Q1196" s="11" t="n"/>
      <c r="S1196">
        <f>IF($A1196="","",IF($W1196=1,Settings!$C$6,Settings!$C$7)*1)</f>
        <v/>
      </c>
      <c r="U1196">
        <f>IF($A1196="","",IF(COUNTIF($A$2:$A1196,$A1196)=1,1,0))</f>
        <v/>
      </c>
      <c r="V1196">
        <f>IF($U1196=1,SUMPRODUCT(--($X$2:$X$3001&lt;$X1196))+1,"")</f>
        <v/>
      </c>
      <c r="W1196">
        <f>IF($A1196="","",IF(OR($T1196=TRUE(),$T1196="TRUE"),1,0))</f>
        <v/>
      </c>
      <c r="X1196">
        <f>IF($U1196=1,IFERROR(IF(VALUE($A1196)&lt;100000000,VALUE($A1196),1000000000),IFERROR(IF(VALUE(MID($A1196,2,20))&lt;100000000,VALUE(MID($A1196,2,20)),1000000000),1000000000))+ROW()/100000,"")</f>
        <v/>
      </c>
    </row>
    <row r="1197">
      <c r="F1197" s="7">
        <f>IF($A1197="","",E1197*N1197/100)</f>
        <v/>
      </c>
      <c r="J1197" s="7" t="n"/>
      <c r="K1197" s="7">
        <f>IF($A1197="","",S1197*N1197)</f>
        <v/>
      </c>
      <c r="L1197" s="7">
        <f>IF($A1197="","",N1197-K1197)</f>
        <v/>
      </c>
      <c r="M1197" s="7">
        <f>IF($A1197="","",L1197-F1197)</f>
        <v/>
      </c>
      <c r="N1197" s="7" t="n"/>
      <c r="Q1197" s="11" t="n"/>
      <c r="S1197">
        <f>IF($A1197="","",IF($W1197=1,Settings!$C$6,Settings!$C$7)*1)</f>
        <v/>
      </c>
      <c r="U1197">
        <f>IF($A1197="","",IF(COUNTIF($A$2:$A1197,$A1197)=1,1,0))</f>
        <v/>
      </c>
      <c r="V1197">
        <f>IF($U1197=1,SUMPRODUCT(--($X$2:$X$3001&lt;$X1197))+1,"")</f>
        <v/>
      </c>
      <c r="W1197">
        <f>IF($A1197="","",IF(OR($T1197=TRUE(),$T1197="TRUE"),1,0))</f>
        <v/>
      </c>
      <c r="X1197">
        <f>IF($U1197=1,IFERROR(IF(VALUE($A1197)&lt;100000000,VALUE($A1197),1000000000),IFERROR(IF(VALUE(MID($A1197,2,20))&lt;100000000,VALUE(MID($A1197,2,20)),1000000000),1000000000))+ROW()/100000,"")</f>
        <v/>
      </c>
    </row>
    <row r="1198">
      <c r="F1198" s="7">
        <f>IF($A1198="","",E1198*N1198/100)</f>
        <v/>
      </c>
      <c r="J1198" s="7" t="n"/>
      <c r="K1198" s="7">
        <f>IF($A1198="","",S1198*N1198)</f>
        <v/>
      </c>
      <c r="L1198" s="7">
        <f>IF($A1198="","",N1198-K1198)</f>
        <v/>
      </c>
      <c r="M1198" s="7">
        <f>IF($A1198="","",L1198-F1198)</f>
        <v/>
      </c>
      <c r="N1198" s="7" t="n"/>
      <c r="Q1198" s="11" t="n"/>
      <c r="S1198">
        <f>IF($A1198="","",IF($W1198=1,Settings!$C$6,Settings!$C$7)*1)</f>
        <v/>
      </c>
      <c r="U1198">
        <f>IF($A1198="","",IF(COUNTIF($A$2:$A1198,$A1198)=1,1,0))</f>
        <v/>
      </c>
      <c r="V1198">
        <f>IF($U1198=1,SUMPRODUCT(--($X$2:$X$3001&lt;$X1198))+1,"")</f>
        <v/>
      </c>
      <c r="W1198">
        <f>IF($A1198="","",IF(OR($T1198=TRUE(),$T1198="TRUE"),1,0))</f>
        <v/>
      </c>
      <c r="X1198">
        <f>IF($U1198=1,IFERROR(IF(VALUE($A1198)&lt;100000000,VALUE($A1198),1000000000),IFERROR(IF(VALUE(MID($A1198,2,20))&lt;100000000,VALUE(MID($A1198,2,20)),1000000000),1000000000))+ROW()/100000,"")</f>
        <v/>
      </c>
    </row>
    <row r="1199">
      <c r="F1199" s="7">
        <f>IF($A1199="","",E1199*N1199/100)</f>
        <v/>
      </c>
      <c r="J1199" s="7" t="n"/>
      <c r="K1199" s="7">
        <f>IF($A1199="","",S1199*N1199)</f>
        <v/>
      </c>
      <c r="L1199" s="7">
        <f>IF($A1199="","",N1199-K1199)</f>
        <v/>
      </c>
      <c r="M1199" s="7">
        <f>IF($A1199="","",L1199-F1199)</f>
        <v/>
      </c>
      <c r="N1199" s="7" t="n"/>
      <c r="Q1199" s="11" t="n"/>
      <c r="S1199">
        <f>IF($A1199="","",IF($W1199=1,Settings!$C$6,Settings!$C$7)*1)</f>
        <v/>
      </c>
      <c r="U1199">
        <f>IF($A1199="","",IF(COUNTIF($A$2:$A1199,$A1199)=1,1,0))</f>
        <v/>
      </c>
      <c r="V1199">
        <f>IF($U1199=1,SUMPRODUCT(--($X$2:$X$3001&lt;$X1199))+1,"")</f>
        <v/>
      </c>
      <c r="W1199">
        <f>IF($A1199="","",IF(OR($T1199=TRUE(),$T1199="TRUE"),1,0))</f>
        <v/>
      </c>
      <c r="X1199">
        <f>IF($U1199=1,IFERROR(IF(VALUE($A1199)&lt;100000000,VALUE($A1199),1000000000),IFERROR(IF(VALUE(MID($A1199,2,20))&lt;100000000,VALUE(MID($A1199,2,20)),1000000000),1000000000))+ROW()/100000,"")</f>
        <v/>
      </c>
    </row>
    <row r="1200">
      <c r="F1200" s="7">
        <f>IF($A1200="","",E1200*N1200/100)</f>
        <v/>
      </c>
      <c r="J1200" s="7" t="n"/>
      <c r="K1200" s="7">
        <f>IF($A1200="","",S1200*N1200)</f>
        <v/>
      </c>
      <c r="L1200" s="7">
        <f>IF($A1200="","",N1200-K1200)</f>
        <v/>
      </c>
      <c r="M1200" s="7">
        <f>IF($A1200="","",L1200-F1200)</f>
        <v/>
      </c>
      <c r="N1200" s="7" t="n"/>
      <c r="Q1200" s="11" t="n"/>
      <c r="S1200">
        <f>IF($A1200="","",IF($W1200=1,Settings!$C$6,Settings!$C$7)*1)</f>
        <v/>
      </c>
      <c r="U1200">
        <f>IF($A1200="","",IF(COUNTIF($A$2:$A1200,$A1200)=1,1,0))</f>
        <v/>
      </c>
      <c r="V1200">
        <f>IF($U1200=1,SUMPRODUCT(--($X$2:$X$3001&lt;$X1200))+1,"")</f>
        <v/>
      </c>
      <c r="W1200">
        <f>IF($A1200="","",IF(OR($T1200=TRUE(),$T1200="TRUE"),1,0))</f>
        <v/>
      </c>
      <c r="X1200">
        <f>IF($U1200=1,IFERROR(IF(VALUE($A1200)&lt;100000000,VALUE($A1200),1000000000),IFERROR(IF(VALUE(MID($A1200,2,20))&lt;100000000,VALUE(MID($A1200,2,20)),1000000000),1000000000))+ROW()/100000,"")</f>
        <v/>
      </c>
    </row>
    <row r="1201">
      <c r="F1201" s="7">
        <f>IF($A1201="","",E1201*N1201/100)</f>
        <v/>
      </c>
      <c r="J1201" s="7" t="n"/>
      <c r="K1201" s="7">
        <f>IF($A1201="","",S1201*N1201)</f>
        <v/>
      </c>
      <c r="L1201" s="7">
        <f>IF($A1201="","",N1201-K1201)</f>
        <v/>
      </c>
      <c r="M1201" s="7">
        <f>IF($A1201="","",L1201-F1201)</f>
        <v/>
      </c>
      <c r="N1201" s="7" t="n"/>
      <c r="Q1201" s="11" t="n"/>
      <c r="S1201">
        <f>IF($A1201="","",IF($W1201=1,Settings!$C$6,Settings!$C$7)*1)</f>
        <v/>
      </c>
      <c r="U1201">
        <f>IF($A1201="","",IF(COUNTIF($A$2:$A1201,$A1201)=1,1,0))</f>
        <v/>
      </c>
      <c r="V1201">
        <f>IF($U1201=1,SUMPRODUCT(--($X$2:$X$3001&lt;$X1201))+1,"")</f>
        <v/>
      </c>
      <c r="W1201">
        <f>IF($A1201="","",IF(OR($T1201=TRUE(),$T1201="TRUE"),1,0))</f>
        <v/>
      </c>
      <c r="X1201">
        <f>IF($U1201=1,IFERROR(IF(VALUE($A1201)&lt;100000000,VALUE($A1201),1000000000),IFERROR(IF(VALUE(MID($A1201,2,20))&lt;100000000,VALUE(MID($A1201,2,20)),1000000000),1000000000))+ROW()/100000,"")</f>
        <v/>
      </c>
    </row>
    <row r="1202">
      <c r="F1202" s="7">
        <f>IF($A1202="","",E1202*N1202/100)</f>
        <v/>
      </c>
      <c r="J1202" s="7" t="n"/>
      <c r="K1202" s="7">
        <f>IF($A1202="","",S1202*N1202)</f>
        <v/>
      </c>
      <c r="L1202" s="7">
        <f>IF($A1202="","",N1202-K1202)</f>
        <v/>
      </c>
      <c r="M1202" s="7">
        <f>IF($A1202="","",L1202-F1202)</f>
        <v/>
      </c>
      <c r="N1202" s="7" t="n"/>
      <c r="Q1202" s="11" t="n"/>
      <c r="S1202">
        <f>IF($A1202="","",IF($W1202=1,Settings!$C$6,Settings!$C$7)*1)</f>
        <v/>
      </c>
      <c r="U1202">
        <f>IF($A1202="","",IF(COUNTIF($A$2:$A1202,$A1202)=1,1,0))</f>
        <v/>
      </c>
      <c r="V1202">
        <f>IF($U1202=1,SUMPRODUCT(--($X$2:$X$3001&lt;$X1202))+1,"")</f>
        <v/>
      </c>
      <c r="W1202">
        <f>IF($A1202="","",IF(OR($T1202=TRUE(),$T1202="TRUE"),1,0))</f>
        <v/>
      </c>
      <c r="X1202">
        <f>IF($U1202=1,IFERROR(IF(VALUE($A1202)&lt;100000000,VALUE($A1202),1000000000),IFERROR(IF(VALUE(MID($A1202,2,20))&lt;100000000,VALUE(MID($A1202,2,20)),1000000000),1000000000))+ROW()/100000,"")</f>
        <v/>
      </c>
    </row>
    <row r="1203">
      <c r="F1203" s="7">
        <f>IF($A1203="","",E1203*N1203/100)</f>
        <v/>
      </c>
      <c r="J1203" s="7" t="n"/>
      <c r="K1203" s="7">
        <f>IF($A1203="","",S1203*N1203)</f>
        <v/>
      </c>
      <c r="L1203" s="7">
        <f>IF($A1203="","",N1203-K1203)</f>
        <v/>
      </c>
      <c r="M1203" s="7">
        <f>IF($A1203="","",L1203-F1203)</f>
        <v/>
      </c>
      <c r="N1203" s="7" t="n"/>
      <c r="Q1203" s="11" t="n"/>
      <c r="S1203">
        <f>IF($A1203="","",IF($W1203=1,Settings!$C$6,Settings!$C$7)*1)</f>
        <v/>
      </c>
      <c r="U1203">
        <f>IF($A1203="","",IF(COUNTIF($A$2:$A1203,$A1203)=1,1,0))</f>
        <v/>
      </c>
      <c r="V1203">
        <f>IF($U1203=1,SUMPRODUCT(--($X$2:$X$3001&lt;$X1203))+1,"")</f>
        <v/>
      </c>
      <c r="W1203">
        <f>IF($A1203="","",IF(OR($T1203=TRUE(),$T1203="TRUE"),1,0))</f>
        <v/>
      </c>
      <c r="X1203">
        <f>IF($U1203=1,IFERROR(IF(VALUE($A1203)&lt;100000000,VALUE($A1203),1000000000),IFERROR(IF(VALUE(MID($A1203,2,20))&lt;100000000,VALUE(MID($A1203,2,20)),1000000000),1000000000))+ROW()/100000,"")</f>
        <v/>
      </c>
    </row>
    <row r="1204">
      <c r="F1204" s="7">
        <f>IF($A1204="","",E1204*N1204/100)</f>
        <v/>
      </c>
      <c r="J1204" s="7" t="n"/>
      <c r="K1204" s="7">
        <f>IF($A1204="","",S1204*N1204)</f>
        <v/>
      </c>
      <c r="L1204" s="7">
        <f>IF($A1204="","",N1204-K1204)</f>
        <v/>
      </c>
      <c r="M1204" s="7">
        <f>IF($A1204="","",L1204-F1204)</f>
        <v/>
      </c>
      <c r="N1204" s="7" t="n"/>
      <c r="Q1204" s="11" t="n"/>
      <c r="S1204">
        <f>IF($A1204="","",IF($W1204=1,Settings!$C$6,Settings!$C$7)*1)</f>
        <v/>
      </c>
      <c r="U1204">
        <f>IF($A1204="","",IF(COUNTIF($A$2:$A1204,$A1204)=1,1,0))</f>
        <v/>
      </c>
      <c r="V1204">
        <f>IF($U1204=1,SUMPRODUCT(--($X$2:$X$3001&lt;$X1204))+1,"")</f>
        <v/>
      </c>
      <c r="W1204">
        <f>IF($A1204="","",IF(OR($T1204=TRUE(),$T1204="TRUE"),1,0))</f>
        <v/>
      </c>
      <c r="X1204">
        <f>IF($U1204=1,IFERROR(IF(VALUE($A1204)&lt;100000000,VALUE($A1204),1000000000),IFERROR(IF(VALUE(MID($A1204,2,20))&lt;100000000,VALUE(MID($A1204,2,20)),1000000000),1000000000))+ROW()/100000,"")</f>
        <v/>
      </c>
    </row>
    <row r="1205">
      <c r="F1205" s="7">
        <f>IF($A1205="","",E1205*N1205/100)</f>
        <v/>
      </c>
      <c r="J1205" s="7" t="n"/>
      <c r="K1205" s="7">
        <f>IF($A1205="","",S1205*N1205)</f>
        <v/>
      </c>
      <c r="L1205" s="7">
        <f>IF($A1205="","",N1205-K1205)</f>
        <v/>
      </c>
      <c r="M1205" s="7">
        <f>IF($A1205="","",L1205-F1205)</f>
        <v/>
      </c>
      <c r="N1205" s="7" t="n"/>
      <c r="Q1205" s="11" t="n"/>
      <c r="S1205">
        <f>IF($A1205="","",IF($W1205=1,Settings!$C$6,Settings!$C$7)*1)</f>
        <v/>
      </c>
      <c r="U1205">
        <f>IF($A1205="","",IF(COUNTIF($A$2:$A1205,$A1205)=1,1,0))</f>
        <v/>
      </c>
      <c r="V1205">
        <f>IF($U1205=1,SUMPRODUCT(--($X$2:$X$3001&lt;$X1205))+1,"")</f>
        <v/>
      </c>
      <c r="W1205">
        <f>IF($A1205="","",IF(OR($T1205=TRUE(),$T1205="TRUE"),1,0))</f>
        <v/>
      </c>
      <c r="X1205">
        <f>IF($U1205=1,IFERROR(IF(VALUE($A1205)&lt;100000000,VALUE($A1205),1000000000),IFERROR(IF(VALUE(MID($A1205,2,20))&lt;100000000,VALUE(MID($A1205,2,20)),1000000000),1000000000))+ROW()/100000,"")</f>
        <v/>
      </c>
    </row>
    <row r="1206">
      <c r="F1206" s="7">
        <f>IF($A1206="","",E1206*N1206/100)</f>
        <v/>
      </c>
      <c r="J1206" s="7" t="n"/>
      <c r="K1206" s="7">
        <f>IF($A1206="","",S1206*N1206)</f>
        <v/>
      </c>
      <c r="L1206" s="7">
        <f>IF($A1206="","",N1206-K1206)</f>
        <v/>
      </c>
      <c r="M1206" s="7">
        <f>IF($A1206="","",L1206-F1206)</f>
        <v/>
      </c>
      <c r="N1206" s="7" t="n"/>
      <c r="Q1206" s="11" t="n"/>
      <c r="S1206">
        <f>IF($A1206="","",IF($W1206=1,Settings!$C$6,Settings!$C$7)*1)</f>
        <v/>
      </c>
      <c r="U1206">
        <f>IF($A1206="","",IF(COUNTIF($A$2:$A1206,$A1206)=1,1,0))</f>
        <v/>
      </c>
      <c r="V1206">
        <f>IF($U1206=1,SUMPRODUCT(--($X$2:$X$3001&lt;$X1206))+1,"")</f>
        <v/>
      </c>
      <c r="W1206">
        <f>IF($A1206="","",IF(OR($T1206=TRUE(),$T1206="TRUE"),1,0))</f>
        <v/>
      </c>
      <c r="X1206">
        <f>IF($U1206=1,IFERROR(IF(VALUE($A1206)&lt;100000000,VALUE($A1206),1000000000),IFERROR(IF(VALUE(MID($A1206,2,20))&lt;100000000,VALUE(MID($A1206,2,20)),1000000000),1000000000))+ROW()/100000,"")</f>
        <v/>
      </c>
    </row>
    <row r="1207">
      <c r="F1207" s="7">
        <f>IF($A1207="","",E1207*N1207/100)</f>
        <v/>
      </c>
      <c r="J1207" s="7" t="n"/>
      <c r="K1207" s="7">
        <f>IF($A1207="","",S1207*N1207)</f>
        <v/>
      </c>
      <c r="L1207" s="7">
        <f>IF($A1207="","",N1207-K1207)</f>
        <v/>
      </c>
      <c r="M1207" s="7">
        <f>IF($A1207="","",L1207-F1207)</f>
        <v/>
      </c>
      <c r="N1207" s="7" t="n"/>
      <c r="Q1207" s="11" t="n"/>
      <c r="S1207">
        <f>IF($A1207="","",IF($W1207=1,Settings!$C$6,Settings!$C$7)*1)</f>
        <v/>
      </c>
      <c r="U1207">
        <f>IF($A1207="","",IF(COUNTIF($A$2:$A1207,$A1207)=1,1,0))</f>
        <v/>
      </c>
      <c r="V1207">
        <f>IF($U1207=1,SUMPRODUCT(--($X$2:$X$3001&lt;$X1207))+1,"")</f>
        <v/>
      </c>
      <c r="W1207">
        <f>IF($A1207="","",IF(OR($T1207=TRUE(),$T1207="TRUE"),1,0))</f>
        <v/>
      </c>
      <c r="X1207">
        <f>IF($U1207=1,IFERROR(IF(VALUE($A1207)&lt;100000000,VALUE($A1207),1000000000),IFERROR(IF(VALUE(MID($A1207,2,20))&lt;100000000,VALUE(MID($A1207,2,20)),1000000000),1000000000))+ROW()/100000,"")</f>
        <v/>
      </c>
    </row>
    <row r="1208">
      <c r="F1208" s="7">
        <f>IF($A1208="","",E1208*N1208/100)</f>
        <v/>
      </c>
      <c r="J1208" s="7" t="n"/>
      <c r="K1208" s="7">
        <f>IF($A1208="","",S1208*N1208)</f>
        <v/>
      </c>
      <c r="L1208" s="7">
        <f>IF($A1208="","",N1208-K1208)</f>
        <v/>
      </c>
      <c r="M1208" s="7">
        <f>IF($A1208="","",L1208-F1208)</f>
        <v/>
      </c>
      <c r="N1208" s="7" t="n"/>
      <c r="Q1208" s="11" t="n"/>
      <c r="S1208">
        <f>IF($A1208="","",IF($W1208=1,Settings!$C$6,Settings!$C$7)*1)</f>
        <v/>
      </c>
      <c r="U1208">
        <f>IF($A1208="","",IF(COUNTIF($A$2:$A1208,$A1208)=1,1,0))</f>
        <v/>
      </c>
      <c r="V1208">
        <f>IF($U1208=1,SUMPRODUCT(--($X$2:$X$3001&lt;$X1208))+1,"")</f>
        <v/>
      </c>
      <c r="W1208">
        <f>IF($A1208="","",IF(OR($T1208=TRUE(),$T1208="TRUE"),1,0))</f>
        <v/>
      </c>
      <c r="X1208">
        <f>IF($U1208=1,IFERROR(IF(VALUE($A1208)&lt;100000000,VALUE($A1208),1000000000),IFERROR(IF(VALUE(MID($A1208,2,20))&lt;100000000,VALUE(MID($A1208,2,20)),1000000000),1000000000))+ROW()/100000,"")</f>
        <v/>
      </c>
    </row>
    <row r="1209">
      <c r="F1209" s="7">
        <f>IF($A1209="","",E1209*N1209/100)</f>
        <v/>
      </c>
      <c r="J1209" s="7" t="n"/>
      <c r="K1209" s="7">
        <f>IF($A1209="","",S1209*N1209)</f>
        <v/>
      </c>
      <c r="L1209" s="7">
        <f>IF($A1209="","",N1209-K1209)</f>
        <v/>
      </c>
      <c r="M1209" s="7">
        <f>IF($A1209="","",L1209-F1209)</f>
        <v/>
      </c>
      <c r="N1209" s="7" t="n"/>
      <c r="Q1209" s="11" t="n"/>
      <c r="S1209">
        <f>IF($A1209="","",IF($W1209=1,Settings!$C$6,Settings!$C$7)*1)</f>
        <v/>
      </c>
      <c r="U1209">
        <f>IF($A1209="","",IF(COUNTIF($A$2:$A1209,$A1209)=1,1,0))</f>
        <v/>
      </c>
      <c r="V1209">
        <f>IF($U1209=1,SUMPRODUCT(--($X$2:$X$3001&lt;$X1209))+1,"")</f>
        <v/>
      </c>
      <c r="W1209">
        <f>IF($A1209="","",IF(OR($T1209=TRUE(),$T1209="TRUE"),1,0))</f>
        <v/>
      </c>
      <c r="X1209">
        <f>IF($U1209=1,IFERROR(IF(VALUE($A1209)&lt;100000000,VALUE($A1209),1000000000),IFERROR(IF(VALUE(MID($A1209,2,20))&lt;100000000,VALUE(MID($A1209,2,20)),1000000000),1000000000))+ROW()/100000,"")</f>
        <v/>
      </c>
    </row>
    <row r="1210">
      <c r="F1210" s="7">
        <f>IF($A1210="","",E1210*N1210/100)</f>
        <v/>
      </c>
      <c r="J1210" s="7" t="n"/>
      <c r="K1210" s="7">
        <f>IF($A1210="","",S1210*N1210)</f>
        <v/>
      </c>
      <c r="L1210" s="7">
        <f>IF($A1210="","",N1210-K1210)</f>
        <v/>
      </c>
      <c r="M1210" s="7">
        <f>IF($A1210="","",L1210-F1210)</f>
        <v/>
      </c>
      <c r="N1210" s="7" t="n"/>
      <c r="Q1210" s="11" t="n"/>
      <c r="S1210">
        <f>IF($A1210="","",IF($W1210=1,Settings!$C$6,Settings!$C$7)*1)</f>
        <v/>
      </c>
      <c r="U1210">
        <f>IF($A1210="","",IF(COUNTIF($A$2:$A1210,$A1210)=1,1,0))</f>
        <v/>
      </c>
      <c r="V1210">
        <f>IF($U1210=1,SUMPRODUCT(--($X$2:$X$3001&lt;$X1210))+1,"")</f>
        <v/>
      </c>
      <c r="W1210">
        <f>IF($A1210="","",IF(OR($T1210=TRUE(),$T1210="TRUE"),1,0))</f>
        <v/>
      </c>
      <c r="X1210">
        <f>IF($U1210=1,IFERROR(IF(VALUE($A1210)&lt;100000000,VALUE($A1210),1000000000),IFERROR(IF(VALUE(MID($A1210,2,20))&lt;100000000,VALUE(MID($A1210,2,20)),1000000000),1000000000))+ROW()/100000,"")</f>
        <v/>
      </c>
    </row>
    <row r="1211">
      <c r="F1211" s="7">
        <f>IF($A1211="","",E1211*N1211/100)</f>
        <v/>
      </c>
      <c r="J1211" s="7" t="n"/>
      <c r="K1211" s="7">
        <f>IF($A1211="","",S1211*N1211)</f>
        <v/>
      </c>
      <c r="L1211" s="7">
        <f>IF($A1211="","",N1211-K1211)</f>
        <v/>
      </c>
      <c r="M1211" s="7">
        <f>IF($A1211="","",L1211-F1211)</f>
        <v/>
      </c>
      <c r="N1211" s="7" t="n"/>
      <c r="Q1211" s="11" t="n"/>
      <c r="S1211">
        <f>IF($A1211="","",IF($W1211=1,Settings!$C$6,Settings!$C$7)*1)</f>
        <v/>
      </c>
      <c r="U1211">
        <f>IF($A1211="","",IF(COUNTIF($A$2:$A1211,$A1211)=1,1,0))</f>
        <v/>
      </c>
      <c r="V1211">
        <f>IF($U1211=1,SUMPRODUCT(--($X$2:$X$3001&lt;$X1211))+1,"")</f>
        <v/>
      </c>
      <c r="W1211">
        <f>IF($A1211="","",IF(OR($T1211=TRUE(),$T1211="TRUE"),1,0))</f>
        <v/>
      </c>
      <c r="X1211">
        <f>IF($U1211=1,IFERROR(IF(VALUE($A1211)&lt;100000000,VALUE($A1211),1000000000),IFERROR(IF(VALUE(MID($A1211,2,20))&lt;100000000,VALUE(MID($A1211,2,20)),1000000000),1000000000))+ROW()/100000,"")</f>
        <v/>
      </c>
    </row>
    <row r="1212">
      <c r="F1212" s="7">
        <f>IF($A1212="","",E1212*N1212/100)</f>
        <v/>
      </c>
      <c r="J1212" s="7" t="n"/>
      <c r="K1212" s="7">
        <f>IF($A1212="","",S1212*N1212)</f>
        <v/>
      </c>
      <c r="L1212" s="7">
        <f>IF($A1212="","",N1212-K1212)</f>
        <v/>
      </c>
      <c r="M1212" s="7">
        <f>IF($A1212="","",L1212-F1212)</f>
        <v/>
      </c>
      <c r="N1212" s="7" t="n"/>
      <c r="Q1212" s="11" t="n"/>
      <c r="S1212">
        <f>IF($A1212="","",IF($W1212=1,Settings!$C$6,Settings!$C$7)*1)</f>
        <v/>
      </c>
      <c r="U1212">
        <f>IF($A1212="","",IF(COUNTIF($A$2:$A1212,$A1212)=1,1,0))</f>
        <v/>
      </c>
      <c r="V1212">
        <f>IF($U1212=1,SUMPRODUCT(--($X$2:$X$3001&lt;$X1212))+1,"")</f>
        <v/>
      </c>
      <c r="W1212">
        <f>IF($A1212="","",IF(OR($T1212=TRUE(),$T1212="TRUE"),1,0))</f>
        <v/>
      </c>
      <c r="X1212">
        <f>IF($U1212=1,IFERROR(IF(VALUE($A1212)&lt;100000000,VALUE($A1212),1000000000),IFERROR(IF(VALUE(MID($A1212,2,20))&lt;100000000,VALUE(MID($A1212,2,20)),1000000000),1000000000))+ROW()/100000,"")</f>
        <v/>
      </c>
    </row>
    <row r="1213">
      <c r="F1213" s="7">
        <f>IF($A1213="","",E1213*N1213/100)</f>
        <v/>
      </c>
      <c r="J1213" s="7" t="n"/>
      <c r="K1213" s="7">
        <f>IF($A1213="","",S1213*N1213)</f>
        <v/>
      </c>
      <c r="L1213" s="7">
        <f>IF($A1213="","",N1213-K1213)</f>
        <v/>
      </c>
      <c r="M1213" s="7">
        <f>IF($A1213="","",L1213-F1213)</f>
        <v/>
      </c>
      <c r="N1213" s="7" t="n"/>
      <c r="Q1213" s="11" t="n"/>
      <c r="S1213">
        <f>IF($A1213="","",IF($W1213=1,Settings!$C$6,Settings!$C$7)*1)</f>
        <v/>
      </c>
      <c r="U1213">
        <f>IF($A1213="","",IF(COUNTIF($A$2:$A1213,$A1213)=1,1,0))</f>
        <v/>
      </c>
      <c r="V1213">
        <f>IF($U1213=1,SUMPRODUCT(--($X$2:$X$3001&lt;$X1213))+1,"")</f>
        <v/>
      </c>
      <c r="W1213">
        <f>IF($A1213="","",IF(OR($T1213=TRUE(),$T1213="TRUE"),1,0))</f>
        <v/>
      </c>
      <c r="X1213">
        <f>IF($U1213=1,IFERROR(IF(VALUE($A1213)&lt;100000000,VALUE($A1213),1000000000),IFERROR(IF(VALUE(MID($A1213,2,20))&lt;100000000,VALUE(MID($A1213,2,20)),1000000000),1000000000))+ROW()/100000,"")</f>
        <v/>
      </c>
    </row>
    <row r="1214">
      <c r="F1214" s="7">
        <f>IF($A1214="","",E1214*N1214/100)</f>
        <v/>
      </c>
      <c r="J1214" s="7" t="n"/>
      <c r="K1214" s="7">
        <f>IF($A1214="","",S1214*N1214)</f>
        <v/>
      </c>
      <c r="L1214" s="7">
        <f>IF($A1214="","",N1214-K1214)</f>
        <v/>
      </c>
      <c r="M1214" s="7">
        <f>IF($A1214="","",L1214-F1214)</f>
        <v/>
      </c>
      <c r="N1214" s="7" t="n"/>
      <c r="Q1214" s="11" t="n"/>
      <c r="S1214">
        <f>IF($A1214="","",IF($W1214=1,Settings!$C$6,Settings!$C$7)*1)</f>
        <v/>
      </c>
      <c r="U1214">
        <f>IF($A1214="","",IF(COUNTIF($A$2:$A1214,$A1214)=1,1,0))</f>
        <v/>
      </c>
      <c r="V1214">
        <f>IF($U1214=1,SUMPRODUCT(--($X$2:$X$3001&lt;$X1214))+1,"")</f>
        <v/>
      </c>
      <c r="W1214">
        <f>IF($A1214="","",IF(OR($T1214=TRUE(),$T1214="TRUE"),1,0))</f>
        <v/>
      </c>
      <c r="X1214">
        <f>IF($U1214=1,IFERROR(IF(VALUE($A1214)&lt;100000000,VALUE($A1214),1000000000),IFERROR(IF(VALUE(MID($A1214,2,20))&lt;100000000,VALUE(MID($A1214,2,20)),1000000000),1000000000))+ROW()/100000,"")</f>
        <v/>
      </c>
    </row>
    <row r="1215">
      <c r="F1215" s="7">
        <f>IF($A1215="","",E1215*N1215/100)</f>
        <v/>
      </c>
      <c r="J1215" s="7" t="n"/>
      <c r="K1215" s="7">
        <f>IF($A1215="","",S1215*N1215)</f>
        <v/>
      </c>
      <c r="L1215" s="7">
        <f>IF($A1215="","",N1215-K1215)</f>
        <v/>
      </c>
      <c r="M1215" s="7">
        <f>IF($A1215="","",L1215-F1215)</f>
        <v/>
      </c>
      <c r="N1215" s="7" t="n"/>
      <c r="Q1215" s="11" t="n"/>
      <c r="S1215">
        <f>IF($A1215="","",IF($W1215=1,Settings!$C$6,Settings!$C$7)*1)</f>
        <v/>
      </c>
      <c r="U1215">
        <f>IF($A1215="","",IF(COUNTIF($A$2:$A1215,$A1215)=1,1,0))</f>
        <v/>
      </c>
      <c r="V1215">
        <f>IF($U1215=1,SUMPRODUCT(--($X$2:$X$3001&lt;$X1215))+1,"")</f>
        <v/>
      </c>
      <c r="W1215">
        <f>IF($A1215="","",IF(OR($T1215=TRUE(),$T1215="TRUE"),1,0))</f>
        <v/>
      </c>
      <c r="X1215">
        <f>IF($U1215=1,IFERROR(IF(VALUE($A1215)&lt;100000000,VALUE($A1215),1000000000),IFERROR(IF(VALUE(MID($A1215,2,20))&lt;100000000,VALUE(MID($A1215,2,20)),1000000000),1000000000))+ROW()/100000,"")</f>
        <v/>
      </c>
    </row>
    <row r="1216">
      <c r="F1216" s="7">
        <f>IF($A1216="","",E1216*N1216/100)</f>
        <v/>
      </c>
      <c r="J1216" s="7" t="n"/>
      <c r="K1216" s="7">
        <f>IF($A1216="","",S1216*N1216)</f>
        <v/>
      </c>
      <c r="L1216" s="7">
        <f>IF($A1216="","",N1216-K1216)</f>
        <v/>
      </c>
      <c r="M1216" s="7">
        <f>IF($A1216="","",L1216-F1216)</f>
        <v/>
      </c>
      <c r="N1216" s="7" t="n"/>
      <c r="Q1216" s="11" t="n"/>
      <c r="S1216">
        <f>IF($A1216="","",IF($W1216=1,Settings!$C$6,Settings!$C$7)*1)</f>
        <v/>
      </c>
      <c r="U1216">
        <f>IF($A1216="","",IF(COUNTIF($A$2:$A1216,$A1216)=1,1,0))</f>
        <v/>
      </c>
      <c r="V1216">
        <f>IF($U1216=1,SUMPRODUCT(--($X$2:$X$3001&lt;$X1216))+1,"")</f>
        <v/>
      </c>
      <c r="W1216">
        <f>IF($A1216="","",IF(OR($T1216=TRUE(),$T1216="TRUE"),1,0))</f>
        <v/>
      </c>
      <c r="X1216">
        <f>IF($U1216=1,IFERROR(IF(VALUE($A1216)&lt;100000000,VALUE($A1216),1000000000),IFERROR(IF(VALUE(MID($A1216,2,20))&lt;100000000,VALUE(MID($A1216,2,20)),1000000000),1000000000))+ROW()/100000,"")</f>
        <v/>
      </c>
    </row>
    <row r="1217">
      <c r="F1217" s="7">
        <f>IF($A1217="","",E1217*N1217/100)</f>
        <v/>
      </c>
      <c r="J1217" s="7" t="n"/>
      <c r="K1217" s="7">
        <f>IF($A1217="","",S1217*N1217)</f>
        <v/>
      </c>
      <c r="L1217" s="7">
        <f>IF($A1217="","",N1217-K1217)</f>
        <v/>
      </c>
      <c r="M1217" s="7">
        <f>IF($A1217="","",L1217-F1217)</f>
        <v/>
      </c>
      <c r="N1217" s="7" t="n"/>
      <c r="Q1217" s="11" t="n"/>
      <c r="S1217">
        <f>IF($A1217="","",IF($W1217=1,Settings!$C$6,Settings!$C$7)*1)</f>
        <v/>
      </c>
      <c r="U1217">
        <f>IF($A1217="","",IF(COUNTIF($A$2:$A1217,$A1217)=1,1,0))</f>
        <v/>
      </c>
      <c r="V1217">
        <f>IF($U1217=1,SUMPRODUCT(--($X$2:$X$3001&lt;$X1217))+1,"")</f>
        <v/>
      </c>
      <c r="W1217">
        <f>IF($A1217="","",IF(OR($T1217=TRUE(),$T1217="TRUE"),1,0))</f>
        <v/>
      </c>
      <c r="X1217">
        <f>IF($U1217=1,IFERROR(IF(VALUE($A1217)&lt;100000000,VALUE($A1217),1000000000),IFERROR(IF(VALUE(MID($A1217,2,20))&lt;100000000,VALUE(MID($A1217,2,20)),1000000000),1000000000))+ROW()/100000,"")</f>
        <v/>
      </c>
    </row>
    <row r="1218">
      <c r="F1218" s="7">
        <f>IF($A1218="","",E1218*N1218/100)</f>
        <v/>
      </c>
      <c r="J1218" s="7" t="n"/>
      <c r="K1218" s="7">
        <f>IF($A1218="","",S1218*N1218)</f>
        <v/>
      </c>
      <c r="L1218" s="7">
        <f>IF($A1218="","",N1218-K1218)</f>
        <v/>
      </c>
      <c r="M1218" s="7">
        <f>IF($A1218="","",L1218-F1218)</f>
        <v/>
      </c>
      <c r="N1218" s="7" t="n"/>
      <c r="Q1218" s="11" t="n"/>
      <c r="S1218">
        <f>IF($A1218="","",IF($W1218=1,Settings!$C$6,Settings!$C$7)*1)</f>
        <v/>
      </c>
      <c r="U1218">
        <f>IF($A1218="","",IF(COUNTIF($A$2:$A1218,$A1218)=1,1,0))</f>
        <v/>
      </c>
      <c r="V1218">
        <f>IF($U1218=1,SUMPRODUCT(--($X$2:$X$3001&lt;$X1218))+1,"")</f>
        <v/>
      </c>
      <c r="W1218">
        <f>IF($A1218="","",IF(OR($T1218=TRUE(),$T1218="TRUE"),1,0))</f>
        <v/>
      </c>
      <c r="X1218">
        <f>IF($U1218=1,IFERROR(IF(VALUE($A1218)&lt;100000000,VALUE($A1218),1000000000),IFERROR(IF(VALUE(MID($A1218,2,20))&lt;100000000,VALUE(MID($A1218,2,20)),1000000000),1000000000))+ROW()/100000,"")</f>
        <v/>
      </c>
    </row>
    <row r="1219">
      <c r="F1219" s="7">
        <f>IF($A1219="","",E1219*N1219/100)</f>
        <v/>
      </c>
      <c r="J1219" s="7" t="n"/>
      <c r="K1219" s="7">
        <f>IF($A1219="","",S1219*N1219)</f>
        <v/>
      </c>
      <c r="L1219" s="7">
        <f>IF($A1219="","",N1219-K1219)</f>
        <v/>
      </c>
      <c r="M1219" s="7">
        <f>IF($A1219="","",L1219-F1219)</f>
        <v/>
      </c>
      <c r="N1219" s="7" t="n"/>
      <c r="Q1219" s="11" t="n"/>
      <c r="S1219">
        <f>IF($A1219="","",IF($W1219=1,Settings!$C$6,Settings!$C$7)*1)</f>
        <v/>
      </c>
      <c r="U1219">
        <f>IF($A1219="","",IF(COUNTIF($A$2:$A1219,$A1219)=1,1,0))</f>
        <v/>
      </c>
      <c r="V1219">
        <f>IF($U1219=1,SUMPRODUCT(--($X$2:$X$3001&lt;$X1219))+1,"")</f>
        <v/>
      </c>
      <c r="W1219">
        <f>IF($A1219="","",IF(OR($T1219=TRUE(),$T1219="TRUE"),1,0))</f>
        <v/>
      </c>
      <c r="X1219">
        <f>IF($U1219=1,IFERROR(IF(VALUE($A1219)&lt;100000000,VALUE($A1219),1000000000),IFERROR(IF(VALUE(MID($A1219,2,20))&lt;100000000,VALUE(MID($A1219,2,20)),1000000000),1000000000))+ROW()/100000,"")</f>
        <v/>
      </c>
    </row>
    <row r="1220">
      <c r="F1220" s="7">
        <f>IF($A1220="","",E1220*N1220/100)</f>
        <v/>
      </c>
      <c r="J1220" s="7" t="n"/>
      <c r="K1220" s="7">
        <f>IF($A1220="","",S1220*N1220)</f>
        <v/>
      </c>
      <c r="L1220" s="7">
        <f>IF($A1220="","",N1220-K1220)</f>
        <v/>
      </c>
      <c r="M1220" s="7">
        <f>IF($A1220="","",L1220-F1220)</f>
        <v/>
      </c>
      <c r="N1220" s="7" t="n"/>
      <c r="Q1220" s="11" t="n"/>
      <c r="S1220">
        <f>IF($A1220="","",IF($W1220=1,Settings!$C$6,Settings!$C$7)*1)</f>
        <v/>
      </c>
      <c r="U1220">
        <f>IF($A1220="","",IF(COUNTIF($A$2:$A1220,$A1220)=1,1,0))</f>
        <v/>
      </c>
      <c r="V1220">
        <f>IF($U1220=1,SUMPRODUCT(--($X$2:$X$3001&lt;$X1220))+1,"")</f>
        <v/>
      </c>
      <c r="W1220">
        <f>IF($A1220="","",IF(OR($T1220=TRUE(),$T1220="TRUE"),1,0))</f>
        <v/>
      </c>
      <c r="X1220">
        <f>IF($U1220=1,IFERROR(IF(VALUE($A1220)&lt;100000000,VALUE($A1220),1000000000),IFERROR(IF(VALUE(MID($A1220,2,20))&lt;100000000,VALUE(MID($A1220,2,20)),1000000000),1000000000))+ROW()/100000,"")</f>
        <v/>
      </c>
    </row>
    <row r="1221">
      <c r="F1221" s="7">
        <f>IF($A1221="","",E1221*N1221/100)</f>
        <v/>
      </c>
      <c r="J1221" s="7" t="n"/>
      <c r="K1221" s="7">
        <f>IF($A1221="","",S1221*N1221)</f>
        <v/>
      </c>
      <c r="L1221" s="7">
        <f>IF($A1221="","",N1221-K1221)</f>
        <v/>
      </c>
      <c r="M1221" s="7">
        <f>IF($A1221="","",L1221-F1221)</f>
        <v/>
      </c>
      <c r="N1221" s="7" t="n"/>
      <c r="Q1221" s="11" t="n"/>
      <c r="S1221">
        <f>IF($A1221="","",IF($W1221=1,Settings!$C$6,Settings!$C$7)*1)</f>
        <v/>
      </c>
      <c r="U1221">
        <f>IF($A1221="","",IF(COUNTIF($A$2:$A1221,$A1221)=1,1,0))</f>
        <v/>
      </c>
      <c r="V1221">
        <f>IF($U1221=1,SUMPRODUCT(--($X$2:$X$3001&lt;$X1221))+1,"")</f>
        <v/>
      </c>
      <c r="W1221">
        <f>IF($A1221="","",IF(OR($T1221=TRUE(),$T1221="TRUE"),1,0))</f>
        <v/>
      </c>
      <c r="X1221">
        <f>IF($U1221=1,IFERROR(IF(VALUE($A1221)&lt;100000000,VALUE($A1221),1000000000),IFERROR(IF(VALUE(MID($A1221,2,20))&lt;100000000,VALUE(MID($A1221,2,20)),1000000000),1000000000))+ROW()/100000,"")</f>
        <v/>
      </c>
    </row>
    <row r="1222">
      <c r="F1222" s="7">
        <f>IF($A1222="","",E1222*N1222/100)</f>
        <v/>
      </c>
      <c r="J1222" s="7" t="n"/>
      <c r="K1222" s="7">
        <f>IF($A1222="","",S1222*N1222)</f>
        <v/>
      </c>
      <c r="L1222" s="7">
        <f>IF($A1222="","",N1222-K1222)</f>
        <v/>
      </c>
      <c r="M1222" s="7">
        <f>IF($A1222="","",L1222-F1222)</f>
        <v/>
      </c>
      <c r="N1222" s="7" t="n"/>
      <c r="Q1222" s="11" t="n"/>
      <c r="S1222">
        <f>IF($A1222="","",IF($W1222=1,Settings!$C$6,Settings!$C$7)*1)</f>
        <v/>
      </c>
      <c r="U1222">
        <f>IF($A1222="","",IF(COUNTIF($A$2:$A1222,$A1222)=1,1,0))</f>
        <v/>
      </c>
      <c r="V1222">
        <f>IF($U1222=1,SUMPRODUCT(--($X$2:$X$3001&lt;$X1222))+1,"")</f>
        <v/>
      </c>
      <c r="W1222">
        <f>IF($A1222="","",IF(OR($T1222=TRUE(),$T1222="TRUE"),1,0))</f>
        <v/>
      </c>
      <c r="X1222">
        <f>IF($U1222=1,IFERROR(IF(VALUE($A1222)&lt;100000000,VALUE($A1222),1000000000),IFERROR(IF(VALUE(MID($A1222,2,20))&lt;100000000,VALUE(MID($A1222,2,20)),1000000000),1000000000))+ROW()/100000,"")</f>
        <v/>
      </c>
    </row>
    <row r="1223">
      <c r="F1223" s="7">
        <f>IF($A1223="","",E1223*N1223/100)</f>
        <v/>
      </c>
      <c r="J1223" s="7" t="n"/>
      <c r="K1223" s="7">
        <f>IF($A1223="","",S1223*N1223)</f>
        <v/>
      </c>
      <c r="L1223" s="7">
        <f>IF($A1223="","",N1223-K1223)</f>
        <v/>
      </c>
      <c r="M1223" s="7">
        <f>IF($A1223="","",L1223-F1223)</f>
        <v/>
      </c>
      <c r="N1223" s="7" t="n"/>
      <c r="Q1223" s="11" t="n"/>
      <c r="S1223">
        <f>IF($A1223="","",IF($W1223=1,Settings!$C$6,Settings!$C$7)*1)</f>
        <v/>
      </c>
      <c r="U1223">
        <f>IF($A1223="","",IF(COUNTIF($A$2:$A1223,$A1223)=1,1,0))</f>
        <v/>
      </c>
      <c r="V1223">
        <f>IF($U1223=1,SUMPRODUCT(--($X$2:$X$3001&lt;$X1223))+1,"")</f>
        <v/>
      </c>
      <c r="W1223">
        <f>IF($A1223="","",IF(OR($T1223=TRUE(),$T1223="TRUE"),1,0))</f>
        <v/>
      </c>
      <c r="X1223">
        <f>IF($U1223=1,IFERROR(IF(VALUE($A1223)&lt;100000000,VALUE($A1223),1000000000),IFERROR(IF(VALUE(MID($A1223,2,20))&lt;100000000,VALUE(MID($A1223,2,20)),1000000000),1000000000))+ROW()/100000,"")</f>
        <v/>
      </c>
    </row>
    <row r="1224">
      <c r="F1224" s="7">
        <f>IF($A1224="","",E1224*N1224/100)</f>
        <v/>
      </c>
      <c r="J1224" s="7" t="n"/>
      <c r="K1224" s="7">
        <f>IF($A1224="","",S1224*N1224)</f>
        <v/>
      </c>
      <c r="L1224" s="7">
        <f>IF($A1224="","",N1224-K1224)</f>
        <v/>
      </c>
      <c r="M1224" s="7">
        <f>IF($A1224="","",L1224-F1224)</f>
        <v/>
      </c>
      <c r="N1224" s="7" t="n"/>
      <c r="Q1224" s="11" t="n"/>
      <c r="S1224">
        <f>IF($A1224="","",IF($W1224=1,Settings!$C$6,Settings!$C$7)*1)</f>
        <v/>
      </c>
      <c r="U1224">
        <f>IF($A1224="","",IF(COUNTIF($A$2:$A1224,$A1224)=1,1,0))</f>
        <v/>
      </c>
      <c r="V1224">
        <f>IF($U1224=1,SUMPRODUCT(--($X$2:$X$3001&lt;$X1224))+1,"")</f>
        <v/>
      </c>
      <c r="W1224">
        <f>IF($A1224="","",IF(OR($T1224=TRUE(),$T1224="TRUE"),1,0))</f>
        <v/>
      </c>
      <c r="X1224">
        <f>IF($U1224=1,IFERROR(IF(VALUE($A1224)&lt;100000000,VALUE($A1224),1000000000),IFERROR(IF(VALUE(MID($A1224,2,20))&lt;100000000,VALUE(MID($A1224,2,20)),1000000000),1000000000))+ROW()/100000,"")</f>
        <v/>
      </c>
    </row>
    <row r="1225">
      <c r="F1225" s="7">
        <f>IF($A1225="","",E1225*N1225/100)</f>
        <v/>
      </c>
      <c r="J1225" s="7" t="n"/>
      <c r="K1225" s="7">
        <f>IF($A1225="","",S1225*N1225)</f>
        <v/>
      </c>
      <c r="L1225" s="7">
        <f>IF($A1225="","",N1225-K1225)</f>
        <v/>
      </c>
      <c r="M1225" s="7">
        <f>IF($A1225="","",L1225-F1225)</f>
        <v/>
      </c>
      <c r="N1225" s="7" t="n"/>
      <c r="Q1225" s="11" t="n"/>
      <c r="S1225">
        <f>IF($A1225="","",IF($W1225=1,Settings!$C$6,Settings!$C$7)*1)</f>
        <v/>
      </c>
      <c r="U1225">
        <f>IF($A1225="","",IF(COUNTIF($A$2:$A1225,$A1225)=1,1,0))</f>
        <v/>
      </c>
      <c r="V1225">
        <f>IF($U1225=1,SUMPRODUCT(--($X$2:$X$3001&lt;$X1225))+1,"")</f>
        <v/>
      </c>
      <c r="W1225">
        <f>IF($A1225="","",IF(OR($T1225=TRUE(),$T1225="TRUE"),1,0))</f>
        <v/>
      </c>
      <c r="X1225">
        <f>IF($U1225=1,IFERROR(IF(VALUE($A1225)&lt;100000000,VALUE($A1225),1000000000),IFERROR(IF(VALUE(MID($A1225,2,20))&lt;100000000,VALUE(MID($A1225,2,20)),1000000000),1000000000))+ROW()/100000,"")</f>
        <v/>
      </c>
    </row>
    <row r="1226">
      <c r="F1226" s="7">
        <f>IF($A1226="","",E1226*N1226/100)</f>
        <v/>
      </c>
      <c r="J1226" s="7" t="n"/>
      <c r="K1226" s="7">
        <f>IF($A1226="","",S1226*N1226)</f>
        <v/>
      </c>
      <c r="L1226" s="7">
        <f>IF($A1226="","",N1226-K1226)</f>
        <v/>
      </c>
      <c r="M1226" s="7">
        <f>IF($A1226="","",L1226-F1226)</f>
        <v/>
      </c>
      <c r="N1226" s="7" t="n"/>
      <c r="Q1226" s="11" t="n"/>
      <c r="S1226">
        <f>IF($A1226="","",IF($W1226=1,Settings!$C$6,Settings!$C$7)*1)</f>
        <v/>
      </c>
      <c r="U1226">
        <f>IF($A1226="","",IF(COUNTIF($A$2:$A1226,$A1226)=1,1,0))</f>
        <v/>
      </c>
      <c r="V1226">
        <f>IF($U1226=1,SUMPRODUCT(--($X$2:$X$3001&lt;$X1226))+1,"")</f>
        <v/>
      </c>
      <c r="W1226">
        <f>IF($A1226="","",IF(OR($T1226=TRUE(),$T1226="TRUE"),1,0))</f>
        <v/>
      </c>
      <c r="X1226">
        <f>IF($U1226=1,IFERROR(IF(VALUE($A1226)&lt;100000000,VALUE($A1226),1000000000),IFERROR(IF(VALUE(MID($A1226,2,20))&lt;100000000,VALUE(MID($A1226,2,20)),1000000000),1000000000))+ROW()/100000,"")</f>
        <v/>
      </c>
    </row>
    <row r="1227">
      <c r="F1227" s="7">
        <f>IF($A1227="","",E1227*N1227/100)</f>
        <v/>
      </c>
      <c r="J1227" s="7" t="n"/>
      <c r="K1227" s="7">
        <f>IF($A1227="","",S1227*N1227)</f>
        <v/>
      </c>
      <c r="L1227" s="7">
        <f>IF($A1227="","",N1227-K1227)</f>
        <v/>
      </c>
      <c r="M1227" s="7">
        <f>IF($A1227="","",L1227-F1227)</f>
        <v/>
      </c>
      <c r="N1227" s="7" t="n"/>
      <c r="Q1227" s="11" t="n"/>
      <c r="S1227">
        <f>IF($A1227="","",IF($W1227=1,Settings!$C$6,Settings!$C$7)*1)</f>
        <v/>
      </c>
      <c r="U1227">
        <f>IF($A1227="","",IF(COUNTIF($A$2:$A1227,$A1227)=1,1,0))</f>
        <v/>
      </c>
      <c r="V1227">
        <f>IF($U1227=1,SUMPRODUCT(--($X$2:$X$3001&lt;$X1227))+1,"")</f>
        <v/>
      </c>
      <c r="W1227">
        <f>IF($A1227="","",IF(OR($T1227=TRUE(),$T1227="TRUE"),1,0))</f>
        <v/>
      </c>
      <c r="X1227">
        <f>IF($U1227=1,IFERROR(IF(VALUE($A1227)&lt;100000000,VALUE($A1227),1000000000),IFERROR(IF(VALUE(MID($A1227,2,20))&lt;100000000,VALUE(MID($A1227,2,20)),1000000000),1000000000))+ROW()/100000,"")</f>
        <v/>
      </c>
    </row>
    <row r="1228">
      <c r="F1228" s="7">
        <f>IF($A1228="","",E1228*N1228/100)</f>
        <v/>
      </c>
      <c r="J1228" s="7" t="n"/>
      <c r="K1228" s="7">
        <f>IF($A1228="","",S1228*N1228)</f>
        <v/>
      </c>
      <c r="L1228" s="7">
        <f>IF($A1228="","",N1228-K1228)</f>
        <v/>
      </c>
      <c r="M1228" s="7">
        <f>IF($A1228="","",L1228-F1228)</f>
        <v/>
      </c>
      <c r="N1228" s="7" t="n"/>
      <c r="Q1228" s="11" t="n"/>
      <c r="S1228">
        <f>IF($A1228="","",IF($W1228=1,Settings!$C$6,Settings!$C$7)*1)</f>
        <v/>
      </c>
      <c r="U1228">
        <f>IF($A1228="","",IF(COUNTIF($A$2:$A1228,$A1228)=1,1,0))</f>
        <v/>
      </c>
      <c r="V1228">
        <f>IF($U1228=1,SUMPRODUCT(--($X$2:$X$3001&lt;$X1228))+1,"")</f>
        <v/>
      </c>
      <c r="W1228">
        <f>IF($A1228="","",IF(OR($T1228=TRUE(),$T1228="TRUE"),1,0))</f>
        <v/>
      </c>
      <c r="X1228">
        <f>IF($U1228=1,IFERROR(IF(VALUE($A1228)&lt;100000000,VALUE($A1228),1000000000),IFERROR(IF(VALUE(MID($A1228,2,20))&lt;100000000,VALUE(MID($A1228,2,20)),1000000000),1000000000))+ROW()/100000,"")</f>
        <v/>
      </c>
    </row>
    <row r="1229">
      <c r="F1229" s="7">
        <f>IF($A1229="","",E1229*N1229/100)</f>
        <v/>
      </c>
      <c r="J1229" s="7" t="n"/>
      <c r="K1229" s="7">
        <f>IF($A1229="","",S1229*N1229)</f>
        <v/>
      </c>
      <c r="L1229" s="7">
        <f>IF($A1229="","",N1229-K1229)</f>
        <v/>
      </c>
      <c r="M1229" s="7">
        <f>IF($A1229="","",L1229-F1229)</f>
        <v/>
      </c>
      <c r="N1229" s="7" t="n"/>
      <c r="Q1229" s="11" t="n"/>
      <c r="S1229">
        <f>IF($A1229="","",IF($W1229=1,Settings!$C$6,Settings!$C$7)*1)</f>
        <v/>
      </c>
      <c r="U1229">
        <f>IF($A1229="","",IF(COUNTIF($A$2:$A1229,$A1229)=1,1,0))</f>
        <v/>
      </c>
      <c r="V1229">
        <f>IF($U1229=1,SUMPRODUCT(--($X$2:$X$3001&lt;$X1229))+1,"")</f>
        <v/>
      </c>
      <c r="W1229">
        <f>IF($A1229="","",IF(OR($T1229=TRUE(),$T1229="TRUE"),1,0))</f>
        <v/>
      </c>
      <c r="X1229">
        <f>IF($U1229=1,IFERROR(IF(VALUE($A1229)&lt;100000000,VALUE($A1229),1000000000),IFERROR(IF(VALUE(MID($A1229,2,20))&lt;100000000,VALUE(MID($A1229,2,20)),1000000000),1000000000))+ROW()/100000,"")</f>
        <v/>
      </c>
    </row>
    <row r="1230">
      <c r="F1230" s="7">
        <f>IF($A1230="","",E1230*N1230/100)</f>
        <v/>
      </c>
      <c r="J1230" s="7" t="n"/>
      <c r="K1230" s="7">
        <f>IF($A1230="","",S1230*N1230)</f>
        <v/>
      </c>
      <c r="L1230" s="7">
        <f>IF($A1230="","",N1230-K1230)</f>
        <v/>
      </c>
      <c r="M1230" s="7">
        <f>IF($A1230="","",L1230-F1230)</f>
        <v/>
      </c>
      <c r="N1230" s="7" t="n"/>
      <c r="Q1230" s="11" t="n"/>
      <c r="S1230">
        <f>IF($A1230="","",IF($W1230=1,Settings!$C$6,Settings!$C$7)*1)</f>
        <v/>
      </c>
      <c r="U1230">
        <f>IF($A1230="","",IF(COUNTIF($A$2:$A1230,$A1230)=1,1,0))</f>
        <v/>
      </c>
      <c r="V1230">
        <f>IF($U1230=1,SUMPRODUCT(--($X$2:$X$3001&lt;$X1230))+1,"")</f>
        <v/>
      </c>
      <c r="W1230">
        <f>IF($A1230="","",IF(OR($T1230=TRUE(),$T1230="TRUE"),1,0))</f>
        <v/>
      </c>
      <c r="X1230">
        <f>IF($U1230=1,IFERROR(IF(VALUE($A1230)&lt;100000000,VALUE($A1230),1000000000),IFERROR(IF(VALUE(MID($A1230,2,20))&lt;100000000,VALUE(MID($A1230,2,20)),1000000000),1000000000))+ROW()/100000,"")</f>
        <v/>
      </c>
    </row>
    <row r="1231">
      <c r="F1231" s="7">
        <f>IF($A1231="","",E1231*N1231/100)</f>
        <v/>
      </c>
      <c r="J1231" s="7" t="n"/>
      <c r="K1231" s="7">
        <f>IF($A1231="","",S1231*N1231)</f>
        <v/>
      </c>
      <c r="L1231" s="7">
        <f>IF($A1231="","",N1231-K1231)</f>
        <v/>
      </c>
      <c r="M1231" s="7">
        <f>IF($A1231="","",L1231-F1231)</f>
        <v/>
      </c>
      <c r="N1231" s="7" t="n"/>
      <c r="Q1231" s="11" t="n"/>
      <c r="S1231">
        <f>IF($A1231="","",IF($W1231=1,Settings!$C$6,Settings!$C$7)*1)</f>
        <v/>
      </c>
      <c r="U1231">
        <f>IF($A1231="","",IF(COUNTIF($A$2:$A1231,$A1231)=1,1,0))</f>
        <v/>
      </c>
      <c r="V1231">
        <f>IF($U1231=1,SUMPRODUCT(--($X$2:$X$3001&lt;$X1231))+1,"")</f>
        <v/>
      </c>
      <c r="W1231">
        <f>IF($A1231="","",IF(OR($T1231=TRUE(),$T1231="TRUE"),1,0))</f>
        <v/>
      </c>
      <c r="X1231">
        <f>IF($U1231=1,IFERROR(IF(VALUE($A1231)&lt;100000000,VALUE($A1231),1000000000),IFERROR(IF(VALUE(MID($A1231,2,20))&lt;100000000,VALUE(MID($A1231,2,20)),1000000000),1000000000))+ROW()/100000,"")</f>
        <v/>
      </c>
    </row>
    <row r="1232">
      <c r="F1232" s="7">
        <f>IF($A1232="","",E1232*N1232/100)</f>
        <v/>
      </c>
      <c r="J1232" s="7" t="n"/>
      <c r="K1232" s="7">
        <f>IF($A1232="","",S1232*N1232)</f>
        <v/>
      </c>
      <c r="L1232" s="7">
        <f>IF($A1232="","",N1232-K1232)</f>
        <v/>
      </c>
      <c r="M1232" s="7">
        <f>IF($A1232="","",L1232-F1232)</f>
        <v/>
      </c>
      <c r="N1232" s="7" t="n"/>
      <c r="Q1232" s="11" t="n"/>
      <c r="S1232">
        <f>IF($A1232="","",IF($W1232=1,Settings!$C$6,Settings!$C$7)*1)</f>
        <v/>
      </c>
      <c r="U1232">
        <f>IF($A1232="","",IF(COUNTIF($A$2:$A1232,$A1232)=1,1,0))</f>
        <v/>
      </c>
      <c r="V1232">
        <f>IF($U1232=1,SUMPRODUCT(--($X$2:$X$3001&lt;$X1232))+1,"")</f>
        <v/>
      </c>
      <c r="W1232">
        <f>IF($A1232="","",IF(OR($T1232=TRUE(),$T1232="TRUE"),1,0))</f>
        <v/>
      </c>
      <c r="X1232">
        <f>IF($U1232=1,IFERROR(IF(VALUE($A1232)&lt;100000000,VALUE($A1232),1000000000),IFERROR(IF(VALUE(MID($A1232,2,20))&lt;100000000,VALUE(MID($A1232,2,20)),1000000000),1000000000))+ROW()/100000,"")</f>
        <v/>
      </c>
    </row>
    <row r="1233">
      <c r="F1233" s="7">
        <f>IF($A1233="","",E1233*N1233/100)</f>
        <v/>
      </c>
      <c r="J1233" s="7" t="n"/>
      <c r="K1233" s="7">
        <f>IF($A1233="","",S1233*N1233)</f>
        <v/>
      </c>
      <c r="L1233" s="7">
        <f>IF($A1233="","",N1233-K1233)</f>
        <v/>
      </c>
      <c r="M1233" s="7">
        <f>IF($A1233="","",L1233-F1233)</f>
        <v/>
      </c>
      <c r="N1233" s="7" t="n"/>
      <c r="Q1233" s="11" t="n"/>
      <c r="S1233">
        <f>IF($A1233="","",IF($W1233=1,Settings!$C$6,Settings!$C$7)*1)</f>
        <v/>
      </c>
      <c r="U1233">
        <f>IF($A1233="","",IF(COUNTIF($A$2:$A1233,$A1233)=1,1,0))</f>
        <v/>
      </c>
      <c r="V1233">
        <f>IF($U1233=1,SUMPRODUCT(--($X$2:$X$3001&lt;$X1233))+1,"")</f>
        <v/>
      </c>
      <c r="W1233">
        <f>IF($A1233="","",IF(OR($T1233=TRUE(),$T1233="TRUE"),1,0))</f>
        <v/>
      </c>
      <c r="X1233">
        <f>IF($U1233=1,IFERROR(IF(VALUE($A1233)&lt;100000000,VALUE($A1233),1000000000),IFERROR(IF(VALUE(MID($A1233,2,20))&lt;100000000,VALUE(MID($A1233,2,20)),1000000000),1000000000))+ROW()/100000,"")</f>
        <v/>
      </c>
    </row>
    <row r="1234">
      <c r="F1234" s="7">
        <f>IF($A1234="","",E1234*N1234/100)</f>
        <v/>
      </c>
      <c r="J1234" s="7" t="n"/>
      <c r="K1234" s="7">
        <f>IF($A1234="","",S1234*N1234)</f>
        <v/>
      </c>
      <c r="L1234" s="7">
        <f>IF($A1234="","",N1234-K1234)</f>
        <v/>
      </c>
      <c r="M1234" s="7">
        <f>IF($A1234="","",L1234-F1234)</f>
        <v/>
      </c>
      <c r="N1234" s="7" t="n"/>
      <c r="Q1234" s="11" t="n"/>
      <c r="S1234">
        <f>IF($A1234="","",IF($W1234=1,Settings!$C$6,Settings!$C$7)*1)</f>
        <v/>
      </c>
      <c r="U1234">
        <f>IF($A1234="","",IF(COUNTIF($A$2:$A1234,$A1234)=1,1,0))</f>
        <v/>
      </c>
      <c r="V1234">
        <f>IF($U1234=1,SUMPRODUCT(--($X$2:$X$3001&lt;$X1234))+1,"")</f>
        <v/>
      </c>
      <c r="W1234">
        <f>IF($A1234="","",IF(OR($T1234=TRUE(),$T1234="TRUE"),1,0))</f>
        <v/>
      </c>
      <c r="X1234">
        <f>IF($U1234=1,IFERROR(IF(VALUE($A1234)&lt;100000000,VALUE($A1234),1000000000),IFERROR(IF(VALUE(MID($A1234,2,20))&lt;100000000,VALUE(MID($A1234,2,20)),1000000000),1000000000))+ROW()/100000,"")</f>
        <v/>
      </c>
    </row>
    <row r="1235">
      <c r="F1235" s="7">
        <f>IF($A1235="","",E1235*N1235/100)</f>
        <v/>
      </c>
      <c r="J1235" s="7" t="n"/>
      <c r="K1235" s="7">
        <f>IF($A1235="","",S1235*N1235)</f>
        <v/>
      </c>
      <c r="L1235" s="7">
        <f>IF($A1235="","",N1235-K1235)</f>
        <v/>
      </c>
      <c r="M1235" s="7">
        <f>IF($A1235="","",L1235-F1235)</f>
        <v/>
      </c>
      <c r="N1235" s="7" t="n"/>
      <c r="Q1235" s="11" t="n"/>
      <c r="S1235">
        <f>IF($A1235="","",IF($W1235=1,Settings!$C$6,Settings!$C$7)*1)</f>
        <v/>
      </c>
      <c r="U1235">
        <f>IF($A1235="","",IF(COUNTIF($A$2:$A1235,$A1235)=1,1,0))</f>
        <v/>
      </c>
      <c r="V1235">
        <f>IF($U1235=1,SUMPRODUCT(--($X$2:$X$3001&lt;$X1235))+1,"")</f>
        <v/>
      </c>
      <c r="W1235">
        <f>IF($A1235="","",IF(OR($T1235=TRUE(),$T1235="TRUE"),1,0))</f>
        <v/>
      </c>
      <c r="X1235">
        <f>IF($U1235=1,IFERROR(IF(VALUE($A1235)&lt;100000000,VALUE($A1235),1000000000),IFERROR(IF(VALUE(MID($A1235,2,20))&lt;100000000,VALUE(MID($A1235,2,20)),1000000000),1000000000))+ROW()/100000,"")</f>
        <v/>
      </c>
    </row>
    <row r="1236">
      <c r="F1236" s="7">
        <f>IF($A1236="","",E1236*N1236/100)</f>
        <v/>
      </c>
      <c r="J1236" s="7" t="n"/>
      <c r="K1236" s="7">
        <f>IF($A1236="","",S1236*N1236)</f>
        <v/>
      </c>
      <c r="L1236" s="7">
        <f>IF($A1236="","",N1236-K1236)</f>
        <v/>
      </c>
      <c r="M1236" s="7">
        <f>IF($A1236="","",L1236-F1236)</f>
        <v/>
      </c>
      <c r="N1236" s="7" t="n"/>
      <c r="Q1236" s="11" t="n"/>
      <c r="S1236">
        <f>IF($A1236="","",IF($W1236=1,Settings!$C$6,Settings!$C$7)*1)</f>
        <v/>
      </c>
      <c r="U1236">
        <f>IF($A1236="","",IF(COUNTIF($A$2:$A1236,$A1236)=1,1,0))</f>
        <v/>
      </c>
      <c r="V1236">
        <f>IF($U1236=1,SUMPRODUCT(--($X$2:$X$3001&lt;$X1236))+1,"")</f>
        <v/>
      </c>
      <c r="W1236">
        <f>IF($A1236="","",IF(OR($T1236=TRUE(),$T1236="TRUE"),1,0))</f>
        <v/>
      </c>
      <c r="X1236">
        <f>IF($U1236=1,IFERROR(IF(VALUE($A1236)&lt;100000000,VALUE($A1236),1000000000),IFERROR(IF(VALUE(MID($A1236,2,20))&lt;100000000,VALUE(MID($A1236,2,20)),1000000000),1000000000))+ROW()/100000,"")</f>
        <v/>
      </c>
    </row>
    <row r="1237">
      <c r="F1237" s="7">
        <f>IF($A1237="","",E1237*N1237/100)</f>
        <v/>
      </c>
      <c r="J1237" s="7" t="n"/>
      <c r="K1237" s="7">
        <f>IF($A1237="","",S1237*N1237)</f>
        <v/>
      </c>
      <c r="L1237" s="7">
        <f>IF($A1237="","",N1237-K1237)</f>
        <v/>
      </c>
      <c r="M1237" s="7">
        <f>IF($A1237="","",L1237-F1237)</f>
        <v/>
      </c>
      <c r="N1237" s="7" t="n"/>
      <c r="Q1237" s="11" t="n"/>
      <c r="S1237">
        <f>IF($A1237="","",IF($W1237=1,Settings!$C$6,Settings!$C$7)*1)</f>
        <v/>
      </c>
      <c r="U1237">
        <f>IF($A1237="","",IF(COUNTIF($A$2:$A1237,$A1237)=1,1,0))</f>
        <v/>
      </c>
      <c r="V1237">
        <f>IF($U1237=1,SUMPRODUCT(--($X$2:$X$3001&lt;$X1237))+1,"")</f>
        <v/>
      </c>
      <c r="W1237">
        <f>IF($A1237="","",IF(OR($T1237=TRUE(),$T1237="TRUE"),1,0))</f>
        <v/>
      </c>
      <c r="X1237">
        <f>IF($U1237=1,IFERROR(IF(VALUE($A1237)&lt;100000000,VALUE($A1237),1000000000),IFERROR(IF(VALUE(MID($A1237,2,20))&lt;100000000,VALUE(MID($A1237,2,20)),1000000000),1000000000))+ROW()/100000,"")</f>
        <v/>
      </c>
    </row>
    <row r="1238">
      <c r="F1238" s="7">
        <f>IF($A1238="","",E1238*N1238/100)</f>
        <v/>
      </c>
      <c r="J1238" s="7" t="n"/>
      <c r="K1238" s="7">
        <f>IF($A1238="","",S1238*N1238)</f>
        <v/>
      </c>
      <c r="L1238" s="7">
        <f>IF($A1238="","",N1238-K1238)</f>
        <v/>
      </c>
      <c r="M1238" s="7">
        <f>IF($A1238="","",L1238-F1238)</f>
        <v/>
      </c>
      <c r="N1238" s="7" t="n"/>
      <c r="Q1238" s="11" t="n"/>
      <c r="S1238">
        <f>IF($A1238="","",IF($W1238=1,Settings!$C$6,Settings!$C$7)*1)</f>
        <v/>
      </c>
      <c r="U1238">
        <f>IF($A1238="","",IF(COUNTIF($A$2:$A1238,$A1238)=1,1,0))</f>
        <v/>
      </c>
      <c r="V1238">
        <f>IF($U1238=1,SUMPRODUCT(--($X$2:$X$3001&lt;$X1238))+1,"")</f>
        <v/>
      </c>
      <c r="W1238">
        <f>IF($A1238="","",IF(OR($T1238=TRUE(),$T1238="TRUE"),1,0))</f>
        <v/>
      </c>
      <c r="X1238">
        <f>IF($U1238=1,IFERROR(IF(VALUE($A1238)&lt;100000000,VALUE($A1238),1000000000),IFERROR(IF(VALUE(MID($A1238,2,20))&lt;100000000,VALUE(MID($A1238,2,20)),1000000000),1000000000))+ROW()/100000,"")</f>
        <v/>
      </c>
    </row>
    <row r="1239">
      <c r="F1239" s="7">
        <f>IF($A1239="","",E1239*N1239/100)</f>
        <v/>
      </c>
      <c r="J1239" s="7" t="n"/>
      <c r="K1239" s="7">
        <f>IF($A1239="","",S1239*N1239)</f>
        <v/>
      </c>
      <c r="L1239" s="7">
        <f>IF($A1239="","",N1239-K1239)</f>
        <v/>
      </c>
      <c r="M1239" s="7">
        <f>IF($A1239="","",L1239-F1239)</f>
        <v/>
      </c>
      <c r="N1239" s="7" t="n"/>
      <c r="Q1239" s="11" t="n"/>
      <c r="S1239">
        <f>IF($A1239="","",IF($W1239=1,Settings!$C$6,Settings!$C$7)*1)</f>
        <v/>
      </c>
      <c r="U1239">
        <f>IF($A1239="","",IF(COUNTIF($A$2:$A1239,$A1239)=1,1,0))</f>
        <v/>
      </c>
      <c r="V1239">
        <f>IF($U1239=1,SUMPRODUCT(--($X$2:$X$3001&lt;$X1239))+1,"")</f>
        <v/>
      </c>
      <c r="W1239">
        <f>IF($A1239="","",IF(OR($T1239=TRUE(),$T1239="TRUE"),1,0))</f>
        <v/>
      </c>
      <c r="X1239">
        <f>IF($U1239=1,IFERROR(IF(VALUE($A1239)&lt;100000000,VALUE($A1239),1000000000),IFERROR(IF(VALUE(MID($A1239,2,20))&lt;100000000,VALUE(MID($A1239,2,20)),1000000000),1000000000))+ROW()/100000,"")</f>
        <v/>
      </c>
    </row>
    <row r="1240">
      <c r="F1240" s="7">
        <f>IF($A1240="","",E1240*N1240/100)</f>
        <v/>
      </c>
      <c r="J1240" s="7" t="n"/>
      <c r="K1240" s="7">
        <f>IF($A1240="","",S1240*N1240)</f>
        <v/>
      </c>
      <c r="L1240" s="7">
        <f>IF($A1240="","",N1240-K1240)</f>
        <v/>
      </c>
      <c r="M1240" s="7">
        <f>IF($A1240="","",L1240-F1240)</f>
        <v/>
      </c>
      <c r="N1240" s="7" t="n"/>
      <c r="Q1240" s="11" t="n"/>
      <c r="S1240">
        <f>IF($A1240="","",IF($W1240=1,Settings!$C$6,Settings!$C$7)*1)</f>
        <v/>
      </c>
      <c r="U1240">
        <f>IF($A1240="","",IF(COUNTIF($A$2:$A1240,$A1240)=1,1,0))</f>
        <v/>
      </c>
      <c r="V1240">
        <f>IF($U1240=1,SUMPRODUCT(--($X$2:$X$3001&lt;$X1240))+1,"")</f>
        <v/>
      </c>
      <c r="W1240">
        <f>IF($A1240="","",IF(OR($T1240=TRUE(),$T1240="TRUE"),1,0))</f>
        <v/>
      </c>
      <c r="X1240">
        <f>IF($U1240=1,IFERROR(IF(VALUE($A1240)&lt;100000000,VALUE($A1240),1000000000),IFERROR(IF(VALUE(MID($A1240,2,20))&lt;100000000,VALUE(MID($A1240,2,20)),1000000000),1000000000))+ROW()/100000,"")</f>
        <v/>
      </c>
    </row>
    <row r="1241">
      <c r="F1241" s="7">
        <f>IF($A1241="","",E1241*N1241/100)</f>
        <v/>
      </c>
      <c r="J1241" s="7" t="n"/>
      <c r="K1241" s="7">
        <f>IF($A1241="","",S1241*N1241)</f>
        <v/>
      </c>
      <c r="L1241" s="7">
        <f>IF($A1241="","",N1241-K1241)</f>
        <v/>
      </c>
      <c r="M1241" s="7">
        <f>IF($A1241="","",L1241-F1241)</f>
        <v/>
      </c>
      <c r="N1241" s="7" t="n"/>
      <c r="Q1241" s="11" t="n"/>
      <c r="S1241">
        <f>IF($A1241="","",IF($W1241=1,Settings!$C$6,Settings!$C$7)*1)</f>
        <v/>
      </c>
      <c r="U1241">
        <f>IF($A1241="","",IF(COUNTIF($A$2:$A1241,$A1241)=1,1,0))</f>
        <v/>
      </c>
      <c r="V1241">
        <f>IF($U1241=1,SUMPRODUCT(--($X$2:$X$3001&lt;$X1241))+1,"")</f>
        <v/>
      </c>
      <c r="W1241">
        <f>IF($A1241="","",IF(OR($T1241=TRUE(),$T1241="TRUE"),1,0))</f>
        <v/>
      </c>
      <c r="X1241">
        <f>IF($U1241=1,IFERROR(IF(VALUE($A1241)&lt;100000000,VALUE($A1241),1000000000),IFERROR(IF(VALUE(MID($A1241,2,20))&lt;100000000,VALUE(MID($A1241,2,20)),1000000000),1000000000))+ROW()/100000,"")</f>
        <v/>
      </c>
    </row>
    <row r="1242">
      <c r="F1242" s="7">
        <f>IF($A1242="","",E1242*N1242/100)</f>
        <v/>
      </c>
      <c r="J1242" s="7" t="n"/>
      <c r="K1242" s="7">
        <f>IF($A1242="","",S1242*N1242)</f>
        <v/>
      </c>
      <c r="L1242" s="7">
        <f>IF($A1242="","",N1242-K1242)</f>
        <v/>
      </c>
      <c r="M1242" s="7">
        <f>IF($A1242="","",L1242-F1242)</f>
        <v/>
      </c>
      <c r="N1242" s="7" t="n"/>
      <c r="Q1242" s="11" t="n"/>
      <c r="S1242">
        <f>IF($A1242="","",IF($W1242=1,Settings!$C$6,Settings!$C$7)*1)</f>
        <v/>
      </c>
      <c r="U1242">
        <f>IF($A1242="","",IF(COUNTIF($A$2:$A1242,$A1242)=1,1,0))</f>
        <v/>
      </c>
      <c r="V1242">
        <f>IF($U1242=1,SUMPRODUCT(--($X$2:$X$3001&lt;$X1242))+1,"")</f>
        <v/>
      </c>
      <c r="W1242">
        <f>IF($A1242="","",IF(OR($T1242=TRUE(),$T1242="TRUE"),1,0))</f>
        <v/>
      </c>
      <c r="X1242">
        <f>IF($U1242=1,IFERROR(IF(VALUE($A1242)&lt;100000000,VALUE($A1242),1000000000),IFERROR(IF(VALUE(MID($A1242,2,20))&lt;100000000,VALUE(MID($A1242,2,20)),1000000000),1000000000))+ROW()/100000,"")</f>
        <v/>
      </c>
    </row>
    <row r="1243">
      <c r="F1243" s="7">
        <f>IF($A1243="","",E1243*N1243/100)</f>
        <v/>
      </c>
      <c r="J1243" s="7" t="n"/>
      <c r="K1243" s="7">
        <f>IF($A1243="","",S1243*N1243)</f>
        <v/>
      </c>
      <c r="L1243" s="7">
        <f>IF($A1243="","",N1243-K1243)</f>
        <v/>
      </c>
      <c r="M1243" s="7">
        <f>IF($A1243="","",L1243-F1243)</f>
        <v/>
      </c>
      <c r="N1243" s="7" t="n"/>
      <c r="Q1243" s="11" t="n"/>
      <c r="S1243">
        <f>IF($A1243="","",IF($W1243=1,Settings!$C$6,Settings!$C$7)*1)</f>
        <v/>
      </c>
      <c r="U1243">
        <f>IF($A1243="","",IF(COUNTIF($A$2:$A1243,$A1243)=1,1,0))</f>
        <v/>
      </c>
      <c r="V1243">
        <f>IF($U1243=1,SUMPRODUCT(--($X$2:$X$3001&lt;$X1243))+1,"")</f>
        <v/>
      </c>
      <c r="W1243">
        <f>IF($A1243="","",IF(OR($T1243=TRUE(),$T1243="TRUE"),1,0))</f>
        <v/>
      </c>
      <c r="X1243">
        <f>IF($U1243=1,IFERROR(IF(VALUE($A1243)&lt;100000000,VALUE($A1243),1000000000),IFERROR(IF(VALUE(MID($A1243,2,20))&lt;100000000,VALUE(MID($A1243,2,20)),1000000000),1000000000))+ROW()/100000,"")</f>
        <v/>
      </c>
    </row>
    <row r="1244">
      <c r="F1244" s="7">
        <f>IF($A1244="","",E1244*N1244/100)</f>
        <v/>
      </c>
      <c r="J1244" s="7" t="n"/>
      <c r="K1244" s="7">
        <f>IF($A1244="","",S1244*N1244)</f>
        <v/>
      </c>
      <c r="L1244" s="7">
        <f>IF($A1244="","",N1244-K1244)</f>
        <v/>
      </c>
      <c r="M1244" s="7">
        <f>IF($A1244="","",L1244-F1244)</f>
        <v/>
      </c>
      <c r="N1244" s="7" t="n"/>
      <c r="Q1244" s="11" t="n"/>
      <c r="S1244">
        <f>IF($A1244="","",IF($W1244=1,Settings!$C$6,Settings!$C$7)*1)</f>
        <v/>
      </c>
      <c r="U1244">
        <f>IF($A1244="","",IF(COUNTIF($A$2:$A1244,$A1244)=1,1,0))</f>
        <v/>
      </c>
      <c r="V1244">
        <f>IF($U1244=1,SUMPRODUCT(--($X$2:$X$3001&lt;$X1244))+1,"")</f>
        <v/>
      </c>
      <c r="W1244">
        <f>IF($A1244="","",IF(OR($T1244=TRUE(),$T1244="TRUE"),1,0))</f>
        <v/>
      </c>
      <c r="X1244">
        <f>IF($U1244=1,IFERROR(IF(VALUE($A1244)&lt;100000000,VALUE($A1244),1000000000),IFERROR(IF(VALUE(MID($A1244,2,20))&lt;100000000,VALUE(MID($A1244,2,20)),1000000000),1000000000))+ROW()/100000,"")</f>
        <v/>
      </c>
    </row>
    <row r="1245">
      <c r="F1245" s="7">
        <f>IF($A1245="","",E1245*N1245/100)</f>
        <v/>
      </c>
      <c r="J1245" s="7" t="n"/>
      <c r="K1245" s="7">
        <f>IF($A1245="","",S1245*N1245)</f>
        <v/>
      </c>
      <c r="L1245" s="7">
        <f>IF($A1245="","",N1245-K1245)</f>
        <v/>
      </c>
      <c r="M1245" s="7">
        <f>IF($A1245="","",L1245-F1245)</f>
        <v/>
      </c>
      <c r="N1245" s="7" t="n"/>
      <c r="Q1245" s="11" t="n"/>
      <c r="S1245">
        <f>IF($A1245="","",IF($W1245=1,Settings!$C$6,Settings!$C$7)*1)</f>
        <v/>
      </c>
      <c r="U1245">
        <f>IF($A1245="","",IF(COUNTIF($A$2:$A1245,$A1245)=1,1,0))</f>
        <v/>
      </c>
      <c r="V1245">
        <f>IF($U1245=1,SUMPRODUCT(--($X$2:$X$3001&lt;$X1245))+1,"")</f>
        <v/>
      </c>
      <c r="W1245">
        <f>IF($A1245="","",IF(OR($T1245=TRUE(),$T1245="TRUE"),1,0))</f>
        <v/>
      </c>
      <c r="X1245">
        <f>IF($U1245=1,IFERROR(IF(VALUE($A1245)&lt;100000000,VALUE($A1245),1000000000),IFERROR(IF(VALUE(MID($A1245,2,20))&lt;100000000,VALUE(MID($A1245,2,20)),1000000000),1000000000))+ROW()/100000,"")</f>
        <v/>
      </c>
    </row>
    <row r="1246">
      <c r="F1246" s="7">
        <f>IF($A1246="","",E1246*N1246/100)</f>
        <v/>
      </c>
      <c r="J1246" s="7" t="n"/>
      <c r="K1246" s="7">
        <f>IF($A1246="","",S1246*N1246)</f>
        <v/>
      </c>
      <c r="L1246" s="7">
        <f>IF($A1246="","",N1246-K1246)</f>
        <v/>
      </c>
      <c r="M1246" s="7">
        <f>IF($A1246="","",L1246-F1246)</f>
        <v/>
      </c>
      <c r="N1246" s="7" t="n"/>
      <c r="Q1246" s="11" t="n"/>
      <c r="S1246">
        <f>IF($A1246="","",IF($W1246=1,Settings!$C$6,Settings!$C$7)*1)</f>
        <v/>
      </c>
      <c r="U1246">
        <f>IF($A1246="","",IF(COUNTIF($A$2:$A1246,$A1246)=1,1,0))</f>
        <v/>
      </c>
      <c r="V1246">
        <f>IF($U1246=1,SUMPRODUCT(--($X$2:$X$3001&lt;$X1246))+1,"")</f>
        <v/>
      </c>
      <c r="W1246">
        <f>IF($A1246="","",IF(OR($T1246=TRUE(),$T1246="TRUE"),1,0))</f>
        <v/>
      </c>
      <c r="X1246">
        <f>IF($U1246=1,IFERROR(IF(VALUE($A1246)&lt;100000000,VALUE($A1246),1000000000),IFERROR(IF(VALUE(MID($A1246,2,20))&lt;100000000,VALUE(MID($A1246,2,20)),1000000000),1000000000))+ROW()/100000,"")</f>
        <v/>
      </c>
    </row>
    <row r="1247">
      <c r="F1247" s="7">
        <f>IF($A1247="","",E1247*N1247/100)</f>
        <v/>
      </c>
      <c r="J1247" s="7" t="n"/>
      <c r="K1247" s="7">
        <f>IF($A1247="","",S1247*N1247)</f>
        <v/>
      </c>
      <c r="L1247" s="7">
        <f>IF($A1247="","",N1247-K1247)</f>
        <v/>
      </c>
      <c r="M1247" s="7">
        <f>IF($A1247="","",L1247-F1247)</f>
        <v/>
      </c>
      <c r="N1247" s="7" t="n"/>
      <c r="Q1247" s="11" t="n"/>
      <c r="S1247">
        <f>IF($A1247="","",IF($W1247=1,Settings!$C$6,Settings!$C$7)*1)</f>
        <v/>
      </c>
      <c r="U1247">
        <f>IF($A1247="","",IF(COUNTIF($A$2:$A1247,$A1247)=1,1,0))</f>
        <v/>
      </c>
      <c r="V1247">
        <f>IF($U1247=1,SUMPRODUCT(--($X$2:$X$3001&lt;$X1247))+1,"")</f>
        <v/>
      </c>
      <c r="W1247">
        <f>IF($A1247="","",IF(OR($T1247=TRUE(),$T1247="TRUE"),1,0))</f>
        <v/>
      </c>
      <c r="X1247">
        <f>IF($U1247=1,IFERROR(IF(VALUE($A1247)&lt;100000000,VALUE($A1247),1000000000),IFERROR(IF(VALUE(MID($A1247,2,20))&lt;100000000,VALUE(MID($A1247,2,20)),1000000000),1000000000))+ROW()/100000,"")</f>
        <v/>
      </c>
    </row>
    <row r="1248">
      <c r="F1248" s="7">
        <f>IF($A1248="","",E1248*N1248/100)</f>
        <v/>
      </c>
      <c r="J1248" s="7" t="n"/>
      <c r="K1248" s="7">
        <f>IF($A1248="","",S1248*N1248)</f>
        <v/>
      </c>
      <c r="L1248" s="7">
        <f>IF($A1248="","",N1248-K1248)</f>
        <v/>
      </c>
      <c r="M1248" s="7">
        <f>IF($A1248="","",L1248-F1248)</f>
        <v/>
      </c>
      <c r="N1248" s="7" t="n"/>
      <c r="Q1248" s="11" t="n"/>
      <c r="S1248">
        <f>IF($A1248="","",IF($W1248=1,Settings!$C$6,Settings!$C$7)*1)</f>
        <v/>
      </c>
      <c r="U1248">
        <f>IF($A1248="","",IF(COUNTIF($A$2:$A1248,$A1248)=1,1,0))</f>
        <v/>
      </c>
      <c r="V1248">
        <f>IF($U1248=1,SUMPRODUCT(--($X$2:$X$3001&lt;$X1248))+1,"")</f>
        <v/>
      </c>
      <c r="W1248">
        <f>IF($A1248="","",IF(OR($T1248=TRUE(),$T1248="TRUE"),1,0))</f>
        <v/>
      </c>
      <c r="X1248">
        <f>IF($U1248=1,IFERROR(IF(VALUE($A1248)&lt;100000000,VALUE($A1248),1000000000),IFERROR(IF(VALUE(MID($A1248,2,20))&lt;100000000,VALUE(MID($A1248,2,20)),1000000000),1000000000))+ROW()/100000,"")</f>
        <v/>
      </c>
    </row>
    <row r="1249">
      <c r="F1249" s="7">
        <f>IF($A1249="","",E1249*N1249/100)</f>
        <v/>
      </c>
      <c r="J1249" s="7" t="n"/>
      <c r="K1249" s="7">
        <f>IF($A1249="","",S1249*N1249)</f>
        <v/>
      </c>
      <c r="L1249" s="7">
        <f>IF($A1249="","",N1249-K1249)</f>
        <v/>
      </c>
      <c r="M1249" s="7">
        <f>IF($A1249="","",L1249-F1249)</f>
        <v/>
      </c>
      <c r="N1249" s="7" t="n"/>
      <c r="Q1249" s="11" t="n"/>
      <c r="S1249">
        <f>IF($A1249="","",IF($W1249=1,Settings!$C$6,Settings!$C$7)*1)</f>
        <v/>
      </c>
      <c r="U1249">
        <f>IF($A1249="","",IF(COUNTIF($A$2:$A1249,$A1249)=1,1,0))</f>
        <v/>
      </c>
      <c r="V1249">
        <f>IF($U1249=1,SUMPRODUCT(--($X$2:$X$3001&lt;$X1249))+1,"")</f>
        <v/>
      </c>
      <c r="W1249">
        <f>IF($A1249="","",IF(OR($T1249=TRUE(),$T1249="TRUE"),1,0))</f>
        <v/>
      </c>
      <c r="X1249">
        <f>IF($U1249=1,IFERROR(IF(VALUE($A1249)&lt;100000000,VALUE($A1249),1000000000),IFERROR(IF(VALUE(MID($A1249,2,20))&lt;100000000,VALUE(MID($A1249,2,20)),1000000000),1000000000))+ROW()/100000,"")</f>
        <v/>
      </c>
    </row>
    <row r="1250">
      <c r="F1250" s="7">
        <f>IF($A1250="","",E1250*N1250/100)</f>
        <v/>
      </c>
      <c r="J1250" s="7" t="n"/>
      <c r="K1250" s="7">
        <f>IF($A1250="","",S1250*N1250)</f>
        <v/>
      </c>
      <c r="L1250" s="7">
        <f>IF($A1250="","",N1250-K1250)</f>
        <v/>
      </c>
      <c r="M1250" s="7">
        <f>IF($A1250="","",L1250-F1250)</f>
        <v/>
      </c>
      <c r="N1250" s="7" t="n"/>
      <c r="Q1250" s="11" t="n"/>
      <c r="S1250">
        <f>IF($A1250="","",IF($W1250=1,Settings!$C$6,Settings!$C$7)*1)</f>
        <v/>
      </c>
      <c r="U1250">
        <f>IF($A1250="","",IF(COUNTIF($A$2:$A1250,$A1250)=1,1,0))</f>
        <v/>
      </c>
      <c r="V1250">
        <f>IF($U1250=1,SUMPRODUCT(--($X$2:$X$3001&lt;$X1250))+1,"")</f>
        <v/>
      </c>
      <c r="W1250">
        <f>IF($A1250="","",IF(OR($T1250=TRUE(),$T1250="TRUE"),1,0))</f>
        <v/>
      </c>
      <c r="X1250">
        <f>IF($U1250=1,IFERROR(IF(VALUE($A1250)&lt;100000000,VALUE($A1250),1000000000),IFERROR(IF(VALUE(MID($A1250,2,20))&lt;100000000,VALUE(MID($A1250,2,20)),1000000000),1000000000))+ROW()/100000,"")</f>
        <v/>
      </c>
    </row>
    <row r="1251">
      <c r="F1251" s="7">
        <f>IF($A1251="","",E1251*N1251/100)</f>
        <v/>
      </c>
      <c r="J1251" s="7" t="n"/>
      <c r="K1251" s="7">
        <f>IF($A1251="","",S1251*N1251)</f>
        <v/>
      </c>
      <c r="L1251" s="7">
        <f>IF($A1251="","",N1251-K1251)</f>
        <v/>
      </c>
      <c r="M1251" s="7">
        <f>IF($A1251="","",L1251-F1251)</f>
        <v/>
      </c>
      <c r="N1251" s="7" t="n"/>
      <c r="Q1251" s="11" t="n"/>
      <c r="S1251">
        <f>IF($A1251="","",IF($W1251=1,Settings!$C$6,Settings!$C$7)*1)</f>
        <v/>
      </c>
      <c r="U1251">
        <f>IF($A1251="","",IF(COUNTIF($A$2:$A1251,$A1251)=1,1,0))</f>
        <v/>
      </c>
      <c r="V1251">
        <f>IF($U1251=1,SUMPRODUCT(--($X$2:$X$3001&lt;$X1251))+1,"")</f>
        <v/>
      </c>
      <c r="W1251">
        <f>IF($A1251="","",IF(OR($T1251=TRUE(),$T1251="TRUE"),1,0))</f>
        <v/>
      </c>
      <c r="X1251">
        <f>IF($U1251=1,IFERROR(IF(VALUE($A1251)&lt;100000000,VALUE($A1251),1000000000),IFERROR(IF(VALUE(MID($A1251,2,20))&lt;100000000,VALUE(MID($A1251,2,20)),1000000000),1000000000))+ROW()/100000,"")</f>
        <v/>
      </c>
    </row>
    <row r="1252">
      <c r="F1252" s="7">
        <f>IF($A1252="","",E1252*N1252/100)</f>
        <v/>
      </c>
      <c r="J1252" s="7" t="n"/>
      <c r="K1252" s="7">
        <f>IF($A1252="","",S1252*N1252)</f>
        <v/>
      </c>
      <c r="L1252" s="7">
        <f>IF($A1252="","",N1252-K1252)</f>
        <v/>
      </c>
      <c r="M1252" s="7">
        <f>IF($A1252="","",L1252-F1252)</f>
        <v/>
      </c>
      <c r="N1252" s="7" t="n"/>
      <c r="Q1252" s="11" t="n"/>
      <c r="S1252">
        <f>IF($A1252="","",IF($W1252=1,Settings!$C$6,Settings!$C$7)*1)</f>
        <v/>
      </c>
      <c r="U1252">
        <f>IF($A1252="","",IF(COUNTIF($A$2:$A1252,$A1252)=1,1,0))</f>
        <v/>
      </c>
      <c r="V1252">
        <f>IF($U1252=1,SUMPRODUCT(--($X$2:$X$3001&lt;$X1252))+1,"")</f>
        <v/>
      </c>
      <c r="W1252">
        <f>IF($A1252="","",IF(OR($T1252=TRUE(),$T1252="TRUE"),1,0))</f>
        <v/>
      </c>
      <c r="X1252">
        <f>IF($U1252=1,IFERROR(IF(VALUE($A1252)&lt;100000000,VALUE($A1252),1000000000),IFERROR(IF(VALUE(MID($A1252,2,20))&lt;100000000,VALUE(MID($A1252,2,20)),1000000000),1000000000))+ROW()/100000,"")</f>
        <v/>
      </c>
    </row>
    <row r="1253">
      <c r="F1253" s="7">
        <f>IF($A1253="","",E1253*N1253/100)</f>
        <v/>
      </c>
      <c r="J1253" s="7" t="n"/>
      <c r="K1253" s="7">
        <f>IF($A1253="","",S1253*N1253)</f>
        <v/>
      </c>
      <c r="L1253" s="7">
        <f>IF($A1253="","",N1253-K1253)</f>
        <v/>
      </c>
      <c r="M1253" s="7">
        <f>IF($A1253="","",L1253-F1253)</f>
        <v/>
      </c>
      <c r="N1253" s="7" t="n"/>
      <c r="Q1253" s="11" t="n"/>
      <c r="S1253">
        <f>IF($A1253="","",IF($W1253=1,Settings!$C$6,Settings!$C$7)*1)</f>
        <v/>
      </c>
      <c r="U1253">
        <f>IF($A1253="","",IF(COUNTIF($A$2:$A1253,$A1253)=1,1,0))</f>
        <v/>
      </c>
      <c r="V1253">
        <f>IF($U1253=1,SUMPRODUCT(--($X$2:$X$3001&lt;$X1253))+1,"")</f>
        <v/>
      </c>
      <c r="W1253">
        <f>IF($A1253="","",IF(OR($T1253=TRUE(),$T1253="TRUE"),1,0))</f>
        <v/>
      </c>
      <c r="X1253">
        <f>IF($U1253=1,IFERROR(IF(VALUE($A1253)&lt;100000000,VALUE($A1253),1000000000),IFERROR(IF(VALUE(MID($A1253,2,20))&lt;100000000,VALUE(MID($A1253,2,20)),1000000000),1000000000))+ROW()/100000,"")</f>
        <v/>
      </c>
    </row>
    <row r="1254">
      <c r="F1254" s="7">
        <f>IF($A1254="","",E1254*N1254/100)</f>
        <v/>
      </c>
      <c r="J1254" s="7" t="n"/>
      <c r="K1254" s="7">
        <f>IF($A1254="","",S1254*N1254)</f>
        <v/>
      </c>
      <c r="L1254" s="7">
        <f>IF($A1254="","",N1254-K1254)</f>
        <v/>
      </c>
      <c r="M1254" s="7">
        <f>IF($A1254="","",L1254-F1254)</f>
        <v/>
      </c>
      <c r="N1254" s="7" t="n"/>
      <c r="Q1254" s="11" t="n"/>
      <c r="S1254">
        <f>IF($A1254="","",IF($W1254=1,Settings!$C$6,Settings!$C$7)*1)</f>
        <v/>
      </c>
      <c r="U1254">
        <f>IF($A1254="","",IF(COUNTIF($A$2:$A1254,$A1254)=1,1,0))</f>
        <v/>
      </c>
      <c r="V1254">
        <f>IF($U1254=1,SUMPRODUCT(--($X$2:$X$3001&lt;$X1254))+1,"")</f>
        <v/>
      </c>
      <c r="W1254">
        <f>IF($A1254="","",IF(OR($T1254=TRUE(),$T1254="TRUE"),1,0))</f>
        <v/>
      </c>
      <c r="X1254">
        <f>IF($U1254=1,IFERROR(IF(VALUE($A1254)&lt;100000000,VALUE($A1254),1000000000),IFERROR(IF(VALUE(MID($A1254,2,20))&lt;100000000,VALUE(MID($A1254,2,20)),1000000000),1000000000))+ROW()/100000,"")</f>
        <v/>
      </c>
    </row>
    <row r="1255">
      <c r="F1255" s="7">
        <f>IF($A1255="","",E1255*N1255/100)</f>
        <v/>
      </c>
      <c r="J1255" s="7" t="n"/>
      <c r="K1255" s="7">
        <f>IF($A1255="","",S1255*N1255)</f>
        <v/>
      </c>
      <c r="L1255" s="7">
        <f>IF($A1255="","",N1255-K1255)</f>
        <v/>
      </c>
      <c r="M1255" s="7">
        <f>IF($A1255="","",L1255-F1255)</f>
        <v/>
      </c>
      <c r="N1255" s="7" t="n"/>
      <c r="Q1255" s="11" t="n"/>
      <c r="S1255">
        <f>IF($A1255="","",IF($W1255=1,Settings!$C$6,Settings!$C$7)*1)</f>
        <v/>
      </c>
      <c r="U1255">
        <f>IF($A1255="","",IF(COUNTIF($A$2:$A1255,$A1255)=1,1,0))</f>
        <v/>
      </c>
      <c r="V1255">
        <f>IF($U1255=1,SUMPRODUCT(--($X$2:$X$3001&lt;$X1255))+1,"")</f>
        <v/>
      </c>
      <c r="W1255">
        <f>IF($A1255="","",IF(OR($T1255=TRUE(),$T1255="TRUE"),1,0))</f>
        <v/>
      </c>
      <c r="X1255">
        <f>IF($U1255=1,IFERROR(IF(VALUE($A1255)&lt;100000000,VALUE($A1255),1000000000),IFERROR(IF(VALUE(MID($A1255,2,20))&lt;100000000,VALUE(MID($A1255,2,20)),1000000000),1000000000))+ROW()/100000,"")</f>
        <v/>
      </c>
    </row>
    <row r="1256">
      <c r="F1256" s="7">
        <f>IF($A1256="","",E1256*N1256/100)</f>
        <v/>
      </c>
      <c r="J1256" s="7" t="n"/>
      <c r="K1256" s="7">
        <f>IF($A1256="","",S1256*N1256)</f>
        <v/>
      </c>
      <c r="L1256" s="7">
        <f>IF($A1256="","",N1256-K1256)</f>
        <v/>
      </c>
      <c r="M1256" s="7">
        <f>IF($A1256="","",L1256-F1256)</f>
        <v/>
      </c>
      <c r="N1256" s="7" t="n"/>
      <c r="Q1256" s="11" t="n"/>
      <c r="S1256">
        <f>IF($A1256="","",IF($W1256=1,Settings!$C$6,Settings!$C$7)*1)</f>
        <v/>
      </c>
      <c r="U1256">
        <f>IF($A1256="","",IF(COUNTIF($A$2:$A1256,$A1256)=1,1,0))</f>
        <v/>
      </c>
      <c r="V1256">
        <f>IF($U1256=1,SUMPRODUCT(--($X$2:$X$3001&lt;$X1256))+1,"")</f>
        <v/>
      </c>
      <c r="W1256">
        <f>IF($A1256="","",IF(OR($T1256=TRUE(),$T1256="TRUE"),1,0))</f>
        <v/>
      </c>
      <c r="X1256">
        <f>IF($U1256=1,IFERROR(IF(VALUE($A1256)&lt;100000000,VALUE($A1256),1000000000),IFERROR(IF(VALUE(MID($A1256,2,20))&lt;100000000,VALUE(MID($A1256,2,20)),1000000000),1000000000))+ROW()/100000,"")</f>
        <v/>
      </c>
    </row>
    <row r="1257">
      <c r="F1257" s="7">
        <f>IF($A1257="","",E1257*N1257/100)</f>
        <v/>
      </c>
      <c r="J1257" s="7" t="n"/>
      <c r="K1257" s="7">
        <f>IF($A1257="","",S1257*N1257)</f>
        <v/>
      </c>
      <c r="L1257" s="7">
        <f>IF($A1257="","",N1257-K1257)</f>
        <v/>
      </c>
      <c r="M1257" s="7">
        <f>IF($A1257="","",L1257-F1257)</f>
        <v/>
      </c>
      <c r="N1257" s="7" t="n"/>
      <c r="Q1257" s="11" t="n"/>
      <c r="S1257">
        <f>IF($A1257="","",IF($W1257=1,Settings!$C$6,Settings!$C$7)*1)</f>
        <v/>
      </c>
      <c r="U1257">
        <f>IF($A1257="","",IF(COUNTIF($A$2:$A1257,$A1257)=1,1,0))</f>
        <v/>
      </c>
      <c r="V1257">
        <f>IF($U1257=1,SUMPRODUCT(--($X$2:$X$3001&lt;$X1257))+1,"")</f>
        <v/>
      </c>
      <c r="W1257">
        <f>IF($A1257="","",IF(OR($T1257=TRUE(),$T1257="TRUE"),1,0))</f>
        <v/>
      </c>
      <c r="X1257">
        <f>IF($U1257=1,IFERROR(IF(VALUE($A1257)&lt;100000000,VALUE($A1257),1000000000),IFERROR(IF(VALUE(MID($A1257,2,20))&lt;100000000,VALUE(MID($A1257,2,20)),1000000000),1000000000))+ROW()/100000,"")</f>
        <v/>
      </c>
    </row>
    <row r="1258">
      <c r="F1258" s="7">
        <f>IF($A1258="","",E1258*N1258/100)</f>
        <v/>
      </c>
      <c r="J1258" s="7" t="n"/>
      <c r="K1258" s="7">
        <f>IF($A1258="","",S1258*N1258)</f>
        <v/>
      </c>
      <c r="L1258" s="7">
        <f>IF($A1258="","",N1258-K1258)</f>
        <v/>
      </c>
      <c r="M1258" s="7">
        <f>IF($A1258="","",L1258-F1258)</f>
        <v/>
      </c>
      <c r="N1258" s="7" t="n"/>
      <c r="Q1258" s="11" t="n"/>
      <c r="S1258">
        <f>IF($A1258="","",IF($W1258=1,Settings!$C$6,Settings!$C$7)*1)</f>
        <v/>
      </c>
      <c r="U1258">
        <f>IF($A1258="","",IF(COUNTIF($A$2:$A1258,$A1258)=1,1,0))</f>
        <v/>
      </c>
      <c r="V1258">
        <f>IF($U1258=1,SUMPRODUCT(--($X$2:$X$3001&lt;$X1258))+1,"")</f>
        <v/>
      </c>
      <c r="W1258">
        <f>IF($A1258="","",IF(OR($T1258=TRUE(),$T1258="TRUE"),1,0))</f>
        <v/>
      </c>
      <c r="X1258">
        <f>IF($U1258=1,IFERROR(IF(VALUE($A1258)&lt;100000000,VALUE($A1258),1000000000),IFERROR(IF(VALUE(MID($A1258,2,20))&lt;100000000,VALUE(MID($A1258,2,20)),1000000000),1000000000))+ROW()/100000,"")</f>
        <v/>
      </c>
    </row>
    <row r="1259">
      <c r="F1259" s="7">
        <f>IF($A1259="","",E1259*N1259/100)</f>
        <v/>
      </c>
      <c r="J1259" s="7" t="n"/>
      <c r="K1259" s="7">
        <f>IF($A1259="","",S1259*N1259)</f>
        <v/>
      </c>
      <c r="L1259" s="7">
        <f>IF($A1259="","",N1259-K1259)</f>
        <v/>
      </c>
      <c r="M1259" s="7">
        <f>IF($A1259="","",L1259-F1259)</f>
        <v/>
      </c>
      <c r="N1259" s="7" t="n"/>
      <c r="Q1259" s="11" t="n"/>
      <c r="S1259">
        <f>IF($A1259="","",IF($W1259=1,Settings!$C$6,Settings!$C$7)*1)</f>
        <v/>
      </c>
      <c r="U1259">
        <f>IF($A1259="","",IF(COUNTIF($A$2:$A1259,$A1259)=1,1,0))</f>
        <v/>
      </c>
      <c r="V1259">
        <f>IF($U1259=1,SUMPRODUCT(--($X$2:$X$3001&lt;$X1259))+1,"")</f>
        <v/>
      </c>
      <c r="W1259">
        <f>IF($A1259="","",IF(OR($T1259=TRUE(),$T1259="TRUE"),1,0))</f>
        <v/>
      </c>
      <c r="X1259">
        <f>IF($U1259=1,IFERROR(IF(VALUE($A1259)&lt;100000000,VALUE($A1259),1000000000),IFERROR(IF(VALUE(MID($A1259,2,20))&lt;100000000,VALUE(MID($A1259,2,20)),1000000000),1000000000))+ROW()/100000,"")</f>
        <v/>
      </c>
    </row>
    <row r="1260">
      <c r="F1260" s="7">
        <f>IF($A1260="","",E1260*N1260/100)</f>
        <v/>
      </c>
      <c r="J1260" s="7" t="n"/>
      <c r="K1260" s="7">
        <f>IF($A1260="","",S1260*N1260)</f>
        <v/>
      </c>
      <c r="L1260" s="7">
        <f>IF($A1260="","",N1260-K1260)</f>
        <v/>
      </c>
      <c r="M1260" s="7">
        <f>IF($A1260="","",L1260-F1260)</f>
        <v/>
      </c>
      <c r="N1260" s="7" t="n"/>
      <c r="Q1260" s="11" t="n"/>
      <c r="S1260">
        <f>IF($A1260="","",IF($W1260=1,Settings!$C$6,Settings!$C$7)*1)</f>
        <v/>
      </c>
      <c r="U1260">
        <f>IF($A1260="","",IF(COUNTIF($A$2:$A1260,$A1260)=1,1,0))</f>
        <v/>
      </c>
      <c r="V1260">
        <f>IF($U1260=1,SUMPRODUCT(--($X$2:$X$3001&lt;$X1260))+1,"")</f>
        <v/>
      </c>
      <c r="W1260">
        <f>IF($A1260="","",IF(OR($T1260=TRUE(),$T1260="TRUE"),1,0))</f>
        <v/>
      </c>
      <c r="X1260">
        <f>IF($U1260=1,IFERROR(IF(VALUE($A1260)&lt;100000000,VALUE($A1260),1000000000),IFERROR(IF(VALUE(MID($A1260,2,20))&lt;100000000,VALUE(MID($A1260,2,20)),1000000000),1000000000))+ROW()/100000,"")</f>
        <v/>
      </c>
    </row>
    <row r="1261">
      <c r="F1261" s="7">
        <f>IF($A1261="","",E1261*N1261/100)</f>
        <v/>
      </c>
      <c r="J1261" s="7" t="n"/>
      <c r="K1261" s="7">
        <f>IF($A1261="","",S1261*N1261)</f>
        <v/>
      </c>
      <c r="L1261" s="7">
        <f>IF($A1261="","",N1261-K1261)</f>
        <v/>
      </c>
      <c r="M1261" s="7">
        <f>IF($A1261="","",L1261-F1261)</f>
        <v/>
      </c>
      <c r="N1261" s="7" t="n"/>
      <c r="Q1261" s="11" t="n"/>
      <c r="S1261">
        <f>IF($A1261="","",IF($W1261=1,Settings!$C$6,Settings!$C$7)*1)</f>
        <v/>
      </c>
      <c r="U1261">
        <f>IF($A1261="","",IF(COUNTIF($A$2:$A1261,$A1261)=1,1,0))</f>
        <v/>
      </c>
      <c r="V1261">
        <f>IF($U1261=1,SUMPRODUCT(--($X$2:$X$3001&lt;$X1261))+1,"")</f>
        <v/>
      </c>
      <c r="W1261">
        <f>IF($A1261="","",IF(OR($T1261=TRUE(),$T1261="TRUE"),1,0))</f>
        <v/>
      </c>
      <c r="X1261">
        <f>IF($U1261=1,IFERROR(IF(VALUE($A1261)&lt;100000000,VALUE($A1261),1000000000),IFERROR(IF(VALUE(MID($A1261,2,20))&lt;100000000,VALUE(MID($A1261,2,20)),1000000000),1000000000))+ROW()/100000,"")</f>
        <v/>
      </c>
    </row>
    <row r="1262">
      <c r="F1262" s="7">
        <f>IF($A1262="","",E1262*N1262/100)</f>
        <v/>
      </c>
      <c r="J1262" s="7" t="n"/>
      <c r="K1262" s="7">
        <f>IF($A1262="","",S1262*N1262)</f>
        <v/>
      </c>
      <c r="L1262" s="7">
        <f>IF($A1262="","",N1262-K1262)</f>
        <v/>
      </c>
      <c r="M1262" s="7">
        <f>IF($A1262="","",L1262-F1262)</f>
        <v/>
      </c>
      <c r="N1262" s="7" t="n"/>
      <c r="Q1262" s="11" t="n"/>
      <c r="S1262">
        <f>IF($A1262="","",IF($W1262=1,Settings!$C$6,Settings!$C$7)*1)</f>
        <v/>
      </c>
      <c r="U1262">
        <f>IF($A1262="","",IF(COUNTIF($A$2:$A1262,$A1262)=1,1,0))</f>
        <v/>
      </c>
      <c r="V1262">
        <f>IF($U1262=1,SUMPRODUCT(--($X$2:$X$3001&lt;$X1262))+1,"")</f>
        <v/>
      </c>
      <c r="W1262">
        <f>IF($A1262="","",IF(OR($T1262=TRUE(),$T1262="TRUE"),1,0))</f>
        <v/>
      </c>
      <c r="X1262">
        <f>IF($U1262=1,IFERROR(IF(VALUE($A1262)&lt;100000000,VALUE($A1262),1000000000),IFERROR(IF(VALUE(MID($A1262,2,20))&lt;100000000,VALUE(MID($A1262,2,20)),1000000000),1000000000))+ROW()/100000,"")</f>
        <v/>
      </c>
    </row>
    <row r="1263">
      <c r="F1263" s="7">
        <f>IF($A1263="","",E1263*N1263/100)</f>
        <v/>
      </c>
      <c r="J1263" s="7" t="n"/>
      <c r="K1263" s="7">
        <f>IF($A1263="","",S1263*N1263)</f>
        <v/>
      </c>
      <c r="L1263" s="7">
        <f>IF($A1263="","",N1263-K1263)</f>
        <v/>
      </c>
      <c r="M1263" s="7">
        <f>IF($A1263="","",L1263-F1263)</f>
        <v/>
      </c>
      <c r="N1263" s="7" t="n"/>
      <c r="Q1263" s="11" t="n"/>
      <c r="S1263">
        <f>IF($A1263="","",IF($W1263=1,Settings!$C$6,Settings!$C$7)*1)</f>
        <v/>
      </c>
      <c r="U1263">
        <f>IF($A1263="","",IF(COUNTIF($A$2:$A1263,$A1263)=1,1,0))</f>
        <v/>
      </c>
      <c r="V1263">
        <f>IF($U1263=1,SUMPRODUCT(--($X$2:$X$3001&lt;$X1263))+1,"")</f>
        <v/>
      </c>
      <c r="W1263">
        <f>IF($A1263="","",IF(OR($T1263=TRUE(),$T1263="TRUE"),1,0))</f>
        <v/>
      </c>
      <c r="X1263">
        <f>IF($U1263=1,IFERROR(IF(VALUE($A1263)&lt;100000000,VALUE($A1263),1000000000),IFERROR(IF(VALUE(MID($A1263,2,20))&lt;100000000,VALUE(MID($A1263,2,20)),1000000000),1000000000))+ROW()/100000,"")</f>
        <v/>
      </c>
    </row>
    <row r="1264">
      <c r="F1264" s="7">
        <f>IF($A1264="","",E1264*N1264/100)</f>
        <v/>
      </c>
      <c r="J1264" s="7" t="n"/>
      <c r="K1264" s="7">
        <f>IF($A1264="","",S1264*N1264)</f>
        <v/>
      </c>
      <c r="L1264" s="7">
        <f>IF($A1264="","",N1264-K1264)</f>
        <v/>
      </c>
      <c r="M1264" s="7">
        <f>IF($A1264="","",L1264-F1264)</f>
        <v/>
      </c>
      <c r="N1264" s="7" t="n"/>
      <c r="Q1264" s="11" t="n"/>
      <c r="S1264">
        <f>IF($A1264="","",IF($W1264=1,Settings!$C$6,Settings!$C$7)*1)</f>
        <v/>
      </c>
      <c r="U1264">
        <f>IF($A1264="","",IF(COUNTIF($A$2:$A1264,$A1264)=1,1,0))</f>
        <v/>
      </c>
      <c r="V1264">
        <f>IF($U1264=1,SUMPRODUCT(--($X$2:$X$3001&lt;$X1264))+1,"")</f>
        <v/>
      </c>
      <c r="W1264">
        <f>IF($A1264="","",IF(OR($T1264=TRUE(),$T1264="TRUE"),1,0))</f>
        <v/>
      </c>
      <c r="X1264">
        <f>IF($U1264=1,IFERROR(IF(VALUE($A1264)&lt;100000000,VALUE($A1264),1000000000),IFERROR(IF(VALUE(MID($A1264,2,20))&lt;100000000,VALUE(MID($A1264,2,20)),1000000000),1000000000))+ROW()/100000,"")</f>
        <v/>
      </c>
    </row>
    <row r="1265">
      <c r="F1265" s="7">
        <f>IF($A1265="","",E1265*N1265/100)</f>
        <v/>
      </c>
      <c r="J1265" s="7" t="n"/>
      <c r="K1265" s="7">
        <f>IF($A1265="","",S1265*N1265)</f>
        <v/>
      </c>
      <c r="L1265" s="7">
        <f>IF($A1265="","",N1265-K1265)</f>
        <v/>
      </c>
      <c r="M1265" s="7">
        <f>IF($A1265="","",L1265-F1265)</f>
        <v/>
      </c>
      <c r="N1265" s="7" t="n"/>
      <c r="Q1265" s="11" t="n"/>
      <c r="S1265">
        <f>IF($A1265="","",IF($W1265=1,Settings!$C$6,Settings!$C$7)*1)</f>
        <v/>
      </c>
      <c r="U1265">
        <f>IF($A1265="","",IF(COUNTIF($A$2:$A1265,$A1265)=1,1,0))</f>
        <v/>
      </c>
      <c r="V1265">
        <f>IF($U1265=1,SUMPRODUCT(--($X$2:$X$3001&lt;$X1265))+1,"")</f>
        <v/>
      </c>
      <c r="W1265">
        <f>IF($A1265="","",IF(OR($T1265=TRUE(),$T1265="TRUE"),1,0))</f>
        <v/>
      </c>
      <c r="X1265">
        <f>IF($U1265=1,IFERROR(IF(VALUE($A1265)&lt;100000000,VALUE($A1265),1000000000),IFERROR(IF(VALUE(MID($A1265,2,20))&lt;100000000,VALUE(MID($A1265,2,20)),1000000000),1000000000))+ROW()/100000,"")</f>
        <v/>
      </c>
    </row>
    <row r="1266">
      <c r="F1266" s="7">
        <f>IF($A1266="","",E1266*N1266/100)</f>
        <v/>
      </c>
      <c r="J1266" s="7" t="n"/>
      <c r="K1266" s="7">
        <f>IF($A1266="","",S1266*N1266)</f>
        <v/>
      </c>
      <c r="L1266" s="7">
        <f>IF($A1266="","",N1266-K1266)</f>
        <v/>
      </c>
      <c r="M1266" s="7">
        <f>IF($A1266="","",L1266-F1266)</f>
        <v/>
      </c>
      <c r="N1266" s="7" t="n"/>
      <c r="Q1266" s="11" t="n"/>
      <c r="S1266">
        <f>IF($A1266="","",IF($W1266=1,Settings!$C$6,Settings!$C$7)*1)</f>
        <v/>
      </c>
      <c r="U1266">
        <f>IF($A1266="","",IF(COUNTIF($A$2:$A1266,$A1266)=1,1,0))</f>
        <v/>
      </c>
      <c r="V1266">
        <f>IF($U1266=1,SUMPRODUCT(--($X$2:$X$3001&lt;$X1266))+1,"")</f>
        <v/>
      </c>
      <c r="W1266">
        <f>IF($A1266="","",IF(OR($T1266=TRUE(),$T1266="TRUE"),1,0))</f>
        <v/>
      </c>
      <c r="X1266">
        <f>IF($U1266=1,IFERROR(IF(VALUE($A1266)&lt;100000000,VALUE($A1266),1000000000),IFERROR(IF(VALUE(MID($A1266,2,20))&lt;100000000,VALUE(MID($A1266,2,20)),1000000000),1000000000))+ROW()/100000,"")</f>
        <v/>
      </c>
    </row>
    <row r="1267">
      <c r="F1267" s="7">
        <f>IF($A1267="","",E1267*N1267/100)</f>
        <v/>
      </c>
      <c r="J1267" s="7" t="n"/>
      <c r="K1267" s="7">
        <f>IF($A1267="","",S1267*N1267)</f>
        <v/>
      </c>
      <c r="L1267" s="7">
        <f>IF($A1267="","",N1267-K1267)</f>
        <v/>
      </c>
      <c r="M1267" s="7">
        <f>IF($A1267="","",L1267-F1267)</f>
        <v/>
      </c>
      <c r="N1267" s="7" t="n"/>
      <c r="Q1267" s="11" t="n"/>
      <c r="S1267">
        <f>IF($A1267="","",IF($W1267=1,Settings!$C$6,Settings!$C$7)*1)</f>
        <v/>
      </c>
      <c r="U1267">
        <f>IF($A1267="","",IF(COUNTIF($A$2:$A1267,$A1267)=1,1,0))</f>
        <v/>
      </c>
      <c r="V1267">
        <f>IF($U1267=1,SUMPRODUCT(--($X$2:$X$3001&lt;$X1267))+1,"")</f>
        <v/>
      </c>
      <c r="W1267">
        <f>IF($A1267="","",IF(OR($T1267=TRUE(),$T1267="TRUE"),1,0))</f>
        <v/>
      </c>
      <c r="X1267">
        <f>IF($U1267=1,IFERROR(IF(VALUE($A1267)&lt;100000000,VALUE($A1267),1000000000),IFERROR(IF(VALUE(MID($A1267,2,20))&lt;100000000,VALUE(MID($A1267,2,20)),1000000000),1000000000))+ROW()/100000,"")</f>
        <v/>
      </c>
    </row>
    <row r="1268">
      <c r="F1268" s="7">
        <f>IF($A1268="","",E1268*N1268/100)</f>
        <v/>
      </c>
      <c r="J1268" s="7" t="n"/>
      <c r="K1268" s="7">
        <f>IF($A1268="","",S1268*N1268)</f>
        <v/>
      </c>
      <c r="L1268" s="7">
        <f>IF($A1268="","",N1268-K1268)</f>
        <v/>
      </c>
      <c r="M1268" s="7">
        <f>IF($A1268="","",L1268-F1268)</f>
        <v/>
      </c>
      <c r="N1268" s="7" t="n"/>
      <c r="Q1268" s="11" t="n"/>
      <c r="S1268">
        <f>IF($A1268="","",IF($W1268=1,Settings!$C$6,Settings!$C$7)*1)</f>
        <v/>
      </c>
      <c r="U1268">
        <f>IF($A1268="","",IF(COUNTIF($A$2:$A1268,$A1268)=1,1,0))</f>
        <v/>
      </c>
      <c r="V1268">
        <f>IF($U1268=1,SUMPRODUCT(--($X$2:$X$3001&lt;$X1268))+1,"")</f>
        <v/>
      </c>
      <c r="W1268">
        <f>IF($A1268="","",IF(OR($T1268=TRUE(),$T1268="TRUE"),1,0))</f>
        <v/>
      </c>
      <c r="X1268">
        <f>IF($U1268=1,IFERROR(IF(VALUE($A1268)&lt;100000000,VALUE($A1268),1000000000),IFERROR(IF(VALUE(MID($A1268,2,20))&lt;100000000,VALUE(MID($A1268,2,20)),1000000000),1000000000))+ROW()/100000,"")</f>
        <v/>
      </c>
    </row>
    <row r="1269">
      <c r="F1269" s="7">
        <f>IF($A1269="","",E1269*N1269/100)</f>
        <v/>
      </c>
      <c r="J1269" s="7" t="n"/>
      <c r="K1269" s="7">
        <f>IF($A1269="","",S1269*N1269)</f>
        <v/>
      </c>
      <c r="L1269" s="7">
        <f>IF($A1269="","",N1269-K1269)</f>
        <v/>
      </c>
      <c r="M1269" s="7">
        <f>IF($A1269="","",L1269-F1269)</f>
        <v/>
      </c>
      <c r="N1269" s="7" t="n"/>
      <c r="Q1269" s="11" t="n"/>
      <c r="S1269">
        <f>IF($A1269="","",IF($W1269=1,Settings!$C$6,Settings!$C$7)*1)</f>
        <v/>
      </c>
      <c r="U1269">
        <f>IF($A1269="","",IF(COUNTIF($A$2:$A1269,$A1269)=1,1,0))</f>
        <v/>
      </c>
      <c r="V1269">
        <f>IF($U1269=1,SUMPRODUCT(--($X$2:$X$3001&lt;$X1269))+1,"")</f>
        <v/>
      </c>
      <c r="W1269">
        <f>IF($A1269="","",IF(OR($T1269=TRUE(),$T1269="TRUE"),1,0))</f>
        <v/>
      </c>
      <c r="X1269">
        <f>IF($U1269=1,IFERROR(IF(VALUE($A1269)&lt;100000000,VALUE($A1269),1000000000),IFERROR(IF(VALUE(MID($A1269,2,20))&lt;100000000,VALUE(MID($A1269,2,20)),1000000000),1000000000))+ROW()/100000,"")</f>
        <v/>
      </c>
    </row>
    <row r="1270">
      <c r="F1270" s="7">
        <f>IF($A1270="","",E1270*N1270/100)</f>
        <v/>
      </c>
      <c r="J1270" s="7" t="n"/>
      <c r="K1270" s="7">
        <f>IF($A1270="","",S1270*N1270)</f>
        <v/>
      </c>
      <c r="L1270" s="7">
        <f>IF($A1270="","",N1270-K1270)</f>
        <v/>
      </c>
      <c r="M1270" s="7">
        <f>IF($A1270="","",L1270-F1270)</f>
        <v/>
      </c>
      <c r="N1270" s="7" t="n"/>
      <c r="Q1270" s="11" t="n"/>
      <c r="S1270">
        <f>IF($A1270="","",IF($W1270=1,Settings!$C$6,Settings!$C$7)*1)</f>
        <v/>
      </c>
      <c r="U1270">
        <f>IF($A1270="","",IF(COUNTIF($A$2:$A1270,$A1270)=1,1,0))</f>
        <v/>
      </c>
      <c r="V1270">
        <f>IF($U1270=1,SUMPRODUCT(--($X$2:$X$3001&lt;$X1270))+1,"")</f>
        <v/>
      </c>
      <c r="W1270">
        <f>IF($A1270="","",IF(OR($T1270=TRUE(),$T1270="TRUE"),1,0))</f>
        <v/>
      </c>
      <c r="X1270">
        <f>IF($U1270=1,IFERROR(IF(VALUE($A1270)&lt;100000000,VALUE($A1270),1000000000),IFERROR(IF(VALUE(MID($A1270,2,20))&lt;100000000,VALUE(MID($A1270,2,20)),1000000000),1000000000))+ROW()/100000,"")</f>
        <v/>
      </c>
    </row>
    <row r="1271">
      <c r="F1271" s="7">
        <f>IF($A1271="","",E1271*N1271/100)</f>
        <v/>
      </c>
      <c r="J1271" s="7" t="n"/>
      <c r="K1271" s="7">
        <f>IF($A1271="","",S1271*N1271)</f>
        <v/>
      </c>
      <c r="L1271" s="7">
        <f>IF($A1271="","",N1271-K1271)</f>
        <v/>
      </c>
      <c r="M1271" s="7">
        <f>IF($A1271="","",L1271-F1271)</f>
        <v/>
      </c>
      <c r="N1271" s="7" t="n"/>
      <c r="Q1271" s="11" t="n"/>
      <c r="S1271">
        <f>IF($A1271="","",IF($W1271=1,Settings!$C$6,Settings!$C$7)*1)</f>
        <v/>
      </c>
      <c r="U1271">
        <f>IF($A1271="","",IF(COUNTIF($A$2:$A1271,$A1271)=1,1,0))</f>
        <v/>
      </c>
      <c r="V1271">
        <f>IF($U1271=1,SUMPRODUCT(--($X$2:$X$3001&lt;$X1271))+1,"")</f>
        <v/>
      </c>
      <c r="W1271">
        <f>IF($A1271="","",IF(OR($T1271=TRUE(),$T1271="TRUE"),1,0))</f>
        <v/>
      </c>
      <c r="X1271">
        <f>IF($U1271=1,IFERROR(IF(VALUE($A1271)&lt;100000000,VALUE($A1271),1000000000),IFERROR(IF(VALUE(MID($A1271,2,20))&lt;100000000,VALUE(MID($A1271,2,20)),1000000000),1000000000))+ROW()/100000,"")</f>
        <v/>
      </c>
    </row>
    <row r="1272">
      <c r="F1272" s="7">
        <f>IF($A1272="","",E1272*N1272/100)</f>
        <v/>
      </c>
      <c r="J1272" s="7" t="n"/>
      <c r="K1272" s="7">
        <f>IF($A1272="","",S1272*N1272)</f>
        <v/>
      </c>
      <c r="L1272" s="7">
        <f>IF($A1272="","",N1272-K1272)</f>
        <v/>
      </c>
      <c r="M1272" s="7">
        <f>IF($A1272="","",L1272-F1272)</f>
        <v/>
      </c>
      <c r="N1272" s="7" t="n"/>
      <c r="Q1272" s="11" t="n"/>
      <c r="S1272">
        <f>IF($A1272="","",IF($W1272=1,Settings!$C$6,Settings!$C$7)*1)</f>
        <v/>
      </c>
      <c r="U1272">
        <f>IF($A1272="","",IF(COUNTIF($A$2:$A1272,$A1272)=1,1,0))</f>
        <v/>
      </c>
      <c r="V1272">
        <f>IF($U1272=1,SUMPRODUCT(--($X$2:$X$3001&lt;$X1272))+1,"")</f>
        <v/>
      </c>
      <c r="W1272">
        <f>IF($A1272="","",IF(OR($T1272=TRUE(),$T1272="TRUE"),1,0))</f>
        <v/>
      </c>
      <c r="X1272">
        <f>IF($U1272=1,IFERROR(IF(VALUE($A1272)&lt;100000000,VALUE($A1272),1000000000),IFERROR(IF(VALUE(MID($A1272,2,20))&lt;100000000,VALUE(MID($A1272,2,20)),1000000000),1000000000))+ROW()/100000,"")</f>
        <v/>
      </c>
    </row>
    <row r="1273">
      <c r="F1273" s="7">
        <f>IF($A1273="","",E1273*N1273/100)</f>
        <v/>
      </c>
      <c r="J1273" s="7" t="n"/>
      <c r="K1273" s="7">
        <f>IF($A1273="","",S1273*N1273)</f>
        <v/>
      </c>
      <c r="L1273" s="7">
        <f>IF($A1273="","",N1273-K1273)</f>
        <v/>
      </c>
      <c r="M1273" s="7">
        <f>IF($A1273="","",L1273-F1273)</f>
        <v/>
      </c>
      <c r="N1273" s="7" t="n"/>
      <c r="Q1273" s="11" t="n"/>
      <c r="S1273">
        <f>IF($A1273="","",IF($W1273=1,Settings!$C$6,Settings!$C$7)*1)</f>
        <v/>
      </c>
      <c r="U1273">
        <f>IF($A1273="","",IF(COUNTIF($A$2:$A1273,$A1273)=1,1,0))</f>
        <v/>
      </c>
      <c r="V1273">
        <f>IF($U1273=1,SUMPRODUCT(--($X$2:$X$3001&lt;$X1273))+1,"")</f>
        <v/>
      </c>
      <c r="W1273">
        <f>IF($A1273="","",IF(OR($T1273=TRUE(),$T1273="TRUE"),1,0))</f>
        <v/>
      </c>
      <c r="X1273">
        <f>IF($U1273=1,IFERROR(IF(VALUE($A1273)&lt;100000000,VALUE($A1273),1000000000),IFERROR(IF(VALUE(MID($A1273,2,20))&lt;100000000,VALUE(MID($A1273,2,20)),1000000000),1000000000))+ROW()/100000,"")</f>
        <v/>
      </c>
    </row>
    <row r="1274">
      <c r="F1274" s="7">
        <f>IF($A1274="","",E1274*N1274/100)</f>
        <v/>
      </c>
      <c r="J1274" s="7" t="n"/>
      <c r="K1274" s="7">
        <f>IF($A1274="","",S1274*N1274)</f>
        <v/>
      </c>
      <c r="L1274" s="7">
        <f>IF($A1274="","",N1274-K1274)</f>
        <v/>
      </c>
      <c r="M1274" s="7">
        <f>IF($A1274="","",L1274-F1274)</f>
        <v/>
      </c>
      <c r="N1274" s="7" t="n"/>
      <c r="Q1274" s="11" t="n"/>
      <c r="S1274">
        <f>IF($A1274="","",IF($W1274=1,Settings!$C$6,Settings!$C$7)*1)</f>
        <v/>
      </c>
      <c r="U1274">
        <f>IF($A1274="","",IF(COUNTIF($A$2:$A1274,$A1274)=1,1,0))</f>
        <v/>
      </c>
      <c r="V1274">
        <f>IF($U1274=1,SUMPRODUCT(--($X$2:$X$3001&lt;$X1274))+1,"")</f>
        <v/>
      </c>
      <c r="W1274">
        <f>IF($A1274="","",IF(OR($T1274=TRUE(),$T1274="TRUE"),1,0))</f>
        <v/>
      </c>
      <c r="X1274">
        <f>IF($U1274=1,IFERROR(IF(VALUE($A1274)&lt;100000000,VALUE($A1274),1000000000),IFERROR(IF(VALUE(MID($A1274,2,20))&lt;100000000,VALUE(MID($A1274,2,20)),1000000000),1000000000))+ROW()/100000,"")</f>
        <v/>
      </c>
    </row>
    <row r="1275">
      <c r="F1275" s="7">
        <f>IF($A1275="","",E1275*N1275/100)</f>
        <v/>
      </c>
      <c r="J1275" s="7" t="n"/>
      <c r="K1275" s="7">
        <f>IF($A1275="","",S1275*N1275)</f>
        <v/>
      </c>
      <c r="L1275" s="7">
        <f>IF($A1275="","",N1275-K1275)</f>
        <v/>
      </c>
      <c r="M1275" s="7">
        <f>IF($A1275="","",L1275-F1275)</f>
        <v/>
      </c>
      <c r="N1275" s="7" t="n"/>
      <c r="Q1275" s="11" t="n"/>
      <c r="S1275">
        <f>IF($A1275="","",IF($W1275=1,Settings!$C$6,Settings!$C$7)*1)</f>
        <v/>
      </c>
      <c r="U1275">
        <f>IF($A1275="","",IF(COUNTIF($A$2:$A1275,$A1275)=1,1,0))</f>
        <v/>
      </c>
      <c r="V1275">
        <f>IF($U1275=1,SUMPRODUCT(--($X$2:$X$3001&lt;$X1275))+1,"")</f>
        <v/>
      </c>
      <c r="W1275">
        <f>IF($A1275="","",IF(OR($T1275=TRUE(),$T1275="TRUE"),1,0))</f>
        <v/>
      </c>
      <c r="X1275">
        <f>IF($U1275=1,IFERROR(IF(VALUE($A1275)&lt;100000000,VALUE($A1275),1000000000),IFERROR(IF(VALUE(MID($A1275,2,20))&lt;100000000,VALUE(MID($A1275,2,20)),1000000000),1000000000))+ROW()/100000,"")</f>
        <v/>
      </c>
    </row>
    <row r="1276">
      <c r="F1276" s="7">
        <f>IF($A1276="","",E1276*N1276/100)</f>
        <v/>
      </c>
      <c r="J1276" s="7" t="n"/>
      <c r="K1276" s="7">
        <f>IF($A1276="","",S1276*N1276)</f>
        <v/>
      </c>
      <c r="L1276" s="7">
        <f>IF($A1276="","",N1276-K1276)</f>
        <v/>
      </c>
      <c r="M1276" s="7">
        <f>IF($A1276="","",L1276-F1276)</f>
        <v/>
      </c>
      <c r="N1276" s="7" t="n"/>
      <c r="Q1276" s="11" t="n"/>
      <c r="S1276">
        <f>IF($A1276="","",IF($W1276=1,Settings!$C$6,Settings!$C$7)*1)</f>
        <v/>
      </c>
      <c r="U1276">
        <f>IF($A1276="","",IF(COUNTIF($A$2:$A1276,$A1276)=1,1,0))</f>
        <v/>
      </c>
      <c r="V1276">
        <f>IF($U1276=1,SUMPRODUCT(--($X$2:$X$3001&lt;$X1276))+1,"")</f>
        <v/>
      </c>
      <c r="W1276">
        <f>IF($A1276="","",IF(OR($T1276=TRUE(),$T1276="TRUE"),1,0))</f>
        <v/>
      </c>
      <c r="X1276">
        <f>IF($U1276=1,IFERROR(IF(VALUE($A1276)&lt;100000000,VALUE($A1276),1000000000),IFERROR(IF(VALUE(MID($A1276,2,20))&lt;100000000,VALUE(MID($A1276,2,20)),1000000000),1000000000))+ROW()/100000,"")</f>
        <v/>
      </c>
    </row>
    <row r="1277">
      <c r="F1277" s="7">
        <f>IF($A1277="","",E1277*N1277/100)</f>
        <v/>
      </c>
      <c r="J1277" s="7" t="n"/>
      <c r="K1277" s="7">
        <f>IF($A1277="","",S1277*N1277)</f>
        <v/>
      </c>
      <c r="L1277" s="7">
        <f>IF($A1277="","",N1277-K1277)</f>
        <v/>
      </c>
      <c r="M1277" s="7">
        <f>IF($A1277="","",L1277-F1277)</f>
        <v/>
      </c>
      <c r="N1277" s="7" t="n"/>
      <c r="Q1277" s="11" t="n"/>
      <c r="S1277">
        <f>IF($A1277="","",IF($W1277=1,Settings!$C$6,Settings!$C$7)*1)</f>
        <v/>
      </c>
      <c r="U1277">
        <f>IF($A1277="","",IF(COUNTIF($A$2:$A1277,$A1277)=1,1,0))</f>
        <v/>
      </c>
      <c r="V1277">
        <f>IF($U1277=1,SUMPRODUCT(--($X$2:$X$3001&lt;$X1277))+1,"")</f>
        <v/>
      </c>
      <c r="W1277">
        <f>IF($A1277="","",IF(OR($T1277=TRUE(),$T1277="TRUE"),1,0))</f>
        <v/>
      </c>
      <c r="X1277">
        <f>IF($U1277=1,IFERROR(IF(VALUE($A1277)&lt;100000000,VALUE($A1277),1000000000),IFERROR(IF(VALUE(MID($A1277,2,20))&lt;100000000,VALUE(MID($A1277,2,20)),1000000000),1000000000))+ROW()/100000,"")</f>
        <v/>
      </c>
    </row>
    <row r="1278">
      <c r="F1278" s="7">
        <f>IF($A1278="","",E1278*N1278/100)</f>
        <v/>
      </c>
      <c r="J1278" s="7" t="n"/>
      <c r="K1278" s="7">
        <f>IF($A1278="","",S1278*N1278)</f>
        <v/>
      </c>
      <c r="L1278" s="7">
        <f>IF($A1278="","",N1278-K1278)</f>
        <v/>
      </c>
      <c r="M1278" s="7">
        <f>IF($A1278="","",L1278-F1278)</f>
        <v/>
      </c>
      <c r="N1278" s="7" t="n"/>
      <c r="Q1278" s="11" t="n"/>
      <c r="S1278">
        <f>IF($A1278="","",IF($W1278=1,Settings!$C$6,Settings!$C$7)*1)</f>
        <v/>
      </c>
      <c r="U1278">
        <f>IF($A1278="","",IF(COUNTIF($A$2:$A1278,$A1278)=1,1,0))</f>
        <v/>
      </c>
      <c r="V1278">
        <f>IF($U1278=1,SUMPRODUCT(--($X$2:$X$3001&lt;$X1278))+1,"")</f>
        <v/>
      </c>
      <c r="W1278">
        <f>IF($A1278="","",IF(OR($T1278=TRUE(),$T1278="TRUE"),1,0))</f>
        <v/>
      </c>
      <c r="X1278">
        <f>IF($U1278=1,IFERROR(IF(VALUE($A1278)&lt;100000000,VALUE($A1278),1000000000),IFERROR(IF(VALUE(MID($A1278,2,20))&lt;100000000,VALUE(MID($A1278,2,20)),1000000000),1000000000))+ROW()/100000,"")</f>
        <v/>
      </c>
    </row>
    <row r="1279">
      <c r="F1279" s="7">
        <f>IF($A1279="","",E1279*N1279/100)</f>
        <v/>
      </c>
      <c r="J1279" s="7" t="n"/>
      <c r="K1279" s="7">
        <f>IF($A1279="","",S1279*N1279)</f>
        <v/>
      </c>
      <c r="L1279" s="7">
        <f>IF($A1279="","",N1279-K1279)</f>
        <v/>
      </c>
      <c r="M1279" s="7">
        <f>IF($A1279="","",L1279-F1279)</f>
        <v/>
      </c>
      <c r="N1279" s="7" t="n"/>
      <c r="Q1279" s="11" t="n"/>
      <c r="S1279">
        <f>IF($A1279="","",IF($W1279=1,Settings!$C$6,Settings!$C$7)*1)</f>
        <v/>
      </c>
      <c r="U1279">
        <f>IF($A1279="","",IF(COUNTIF($A$2:$A1279,$A1279)=1,1,0))</f>
        <v/>
      </c>
      <c r="V1279">
        <f>IF($U1279=1,SUMPRODUCT(--($X$2:$X$3001&lt;$X1279))+1,"")</f>
        <v/>
      </c>
      <c r="W1279">
        <f>IF($A1279="","",IF(OR($T1279=TRUE(),$T1279="TRUE"),1,0))</f>
        <v/>
      </c>
      <c r="X1279">
        <f>IF($U1279=1,IFERROR(IF(VALUE($A1279)&lt;100000000,VALUE($A1279),1000000000),IFERROR(IF(VALUE(MID($A1279,2,20))&lt;100000000,VALUE(MID($A1279,2,20)),1000000000),1000000000))+ROW()/100000,"")</f>
        <v/>
      </c>
    </row>
    <row r="1280">
      <c r="F1280" s="7">
        <f>IF($A1280="","",E1280*N1280/100)</f>
        <v/>
      </c>
      <c r="J1280" s="7" t="n"/>
      <c r="K1280" s="7">
        <f>IF($A1280="","",S1280*N1280)</f>
        <v/>
      </c>
      <c r="L1280" s="7">
        <f>IF($A1280="","",N1280-K1280)</f>
        <v/>
      </c>
      <c r="M1280" s="7">
        <f>IF($A1280="","",L1280-F1280)</f>
        <v/>
      </c>
      <c r="N1280" s="7" t="n"/>
      <c r="Q1280" s="11" t="n"/>
      <c r="S1280">
        <f>IF($A1280="","",IF($W1280=1,Settings!$C$6,Settings!$C$7)*1)</f>
        <v/>
      </c>
      <c r="U1280">
        <f>IF($A1280="","",IF(COUNTIF($A$2:$A1280,$A1280)=1,1,0))</f>
        <v/>
      </c>
      <c r="V1280">
        <f>IF($U1280=1,SUMPRODUCT(--($X$2:$X$3001&lt;$X1280))+1,"")</f>
        <v/>
      </c>
      <c r="W1280">
        <f>IF($A1280="","",IF(OR($T1280=TRUE(),$T1280="TRUE"),1,0))</f>
        <v/>
      </c>
      <c r="X1280">
        <f>IF($U1280=1,IFERROR(IF(VALUE($A1280)&lt;100000000,VALUE($A1280),1000000000),IFERROR(IF(VALUE(MID($A1280,2,20))&lt;100000000,VALUE(MID($A1280,2,20)),1000000000),1000000000))+ROW()/100000,"")</f>
        <v/>
      </c>
    </row>
    <row r="1281">
      <c r="F1281" s="7">
        <f>IF($A1281="","",E1281*N1281/100)</f>
        <v/>
      </c>
      <c r="J1281" s="7" t="n"/>
      <c r="K1281" s="7">
        <f>IF($A1281="","",S1281*N1281)</f>
        <v/>
      </c>
      <c r="L1281" s="7">
        <f>IF($A1281="","",N1281-K1281)</f>
        <v/>
      </c>
      <c r="M1281" s="7">
        <f>IF($A1281="","",L1281-F1281)</f>
        <v/>
      </c>
      <c r="N1281" s="7" t="n"/>
      <c r="Q1281" s="11" t="n"/>
      <c r="S1281">
        <f>IF($A1281="","",IF($W1281=1,Settings!$C$6,Settings!$C$7)*1)</f>
        <v/>
      </c>
      <c r="U1281">
        <f>IF($A1281="","",IF(COUNTIF($A$2:$A1281,$A1281)=1,1,0))</f>
        <v/>
      </c>
      <c r="V1281">
        <f>IF($U1281=1,SUMPRODUCT(--($X$2:$X$3001&lt;$X1281))+1,"")</f>
        <v/>
      </c>
      <c r="W1281">
        <f>IF($A1281="","",IF(OR($T1281=TRUE(),$T1281="TRUE"),1,0))</f>
        <v/>
      </c>
      <c r="X1281">
        <f>IF($U1281=1,IFERROR(IF(VALUE($A1281)&lt;100000000,VALUE($A1281),1000000000),IFERROR(IF(VALUE(MID($A1281,2,20))&lt;100000000,VALUE(MID($A1281,2,20)),1000000000),1000000000))+ROW()/100000,"")</f>
        <v/>
      </c>
    </row>
    <row r="1282">
      <c r="F1282" s="7">
        <f>IF($A1282="","",E1282*N1282/100)</f>
        <v/>
      </c>
      <c r="J1282" s="7" t="n"/>
      <c r="K1282" s="7">
        <f>IF($A1282="","",S1282*N1282)</f>
        <v/>
      </c>
      <c r="L1282" s="7">
        <f>IF($A1282="","",N1282-K1282)</f>
        <v/>
      </c>
      <c r="M1282" s="7">
        <f>IF($A1282="","",L1282-F1282)</f>
        <v/>
      </c>
      <c r="N1282" s="7" t="n"/>
      <c r="Q1282" s="11" t="n"/>
      <c r="S1282">
        <f>IF($A1282="","",IF($W1282=1,Settings!$C$6,Settings!$C$7)*1)</f>
        <v/>
      </c>
      <c r="U1282">
        <f>IF($A1282="","",IF(COUNTIF($A$2:$A1282,$A1282)=1,1,0))</f>
        <v/>
      </c>
      <c r="V1282">
        <f>IF($U1282=1,SUMPRODUCT(--($X$2:$X$3001&lt;$X1282))+1,"")</f>
        <v/>
      </c>
      <c r="W1282">
        <f>IF($A1282="","",IF(OR($T1282=TRUE(),$T1282="TRUE"),1,0))</f>
        <v/>
      </c>
      <c r="X1282">
        <f>IF($U1282=1,IFERROR(IF(VALUE($A1282)&lt;100000000,VALUE($A1282),1000000000),IFERROR(IF(VALUE(MID($A1282,2,20))&lt;100000000,VALUE(MID($A1282,2,20)),1000000000),1000000000))+ROW()/100000,"")</f>
        <v/>
      </c>
    </row>
    <row r="1283">
      <c r="F1283" s="7">
        <f>IF($A1283="","",E1283*N1283/100)</f>
        <v/>
      </c>
      <c r="J1283" s="7" t="n"/>
      <c r="K1283" s="7">
        <f>IF($A1283="","",S1283*N1283)</f>
        <v/>
      </c>
      <c r="L1283" s="7">
        <f>IF($A1283="","",N1283-K1283)</f>
        <v/>
      </c>
      <c r="M1283" s="7">
        <f>IF($A1283="","",L1283-F1283)</f>
        <v/>
      </c>
      <c r="N1283" s="7" t="n"/>
      <c r="Q1283" s="11" t="n"/>
      <c r="S1283">
        <f>IF($A1283="","",IF($W1283=1,Settings!$C$6,Settings!$C$7)*1)</f>
        <v/>
      </c>
      <c r="U1283">
        <f>IF($A1283="","",IF(COUNTIF($A$2:$A1283,$A1283)=1,1,0))</f>
        <v/>
      </c>
      <c r="V1283">
        <f>IF($U1283=1,SUMPRODUCT(--($X$2:$X$3001&lt;$X1283))+1,"")</f>
        <v/>
      </c>
      <c r="W1283">
        <f>IF($A1283="","",IF(OR($T1283=TRUE(),$T1283="TRUE"),1,0))</f>
        <v/>
      </c>
      <c r="X1283">
        <f>IF($U1283=1,IFERROR(IF(VALUE($A1283)&lt;100000000,VALUE($A1283),1000000000),IFERROR(IF(VALUE(MID($A1283,2,20))&lt;100000000,VALUE(MID($A1283,2,20)),1000000000),1000000000))+ROW()/100000,"")</f>
        <v/>
      </c>
    </row>
    <row r="1284">
      <c r="F1284" s="7">
        <f>IF($A1284="","",E1284*N1284/100)</f>
        <v/>
      </c>
      <c r="J1284" s="7" t="n"/>
      <c r="K1284" s="7">
        <f>IF($A1284="","",S1284*N1284)</f>
        <v/>
      </c>
      <c r="L1284" s="7">
        <f>IF($A1284="","",N1284-K1284)</f>
        <v/>
      </c>
      <c r="M1284" s="7">
        <f>IF($A1284="","",L1284-F1284)</f>
        <v/>
      </c>
      <c r="N1284" s="7" t="n"/>
      <c r="Q1284" s="11" t="n"/>
      <c r="S1284">
        <f>IF($A1284="","",IF($W1284=1,Settings!$C$6,Settings!$C$7)*1)</f>
        <v/>
      </c>
      <c r="U1284">
        <f>IF($A1284="","",IF(COUNTIF($A$2:$A1284,$A1284)=1,1,0))</f>
        <v/>
      </c>
      <c r="V1284">
        <f>IF($U1284=1,SUMPRODUCT(--($X$2:$X$3001&lt;$X1284))+1,"")</f>
        <v/>
      </c>
      <c r="W1284">
        <f>IF($A1284="","",IF(OR($T1284=TRUE(),$T1284="TRUE"),1,0))</f>
        <v/>
      </c>
      <c r="X1284">
        <f>IF($U1284=1,IFERROR(IF(VALUE($A1284)&lt;100000000,VALUE($A1284),1000000000),IFERROR(IF(VALUE(MID($A1284,2,20))&lt;100000000,VALUE(MID($A1284,2,20)),1000000000),1000000000))+ROW()/100000,"")</f>
        <v/>
      </c>
    </row>
    <row r="1285">
      <c r="F1285" s="7">
        <f>IF($A1285="","",E1285*N1285/100)</f>
        <v/>
      </c>
      <c r="J1285" s="7" t="n"/>
      <c r="K1285" s="7">
        <f>IF($A1285="","",S1285*N1285)</f>
        <v/>
      </c>
      <c r="L1285" s="7">
        <f>IF($A1285="","",N1285-K1285)</f>
        <v/>
      </c>
      <c r="M1285" s="7">
        <f>IF($A1285="","",L1285-F1285)</f>
        <v/>
      </c>
      <c r="N1285" s="7" t="n"/>
      <c r="Q1285" s="11" t="n"/>
      <c r="S1285">
        <f>IF($A1285="","",IF($W1285=1,Settings!$C$6,Settings!$C$7)*1)</f>
        <v/>
      </c>
      <c r="U1285">
        <f>IF($A1285="","",IF(COUNTIF($A$2:$A1285,$A1285)=1,1,0))</f>
        <v/>
      </c>
      <c r="V1285">
        <f>IF($U1285=1,SUMPRODUCT(--($X$2:$X$3001&lt;$X1285))+1,"")</f>
        <v/>
      </c>
      <c r="W1285">
        <f>IF($A1285="","",IF(OR($T1285=TRUE(),$T1285="TRUE"),1,0))</f>
        <v/>
      </c>
      <c r="X1285">
        <f>IF($U1285=1,IFERROR(IF(VALUE($A1285)&lt;100000000,VALUE($A1285),1000000000),IFERROR(IF(VALUE(MID($A1285,2,20))&lt;100000000,VALUE(MID($A1285,2,20)),1000000000),1000000000))+ROW()/100000,"")</f>
        <v/>
      </c>
    </row>
    <row r="1286">
      <c r="F1286" s="7">
        <f>IF($A1286="","",E1286*N1286/100)</f>
        <v/>
      </c>
      <c r="J1286" s="7" t="n"/>
      <c r="K1286" s="7">
        <f>IF($A1286="","",S1286*N1286)</f>
        <v/>
      </c>
      <c r="L1286" s="7">
        <f>IF($A1286="","",N1286-K1286)</f>
        <v/>
      </c>
      <c r="M1286" s="7">
        <f>IF($A1286="","",L1286-F1286)</f>
        <v/>
      </c>
      <c r="N1286" s="7" t="n"/>
      <c r="Q1286" s="11" t="n"/>
      <c r="S1286">
        <f>IF($A1286="","",IF($W1286=1,Settings!$C$6,Settings!$C$7)*1)</f>
        <v/>
      </c>
      <c r="U1286">
        <f>IF($A1286="","",IF(COUNTIF($A$2:$A1286,$A1286)=1,1,0))</f>
        <v/>
      </c>
      <c r="V1286">
        <f>IF($U1286=1,SUMPRODUCT(--($X$2:$X$3001&lt;$X1286))+1,"")</f>
        <v/>
      </c>
      <c r="W1286">
        <f>IF($A1286="","",IF(OR($T1286=TRUE(),$T1286="TRUE"),1,0))</f>
        <v/>
      </c>
      <c r="X1286">
        <f>IF($U1286=1,IFERROR(IF(VALUE($A1286)&lt;100000000,VALUE($A1286),1000000000),IFERROR(IF(VALUE(MID($A1286,2,20))&lt;100000000,VALUE(MID($A1286,2,20)),1000000000),1000000000))+ROW()/100000,"")</f>
        <v/>
      </c>
    </row>
    <row r="1287">
      <c r="F1287" s="7">
        <f>IF($A1287="","",E1287*N1287/100)</f>
        <v/>
      </c>
      <c r="J1287" s="7" t="n"/>
      <c r="K1287" s="7">
        <f>IF($A1287="","",S1287*N1287)</f>
        <v/>
      </c>
      <c r="L1287" s="7">
        <f>IF($A1287="","",N1287-K1287)</f>
        <v/>
      </c>
      <c r="M1287" s="7">
        <f>IF($A1287="","",L1287-F1287)</f>
        <v/>
      </c>
      <c r="N1287" s="7" t="n"/>
      <c r="Q1287" s="11" t="n"/>
      <c r="S1287">
        <f>IF($A1287="","",IF($W1287=1,Settings!$C$6,Settings!$C$7)*1)</f>
        <v/>
      </c>
      <c r="U1287">
        <f>IF($A1287="","",IF(COUNTIF($A$2:$A1287,$A1287)=1,1,0))</f>
        <v/>
      </c>
      <c r="V1287">
        <f>IF($U1287=1,SUMPRODUCT(--($X$2:$X$3001&lt;$X1287))+1,"")</f>
        <v/>
      </c>
      <c r="W1287">
        <f>IF($A1287="","",IF(OR($T1287=TRUE(),$T1287="TRUE"),1,0))</f>
        <v/>
      </c>
      <c r="X1287">
        <f>IF($U1287=1,IFERROR(IF(VALUE($A1287)&lt;100000000,VALUE($A1287),1000000000),IFERROR(IF(VALUE(MID($A1287,2,20))&lt;100000000,VALUE(MID($A1287,2,20)),1000000000),1000000000))+ROW()/100000,"")</f>
        <v/>
      </c>
    </row>
    <row r="1288">
      <c r="F1288" s="7">
        <f>IF($A1288="","",E1288*N1288/100)</f>
        <v/>
      </c>
      <c r="J1288" s="7" t="n"/>
      <c r="K1288" s="7">
        <f>IF($A1288="","",S1288*N1288)</f>
        <v/>
      </c>
      <c r="L1288" s="7">
        <f>IF($A1288="","",N1288-K1288)</f>
        <v/>
      </c>
      <c r="M1288" s="7">
        <f>IF($A1288="","",L1288-F1288)</f>
        <v/>
      </c>
      <c r="N1288" s="7" t="n"/>
      <c r="Q1288" s="11" t="n"/>
      <c r="S1288">
        <f>IF($A1288="","",IF($W1288=1,Settings!$C$6,Settings!$C$7)*1)</f>
        <v/>
      </c>
      <c r="U1288">
        <f>IF($A1288="","",IF(COUNTIF($A$2:$A1288,$A1288)=1,1,0))</f>
        <v/>
      </c>
      <c r="V1288">
        <f>IF($U1288=1,SUMPRODUCT(--($X$2:$X$3001&lt;$X1288))+1,"")</f>
        <v/>
      </c>
      <c r="W1288">
        <f>IF($A1288="","",IF(OR($T1288=TRUE(),$T1288="TRUE"),1,0))</f>
        <v/>
      </c>
      <c r="X1288">
        <f>IF($U1288=1,IFERROR(IF(VALUE($A1288)&lt;100000000,VALUE($A1288),1000000000),IFERROR(IF(VALUE(MID($A1288,2,20))&lt;100000000,VALUE(MID($A1288,2,20)),1000000000),1000000000))+ROW()/100000,"")</f>
        <v/>
      </c>
    </row>
    <row r="1289">
      <c r="F1289" s="7">
        <f>IF($A1289="","",E1289*N1289/100)</f>
        <v/>
      </c>
      <c r="J1289" s="7" t="n"/>
      <c r="K1289" s="7">
        <f>IF($A1289="","",S1289*N1289)</f>
        <v/>
      </c>
      <c r="L1289" s="7">
        <f>IF($A1289="","",N1289-K1289)</f>
        <v/>
      </c>
      <c r="M1289" s="7">
        <f>IF($A1289="","",L1289-F1289)</f>
        <v/>
      </c>
      <c r="N1289" s="7" t="n"/>
      <c r="Q1289" s="11" t="n"/>
      <c r="S1289">
        <f>IF($A1289="","",IF($W1289=1,Settings!$C$6,Settings!$C$7)*1)</f>
        <v/>
      </c>
      <c r="U1289">
        <f>IF($A1289="","",IF(COUNTIF($A$2:$A1289,$A1289)=1,1,0))</f>
        <v/>
      </c>
      <c r="V1289">
        <f>IF($U1289=1,SUMPRODUCT(--($X$2:$X$3001&lt;$X1289))+1,"")</f>
        <v/>
      </c>
      <c r="W1289">
        <f>IF($A1289="","",IF(OR($T1289=TRUE(),$T1289="TRUE"),1,0))</f>
        <v/>
      </c>
      <c r="X1289">
        <f>IF($U1289=1,IFERROR(IF(VALUE($A1289)&lt;100000000,VALUE($A1289),1000000000),IFERROR(IF(VALUE(MID($A1289,2,20))&lt;100000000,VALUE(MID($A1289,2,20)),1000000000),1000000000))+ROW()/100000,"")</f>
        <v/>
      </c>
    </row>
    <row r="1290">
      <c r="F1290" s="7">
        <f>IF($A1290="","",E1290*N1290/100)</f>
        <v/>
      </c>
      <c r="J1290" s="7" t="n"/>
      <c r="K1290" s="7">
        <f>IF($A1290="","",S1290*N1290)</f>
        <v/>
      </c>
      <c r="L1290" s="7">
        <f>IF($A1290="","",N1290-K1290)</f>
        <v/>
      </c>
      <c r="M1290" s="7">
        <f>IF($A1290="","",L1290-F1290)</f>
        <v/>
      </c>
      <c r="N1290" s="7" t="n"/>
      <c r="Q1290" s="11" t="n"/>
      <c r="S1290">
        <f>IF($A1290="","",IF($W1290=1,Settings!$C$6,Settings!$C$7)*1)</f>
        <v/>
      </c>
      <c r="U1290">
        <f>IF($A1290="","",IF(COUNTIF($A$2:$A1290,$A1290)=1,1,0))</f>
        <v/>
      </c>
      <c r="V1290">
        <f>IF($U1290=1,SUMPRODUCT(--($X$2:$X$3001&lt;$X1290))+1,"")</f>
        <v/>
      </c>
      <c r="W1290">
        <f>IF($A1290="","",IF(OR($T1290=TRUE(),$T1290="TRUE"),1,0))</f>
        <v/>
      </c>
      <c r="X1290">
        <f>IF($U1290=1,IFERROR(IF(VALUE($A1290)&lt;100000000,VALUE($A1290),1000000000),IFERROR(IF(VALUE(MID($A1290,2,20))&lt;100000000,VALUE(MID($A1290,2,20)),1000000000),1000000000))+ROW()/100000,"")</f>
        <v/>
      </c>
    </row>
    <row r="1291">
      <c r="F1291" s="7">
        <f>IF($A1291="","",E1291*N1291/100)</f>
        <v/>
      </c>
      <c r="J1291" s="7" t="n"/>
      <c r="K1291" s="7">
        <f>IF($A1291="","",S1291*N1291)</f>
        <v/>
      </c>
      <c r="L1291" s="7">
        <f>IF($A1291="","",N1291-K1291)</f>
        <v/>
      </c>
      <c r="M1291" s="7">
        <f>IF($A1291="","",L1291-F1291)</f>
        <v/>
      </c>
      <c r="N1291" s="7" t="n"/>
      <c r="Q1291" s="11" t="n"/>
      <c r="S1291">
        <f>IF($A1291="","",IF($W1291=1,Settings!$C$6,Settings!$C$7)*1)</f>
        <v/>
      </c>
      <c r="U1291">
        <f>IF($A1291="","",IF(COUNTIF($A$2:$A1291,$A1291)=1,1,0))</f>
        <v/>
      </c>
      <c r="V1291">
        <f>IF($U1291=1,SUMPRODUCT(--($X$2:$X$3001&lt;$X1291))+1,"")</f>
        <v/>
      </c>
      <c r="W1291">
        <f>IF($A1291="","",IF(OR($T1291=TRUE(),$T1291="TRUE"),1,0))</f>
        <v/>
      </c>
      <c r="X1291">
        <f>IF($U1291=1,IFERROR(IF(VALUE($A1291)&lt;100000000,VALUE($A1291),1000000000),IFERROR(IF(VALUE(MID($A1291,2,20))&lt;100000000,VALUE(MID($A1291,2,20)),1000000000),1000000000))+ROW()/100000,"")</f>
        <v/>
      </c>
    </row>
    <row r="1292">
      <c r="F1292" s="7">
        <f>IF($A1292="","",E1292*N1292/100)</f>
        <v/>
      </c>
      <c r="J1292" s="7" t="n"/>
      <c r="K1292" s="7">
        <f>IF($A1292="","",S1292*N1292)</f>
        <v/>
      </c>
      <c r="L1292" s="7">
        <f>IF($A1292="","",N1292-K1292)</f>
        <v/>
      </c>
      <c r="M1292" s="7">
        <f>IF($A1292="","",L1292-F1292)</f>
        <v/>
      </c>
      <c r="N1292" s="7" t="n"/>
      <c r="Q1292" s="11" t="n"/>
      <c r="S1292">
        <f>IF($A1292="","",IF($W1292=1,Settings!$C$6,Settings!$C$7)*1)</f>
        <v/>
      </c>
      <c r="U1292">
        <f>IF($A1292="","",IF(COUNTIF($A$2:$A1292,$A1292)=1,1,0))</f>
        <v/>
      </c>
      <c r="V1292">
        <f>IF($U1292=1,SUMPRODUCT(--($X$2:$X$3001&lt;$X1292))+1,"")</f>
        <v/>
      </c>
      <c r="W1292">
        <f>IF($A1292="","",IF(OR($T1292=TRUE(),$T1292="TRUE"),1,0))</f>
        <v/>
      </c>
      <c r="X1292">
        <f>IF($U1292=1,IFERROR(IF(VALUE($A1292)&lt;100000000,VALUE($A1292),1000000000),IFERROR(IF(VALUE(MID($A1292,2,20))&lt;100000000,VALUE(MID($A1292,2,20)),1000000000),1000000000))+ROW()/100000,"")</f>
        <v/>
      </c>
    </row>
    <row r="1293">
      <c r="F1293" s="7">
        <f>IF($A1293="","",E1293*N1293/100)</f>
        <v/>
      </c>
      <c r="J1293" s="7" t="n"/>
      <c r="K1293" s="7">
        <f>IF($A1293="","",S1293*N1293)</f>
        <v/>
      </c>
      <c r="L1293" s="7">
        <f>IF($A1293="","",N1293-K1293)</f>
        <v/>
      </c>
      <c r="M1293" s="7">
        <f>IF($A1293="","",L1293-F1293)</f>
        <v/>
      </c>
      <c r="N1293" s="7" t="n"/>
      <c r="Q1293" s="11" t="n"/>
      <c r="S1293">
        <f>IF($A1293="","",IF($W1293=1,Settings!$C$6,Settings!$C$7)*1)</f>
        <v/>
      </c>
      <c r="U1293">
        <f>IF($A1293="","",IF(COUNTIF($A$2:$A1293,$A1293)=1,1,0))</f>
        <v/>
      </c>
      <c r="V1293">
        <f>IF($U1293=1,SUMPRODUCT(--($X$2:$X$3001&lt;$X1293))+1,"")</f>
        <v/>
      </c>
      <c r="W1293">
        <f>IF($A1293="","",IF(OR($T1293=TRUE(),$T1293="TRUE"),1,0))</f>
        <v/>
      </c>
      <c r="X1293">
        <f>IF($U1293=1,IFERROR(IF(VALUE($A1293)&lt;100000000,VALUE($A1293),1000000000),IFERROR(IF(VALUE(MID($A1293,2,20))&lt;100000000,VALUE(MID($A1293,2,20)),1000000000),1000000000))+ROW()/100000,"")</f>
        <v/>
      </c>
    </row>
    <row r="1294">
      <c r="F1294" s="7">
        <f>IF($A1294="","",E1294*N1294/100)</f>
        <v/>
      </c>
      <c r="J1294" s="7" t="n"/>
      <c r="K1294" s="7">
        <f>IF($A1294="","",S1294*N1294)</f>
        <v/>
      </c>
      <c r="L1294" s="7">
        <f>IF($A1294="","",N1294-K1294)</f>
        <v/>
      </c>
      <c r="M1294" s="7">
        <f>IF($A1294="","",L1294-F1294)</f>
        <v/>
      </c>
      <c r="N1294" s="7" t="n"/>
      <c r="Q1294" s="11" t="n"/>
      <c r="S1294">
        <f>IF($A1294="","",IF($W1294=1,Settings!$C$6,Settings!$C$7)*1)</f>
        <v/>
      </c>
      <c r="U1294">
        <f>IF($A1294="","",IF(COUNTIF($A$2:$A1294,$A1294)=1,1,0))</f>
        <v/>
      </c>
      <c r="V1294">
        <f>IF($U1294=1,SUMPRODUCT(--($X$2:$X$3001&lt;$X1294))+1,"")</f>
        <v/>
      </c>
      <c r="W1294">
        <f>IF($A1294="","",IF(OR($T1294=TRUE(),$T1294="TRUE"),1,0))</f>
        <v/>
      </c>
      <c r="X1294">
        <f>IF($U1294=1,IFERROR(IF(VALUE($A1294)&lt;100000000,VALUE($A1294),1000000000),IFERROR(IF(VALUE(MID($A1294,2,20))&lt;100000000,VALUE(MID($A1294,2,20)),1000000000),1000000000))+ROW()/100000,"")</f>
        <v/>
      </c>
    </row>
    <row r="1295">
      <c r="F1295" s="7">
        <f>IF($A1295="","",E1295*N1295/100)</f>
        <v/>
      </c>
      <c r="J1295" s="7" t="n"/>
      <c r="K1295" s="7">
        <f>IF($A1295="","",S1295*N1295)</f>
        <v/>
      </c>
      <c r="L1295" s="7">
        <f>IF($A1295="","",N1295-K1295)</f>
        <v/>
      </c>
      <c r="M1295" s="7">
        <f>IF($A1295="","",L1295-F1295)</f>
        <v/>
      </c>
      <c r="N1295" s="7" t="n"/>
      <c r="Q1295" s="11" t="n"/>
      <c r="S1295">
        <f>IF($A1295="","",IF($W1295=1,Settings!$C$6,Settings!$C$7)*1)</f>
        <v/>
      </c>
      <c r="U1295">
        <f>IF($A1295="","",IF(COUNTIF($A$2:$A1295,$A1295)=1,1,0))</f>
        <v/>
      </c>
      <c r="V1295">
        <f>IF($U1295=1,SUMPRODUCT(--($X$2:$X$3001&lt;$X1295))+1,"")</f>
        <v/>
      </c>
      <c r="W1295">
        <f>IF($A1295="","",IF(OR($T1295=TRUE(),$T1295="TRUE"),1,0))</f>
        <v/>
      </c>
      <c r="X1295">
        <f>IF($U1295=1,IFERROR(IF(VALUE($A1295)&lt;100000000,VALUE($A1295),1000000000),IFERROR(IF(VALUE(MID($A1295,2,20))&lt;100000000,VALUE(MID($A1295,2,20)),1000000000),1000000000))+ROW()/100000,"")</f>
        <v/>
      </c>
    </row>
    <row r="1296">
      <c r="F1296" s="7">
        <f>IF($A1296="","",E1296*N1296/100)</f>
        <v/>
      </c>
      <c r="J1296" s="7" t="n"/>
      <c r="K1296" s="7">
        <f>IF($A1296="","",S1296*N1296)</f>
        <v/>
      </c>
      <c r="L1296" s="7">
        <f>IF($A1296="","",N1296-K1296)</f>
        <v/>
      </c>
      <c r="M1296" s="7">
        <f>IF($A1296="","",L1296-F1296)</f>
        <v/>
      </c>
      <c r="N1296" s="7" t="n"/>
      <c r="Q1296" s="11" t="n"/>
      <c r="S1296">
        <f>IF($A1296="","",IF($W1296=1,Settings!$C$6,Settings!$C$7)*1)</f>
        <v/>
      </c>
      <c r="U1296">
        <f>IF($A1296="","",IF(COUNTIF($A$2:$A1296,$A1296)=1,1,0))</f>
        <v/>
      </c>
      <c r="V1296">
        <f>IF($U1296=1,SUMPRODUCT(--($X$2:$X$3001&lt;$X1296))+1,"")</f>
        <v/>
      </c>
      <c r="W1296">
        <f>IF($A1296="","",IF(OR($T1296=TRUE(),$T1296="TRUE"),1,0))</f>
        <v/>
      </c>
      <c r="X1296">
        <f>IF($U1296=1,IFERROR(IF(VALUE($A1296)&lt;100000000,VALUE($A1296),1000000000),IFERROR(IF(VALUE(MID($A1296,2,20))&lt;100000000,VALUE(MID($A1296,2,20)),1000000000),1000000000))+ROW()/100000,"")</f>
        <v/>
      </c>
    </row>
    <row r="1297">
      <c r="F1297" s="7">
        <f>IF($A1297="","",E1297*N1297/100)</f>
        <v/>
      </c>
      <c r="J1297" s="7" t="n"/>
      <c r="K1297" s="7">
        <f>IF($A1297="","",S1297*N1297)</f>
        <v/>
      </c>
      <c r="L1297" s="7">
        <f>IF($A1297="","",N1297-K1297)</f>
        <v/>
      </c>
      <c r="M1297" s="7">
        <f>IF($A1297="","",L1297-F1297)</f>
        <v/>
      </c>
      <c r="N1297" s="7" t="n"/>
      <c r="Q1297" s="11" t="n"/>
      <c r="S1297">
        <f>IF($A1297="","",IF($W1297=1,Settings!$C$6,Settings!$C$7)*1)</f>
        <v/>
      </c>
      <c r="U1297">
        <f>IF($A1297="","",IF(COUNTIF($A$2:$A1297,$A1297)=1,1,0))</f>
        <v/>
      </c>
      <c r="V1297">
        <f>IF($U1297=1,SUMPRODUCT(--($X$2:$X$3001&lt;$X1297))+1,"")</f>
        <v/>
      </c>
      <c r="W1297">
        <f>IF($A1297="","",IF(OR($T1297=TRUE(),$T1297="TRUE"),1,0))</f>
        <v/>
      </c>
      <c r="X1297">
        <f>IF($U1297=1,IFERROR(IF(VALUE($A1297)&lt;100000000,VALUE($A1297),1000000000),IFERROR(IF(VALUE(MID($A1297,2,20))&lt;100000000,VALUE(MID($A1297,2,20)),1000000000),1000000000))+ROW()/100000,"")</f>
        <v/>
      </c>
    </row>
    <row r="1298">
      <c r="F1298" s="7">
        <f>IF($A1298="","",E1298*N1298/100)</f>
        <v/>
      </c>
      <c r="J1298" s="7" t="n"/>
      <c r="K1298" s="7">
        <f>IF($A1298="","",S1298*N1298)</f>
        <v/>
      </c>
      <c r="L1298" s="7">
        <f>IF($A1298="","",N1298-K1298)</f>
        <v/>
      </c>
      <c r="M1298" s="7">
        <f>IF($A1298="","",L1298-F1298)</f>
        <v/>
      </c>
      <c r="N1298" s="7" t="n"/>
      <c r="Q1298" s="11" t="n"/>
      <c r="S1298">
        <f>IF($A1298="","",IF($W1298=1,Settings!$C$6,Settings!$C$7)*1)</f>
        <v/>
      </c>
      <c r="U1298">
        <f>IF($A1298="","",IF(COUNTIF($A$2:$A1298,$A1298)=1,1,0))</f>
        <v/>
      </c>
      <c r="V1298">
        <f>IF($U1298=1,SUMPRODUCT(--($X$2:$X$3001&lt;$X1298))+1,"")</f>
        <v/>
      </c>
      <c r="W1298">
        <f>IF($A1298="","",IF(OR($T1298=TRUE(),$T1298="TRUE"),1,0))</f>
        <v/>
      </c>
      <c r="X1298">
        <f>IF($U1298=1,IFERROR(IF(VALUE($A1298)&lt;100000000,VALUE($A1298),1000000000),IFERROR(IF(VALUE(MID($A1298,2,20))&lt;100000000,VALUE(MID($A1298,2,20)),1000000000),1000000000))+ROW()/100000,"")</f>
        <v/>
      </c>
    </row>
    <row r="1299">
      <c r="F1299" s="7">
        <f>IF($A1299="","",E1299*N1299/100)</f>
        <v/>
      </c>
      <c r="J1299" s="7" t="n"/>
      <c r="K1299" s="7">
        <f>IF($A1299="","",S1299*N1299)</f>
        <v/>
      </c>
      <c r="L1299" s="7">
        <f>IF($A1299="","",N1299-K1299)</f>
        <v/>
      </c>
      <c r="M1299" s="7">
        <f>IF($A1299="","",L1299-F1299)</f>
        <v/>
      </c>
      <c r="N1299" s="7" t="n"/>
      <c r="Q1299" s="11" t="n"/>
      <c r="S1299">
        <f>IF($A1299="","",IF($W1299=1,Settings!$C$6,Settings!$C$7)*1)</f>
        <v/>
      </c>
      <c r="U1299">
        <f>IF($A1299="","",IF(COUNTIF($A$2:$A1299,$A1299)=1,1,0))</f>
        <v/>
      </c>
      <c r="V1299">
        <f>IF($U1299=1,SUMPRODUCT(--($X$2:$X$3001&lt;$X1299))+1,"")</f>
        <v/>
      </c>
      <c r="W1299">
        <f>IF($A1299="","",IF(OR($T1299=TRUE(),$T1299="TRUE"),1,0))</f>
        <v/>
      </c>
      <c r="X1299">
        <f>IF($U1299=1,IFERROR(IF(VALUE($A1299)&lt;100000000,VALUE($A1299),1000000000),IFERROR(IF(VALUE(MID($A1299,2,20))&lt;100000000,VALUE(MID($A1299,2,20)),1000000000),1000000000))+ROW()/100000,"")</f>
        <v/>
      </c>
    </row>
    <row r="1300">
      <c r="F1300" s="7">
        <f>IF($A1300="","",E1300*N1300/100)</f>
        <v/>
      </c>
      <c r="J1300" s="7" t="n"/>
      <c r="K1300" s="7">
        <f>IF($A1300="","",S1300*N1300)</f>
        <v/>
      </c>
      <c r="L1300" s="7">
        <f>IF($A1300="","",N1300-K1300)</f>
        <v/>
      </c>
      <c r="M1300" s="7">
        <f>IF($A1300="","",L1300-F1300)</f>
        <v/>
      </c>
      <c r="N1300" s="7" t="n"/>
      <c r="Q1300" s="11" t="n"/>
      <c r="S1300">
        <f>IF($A1300="","",IF($W1300=1,Settings!$C$6,Settings!$C$7)*1)</f>
        <v/>
      </c>
      <c r="U1300">
        <f>IF($A1300="","",IF(COUNTIF($A$2:$A1300,$A1300)=1,1,0))</f>
        <v/>
      </c>
      <c r="V1300">
        <f>IF($U1300=1,SUMPRODUCT(--($X$2:$X$3001&lt;$X1300))+1,"")</f>
        <v/>
      </c>
      <c r="W1300">
        <f>IF($A1300="","",IF(OR($T1300=TRUE(),$T1300="TRUE"),1,0))</f>
        <v/>
      </c>
      <c r="X1300">
        <f>IF($U1300=1,IFERROR(IF(VALUE($A1300)&lt;100000000,VALUE($A1300),1000000000),IFERROR(IF(VALUE(MID($A1300,2,20))&lt;100000000,VALUE(MID($A1300,2,20)),1000000000),1000000000))+ROW()/100000,"")</f>
        <v/>
      </c>
    </row>
    <row r="1301">
      <c r="F1301" s="7">
        <f>IF($A1301="","",E1301*N1301/100)</f>
        <v/>
      </c>
      <c r="J1301" s="7" t="n"/>
      <c r="K1301" s="7">
        <f>IF($A1301="","",S1301*N1301)</f>
        <v/>
      </c>
      <c r="L1301" s="7">
        <f>IF($A1301="","",N1301-K1301)</f>
        <v/>
      </c>
      <c r="M1301" s="7">
        <f>IF($A1301="","",L1301-F1301)</f>
        <v/>
      </c>
      <c r="N1301" s="7" t="n"/>
      <c r="Q1301" s="11" t="n"/>
      <c r="S1301">
        <f>IF($A1301="","",IF($W1301=1,Settings!$C$6,Settings!$C$7)*1)</f>
        <v/>
      </c>
      <c r="U1301">
        <f>IF($A1301="","",IF(COUNTIF($A$2:$A1301,$A1301)=1,1,0))</f>
        <v/>
      </c>
      <c r="V1301">
        <f>IF($U1301=1,SUMPRODUCT(--($X$2:$X$3001&lt;$X1301))+1,"")</f>
        <v/>
      </c>
      <c r="W1301">
        <f>IF($A1301="","",IF(OR($T1301=TRUE(),$T1301="TRUE"),1,0))</f>
        <v/>
      </c>
      <c r="X1301">
        <f>IF($U1301=1,IFERROR(IF(VALUE($A1301)&lt;100000000,VALUE($A1301),1000000000),IFERROR(IF(VALUE(MID($A1301,2,20))&lt;100000000,VALUE(MID($A1301,2,20)),1000000000),1000000000))+ROW()/100000,"")</f>
        <v/>
      </c>
    </row>
    <row r="1302">
      <c r="F1302" s="7">
        <f>IF($A1302="","",E1302*N1302/100)</f>
        <v/>
      </c>
      <c r="J1302" s="7" t="n"/>
      <c r="K1302" s="7">
        <f>IF($A1302="","",S1302*N1302)</f>
        <v/>
      </c>
      <c r="L1302" s="7">
        <f>IF($A1302="","",N1302-K1302)</f>
        <v/>
      </c>
      <c r="M1302" s="7">
        <f>IF($A1302="","",L1302-F1302)</f>
        <v/>
      </c>
      <c r="N1302" s="7" t="n"/>
      <c r="Q1302" s="11" t="n"/>
      <c r="S1302">
        <f>IF($A1302="","",IF($W1302=1,Settings!$C$6,Settings!$C$7)*1)</f>
        <v/>
      </c>
      <c r="U1302">
        <f>IF($A1302="","",IF(COUNTIF($A$2:$A1302,$A1302)=1,1,0))</f>
        <v/>
      </c>
      <c r="V1302">
        <f>IF($U1302=1,SUMPRODUCT(--($X$2:$X$3001&lt;$X1302))+1,"")</f>
        <v/>
      </c>
      <c r="W1302">
        <f>IF($A1302="","",IF(OR($T1302=TRUE(),$T1302="TRUE"),1,0))</f>
        <v/>
      </c>
      <c r="X1302">
        <f>IF($U1302=1,IFERROR(IF(VALUE($A1302)&lt;100000000,VALUE($A1302),1000000000),IFERROR(IF(VALUE(MID($A1302,2,20))&lt;100000000,VALUE(MID($A1302,2,20)),1000000000),1000000000))+ROW()/100000,"")</f>
        <v/>
      </c>
    </row>
    <row r="1303">
      <c r="F1303" s="7">
        <f>IF($A1303="","",E1303*N1303/100)</f>
        <v/>
      </c>
      <c r="J1303" s="7" t="n"/>
      <c r="K1303" s="7">
        <f>IF($A1303="","",S1303*N1303)</f>
        <v/>
      </c>
      <c r="L1303" s="7">
        <f>IF($A1303="","",N1303-K1303)</f>
        <v/>
      </c>
      <c r="M1303" s="7">
        <f>IF($A1303="","",L1303-F1303)</f>
        <v/>
      </c>
      <c r="N1303" s="7" t="n"/>
      <c r="Q1303" s="11" t="n"/>
      <c r="S1303">
        <f>IF($A1303="","",IF($W1303=1,Settings!$C$6,Settings!$C$7)*1)</f>
        <v/>
      </c>
      <c r="U1303">
        <f>IF($A1303="","",IF(COUNTIF($A$2:$A1303,$A1303)=1,1,0))</f>
        <v/>
      </c>
      <c r="V1303">
        <f>IF($U1303=1,SUMPRODUCT(--($X$2:$X$3001&lt;$X1303))+1,"")</f>
        <v/>
      </c>
      <c r="W1303">
        <f>IF($A1303="","",IF(OR($T1303=TRUE(),$T1303="TRUE"),1,0))</f>
        <v/>
      </c>
      <c r="X1303">
        <f>IF($U1303=1,IFERROR(IF(VALUE($A1303)&lt;100000000,VALUE($A1303),1000000000),IFERROR(IF(VALUE(MID($A1303,2,20))&lt;100000000,VALUE(MID($A1303,2,20)),1000000000),1000000000))+ROW()/100000,"")</f>
        <v/>
      </c>
    </row>
    <row r="1304">
      <c r="F1304" s="7">
        <f>IF($A1304="","",E1304*N1304/100)</f>
        <v/>
      </c>
      <c r="J1304" s="7" t="n"/>
      <c r="K1304" s="7">
        <f>IF($A1304="","",S1304*N1304)</f>
        <v/>
      </c>
      <c r="L1304" s="7">
        <f>IF($A1304="","",N1304-K1304)</f>
        <v/>
      </c>
      <c r="M1304" s="7">
        <f>IF($A1304="","",L1304-F1304)</f>
        <v/>
      </c>
      <c r="N1304" s="7" t="n"/>
      <c r="Q1304" s="11" t="n"/>
      <c r="S1304">
        <f>IF($A1304="","",IF($W1304=1,Settings!$C$6,Settings!$C$7)*1)</f>
        <v/>
      </c>
      <c r="U1304">
        <f>IF($A1304="","",IF(COUNTIF($A$2:$A1304,$A1304)=1,1,0))</f>
        <v/>
      </c>
      <c r="V1304">
        <f>IF($U1304=1,SUMPRODUCT(--($X$2:$X$3001&lt;$X1304))+1,"")</f>
        <v/>
      </c>
      <c r="W1304">
        <f>IF($A1304="","",IF(OR($T1304=TRUE(),$T1304="TRUE"),1,0))</f>
        <v/>
      </c>
      <c r="X1304">
        <f>IF($U1304=1,IFERROR(IF(VALUE($A1304)&lt;100000000,VALUE($A1304),1000000000),IFERROR(IF(VALUE(MID($A1304,2,20))&lt;100000000,VALUE(MID($A1304,2,20)),1000000000),1000000000))+ROW()/100000,"")</f>
        <v/>
      </c>
    </row>
    <row r="1305">
      <c r="F1305" s="7">
        <f>IF($A1305="","",E1305*N1305/100)</f>
        <v/>
      </c>
      <c r="J1305" s="7" t="n"/>
      <c r="K1305" s="7">
        <f>IF($A1305="","",S1305*N1305)</f>
        <v/>
      </c>
      <c r="L1305" s="7">
        <f>IF($A1305="","",N1305-K1305)</f>
        <v/>
      </c>
      <c r="M1305" s="7">
        <f>IF($A1305="","",L1305-F1305)</f>
        <v/>
      </c>
      <c r="N1305" s="7" t="n"/>
      <c r="Q1305" s="11" t="n"/>
      <c r="S1305">
        <f>IF($A1305="","",IF($W1305=1,Settings!$C$6,Settings!$C$7)*1)</f>
        <v/>
      </c>
      <c r="U1305">
        <f>IF($A1305="","",IF(COUNTIF($A$2:$A1305,$A1305)=1,1,0))</f>
        <v/>
      </c>
      <c r="V1305">
        <f>IF($U1305=1,SUMPRODUCT(--($X$2:$X$3001&lt;$X1305))+1,"")</f>
        <v/>
      </c>
      <c r="W1305">
        <f>IF($A1305="","",IF(OR($T1305=TRUE(),$T1305="TRUE"),1,0))</f>
        <v/>
      </c>
      <c r="X1305">
        <f>IF($U1305=1,IFERROR(IF(VALUE($A1305)&lt;100000000,VALUE($A1305),1000000000),IFERROR(IF(VALUE(MID($A1305,2,20))&lt;100000000,VALUE(MID($A1305,2,20)),1000000000),1000000000))+ROW()/100000,"")</f>
        <v/>
      </c>
    </row>
    <row r="1306">
      <c r="F1306" s="7">
        <f>IF($A1306="","",E1306*N1306/100)</f>
        <v/>
      </c>
      <c r="J1306" s="7" t="n"/>
      <c r="K1306" s="7">
        <f>IF($A1306="","",S1306*N1306)</f>
        <v/>
      </c>
      <c r="L1306" s="7">
        <f>IF($A1306="","",N1306-K1306)</f>
        <v/>
      </c>
      <c r="M1306" s="7">
        <f>IF($A1306="","",L1306-F1306)</f>
        <v/>
      </c>
      <c r="N1306" s="7" t="n"/>
      <c r="Q1306" s="11" t="n"/>
      <c r="S1306">
        <f>IF($A1306="","",IF($W1306=1,Settings!$C$6,Settings!$C$7)*1)</f>
        <v/>
      </c>
      <c r="U1306">
        <f>IF($A1306="","",IF(COUNTIF($A$2:$A1306,$A1306)=1,1,0))</f>
        <v/>
      </c>
      <c r="V1306">
        <f>IF($U1306=1,SUMPRODUCT(--($X$2:$X$3001&lt;$X1306))+1,"")</f>
        <v/>
      </c>
      <c r="W1306">
        <f>IF($A1306="","",IF(OR($T1306=TRUE(),$T1306="TRUE"),1,0))</f>
        <v/>
      </c>
      <c r="X1306">
        <f>IF($U1306=1,IFERROR(IF(VALUE($A1306)&lt;100000000,VALUE($A1306),1000000000),IFERROR(IF(VALUE(MID($A1306,2,20))&lt;100000000,VALUE(MID($A1306,2,20)),1000000000),1000000000))+ROW()/100000,"")</f>
        <v/>
      </c>
    </row>
    <row r="1307">
      <c r="F1307" s="7">
        <f>IF($A1307="","",E1307*N1307/100)</f>
        <v/>
      </c>
      <c r="J1307" s="7" t="n"/>
      <c r="K1307" s="7">
        <f>IF($A1307="","",S1307*N1307)</f>
        <v/>
      </c>
      <c r="L1307" s="7">
        <f>IF($A1307="","",N1307-K1307)</f>
        <v/>
      </c>
      <c r="M1307" s="7">
        <f>IF($A1307="","",L1307-F1307)</f>
        <v/>
      </c>
      <c r="N1307" s="7" t="n"/>
      <c r="Q1307" s="11" t="n"/>
      <c r="S1307">
        <f>IF($A1307="","",IF($W1307=1,Settings!$C$6,Settings!$C$7)*1)</f>
        <v/>
      </c>
      <c r="U1307">
        <f>IF($A1307="","",IF(COUNTIF($A$2:$A1307,$A1307)=1,1,0))</f>
        <v/>
      </c>
      <c r="V1307">
        <f>IF($U1307=1,SUMPRODUCT(--($X$2:$X$3001&lt;$X1307))+1,"")</f>
        <v/>
      </c>
      <c r="W1307">
        <f>IF($A1307="","",IF(OR($T1307=TRUE(),$T1307="TRUE"),1,0))</f>
        <v/>
      </c>
      <c r="X1307">
        <f>IF($U1307=1,IFERROR(IF(VALUE($A1307)&lt;100000000,VALUE($A1307),1000000000),IFERROR(IF(VALUE(MID($A1307,2,20))&lt;100000000,VALUE(MID($A1307,2,20)),1000000000),1000000000))+ROW()/100000,"")</f>
        <v/>
      </c>
    </row>
    <row r="1308">
      <c r="F1308" s="7">
        <f>IF($A1308="","",E1308*N1308/100)</f>
        <v/>
      </c>
      <c r="J1308" s="7" t="n"/>
      <c r="K1308" s="7">
        <f>IF($A1308="","",S1308*N1308)</f>
        <v/>
      </c>
      <c r="L1308" s="7">
        <f>IF($A1308="","",N1308-K1308)</f>
        <v/>
      </c>
      <c r="M1308" s="7">
        <f>IF($A1308="","",L1308-F1308)</f>
        <v/>
      </c>
      <c r="N1308" s="7" t="n"/>
      <c r="Q1308" s="11" t="n"/>
      <c r="S1308">
        <f>IF($A1308="","",IF($W1308=1,Settings!$C$6,Settings!$C$7)*1)</f>
        <v/>
      </c>
      <c r="U1308">
        <f>IF($A1308="","",IF(COUNTIF($A$2:$A1308,$A1308)=1,1,0))</f>
        <v/>
      </c>
      <c r="V1308">
        <f>IF($U1308=1,SUMPRODUCT(--($X$2:$X$3001&lt;$X1308))+1,"")</f>
        <v/>
      </c>
      <c r="W1308">
        <f>IF($A1308="","",IF(OR($T1308=TRUE(),$T1308="TRUE"),1,0))</f>
        <v/>
      </c>
      <c r="X1308">
        <f>IF($U1308=1,IFERROR(IF(VALUE($A1308)&lt;100000000,VALUE($A1308),1000000000),IFERROR(IF(VALUE(MID($A1308,2,20))&lt;100000000,VALUE(MID($A1308,2,20)),1000000000),1000000000))+ROW()/100000,"")</f>
        <v/>
      </c>
    </row>
    <row r="1309">
      <c r="F1309" s="7">
        <f>IF($A1309="","",E1309*N1309/100)</f>
        <v/>
      </c>
      <c r="J1309" s="7" t="n"/>
      <c r="K1309" s="7">
        <f>IF($A1309="","",S1309*N1309)</f>
        <v/>
      </c>
      <c r="L1309" s="7">
        <f>IF($A1309="","",N1309-K1309)</f>
        <v/>
      </c>
      <c r="M1309" s="7">
        <f>IF($A1309="","",L1309-F1309)</f>
        <v/>
      </c>
      <c r="N1309" s="7" t="n"/>
      <c r="Q1309" s="11" t="n"/>
      <c r="S1309">
        <f>IF($A1309="","",IF($W1309=1,Settings!$C$6,Settings!$C$7)*1)</f>
        <v/>
      </c>
      <c r="U1309">
        <f>IF($A1309="","",IF(COUNTIF($A$2:$A1309,$A1309)=1,1,0))</f>
        <v/>
      </c>
      <c r="V1309">
        <f>IF($U1309=1,SUMPRODUCT(--($X$2:$X$3001&lt;$X1309))+1,"")</f>
        <v/>
      </c>
      <c r="W1309">
        <f>IF($A1309="","",IF(OR($T1309=TRUE(),$T1309="TRUE"),1,0))</f>
        <v/>
      </c>
      <c r="X1309">
        <f>IF($U1309=1,IFERROR(IF(VALUE($A1309)&lt;100000000,VALUE($A1309),1000000000),IFERROR(IF(VALUE(MID($A1309,2,20))&lt;100000000,VALUE(MID($A1309,2,20)),1000000000),1000000000))+ROW()/100000,"")</f>
        <v/>
      </c>
    </row>
    <row r="1310">
      <c r="F1310" s="7">
        <f>IF($A1310="","",E1310*N1310/100)</f>
        <v/>
      </c>
      <c r="J1310" s="7" t="n"/>
      <c r="K1310" s="7">
        <f>IF($A1310="","",S1310*N1310)</f>
        <v/>
      </c>
      <c r="L1310" s="7">
        <f>IF($A1310="","",N1310-K1310)</f>
        <v/>
      </c>
      <c r="M1310" s="7">
        <f>IF($A1310="","",L1310-F1310)</f>
        <v/>
      </c>
      <c r="N1310" s="7" t="n"/>
      <c r="Q1310" s="11" t="n"/>
      <c r="S1310">
        <f>IF($A1310="","",IF($W1310=1,Settings!$C$6,Settings!$C$7)*1)</f>
        <v/>
      </c>
      <c r="U1310">
        <f>IF($A1310="","",IF(COUNTIF($A$2:$A1310,$A1310)=1,1,0))</f>
        <v/>
      </c>
      <c r="V1310">
        <f>IF($U1310=1,SUMPRODUCT(--($X$2:$X$3001&lt;$X1310))+1,"")</f>
        <v/>
      </c>
      <c r="W1310">
        <f>IF($A1310="","",IF(OR($T1310=TRUE(),$T1310="TRUE"),1,0))</f>
        <v/>
      </c>
      <c r="X1310">
        <f>IF($U1310=1,IFERROR(IF(VALUE($A1310)&lt;100000000,VALUE($A1310),1000000000),IFERROR(IF(VALUE(MID($A1310,2,20))&lt;100000000,VALUE(MID($A1310,2,20)),1000000000),1000000000))+ROW()/100000,"")</f>
        <v/>
      </c>
    </row>
    <row r="1311">
      <c r="F1311" s="7">
        <f>IF($A1311="","",E1311*N1311/100)</f>
        <v/>
      </c>
      <c r="J1311" s="7" t="n"/>
      <c r="K1311" s="7">
        <f>IF($A1311="","",S1311*N1311)</f>
        <v/>
      </c>
      <c r="L1311" s="7">
        <f>IF($A1311="","",N1311-K1311)</f>
        <v/>
      </c>
      <c r="M1311" s="7">
        <f>IF($A1311="","",L1311-F1311)</f>
        <v/>
      </c>
      <c r="N1311" s="7" t="n"/>
      <c r="Q1311" s="11" t="n"/>
      <c r="S1311">
        <f>IF($A1311="","",IF($W1311=1,Settings!$C$6,Settings!$C$7)*1)</f>
        <v/>
      </c>
      <c r="U1311">
        <f>IF($A1311="","",IF(COUNTIF($A$2:$A1311,$A1311)=1,1,0))</f>
        <v/>
      </c>
      <c r="V1311">
        <f>IF($U1311=1,SUMPRODUCT(--($X$2:$X$3001&lt;$X1311))+1,"")</f>
        <v/>
      </c>
      <c r="W1311">
        <f>IF($A1311="","",IF(OR($T1311=TRUE(),$T1311="TRUE"),1,0))</f>
        <v/>
      </c>
      <c r="X1311">
        <f>IF($U1311=1,IFERROR(IF(VALUE($A1311)&lt;100000000,VALUE($A1311),1000000000),IFERROR(IF(VALUE(MID($A1311,2,20))&lt;100000000,VALUE(MID($A1311,2,20)),1000000000),1000000000))+ROW()/100000,"")</f>
        <v/>
      </c>
    </row>
    <row r="1312">
      <c r="F1312" s="7">
        <f>IF($A1312="","",E1312*N1312/100)</f>
        <v/>
      </c>
      <c r="J1312" s="7" t="n"/>
      <c r="K1312" s="7">
        <f>IF($A1312="","",S1312*N1312)</f>
        <v/>
      </c>
      <c r="L1312" s="7">
        <f>IF($A1312="","",N1312-K1312)</f>
        <v/>
      </c>
      <c r="M1312" s="7">
        <f>IF($A1312="","",L1312-F1312)</f>
        <v/>
      </c>
      <c r="N1312" s="7" t="n"/>
      <c r="Q1312" s="11" t="n"/>
      <c r="S1312">
        <f>IF($A1312="","",IF($W1312=1,Settings!$C$6,Settings!$C$7)*1)</f>
        <v/>
      </c>
      <c r="U1312">
        <f>IF($A1312="","",IF(COUNTIF($A$2:$A1312,$A1312)=1,1,0))</f>
        <v/>
      </c>
      <c r="V1312">
        <f>IF($U1312=1,SUMPRODUCT(--($X$2:$X$3001&lt;$X1312))+1,"")</f>
        <v/>
      </c>
      <c r="W1312">
        <f>IF($A1312="","",IF(OR($T1312=TRUE(),$T1312="TRUE"),1,0))</f>
        <v/>
      </c>
      <c r="X1312">
        <f>IF($U1312=1,IFERROR(IF(VALUE($A1312)&lt;100000000,VALUE($A1312),1000000000),IFERROR(IF(VALUE(MID($A1312,2,20))&lt;100000000,VALUE(MID($A1312,2,20)),1000000000),1000000000))+ROW()/100000,"")</f>
        <v/>
      </c>
    </row>
    <row r="1313">
      <c r="F1313" s="7">
        <f>IF($A1313="","",E1313*N1313/100)</f>
        <v/>
      </c>
      <c r="J1313" s="7" t="n"/>
      <c r="K1313" s="7">
        <f>IF($A1313="","",S1313*N1313)</f>
        <v/>
      </c>
      <c r="L1313" s="7">
        <f>IF($A1313="","",N1313-K1313)</f>
        <v/>
      </c>
      <c r="M1313" s="7">
        <f>IF($A1313="","",L1313-F1313)</f>
        <v/>
      </c>
      <c r="N1313" s="7" t="n"/>
      <c r="Q1313" s="11" t="n"/>
      <c r="S1313">
        <f>IF($A1313="","",IF($W1313=1,Settings!$C$6,Settings!$C$7)*1)</f>
        <v/>
      </c>
      <c r="U1313">
        <f>IF($A1313="","",IF(COUNTIF($A$2:$A1313,$A1313)=1,1,0))</f>
        <v/>
      </c>
      <c r="V1313">
        <f>IF($U1313=1,SUMPRODUCT(--($X$2:$X$3001&lt;$X1313))+1,"")</f>
        <v/>
      </c>
      <c r="W1313">
        <f>IF($A1313="","",IF(OR($T1313=TRUE(),$T1313="TRUE"),1,0))</f>
        <v/>
      </c>
      <c r="X1313">
        <f>IF($U1313=1,IFERROR(IF(VALUE($A1313)&lt;100000000,VALUE($A1313),1000000000),IFERROR(IF(VALUE(MID($A1313,2,20))&lt;100000000,VALUE(MID($A1313,2,20)),1000000000),1000000000))+ROW()/100000,"")</f>
        <v/>
      </c>
    </row>
    <row r="1314">
      <c r="F1314" s="7">
        <f>IF($A1314="","",E1314*N1314/100)</f>
        <v/>
      </c>
      <c r="J1314" s="7" t="n"/>
      <c r="K1314" s="7">
        <f>IF($A1314="","",S1314*N1314)</f>
        <v/>
      </c>
      <c r="L1314" s="7">
        <f>IF($A1314="","",N1314-K1314)</f>
        <v/>
      </c>
      <c r="M1314" s="7">
        <f>IF($A1314="","",L1314-F1314)</f>
        <v/>
      </c>
      <c r="N1314" s="7" t="n"/>
      <c r="Q1314" s="11" t="n"/>
      <c r="S1314">
        <f>IF($A1314="","",IF($W1314=1,Settings!$C$6,Settings!$C$7)*1)</f>
        <v/>
      </c>
      <c r="U1314">
        <f>IF($A1314="","",IF(COUNTIF($A$2:$A1314,$A1314)=1,1,0))</f>
        <v/>
      </c>
      <c r="V1314">
        <f>IF($U1314=1,SUMPRODUCT(--($X$2:$X$3001&lt;$X1314))+1,"")</f>
        <v/>
      </c>
      <c r="W1314">
        <f>IF($A1314="","",IF(OR($T1314=TRUE(),$T1314="TRUE"),1,0))</f>
        <v/>
      </c>
      <c r="X1314">
        <f>IF($U1314=1,IFERROR(IF(VALUE($A1314)&lt;100000000,VALUE($A1314),1000000000),IFERROR(IF(VALUE(MID($A1314,2,20))&lt;100000000,VALUE(MID($A1314,2,20)),1000000000),1000000000))+ROW()/100000,"")</f>
        <v/>
      </c>
    </row>
    <row r="1315">
      <c r="F1315" s="7">
        <f>IF($A1315="","",E1315*N1315/100)</f>
        <v/>
      </c>
      <c r="J1315" s="7" t="n"/>
      <c r="K1315" s="7">
        <f>IF($A1315="","",S1315*N1315)</f>
        <v/>
      </c>
      <c r="L1315" s="7">
        <f>IF($A1315="","",N1315-K1315)</f>
        <v/>
      </c>
      <c r="M1315" s="7">
        <f>IF($A1315="","",L1315-F1315)</f>
        <v/>
      </c>
      <c r="N1315" s="7" t="n"/>
      <c r="Q1315" s="11" t="n"/>
      <c r="S1315">
        <f>IF($A1315="","",IF($W1315=1,Settings!$C$6,Settings!$C$7)*1)</f>
        <v/>
      </c>
      <c r="U1315">
        <f>IF($A1315="","",IF(COUNTIF($A$2:$A1315,$A1315)=1,1,0))</f>
        <v/>
      </c>
      <c r="V1315">
        <f>IF($U1315=1,SUMPRODUCT(--($X$2:$X$3001&lt;$X1315))+1,"")</f>
        <v/>
      </c>
      <c r="W1315">
        <f>IF($A1315="","",IF(OR($T1315=TRUE(),$T1315="TRUE"),1,0))</f>
        <v/>
      </c>
      <c r="X1315">
        <f>IF($U1315=1,IFERROR(IF(VALUE($A1315)&lt;100000000,VALUE($A1315),1000000000),IFERROR(IF(VALUE(MID($A1315,2,20))&lt;100000000,VALUE(MID($A1315,2,20)),1000000000),1000000000))+ROW()/100000,"")</f>
        <v/>
      </c>
    </row>
    <row r="1316">
      <c r="F1316" s="7">
        <f>IF($A1316="","",E1316*N1316/100)</f>
        <v/>
      </c>
      <c r="J1316" s="7" t="n"/>
      <c r="K1316" s="7">
        <f>IF($A1316="","",S1316*N1316)</f>
        <v/>
      </c>
      <c r="L1316" s="7">
        <f>IF($A1316="","",N1316-K1316)</f>
        <v/>
      </c>
      <c r="M1316" s="7">
        <f>IF($A1316="","",L1316-F1316)</f>
        <v/>
      </c>
      <c r="N1316" s="7" t="n"/>
      <c r="Q1316" s="11" t="n"/>
      <c r="S1316">
        <f>IF($A1316="","",IF($W1316=1,Settings!$C$6,Settings!$C$7)*1)</f>
        <v/>
      </c>
      <c r="U1316">
        <f>IF($A1316="","",IF(COUNTIF($A$2:$A1316,$A1316)=1,1,0))</f>
        <v/>
      </c>
      <c r="V1316">
        <f>IF($U1316=1,SUMPRODUCT(--($X$2:$X$3001&lt;$X1316))+1,"")</f>
        <v/>
      </c>
      <c r="W1316">
        <f>IF($A1316="","",IF(OR($T1316=TRUE(),$T1316="TRUE"),1,0))</f>
        <v/>
      </c>
      <c r="X1316">
        <f>IF($U1316=1,IFERROR(IF(VALUE($A1316)&lt;100000000,VALUE($A1316),1000000000),IFERROR(IF(VALUE(MID($A1316,2,20))&lt;100000000,VALUE(MID($A1316,2,20)),1000000000),1000000000))+ROW()/100000,"")</f>
        <v/>
      </c>
    </row>
    <row r="1317">
      <c r="F1317" s="7">
        <f>IF($A1317="","",E1317*N1317/100)</f>
        <v/>
      </c>
      <c r="J1317" s="7" t="n"/>
      <c r="K1317" s="7">
        <f>IF($A1317="","",S1317*N1317)</f>
        <v/>
      </c>
      <c r="L1317" s="7">
        <f>IF($A1317="","",N1317-K1317)</f>
        <v/>
      </c>
      <c r="M1317" s="7">
        <f>IF($A1317="","",L1317-F1317)</f>
        <v/>
      </c>
      <c r="N1317" s="7" t="n"/>
      <c r="Q1317" s="11" t="n"/>
      <c r="S1317">
        <f>IF($A1317="","",IF($W1317=1,Settings!$C$6,Settings!$C$7)*1)</f>
        <v/>
      </c>
      <c r="U1317">
        <f>IF($A1317="","",IF(COUNTIF($A$2:$A1317,$A1317)=1,1,0))</f>
        <v/>
      </c>
      <c r="V1317">
        <f>IF($U1317=1,SUMPRODUCT(--($X$2:$X$3001&lt;$X1317))+1,"")</f>
        <v/>
      </c>
      <c r="W1317">
        <f>IF($A1317="","",IF(OR($T1317=TRUE(),$T1317="TRUE"),1,0))</f>
        <v/>
      </c>
      <c r="X1317">
        <f>IF($U1317=1,IFERROR(IF(VALUE($A1317)&lt;100000000,VALUE($A1317),1000000000),IFERROR(IF(VALUE(MID($A1317,2,20))&lt;100000000,VALUE(MID($A1317,2,20)),1000000000),1000000000))+ROW()/100000,"")</f>
        <v/>
      </c>
    </row>
    <row r="1318">
      <c r="F1318" s="7">
        <f>IF($A1318="","",E1318*N1318/100)</f>
        <v/>
      </c>
      <c r="J1318" s="7" t="n"/>
      <c r="K1318" s="7">
        <f>IF($A1318="","",S1318*N1318)</f>
        <v/>
      </c>
      <c r="L1318" s="7">
        <f>IF($A1318="","",N1318-K1318)</f>
        <v/>
      </c>
      <c r="M1318" s="7">
        <f>IF($A1318="","",L1318-F1318)</f>
        <v/>
      </c>
      <c r="N1318" s="7" t="n"/>
      <c r="Q1318" s="11" t="n"/>
      <c r="S1318">
        <f>IF($A1318="","",IF($W1318=1,Settings!$C$6,Settings!$C$7)*1)</f>
        <v/>
      </c>
      <c r="U1318">
        <f>IF($A1318="","",IF(COUNTIF($A$2:$A1318,$A1318)=1,1,0))</f>
        <v/>
      </c>
      <c r="V1318">
        <f>IF($U1318=1,SUMPRODUCT(--($X$2:$X$3001&lt;$X1318))+1,"")</f>
        <v/>
      </c>
      <c r="W1318">
        <f>IF($A1318="","",IF(OR($T1318=TRUE(),$T1318="TRUE"),1,0))</f>
        <v/>
      </c>
      <c r="X1318">
        <f>IF($U1318=1,IFERROR(IF(VALUE($A1318)&lt;100000000,VALUE($A1318),1000000000),IFERROR(IF(VALUE(MID($A1318,2,20))&lt;100000000,VALUE(MID($A1318,2,20)),1000000000),1000000000))+ROW()/100000,"")</f>
        <v/>
      </c>
    </row>
    <row r="1319">
      <c r="F1319" s="7">
        <f>IF($A1319="","",E1319*N1319/100)</f>
        <v/>
      </c>
      <c r="J1319" s="7" t="n"/>
      <c r="K1319" s="7">
        <f>IF($A1319="","",S1319*N1319)</f>
        <v/>
      </c>
      <c r="L1319" s="7">
        <f>IF($A1319="","",N1319-K1319)</f>
        <v/>
      </c>
      <c r="M1319" s="7">
        <f>IF($A1319="","",L1319-F1319)</f>
        <v/>
      </c>
      <c r="N1319" s="7" t="n"/>
      <c r="Q1319" s="11" t="n"/>
      <c r="S1319">
        <f>IF($A1319="","",IF($W1319=1,Settings!$C$6,Settings!$C$7)*1)</f>
        <v/>
      </c>
      <c r="U1319">
        <f>IF($A1319="","",IF(COUNTIF($A$2:$A1319,$A1319)=1,1,0))</f>
        <v/>
      </c>
      <c r="V1319">
        <f>IF($U1319=1,SUMPRODUCT(--($X$2:$X$3001&lt;$X1319))+1,"")</f>
        <v/>
      </c>
      <c r="W1319">
        <f>IF($A1319="","",IF(OR($T1319=TRUE(),$T1319="TRUE"),1,0))</f>
        <v/>
      </c>
      <c r="X1319">
        <f>IF($U1319=1,IFERROR(IF(VALUE($A1319)&lt;100000000,VALUE($A1319),1000000000),IFERROR(IF(VALUE(MID($A1319,2,20))&lt;100000000,VALUE(MID($A1319,2,20)),1000000000),1000000000))+ROW()/100000,"")</f>
        <v/>
      </c>
    </row>
    <row r="1320">
      <c r="F1320" s="7">
        <f>IF($A1320="","",E1320*N1320/100)</f>
        <v/>
      </c>
      <c r="J1320" s="7" t="n"/>
      <c r="K1320" s="7">
        <f>IF($A1320="","",S1320*N1320)</f>
        <v/>
      </c>
      <c r="L1320" s="7">
        <f>IF($A1320="","",N1320-K1320)</f>
        <v/>
      </c>
      <c r="M1320" s="7">
        <f>IF($A1320="","",L1320-F1320)</f>
        <v/>
      </c>
      <c r="N1320" s="7" t="n"/>
      <c r="Q1320" s="11" t="n"/>
      <c r="S1320">
        <f>IF($A1320="","",IF($W1320=1,Settings!$C$6,Settings!$C$7)*1)</f>
        <v/>
      </c>
      <c r="U1320">
        <f>IF($A1320="","",IF(COUNTIF($A$2:$A1320,$A1320)=1,1,0))</f>
        <v/>
      </c>
      <c r="V1320">
        <f>IF($U1320=1,SUMPRODUCT(--($X$2:$X$3001&lt;$X1320))+1,"")</f>
        <v/>
      </c>
      <c r="W1320">
        <f>IF($A1320="","",IF(OR($T1320=TRUE(),$T1320="TRUE"),1,0))</f>
        <v/>
      </c>
      <c r="X1320">
        <f>IF($U1320=1,IFERROR(IF(VALUE($A1320)&lt;100000000,VALUE($A1320),1000000000),IFERROR(IF(VALUE(MID($A1320,2,20))&lt;100000000,VALUE(MID($A1320,2,20)),1000000000),1000000000))+ROW()/100000,"")</f>
        <v/>
      </c>
    </row>
    <row r="1321">
      <c r="F1321" s="7">
        <f>IF($A1321="","",E1321*N1321/100)</f>
        <v/>
      </c>
      <c r="J1321" s="7" t="n"/>
      <c r="K1321" s="7">
        <f>IF($A1321="","",S1321*N1321)</f>
        <v/>
      </c>
      <c r="L1321" s="7">
        <f>IF($A1321="","",N1321-K1321)</f>
        <v/>
      </c>
      <c r="M1321" s="7">
        <f>IF($A1321="","",L1321-F1321)</f>
        <v/>
      </c>
      <c r="N1321" s="7" t="n"/>
      <c r="Q1321" s="11" t="n"/>
      <c r="S1321">
        <f>IF($A1321="","",IF($W1321=1,Settings!$C$6,Settings!$C$7)*1)</f>
        <v/>
      </c>
      <c r="U1321">
        <f>IF($A1321="","",IF(COUNTIF($A$2:$A1321,$A1321)=1,1,0))</f>
        <v/>
      </c>
      <c r="V1321">
        <f>IF($U1321=1,SUMPRODUCT(--($X$2:$X$3001&lt;$X1321))+1,"")</f>
        <v/>
      </c>
      <c r="W1321">
        <f>IF($A1321="","",IF(OR($T1321=TRUE(),$T1321="TRUE"),1,0))</f>
        <v/>
      </c>
      <c r="X1321">
        <f>IF($U1321=1,IFERROR(IF(VALUE($A1321)&lt;100000000,VALUE($A1321),1000000000),IFERROR(IF(VALUE(MID($A1321,2,20))&lt;100000000,VALUE(MID($A1321,2,20)),1000000000),1000000000))+ROW()/100000,"")</f>
        <v/>
      </c>
    </row>
    <row r="1322">
      <c r="F1322" s="7">
        <f>IF($A1322="","",E1322*N1322/100)</f>
        <v/>
      </c>
      <c r="J1322" s="7" t="n"/>
      <c r="K1322" s="7">
        <f>IF($A1322="","",S1322*N1322)</f>
        <v/>
      </c>
      <c r="L1322" s="7">
        <f>IF($A1322="","",N1322-K1322)</f>
        <v/>
      </c>
      <c r="M1322" s="7">
        <f>IF($A1322="","",L1322-F1322)</f>
        <v/>
      </c>
      <c r="N1322" s="7" t="n"/>
      <c r="Q1322" s="11" t="n"/>
      <c r="S1322">
        <f>IF($A1322="","",IF($W1322=1,Settings!$C$6,Settings!$C$7)*1)</f>
        <v/>
      </c>
      <c r="U1322">
        <f>IF($A1322="","",IF(COUNTIF($A$2:$A1322,$A1322)=1,1,0))</f>
        <v/>
      </c>
      <c r="V1322">
        <f>IF($U1322=1,SUMPRODUCT(--($X$2:$X$3001&lt;$X1322))+1,"")</f>
        <v/>
      </c>
      <c r="W1322">
        <f>IF($A1322="","",IF(OR($T1322=TRUE(),$T1322="TRUE"),1,0))</f>
        <v/>
      </c>
      <c r="X1322">
        <f>IF($U1322=1,IFERROR(IF(VALUE($A1322)&lt;100000000,VALUE($A1322),1000000000),IFERROR(IF(VALUE(MID($A1322,2,20))&lt;100000000,VALUE(MID($A1322,2,20)),1000000000),1000000000))+ROW()/100000,"")</f>
        <v/>
      </c>
    </row>
    <row r="1323">
      <c r="F1323" s="7">
        <f>IF($A1323="","",E1323*N1323/100)</f>
        <v/>
      </c>
      <c r="J1323" s="7" t="n"/>
      <c r="K1323" s="7">
        <f>IF($A1323="","",S1323*N1323)</f>
        <v/>
      </c>
      <c r="L1323" s="7">
        <f>IF($A1323="","",N1323-K1323)</f>
        <v/>
      </c>
      <c r="M1323" s="7">
        <f>IF($A1323="","",L1323-F1323)</f>
        <v/>
      </c>
      <c r="N1323" s="7" t="n"/>
      <c r="Q1323" s="11" t="n"/>
      <c r="S1323">
        <f>IF($A1323="","",IF($W1323=1,Settings!$C$6,Settings!$C$7)*1)</f>
        <v/>
      </c>
      <c r="U1323">
        <f>IF($A1323="","",IF(COUNTIF($A$2:$A1323,$A1323)=1,1,0))</f>
        <v/>
      </c>
      <c r="V1323">
        <f>IF($U1323=1,SUMPRODUCT(--($X$2:$X$3001&lt;$X1323))+1,"")</f>
        <v/>
      </c>
      <c r="W1323">
        <f>IF($A1323="","",IF(OR($T1323=TRUE(),$T1323="TRUE"),1,0))</f>
        <v/>
      </c>
      <c r="X1323">
        <f>IF($U1323=1,IFERROR(IF(VALUE($A1323)&lt;100000000,VALUE($A1323),1000000000),IFERROR(IF(VALUE(MID($A1323,2,20))&lt;100000000,VALUE(MID($A1323,2,20)),1000000000),1000000000))+ROW()/100000,"")</f>
        <v/>
      </c>
    </row>
    <row r="1324">
      <c r="F1324" s="7">
        <f>IF($A1324="","",E1324*N1324/100)</f>
        <v/>
      </c>
      <c r="J1324" s="7" t="n"/>
      <c r="K1324" s="7">
        <f>IF($A1324="","",S1324*N1324)</f>
        <v/>
      </c>
      <c r="L1324" s="7">
        <f>IF($A1324="","",N1324-K1324)</f>
        <v/>
      </c>
      <c r="M1324" s="7">
        <f>IF($A1324="","",L1324-F1324)</f>
        <v/>
      </c>
      <c r="N1324" s="7" t="n"/>
      <c r="Q1324" s="11" t="n"/>
      <c r="S1324">
        <f>IF($A1324="","",IF($W1324=1,Settings!$C$6,Settings!$C$7)*1)</f>
        <v/>
      </c>
      <c r="U1324">
        <f>IF($A1324="","",IF(COUNTIF($A$2:$A1324,$A1324)=1,1,0))</f>
        <v/>
      </c>
      <c r="V1324">
        <f>IF($U1324=1,SUMPRODUCT(--($X$2:$X$3001&lt;$X1324))+1,"")</f>
        <v/>
      </c>
      <c r="W1324">
        <f>IF($A1324="","",IF(OR($T1324=TRUE(),$T1324="TRUE"),1,0))</f>
        <v/>
      </c>
      <c r="X1324">
        <f>IF($U1324=1,IFERROR(IF(VALUE($A1324)&lt;100000000,VALUE($A1324),1000000000),IFERROR(IF(VALUE(MID($A1324,2,20))&lt;100000000,VALUE(MID($A1324,2,20)),1000000000),1000000000))+ROW()/100000,"")</f>
        <v/>
      </c>
    </row>
    <row r="1325">
      <c r="F1325" s="7">
        <f>IF($A1325="","",E1325*N1325/100)</f>
        <v/>
      </c>
      <c r="J1325" s="7" t="n"/>
      <c r="K1325" s="7">
        <f>IF($A1325="","",S1325*N1325)</f>
        <v/>
      </c>
      <c r="L1325" s="7">
        <f>IF($A1325="","",N1325-K1325)</f>
        <v/>
      </c>
      <c r="M1325" s="7">
        <f>IF($A1325="","",L1325-F1325)</f>
        <v/>
      </c>
      <c r="N1325" s="7" t="n"/>
      <c r="Q1325" s="11" t="n"/>
      <c r="S1325">
        <f>IF($A1325="","",IF($W1325=1,Settings!$C$6,Settings!$C$7)*1)</f>
        <v/>
      </c>
      <c r="U1325">
        <f>IF($A1325="","",IF(COUNTIF($A$2:$A1325,$A1325)=1,1,0))</f>
        <v/>
      </c>
      <c r="V1325">
        <f>IF($U1325=1,SUMPRODUCT(--($X$2:$X$3001&lt;$X1325))+1,"")</f>
        <v/>
      </c>
      <c r="W1325">
        <f>IF($A1325="","",IF(OR($T1325=TRUE(),$T1325="TRUE"),1,0))</f>
        <v/>
      </c>
      <c r="X1325">
        <f>IF($U1325=1,IFERROR(IF(VALUE($A1325)&lt;100000000,VALUE($A1325),1000000000),IFERROR(IF(VALUE(MID($A1325,2,20))&lt;100000000,VALUE(MID($A1325,2,20)),1000000000),1000000000))+ROW()/100000,"")</f>
        <v/>
      </c>
    </row>
    <row r="1326">
      <c r="F1326" s="7">
        <f>IF($A1326="","",E1326*N1326/100)</f>
        <v/>
      </c>
      <c r="J1326" s="7" t="n"/>
      <c r="K1326" s="7">
        <f>IF($A1326="","",S1326*N1326)</f>
        <v/>
      </c>
      <c r="L1326" s="7">
        <f>IF($A1326="","",N1326-K1326)</f>
        <v/>
      </c>
      <c r="M1326" s="7">
        <f>IF($A1326="","",L1326-F1326)</f>
        <v/>
      </c>
      <c r="N1326" s="7" t="n"/>
      <c r="Q1326" s="11" t="n"/>
      <c r="S1326">
        <f>IF($A1326="","",IF($W1326=1,Settings!$C$6,Settings!$C$7)*1)</f>
        <v/>
      </c>
      <c r="U1326">
        <f>IF($A1326="","",IF(COUNTIF($A$2:$A1326,$A1326)=1,1,0))</f>
        <v/>
      </c>
      <c r="V1326">
        <f>IF($U1326=1,SUMPRODUCT(--($X$2:$X$3001&lt;$X1326))+1,"")</f>
        <v/>
      </c>
      <c r="W1326">
        <f>IF($A1326="","",IF(OR($T1326=TRUE(),$T1326="TRUE"),1,0))</f>
        <v/>
      </c>
      <c r="X1326">
        <f>IF($U1326=1,IFERROR(IF(VALUE($A1326)&lt;100000000,VALUE($A1326),1000000000),IFERROR(IF(VALUE(MID($A1326,2,20))&lt;100000000,VALUE(MID($A1326,2,20)),1000000000),1000000000))+ROW()/100000,"")</f>
        <v/>
      </c>
    </row>
    <row r="1327">
      <c r="F1327" s="7">
        <f>IF($A1327="","",E1327*N1327/100)</f>
        <v/>
      </c>
      <c r="J1327" s="7" t="n"/>
      <c r="K1327" s="7">
        <f>IF($A1327="","",S1327*N1327)</f>
        <v/>
      </c>
      <c r="L1327" s="7">
        <f>IF($A1327="","",N1327-K1327)</f>
        <v/>
      </c>
      <c r="M1327" s="7">
        <f>IF($A1327="","",L1327-F1327)</f>
        <v/>
      </c>
      <c r="N1327" s="7" t="n"/>
      <c r="Q1327" s="11" t="n"/>
      <c r="S1327">
        <f>IF($A1327="","",IF($W1327=1,Settings!$C$6,Settings!$C$7)*1)</f>
        <v/>
      </c>
      <c r="U1327">
        <f>IF($A1327="","",IF(COUNTIF($A$2:$A1327,$A1327)=1,1,0))</f>
        <v/>
      </c>
      <c r="V1327">
        <f>IF($U1327=1,SUMPRODUCT(--($X$2:$X$3001&lt;$X1327))+1,"")</f>
        <v/>
      </c>
      <c r="W1327">
        <f>IF($A1327="","",IF(OR($T1327=TRUE(),$T1327="TRUE"),1,0))</f>
        <v/>
      </c>
      <c r="X1327">
        <f>IF($U1327=1,IFERROR(IF(VALUE($A1327)&lt;100000000,VALUE($A1327),1000000000),IFERROR(IF(VALUE(MID($A1327,2,20))&lt;100000000,VALUE(MID($A1327,2,20)),1000000000),1000000000))+ROW()/100000,"")</f>
        <v/>
      </c>
    </row>
    <row r="1328">
      <c r="F1328" s="7">
        <f>IF($A1328="","",E1328*N1328/100)</f>
        <v/>
      </c>
      <c r="J1328" s="7" t="n"/>
      <c r="K1328" s="7">
        <f>IF($A1328="","",S1328*N1328)</f>
        <v/>
      </c>
      <c r="L1328" s="7">
        <f>IF($A1328="","",N1328-K1328)</f>
        <v/>
      </c>
      <c r="M1328" s="7">
        <f>IF($A1328="","",L1328-F1328)</f>
        <v/>
      </c>
      <c r="N1328" s="7" t="n"/>
      <c r="Q1328" s="11" t="n"/>
      <c r="S1328">
        <f>IF($A1328="","",IF($W1328=1,Settings!$C$6,Settings!$C$7)*1)</f>
        <v/>
      </c>
      <c r="U1328">
        <f>IF($A1328="","",IF(COUNTIF($A$2:$A1328,$A1328)=1,1,0))</f>
        <v/>
      </c>
      <c r="V1328">
        <f>IF($U1328=1,SUMPRODUCT(--($X$2:$X$3001&lt;$X1328))+1,"")</f>
        <v/>
      </c>
      <c r="W1328">
        <f>IF($A1328="","",IF(OR($T1328=TRUE(),$T1328="TRUE"),1,0))</f>
        <v/>
      </c>
      <c r="X1328">
        <f>IF($U1328=1,IFERROR(IF(VALUE($A1328)&lt;100000000,VALUE($A1328),1000000000),IFERROR(IF(VALUE(MID($A1328,2,20))&lt;100000000,VALUE(MID($A1328,2,20)),1000000000),1000000000))+ROW()/100000,"")</f>
        <v/>
      </c>
    </row>
    <row r="1329">
      <c r="F1329" s="7">
        <f>IF($A1329="","",E1329*N1329/100)</f>
        <v/>
      </c>
      <c r="J1329" s="7" t="n"/>
      <c r="K1329" s="7">
        <f>IF($A1329="","",S1329*N1329)</f>
        <v/>
      </c>
      <c r="L1329" s="7">
        <f>IF($A1329="","",N1329-K1329)</f>
        <v/>
      </c>
      <c r="M1329" s="7">
        <f>IF($A1329="","",L1329-F1329)</f>
        <v/>
      </c>
      <c r="N1329" s="7" t="n"/>
      <c r="Q1329" s="11" t="n"/>
      <c r="S1329">
        <f>IF($A1329="","",IF($W1329=1,Settings!$C$6,Settings!$C$7)*1)</f>
        <v/>
      </c>
      <c r="U1329">
        <f>IF($A1329="","",IF(COUNTIF($A$2:$A1329,$A1329)=1,1,0))</f>
        <v/>
      </c>
      <c r="V1329">
        <f>IF($U1329=1,SUMPRODUCT(--($X$2:$X$3001&lt;$X1329))+1,"")</f>
        <v/>
      </c>
      <c r="W1329">
        <f>IF($A1329="","",IF(OR($T1329=TRUE(),$T1329="TRUE"),1,0))</f>
        <v/>
      </c>
      <c r="X1329">
        <f>IF($U1329=1,IFERROR(IF(VALUE($A1329)&lt;100000000,VALUE($A1329),1000000000),IFERROR(IF(VALUE(MID($A1329,2,20))&lt;100000000,VALUE(MID($A1329,2,20)),1000000000),1000000000))+ROW()/100000,"")</f>
        <v/>
      </c>
    </row>
    <row r="1330">
      <c r="F1330" s="7">
        <f>IF($A1330="","",E1330*N1330/100)</f>
        <v/>
      </c>
      <c r="J1330" s="7" t="n"/>
      <c r="K1330" s="7">
        <f>IF($A1330="","",S1330*N1330)</f>
        <v/>
      </c>
      <c r="L1330" s="7">
        <f>IF($A1330="","",N1330-K1330)</f>
        <v/>
      </c>
      <c r="M1330" s="7">
        <f>IF($A1330="","",L1330-F1330)</f>
        <v/>
      </c>
      <c r="N1330" s="7" t="n"/>
      <c r="Q1330" s="11" t="n"/>
      <c r="S1330">
        <f>IF($A1330="","",IF($W1330=1,Settings!$C$6,Settings!$C$7)*1)</f>
        <v/>
      </c>
      <c r="U1330">
        <f>IF($A1330="","",IF(COUNTIF($A$2:$A1330,$A1330)=1,1,0))</f>
        <v/>
      </c>
      <c r="V1330">
        <f>IF($U1330=1,SUMPRODUCT(--($X$2:$X$3001&lt;$X1330))+1,"")</f>
        <v/>
      </c>
      <c r="W1330">
        <f>IF($A1330="","",IF(OR($T1330=TRUE(),$T1330="TRUE"),1,0))</f>
        <v/>
      </c>
      <c r="X1330">
        <f>IF($U1330=1,IFERROR(IF(VALUE($A1330)&lt;100000000,VALUE($A1330),1000000000),IFERROR(IF(VALUE(MID($A1330,2,20))&lt;100000000,VALUE(MID($A1330,2,20)),1000000000),1000000000))+ROW()/100000,"")</f>
        <v/>
      </c>
    </row>
    <row r="1331">
      <c r="F1331" s="7">
        <f>IF($A1331="","",E1331*N1331/100)</f>
        <v/>
      </c>
      <c r="J1331" s="7" t="n"/>
      <c r="K1331" s="7">
        <f>IF($A1331="","",S1331*N1331)</f>
        <v/>
      </c>
      <c r="L1331" s="7">
        <f>IF($A1331="","",N1331-K1331)</f>
        <v/>
      </c>
      <c r="M1331" s="7">
        <f>IF($A1331="","",L1331-F1331)</f>
        <v/>
      </c>
      <c r="N1331" s="7" t="n"/>
      <c r="Q1331" s="11" t="n"/>
      <c r="S1331">
        <f>IF($A1331="","",IF($W1331=1,Settings!$C$6,Settings!$C$7)*1)</f>
        <v/>
      </c>
      <c r="U1331">
        <f>IF($A1331="","",IF(COUNTIF($A$2:$A1331,$A1331)=1,1,0))</f>
        <v/>
      </c>
      <c r="V1331">
        <f>IF($U1331=1,SUMPRODUCT(--($X$2:$X$3001&lt;$X1331))+1,"")</f>
        <v/>
      </c>
      <c r="W1331">
        <f>IF($A1331="","",IF(OR($T1331=TRUE(),$T1331="TRUE"),1,0))</f>
        <v/>
      </c>
      <c r="X1331">
        <f>IF($U1331=1,IFERROR(IF(VALUE($A1331)&lt;100000000,VALUE($A1331),1000000000),IFERROR(IF(VALUE(MID($A1331,2,20))&lt;100000000,VALUE(MID($A1331,2,20)),1000000000),1000000000))+ROW()/100000,"")</f>
        <v/>
      </c>
    </row>
    <row r="1332">
      <c r="F1332" s="7">
        <f>IF($A1332="","",E1332*N1332/100)</f>
        <v/>
      </c>
      <c r="J1332" s="7" t="n"/>
      <c r="K1332" s="7">
        <f>IF($A1332="","",S1332*N1332)</f>
        <v/>
      </c>
      <c r="L1332" s="7">
        <f>IF($A1332="","",N1332-K1332)</f>
        <v/>
      </c>
      <c r="M1332" s="7">
        <f>IF($A1332="","",L1332-F1332)</f>
        <v/>
      </c>
      <c r="N1332" s="7" t="n"/>
      <c r="Q1332" s="11" t="n"/>
      <c r="S1332">
        <f>IF($A1332="","",IF($W1332=1,Settings!$C$6,Settings!$C$7)*1)</f>
        <v/>
      </c>
      <c r="U1332">
        <f>IF($A1332="","",IF(COUNTIF($A$2:$A1332,$A1332)=1,1,0))</f>
        <v/>
      </c>
      <c r="V1332">
        <f>IF($U1332=1,SUMPRODUCT(--($X$2:$X$3001&lt;$X1332))+1,"")</f>
        <v/>
      </c>
      <c r="W1332">
        <f>IF($A1332="","",IF(OR($T1332=TRUE(),$T1332="TRUE"),1,0))</f>
        <v/>
      </c>
      <c r="X1332">
        <f>IF($U1332=1,IFERROR(IF(VALUE($A1332)&lt;100000000,VALUE($A1332),1000000000),IFERROR(IF(VALUE(MID($A1332,2,20))&lt;100000000,VALUE(MID($A1332,2,20)),1000000000),1000000000))+ROW()/100000,"")</f>
        <v/>
      </c>
    </row>
    <row r="1333">
      <c r="F1333" s="7">
        <f>IF($A1333="","",E1333*N1333/100)</f>
        <v/>
      </c>
      <c r="J1333" s="7" t="n"/>
      <c r="K1333" s="7">
        <f>IF($A1333="","",S1333*N1333)</f>
        <v/>
      </c>
      <c r="L1333" s="7">
        <f>IF($A1333="","",N1333-K1333)</f>
        <v/>
      </c>
      <c r="M1333" s="7">
        <f>IF($A1333="","",L1333-F1333)</f>
        <v/>
      </c>
      <c r="N1333" s="7" t="n"/>
      <c r="Q1333" s="11" t="n"/>
      <c r="S1333">
        <f>IF($A1333="","",IF($W1333=1,Settings!$C$6,Settings!$C$7)*1)</f>
        <v/>
      </c>
      <c r="U1333">
        <f>IF($A1333="","",IF(COUNTIF($A$2:$A1333,$A1333)=1,1,0))</f>
        <v/>
      </c>
      <c r="V1333">
        <f>IF($U1333=1,SUMPRODUCT(--($X$2:$X$3001&lt;$X1333))+1,"")</f>
        <v/>
      </c>
      <c r="W1333">
        <f>IF($A1333="","",IF(OR($T1333=TRUE(),$T1333="TRUE"),1,0))</f>
        <v/>
      </c>
      <c r="X1333">
        <f>IF($U1333=1,IFERROR(IF(VALUE($A1333)&lt;100000000,VALUE($A1333),1000000000),IFERROR(IF(VALUE(MID($A1333,2,20))&lt;100000000,VALUE(MID($A1333,2,20)),1000000000),1000000000))+ROW()/100000,"")</f>
        <v/>
      </c>
    </row>
    <row r="1334">
      <c r="F1334" s="7">
        <f>IF($A1334="","",E1334*N1334/100)</f>
        <v/>
      </c>
      <c r="J1334" s="7" t="n"/>
      <c r="K1334" s="7">
        <f>IF($A1334="","",S1334*N1334)</f>
        <v/>
      </c>
      <c r="L1334" s="7">
        <f>IF($A1334="","",N1334-K1334)</f>
        <v/>
      </c>
      <c r="M1334" s="7">
        <f>IF($A1334="","",L1334-F1334)</f>
        <v/>
      </c>
      <c r="N1334" s="7" t="n"/>
      <c r="Q1334" s="11" t="n"/>
      <c r="S1334">
        <f>IF($A1334="","",IF($W1334=1,Settings!$C$6,Settings!$C$7)*1)</f>
        <v/>
      </c>
      <c r="U1334">
        <f>IF($A1334="","",IF(COUNTIF($A$2:$A1334,$A1334)=1,1,0))</f>
        <v/>
      </c>
      <c r="V1334">
        <f>IF($U1334=1,SUMPRODUCT(--($X$2:$X$3001&lt;$X1334))+1,"")</f>
        <v/>
      </c>
      <c r="W1334">
        <f>IF($A1334="","",IF(OR($T1334=TRUE(),$T1334="TRUE"),1,0))</f>
        <v/>
      </c>
      <c r="X1334">
        <f>IF($U1334=1,IFERROR(IF(VALUE($A1334)&lt;100000000,VALUE($A1334),1000000000),IFERROR(IF(VALUE(MID($A1334,2,20))&lt;100000000,VALUE(MID($A1334,2,20)),1000000000),1000000000))+ROW()/100000,"")</f>
        <v/>
      </c>
    </row>
    <row r="1335">
      <c r="F1335" s="7">
        <f>IF($A1335="","",E1335*N1335/100)</f>
        <v/>
      </c>
      <c r="J1335" s="7" t="n"/>
      <c r="K1335" s="7">
        <f>IF($A1335="","",S1335*N1335)</f>
        <v/>
      </c>
      <c r="L1335" s="7">
        <f>IF($A1335="","",N1335-K1335)</f>
        <v/>
      </c>
      <c r="M1335" s="7">
        <f>IF($A1335="","",L1335-F1335)</f>
        <v/>
      </c>
      <c r="N1335" s="7" t="n"/>
      <c r="Q1335" s="11" t="n"/>
      <c r="S1335">
        <f>IF($A1335="","",IF($W1335=1,Settings!$C$6,Settings!$C$7)*1)</f>
        <v/>
      </c>
      <c r="U1335">
        <f>IF($A1335="","",IF(COUNTIF($A$2:$A1335,$A1335)=1,1,0))</f>
        <v/>
      </c>
      <c r="V1335">
        <f>IF($U1335=1,SUMPRODUCT(--($X$2:$X$3001&lt;$X1335))+1,"")</f>
        <v/>
      </c>
      <c r="W1335">
        <f>IF($A1335="","",IF(OR($T1335=TRUE(),$T1335="TRUE"),1,0))</f>
        <v/>
      </c>
      <c r="X1335">
        <f>IF($U1335=1,IFERROR(IF(VALUE($A1335)&lt;100000000,VALUE($A1335),1000000000),IFERROR(IF(VALUE(MID($A1335,2,20))&lt;100000000,VALUE(MID($A1335,2,20)),1000000000),1000000000))+ROW()/100000,"")</f>
        <v/>
      </c>
    </row>
    <row r="1336">
      <c r="F1336" s="7">
        <f>IF($A1336="","",E1336*N1336/100)</f>
        <v/>
      </c>
      <c r="J1336" s="7" t="n"/>
      <c r="K1336" s="7">
        <f>IF($A1336="","",S1336*N1336)</f>
        <v/>
      </c>
      <c r="L1336" s="7">
        <f>IF($A1336="","",N1336-K1336)</f>
        <v/>
      </c>
      <c r="M1336" s="7">
        <f>IF($A1336="","",L1336-F1336)</f>
        <v/>
      </c>
      <c r="N1336" s="7" t="n"/>
      <c r="Q1336" s="11" t="n"/>
      <c r="S1336">
        <f>IF($A1336="","",IF($W1336=1,Settings!$C$6,Settings!$C$7)*1)</f>
        <v/>
      </c>
      <c r="U1336">
        <f>IF($A1336="","",IF(COUNTIF($A$2:$A1336,$A1336)=1,1,0))</f>
        <v/>
      </c>
      <c r="V1336">
        <f>IF($U1336=1,SUMPRODUCT(--($X$2:$X$3001&lt;$X1336))+1,"")</f>
        <v/>
      </c>
      <c r="W1336">
        <f>IF($A1336="","",IF(OR($T1336=TRUE(),$T1336="TRUE"),1,0))</f>
        <v/>
      </c>
      <c r="X1336">
        <f>IF($U1336=1,IFERROR(IF(VALUE($A1336)&lt;100000000,VALUE($A1336),1000000000),IFERROR(IF(VALUE(MID($A1336,2,20))&lt;100000000,VALUE(MID($A1336,2,20)),1000000000),1000000000))+ROW()/100000,"")</f>
        <v/>
      </c>
    </row>
    <row r="1337">
      <c r="F1337" s="7">
        <f>IF($A1337="","",E1337*N1337/100)</f>
        <v/>
      </c>
      <c r="J1337" s="7" t="n"/>
      <c r="K1337" s="7">
        <f>IF($A1337="","",S1337*N1337)</f>
        <v/>
      </c>
      <c r="L1337" s="7">
        <f>IF($A1337="","",N1337-K1337)</f>
        <v/>
      </c>
      <c r="M1337" s="7">
        <f>IF($A1337="","",L1337-F1337)</f>
        <v/>
      </c>
      <c r="N1337" s="7" t="n"/>
      <c r="Q1337" s="11" t="n"/>
      <c r="S1337">
        <f>IF($A1337="","",IF($W1337=1,Settings!$C$6,Settings!$C$7)*1)</f>
        <v/>
      </c>
      <c r="U1337">
        <f>IF($A1337="","",IF(COUNTIF($A$2:$A1337,$A1337)=1,1,0))</f>
        <v/>
      </c>
      <c r="V1337">
        <f>IF($U1337=1,SUMPRODUCT(--($X$2:$X$3001&lt;$X1337))+1,"")</f>
        <v/>
      </c>
      <c r="W1337">
        <f>IF($A1337="","",IF(OR($T1337=TRUE(),$T1337="TRUE"),1,0))</f>
        <v/>
      </c>
      <c r="X1337">
        <f>IF($U1337=1,IFERROR(IF(VALUE($A1337)&lt;100000000,VALUE($A1337),1000000000),IFERROR(IF(VALUE(MID($A1337,2,20))&lt;100000000,VALUE(MID($A1337,2,20)),1000000000),1000000000))+ROW()/100000,"")</f>
        <v/>
      </c>
    </row>
    <row r="1338">
      <c r="F1338" s="7">
        <f>IF($A1338="","",E1338*N1338/100)</f>
        <v/>
      </c>
      <c r="J1338" s="7" t="n"/>
      <c r="K1338" s="7">
        <f>IF($A1338="","",S1338*N1338)</f>
        <v/>
      </c>
      <c r="L1338" s="7">
        <f>IF($A1338="","",N1338-K1338)</f>
        <v/>
      </c>
      <c r="M1338" s="7">
        <f>IF($A1338="","",L1338-F1338)</f>
        <v/>
      </c>
      <c r="N1338" s="7" t="n"/>
      <c r="Q1338" s="11" t="n"/>
      <c r="S1338">
        <f>IF($A1338="","",IF($W1338=1,Settings!$C$6,Settings!$C$7)*1)</f>
        <v/>
      </c>
      <c r="U1338">
        <f>IF($A1338="","",IF(COUNTIF($A$2:$A1338,$A1338)=1,1,0))</f>
        <v/>
      </c>
      <c r="V1338">
        <f>IF($U1338=1,SUMPRODUCT(--($X$2:$X$3001&lt;$X1338))+1,"")</f>
        <v/>
      </c>
      <c r="W1338">
        <f>IF($A1338="","",IF(OR($T1338=TRUE(),$T1338="TRUE"),1,0))</f>
        <v/>
      </c>
      <c r="X1338">
        <f>IF($U1338=1,IFERROR(IF(VALUE($A1338)&lt;100000000,VALUE($A1338),1000000000),IFERROR(IF(VALUE(MID($A1338,2,20))&lt;100000000,VALUE(MID($A1338,2,20)),1000000000),1000000000))+ROW()/100000,"")</f>
        <v/>
      </c>
    </row>
    <row r="1339">
      <c r="F1339" s="7">
        <f>IF($A1339="","",E1339*N1339/100)</f>
        <v/>
      </c>
      <c r="J1339" s="7" t="n"/>
      <c r="K1339" s="7">
        <f>IF($A1339="","",S1339*N1339)</f>
        <v/>
      </c>
      <c r="L1339" s="7">
        <f>IF($A1339="","",N1339-K1339)</f>
        <v/>
      </c>
      <c r="M1339" s="7">
        <f>IF($A1339="","",L1339-F1339)</f>
        <v/>
      </c>
      <c r="N1339" s="7" t="n"/>
      <c r="Q1339" s="11" t="n"/>
      <c r="S1339">
        <f>IF($A1339="","",IF($W1339=1,Settings!$C$6,Settings!$C$7)*1)</f>
        <v/>
      </c>
      <c r="U1339">
        <f>IF($A1339="","",IF(COUNTIF($A$2:$A1339,$A1339)=1,1,0))</f>
        <v/>
      </c>
      <c r="V1339">
        <f>IF($U1339=1,SUMPRODUCT(--($X$2:$X$3001&lt;$X1339))+1,"")</f>
        <v/>
      </c>
      <c r="W1339">
        <f>IF($A1339="","",IF(OR($T1339=TRUE(),$T1339="TRUE"),1,0))</f>
        <v/>
      </c>
      <c r="X1339">
        <f>IF($U1339=1,IFERROR(IF(VALUE($A1339)&lt;100000000,VALUE($A1339),1000000000),IFERROR(IF(VALUE(MID($A1339,2,20))&lt;100000000,VALUE(MID($A1339,2,20)),1000000000),1000000000))+ROW()/100000,"")</f>
        <v/>
      </c>
    </row>
    <row r="1340">
      <c r="F1340" s="7">
        <f>IF($A1340="","",E1340*N1340/100)</f>
        <v/>
      </c>
      <c r="J1340" s="7" t="n"/>
      <c r="K1340" s="7">
        <f>IF($A1340="","",S1340*N1340)</f>
        <v/>
      </c>
      <c r="L1340" s="7">
        <f>IF($A1340="","",N1340-K1340)</f>
        <v/>
      </c>
      <c r="M1340" s="7">
        <f>IF($A1340="","",L1340-F1340)</f>
        <v/>
      </c>
      <c r="N1340" s="7" t="n"/>
      <c r="Q1340" s="11" t="n"/>
      <c r="S1340">
        <f>IF($A1340="","",IF($W1340=1,Settings!$C$6,Settings!$C$7)*1)</f>
        <v/>
      </c>
      <c r="U1340">
        <f>IF($A1340="","",IF(COUNTIF($A$2:$A1340,$A1340)=1,1,0))</f>
        <v/>
      </c>
      <c r="V1340">
        <f>IF($U1340=1,SUMPRODUCT(--($X$2:$X$3001&lt;$X1340))+1,"")</f>
        <v/>
      </c>
      <c r="W1340">
        <f>IF($A1340="","",IF(OR($T1340=TRUE(),$T1340="TRUE"),1,0))</f>
        <v/>
      </c>
      <c r="X1340">
        <f>IF($U1340=1,IFERROR(IF(VALUE($A1340)&lt;100000000,VALUE($A1340),1000000000),IFERROR(IF(VALUE(MID($A1340,2,20))&lt;100000000,VALUE(MID($A1340,2,20)),1000000000),1000000000))+ROW()/100000,"")</f>
        <v/>
      </c>
    </row>
    <row r="1341">
      <c r="F1341" s="7">
        <f>IF($A1341="","",E1341*N1341/100)</f>
        <v/>
      </c>
      <c r="J1341" s="7" t="n"/>
      <c r="K1341" s="7">
        <f>IF($A1341="","",S1341*N1341)</f>
        <v/>
      </c>
      <c r="L1341" s="7">
        <f>IF($A1341="","",N1341-K1341)</f>
        <v/>
      </c>
      <c r="M1341" s="7">
        <f>IF($A1341="","",L1341-F1341)</f>
        <v/>
      </c>
      <c r="N1341" s="7" t="n"/>
      <c r="Q1341" s="11" t="n"/>
      <c r="S1341">
        <f>IF($A1341="","",IF($W1341=1,Settings!$C$6,Settings!$C$7)*1)</f>
        <v/>
      </c>
      <c r="U1341">
        <f>IF($A1341="","",IF(COUNTIF($A$2:$A1341,$A1341)=1,1,0))</f>
        <v/>
      </c>
      <c r="V1341">
        <f>IF($U1341=1,SUMPRODUCT(--($X$2:$X$3001&lt;$X1341))+1,"")</f>
        <v/>
      </c>
      <c r="W1341">
        <f>IF($A1341="","",IF(OR($T1341=TRUE(),$T1341="TRUE"),1,0))</f>
        <v/>
      </c>
      <c r="X1341">
        <f>IF($U1341=1,IFERROR(IF(VALUE($A1341)&lt;100000000,VALUE($A1341),1000000000),IFERROR(IF(VALUE(MID($A1341,2,20))&lt;100000000,VALUE(MID($A1341,2,20)),1000000000),1000000000))+ROW()/100000,"")</f>
        <v/>
      </c>
    </row>
    <row r="1342">
      <c r="F1342" s="7">
        <f>IF($A1342="","",E1342*N1342/100)</f>
        <v/>
      </c>
      <c r="J1342" s="7" t="n"/>
      <c r="K1342" s="7">
        <f>IF($A1342="","",S1342*N1342)</f>
        <v/>
      </c>
      <c r="L1342" s="7">
        <f>IF($A1342="","",N1342-K1342)</f>
        <v/>
      </c>
      <c r="M1342" s="7">
        <f>IF($A1342="","",L1342-F1342)</f>
        <v/>
      </c>
      <c r="N1342" s="7" t="n"/>
      <c r="Q1342" s="11" t="n"/>
      <c r="S1342">
        <f>IF($A1342="","",IF($W1342=1,Settings!$C$6,Settings!$C$7)*1)</f>
        <v/>
      </c>
      <c r="U1342">
        <f>IF($A1342="","",IF(COUNTIF($A$2:$A1342,$A1342)=1,1,0))</f>
        <v/>
      </c>
      <c r="V1342">
        <f>IF($U1342=1,SUMPRODUCT(--($X$2:$X$3001&lt;$X1342))+1,"")</f>
        <v/>
      </c>
      <c r="W1342">
        <f>IF($A1342="","",IF(OR($T1342=TRUE(),$T1342="TRUE"),1,0))</f>
        <v/>
      </c>
      <c r="X1342">
        <f>IF($U1342=1,IFERROR(IF(VALUE($A1342)&lt;100000000,VALUE($A1342),1000000000),IFERROR(IF(VALUE(MID($A1342,2,20))&lt;100000000,VALUE(MID($A1342,2,20)),1000000000),1000000000))+ROW()/100000,"")</f>
        <v/>
      </c>
    </row>
    <row r="1343">
      <c r="F1343" s="7">
        <f>IF($A1343="","",E1343*N1343/100)</f>
        <v/>
      </c>
      <c r="J1343" s="7" t="n"/>
      <c r="K1343" s="7">
        <f>IF($A1343="","",S1343*N1343)</f>
        <v/>
      </c>
      <c r="L1343" s="7">
        <f>IF($A1343="","",N1343-K1343)</f>
        <v/>
      </c>
      <c r="M1343" s="7">
        <f>IF($A1343="","",L1343-F1343)</f>
        <v/>
      </c>
      <c r="N1343" s="7" t="n"/>
      <c r="Q1343" s="11" t="n"/>
      <c r="S1343">
        <f>IF($A1343="","",IF($W1343=1,Settings!$C$6,Settings!$C$7)*1)</f>
        <v/>
      </c>
      <c r="U1343">
        <f>IF($A1343="","",IF(COUNTIF($A$2:$A1343,$A1343)=1,1,0))</f>
        <v/>
      </c>
      <c r="V1343">
        <f>IF($U1343=1,SUMPRODUCT(--($X$2:$X$3001&lt;$X1343))+1,"")</f>
        <v/>
      </c>
      <c r="W1343">
        <f>IF($A1343="","",IF(OR($T1343=TRUE(),$T1343="TRUE"),1,0))</f>
        <v/>
      </c>
      <c r="X1343">
        <f>IF($U1343=1,IFERROR(IF(VALUE($A1343)&lt;100000000,VALUE($A1343),1000000000),IFERROR(IF(VALUE(MID($A1343,2,20))&lt;100000000,VALUE(MID($A1343,2,20)),1000000000),1000000000))+ROW()/100000,"")</f>
        <v/>
      </c>
    </row>
    <row r="1344">
      <c r="F1344" s="7">
        <f>IF($A1344="","",E1344*N1344/100)</f>
        <v/>
      </c>
      <c r="J1344" s="7" t="n"/>
      <c r="K1344" s="7">
        <f>IF($A1344="","",S1344*N1344)</f>
        <v/>
      </c>
      <c r="L1344" s="7">
        <f>IF($A1344="","",N1344-K1344)</f>
        <v/>
      </c>
      <c r="M1344" s="7">
        <f>IF($A1344="","",L1344-F1344)</f>
        <v/>
      </c>
      <c r="N1344" s="7" t="n"/>
      <c r="Q1344" s="11" t="n"/>
      <c r="S1344">
        <f>IF($A1344="","",IF($W1344=1,Settings!$C$6,Settings!$C$7)*1)</f>
        <v/>
      </c>
      <c r="U1344">
        <f>IF($A1344="","",IF(COUNTIF($A$2:$A1344,$A1344)=1,1,0))</f>
        <v/>
      </c>
      <c r="V1344">
        <f>IF($U1344=1,SUMPRODUCT(--($X$2:$X$3001&lt;$X1344))+1,"")</f>
        <v/>
      </c>
      <c r="W1344">
        <f>IF($A1344="","",IF(OR($T1344=TRUE(),$T1344="TRUE"),1,0))</f>
        <v/>
      </c>
      <c r="X1344">
        <f>IF($U1344=1,IFERROR(IF(VALUE($A1344)&lt;100000000,VALUE($A1344),1000000000),IFERROR(IF(VALUE(MID($A1344,2,20))&lt;100000000,VALUE(MID($A1344,2,20)),1000000000),1000000000))+ROW()/100000,"")</f>
        <v/>
      </c>
    </row>
    <row r="1345">
      <c r="F1345" s="7">
        <f>IF($A1345="","",E1345*N1345/100)</f>
        <v/>
      </c>
      <c r="J1345" s="7" t="n"/>
      <c r="K1345" s="7">
        <f>IF($A1345="","",S1345*N1345)</f>
        <v/>
      </c>
      <c r="L1345" s="7">
        <f>IF($A1345="","",N1345-K1345)</f>
        <v/>
      </c>
      <c r="M1345" s="7">
        <f>IF($A1345="","",L1345-F1345)</f>
        <v/>
      </c>
      <c r="N1345" s="7" t="n"/>
      <c r="Q1345" s="11" t="n"/>
      <c r="S1345">
        <f>IF($A1345="","",IF($W1345=1,Settings!$C$6,Settings!$C$7)*1)</f>
        <v/>
      </c>
      <c r="U1345">
        <f>IF($A1345="","",IF(COUNTIF($A$2:$A1345,$A1345)=1,1,0))</f>
        <v/>
      </c>
      <c r="V1345">
        <f>IF($U1345=1,SUMPRODUCT(--($X$2:$X$3001&lt;$X1345))+1,"")</f>
        <v/>
      </c>
      <c r="W1345">
        <f>IF($A1345="","",IF(OR($T1345=TRUE(),$T1345="TRUE"),1,0))</f>
        <v/>
      </c>
      <c r="X1345">
        <f>IF($U1345=1,IFERROR(IF(VALUE($A1345)&lt;100000000,VALUE($A1345),1000000000),IFERROR(IF(VALUE(MID($A1345,2,20))&lt;100000000,VALUE(MID($A1345,2,20)),1000000000),1000000000))+ROW()/100000,"")</f>
        <v/>
      </c>
    </row>
    <row r="1346">
      <c r="F1346" s="7">
        <f>IF($A1346="","",E1346*N1346/100)</f>
        <v/>
      </c>
      <c r="J1346" s="7" t="n"/>
      <c r="K1346" s="7">
        <f>IF($A1346="","",S1346*N1346)</f>
        <v/>
      </c>
      <c r="L1346" s="7">
        <f>IF($A1346="","",N1346-K1346)</f>
        <v/>
      </c>
      <c r="M1346" s="7">
        <f>IF($A1346="","",L1346-F1346)</f>
        <v/>
      </c>
      <c r="N1346" s="7" t="n"/>
      <c r="Q1346" s="11" t="n"/>
      <c r="S1346">
        <f>IF($A1346="","",IF($W1346=1,Settings!$C$6,Settings!$C$7)*1)</f>
        <v/>
      </c>
      <c r="U1346">
        <f>IF($A1346="","",IF(COUNTIF($A$2:$A1346,$A1346)=1,1,0))</f>
        <v/>
      </c>
      <c r="V1346">
        <f>IF($U1346=1,SUMPRODUCT(--($X$2:$X$3001&lt;$X1346))+1,"")</f>
        <v/>
      </c>
      <c r="W1346">
        <f>IF($A1346="","",IF(OR($T1346=TRUE(),$T1346="TRUE"),1,0))</f>
        <v/>
      </c>
      <c r="X1346">
        <f>IF($U1346=1,IFERROR(IF(VALUE($A1346)&lt;100000000,VALUE($A1346),1000000000),IFERROR(IF(VALUE(MID($A1346,2,20))&lt;100000000,VALUE(MID($A1346,2,20)),1000000000),1000000000))+ROW()/100000,"")</f>
        <v/>
      </c>
    </row>
    <row r="1347">
      <c r="F1347" s="7">
        <f>IF($A1347="","",E1347*N1347/100)</f>
        <v/>
      </c>
      <c r="J1347" s="7" t="n"/>
      <c r="K1347" s="7">
        <f>IF($A1347="","",S1347*N1347)</f>
        <v/>
      </c>
      <c r="L1347" s="7">
        <f>IF($A1347="","",N1347-K1347)</f>
        <v/>
      </c>
      <c r="M1347" s="7">
        <f>IF($A1347="","",L1347-F1347)</f>
        <v/>
      </c>
      <c r="N1347" s="7" t="n"/>
      <c r="Q1347" s="11" t="n"/>
      <c r="S1347">
        <f>IF($A1347="","",IF($W1347=1,Settings!$C$6,Settings!$C$7)*1)</f>
        <v/>
      </c>
      <c r="U1347">
        <f>IF($A1347="","",IF(COUNTIF($A$2:$A1347,$A1347)=1,1,0))</f>
        <v/>
      </c>
      <c r="V1347">
        <f>IF($U1347=1,SUMPRODUCT(--($X$2:$X$3001&lt;$X1347))+1,"")</f>
        <v/>
      </c>
      <c r="W1347">
        <f>IF($A1347="","",IF(OR($T1347=TRUE(),$T1347="TRUE"),1,0))</f>
        <v/>
      </c>
      <c r="X1347">
        <f>IF($U1347=1,IFERROR(IF(VALUE($A1347)&lt;100000000,VALUE($A1347),1000000000),IFERROR(IF(VALUE(MID($A1347,2,20))&lt;100000000,VALUE(MID($A1347,2,20)),1000000000),1000000000))+ROW()/100000,"")</f>
        <v/>
      </c>
    </row>
    <row r="1348">
      <c r="F1348" s="7">
        <f>IF($A1348="","",E1348*N1348/100)</f>
        <v/>
      </c>
      <c r="J1348" s="7" t="n"/>
      <c r="K1348" s="7">
        <f>IF($A1348="","",S1348*N1348)</f>
        <v/>
      </c>
      <c r="L1348" s="7">
        <f>IF($A1348="","",N1348-K1348)</f>
        <v/>
      </c>
      <c r="M1348" s="7">
        <f>IF($A1348="","",L1348-F1348)</f>
        <v/>
      </c>
      <c r="N1348" s="7" t="n"/>
      <c r="Q1348" s="11" t="n"/>
      <c r="S1348">
        <f>IF($A1348="","",IF($W1348=1,Settings!$C$6,Settings!$C$7)*1)</f>
        <v/>
      </c>
      <c r="U1348">
        <f>IF($A1348="","",IF(COUNTIF($A$2:$A1348,$A1348)=1,1,0))</f>
        <v/>
      </c>
      <c r="V1348">
        <f>IF($U1348=1,SUMPRODUCT(--($X$2:$X$3001&lt;$X1348))+1,"")</f>
        <v/>
      </c>
      <c r="W1348">
        <f>IF($A1348="","",IF(OR($T1348=TRUE(),$T1348="TRUE"),1,0))</f>
        <v/>
      </c>
      <c r="X1348">
        <f>IF($U1348=1,IFERROR(IF(VALUE($A1348)&lt;100000000,VALUE($A1348),1000000000),IFERROR(IF(VALUE(MID($A1348,2,20))&lt;100000000,VALUE(MID($A1348,2,20)),1000000000),1000000000))+ROW()/100000,"")</f>
        <v/>
      </c>
    </row>
    <row r="1349">
      <c r="F1349" s="7">
        <f>IF($A1349="","",E1349*N1349/100)</f>
        <v/>
      </c>
      <c r="J1349" s="7" t="n"/>
      <c r="K1349" s="7">
        <f>IF($A1349="","",S1349*N1349)</f>
        <v/>
      </c>
      <c r="L1349" s="7">
        <f>IF($A1349="","",N1349-K1349)</f>
        <v/>
      </c>
      <c r="M1349" s="7">
        <f>IF($A1349="","",L1349-F1349)</f>
        <v/>
      </c>
      <c r="N1349" s="7" t="n"/>
      <c r="Q1349" s="11" t="n"/>
      <c r="S1349">
        <f>IF($A1349="","",IF($W1349=1,Settings!$C$6,Settings!$C$7)*1)</f>
        <v/>
      </c>
      <c r="U1349">
        <f>IF($A1349="","",IF(COUNTIF($A$2:$A1349,$A1349)=1,1,0))</f>
        <v/>
      </c>
      <c r="V1349">
        <f>IF($U1349=1,SUMPRODUCT(--($X$2:$X$3001&lt;$X1349))+1,"")</f>
        <v/>
      </c>
      <c r="W1349">
        <f>IF($A1349="","",IF(OR($T1349=TRUE(),$T1349="TRUE"),1,0))</f>
        <v/>
      </c>
      <c r="X1349">
        <f>IF($U1349=1,IFERROR(IF(VALUE($A1349)&lt;100000000,VALUE($A1349),1000000000),IFERROR(IF(VALUE(MID($A1349,2,20))&lt;100000000,VALUE(MID($A1349,2,20)),1000000000),1000000000))+ROW()/100000,"")</f>
        <v/>
      </c>
    </row>
    <row r="1350">
      <c r="F1350" s="7">
        <f>IF($A1350="","",E1350*N1350/100)</f>
        <v/>
      </c>
      <c r="J1350" s="7" t="n"/>
      <c r="K1350" s="7">
        <f>IF($A1350="","",S1350*N1350)</f>
        <v/>
      </c>
      <c r="L1350" s="7">
        <f>IF($A1350="","",N1350-K1350)</f>
        <v/>
      </c>
      <c r="M1350" s="7">
        <f>IF($A1350="","",L1350-F1350)</f>
        <v/>
      </c>
      <c r="N1350" s="7" t="n"/>
      <c r="Q1350" s="11" t="n"/>
      <c r="S1350">
        <f>IF($A1350="","",IF($W1350=1,Settings!$C$6,Settings!$C$7)*1)</f>
        <v/>
      </c>
      <c r="U1350">
        <f>IF($A1350="","",IF(COUNTIF($A$2:$A1350,$A1350)=1,1,0))</f>
        <v/>
      </c>
      <c r="V1350">
        <f>IF($U1350=1,SUMPRODUCT(--($X$2:$X$3001&lt;$X1350))+1,"")</f>
        <v/>
      </c>
      <c r="W1350">
        <f>IF($A1350="","",IF(OR($T1350=TRUE(),$T1350="TRUE"),1,0))</f>
        <v/>
      </c>
      <c r="X1350">
        <f>IF($U1350=1,IFERROR(IF(VALUE($A1350)&lt;100000000,VALUE($A1350),1000000000),IFERROR(IF(VALUE(MID($A1350,2,20))&lt;100000000,VALUE(MID($A1350,2,20)),1000000000),1000000000))+ROW()/100000,"")</f>
        <v/>
      </c>
    </row>
    <row r="1351">
      <c r="F1351" s="7">
        <f>IF($A1351="","",E1351*N1351/100)</f>
        <v/>
      </c>
      <c r="J1351" s="7" t="n"/>
      <c r="K1351" s="7">
        <f>IF($A1351="","",S1351*N1351)</f>
        <v/>
      </c>
      <c r="L1351" s="7">
        <f>IF($A1351="","",N1351-K1351)</f>
        <v/>
      </c>
      <c r="M1351" s="7">
        <f>IF($A1351="","",L1351-F1351)</f>
        <v/>
      </c>
      <c r="N1351" s="7" t="n"/>
      <c r="Q1351" s="11" t="n"/>
      <c r="S1351">
        <f>IF($A1351="","",IF($W1351=1,Settings!$C$6,Settings!$C$7)*1)</f>
        <v/>
      </c>
      <c r="U1351">
        <f>IF($A1351="","",IF(COUNTIF($A$2:$A1351,$A1351)=1,1,0))</f>
        <v/>
      </c>
      <c r="V1351">
        <f>IF($U1351=1,SUMPRODUCT(--($X$2:$X$3001&lt;$X1351))+1,"")</f>
        <v/>
      </c>
      <c r="W1351">
        <f>IF($A1351="","",IF(OR($T1351=TRUE(),$T1351="TRUE"),1,0))</f>
        <v/>
      </c>
      <c r="X1351">
        <f>IF($U1351=1,IFERROR(IF(VALUE($A1351)&lt;100000000,VALUE($A1351),1000000000),IFERROR(IF(VALUE(MID($A1351,2,20))&lt;100000000,VALUE(MID($A1351,2,20)),1000000000),1000000000))+ROW()/100000,"")</f>
        <v/>
      </c>
    </row>
    <row r="1352">
      <c r="F1352" s="7">
        <f>IF($A1352="","",E1352*N1352/100)</f>
        <v/>
      </c>
      <c r="J1352" s="7" t="n"/>
      <c r="K1352" s="7">
        <f>IF($A1352="","",S1352*N1352)</f>
        <v/>
      </c>
      <c r="L1352" s="7">
        <f>IF($A1352="","",N1352-K1352)</f>
        <v/>
      </c>
      <c r="M1352" s="7">
        <f>IF($A1352="","",L1352-F1352)</f>
        <v/>
      </c>
      <c r="N1352" s="7" t="n"/>
      <c r="Q1352" s="11" t="n"/>
      <c r="S1352">
        <f>IF($A1352="","",IF($W1352=1,Settings!$C$6,Settings!$C$7)*1)</f>
        <v/>
      </c>
      <c r="U1352">
        <f>IF($A1352="","",IF(COUNTIF($A$2:$A1352,$A1352)=1,1,0))</f>
        <v/>
      </c>
      <c r="V1352">
        <f>IF($U1352=1,SUMPRODUCT(--($X$2:$X$3001&lt;$X1352))+1,"")</f>
        <v/>
      </c>
      <c r="W1352">
        <f>IF($A1352="","",IF(OR($T1352=TRUE(),$T1352="TRUE"),1,0))</f>
        <v/>
      </c>
      <c r="X1352">
        <f>IF($U1352=1,IFERROR(IF(VALUE($A1352)&lt;100000000,VALUE($A1352),1000000000),IFERROR(IF(VALUE(MID($A1352,2,20))&lt;100000000,VALUE(MID($A1352,2,20)),1000000000),1000000000))+ROW()/100000,"")</f>
        <v/>
      </c>
    </row>
    <row r="1353">
      <c r="F1353" s="7">
        <f>IF($A1353="","",E1353*N1353/100)</f>
        <v/>
      </c>
      <c r="J1353" s="7" t="n"/>
      <c r="K1353" s="7">
        <f>IF($A1353="","",S1353*N1353)</f>
        <v/>
      </c>
      <c r="L1353" s="7">
        <f>IF($A1353="","",N1353-K1353)</f>
        <v/>
      </c>
      <c r="M1353" s="7">
        <f>IF($A1353="","",L1353-F1353)</f>
        <v/>
      </c>
      <c r="N1353" s="7" t="n"/>
      <c r="Q1353" s="11" t="n"/>
      <c r="S1353">
        <f>IF($A1353="","",IF($W1353=1,Settings!$C$6,Settings!$C$7)*1)</f>
        <v/>
      </c>
      <c r="U1353">
        <f>IF($A1353="","",IF(COUNTIF($A$2:$A1353,$A1353)=1,1,0))</f>
        <v/>
      </c>
      <c r="V1353">
        <f>IF($U1353=1,SUMPRODUCT(--($X$2:$X$3001&lt;$X1353))+1,"")</f>
        <v/>
      </c>
      <c r="W1353">
        <f>IF($A1353="","",IF(OR($T1353=TRUE(),$T1353="TRUE"),1,0))</f>
        <v/>
      </c>
      <c r="X1353">
        <f>IF($U1353=1,IFERROR(IF(VALUE($A1353)&lt;100000000,VALUE($A1353),1000000000),IFERROR(IF(VALUE(MID($A1353,2,20))&lt;100000000,VALUE(MID($A1353,2,20)),1000000000),1000000000))+ROW()/100000,"")</f>
        <v/>
      </c>
    </row>
    <row r="1354">
      <c r="F1354" s="7">
        <f>IF($A1354="","",E1354*N1354/100)</f>
        <v/>
      </c>
      <c r="J1354" s="7" t="n"/>
      <c r="K1354" s="7">
        <f>IF($A1354="","",S1354*N1354)</f>
        <v/>
      </c>
      <c r="L1354" s="7">
        <f>IF($A1354="","",N1354-K1354)</f>
        <v/>
      </c>
      <c r="M1354" s="7">
        <f>IF($A1354="","",L1354-F1354)</f>
        <v/>
      </c>
      <c r="N1354" s="7" t="n"/>
      <c r="Q1354" s="11" t="n"/>
      <c r="S1354">
        <f>IF($A1354="","",IF($W1354=1,Settings!$C$6,Settings!$C$7)*1)</f>
        <v/>
      </c>
      <c r="U1354">
        <f>IF($A1354="","",IF(COUNTIF($A$2:$A1354,$A1354)=1,1,0))</f>
        <v/>
      </c>
      <c r="V1354">
        <f>IF($U1354=1,SUMPRODUCT(--($X$2:$X$3001&lt;$X1354))+1,"")</f>
        <v/>
      </c>
      <c r="W1354">
        <f>IF($A1354="","",IF(OR($T1354=TRUE(),$T1354="TRUE"),1,0))</f>
        <v/>
      </c>
      <c r="X1354">
        <f>IF($U1354=1,IFERROR(IF(VALUE($A1354)&lt;100000000,VALUE($A1354),1000000000),IFERROR(IF(VALUE(MID($A1354,2,20))&lt;100000000,VALUE(MID($A1354,2,20)),1000000000),1000000000))+ROW()/100000,"")</f>
        <v/>
      </c>
    </row>
    <row r="1355">
      <c r="F1355" s="7">
        <f>IF($A1355="","",E1355*N1355/100)</f>
        <v/>
      </c>
      <c r="J1355" s="7" t="n"/>
      <c r="K1355" s="7">
        <f>IF($A1355="","",S1355*N1355)</f>
        <v/>
      </c>
      <c r="L1355" s="7">
        <f>IF($A1355="","",N1355-K1355)</f>
        <v/>
      </c>
      <c r="M1355" s="7">
        <f>IF($A1355="","",L1355-F1355)</f>
        <v/>
      </c>
      <c r="N1355" s="7" t="n"/>
      <c r="Q1355" s="11" t="n"/>
      <c r="S1355">
        <f>IF($A1355="","",IF($W1355=1,Settings!$C$6,Settings!$C$7)*1)</f>
        <v/>
      </c>
      <c r="U1355">
        <f>IF($A1355="","",IF(COUNTIF($A$2:$A1355,$A1355)=1,1,0))</f>
        <v/>
      </c>
      <c r="V1355">
        <f>IF($U1355=1,SUMPRODUCT(--($X$2:$X$3001&lt;$X1355))+1,"")</f>
        <v/>
      </c>
      <c r="W1355">
        <f>IF($A1355="","",IF(OR($T1355=TRUE(),$T1355="TRUE"),1,0))</f>
        <v/>
      </c>
      <c r="X1355">
        <f>IF($U1355=1,IFERROR(IF(VALUE($A1355)&lt;100000000,VALUE($A1355),1000000000),IFERROR(IF(VALUE(MID($A1355,2,20))&lt;100000000,VALUE(MID($A1355,2,20)),1000000000),1000000000))+ROW()/100000,"")</f>
        <v/>
      </c>
    </row>
    <row r="1356">
      <c r="F1356" s="7">
        <f>IF($A1356="","",E1356*N1356/100)</f>
        <v/>
      </c>
      <c r="J1356" s="7" t="n"/>
      <c r="K1356" s="7">
        <f>IF($A1356="","",S1356*N1356)</f>
        <v/>
      </c>
      <c r="L1356" s="7">
        <f>IF($A1356="","",N1356-K1356)</f>
        <v/>
      </c>
      <c r="M1356" s="7">
        <f>IF($A1356="","",L1356-F1356)</f>
        <v/>
      </c>
      <c r="N1356" s="7" t="n"/>
      <c r="Q1356" s="11" t="n"/>
      <c r="S1356">
        <f>IF($A1356="","",IF($W1356=1,Settings!$C$6,Settings!$C$7)*1)</f>
        <v/>
      </c>
      <c r="U1356">
        <f>IF($A1356="","",IF(COUNTIF($A$2:$A1356,$A1356)=1,1,0))</f>
        <v/>
      </c>
      <c r="V1356">
        <f>IF($U1356=1,SUMPRODUCT(--($X$2:$X$3001&lt;$X1356))+1,"")</f>
        <v/>
      </c>
      <c r="W1356">
        <f>IF($A1356="","",IF(OR($T1356=TRUE(),$T1356="TRUE"),1,0))</f>
        <v/>
      </c>
      <c r="X1356">
        <f>IF($U1356=1,IFERROR(IF(VALUE($A1356)&lt;100000000,VALUE($A1356),1000000000),IFERROR(IF(VALUE(MID($A1356,2,20))&lt;100000000,VALUE(MID($A1356,2,20)),1000000000),1000000000))+ROW()/100000,"")</f>
        <v/>
      </c>
    </row>
    <row r="1357">
      <c r="F1357" s="7">
        <f>IF($A1357="","",E1357*N1357/100)</f>
        <v/>
      </c>
      <c r="J1357" s="7" t="n"/>
      <c r="K1357" s="7">
        <f>IF($A1357="","",S1357*N1357)</f>
        <v/>
      </c>
      <c r="L1357" s="7">
        <f>IF($A1357="","",N1357-K1357)</f>
        <v/>
      </c>
      <c r="M1357" s="7">
        <f>IF($A1357="","",L1357-F1357)</f>
        <v/>
      </c>
      <c r="N1357" s="7" t="n"/>
      <c r="Q1357" s="11" t="n"/>
      <c r="S1357">
        <f>IF($A1357="","",IF($W1357=1,Settings!$C$6,Settings!$C$7)*1)</f>
        <v/>
      </c>
      <c r="U1357">
        <f>IF($A1357="","",IF(COUNTIF($A$2:$A1357,$A1357)=1,1,0))</f>
        <v/>
      </c>
      <c r="V1357">
        <f>IF($U1357=1,SUMPRODUCT(--($X$2:$X$3001&lt;$X1357))+1,"")</f>
        <v/>
      </c>
      <c r="W1357">
        <f>IF($A1357="","",IF(OR($T1357=TRUE(),$T1357="TRUE"),1,0))</f>
        <v/>
      </c>
      <c r="X1357">
        <f>IF($U1357=1,IFERROR(IF(VALUE($A1357)&lt;100000000,VALUE($A1357),1000000000),IFERROR(IF(VALUE(MID($A1357,2,20))&lt;100000000,VALUE(MID($A1357,2,20)),1000000000),1000000000))+ROW()/100000,"")</f>
        <v/>
      </c>
    </row>
    <row r="1358">
      <c r="F1358" s="7">
        <f>IF($A1358="","",E1358*N1358/100)</f>
        <v/>
      </c>
      <c r="J1358" s="7" t="n"/>
      <c r="K1358" s="7">
        <f>IF($A1358="","",S1358*N1358)</f>
        <v/>
      </c>
      <c r="L1358" s="7">
        <f>IF($A1358="","",N1358-K1358)</f>
        <v/>
      </c>
      <c r="M1358" s="7">
        <f>IF($A1358="","",L1358-F1358)</f>
        <v/>
      </c>
      <c r="N1358" s="7" t="n"/>
      <c r="Q1358" s="11" t="n"/>
      <c r="S1358">
        <f>IF($A1358="","",IF($W1358=1,Settings!$C$6,Settings!$C$7)*1)</f>
        <v/>
      </c>
      <c r="U1358">
        <f>IF($A1358="","",IF(COUNTIF($A$2:$A1358,$A1358)=1,1,0))</f>
        <v/>
      </c>
      <c r="V1358">
        <f>IF($U1358=1,SUMPRODUCT(--($X$2:$X$3001&lt;$X1358))+1,"")</f>
        <v/>
      </c>
      <c r="W1358">
        <f>IF($A1358="","",IF(OR($T1358=TRUE(),$T1358="TRUE"),1,0))</f>
        <v/>
      </c>
      <c r="X1358">
        <f>IF($U1358=1,IFERROR(IF(VALUE($A1358)&lt;100000000,VALUE($A1358),1000000000),IFERROR(IF(VALUE(MID($A1358,2,20))&lt;100000000,VALUE(MID($A1358,2,20)),1000000000),1000000000))+ROW()/100000,"")</f>
        <v/>
      </c>
    </row>
    <row r="1359">
      <c r="F1359" s="7">
        <f>IF($A1359="","",E1359*N1359/100)</f>
        <v/>
      </c>
      <c r="J1359" s="7" t="n"/>
      <c r="K1359" s="7">
        <f>IF($A1359="","",S1359*N1359)</f>
        <v/>
      </c>
      <c r="L1359" s="7">
        <f>IF($A1359="","",N1359-K1359)</f>
        <v/>
      </c>
      <c r="M1359" s="7">
        <f>IF($A1359="","",L1359-F1359)</f>
        <v/>
      </c>
      <c r="N1359" s="7" t="n"/>
      <c r="Q1359" s="11" t="n"/>
      <c r="S1359">
        <f>IF($A1359="","",IF($W1359=1,Settings!$C$6,Settings!$C$7)*1)</f>
        <v/>
      </c>
      <c r="U1359">
        <f>IF($A1359="","",IF(COUNTIF($A$2:$A1359,$A1359)=1,1,0))</f>
        <v/>
      </c>
      <c r="V1359">
        <f>IF($U1359=1,SUMPRODUCT(--($X$2:$X$3001&lt;$X1359))+1,"")</f>
        <v/>
      </c>
      <c r="W1359">
        <f>IF($A1359="","",IF(OR($T1359=TRUE(),$T1359="TRUE"),1,0))</f>
        <v/>
      </c>
      <c r="X1359">
        <f>IF($U1359=1,IFERROR(IF(VALUE($A1359)&lt;100000000,VALUE($A1359),1000000000),IFERROR(IF(VALUE(MID($A1359,2,20))&lt;100000000,VALUE(MID($A1359,2,20)),1000000000),1000000000))+ROW()/100000,"")</f>
        <v/>
      </c>
    </row>
    <row r="1360">
      <c r="F1360" s="7">
        <f>IF($A1360="","",E1360*N1360/100)</f>
        <v/>
      </c>
      <c r="J1360" s="7" t="n"/>
      <c r="K1360" s="7">
        <f>IF($A1360="","",S1360*N1360)</f>
        <v/>
      </c>
      <c r="L1360" s="7">
        <f>IF($A1360="","",N1360-K1360)</f>
        <v/>
      </c>
      <c r="M1360" s="7">
        <f>IF($A1360="","",L1360-F1360)</f>
        <v/>
      </c>
      <c r="N1360" s="7" t="n"/>
      <c r="Q1360" s="11" t="n"/>
      <c r="S1360">
        <f>IF($A1360="","",IF($W1360=1,Settings!$C$6,Settings!$C$7)*1)</f>
        <v/>
      </c>
      <c r="U1360">
        <f>IF($A1360="","",IF(COUNTIF($A$2:$A1360,$A1360)=1,1,0))</f>
        <v/>
      </c>
      <c r="V1360">
        <f>IF($U1360=1,SUMPRODUCT(--($X$2:$X$3001&lt;$X1360))+1,"")</f>
        <v/>
      </c>
      <c r="W1360">
        <f>IF($A1360="","",IF(OR($T1360=TRUE(),$T1360="TRUE"),1,0))</f>
        <v/>
      </c>
      <c r="X1360">
        <f>IF($U1360=1,IFERROR(IF(VALUE($A1360)&lt;100000000,VALUE($A1360),1000000000),IFERROR(IF(VALUE(MID($A1360,2,20))&lt;100000000,VALUE(MID($A1360,2,20)),1000000000),1000000000))+ROW()/100000,"")</f>
        <v/>
      </c>
    </row>
    <row r="1361">
      <c r="F1361" s="7">
        <f>IF($A1361="","",E1361*N1361/100)</f>
        <v/>
      </c>
      <c r="J1361" s="7" t="n"/>
      <c r="K1361" s="7">
        <f>IF($A1361="","",S1361*N1361)</f>
        <v/>
      </c>
      <c r="L1361" s="7">
        <f>IF($A1361="","",N1361-K1361)</f>
        <v/>
      </c>
      <c r="M1361" s="7">
        <f>IF($A1361="","",L1361-F1361)</f>
        <v/>
      </c>
      <c r="N1361" s="7" t="n"/>
      <c r="Q1361" s="11" t="n"/>
      <c r="S1361">
        <f>IF($A1361="","",IF($W1361=1,Settings!$C$6,Settings!$C$7)*1)</f>
        <v/>
      </c>
      <c r="U1361">
        <f>IF($A1361="","",IF(COUNTIF($A$2:$A1361,$A1361)=1,1,0))</f>
        <v/>
      </c>
      <c r="V1361">
        <f>IF($U1361=1,SUMPRODUCT(--($X$2:$X$3001&lt;$X1361))+1,"")</f>
        <v/>
      </c>
      <c r="W1361">
        <f>IF($A1361="","",IF(OR($T1361=TRUE(),$T1361="TRUE"),1,0))</f>
        <v/>
      </c>
      <c r="X1361">
        <f>IF($U1361=1,IFERROR(IF(VALUE($A1361)&lt;100000000,VALUE($A1361),1000000000),IFERROR(IF(VALUE(MID($A1361,2,20))&lt;100000000,VALUE(MID($A1361,2,20)),1000000000),1000000000))+ROW()/100000,"")</f>
        <v/>
      </c>
    </row>
    <row r="1362">
      <c r="F1362" s="7">
        <f>IF($A1362="","",E1362*N1362/100)</f>
        <v/>
      </c>
      <c r="J1362" s="7" t="n"/>
      <c r="K1362" s="7">
        <f>IF($A1362="","",S1362*N1362)</f>
        <v/>
      </c>
      <c r="L1362" s="7">
        <f>IF($A1362="","",N1362-K1362)</f>
        <v/>
      </c>
      <c r="M1362" s="7">
        <f>IF($A1362="","",L1362-F1362)</f>
        <v/>
      </c>
      <c r="N1362" s="7" t="n"/>
      <c r="Q1362" s="11" t="n"/>
      <c r="S1362">
        <f>IF($A1362="","",IF($W1362=1,Settings!$C$6,Settings!$C$7)*1)</f>
        <v/>
      </c>
      <c r="U1362">
        <f>IF($A1362="","",IF(COUNTIF($A$2:$A1362,$A1362)=1,1,0))</f>
        <v/>
      </c>
      <c r="V1362">
        <f>IF($U1362=1,SUMPRODUCT(--($X$2:$X$3001&lt;$X1362))+1,"")</f>
        <v/>
      </c>
      <c r="W1362">
        <f>IF($A1362="","",IF(OR($T1362=TRUE(),$T1362="TRUE"),1,0))</f>
        <v/>
      </c>
      <c r="X1362">
        <f>IF($U1362=1,IFERROR(IF(VALUE($A1362)&lt;100000000,VALUE($A1362),1000000000),IFERROR(IF(VALUE(MID($A1362,2,20))&lt;100000000,VALUE(MID($A1362,2,20)),1000000000),1000000000))+ROW()/100000,"")</f>
        <v/>
      </c>
    </row>
    <row r="1363">
      <c r="F1363" s="7">
        <f>IF($A1363="","",E1363*N1363/100)</f>
        <v/>
      </c>
      <c r="J1363" s="7" t="n"/>
      <c r="K1363" s="7">
        <f>IF($A1363="","",S1363*N1363)</f>
        <v/>
      </c>
      <c r="L1363" s="7">
        <f>IF($A1363="","",N1363-K1363)</f>
        <v/>
      </c>
      <c r="M1363" s="7">
        <f>IF($A1363="","",L1363-F1363)</f>
        <v/>
      </c>
      <c r="N1363" s="7" t="n"/>
      <c r="Q1363" s="11" t="n"/>
      <c r="S1363">
        <f>IF($A1363="","",IF($W1363=1,Settings!$C$6,Settings!$C$7)*1)</f>
        <v/>
      </c>
      <c r="U1363">
        <f>IF($A1363="","",IF(COUNTIF($A$2:$A1363,$A1363)=1,1,0))</f>
        <v/>
      </c>
      <c r="V1363">
        <f>IF($U1363=1,SUMPRODUCT(--($X$2:$X$3001&lt;$X1363))+1,"")</f>
        <v/>
      </c>
      <c r="W1363">
        <f>IF($A1363="","",IF(OR($T1363=TRUE(),$T1363="TRUE"),1,0))</f>
        <v/>
      </c>
      <c r="X1363">
        <f>IF($U1363=1,IFERROR(IF(VALUE($A1363)&lt;100000000,VALUE($A1363),1000000000),IFERROR(IF(VALUE(MID($A1363,2,20))&lt;100000000,VALUE(MID($A1363,2,20)),1000000000),1000000000))+ROW()/100000,"")</f>
        <v/>
      </c>
    </row>
    <row r="1364">
      <c r="F1364" s="7">
        <f>IF($A1364="","",E1364*N1364/100)</f>
        <v/>
      </c>
      <c r="J1364" s="7" t="n"/>
      <c r="K1364" s="7">
        <f>IF($A1364="","",S1364*N1364)</f>
        <v/>
      </c>
      <c r="L1364" s="7">
        <f>IF($A1364="","",N1364-K1364)</f>
        <v/>
      </c>
      <c r="M1364" s="7">
        <f>IF($A1364="","",L1364-F1364)</f>
        <v/>
      </c>
      <c r="N1364" s="7" t="n"/>
      <c r="Q1364" s="11" t="n"/>
      <c r="S1364">
        <f>IF($A1364="","",IF($W1364=1,Settings!$C$6,Settings!$C$7)*1)</f>
        <v/>
      </c>
      <c r="U1364">
        <f>IF($A1364="","",IF(COUNTIF($A$2:$A1364,$A1364)=1,1,0))</f>
        <v/>
      </c>
      <c r="V1364">
        <f>IF($U1364=1,SUMPRODUCT(--($X$2:$X$3001&lt;$X1364))+1,"")</f>
        <v/>
      </c>
      <c r="W1364">
        <f>IF($A1364="","",IF(OR($T1364=TRUE(),$T1364="TRUE"),1,0))</f>
        <v/>
      </c>
      <c r="X1364">
        <f>IF($U1364=1,IFERROR(IF(VALUE($A1364)&lt;100000000,VALUE($A1364),1000000000),IFERROR(IF(VALUE(MID($A1364,2,20))&lt;100000000,VALUE(MID($A1364,2,20)),1000000000),1000000000))+ROW()/100000,"")</f>
        <v/>
      </c>
    </row>
    <row r="1365">
      <c r="F1365" s="7">
        <f>IF($A1365="","",E1365*N1365/100)</f>
        <v/>
      </c>
      <c r="J1365" s="7" t="n"/>
      <c r="K1365" s="7">
        <f>IF($A1365="","",S1365*N1365)</f>
        <v/>
      </c>
      <c r="L1365" s="7">
        <f>IF($A1365="","",N1365-K1365)</f>
        <v/>
      </c>
      <c r="M1365" s="7">
        <f>IF($A1365="","",L1365-F1365)</f>
        <v/>
      </c>
      <c r="N1365" s="7" t="n"/>
      <c r="Q1365" s="11" t="n"/>
      <c r="S1365">
        <f>IF($A1365="","",IF($W1365=1,Settings!$C$6,Settings!$C$7)*1)</f>
        <v/>
      </c>
      <c r="U1365">
        <f>IF($A1365="","",IF(COUNTIF($A$2:$A1365,$A1365)=1,1,0))</f>
        <v/>
      </c>
      <c r="V1365">
        <f>IF($U1365=1,SUMPRODUCT(--($X$2:$X$3001&lt;$X1365))+1,"")</f>
        <v/>
      </c>
      <c r="W1365">
        <f>IF($A1365="","",IF(OR($T1365=TRUE(),$T1365="TRUE"),1,0))</f>
        <v/>
      </c>
      <c r="X1365">
        <f>IF($U1365=1,IFERROR(IF(VALUE($A1365)&lt;100000000,VALUE($A1365),1000000000),IFERROR(IF(VALUE(MID($A1365,2,20))&lt;100000000,VALUE(MID($A1365,2,20)),1000000000),1000000000))+ROW()/100000,"")</f>
        <v/>
      </c>
    </row>
    <row r="1366">
      <c r="F1366" s="7">
        <f>IF($A1366="","",E1366*N1366/100)</f>
        <v/>
      </c>
      <c r="J1366" s="7" t="n"/>
      <c r="K1366" s="7">
        <f>IF($A1366="","",S1366*N1366)</f>
        <v/>
      </c>
      <c r="L1366" s="7">
        <f>IF($A1366="","",N1366-K1366)</f>
        <v/>
      </c>
      <c r="M1366" s="7">
        <f>IF($A1366="","",L1366-F1366)</f>
        <v/>
      </c>
      <c r="N1366" s="7" t="n"/>
      <c r="Q1366" s="11" t="n"/>
      <c r="S1366">
        <f>IF($A1366="","",IF($W1366=1,Settings!$C$6,Settings!$C$7)*1)</f>
        <v/>
      </c>
      <c r="U1366">
        <f>IF($A1366="","",IF(COUNTIF($A$2:$A1366,$A1366)=1,1,0))</f>
        <v/>
      </c>
      <c r="V1366">
        <f>IF($U1366=1,SUMPRODUCT(--($X$2:$X$3001&lt;$X1366))+1,"")</f>
        <v/>
      </c>
      <c r="W1366">
        <f>IF($A1366="","",IF(OR($T1366=TRUE(),$T1366="TRUE"),1,0))</f>
        <v/>
      </c>
      <c r="X1366">
        <f>IF($U1366=1,IFERROR(IF(VALUE($A1366)&lt;100000000,VALUE($A1366),1000000000),IFERROR(IF(VALUE(MID($A1366,2,20))&lt;100000000,VALUE(MID($A1366,2,20)),1000000000),1000000000))+ROW()/100000,"")</f>
        <v/>
      </c>
    </row>
    <row r="1367">
      <c r="F1367" s="7">
        <f>IF($A1367="","",E1367*N1367/100)</f>
        <v/>
      </c>
      <c r="J1367" s="7" t="n"/>
      <c r="K1367" s="7">
        <f>IF($A1367="","",S1367*N1367)</f>
        <v/>
      </c>
      <c r="L1367" s="7">
        <f>IF($A1367="","",N1367-K1367)</f>
        <v/>
      </c>
      <c r="M1367" s="7">
        <f>IF($A1367="","",L1367-F1367)</f>
        <v/>
      </c>
      <c r="N1367" s="7" t="n"/>
      <c r="Q1367" s="11" t="n"/>
      <c r="S1367">
        <f>IF($A1367="","",IF($W1367=1,Settings!$C$6,Settings!$C$7)*1)</f>
        <v/>
      </c>
      <c r="U1367">
        <f>IF($A1367="","",IF(COUNTIF($A$2:$A1367,$A1367)=1,1,0))</f>
        <v/>
      </c>
      <c r="V1367">
        <f>IF($U1367=1,SUMPRODUCT(--($X$2:$X$3001&lt;$X1367))+1,"")</f>
        <v/>
      </c>
      <c r="W1367">
        <f>IF($A1367="","",IF(OR($T1367=TRUE(),$T1367="TRUE"),1,0))</f>
        <v/>
      </c>
      <c r="X1367">
        <f>IF($U1367=1,IFERROR(IF(VALUE($A1367)&lt;100000000,VALUE($A1367),1000000000),IFERROR(IF(VALUE(MID($A1367,2,20))&lt;100000000,VALUE(MID($A1367,2,20)),1000000000),1000000000))+ROW()/100000,"")</f>
        <v/>
      </c>
    </row>
    <row r="1368">
      <c r="F1368" s="7">
        <f>IF($A1368="","",E1368*N1368/100)</f>
        <v/>
      </c>
      <c r="J1368" s="7" t="n"/>
      <c r="K1368" s="7">
        <f>IF($A1368="","",S1368*N1368)</f>
        <v/>
      </c>
      <c r="L1368" s="7">
        <f>IF($A1368="","",N1368-K1368)</f>
        <v/>
      </c>
      <c r="M1368" s="7">
        <f>IF($A1368="","",L1368-F1368)</f>
        <v/>
      </c>
      <c r="N1368" s="7" t="n"/>
      <c r="Q1368" s="11" t="n"/>
      <c r="S1368">
        <f>IF($A1368="","",IF($W1368=1,Settings!$C$6,Settings!$C$7)*1)</f>
        <v/>
      </c>
      <c r="U1368">
        <f>IF($A1368="","",IF(COUNTIF($A$2:$A1368,$A1368)=1,1,0))</f>
        <v/>
      </c>
      <c r="V1368">
        <f>IF($U1368=1,SUMPRODUCT(--($X$2:$X$3001&lt;$X1368))+1,"")</f>
        <v/>
      </c>
      <c r="W1368">
        <f>IF($A1368="","",IF(OR($T1368=TRUE(),$T1368="TRUE"),1,0))</f>
        <v/>
      </c>
      <c r="X1368">
        <f>IF($U1368=1,IFERROR(IF(VALUE($A1368)&lt;100000000,VALUE($A1368),1000000000),IFERROR(IF(VALUE(MID($A1368,2,20))&lt;100000000,VALUE(MID($A1368,2,20)),1000000000),1000000000))+ROW()/100000,"")</f>
        <v/>
      </c>
    </row>
    <row r="1369">
      <c r="F1369" s="7">
        <f>IF($A1369="","",E1369*N1369/100)</f>
        <v/>
      </c>
      <c r="J1369" s="7" t="n"/>
      <c r="K1369" s="7">
        <f>IF($A1369="","",S1369*N1369)</f>
        <v/>
      </c>
      <c r="L1369" s="7">
        <f>IF($A1369="","",N1369-K1369)</f>
        <v/>
      </c>
      <c r="M1369" s="7">
        <f>IF($A1369="","",L1369-F1369)</f>
        <v/>
      </c>
      <c r="N1369" s="7" t="n"/>
      <c r="Q1369" s="11" t="n"/>
      <c r="S1369">
        <f>IF($A1369="","",IF($W1369=1,Settings!$C$6,Settings!$C$7)*1)</f>
        <v/>
      </c>
      <c r="U1369">
        <f>IF($A1369="","",IF(COUNTIF($A$2:$A1369,$A1369)=1,1,0))</f>
        <v/>
      </c>
      <c r="V1369">
        <f>IF($U1369=1,SUMPRODUCT(--($X$2:$X$3001&lt;$X1369))+1,"")</f>
        <v/>
      </c>
      <c r="W1369">
        <f>IF($A1369="","",IF(OR($T1369=TRUE(),$T1369="TRUE"),1,0))</f>
        <v/>
      </c>
      <c r="X1369">
        <f>IF($U1369=1,IFERROR(IF(VALUE($A1369)&lt;100000000,VALUE($A1369),1000000000),IFERROR(IF(VALUE(MID($A1369,2,20))&lt;100000000,VALUE(MID($A1369,2,20)),1000000000),1000000000))+ROW()/100000,"")</f>
        <v/>
      </c>
    </row>
    <row r="1370">
      <c r="F1370" s="7">
        <f>IF($A1370="","",E1370*N1370/100)</f>
        <v/>
      </c>
      <c r="J1370" s="7" t="n"/>
      <c r="K1370" s="7">
        <f>IF($A1370="","",S1370*N1370)</f>
        <v/>
      </c>
      <c r="L1370" s="7">
        <f>IF($A1370="","",N1370-K1370)</f>
        <v/>
      </c>
      <c r="M1370" s="7">
        <f>IF($A1370="","",L1370-F1370)</f>
        <v/>
      </c>
      <c r="N1370" s="7" t="n"/>
      <c r="Q1370" s="11" t="n"/>
      <c r="S1370">
        <f>IF($A1370="","",IF($W1370=1,Settings!$C$6,Settings!$C$7)*1)</f>
        <v/>
      </c>
      <c r="U1370">
        <f>IF($A1370="","",IF(COUNTIF($A$2:$A1370,$A1370)=1,1,0))</f>
        <v/>
      </c>
      <c r="V1370">
        <f>IF($U1370=1,SUMPRODUCT(--($X$2:$X$3001&lt;$X1370))+1,"")</f>
        <v/>
      </c>
      <c r="W1370">
        <f>IF($A1370="","",IF(OR($T1370=TRUE(),$T1370="TRUE"),1,0))</f>
        <v/>
      </c>
      <c r="X1370">
        <f>IF($U1370=1,IFERROR(IF(VALUE($A1370)&lt;100000000,VALUE($A1370),1000000000),IFERROR(IF(VALUE(MID($A1370,2,20))&lt;100000000,VALUE(MID($A1370,2,20)),1000000000),1000000000))+ROW()/100000,"")</f>
        <v/>
      </c>
    </row>
    <row r="1371">
      <c r="F1371" s="7">
        <f>IF($A1371="","",E1371*N1371/100)</f>
        <v/>
      </c>
      <c r="J1371" s="7" t="n"/>
      <c r="K1371" s="7">
        <f>IF($A1371="","",S1371*N1371)</f>
        <v/>
      </c>
      <c r="L1371" s="7">
        <f>IF($A1371="","",N1371-K1371)</f>
        <v/>
      </c>
      <c r="M1371" s="7">
        <f>IF($A1371="","",L1371-F1371)</f>
        <v/>
      </c>
      <c r="N1371" s="7" t="n"/>
      <c r="Q1371" s="11" t="n"/>
      <c r="S1371">
        <f>IF($A1371="","",IF($W1371=1,Settings!$C$6,Settings!$C$7)*1)</f>
        <v/>
      </c>
      <c r="U1371">
        <f>IF($A1371="","",IF(COUNTIF($A$2:$A1371,$A1371)=1,1,0))</f>
        <v/>
      </c>
      <c r="V1371">
        <f>IF($U1371=1,SUMPRODUCT(--($X$2:$X$3001&lt;$X1371))+1,"")</f>
        <v/>
      </c>
      <c r="W1371">
        <f>IF($A1371="","",IF(OR($T1371=TRUE(),$T1371="TRUE"),1,0))</f>
        <v/>
      </c>
      <c r="X1371">
        <f>IF($U1371=1,IFERROR(IF(VALUE($A1371)&lt;100000000,VALUE($A1371),1000000000),IFERROR(IF(VALUE(MID($A1371,2,20))&lt;100000000,VALUE(MID($A1371,2,20)),1000000000),1000000000))+ROW()/100000,"")</f>
        <v/>
      </c>
    </row>
    <row r="1372">
      <c r="F1372" s="7">
        <f>IF($A1372="","",E1372*N1372/100)</f>
        <v/>
      </c>
      <c r="J1372" s="7" t="n"/>
      <c r="K1372" s="7">
        <f>IF($A1372="","",S1372*N1372)</f>
        <v/>
      </c>
      <c r="L1372" s="7">
        <f>IF($A1372="","",N1372-K1372)</f>
        <v/>
      </c>
      <c r="M1372" s="7">
        <f>IF($A1372="","",L1372-F1372)</f>
        <v/>
      </c>
      <c r="N1372" s="7" t="n"/>
      <c r="Q1372" s="11" t="n"/>
      <c r="S1372">
        <f>IF($A1372="","",IF($W1372=1,Settings!$C$6,Settings!$C$7)*1)</f>
        <v/>
      </c>
      <c r="U1372">
        <f>IF($A1372="","",IF(COUNTIF($A$2:$A1372,$A1372)=1,1,0))</f>
        <v/>
      </c>
      <c r="V1372">
        <f>IF($U1372=1,SUMPRODUCT(--($X$2:$X$3001&lt;$X1372))+1,"")</f>
        <v/>
      </c>
      <c r="W1372">
        <f>IF($A1372="","",IF(OR($T1372=TRUE(),$T1372="TRUE"),1,0))</f>
        <v/>
      </c>
      <c r="X1372">
        <f>IF($U1372=1,IFERROR(IF(VALUE($A1372)&lt;100000000,VALUE($A1372),1000000000),IFERROR(IF(VALUE(MID($A1372,2,20))&lt;100000000,VALUE(MID($A1372,2,20)),1000000000),1000000000))+ROW()/100000,"")</f>
        <v/>
      </c>
    </row>
    <row r="1373">
      <c r="F1373" s="7">
        <f>IF($A1373="","",E1373*N1373/100)</f>
        <v/>
      </c>
      <c r="J1373" s="7" t="n"/>
      <c r="K1373" s="7">
        <f>IF($A1373="","",S1373*N1373)</f>
        <v/>
      </c>
      <c r="L1373" s="7">
        <f>IF($A1373="","",N1373-K1373)</f>
        <v/>
      </c>
      <c r="M1373" s="7">
        <f>IF($A1373="","",L1373-F1373)</f>
        <v/>
      </c>
      <c r="N1373" s="7" t="n"/>
      <c r="Q1373" s="11" t="n"/>
      <c r="S1373">
        <f>IF($A1373="","",IF($W1373=1,Settings!$C$6,Settings!$C$7)*1)</f>
        <v/>
      </c>
      <c r="U1373">
        <f>IF($A1373="","",IF(COUNTIF($A$2:$A1373,$A1373)=1,1,0))</f>
        <v/>
      </c>
      <c r="V1373">
        <f>IF($U1373=1,SUMPRODUCT(--($X$2:$X$3001&lt;$X1373))+1,"")</f>
        <v/>
      </c>
      <c r="W1373">
        <f>IF($A1373="","",IF(OR($T1373=TRUE(),$T1373="TRUE"),1,0))</f>
        <v/>
      </c>
      <c r="X1373">
        <f>IF($U1373=1,IFERROR(IF(VALUE($A1373)&lt;100000000,VALUE($A1373),1000000000),IFERROR(IF(VALUE(MID($A1373,2,20))&lt;100000000,VALUE(MID($A1373,2,20)),1000000000),1000000000))+ROW()/100000,"")</f>
        <v/>
      </c>
    </row>
    <row r="1374">
      <c r="F1374" s="7">
        <f>IF($A1374="","",E1374*N1374/100)</f>
        <v/>
      </c>
      <c r="J1374" s="7" t="n"/>
      <c r="K1374" s="7">
        <f>IF($A1374="","",S1374*N1374)</f>
        <v/>
      </c>
      <c r="L1374" s="7">
        <f>IF($A1374="","",N1374-K1374)</f>
        <v/>
      </c>
      <c r="M1374" s="7">
        <f>IF($A1374="","",L1374-F1374)</f>
        <v/>
      </c>
      <c r="N1374" s="7" t="n"/>
      <c r="Q1374" s="11" t="n"/>
      <c r="S1374">
        <f>IF($A1374="","",IF($W1374=1,Settings!$C$6,Settings!$C$7)*1)</f>
        <v/>
      </c>
      <c r="U1374">
        <f>IF($A1374="","",IF(COUNTIF($A$2:$A1374,$A1374)=1,1,0))</f>
        <v/>
      </c>
      <c r="V1374">
        <f>IF($U1374=1,SUMPRODUCT(--($X$2:$X$3001&lt;$X1374))+1,"")</f>
        <v/>
      </c>
      <c r="W1374">
        <f>IF($A1374="","",IF(OR($T1374=TRUE(),$T1374="TRUE"),1,0))</f>
        <v/>
      </c>
      <c r="X1374">
        <f>IF($U1374=1,IFERROR(IF(VALUE($A1374)&lt;100000000,VALUE($A1374),1000000000),IFERROR(IF(VALUE(MID($A1374,2,20))&lt;100000000,VALUE(MID($A1374,2,20)),1000000000),1000000000))+ROW()/100000,"")</f>
        <v/>
      </c>
    </row>
    <row r="1375">
      <c r="F1375" s="7">
        <f>IF($A1375="","",E1375*N1375/100)</f>
        <v/>
      </c>
      <c r="J1375" s="7" t="n"/>
      <c r="K1375" s="7">
        <f>IF($A1375="","",S1375*N1375)</f>
        <v/>
      </c>
      <c r="L1375" s="7">
        <f>IF($A1375="","",N1375-K1375)</f>
        <v/>
      </c>
      <c r="M1375" s="7">
        <f>IF($A1375="","",L1375-F1375)</f>
        <v/>
      </c>
      <c r="N1375" s="7" t="n"/>
      <c r="Q1375" s="11" t="n"/>
      <c r="S1375">
        <f>IF($A1375="","",IF($W1375=1,Settings!$C$6,Settings!$C$7)*1)</f>
        <v/>
      </c>
      <c r="U1375">
        <f>IF($A1375="","",IF(COUNTIF($A$2:$A1375,$A1375)=1,1,0))</f>
        <v/>
      </c>
      <c r="V1375">
        <f>IF($U1375=1,SUMPRODUCT(--($X$2:$X$3001&lt;$X1375))+1,"")</f>
        <v/>
      </c>
      <c r="W1375">
        <f>IF($A1375="","",IF(OR($T1375=TRUE(),$T1375="TRUE"),1,0))</f>
        <v/>
      </c>
      <c r="X1375">
        <f>IF($U1375=1,IFERROR(IF(VALUE($A1375)&lt;100000000,VALUE($A1375),1000000000),IFERROR(IF(VALUE(MID($A1375,2,20))&lt;100000000,VALUE(MID($A1375,2,20)),1000000000),1000000000))+ROW()/100000,"")</f>
        <v/>
      </c>
    </row>
    <row r="1376">
      <c r="F1376" s="7">
        <f>IF($A1376="","",E1376*N1376/100)</f>
        <v/>
      </c>
      <c r="J1376" s="7" t="n"/>
      <c r="K1376" s="7">
        <f>IF($A1376="","",S1376*N1376)</f>
        <v/>
      </c>
      <c r="L1376" s="7">
        <f>IF($A1376="","",N1376-K1376)</f>
        <v/>
      </c>
      <c r="M1376" s="7">
        <f>IF($A1376="","",L1376-F1376)</f>
        <v/>
      </c>
      <c r="N1376" s="7" t="n"/>
      <c r="Q1376" s="11" t="n"/>
      <c r="S1376">
        <f>IF($A1376="","",IF($W1376=1,Settings!$C$6,Settings!$C$7)*1)</f>
        <v/>
      </c>
      <c r="U1376">
        <f>IF($A1376="","",IF(COUNTIF($A$2:$A1376,$A1376)=1,1,0))</f>
        <v/>
      </c>
      <c r="V1376">
        <f>IF($U1376=1,SUMPRODUCT(--($X$2:$X$3001&lt;$X1376))+1,"")</f>
        <v/>
      </c>
      <c r="W1376">
        <f>IF($A1376="","",IF(OR($T1376=TRUE(),$T1376="TRUE"),1,0))</f>
        <v/>
      </c>
      <c r="X1376">
        <f>IF($U1376=1,IFERROR(IF(VALUE($A1376)&lt;100000000,VALUE($A1376),1000000000),IFERROR(IF(VALUE(MID($A1376,2,20))&lt;100000000,VALUE(MID($A1376,2,20)),1000000000),1000000000))+ROW()/100000,"")</f>
        <v/>
      </c>
    </row>
    <row r="1377">
      <c r="F1377" s="7">
        <f>IF($A1377="","",E1377*N1377/100)</f>
        <v/>
      </c>
      <c r="J1377" s="7" t="n"/>
      <c r="K1377" s="7">
        <f>IF($A1377="","",S1377*N1377)</f>
        <v/>
      </c>
      <c r="L1377" s="7">
        <f>IF($A1377="","",N1377-K1377)</f>
        <v/>
      </c>
      <c r="M1377" s="7">
        <f>IF($A1377="","",L1377-F1377)</f>
        <v/>
      </c>
      <c r="N1377" s="7" t="n"/>
      <c r="Q1377" s="11" t="n"/>
      <c r="S1377">
        <f>IF($A1377="","",IF($W1377=1,Settings!$C$6,Settings!$C$7)*1)</f>
        <v/>
      </c>
      <c r="U1377">
        <f>IF($A1377="","",IF(COUNTIF($A$2:$A1377,$A1377)=1,1,0))</f>
        <v/>
      </c>
      <c r="V1377">
        <f>IF($U1377=1,SUMPRODUCT(--($X$2:$X$3001&lt;$X1377))+1,"")</f>
        <v/>
      </c>
      <c r="W1377">
        <f>IF($A1377="","",IF(OR($T1377=TRUE(),$T1377="TRUE"),1,0))</f>
        <v/>
      </c>
      <c r="X1377">
        <f>IF($U1377=1,IFERROR(IF(VALUE($A1377)&lt;100000000,VALUE($A1377),1000000000),IFERROR(IF(VALUE(MID($A1377,2,20))&lt;100000000,VALUE(MID($A1377,2,20)),1000000000),1000000000))+ROW()/100000,"")</f>
        <v/>
      </c>
    </row>
    <row r="1378">
      <c r="F1378" s="7">
        <f>IF($A1378="","",E1378*N1378/100)</f>
        <v/>
      </c>
      <c r="J1378" s="7" t="n"/>
      <c r="K1378" s="7">
        <f>IF($A1378="","",S1378*N1378)</f>
        <v/>
      </c>
      <c r="L1378" s="7">
        <f>IF($A1378="","",N1378-K1378)</f>
        <v/>
      </c>
      <c r="M1378" s="7">
        <f>IF($A1378="","",L1378-F1378)</f>
        <v/>
      </c>
      <c r="N1378" s="7" t="n"/>
      <c r="Q1378" s="11" t="n"/>
      <c r="S1378">
        <f>IF($A1378="","",IF($W1378=1,Settings!$C$6,Settings!$C$7)*1)</f>
        <v/>
      </c>
      <c r="U1378">
        <f>IF($A1378="","",IF(COUNTIF($A$2:$A1378,$A1378)=1,1,0))</f>
        <v/>
      </c>
      <c r="V1378">
        <f>IF($U1378=1,SUMPRODUCT(--($X$2:$X$3001&lt;$X1378))+1,"")</f>
        <v/>
      </c>
      <c r="W1378">
        <f>IF($A1378="","",IF(OR($T1378=TRUE(),$T1378="TRUE"),1,0))</f>
        <v/>
      </c>
      <c r="X1378">
        <f>IF($U1378=1,IFERROR(IF(VALUE($A1378)&lt;100000000,VALUE($A1378),1000000000),IFERROR(IF(VALUE(MID($A1378,2,20))&lt;100000000,VALUE(MID($A1378,2,20)),1000000000),1000000000))+ROW()/100000,"")</f>
        <v/>
      </c>
    </row>
    <row r="1379">
      <c r="F1379" s="7">
        <f>IF($A1379="","",E1379*N1379/100)</f>
        <v/>
      </c>
      <c r="J1379" s="7" t="n"/>
      <c r="K1379" s="7">
        <f>IF($A1379="","",S1379*N1379)</f>
        <v/>
      </c>
      <c r="L1379" s="7">
        <f>IF($A1379="","",N1379-K1379)</f>
        <v/>
      </c>
      <c r="M1379" s="7">
        <f>IF($A1379="","",L1379-F1379)</f>
        <v/>
      </c>
      <c r="N1379" s="7" t="n"/>
      <c r="Q1379" s="11" t="n"/>
      <c r="S1379">
        <f>IF($A1379="","",IF($W1379=1,Settings!$C$6,Settings!$C$7)*1)</f>
        <v/>
      </c>
      <c r="U1379">
        <f>IF($A1379="","",IF(COUNTIF($A$2:$A1379,$A1379)=1,1,0))</f>
        <v/>
      </c>
      <c r="V1379">
        <f>IF($U1379=1,SUMPRODUCT(--($X$2:$X$3001&lt;$X1379))+1,"")</f>
        <v/>
      </c>
      <c r="W1379">
        <f>IF($A1379="","",IF(OR($T1379=TRUE(),$T1379="TRUE"),1,0))</f>
        <v/>
      </c>
      <c r="X1379">
        <f>IF($U1379=1,IFERROR(IF(VALUE($A1379)&lt;100000000,VALUE($A1379),1000000000),IFERROR(IF(VALUE(MID($A1379,2,20))&lt;100000000,VALUE(MID($A1379,2,20)),1000000000),1000000000))+ROW()/100000,"")</f>
        <v/>
      </c>
    </row>
    <row r="1380">
      <c r="F1380" s="7">
        <f>IF($A1380="","",E1380*N1380/100)</f>
        <v/>
      </c>
      <c r="J1380" s="7" t="n"/>
      <c r="K1380" s="7">
        <f>IF($A1380="","",S1380*N1380)</f>
        <v/>
      </c>
      <c r="L1380" s="7">
        <f>IF($A1380="","",N1380-K1380)</f>
        <v/>
      </c>
      <c r="M1380" s="7">
        <f>IF($A1380="","",L1380-F1380)</f>
        <v/>
      </c>
      <c r="N1380" s="7" t="n"/>
      <c r="Q1380" s="11" t="n"/>
      <c r="S1380">
        <f>IF($A1380="","",IF($W1380=1,Settings!$C$6,Settings!$C$7)*1)</f>
        <v/>
      </c>
      <c r="U1380">
        <f>IF($A1380="","",IF(COUNTIF($A$2:$A1380,$A1380)=1,1,0))</f>
        <v/>
      </c>
      <c r="V1380">
        <f>IF($U1380=1,SUMPRODUCT(--($X$2:$X$3001&lt;$X1380))+1,"")</f>
        <v/>
      </c>
      <c r="W1380">
        <f>IF($A1380="","",IF(OR($T1380=TRUE(),$T1380="TRUE"),1,0))</f>
        <v/>
      </c>
      <c r="X1380">
        <f>IF($U1380=1,IFERROR(IF(VALUE($A1380)&lt;100000000,VALUE($A1380),1000000000),IFERROR(IF(VALUE(MID($A1380,2,20))&lt;100000000,VALUE(MID($A1380,2,20)),1000000000),1000000000))+ROW()/100000,"")</f>
        <v/>
      </c>
    </row>
    <row r="1381">
      <c r="F1381" s="7">
        <f>IF($A1381="","",E1381*N1381/100)</f>
        <v/>
      </c>
      <c r="J1381" s="7" t="n"/>
      <c r="K1381" s="7">
        <f>IF($A1381="","",S1381*N1381)</f>
        <v/>
      </c>
      <c r="L1381" s="7">
        <f>IF($A1381="","",N1381-K1381)</f>
        <v/>
      </c>
      <c r="M1381" s="7">
        <f>IF($A1381="","",L1381-F1381)</f>
        <v/>
      </c>
      <c r="N1381" s="7" t="n"/>
      <c r="Q1381" s="11" t="n"/>
      <c r="S1381">
        <f>IF($A1381="","",IF($W1381=1,Settings!$C$6,Settings!$C$7)*1)</f>
        <v/>
      </c>
      <c r="U1381">
        <f>IF($A1381="","",IF(COUNTIF($A$2:$A1381,$A1381)=1,1,0))</f>
        <v/>
      </c>
      <c r="V1381">
        <f>IF($U1381=1,SUMPRODUCT(--($X$2:$X$3001&lt;$X1381))+1,"")</f>
        <v/>
      </c>
      <c r="W1381">
        <f>IF($A1381="","",IF(OR($T1381=TRUE(),$T1381="TRUE"),1,0))</f>
        <v/>
      </c>
      <c r="X1381">
        <f>IF($U1381=1,IFERROR(IF(VALUE($A1381)&lt;100000000,VALUE($A1381),1000000000),IFERROR(IF(VALUE(MID($A1381,2,20))&lt;100000000,VALUE(MID($A1381,2,20)),1000000000),1000000000))+ROW()/100000,"")</f>
        <v/>
      </c>
    </row>
    <row r="1382">
      <c r="F1382" s="7">
        <f>IF($A1382="","",E1382*N1382/100)</f>
        <v/>
      </c>
      <c r="J1382" s="7" t="n"/>
      <c r="K1382" s="7">
        <f>IF($A1382="","",S1382*N1382)</f>
        <v/>
      </c>
      <c r="L1382" s="7">
        <f>IF($A1382="","",N1382-K1382)</f>
        <v/>
      </c>
      <c r="M1382" s="7">
        <f>IF($A1382="","",L1382-F1382)</f>
        <v/>
      </c>
      <c r="N1382" s="7" t="n"/>
      <c r="Q1382" s="11" t="n"/>
      <c r="S1382">
        <f>IF($A1382="","",IF($W1382=1,Settings!$C$6,Settings!$C$7)*1)</f>
        <v/>
      </c>
      <c r="U1382">
        <f>IF($A1382="","",IF(COUNTIF($A$2:$A1382,$A1382)=1,1,0))</f>
        <v/>
      </c>
      <c r="V1382">
        <f>IF($U1382=1,SUMPRODUCT(--($X$2:$X$3001&lt;$X1382))+1,"")</f>
        <v/>
      </c>
      <c r="W1382">
        <f>IF($A1382="","",IF(OR($T1382=TRUE(),$T1382="TRUE"),1,0))</f>
        <v/>
      </c>
      <c r="X1382">
        <f>IF($U1382=1,IFERROR(IF(VALUE($A1382)&lt;100000000,VALUE($A1382),1000000000),IFERROR(IF(VALUE(MID($A1382,2,20))&lt;100000000,VALUE(MID($A1382,2,20)),1000000000),1000000000))+ROW()/100000,"")</f>
        <v/>
      </c>
    </row>
    <row r="1383">
      <c r="F1383" s="7">
        <f>IF($A1383="","",E1383*N1383/100)</f>
        <v/>
      </c>
      <c r="J1383" s="7" t="n"/>
      <c r="K1383" s="7">
        <f>IF($A1383="","",S1383*N1383)</f>
        <v/>
      </c>
      <c r="L1383" s="7">
        <f>IF($A1383="","",N1383-K1383)</f>
        <v/>
      </c>
      <c r="M1383" s="7">
        <f>IF($A1383="","",L1383-F1383)</f>
        <v/>
      </c>
      <c r="N1383" s="7" t="n"/>
      <c r="Q1383" s="11" t="n"/>
      <c r="S1383">
        <f>IF($A1383="","",IF($W1383=1,Settings!$C$6,Settings!$C$7)*1)</f>
        <v/>
      </c>
      <c r="U1383">
        <f>IF($A1383="","",IF(COUNTIF($A$2:$A1383,$A1383)=1,1,0))</f>
        <v/>
      </c>
      <c r="V1383">
        <f>IF($U1383=1,SUMPRODUCT(--($X$2:$X$3001&lt;$X1383))+1,"")</f>
        <v/>
      </c>
      <c r="W1383">
        <f>IF($A1383="","",IF(OR($T1383=TRUE(),$T1383="TRUE"),1,0))</f>
        <v/>
      </c>
      <c r="X1383">
        <f>IF($U1383=1,IFERROR(IF(VALUE($A1383)&lt;100000000,VALUE($A1383),1000000000),IFERROR(IF(VALUE(MID($A1383,2,20))&lt;100000000,VALUE(MID($A1383,2,20)),1000000000),1000000000))+ROW()/100000,"")</f>
        <v/>
      </c>
    </row>
    <row r="1384">
      <c r="F1384" s="7">
        <f>IF($A1384="","",E1384*N1384/100)</f>
        <v/>
      </c>
      <c r="J1384" s="7" t="n"/>
      <c r="K1384" s="7">
        <f>IF($A1384="","",S1384*N1384)</f>
        <v/>
      </c>
      <c r="L1384" s="7">
        <f>IF($A1384="","",N1384-K1384)</f>
        <v/>
      </c>
      <c r="M1384" s="7">
        <f>IF($A1384="","",L1384-F1384)</f>
        <v/>
      </c>
      <c r="N1384" s="7" t="n"/>
      <c r="Q1384" s="11" t="n"/>
      <c r="S1384">
        <f>IF($A1384="","",IF($W1384=1,Settings!$C$6,Settings!$C$7)*1)</f>
        <v/>
      </c>
      <c r="U1384">
        <f>IF($A1384="","",IF(COUNTIF($A$2:$A1384,$A1384)=1,1,0))</f>
        <v/>
      </c>
      <c r="V1384">
        <f>IF($U1384=1,SUMPRODUCT(--($X$2:$X$3001&lt;$X1384))+1,"")</f>
        <v/>
      </c>
      <c r="W1384">
        <f>IF($A1384="","",IF(OR($T1384=TRUE(),$T1384="TRUE"),1,0))</f>
        <v/>
      </c>
      <c r="X1384">
        <f>IF($U1384=1,IFERROR(IF(VALUE($A1384)&lt;100000000,VALUE($A1384),1000000000),IFERROR(IF(VALUE(MID($A1384,2,20))&lt;100000000,VALUE(MID($A1384,2,20)),1000000000),1000000000))+ROW()/100000,"")</f>
        <v/>
      </c>
    </row>
    <row r="1385">
      <c r="F1385" s="7">
        <f>IF($A1385="","",E1385*N1385/100)</f>
        <v/>
      </c>
      <c r="J1385" s="7" t="n"/>
      <c r="K1385" s="7">
        <f>IF($A1385="","",S1385*N1385)</f>
        <v/>
      </c>
      <c r="L1385" s="7">
        <f>IF($A1385="","",N1385-K1385)</f>
        <v/>
      </c>
      <c r="M1385" s="7">
        <f>IF($A1385="","",L1385-F1385)</f>
        <v/>
      </c>
      <c r="N1385" s="7" t="n"/>
      <c r="Q1385" s="11" t="n"/>
      <c r="S1385">
        <f>IF($A1385="","",IF($W1385=1,Settings!$C$6,Settings!$C$7)*1)</f>
        <v/>
      </c>
      <c r="U1385">
        <f>IF($A1385="","",IF(COUNTIF($A$2:$A1385,$A1385)=1,1,0))</f>
        <v/>
      </c>
      <c r="V1385">
        <f>IF($U1385=1,SUMPRODUCT(--($X$2:$X$3001&lt;$X1385))+1,"")</f>
        <v/>
      </c>
      <c r="W1385">
        <f>IF($A1385="","",IF(OR($T1385=TRUE(),$T1385="TRUE"),1,0))</f>
        <v/>
      </c>
      <c r="X1385">
        <f>IF($U1385=1,IFERROR(IF(VALUE($A1385)&lt;100000000,VALUE($A1385),1000000000),IFERROR(IF(VALUE(MID($A1385,2,20))&lt;100000000,VALUE(MID($A1385,2,20)),1000000000),1000000000))+ROW()/100000,"")</f>
        <v/>
      </c>
    </row>
    <row r="1386">
      <c r="F1386" s="7">
        <f>IF($A1386="","",E1386*N1386/100)</f>
        <v/>
      </c>
      <c r="J1386" s="7" t="n"/>
      <c r="K1386" s="7">
        <f>IF($A1386="","",S1386*N1386)</f>
        <v/>
      </c>
      <c r="L1386" s="7">
        <f>IF($A1386="","",N1386-K1386)</f>
        <v/>
      </c>
      <c r="M1386" s="7">
        <f>IF($A1386="","",L1386-F1386)</f>
        <v/>
      </c>
      <c r="N1386" s="7" t="n"/>
      <c r="Q1386" s="11" t="n"/>
      <c r="S1386">
        <f>IF($A1386="","",IF($W1386=1,Settings!$C$6,Settings!$C$7)*1)</f>
        <v/>
      </c>
      <c r="U1386">
        <f>IF($A1386="","",IF(COUNTIF($A$2:$A1386,$A1386)=1,1,0))</f>
        <v/>
      </c>
      <c r="V1386">
        <f>IF($U1386=1,SUMPRODUCT(--($X$2:$X$3001&lt;$X1386))+1,"")</f>
        <v/>
      </c>
      <c r="W1386">
        <f>IF($A1386="","",IF(OR($T1386=TRUE(),$T1386="TRUE"),1,0))</f>
        <v/>
      </c>
      <c r="X1386">
        <f>IF($U1386=1,IFERROR(IF(VALUE($A1386)&lt;100000000,VALUE($A1386),1000000000),IFERROR(IF(VALUE(MID($A1386,2,20))&lt;100000000,VALUE(MID($A1386,2,20)),1000000000),1000000000))+ROW()/100000,"")</f>
        <v/>
      </c>
    </row>
    <row r="1387">
      <c r="F1387" s="7">
        <f>IF($A1387="","",E1387*N1387/100)</f>
        <v/>
      </c>
      <c r="J1387" s="7" t="n"/>
      <c r="K1387" s="7">
        <f>IF($A1387="","",S1387*N1387)</f>
        <v/>
      </c>
      <c r="L1387" s="7">
        <f>IF($A1387="","",N1387-K1387)</f>
        <v/>
      </c>
      <c r="M1387" s="7">
        <f>IF($A1387="","",L1387-F1387)</f>
        <v/>
      </c>
      <c r="N1387" s="7" t="n"/>
      <c r="Q1387" s="11" t="n"/>
      <c r="S1387">
        <f>IF($A1387="","",IF($W1387=1,Settings!$C$6,Settings!$C$7)*1)</f>
        <v/>
      </c>
      <c r="U1387">
        <f>IF($A1387="","",IF(COUNTIF($A$2:$A1387,$A1387)=1,1,0))</f>
        <v/>
      </c>
      <c r="V1387">
        <f>IF($U1387=1,SUMPRODUCT(--($X$2:$X$3001&lt;$X1387))+1,"")</f>
        <v/>
      </c>
      <c r="W1387">
        <f>IF($A1387="","",IF(OR($T1387=TRUE(),$T1387="TRUE"),1,0))</f>
        <v/>
      </c>
      <c r="X1387">
        <f>IF($U1387=1,IFERROR(IF(VALUE($A1387)&lt;100000000,VALUE($A1387),1000000000),IFERROR(IF(VALUE(MID($A1387,2,20))&lt;100000000,VALUE(MID($A1387,2,20)),1000000000),1000000000))+ROW()/100000,"")</f>
        <v/>
      </c>
    </row>
    <row r="1388">
      <c r="F1388" s="7">
        <f>IF($A1388="","",E1388*N1388/100)</f>
        <v/>
      </c>
      <c r="J1388" s="7" t="n"/>
      <c r="K1388" s="7">
        <f>IF($A1388="","",S1388*N1388)</f>
        <v/>
      </c>
      <c r="L1388" s="7">
        <f>IF($A1388="","",N1388-K1388)</f>
        <v/>
      </c>
      <c r="M1388" s="7">
        <f>IF($A1388="","",L1388-F1388)</f>
        <v/>
      </c>
      <c r="N1388" s="7" t="n"/>
      <c r="Q1388" s="11" t="n"/>
      <c r="S1388">
        <f>IF($A1388="","",IF($W1388=1,Settings!$C$6,Settings!$C$7)*1)</f>
        <v/>
      </c>
      <c r="U1388">
        <f>IF($A1388="","",IF(COUNTIF($A$2:$A1388,$A1388)=1,1,0))</f>
        <v/>
      </c>
      <c r="V1388">
        <f>IF($U1388=1,SUMPRODUCT(--($X$2:$X$3001&lt;$X1388))+1,"")</f>
        <v/>
      </c>
      <c r="W1388">
        <f>IF($A1388="","",IF(OR($T1388=TRUE(),$T1388="TRUE"),1,0))</f>
        <v/>
      </c>
      <c r="X1388">
        <f>IF($U1388=1,IFERROR(IF(VALUE($A1388)&lt;100000000,VALUE($A1388),1000000000),IFERROR(IF(VALUE(MID($A1388,2,20))&lt;100000000,VALUE(MID($A1388,2,20)),1000000000),1000000000))+ROW()/100000,"")</f>
        <v/>
      </c>
    </row>
    <row r="1389">
      <c r="F1389" s="7">
        <f>IF($A1389="","",E1389*N1389/100)</f>
        <v/>
      </c>
      <c r="J1389" s="7" t="n"/>
      <c r="K1389" s="7">
        <f>IF($A1389="","",S1389*N1389)</f>
        <v/>
      </c>
      <c r="L1389" s="7">
        <f>IF($A1389="","",N1389-K1389)</f>
        <v/>
      </c>
      <c r="M1389" s="7">
        <f>IF($A1389="","",L1389-F1389)</f>
        <v/>
      </c>
      <c r="N1389" s="7" t="n"/>
      <c r="Q1389" s="11" t="n"/>
      <c r="S1389">
        <f>IF($A1389="","",IF($W1389=1,Settings!$C$6,Settings!$C$7)*1)</f>
        <v/>
      </c>
      <c r="U1389">
        <f>IF($A1389="","",IF(COUNTIF($A$2:$A1389,$A1389)=1,1,0))</f>
        <v/>
      </c>
      <c r="V1389">
        <f>IF($U1389=1,SUMPRODUCT(--($X$2:$X$3001&lt;$X1389))+1,"")</f>
        <v/>
      </c>
      <c r="W1389">
        <f>IF($A1389="","",IF(OR($T1389=TRUE(),$T1389="TRUE"),1,0))</f>
        <v/>
      </c>
      <c r="X1389">
        <f>IF($U1389=1,IFERROR(IF(VALUE($A1389)&lt;100000000,VALUE($A1389),1000000000),IFERROR(IF(VALUE(MID($A1389,2,20))&lt;100000000,VALUE(MID($A1389,2,20)),1000000000),1000000000))+ROW()/100000,"")</f>
        <v/>
      </c>
    </row>
    <row r="1390">
      <c r="F1390" s="7">
        <f>IF($A1390="","",E1390*N1390/100)</f>
        <v/>
      </c>
      <c r="J1390" s="7" t="n"/>
      <c r="K1390" s="7">
        <f>IF($A1390="","",S1390*N1390)</f>
        <v/>
      </c>
      <c r="L1390" s="7">
        <f>IF($A1390="","",N1390-K1390)</f>
        <v/>
      </c>
      <c r="M1390" s="7">
        <f>IF($A1390="","",L1390-F1390)</f>
        <v/>
      </c>
      <c r="N1390" s="7" t="n"/>
      <c r="Q1390" s="11" t="n"/>
      <c r="S1390">
        <f>IF($A1390="","",IF($W1390=1,Settings!$C$6,Settings!$C$7)*1)</f>
        <v/>
      </c>
      <c r="U1390">
        <f>IF($A1390="","",IF(COUNTIF($A$2:$A1390,$A1390)=1,1,0))</f>
        <v/>
      </c>
      <c r="V1390">
        <f>IF($U1390=1,SUMPRODUCT(--($X$2:$X$3001&lt;$X1390))+1,"")</f>
        <v/>
      </c>
      <c r="W1390">
        <f>IF($A1390="","",IF(OR($T1390=TRUE(),$T1390="TRUE"),1,0))</f>
        <v/>
      </c>
      <c r="X1390">
        <f>IF($U1390=1,IFERROR(IF(VALUE($A1390)&lt;100000000,VALUE($A1390),1000000000),IFERROR(IF(VALUE(MID($A1390,2,20))&lt;100000000,VALUE(MID($A1390,2,20)),1000000000),1000000000))+ROW()/100000,"")</f>
        <v/>
      </c>
    </row>
    <row r="1391">
      <c r="F1391" s="7">
        <f>IF($A1391="","",E1391*N1391/100)</f>
        <v/>
      </c>
      <c r="J1391" s="7" t="n"/>
      <c r="K1391" s="7">
        <f>IF($A1391="","",S1391*N1391)</f>
        <v/>
      </c>
      <c r="L1391" s="7">
        <f>IF($A1391="","",N1391-K1391)</f>
        <v/>
      </c>
      <c r="M1391" s="7">
        <f>IF($A1391="","",L1391-F1391)</f>
        <v/>
      </c>
      <c r="N1391" s="7" t="n"/>
      <c r="Q1391" s="11" t="n"/>
      <c r="S1391">
        <f>IF($A1391="","",IF($W1391=1,Settings!$C$6,Settings!$C$7)*1)</f>
        <v/>
      </c>
      <c r="U1391">
        <f>IF($A1391="","",IF(COUNTIF($A$2:$A1391,$A1391)=1,1,0))</f>
        <v/>
      </c>
      <c r="V1391">
        <f>IF($U1391=1,SUMPRODUCT(--($X$2:$X$3001&lt;$X1391))+1,"")</f>
        <v/>
      </c>
      <c r="W1391">
        <f>IF($A1391="","",IF(OR($T1391=TRUE(),$T1391="TRUE"),1,0))</f>
        <v/>
      </c>
      <c r="X1391">
        <f>IF($U1391=1,IFERROR(IF(VALUE($A1391)&lt;100000000,VALUE($A1391),1000000000),IFERROR(IF(VALUE(MID($A1391,2,20))&lt;100000000,VALUE(MID($A1391,2,20)),1000000000),1000000000))+ROW()/100000,"")</f>
        <v/>
      </c>
    </row>
    <row r="1392">
      <c r="F1392" s="7">
        <f>IF($A1392="","",E1392*N1392/100)</f>
        <v/>
      </c>
      <c r="J1392" s="7" t="n"/>
      <c r="K1392" s="7">
        <f>IF($A1392="","",S1392*N1392)</f>
        <v/>
      </c>
      <c r="L1392" s="7">
        <f>IF($A1392="","",N1392-K1392)</f>
        <v/>
      </c>
      <c r="M1392" s="7">
        <f>IF($A1392="","",L1392-F1392)</f>
        <v/>
      </c>
      <c r="N1392" s="7" t="n"/>
      <c r="Q1392" s="11" t="n"/>
      <c r="S1392">
        <f>IF($A1392="","",IF($W1392=1,Settings!$C$6,Settings!$C$7)*1)</f>
        <v/>
      </c>
      <c r="U1392">
        <f>IF($A1392="","",IF(COUNTIF($A$2:$A1392,$A1392)=1,1,0))</f>
        <v/>
      </c>
      <c r="V1392">
        <f>IF($U1392=1,SUMPRODUCT(--($X$2:$X$3001&lt;$X1392))+1,"")</f>
        <v/>
      </c>
      <c r="W1392">
        <f>IF($A1392="","",IF(OR($T1392=TRUE(),$T1392="TRUE"),1,0))</f>
        <v/>
      </c>
      <c r="X1392">
        <f>IF($U1392=1,IFERROR(IF(VALUE($A1392)&lt;100000000,VALUE($A1392),1000000000),IFERROR(IF(VALUE(MID($A1392,2,20))&lt;100000000,VALUE(MID($A1392,2,20)),1000000000),1000000000))+ROW()/100000,"")</f>
        <v/>
      </c>
    </row>
    <row r="1393">
      <c r="F1393" s="7">
        <f>IF($A1393="","",E1393*N1393/100)</f>
        <v/>
      </c>
      <c r="J1393" s="7" t="n"/>
      <c r="K1393" s="7">
        <f>IF($A1393="","",S1393*N1393)</f>
        <v/>
      </c>
      <c r="L1393" s="7">
        <f>IF($A1393="","",N1393-K1393)</f>
        <v/>
      </c>
      <c r="M1393" s="7">
        <f>IF($A1393="","",L1393-F1393)</f>
        <v/>
      </c>
      <c r="N1393" s="7" t="n"/>
      <c r="Q1393" s="11" t="n"/>
      <c r="S1393">
        <f>IF($A1393="","",IF($W1393=1,Settings!$C$6,Settings!$C$7)*1)</f>
        <v/>
      </c>
      <c r="U1393">
        <f>IF($A1393="","",IF(COUNTIF($A$2:$A1393,$A1393)=1,1,0))</f>
        <v/>
      </c>
      <c r="V1393">
        <f>IF($U1393=1,SUMPRODUCT(--($X$2:$X$3001&lt;$X1393))+1,"")</f>
        <v/>
      </c>
      <c r="W1393">
        <f>IF($A1393="","",IF(OR($T1393=TRUE(),$T1393="TRUE"),1,0))</f>
        <v/>
      </c>
      <c r="X1393">
        <f>IF($U1393=1,IFERROR(IF(VALUE($A1393)&lt;100000000,VALUE($A1393),1000000000),IFERROR(IF(VALUE(MID($A1393,2,20))&lt;100000000,VALUE(MID($A1393,2,20)),1000000000),1000000000))+ROW()/100000,"")</f>
        <v/>
      </c>
    </row>
    <row r="1394">
      <c r="F1394" s="7">
        <f>IF($A1394="","",E1394*N1394/100)</f>
        <v/>
      </c>
      <c r="J1394" s="7" t="n"/>
      <c r="K1394" s="7">
        <f>IF($A1394="","",S1394*N1394)</f>
        <v/>
      </c>
      <c r="L1394" s="7">
        <f>IF($A1394="","",N1394-K1394)</f>
        <v/>
      </c>
      <c r="M1394" s="7">
        <f>IF($A1394="","",L1394-F1394)</f>
        <v/>
      </c>
      <c r="N1394" s="7" t="n"/>
      <c r="Q1394" s="11" t="n"/>
      <c r="S1394">
        <f>IF($A1394="","",IF($W1394=1,Settings!$C$6,Settings!$C$7)*1)</f>
        <v/>
      </c>
      <c r="U1394">
        <f>IF($A1394="","",IF(COUNTIF($A$2:$A1394,$A1394)=1,1,0))</f>
        <v/>
      </c>
      <c r="V1394">
        <f>IF($U1394=1,SUMPRODUCT(--($X$2:$X$3001&lt;$X1394))+1,"")</f>
        <v/>
      </c>
      <c r="W1394">
        <f>IF($A1394="","",IF(OR($T1394=TRUE(),$T1394="TRUE"),1,0))</f>
        <v/>
      </c>
      <c r="X1394">
        <f>IF($U1394=1,IFERROR(IF(VALUE($A1394)&lt;100000000,VALUE($A1394),1000000000),IFERROR(IF(VALUE(MID($A1394,2,20))&lt;100000000,VALUE(MID($A1394,2,20)),1000000000),1000000000))+ROW()/100000,"")</f>
        <v/>
      </c>
    </row>
    <row r="1395">
      <c r="F1395" s="7">
        <f>IF($A1395="","",E1395*N1395/100)</f>
        <v/>
      </c>
      <c r="J1395" s="7" t="n"/>
      <c r="K1395" s="7">
        <f>IF($A1395="","",S1395*N1395)</f>
        <v/>
      </c>
      <c r="L1395" s="7">
        <f>IF($A1395="","",N1395-K1395)</f>
        <v/>
      </c>
      <c r="M1395" s="7">
        <f>IF($A1395="","",L1395-F1395)</f>
        <v/>
      </c>
      <c r="N1395" s="7" t="n"/>
      <c r="Q1395" s="11" t="n"/>
      <c r="S1395">
        <f>IF($A1395="","",IF($W1395=1,Settings!$C$6,Settings!$C$7)*1)</f>
        <v/>
      </c>
      <c r="U1395">
        <f>IF($A1395="","",IF(COUNTIF($A$2:$A1395,$A1395)=1,1,0))</f>
        <v/>
      </c>
      <c r="V1395">
        <f>IF($U1395=1,SUMPRODUCT(--($X$2:$X$3001&lt;$X1395))+1,"")</f>
        <v/>
      </c>
      <c r="W1395">
        <f>IF($A1395="","",IF(OR($T1395=TRUE(),$T1395="TRUE"),1,0))</f>
        <v/>
      </c>
      <c r="X1395">
        <f>IF($U1395=1,IFERROR(IF(VALUE($A1395)&lt;100000000,VALUE($A1395),1000000000),IFERROR(IF(VALUE(MID($A1395,2,20))&lt;100000000,VALUE(MID($A1395,2,20)),1000000000),1000000000))+ROW()/100000,"")</f>
        <v/>
      </c>
    </row>
    <row r="1396">
      <c r="F1396" s="7">
        <f>IF($A1396="","",E1396*N1396/100)</f>
        <v/>
      </c>
      <c r="J1396" s="7" t="n"/>
      <c r="K1396" s="7">
        <f>IF($A1396="","",S1396*N1396)</f>
        <v/>
      </c>
      <c r="L1396" s="7">
        <f>IF($A1396="","",N1396-K1396)</f>
        <v/>
      </c>
      <c r="M1396" s="7">
        <f>IF($A1396="","",L1396-F1396)</f>
        <v/>
      </c>
      <c r="N1396" s="7" t="n"/>
      <c r="Q1396" s="11" t="n"/>
      <c r="S1396">
        <f>IF($A1396="","",IF($W1396=1,Settings!$C$6,Settings!$C$7)*1)</f>
        <v/>
      </c>
      <c r="U1396">
        <f>IF($A1396="","",IF(COUNTIF($A$2:$A1396,$A1396)=1,1,0))</f>
        <v/>
      </c>
      <c r="V1396">
        <f>IF($U1396=1,SUMPRODUCT(--($X$2:$X$3001&lt;$X1396))+1,"")</f>
        <v/>
      </c>
      <c r="W1396">
        <f>IF($A1396="","",IF(OR($T1396=TRUE(),$T1396="TRUE"),1,0))</f>
        <v/>
      </c>
      <c r="X1396">
        <f>IF($U1396=1,IFERROR(IF(VALUE($A1396)&lt;100000000,VALUE($A1396),1000000000),IFERROR(IF(VALUE(MID($A1396,2,20))&lt;100000000,VALUE(MID($A1396,2,20)),1000000000),1000000000))+ROW()/100000,"")</f>
        <v/>
      </c>
    </row>
    <row r="1397">
      <c r="F1397" s="7">
        <f>IF($A1397="","",E1397*N1397/100)</f>
        <v/>
      </c>
      <c r="J1397" s="7" t="n"/>
      <c r="K1397" s="7">
        <f>IF($A1397="","",S1397*N1397)</f>
        <v/>
      </c>
      <c r="L1397" s="7">
        <f>IF($A1397="","",N1397-K1397)</f>
        <v/>
      </c>
      <c r="M1397" s="7">
        <f>IF($A1397="","",L1397-F1397)</f>
        <v/>
      </c>
      <c r="N1397" s="7" t="n"/>
      <c r="Q1397" s="11" t="n"/>
      <c r="S1397">
        <f>IF($A1397="","",IF($W1397=1,Settings!$C$6,Settings!$C$7)*1)</f>
        <v/>
      </c>
      <c r="U1397">
        <f>IF($A1397="","",IF(COUNTIF($A$2:$A1397,$A1397)=1,1,0))</f>
        <v/>
      </c>
      <c r="V1397">
        <f>IF($U1397=1,SUMPRODUCT(--($X$2:$X$3001&lt;$X1397))+1,"")</f>
        <v/>
      </c>
      <c r="W1397">
        <f>IF($A1397="","",IF(OR($T1397=TRUE(),$T1397="TRUE"),1,0))</f>
        <v/>
      </c>
      <c r="X1397">
        <f>IF($U1397=1,IFERROR(IF(VALUE($A1397)&lt;100000000,VALUE($A1397),1000000000),IFERROR(IF(VALUE(MID($A1397,2,20))&lt;100000000,VALUE(MID($A1397,2,20)),1000000000),1000000000))+ROW()/100000,"")</f>
        <v/>
      </c>
    </row>
    <row r="1398">
      <c r="F1398" s="7">
        <f>IF($A1398="","",E1398*N1398/100)</f>
        <v/>
      </c>
      <c r="J1398" s="7" t="n"/>
      <c r="K1398" s="7">
        <f>IF($A1398="","",S1398*N1398)</f>
        <v/>
      </c>
      <c r="L1398" s="7">
        <f>IF($A1398="","",N1398-K1398)</f>
        <v/>
      </c>
      <c r="M1398" s="7">
        <f>IF($A1398="","",L1398-F1398)</f>
        <v/>
      </c>
      <c r="N1398" s="7" t="n"/>
      <c r="Q1398" s="11" t="n"/>
      <c r="S1398">
        <f>IF($A1398="","",IF($W1398=1,Settings!$C$6,Settings!$C$7)*1)</f>
        <v/>
      </c>
      <c r="U1398">
        <f>IF($A1398="","",IF(COUNTIF($A$2:$A1398,$A1398)=1,1,0))</f>
        <v/>
      </c>
      <c r="V1398">
        <f>IF($U1398=1,SUMPRODUCT(--($X$2:$X$3001&lt;$X1398))+1,"")</f>
        <v/>
      </c>
      <c r="W1398">
        <f>IF($A1398="","",IF(OR($T1398=TRUE(),$T1398="TRUE"),1,0))</f>
        <v/>
      </c>
      <c r="X1398">
        <f>IF($U1398=1,IFERROR(IF(VALUE($A1398)&lt;100000000,VALUE($A1398),1000000000),IFERROR(IF(VALUE(MID($A1398,2,20))&lt;100000000,VALUE(MID($A1398,2,20)),1000000000),1000000000))+ROW()/100000,"")</f>
        <v/>
      </c>
    </row>
    <row r="1399">
      <c r="F1399" s="7">
        <f>IF($A1399="","",E1399*N1399/100)</f>
        <v/>
      </c>
      <c r="J1399" s="7" t="n"/>
      <c r="K1399" s="7">
        <f>IF($A1399="","",S1399*N1399)</f>
        <v/>
      </c>
      <c r="L1399" s="7">
        <f>IF($A1399="","",N1399-K1399)</f>
        <v/>
      </c>
      <c r="M1399" s="7">
        <f>IF($A1399="","",L1399-F1399)</f>
        <v/>
      </c>
      <c r="N1399" s="7" t="n"/>
      <c r="Q1399" s="11" t="n"/>
      <c r="S1399">
        <f>IF($A1399="","",IF($W1399=1,Settings!$C$6,Settings!$C$7)*1)</f>
        <v/>
      </c>
      <c r="U1399">
        <f>IF($A1399="","",IF(COUNTIF($A$2:$A1399,$A1399)=1,1,0))</f>
        <v/>
      </c>
      <c r="V1399">
        <f>IF($U1399=1,SUMPRODUCT(--($X$2:$X$3001&lt;$X1399))+1,"")</f>
        <v/>
      </c>
      <c r="W1399">
        <f>IF($A1399="","",IF(OR($T1399=TRUE(),$T1399="TRUE"),1,0))</f>
        <v/>
      </c>
      <c r="X1399">
        <f>IF($U1399=1,IFERROR(IF(VALUE($A1399)&lt;100000000,VALUE($A1399),1000000000),IFERROR(IF(VALUE(MID($A1399,2,20))&lt;100000000,VALUE(MID($A1399,2,20)),1000000000),1000000000))+ROW()/100000,"")</f>
        <v/>
      </c>
    </row>
    <row r="1400">
      <c r="F1400" s="7">
        <f>IF($A1400="","",E1400*N1400/100)</f>
        <v/>
      </c>
      <c r="J1400" s="7" t="n"/>
      <c r="K1400" s="7">
        <f>IF($A1400="","",S1400*N1400)</f>
        <v/>
      </c>
      <c r="L1400" s="7">
        <f>IF($A1400="","",N1400-K1400)</f>
        <v/>
      </c>
      <c r="M1400" s="7">
        <f>IF($A1400="","",L1400-F1400)</f>
        <v/>
      </c>
      <c r="N1400" s="7" t="n"/>
      <c r="Q1400" s="11" t="n"/>
      <c r="S1400">
        <f>IF($A1400="","",IF($W1400=1,Settings!$C$6,Settings!$C$7)*1)</f>
        <v/>
      </c>
      <c r="U1400">
        <f>IF($A1400="","",IF(COUNTIF($A$2:$A1400,$A1400)=1,1,0))</f>
        <v/>
      </c>
      <c r="V1400">
        <f>IF($U1400=1,SUMPRODUCT(--($X$2:$X$3001&lt;$X1400))+1,"")</f>
        <v/>
      </c>
      <c r="W1400">
        <f>IF($A1400="","",IF(OR($T1400=TRUE(),$T1400="TRUE"),1,0))</f>
        <v/>
      </c>
      <c r="X1400">
        <f>IF($U1400=1,IFERROR(IF(VALUE($A1400)&lt;100000000,VALUE($A1400),1000000000),IFERROR(IF(VALUE(MID($A1400,2,20))&lt;100000000,VALUE(MID($A1400,2,20)),1000000000),1000000000))+ROW()/100000,"")</f>
        <v/>
      </c>
    </row>
    <row r="1401">
      <c r="F1401" s="7">
        <f>IF($A1401="","",E1401*N1401/100)</f>
        <v/>
      </c>
      <c r="J1401" s="7" t="n"/>
      <c r="K1401" s="7">
        <f>IF($A1401="","",S1401*N1401)</f>
        <v/>
      </c>
      <c r="L1401" s="7">
        <f>IF($A1401="","",N1401-K1401)</f>
        <v/>
      </c>
      <c r="M1401" s="7">
        <f>IF($A1401="","",L1401-F1401)</f>
        <v/>
      </c>
      <c r="N1401" s="7" t="n"/>
      <c r="Q1401" s="11" t="n"/>
      <c r="S1401">
        <f>IF($A1401="","",IF($W1401=1,Settings!$C$6,Settings!$C$7)*1)</f>
        <v/>
      </c>
      <c r="U1401">
        <f>IF($A1401="","",IF(COUNTIF($A$2:$A1401,$A1401)=1,1,0))</f>
        <v/>
      </c>
      <c r="V1401">
        <f>IF($U1401=1,SUMPRODUCT(--($X$2:$X$3001&lt;$X1401))+1,"")</f>
        <v/>
      </c>
      <c r="W1401">
        <f>IF($A1401="","",IF(OR($T1401=TRUE(),$T1401="TRUE"),1,0))</f>
        <v/>
      </c>
      <c r="X1401">
        <f>IF($U1401=1,IFERROR(IF(VALUE($A1401)&lt;100000000,VALUE($A1401),1000000000),IFERROR(IF(VALUE(MID($A1401,2,20))&lt;100000000,VALUE(MID($A1401,2,20)),1000000000),1000000000))+ROW()/100000,"")</f>
        <v/>
      </c>
    </row>
    <row r="1402">
      <c r="F1402" s="7">
        <f>IF($A1402="","",E1402*N1402/100)</f>
        <v/>
      </c>
      <c r="J1402" s="7" t="n"/>
      <c r="K1402" s="7">
        <f>IF($A1402="","",S1402*N1402)</f>
        <v/>
      </c>
      <c r="L1402" s="7">
        <f>IF($A1402="","",N1402-K1402)</f>
        <v/>
      </c>
      <c r="M1402" s="7">
        <f>IF($A1402="","",L1402-F1402)</f>
        <v/>
      </c>
      <c r="N1402" s="7" t="n"/>
      <c r="Q1402" s="11" t="n"/>
      <c r="S1402">
        <f>IF($A1402="","",IF($W1402=1,Settings!$C$6,Settings!$C$7)*1)</f>
        <v/>
      </c>
      <c r="U1402">
        <f>IF($A1402="","",IF(COUNTIF($A$2:$A1402,$A1402)=1,1,0))</f>
        <v/>
      </c>
      <c r="V1402">
        <f>IF($U1402=1,SUMPRODUCT(--($X$2:$X$3001&lt;$X1402))+1,"")</f>
        <v/>
      </c>
      <c r="W1402">
        <f>IF($A1402="","",IF(OR($T1402=TRUE(),$T1402="TRUE"),1,0))</f>
        <v/>
      </c>
      <c r="X1402">
        <f>IF($U1402=1,IFERROR(IF(VALUE($A1402)&lt;100000000,VALUE($A1402),1000000000),IFERROR(IF(VALUE(MID($A1402,2,20))&lt;100000000,VALUE(MID($A1402,2,20)),1000000000),1000000000))+ROW()/100000,"")</f>
        <v/>
      </c>
    </row>
    <row r="1403">
      <c r="F1403" s="7">
        <f>IF($A1403="","",E1403*N1403/100)</f>
        <v/>
      </c>
      <c r="J1403" s="7" t="n"/>
      <c r="K1403" s="7">
        <f>IF($A1403="","",S1403*N1403)</f>
        <v/>
      </c>
      <c r="L1403" s="7">
        <f>IF($A1403="","",N1403-K1403)</f>
        <v/>
      </c>
      <c r="M1403" s="7">
        <f>IF($A1403="","",L1403-F1403)</f>
        <v/>
      </c>
      <c r="N1403" s="7" t="n"/>
      <c r="Q1403" s="11" t="n"/>
      <c r="S1403">
        <f>IF($A1403="","",IF($W1403=1,Settings!$C$6,Settings!$C$7)*1)</f>
        <v/>
      </c>
      <c r="U1403">
        <f>IF($A1403="","",IF(COUNTIF($A$2:$A1403,$A1403)=1,1,0))</f>
        <v/>
      </c>
      <c r="V1403">
        <f>IF($U1403=1,SUMPRODUCT(--($X$2:$X$3001&lt;$X1403))+1,"")</f>
        <v/>
      </c>
      <c r="W1403">
        <f>IF($A1403="","",IF(OR($T1403=TRUE(),$T1403="TRUE"),1,0))</f>
        <v/>
      </c>
      <c r="X1403">
        <f>IF($U1403=1,IFERROR(IF(VALUE($A1403)&lt;100000000,VALUE($A1403),1000000000),IFERROR(IF(VALUE(MID($A1403,2,20))&lt;100000000,VALUE(MID($A1403,2,20)),1000000000),1000000000))+ROW()/100000,"")</f>
        <v/>
      </c>
    </row>
    <row r="1404">
      <c r="F1404" s="7">
        <f>IF($A1404="","",E1404*N1404/100)</f>
        <v/>
      </c>
      <c r="J1404" s="7" t="n"/>
      <c r="K1404" s="7">
        <f>IF($A1404="","",S1404*N1404)</f>
        <v/>
      </c>
      <c r="L1404" s="7">
        <f>IF($A1404="","",N1404-K1404)</f>
        <v/>
      </c>
      <c r="M1404" s="7">
        <f>IF($A1404="","",L1404-F1404)</f>
        <v/>
      </c>
      <c r="N1404" s="7" t="n"/>
      <c r="Q1404" s="11" t="n"/>
      <c r="S1404">
        <f>IF($A1404="","",IF($W1404=1,Settings!$C$6,Settings!$C$7)*1)</f>
        <v/>
      </c>
      <c r="U1404">
        <f>IF($A1404="","",IF(COUNTIF($A$2:$A1404,$A1404)=1,1,0))</f>
        <v/>
      </c>
      <c r="V1404">
        <f>IF($U1404=1,SUMPRODUCT(--($X$2:$X$3001&lt;$X1404))+1,"")</f>
        <v/>
      </c>
      <c r="W1404">
        <f>IF($A1404="","",IF(OR($T1404=TRUE(),$T1404="TRUE"),1,0))</f>
        <v/>
      </c>
      <c r="X1404">
        <f>IF($U1404=1,IFERROR(IF(VALUE($A1404)&lt;100000000,VALUE($A1404),1000000000),IFERROR(IF(VALUE(MID($A1404,2,20))&lt;100000000,VALUE(MID($A1404,2,20)),1000000000),1000000000))+ROW()/100000,"")</f>
        <v/>
      </c>
    </row>
    <row r="1405">
      <c r="F1405" s="7">
        <f>IF($A1405="","",E1405*N1405/100)</f>
        <v/>
      </c>
      <c r="J1405" s="7" t="n"/>
      <c r="K1405" s="7">
        <f>IF($A1405="","",S1405*N1405)</f>
        <v/>
      </c>
      <c r="L1405" s="7">
        <f>IF($A1405="","",N1405-K1405)</f>
        <v/>
      </c>
      <c r="M1405" s="7">
        <f>IF($A1405="","",L1405-F1405)</f>
        <v/>
      </c>
      <c r="N1405" s="7" t="n"/>
      <c r="Q1405" s="11" t="n"/>
      <c r="S1405">
        <f>IF($A1405="","",IF($W1405=1,Settings!$C$6,Settings!$C$7)*1)</f>
        <v/>
      </c>
      <c r="U1405">
        <f>IF($A1405="","",IF(COUNTIF($A$2:$A1405,$A1405)=1,1,0))</f>
        <v/>
      </c>
      <c r="V1405">
        <f>IF($U1405=1,SUMPRODUCT(--($X$2:$X$3001&lt;$X1405))+1,"")</f>
        <v/>
      </c>
      <c r="W1405">
        <f>IF($A1405="","",IF(OR($T1405=TRUE(),$T1405="TRUE"),1,0))</f>
        <v/>
      </c>
      <c r="X1405">
        <f>IF($U1405=1,IFERROR(IF(VALUE($A1405)&lt;100000000,VALUE($A1405),1000000000),IFERROR(IF(VALUE(MID($A1405,2,20))&lt;100000000,VALUE(MID($A1405,2,20)),1000000000),1000000000))+ROW()/100000,"")</f>
        <v/>
      </c>
    </row>
    <row r="1406">
      <c r="F1406" s="7">
        <f>IF($A1406="","",E1406*N1406/100)</f>
        <v/>
      </c>
      <c r="J1406" s="7" t="n"/>
      <c r="K1406" s="7">
        <f>IF($A1406="","",S1406*N1406)</f>
        <v/>
      </c>
      <c r="L1406" s="7">
        <f>IF($A1406="","",N1406-K1406)</f>
        <v/>
      </c>
      <c r="M1406" s="7">
        <f>IF($A1406="","",L1406-F1406)</f>
        <v/>
      </c>
      <c r="N1406" s="7" t="n"/>
      <c r="Q1406" s="11" t="n"/>
      <c r="S1406">
        <f>IF($A1406="","",IF($W1406=1,Settings!$C$6,Settings!$C$7)*1)</f>
        <v/>
      </c>
      <c r="U1406">
        <f>IF($A1406="","",IF(COUNTIF($A$2:$A1406,$A1406)=1,1,0))</f>
        <v/>
      </c>
      <c r="V1406">
        <f>IF($U1406=1,SUMPRODUCT(--($X$2:$X$3001&lt;$X1406))+1,"")</f>
        <v/>
      </c>
      <c r="W1406">
        <f>IF($A1406="","",IF(OR($T1406=TRUE(),$T1406="TRUE"),1,0))</f>
        <v/>
      </c>
      <c r="X1406">
        <f>IF($U1406=1,IFERROR(IF(VALUE($A1406)&lt;100000000,VALUE($A1406),1000000000),IFERROR(IF(VALUE(MID($A1406,2,20))&lt;100000000,VALUE(MID($A1406,2,20)),1000000000),1000000000))+ROW()/100000,"")</f>
        <v/>
      </c>
    </row>
    <row r="1407">
      <c r="F1407" s="7">
        <f>IF($A1407="","",E1407*N1407/100)</f>
        <v/>
      </c>
      <c r="J1407" s="7" t="n"/>
      <c r="K1407" s="7">
        <f>IF($A1407="","",S1407*N1407)</f>
        <v/>
      </c>
      <c r="L1407" s="7">
        <f>IF($A1407="","",N1407-K1407)</f>
        <v/>
      </c>
      <c r="M1407" s="7">
        <f>IF($A1407="","",L1407-F1407)</f>
        <v/>
      </c>
      <c r="N1407" s="7" t="n"/>
      <c r="Q1407" s="11" t="n"/>
      <c r="S1407">
        <f>IF($A1407="","",IF($W1407=1,Settings!$C$6,Settings!$C$7)*1)</f>
        <v/>
      </c>
      <c r="U1407">
        <f>IF($A1407="","",IF(COUNTIF($A$2:$A1407,$A1407)=1,1,0))</f>
        <v/>
      </c>
      <c r="V1407">
        <f>IF($U1407=1,SUMPRODUCT(--($X$2:$X$3001&lt;$X1407))+1,"")</f>
        <v/>
      </c>
      <c r="W1407">
        <f>IF($A1407="","",IF(OR($T1407=TRUE(),$T1407="TRUE"),1,0))</f>
        <v/>
      </c>
      <c r="X1407">
        <f>IF($U1407=1,IFERROR(IF(VALUE($A1407)&lt;100000000,VALUE($A1407),1000000000),IFERROR(IF(VALUE(MID($A1407,2,20))&lt;100000000,VALUE(MID($A1407,2,20)),1000000000),1000000000))+ROW()/100000,"")</f>
        <v/>
      </c>
    </row>
    <row r="1408">
      <c r="F1408" s="7">
        <f>IF($A1408="","",E1408*N1408/100)</f>
        <v/>
      </c>
      <c r="J1408" s="7" t="n"/>
      <c r="K1408" s="7">
        <f>IF($A1408="","",S1408*N1408)</f>
        <v/>
      </c>
      <c r="L1408" s="7">
        <f>IF($A1408="","",N1408-K1408)</f>
        <v/>
      </c>
      <c r="M1408" s="7">
        <f>IF($A1408="","",L1408-F1408)</f>
        <v/>
      </c>
      <c r="N1408" s="7" t="n"/>
      <c r="Q1408" s="11" t="n"/>
      <c r="S1408">
        <f>IF($A1408="","",IF($W1408=1,Settings!$C$6,Settings!$C$7)*1)</f>
        <v/>
      </c>
      <c r="U1408">
        <f>IF($A1408="","",IF(COUNTIF($A$2:$A1408,$A1408)=1,1,0))</f>
        <v/>
      </c>
      <c r="V1408">
        <f>IF($U1408=1,SUMPRODUCT(--($X$2:$X$3001&lt;$X1408))+1,"")</f>
        <v/>
      </c>
      <c r="W1408">
        <f>IF($A1408="","",IF(OR($T1408=TRUE(),$T1408="TRUE"),1,0))</f>
        <v/>
      </c>
      <c r="X1408">
        <f>IF($U1408=1,IFERROR(IF(VALUE($A1408)&lt;100000000,VALUE($A1408),1000000000),IFERROR(IF(VALUE(MID($A1408,2,20))&lt;100000000,VALUE(MID($A1408,2,20)),1000000000),1000000000))+ROW()/100000,"")</f>
        <v/>
      </c>
    </row>
    <row r="1409">
      <c r="F1409" s="7">
        <f>IF($A1409="","",E1409*N1409/100)</f>
        <v/>
      </c>
      <c r="J1409" s="7" t="n"/>
      <c r="K1409" s="7">
        <f>IF($A1409="","",S1409*N1409)</f>
        <v/>
      </c>
      <c r="L1409" s="7">
        <f>IF($A1409="","",N1409-K1409)</f>
        <v/>
      </c>
      <c r="M1409" s="7">
        <f>IF($A1409="","",L1409-F1409)</f>
        <v/>
      </c>
      <c r="N1409" s="7" t="n"/>
      <c r="Q1409" s="11" t="n"/>
      <c r="S1409">
        <f>IF($A1409="","",IF($W1409=1,Settings!$C$6,Settings!$C$7)*1)</f>
        <v/>
      </c>
      <c r="U1409">
        <f>IF($A1409="","",IF(COUNTIF($A$2:$A1409,$A1409)=1,1,0))</f>
        <v/>
      </c>
      <c r="V1409">
        <f>IF($U1409=1,SUMPRODUCT(--($X$2:$X$3001&lt;$X1409))+1,"")</f>
        <v/>
      </c>
      <c r="W1409">
        <f>IF($A1409="","",IF(OR($T1409=TRUE(),$T1409="TRUE"),1,0))</f>
        <v/>
      </c>
      <c r="X1409">
        <f>IF($U1409=1,IFERROR(IF(VALUE($A1409)&lt;100000000,VALUE($A1409),1000000000),IFERROR(IF(VALUE(MID($A1409,2,20))&lt;100000000,VALUE(MID($A1409,2,20)),1000000000),1000000000))+ROW()/100000,"")</f>
        <v/>
      </c>
    </row>
    <row r="1410">
      <c r="F1410" s="7">
        <f>IF($A1410="","",E1410*N1410/100)</f>
        <v/>
      </c>
      <c r="J1410" s="7" t="n"/>
      <c r="K1410" s="7">
        <f>IF($A1410="","",S1410*N1410)</f>
        <v/>
      </c>
      <c r="L1410" s="7">
        <f>IF($A1410="","",N1410-K1410)</f>
        <v/>
      </c>
      <c r="M1410" s="7">
        <f>IF($A1410="","",L1410-F1410)</f>
        <v/>
      </c>
      <c r="N1410" s="7" t="n"/>
      <c r="Q1410" s="11" t="n"/>
      <c r="S1410">
        <f>IF($A1410="","",IF($W1410=1,Settings!$C$6,Settings!$C$7)*1)</f>
        <v/>
      </c>
      <c r="U1410">
        <f>IF($A1410="","",IF(COUNTIF($A$2:$A1410,$A1410)=1,1,0))</f>
        <v/>
      </c>
      <c r="V1410">
        <f>IF($U1410=1,SUMPRODUCT(--($X$2:$X$3001&lt;$X1410))+1,"")</f>
        <v/>
      </c>
      <c r="W1410">
        <f>IF($A1410="","",IF(OR($T1410=TRUE(),$T1410="TRUE"),1,0))</f>
        <v/>
      </c>
      <c r="X1410">
        <f>IF($U1410=1,IFERROR(IF(VALUE($A1410)&lt;100000000,VALUE($A1410),1000000000),IFERROR(IF(VALUE(MID($A1410,2,20))&lt;100000000,VALUE(MID($A1410,2,20)),1000000000),1000000000))+ROW()/100000,"")</f>
        <v/>
      </c>
    </row>
    <row r="1411">
      <c r="F1411" s="7">
        <f>IF($A1411="","",E1411*N1411/100)</f>
        <v/>
      </c>
      <c r="J1411" s="7" t="n"/>
      <c r="K1411" s="7">
        <f>IF($A1411="","",S1411*N1411)</f>
        <v/>
      </c>
      <c r="L1411" s="7">
        <f>IF($A1411="","",N1411-K1411)</f>
        <v/>
      </c>
      <c r="M1411" s="7">
        <f>IF($A1411="","",L1411-F1411)</f>
        <v/>
      </c>
      <c r="N1411" s="7" t="n"/>
      <c r="Q1411" s="11" t="n"/>
      <c r="S1411">
        <f>IF($A1411="","",IF($W1411=1,Settings!$C$6,Settings!$C$7)*1)</f>
        <v/>
      </c>
      <c r="U1411">
        <f>IF($A1411="","",IF(COUNTIF($A$2:$A1411,$A1411)=1,1,0))</f>
        <v/>
      </c>
      <c r="V1411">
        <f>IF($U1411=1,SUMPRODUCT(--($X$2:$X$3001&lt;$X1411))+1,"")</f>
        <v/>
      </c>
      <c r="W1411">
        <f>IF($A1411="","",IF(OR($T1411=TRUE(),$T1411="TRUE"),1,0))</f>
        <v/>
      </c>
      <c r="X1411">
        <f>IF($U1411=1,IFERROR(IF(VALUE($A1411)&lt;100000000,VALUE($A1411),1000000000),IFERROR(IF(VALUE(MID($A1411,2,20))&lt;100000000,VALUE(MID($A1411,2,20)),1000000000),1000000000))+ROW()/100000,"")</f>
        <v/>
      </c>
    </row>
    <row r="1412">
      <c r="F1412" s="7">
        <f>IF($A1412="","",E1412*N1412/100)</f>
        <v/>
      </c>
      <c r="J1412" s="7" t="n"/>
      <c r="K1412" s="7">
        <f>IF($A1412="","",S1412*N1412)</f>
        <v/>
      </c>
      <c r="L1412" s="7">
        <f>IF($A1412="","",N1412-K1412)</f>
        <v/>
      </c>
      <c r="M1412" s="7">
        <f>IF($A1412="","",L1412-F1412)</f>
        <v/>
      </c>
      <c r="N1412" s="7" t="n"/>
      <c r="Q1412" s="11" t="n"/>
      <c r="S1412">
        <f>IF($A1412="","",IF($W1412=1,Settings!$C$6,Settings!$C$7)*1)</f>
        <v/>
      </c>
      <c r="U1412">
        <f>IF($A1412="","",IF(COUNTIF($A$2:$A1412,$A1412)=1,1,0))</f>
        <v/>
      </c>
      <c r="V1412">
        <f>IF($U1412=1,SUMPRODUCT(--($X$2:$X$3001&lt;$X1412))+1,"")</f>
        <v/>
      </c>
      <c r="W1412">
        <f>IF($A1412="","",IF(OR($T1412=TRUE(),$T1412="TRUE"),1,0))</f>
        <v/>
      </c>
      <c r="X1412">
        <f>IF($U1412=1,IFERROR(IF(VALUE($A1412)&lt;100000000,VALUE($A1412),1000000000),IFERROR(IF(VALUE(MID($A1412,2,20))&lt;100000000,VALUE(MID($A1412,2,20)),1000000000),1000000000))+ROW()/100000,"")</f>
        <v/>
      </c>
    </row>
    <row r="1413">
      <c r="F1413" s="7">
        <f>IF($A1413="","",E1413*N1413/100)</f>
        <v/>
      </c>
      <c r="J1413" s="7" t="n"/>
      <c r="K1413" s="7">
        <f>IF($A1413="","",S1413*N1413)</f>
        <v/>
      </c>
      <c r="L1413" s="7">
        <f>IF($A1413="","",N1413-K1413)</f>
        <v/>
      </c>
      <c r="M1413" s="7">
        <f>IF($A1413="","",L1413-F1413)</f>
        <v/>
      </c>
      <c r="N1413" s="7" t="n"/>
      <c r="Q1413" s="11" t="n"/>
      <c r="S1413">
        <f>IF($A1413="","",IF($W1413=1,Settings!$C$6,Settings!$C$7)*1)</f>
        <v/>
      </c>
      <c r="U1413">
        <f>IF($A1413="","",IF(COUNTIF($A$2:$A1413,$A1413)=1,1,0))</f>
        <v/>
      </c>
      <c r="V1413">
        <f>IF($U1413=1,SUMPRODUCT(--($X$2:$X$3001&lt;$X1413))+1,"")</f>
        <v/>
      </c>
      <c r="W1413">
        <f>IF($A1413="","",IF(OR($T1413=TRUE(),$T1413="TRUE"),1,0))</f>
        <v/>
      </c>
      <c r="X1413">
        <f>IF($U1413=1,IFERROR(IF(VALUE($A1413)&lt;100000000,VALUE($A1413),1000000000),IFERROR(IF(VALUE(MID($A1413,2,20))&lt;100000000,VALUE(MID($A1413,2,20)),1000000000),1000000000))+ROW()/100000,"")</f>
        <v/>
      </c>
    </row>
    <row r="1414">
      <c r="F1414" s="7">
        <f>IF($A1414="","",E1414*N1414/100)</f>
        <v/>
      </c>
      <c r="J1414" s="7" t="n"/>
      <c r="K1414" s="7">
        <f>IF($A1414="","",S1414*N1414)</f>
        <v/>
      </c>
      <c r="L1414" s="7">
        <f>IF($A1414="","",N1414-K1414)</f>
        <v/>
      </c>
      <c r="M1414" s="7">
        <f>IF($A1414="","",L1414-F1414)</f>
        <v/>
      </c>
      <c r="N1414" s="7" t="n"/>
      <c r="Q1414" s="11" t="n"/>
      <c r="S1414">
        <f>IF($A1414="","",IF($W1414=1,Settings!$C$6,Settings!$C$7)*1)</f>
        <v/>
      </c>
      <c r="U1414">
        <f>IF($A1414="","",IF(COUNTIF($A$2:$A1414,$A1414)=1,1,0))</f>
        <v/>
      </c>
      <c r="V1414">
        <f>IF($U1414=1,SUMPRODUCT(--($X$2:$X$3001&lt;$X1414))+1,"")</f>
        <v/>
      </c>
      <c r="W1414">
        <f>IF($A1414="","",IF(OR($T1414=TRUE(),$T1414="TRUE"),1,0))</f>
        <v/>
      </c>
      <c r="X1414">
        <f>IF($U1414=1,IFERROR(IF(VALUE($A1414)&lt;100000000,VALUE($A1414),1000000000),IFERROR(IF(VALUE(MID($A1414,2,20))&lt;100000000,VALUE(MID($A1414,2,20)),1000000000),1000000000))+ROW()/100000,"")</f>
        <v/>
      </c>
    </row>
    <row r="1415">
      <c r="F1415" s="7">
        <f>IF($A1415="","",E1415*N1415/100)</f>
        <v/>
      </c>
      <c r="J1415" s="7" t="n"/>
      <c r="K1415" s="7">
        <f>IF($A1415="","",S1415*N1415)</f>
        <v/>
      </c>
      <c r="L1415" s="7">
        <f>IF($A1415="","",N1415-K1415)</f>
        <v/>
      </c>
      <c r="M1415" s="7">
        <f>IF($A1415="","",L1415-F1415)</f>
        <v/>
      </c>
      <c r="N1415" s="7" t="n"/>
      <c r="Q1415" s="11" t="n"/>
      <c r="S1415">
        <f>IF($A1415="","",IF($W1415=1,Settings!$C$6,Settings!$C$7)*1)</f>
        <v/>
      </c>
      <c r="U1415">
        <f>IF($A1415="","",IF(COUNTIF($A$2:$A1415,$A1415)=1,1,0))</f>
        <v/>
      </c>
      <c r="V1415">
        <f>IF($U1415=1,SUMPRODUCT(--($X$2:$X$3001&lt;$X1415))+1,"")</f>
        <v/>
      </c>
      <c r="W1415">
        <f>IF($A1415="","",IF(OR($T1415=TRUE(),$T1415="TRUE"),1,0))</f>
        <v/>
      </c>
      <c r="X1415">
        <f>IF($U1415=1,IFERROR(IF(VALUE($A1415)&lt;100000000,VALUE($A1415),1000000000),IFERROR(IF(VALUE(MID($A1415,2,20))&lt;100000000,VALUE(MID($A1415,2,20)),1000000000),1000000000))+ROW()/100000,"")</f>
        <v/>
      </c>
    </row>
    <row r="1416">
      <c r="F1416" s="7">
        <f>IF($A1416="","",E1416*N1416/100)</f>
        <v/>
      </c>
      <c r="J1416" s="7" t="n"/>
      <c r="K1416" s="7">
        <f>IF($A1416="","",S1416*N1416)</f>
        <v/>
      </c>
      <c r="L1416" s="7">
        <f>IF($A1416="","",N1416-K1416)</f>
        <v/>
      </c>
      <c r="M1416" s="7">
        <f>IF($A1416="","",L1416-F1416)</f>
        <v/>
      </c>
      <c r="N1416" s="7" t="n"/>
      <c r="Q1416" s="11" t="n"/>
      <c r="S1416">
        <f>IF($A1416="","",IF($W1416=1,Settings!$C$6,Settings!$C$7)*1)</f>
        <v/>
      </c>
      <c r="U1416">
        <f>IF($A1416="","",IF(COUNTIF($A$2:$A1416,$A1416)=1,1,0))</f>
        <v/>
      </c>
      <c r="V1416">
        <f>IF($U1416=1,SUMPRODUCT(--($X$2:$X$3001&lt;$X1416))+1,"")</f>
        <v/>
      </c>
      <c r="W1416">
        <f>IF($A1416="","",IF(OR($T1416=TRUE(),$T1416="TRUE"),1,0))</f>
        <v/>
      </c>
      <c r="X1416">
        <f>IF($U1416=1,IFERROR(IF(VALUE($A1416)&lt;100000000,VALUE($A1416),1000000000),IFERROR(IF(VALUE(MID($A1416,2,20))&lt;100000000,VALUE(MID($A1416,2,20)),1000000000),1000000000))+ROW()/100000,"")</f>
        <v/>
      </c>
    </row>
    <row r="1417">
      <c r="F1417" s="7">
        <f>IF($A1417="","",E1417*N1417/100)</f>
        <v/>
      </c>
      <c r="J1417" s="7" t="n"/>
      <c r="K1417" s="7">
        <f>IF($A1417="","",S1417*N1417)</f>
        <v/>
      </c>
      <c r="L1417" s="7">
        <f>IF($A1417="","",N1417-K1417)</f>
        <v/>
      </c>
      <c r="M1417" s="7">
        <f>IF($A1417="","",L1417-F1417)</f>
        <v/>
      </c>
      <c r="N1417" s="7" t="n"/>
      <c r="Q1417" s="11" t="n"/>
      <c r="S1417">
        <f>IF($A1417="","",IF($W1417=1,Settings!$C$6,Settings!$C$7)*1)</f>
        <v/>
      </c>
      <c r="U1417">
        <f>IF($A1417="","",IF(COUNTIF($A$2:$A1417,$A1417)=1,1,0))</f>
        <v/>
      </c>
      <c r="V1417">
        <f>IF($U1417=1,SUMPRODUCT(--($X$2:$X$3001&lt;$X1417))+1,"")</f>
        <v/>
      </c>
      <c r="W1417">
        <f>IF($A1417="","",IF(OR($T1417=TRUE(),$T1417="TRUE"),1,0))</f>
        <v/>
      </c>
      <c r="X1417">
        <f>IF($U1417=1,IFERROR(IF(VALUE($A1417)&lt;100000000,VALUE($A1417),1000000000),IFERROR(IF(VALUE(MID($A1417,2,20))&lt;100000000,VALUE(MID($A1417,2,20)),1000000000),1000000000))+ROW()/100000,"")</f>
        <v/>
      </c>
    </row>
    <row r="1418">
      <c r="F1418" s="7">
        <f>IF($A1418="","",E1418*N1418/100)</f>
        <v/>
      </c>
      <c r="J1418" s="7" t="n"/>
      <c r="K1418" s="7">
        <f>IF($A1418="","",S1418*N1418)</f>
        <v/>
      </c>
      <c r="L1418" s="7">
        <f>IF($A1418="","",N1418-K1418)</f>
        <v/>
      </c>
      <c r="M1418" s="7">
        <f>IF($A1418="","",L1418-F1418)</f>
        <v/>
      </c>
      <c r="N1418" s="7" t="n"/>
      <c r="Q1418" s="11" t="n"/>
      <c r="S1418">
        <f>IF($A1418="","",IF($W1418=1,Settings!$C$6,Settings!$C$7)*1)</f>
        <v/>
      </c>
      <c r="U1418">
        <f>IF($A1418="","",IF(COUNTIF($A$2:$A1418,$A1418)=1,1,0))</f>
        <v/>
      </c>
      <c r="V1418">
        <f>IF($U1418=1,SUMPRODUCT(--($X$2:$X$3001&lt;$X1418))+1,"")</f>
        <v/>
      </c>
      <c r="W1418">
        <f>IF($A1418="","",IF(OR($T1418=TRUE(),$T1418="TRUE"),1,0))</f>
        <v/>
      </c>
      <c r="X1418">
        <f>IF($U1418=1,IFERROR(IF(VALUE($A1418)&lt;100000000,VALUE($A1418),1000000000),IFERROR(IF(VALUE(MID($A1418,2,20))&lt;100000000,VALUE(MID($A1418,2,20)),1000000000),1000000000))+ROW()/100000,"")</f>
        <v/>
      </c>
    </row>
    <row r="1419">
      <c r="F1419" s="7">
        <f>IF($A1419="","",E1419*N1419/100)</f>
        <v/>
      </c>
      <c r="J1419" s="7" t="n"/>
      <c r="K1419" s="7">
        <f>IF($A1419="","",S1419*N1419)</f>
        <v/>
      </c>
      <c r="L1419" s="7">
        <f>IF($A1419="","",N1419-K1419)</f>
        <v/>
      </c>
      <c r="M1419" s="7">
        <f>IF($A1419="","",L1419-F1419)</f>
        <v/>
      </c>
      <c r="N1419" s="7" t="n"/>
      <c r="Q1419" s="11" t="n"/>
      <c r="S1419">
        <f>IF($A1419="","",IF($W1419=1,Settings!$C$6,Settings!$C$7)*1)</f>
        <v/>
      </c>
      <c r="U1419">
        <f>IF($A1419="","",IF(COUNTIF($A$2:$A1419,$A1419)=1,1,0))</f>
        <v/>
      </c>
      <c r="V1419">
        <f>IF($U1419=1,SUMPRODUCT(--($X$2:$X$3001&lt;$X1419))+1,"")</f>
        <v/>
      </c>
      <c r="W1419">
        <f>IF($A1419="","",IF(OR($T1419=TRUE(),$T1419="TRUE"),1,0))</f>
        <v/>
      </c>
      <c r="X1419">
        <f>IF($U1419=1,IFERROR(IF(VALUE($A1419)&lt;100000000,VALUE($A1419),1000000000),IFERROR(IF(VALUE(MID($A1419,2,20))&lt;100000000,VALUE(MID($A1419,2,20)),1000000000),1000000000))+ROW()/100000,"")</f>
        <v/>
      </c>
    </row>
    <row r="1420">
      <c r="F1420" s="7">
        <f>IF($A1420="","",E1420*N1420/100)</f>
        <v/>
      </c>
      <c r="J1420" s="7" t="n"/>
      <c r="K1420" s="7">
        <f>IF($A1420="","",S1420*N1420)</f>
        <v/>
      </c>
      <c r="L1420" s="7">
        <f>IF($A1420="","",N1420-K1420)</f>
        <v/>
      </c>
      <c r="M1420" s="7">
        <f>IF($A1420="","",L1420-F1420)</f>
        <v/>
      </c>
      <c r="N1420" s="7" t="n"/>
      <c r="Q1420" s="11" t="n"/>
      <c r="S1420">
        <f>IF($A1420="","",IF($W1420=1,Settings!$C$6,Settings!$C$7)*1)</f>
        <v/>
      </c>
      <c r="U1420">
        <f>IF($A1420="","",IF(COUNTIF($A$2:$A1420,$A1420)=1,1,0))</f>
        <v/>
      </c>
      <c r="V1420">
        <f>IF($U1420=1,SUMPRODUCT(--($X$2:$X$3001&lt;$X1420))+1,"")</f>
        <v/>
      </c>
      <c r="W1420">
        <f>IF($A1420="","",IF(OR($T1420=TRUE(),$T1420="TRUE"),1,0))</f>
        <v/>
      </c>
      <c r="X1420">
        <f>IF($U1420=1,IFERROR(IF(VALUE($A1420)&lt;100000000,VALUE($A1420),1000000000),IFERROR(IF(VALUE(MID($A1420,2,20))&lt;100000000,VALUE(MID($A1420,2,20)),1000000000),1000000000))+ROW()/100000,"")</f>
        <v/>
      </c>
    </row>
    <row r="1421">
      <c r="F1421" s="7">
        <f>IF($A1421="","",E1421*N1421/100)</f>
        <v/>
      </c>
      <c r="J1421" s="7" t="n"/>
      <c r="K1421" s="7">
        <f>IF($A1421="","",S1421*N1421)</f>
        <v/>
      </c>
      <c r="L1421" s="7">
        <f>IF($A1421="","",N1421-K1421)</f>
        <v/>
      </c>
      <c r="M1421" s="7">
        <f>IF($A1421="","",L1421-F1421)</f>
        <v/>
      </c>
      <c r="N1421" s="7" t="n"/>
      <c r="Q1421" s="11" t="n"/>
      <c r="S1421">
        <f>IF($A1421="","",IF($W1421=1,Settings!$C$6,Settings!$C$7)*1)</f>
        <v/>
      </c>
      <c r="U1421">
        <f>IF($A1421="","",IF(COUNTIF($A$2:$A1421,$A1421)=1,1,0))</f>
        <v/>
      </c>
      <c r="V1421">
        <f>IF($U1421=1,SUMPRODUCT(--($X$2:$X$3001&lt;$X1421))+1,"")</f>
        <v/>
      </c>
      <c r="W1421">
        <f>IF($A1421="","",IF(OR($T1421=TRUE(),$T1421="TRUE"),1,0))</f>
        <v/>
      </c>
      <c r="X1421">
        <f>IF($U1421=1,IFERROR(IF(VALUE($A1421)&lt;100000000,VALUE($A1421),1000000000),IFERROR(IF(VALUE(MID($A1421,2,20))&lt;100000000,VALUE(MID($A1421,2,20)),1000000000),1000000000))+ROW()/100000,"")</f>
        <v/>
      </c>
    </row>
    <row r="1422">
      <c r="F1422" s="7">
        <f>IF($A1422="","",E1422*N1422/100)</f>
        <v/>
      </c>
      <c r="J1422" s="7" t="n"/>
      <c r="K1422" s="7">
        <f>IF($A1422="","",S1422*N1422)</f>
        <v/>
      </c>
      <c r="L1422" s="7">
        <f>IF($A1422="","",N1422-K1422)</f>
        <v/>
      </c>
      <c r="M1422" s="7">
        <f>IF($A1422="","",L1422-F1422)</f>
        <v/>
      </c>
      <c r="N1422" s="7" t="n"/>
      <c r="Q1422" s="11" t="n"/>
      <c r="S1422">
        <f>IF($A1422="","",IF($W1422=1,Settings!$C$6,Settings!$C$7)*1)</f>
        <v/>
      </c>
      <c r="U1422">
        <f>IF($A1422="","",IF(COUNTIF($A$2:$A1422,$A1422)=1,1,0))</f>
        <v/>
      </c>
      <c r="V1422">
        <f>IF($U1422=1,SUMPRODUCT(--($X$2:$X$3001&lt;$X1422))+1,"")</f>
        <v/>
      </c>
      <c r="W1422">
        <f>IF($A1422="","",IF(OR($T1422=TRUE(),$T1422="TRUE"),1,0))</f>
        <v/>
      </c>
      <c r="X1422">
        <f>IF($U1422=1,IFERROR(IF(VALUE($A1422)&lt;100000000,VALUE($A1422),1000000000),IFERROR(IF(VALUE(MID($A1422,2,20))&lt;100000000,VALUE(MID($A1422,2,20)),1000000000),1000000000))+ROW()/100000,"")</f>
        <v/>
      </c>
    </row>
    <row r="1423">
      <c r="F1423" s="7">
        <f>IF($A1423="","",E1423*N1423/100)</f>
        <v/>
      </c>
      <c r="J1423" s="7" t="n"/>
      <c r="K1423" s="7">
        <f>IF($A1423="","",S1423*N1423)</f>
        <v/>
      </c>
      <c r="L1423" s="7">
        <f>IF($A1423="","",N1423-K1423)</f>
        <v/>
      </c>
      <c r="M1423" s="7">
        <f>IF($A1423="","",L1423-F1423)</f>
        <v/>
      </c>
      <c r="N1423" s="7" t="n"/>
      <c r="Q1423" s="11" t="n"/>
      <c r="S1423">
        <f>IF($A1423="","",IF($W1423=1,Settings!$C$6,Settings!$C$7)*1)</f>
        <v/>
      </c>
      <c r="U1423">
        <f>IF($A1423="","",IF(COUNTIF($A$2:$A1423,$A1423)=1,1,0))</f>
        <v/>
      </c>
      <c r="V1423">
        <f>IF($U1423=1,SUMPRODUCT(--($X$2:$X$3001&lt;$X1423))+1,"")</f>
        <v/>
      </c>
      <c r="W1423">
        <f>IF($A1423="","",IF(OR($T1423=TRUE(),$T1423="TRUE"),1,0))</f>
        <v/>
      </c>
      <c r="X1423">
        <f>IF($U1423=1,IFERROR(IF(VALUE($A1423)&lt;100000000,VALUE($A1423),1000000000),IFERROR(IF(VALUE(MID($A1423,2,20))&lt;100000000,VALUE(MID($A1423,2,20)),1000000000),1000000000))+ROW()/100000,"")</f>
        <v/>
      </c>
    </row>
    <row r="1424">
      <c r="F1424" s="7">
        <f>IF($A1424="","",E1424*N1424/100)</f>
        <v/>
      </c>
      <c r="J1424" s="7" t="n"/>
      <c r="K1424" s="7">
        <f>IF($A1424="","",S1424*N1424)</f>
        <v/>
      </c>
      <c r="L1424" s="7">
        <f>IF($A1424="","",N1424-K1424)</f>
        <v/>
      </c>
      <c r="M1424" s="7">
        <f>IF($A1424="","",L1424-F1424)</f>
        <v/>
      </c>
      <c r="N1424" s="7" t="n"/>
      <c r="Q1424" s="11" t="n"/>
      <c r="S1424">
        <f>IF($A1424="","",IF($W1424=1,Settings!$C$6,Settings!$C$7)*1)</f>
        <v/>
      </c>
      <c r="U1424">
        <f>IF($A1424="","",IF(COUNTIF($A$2:$A1424,$A1424)=1,1,0))</f>
        <v/>
      </c>
      <c r="V1424">
        <f>IF($U1424=1,SUMPRODUCT(--($X$2:$X$3001&lt;$X1424))+1,"")</f>
        <v/>
      </c>
      <c r="W1424">
        <f>IF($A1424="","",IF(OR($T1424=TRUE(),$T1424="TRUE"),1,0))</f>
        <v/>
      </c>
      <c r="X1424">
        <f>IF($U1424=1,IFERROR(IF(VALUE($A1424)&lt;100000000,VALUE($A1424),1000000000),IFERROR(IF(VALUE(MID($A1424,2,20))&lt;100000000,VALUE(MID($A1424,2,20)),1000000000),1000000000))+ROW()/100000,"")</f>
        <v/>
      </c>
    </row>
    <row r="1425">
      <c r="F1425" s="7">
        <f>IF($A1425="","",E1425*N1425/100)</f>
        <v/>
      </c>
      <c r="J1425" s="7" t="n"/>
      <c r="K1425" s="7">
        <f>IF($A1425="","",S1425*N1425)</f>
        <v/>
      </c>
      <c r="L1425" s="7">
        <f>IF($A1425="","",N1425-K1425)</f>
        <v/>
      </c>
      <c r="M1425" s="7">
        <f>IF($A1425="","",L1425-F1425)</f>
        <v/>
      </c>
      <c r="N1425" s="7" t="n"/>
      <c r="Q1425" s="11" t="n"/>
      <c r="S1425">
        <f>IF($A1425="","",IF($W1425=1,Settings!$C$6,Settings!$C$7)*1)</f>
        <v/>
      </c>
      <c r="U1425">
        <f>IF($A1425="","",IF(COUNTIF($A$2:$A1425,$A1425)=1,1,0))</f>
        <v/>
      </c>
      <c r="V1425">
        <f>IF($U1425=1,SUMPRODUCT(--($X$2:$X$3001&lt;$X1425))+1,"")</f>
        <v/>
      </c>
      <c r="W1425">
        <f>IF($A1425="","",IF(OR($T1425=TRUE(),$T1425="TRUE"),1,0))</f>
        <v/>
      </c>
      <c r="X1425">
        <f>IF($U1425=1,IFERROR(IF(VALUE($A1425)&lt;100000000,VALUE($A1425),1000000000),IFERROR(IF(VALUE(MID($A1425,2,20))&lt;100000000,VALUE(MID($A1425,2,20)),1000000000),1000000000))+ROW()/100000,"")</f>
        <v/>
      </c>
    </row>
    <row r="1426">
      <c r="F1426" s="7">
        <f>IF($A1426="","",E1426*N1426/100)</f>
        <v/>
      </c>
      <c r="J1426" s="7" t="n"/>
      <c r="K1426" s="7">
        <f>IF($A1426="","",S1426*N1426)</f>
        <v/>
      </c>
      <c r="L1426" s="7">
        <f>IF($A1426="","",N1426-K1426)</f>
        <v/>
      </c>
      <c r="M1426" s="7">
        <f>IF($A1426="","",L1426-F1426)</f>
        <v/>
      </c>
      <c r="N1426" s="7" t="n"/>
      <c r="Q1426" s="11" t="n"/>
      <c r="S1426">
        <f>IF($A1426="","",IF($W1426=1,Settings!$C$6,Settings!$C$7)*1)</f>
        <v/>
      </c>
      <c r="U1426">
        <f>IF($A1426="","",IF(COUNTIF($A$2:$A1426,$A1426)=1,1,0))</f>
        <v/>
      </c>
      <c r="V1426">
        <f>IF($U1426=1,SUMPRODUCT(--($X$2:$X$3001&lt;$X1426))+1,"")</f>
        <v/>
      </c>
      <c r="W1426">
        <f>IF($A1426="","",IF(OR($T1426=TRUE(),$T1426="TRUE"),1,0))</f>
        <v/>
      </c>
      <c r="X1426">
        <f>IF($U1426=1,IFERROR(IF(VALUE($A1426)&lt;100000000,VALUE($A1426),1000000000),IFERROR(IF(VALUE(MID($A1426,2,20))&lt;100000000,VALUE(MID($A1426,2,20)),1000000000),1000000000))+ROW()/100000,"")</f>
        <v/>
      </c>
    </row>
    <row r="1427">
      <c r="F1427" s="7">
        <f>IF($A1427="","",E1427*N1427/100)</f>
        <v/>
      </c>
      <c r="J1427" s="7" t="n"/>
      <c r="K1427" s="7">
        <f>IF($A1427="","",S1427*N1427)</f>
        <v/>
      </c>
      <c r="L1427" s="7">
        <f>IF($A1427="","",N1427-K1427)</f>
        <v/>
      </c>
      <c r="M1427" s="7">
        <f>IF($A1427="","",L1427-F1427)</f>
        <v/>
      </c>
      <c r="N1427" s="7" t="n"/>
      <c r="Q1427" s="11" t="n"/>
      <c r="S1427">
        <f>IF($A1427="","",IF($W1427=1,Settings!$C$6,Settings!$C$7)*1)</f>
        <v/>
      </c>
      <c r="U1427">
        <f>IF($A1427="","",IF(COUNTIF($A$2:$A1427,$A1427)=1,1,0))</f>
        <v/>
      </c>
      <c r="V1427">
        <f>IF($U1427=1,SUMPRODUCT(--($X$2:$X$3001&lt;$X1427))+1,"")</f>
        <v/>
      </c>
      <c r="W1427">
        <f>IF($A1427="","",IF(OR($T1427=TRUE(),$T1427="TRUE"),1,0))</f>
        <v/>
      </c>
      <c r="X1427">
        <f>IF($U1427=1,IFERROR(IF(VALUE($A1427)&lt;100000000,VALUE($A1427),1000000000),IFERROR(IF(VALUE(MID($A1427,2,20))&lt;100000000,VALUE(MID($A1427,2,20)),1000000000),1000000000))+ROW()/100000,"")</f>
        <v/>
      </c>
    </row>
    <row r="1428">
      <c r="F1428" s="7">
        <f>IF($A1428="","",E1428*N1428/100)</f>
        <v/>
      </c>
      <c r="J1428" s="7" t="n"/>
      <c r="K1428" s="7">
        <f>IF($A1428="","",S1428*N1428)</f>
        <v/>
      </c>
      <c r="L1428" s="7">
        <f>IF($A1428="","",N1428-K1428)</f>
        <v/>
      </c>
      <c r="M1428" s="7">
        <f>IF($A1428="","",L1428-F1428)</f>
        <v/>
      </c>
      <c r="N1428" s="7" t="n"/>
      <c r="Q1428" s="11" t="n"/>
      <c r="S1428">
        <f>IF($A1428="","",IF($W1428=1,Settings!$C$6,Settings!$C$7)*1)</f>
        <v/>
      </c>
      <c r="U1428">
        <f>IF($A1428="","",IF(COUNTIF($A$2:$A1428,$A1428)=1,1,0))</f>
        <v/>
      </c>
      <c r="V1428">
        <f>IF($U1428=1,SUMPRODUCT(--($X$2:$X$3001&lt;$X1428))+1,"")</f>
        <v/>
      </c>
      <c r="W1428">
        <f>IF($A1428="","",IF(OR($T1428=TRUE(),$T1428="TRUE"),1,0))</f>
        <v/>
      </c>
      <c r="X1428">
        <f>IF($U1428=1,IFERROR(IF(VALUE($A1428)&lt;100000000,VALUE($A1428),1000000000),IFERROR(IF(VALUE(MID($A1428,2,20))&lt;100000000,VALUE(MID($A1428,2,20)),1000000000),1000000000))+ROW()/100000,"")</f>
        <v/>
      </c>
    </row>
    <row r="1429">
      <c r="F1429" s="7">
        <f>IF($A1429="","",E1429*N1429/100)</f>
        <v/>
      </c>
      <c r="J1429" s="7" t="n"/>
      <c r="K1429" s="7">
        <f>IF($A1429="","",S1429*N1429)</f>
        <v/>
      </c>
      <c r="L1429" s="7">
        <f>IF($A1429="","",N1429-K1429)</f>
        <v/>
      </c>
      <c r="M1429" s="7">
        <f>IF($A1429="","",L1429-F1429)</f>
        <v/>
      </c>
      <c r="N1429" s="7" t="n"/>
      <c r="Q1429" s="11" t="n"/>
      <c r="S1429">
        <f>IF($A1429="","",IF($W1429=1,Settings!$C$6,Settings!$C$7)*1)</f>
        <v/>
      </c>
      <c r="U1429">
        <f>IF($A1429="","",IF(COUNTIF($A$2:$A1429,$A1429)=1,1,0))</f>
        <v/>
      </c>
      <c r="V1429">
        <f>IF($U1429=1,SUMPRODUCT(--($X$2:$X$3001&lt;$X1429))+1,"")</f>
        <v/>
      </c>
      <c r="W1429">
        <f>IF($A1429="","",IF(OR($T1429=TRUE(),$T1429="TRUE"),1,0))</f>
        <v/>
      </c>
      <c r="X1429">
        <f>IF($U1429=1,IFERROR(IF(VALUE($A1429)&lt;100000000,VALUE($A1429),1000000000),IFERROR(IF(VALUE(MID($A1429,2,20))&lt;100000000,VALUE(MID($A1429,2,20)),1000000000),1000000000))+ROW()/100000,"")</f>
        <v/>
      </c>
    </row>
    <row r="1430">
      <c r="F1430" s="7">
        <f>IF($A1430="","",E1430*N1430/100)</f>
        <v/>
      </c>
      <c r="J1430" s="7" t="n"/>
      <c r="K1430" s="7">
        <f>IF($A1430="","",S1430*N1430)</f>
        <v/>
      </c>
      <c r="L1430" s="7">
        <f>IF($A1430="","",N1430-K1430)</f>
        <v/>
      </c>
      <c r="M1430" s="7">
        <f>IF($A1430="","",L1430-F1430)</f>
        <v/>
      </c>
      <c r="N1430" s="7" t="n"/>
      <c r="Q1430" s="11" t="n"/>
      <c r="S1430">
        <f>IF($A1430="","",IF($W1430=1,Settings!$C$6,Settings!$C$7)*1)</f>
        <v/>
      </c>
      <c r="U1430">
        <f>IF($A1430="","",IF(COUNTIF($A$2:$A1430,$A1430)=1,1,0))</f>
        <v/>
      </c>
      <c r="V1430">
        <f>IF($U1430=1,SUMPRODUCT(--($X$2:$X$3001&lt;$X1430))+1,"")</f>
        <v/>
      </c>
      <c r="W1430">
        <f>IF($A1430="","",IF(OR($T1430=TRUE(),$T1430="TRUE"),1,0))</f>
        <v/>
      </c>
      <c r="X1430">
        <f>IF($U1430=1,IFERROR(IF(VALUE($A1430)&lt;100000000,VALUE($A1430),1000000000),IFERROR(IF(VALUE(MID($A1430,2,20))&lt;100000000,VALUE(MID($A1430,2,20)),1000000000),1000000000))+ROW()/100000,"")</f>
        <v/>
      </c>
    </row>
    <row r="1431">
      <c r="F1431" s="7">
        <f>IF($A1431="","",E1431*N1431/100)</f>
        <v/>
      </c>
      <c r="J1431" s="7" t="n"/>
      <c r="K1431" s="7">
        <f>IF($A1431="","",S1431*N1431)</f>
        <v/>
      </c>
      <c r="L1431" s="7">
        <f>IF($A1431="","",N1431-K1431)</f>
        <v/>
      </c>
      <c r="M1431" s="7">
        <f>IF($A1431="","",L1431-F1431)</f>
        <v/>
      </c>
      <c r="N1431" s="7" t="n"/>
      <c r="Q1431" s="11" t="n"/>
      <c r="S1431">
        <f>IF($A1431="","",IF($W1431=1,Settings!$C$6,Settings!$C$7)*1)</f>
        <v/>
      </c>
      <c r="U1431">
        <f>IF($A1431="","",IF(COUNTIF($A$2:$A1431,$A1431)=1,1,0))</f>
        <v/>
      </c>
      <c r="V1431">
        <f>IF($U1431=1,SUMPRODUCT(--($X$2:$X$3001&lt;$X1431))+1,"")</f>
        <v/>
      </c>
      <c r="W1431">
        <f>IF($A1431="","",IF(OR($T1431=TRUE(),$T1431="TRUE"),1,0))</f>
        <v/>
      </c>
      <c r="X1431">
        <f>IF($U1431=1,IFERROR(IF(VALUE($A1431)&lt;100000000,VALUE($A1431),1000000000),IFERROR(IF(VALUE(MID($A1431,2,20))&lt;100000000,VALUE(MID($A1431,2,20)),1000000000),1000000000))+ROW()/100000,"")</f>
        <v/>
      </c>
    </row>
    <row r="1432">
      <c r="F1432" s="7">
        <f>IF($A1432="","",E1432*N1432/100)</f>
        <v/>
      </c>
      <c r="J1432" s="7" t="n"/>
      <c r="K1432" s="7">
        <f>IF($A1432="","",S1432*N1432)</f>
        <v/>
      </c>
      <c r="L1432" s="7">
        <f>IF($A1432="","",N1432-K1432)</f>
        <v/>
      </c>
      <c r="M1432" s="7">
        <f>IF($A1432="","",L1432-F1432)</f>
        <v/>
      </c>
      <c r="N1432" s="7" t="n"/>
      <c r="Q1432" s="11" t="n"/>
      <c r="S1432">
        <f>IF($A1432="","",IF($W1432=1,Settings!$C$6,Settings!$C$7)*1)</f>
        <v/>
      </c>
      <c r="U1432">
        <f>IF($A1432="","",IF(COUNTIF($A$2:$A1432,$A1432)=1,1,0))</f>
        <v/>
      </c>
      <c r="V1432">
        <f>IF($U1432=1,SUMPRODUCT(--($X$2:$X$3001&lt;$X1432))+1,"")</f>
        <v/>
      </c>
      <c r="W1432">
        <f>IF($A1432="","",IF(OR($T1432=TRUE(),$T1432="TRUE"),1,0))</f>
        <v/>
      </c>
      <c r="X1432">
        <f>IF($U1432=1,IFERROR(IF(VALUE($A1432)&lt;100000000,VALUE($A1432),1000000000),IFERROR(IF(VALUE(MID($A1432,2,20))&lt;100000000,VALUE(MID($A1432,2,20)),1000000000),1000000000))+ROW()/100000,"")</f>
        <v/>
      </c>
    </row>
    <row r="1433">
      <c r="F1433" s="7">
        <f>IF($A1433="","",E1433*N1433/100)</f>
        <v/>
      </c>
      <c r="J1433" s="7" t="n"/>
      <c r="K1433" s="7">
        <f>IF($A1433="","",S1433*N1433)</f>
        <v/>
      </c>
      <c r="L1433" s="7">
        <f>IF($A1433="","",N1433-K1433)</f>
        <v/>
      </c>
      <c r="M1433" s="7">
        <f>IF($A1433="","",L1433-F1433)</f>
        <v/>
      </c>
      <c r="N1433" s="7" t="n"/>
      <c r="Q1433" s="11" t="n"/>
      <c r="S1433">
        <f>IF($A1433="","",IF($W1433=1,Settings!$C$6,Settings!$C$7)*1)</f>
        <v/>
      </c>
      <c r="U1433">
        <f>IF($A1433="","",IF(COUNTIF($A$2:$A1433,$A1433)=1,1,0))</f>
        <v/>
      </c>
      <c r="V1433">
        <f>IF($U1433=1,SUMPRODUCT(--($X$2:$X$3001&lt;$X1433))+1,"")</f>
        <v/>
      </c>
      <c r="W1433">
        <f>IF($A1433="","",IF(OR($T1433=TRUE(),$T1433="TRUE"),1,0))</f>
        <v/>
      </c>
      <c r="X1433">
        <f>IF($U1433=1,IFERROR(IF(VALUE($A1433)&lt;100000000,VALUE($A1433),1000000000),IFERROR(IF(VALUE(MID($A1433,2,20))&lt;100000000,VALUE(MID($A1433,2,20)),1000000000),1000000000))+ROW()/100000,"")</f>
        <v/>
      </c>
    </row>
    <row r="1434">
      <c r="F1434" s="7">
        <f>IF($A1434="","",E1434*N1434/100)</f>
        <v/>
      </c>
      <c r="J1434" s="7" t="n"/>
      <c r="K1434" s="7">
        <f>IF($A1434="","",S1434*N1434)</f>
        <v/>
      </c>
      <c r="L1434" s="7">
        <f>IF($A1434="","",N1434-K1434)</f>
        <v/>
      </c>
      <c r="M1434" s="7">
        <f>IF($A1434="","",L1434-F1434)</f>
        <v/>
      </c>
      <c r="N1434" s="7" t="n"/>
      <c r="Q1434" s="11" t="n"/>
      <c r="S1434">
        <f>IF($A1434="","",IF($W1434=1,Settings!$C$6,Settings!$C$7)*1)</f>
        <v/>
      </c>
      <c r="U1434">
        <f>IF($A1434="","",IF(COUNTIF($A$2:$A1434,$A1434)=1,1,0))</f>
        <v/>
      </c>
      <c r="V1434">
        <f>IF($U1434=1,SUMPRODUCT(--($X$2:$X$3001&lt;$X1434))+1,"")</f>
        <v/>
      </c>
      <c r="W1434">
        <f>IF($A1434="","",IF(OR($T1434=TRUE(),$T1434="TRUE"),1,0))</f>
        <v/>
      </c>
      <c r="X1434">
        <f>IF($U1434=1,IFERROR(IF(VALUE($A1434)&lt;100000000,VALUE($A1434),1000000000),IFERROR(IF(VALUE(MID($A1434,2,20))&lt;100000000,VALUE(MID($A1434,2,20)),1000000000),1000000000))+ROW()/100000,"")</f>
        <v/>
      </c>
    </row>
    <row r="1435">
      <c r="F1435" s="7">
        <f>IF($A1435="","",E1435*N1435/100)</f>
        <v/>
      </c>
      <c r="J1435" s="7" t="n"/>
      <c r="K1435" s="7">
        <f>IF($A1435="","",S1435*N1435)</f>
        <v/>
      </c>
      <c r="L1435" s="7">
        <f>IF($A1435="","",N1435-K1435)</f>
        <v/>
      </c>
      <c r="M1435" s="7">
        <f>IF($A1435="","",L1435-F1435)</f>
        <v/>
      </c>
      <c r="N1435" s="7" t="n"/>
      <c r="Q1435" s="11" t="n"/>
      <c r="S1435">
        <f>IF($A1435="","",IF($W1435=1,Settings!$C$6,Settings!$C$7)*1)</f>
        <v/>
      </c>
      <c r="U1435">
        <f>IF($A1435="","",IF(COUNTIF($A$2:$A1435,$A1435)=1,1,0))</f>
        <v/>
      </c>
      <c r="V1435">
        <f>IF($U1435=1,SUMPRODUCT(--($X$2:$X$3001&lt;$X1435))+1,"")</f>
        <v/>
      </c>
      <c r="W1435">
        <f>IF($A1435="","",IF(OR($T1435=TRUE(),$T1435="TRUE"),1,0))</f>
        <v/>
      </c>
      <c r="X1435">
        <f>IF($U1435=1,IFERROR(IF(VALUE($A1435)&lt;100000000,VALUE($A1435),1000000000),IFERROR(IF(VALUE(MID($A1435,2,20))&lt;100000000,VALUE(MID($A1435,2,20)),1000000000),1000000000))+ROW()/100000,"")</f>
        <v/>
      </c>
    </row>
    <row r="1436">
      <c r="F1436" s="7">
        <f>IF($A1436="","",E1436*N1436/100)</f>
        <v/>
      </c>
      <c r="J1436" s="7" t="n"/>
      <c r="K1436" s="7">
        <f>IF($A1436="","",S1436*N1436)</f>
        <v/>
      </c>
      <c r="L1436" s="7">
        <f>IF($A1436="","",N1436-K1436)</f>
        <v/>
      </c>
      <c r="M1436" s="7">
        <f>IF($A1436="","",L1436-F1436)</f>
        <v/>
      </c>
      <c r="N1436" s="7" t="n"/>
      <c r="Q1436" s="11" t="n"/>
      <c r="S1436">
        <f>IF($A1436="","",IF($W1436=1,Settings!$C$6,Settings!$C$7)*1)</f>
        <v/>
      </c>
      <c r="U1436">
        <f>IF($A1436="","",IF(COUNTIF($A$2:$A1436,$A1436)=1,1,0))</f>
        <v/>
      </c>
      <c r="V1436">
        <f>IF($U1436=1,SUMPRODUCT(--($X$2:$X$3001&lt;$X1436))+1,"")</f>
        <v/>
      </c>
      <c r="W1436">
        <f>IF($A1436="","",IF(OR($T1436=TRUE(),$T1436="TRUE"),1,0))</f>
        <v/>
      </c>
      <c r="X1436">
        <f>IF($U1436=1,IFERROR(IF(VALUE($A1436)&lt;100000000,VALUE($A1436),1000000000),IFERROR(IF(VALUE(MID($A1436,2,20))&lt;100000000,VALUE(MID($A1436,2,20)),1000000000),1000000000))+ROW()/100000,"")</f>
        <v/>
      </c>
    </row>
    <row r="1437">
      <c r="F1437" s="7">
        <f>IF($A1437="","",E1437*N1437/100)</f>
        <v/>
      </c>
      <c r="J1437" s="7" t="n"/>
      <c r="K1437" s="7">
        <f>IF($A1437="","",S1437*N1437)</f>
        <v/>
      </c>
      <c r="L1437" s="7">
        <f>IF($A1437="","",N1437-K1437)</f>
        <v/>
      </c>
      <c r="M1437" s="7">
        <f>IF($A1437="","",L1437-F1437)</f>
        <v/>
      </c>
      <c r="N1437" s="7" t="n"/>
      <c r="Q1437" s="11" t="n"/>
      <c r="S1437">
        <f>IF($A1437="","",IF($W1437=1,Settings!$C$6,Settings!$C$7)*1)</f>
        <v/>
      </c>
      <c r="U1437">
        <f>IF($A1437="","",IF(COUNTIF($A$2:$A1437,$A1437)=1,1,0))</f>
        <v/>
      </c>
      <c r="V1437">
        <f>IF($U1437=1,SUMPRODUCT(--($X$2:$X$3001&lt;$X1437))+1,"")</f>
        <v/>
      </c>
      <c r="W1437">
        <f>IF($A1437="","",IF(OR($T1437=TRUE(),$T1437="TRUE"),1,0))</f>
        <v/>
      </c>
      <c r="X1437">
        <f>IF($U1437=1,IFERROR(IF(VALUE($A1437)&lt;100000000,VALUE($A1437),1000000000),IFERROR(IF(VALUE(MID($A1437,2,20))&lt;100000000,VALUE(MID($A1437,2,20)),1000000000),1000000000))+ROW()/100000,"")</f>
        <v/>
      </c>
    </row>
    <row r="1438">
      <c r="F1438" s="7">
        <f>IF($A1438="","",E1438*N1438/100)</f>
        <v/>
      </c>
      <c r="J1438" s="7" t="n"/>
      <c r="K1438" s="7">
        <f>IF($A1438="","",S1438*N1438)</f>
        <v/>
      </c>
      <c r="L1438" s="7">
        <f>IF($A1438="","",N1438-K1438)</f>
        <v/>
      </c>
      <c r="M1438" s="7">
        <f>IF($A1438="","",L1438-F1438)</f>
        <v/>
      </c>
      <c r="N1438" s="7" t="n"/>
      <c r="Q1438" s="11" t="n"/>
      <c r="S1438">
        <f>IF($A1438="","",IF($W1438=1,Settings!$C$6,Settings!$C$7)*1)</f>
        <v/>
      </c>
      <c r="U1438">
        <f>IF($A1438="","",IF(COUNTIF($A$2:$A1438,$A1438)=1,1,0))</f>
        <v/>
      </c>
      <c r="V1438">
        <f>IF($U1438=1,SUMPRODUCT(--($X$2:$X$3001&lt;$X1438))+1,"")</f>
        <v/>
      </c>
      <c r="W1438">
        <f>IF($A1438="","",IF(OR($T1438=TRUE(),$T1438="TRUE"),1,0))</f>
        <v/>
      </c>
      <c r="X1438">
        <f>IF($U1438=1,IFERROR(IF(VALUE($A1438)&lt;100000000,VALUE($A1438),1000000000),IFERROR(IF(VALUE(MID($A1438,2,20))&lt;100000000,VALUE(MID($A1438,2,20)),1000000000),1000000000))+ROW()/100000,"")</f>
        <v/>
      </c>
    </row>
    <row r="1439">
      <c r="F1439" s="7">
        <f>IF($A1439="","",E1439*N1439/100)</f>
        <v/>
      </c>
      <c r="J1439" s="7" t="n"/>
      <c r="K1439" s="7">
        <f>IF($A1439="","",S1439*N1439)</f>
        <v/>
      </c>
      <c r="L1439" s="7">
        <f>IF($A1439="","",N1439-K1439)</f>
        <v/>
      </c>
      <c r="M1439" s="7">
        <f>IF($A1439="","",L1439-F1439)</f>
        <v/>
      </c>
      <c r="N1439" s="7" t="n"/>
      <c r="Q1439" s="11" t="n"/>
      <c r="S1439">
        <f>IF($A1439="","",IF($W1439=1,Settings!$C$6,Settings!$C$7)*1)</f>
        <v/>
      </c>
      <c r="U1439">
        <f>IF($A1439="","",IF(COUNTIF($A$2:$A1439,$A1439)=1,1,0))</f>
        <v/>
      </c>
      <c r="V1439">
        <f>IF($U1439=1,SUMPRODUCT(--($X$2:$X$3001&lt;$X1439))+1,"")</f>
        <v/>
      </c>
      <c r="W1439">
        <f>IF($A1439="","",IF(OR($T1439=TRUE(),$T1439="TRUE"),1,0))</f>
        <v/>
      </c>
      <c r="X1439">
        <f>IF($U1439=1,IFERROR(IF(VALUE($A1439)&lt;100000000,VALUE($A1439),1000000000),IFERROR(IF(VALUE(MID($A1439,2,20))&lt;100000000,VALUE(MID($A1439,2,20)),1000000000),1000000000))+ROW()/100000,"")</f>
        <v/>
      </c>
    </row>
    <row r="1440">
      <c r="F1440" s="7">
        <f>IF($A1440="","",E1440*N1440/100)</f>
        <v/>
      </c>
      <c r="J1440" s="7" t="n"/>
      <c r="K1440" s="7">
        <f>IF($A1440="","",S1440*N1440)</f>
        <v/>
      </c>
      <c r="L1440" s="7">
        <f>IF($A1440="","",N1440-K1440)</f>
        <v/>
      </c>
      <c r="M1440" s="7">
        <f>IF($A1440="","",L1440-F1440)</f>
        <v/>
      </c>
      <c r="N1440" s="7" t="n"/>
      <c r="Q1440" s="11" t="n"/>
      <c r="S1440">
        <f>IF($A1440="","",IF($W1440=1,Settings!$C$6,Settings!$C$7)*1)</f>
        <v/>
      </c>
      <c r="U1440">
        <f>IF($A1440="","",IF(COUNTIF($A$2:$A1440,$A1440)=1,1,0))</f>
        <v/>
      </c>
      <c r="V1440">
        <f>IF($U1440=1,SUMPRODUCT(--($X$2:$X$3001&lt;$X1440))+1,"")</f>
        <v/>
      </c>
      <c r="W1440">
        <f>IF($A1440="","",IF(OR($T1440=TRUE(),$T1440="TRUE"),1,0))</f>
        <v/>
      </c>
      <c r="X1440">
        <f>IF($U1440=1,IFERROR(IF(VALUE($A1440)&lt;100000000,VALUE($A1440),1000000000),IFERROR(IF(VALUE(MID($A1440,2,20))&lt;100000000,VALUE(MID($A1440,2,20)),1000000000),1000000000))+ROW()/100000,"")</f>
        <v/>
      </c>
    </row>
    <row r="1441">
      <c r="F1441" s="7">
        <f>IF($A1441="","",E1441*N1441/100)</f>
        <v/>
      </c>
      <c r="J1441" s="7" t="n"/>
      <c r="K1441" s="7">
        <f>IF($A1441="","",S1441*N1441)</f>
        <v/>
      </c>
      <c r="L1441" s="7">
        <f>IF($A1441="","",N1441-K1441)</f>
        <v/>
      </c>
      <c r="M1441" s="7">
        <f>IF($A1441="","",L1441-F1441)</f>
        <v/>
      </c>
      <c r="N1441" s="7" t="n"/>
      <c r="Q1441" s="11" t="n"/>
      <c r="S1441">
        <f>IF($A1441="","",IF($W1441=1,Settings!$C$6,Settings!$C$7)*1)</f>
        <v/>
      </c>
      <c r="U1441">
        <f>IF($A1441="","",IF(COUNTIF($A$2:$A1441,$A1441)=1,1,0))</f>
        <v/>
      </c>
      <c r="V1441">
        <f>IF($U1441=1,SUMPRODUCT(--($X$2:$X$3001&lt;$X1441))+1,"")</f>
        <v/>
      </c>
      <c r="W1441">
        <f>IF($A1441="","",IF(OR($T1441=TRUE(),$T1441="TRUE"),1,0))</f>
        <v/>
      </c>
      <c r="X1441">
        <f>IF($U1441=1,IFERROR(IF(VALUE($A1441)&lt;100000000,VALUE($A1441),1000000000),IFERROR(IF(VALUE(MID($A1441,2,20))&lt;100000000,VALUE(MID($A1441,2,20)),1000000000),1000000000))+ROW()/100000,"")</f>
        <v/>
      </c>
    </row>
    <row r="1442">
      <c r="F1442" s="7">
        <f>IF($A1442="","",E1442*N1442/100)</f>
        <v/>
      </c>
      <c r="J1442" s="7" t="n"/>
      <c r="K1442" s="7">
        <f>IF($A1442="","",S1442*N1442)</f>
        <v/>
      </c>
      <c r="L1442" s="7">
        <f>IF($A1442="","",N1442-K1442)</f>
        <v/>
      </c>
      <c r="M1442" s="7">
        <f>IF($A1442="","",L1442-F1442)</f>
        <v/>
      </c>
      <c r="N1442" s="7" t="n"/>
      <c r="Q1442" s="11" t="n"/>
      <c r="S1442">
        <f>IF($A1442="","",IF($W1442=1,Settings!$C$6,Settings!$C$7)*1)</f>
        <v/>
      </c>
      <c r="U1442">
        <f>IF($A1442="","",IF(COUNTIF($A$2:$A1442,$A1442)=1,1,0))</f>
        <v/>
      </c>
      <c r="V1442">
        <f>IF($U1442=1,SUMPRODUCT(--($X$2:$X$3001&lt;$X1442))+1,"")</f>
        <v/>
      </c>
      <c r="W1442">
        <f>IF($A1442="","",IF(OR($T1442=TRUE(),$T1442="TRUE"),1,0))</f>
        <v/>
      </c>
      <c r="X1442">
        <f>IF($U1442=1,IFERROR(IF(VALUE($A1442)&lt;100000000,VALUE($A1442),1000000000),IFERROR(IF(VALUE(MID($A1442,2,20))&lt;100000000,VALUE(MID($A1442,2,20)),1000000000),1000000000))+ROW()/100000,"")</f>
        <v/>
      </c>
    </row>
    <row r="1443">
      <c r="F1443" s="7">
        <f>IF($A1443="","",E1443*N1443/100)</f>
        <v/>
      </c>
      <c r="J1443" s="7" t="n"/>
      <c r="K1443" s="7">
        <f>IF($A1443="","",S1443*N1443)</f>
        <v/>
      </c>
      <c r="L1443" s="7">
        <f>IF($A1443="","",N1443-K1443)</f>
        <v/>
      </c>
      <c r="M1443" s="7">
        <f>IF($A1443="","",L1443-F1443)</f>
        <v/>
      </c>
      <c r="N1443" s="7" t="n"/>
      <c r="Q1443" s="11" t="n"/>
      <c r="S1443">
        <f>IF($A1443="","",IF($W1443=1,Settings!$C$6,Settings!$C$7)*1)</f>
        <v/>
      </c>
      <c r="U1443">
        <f>IF($A1443="","",IF(COUNTIF($A$2:$A1443,$A1443)=1,1,0))</f>
        <v/>
      </c>
      <c r="V1443">
        <f>IF($U1443=1,SUMPRODUCT(--($X$2:$X$3001&lt;$X1443))+1,"")</f>
        <v/>
      </c>
      <c r="W1443">
        <f>IF($A1443="","",IF(OR($T1443=TRUE(),$T1443="TRUE"),1,0))</f>
        <v/>
      </c>
      <c r="X1443">
        <f>IF($U1443=1,IFERROR(IF(VALUE($A1443)&lt;100000000,VALUE($A1443),1000000000),IFERROR(IF(VALUE(MID($A1443,2,20))&lt;100000000,VALUE(MID($A1443,2,20)),1000000000),1000000000))+ROW()/100000,"")</f>
        <v/>
      </c>
    </row>
    <row r="1444">
      <c r="F1444" s="7">
        <f>IF($A1444="","",E1444*N1444/100)</f>
        <v/>
      </c>
      <c r="J1444" s="7" t="n"/>
      <c r="K1444" s="7">
        <f>IF($A1444="","",S1444*N1444)</f>
        <v/>
      </c>
      <c r="L1444" s="7">
        <f>IF($A1444="","",N1444-K1444)</f>
        <v/>
      </c>
      <c r="M1444" s="7">
        <f>IF($A1444="","",L1444-F1444)</f>
        <v/>
      </c>
      <c r="N1444" s="7" t="n"/>
      <c r="Q1444" s="11" t="n"/>
      <c r="S1444">
        <f>IF($A1444="","",IF($W1444=1,Settings!$C$6,Settings!$C$7)*1)</f>
        <v/>
      </c>
      <c r="U1444">
        <f>IF($A1444="","",IF(COUNTIF($A$2:$A1444,$A1444)=1,1,0))</f>
        <v/>
      </c>
      <c r="V1444">
        <f>IF($U1444=1,SUMPRODUCT(--($X$2:$X$3001&lt;$X1444))+1,"")</f>
        <v/>
      </c>
      <c r="W1444">
        <f>IF($A1444="","",IF(OR($T1444=TRUE(),$T1444="TRUE"),1,0))</f>
        <v/>
      </c>
      <c r="X1444">
        <f>IF($U1444=1,IFERROR(IF(VALUE($A1444)&lt;100000000,VALUE($A1444),1000000000),IFERROR(IF(VALUE(MID($A1444,2,20))&lt;100000000,VALUE(MID($A1444,2,20)),1000000000),1000000000))+ROW()/100000,"")</f>
        <v/>
      </c>
    </row>
    <row r="1445">
      <c r="F1445" s="7">
        <f>IF($A1445="","",E1445*N1445/100)</f>
        <v/>
      </c>
      <c r="J1445" s="7" t="n"/>
      <c r="K1445" s="7">
        <f>IF($A1445="","",S1445*N1445)</f>
        <v/>
      </c>
      <c r="L1445" s="7">
        <f>IF($A1445="","",N1445-K1445)</f>
        <v/>
      </c>
      <c r="M1445" s="7">
        <f>IF($A1445="","",L1445-F1445)</f>
        <v/>
      </c>
      <c r="N1445" s="7" t="n"/>
      <c r="Q1445" s="11" t="n"/>
      <c r="S1445">
        <f>IF($A1445="","",IF($W1445=1,Settings!$C$6,Settings!$C$7)*1)</f>
        <v/>
      </c>
      <c r="U1445">
        <f>IF($A1445="","",IF(COUNTIF($A$2:$A1445,$A1445)=1,1,0))</f>
        <v/>
      </c>
      <c r="V1445">
        <f>IF($U1445=1,SUMPRODUCT(--($X$2:$X$3001&lt;$X1445))+1,"")</f>
        <v/>
      </c>
      <c r="W1445">
        <f>IF($A1445="","",IF(OR($T1445=TRUE(),$T1445="TRUE"),1,0))</f>
        <v/>
      </c>
      <c r="X1445">
        <f>IF($U1445=1,IFERROR(IF(VALUE($A1445)&lt;100000000,VALUE($A1445),1000000000),IFERROR(IF(VALUE(MID($A1445,2,20))&lt;100000000,VALUE(MID($A1445,2,20)),1000000000),1000000000))+ROW()/100000,"")</f>
        <v/>
      </c>
    </row>
    <row r="1446">
      <c r="F1446" s="7">
        <f>IF($A1446="","",E1446*N1446/100)</f>
        <v/>
      </c>
      <c r="J1446" s="7" t="n"/>
      <c r="K1446" s="7">
        <f>IF($A1446="","",S1446*N1446)</f>
        <v/>
      </c>
      <c r="L1446" s="7">
        <f>IF($A1446="","",N1446-K1446)</f>
        <v/>
      </c>
      <c r="M1446" s="7">
        <f>IF($A1446="","",L1446-F1446)</f>
        <v/>
      </c>
      <c r="N1446" s="7" t="n"/>
      <c r="Q1446" s="11" t="n"/>
      <c r="S1446">
        <f>IF($A1446="","",IF($W1446=1,Settings!$C$6,Settings!$C$7)*1)</f>
        <v/>
      </c>
      <c r="U1446">
        <f>IF($A1446="","",IF(COUNTIF($A$2:$A1446,$A1446)=1,1,0))</f>
        <v/>
      </c>
      <c r="V1446">
        <f>IF($U1446=1,SUMPRODUCT(--($X$2:$X$3001&lt;$X1446))+1,"")</f>
        <v/>
      </c>
      <c r="W1446">
        <f>IF($A1446="","",IF(OR($T1446=TRUE(),$T1446="TRUE"),1,0))</f>
        <v/>
      </c>
      <c r="X1446">
        <f>IF($U1446=1,IFERROR(IF(VALUE($A1446)&lt;100000000,VALUE($A1446),1000000000),IFERROR(IF(VALUE(MID($A1446,2,20))&lt;100000000,VALUE(MID($A1446,2,20)),1000000000),1000000000))+ROW()/100000,"")</f>
        <v/>
      </c>
    </row>
    <row r="1447">
      <c r="F1447" s="7">
        <f>IF($A1447="","",E1447*N1447/100)</f>
        <v/>
      </c>
      <c r="J1447" s="7" t="n"/>
      <c r="K1447" s="7">
        <f>IF($A1447="","",S1447*N1447)</f>
        <v/>
      </c>
      <c r="L1447" s="7">
        <f>IF($A1447="","",N1447-K1447)</f>
        <v/>
      </c>
      <c r="M1447" s="7">
        <f>IF($A1447="","",L1447-F1447)</f>
        <v/>
      </c>
      <c r="N1447" s="7" t="n"/>
      <c r="Q1447" s="11" t="n"/>
      <c r="S1447">
        <f>IF($A1447="","",IF($W1447=1,Settings!$C$6,Settings!$C$7)*1)</f>
        <v/>
      </c>
      <c r="U1447">
        <f>IF($A1447="","",IF(COUNTIF($A$2:$A1447,$A1447)=1,1,0))</f>
        <v/>
      </c>
      <c r="V1447">
        <f>IF($U1447=1,SUMPRODUCT(--($X$2:$X$3001&lt;$X1447))+1,"")</f>
        <v/>
      </c>
      <c r="W1447">
        <f>IF($A1447="","",IF(OR($T1447=TRUE(),$T1447="TRUE"),1,0))</f>
        <v/>
      </c>
      <c r="X1447">
        <f>IF($U1447=1,IFERROR(IF(VALUE($A1447)&lt;100000000,VALUE($A1447),1000000000),IFERROR(IF(VALUE(MID($A1447,2,20))&lt;100000000,VALUE(MID($A1447,2,20)),1000000000),1000000000))+ROW()/100000,"")</f>
        <v/>
      </c>
    </row>
    <row r="1448">
      <c r="F1448" s="7">
        <f>IF($A1448="","",E1448*N1448/100)</f>
        <v/>
      </c>
      <c r="J1448" s="7" t="n"/>
      <c r="K1448" s="7">
        <f>IF($A1448="","",S1448*N1448)</f>
        <v/>
      </c>
      <c r="L1448" s="7">
        <f>IF($A1448="","",N1448-K1448)</f>
        <v/>
      </c>
      <c r="M1448" s="7">
        <f>IF($A1448="","",L1448-F1448)</f>
        <v/>
      </c>
      <c r="N1448" s="7" t="n"/>
      <c r="Q1448" s="11" t="n"/>
      <c r="S1448">
        <f>IF($A1448="","",IF($W1448=1,Settings!$C$6,Settings!$C$7)*1)</f>
        <v/>
      </c>
      <c r="U1448">
        <f>IF($A1448="","",IF(COUNTIF($A$2:$A1448,$A1448)=1,1,0))</f>
        <v/>
      </c>
      <c r="V1448">
        <f>IF($U1448=1,SUMPRODUCT(--($X$2:$X$3001&lt;$X1448))+1,"")</f>
        <v/>
      </c>
      <c r="W1448">
        <f>IF($A1448="","",IF(OR($T1448=TRUE(),$T1448="TRUE"),1,0))</f>
        <v/>
      </c>
      <c r="X1448">
        <f>IF($U1448=1,IFERROR(IF(VALUE($A1448)&lt;100000000,VALUE($A1448),1000000000),IFERROR(IF(VALUE(MID($A1448,2,20))&lt;100000000,VALUE(MID($A1448,2,20)),1000000000),1000000000))+ROW()/100000,"")</f>
        <v/>
      </c>
    </row>
    <row r="1449">
      <c r="F1449" s="7">
        <f>IF($A1449="","",E1449*N1449/100)</f>
        <v/>
      </c>
      <c r="J1449" s="7" t="n"/>
      <c r="K1449" s="7">
        <f>IF($A1449="","",S1449*N1449)</f>
        <v/>
      </c>
      <c r="L1449" s="7">
        <f>IF($A1449="","",N1449-K1449)</f>
        <v/>
      </c>
      <c r="M1449" s="7">
        <f>IF($A1449="","",L1449-F1449)</f>
        <v/>
      </c>
      <c r="N1449" s="7" t="n"/>
      <c r="Q1449" s="11" t="n"/>
      <c r="S1449">
        <f>IF($A1449="","",IF($W1449=1,Settings!$C$6,Settings!$C$7)*1)</f>
        <v/>
      </c>
      <c r="U1449">
        <f>IF($A1449="","",IF(COUNTIF($A$2:$A1449,$A1449)=1,1,0))</f>
        <v/>
      </c>
      <c r="V1449">
        <f>IF($U1449=1,SUMPRODUCT(--($X$2:$X$3001&lt;$X1449))+1,"")</f>
        <v/>
      </c>
      <c r="W1449">
        <f>IF($A1449="","",IF(OR($T1449=TRUE(),$T1449="TRUE"),1,0))</f>
        <v/>
      </c>
      <c r="X1449">
        <f>IF($U1449=1,IFERROR(IF(VALUE($A1449)&lt;100000000,VALUE($A1449),1000000000),IFERROR(IF(VALUE(MID($A1449,2,20))&lt;100000000,VALUE(MID($A1449,2,20)),1000000000),1000000000))+ROW()/100000,"")</f>
        <v/>
      </c>
    </row>
    <row r="1450">
      <c r="F1450" s="7">
        <f>IF($A1450="","",E1450*N1450/100)</f>
        <v/>
      </c>
      <c r="J1450" s="7" t="n"/>
      <c r="K1450" s="7">
        <f>IF($A1450="","",S1450*N1450)</f>
        <v/>
      </c>
      <c r="L1450" s="7">
        <f>IF($A1450="","",N1450-K1450)</f>
        <v/>
      </c>
      <c r="M1450" s="7">
        <f>IF($A1450="","",L1450-F1450)</f>
        <v/>
      </c>
      <c r="N1450" s="7" t="n"/>
      <c r="Q1450" s="11" t="n"/>
      <c r="S1450">
        <f>IF($A1450="","",IF($W1450=1,Settings!$C$6,Settings!$C$7)*1)</f>
        <v/>
      </c>
      <c r="U1450">
        <f>IF($A1450="","",IF(COUNTIF($A$2:$A1450,$A1450)=1,1,0))</f>
        <v/>
      </c>
      <c r="V1450">
        <f>IF($U1450=1,SUMPRODUCT(--($X$2:$X$3001&lt;$X1450))+1,"")</f>
        <v/>
      </c>
      <c r="W1450">
        <f>IF($A1450="","",IF(OR($T1450=TRUE(),$T1450="TRUE"),1,0))</f>
        <v/>
      </c>
      <c r="X1450">
        <f>IF($U1450=1,IFERROR(IF(VALUE($A1450)&lt;100000000,VALUE($A1450),1000000000),IFERROR(IF(VALUE(MID($A1450,2,20))&lt;100000000,VALUE(MID($A1450,2,20)),1000000000),1000000000))+ROW()/100000,"")</f>
        <v/>
      </c>
    </row>
    <row r="1451">
      <c r="F1451" s="7">
        <f>IF($A1451="","",E1451*N1451/100)</f>
        <v/>
      </c>
      <c r="J1451" s="7" t="n"/>
      <c r="K1451" s="7">
        <f>IF($A1451="","",S1451*N1451)</f>
        <v/>
      </c>
      <c r="L1451" s="7">
        <f>IF($A1451="","",N1451-K1451)</f>
        <v/>
      </c>
      <c r="M1451" s="7">
        <f>IF($A1451="","",L1451-F1451)</f>
        <v/>
      </c>
      <c r="N1451" s="7" t="n"/>
      <c r="Q1451" s="11" t="n"/>
      <c r="S1451">
        <f>IF($A1451="","",IF($W1451=1,Settings!$C$6,Settings!$C$7)*1)</f>
        <v/>
      </c>
      <c r="U1451">
        <f>IF($A1451="","",IF(COUNTIF($A$2:$A1451,$A1451)=1,1,0))</f>
        <v/>
      </c>
      <c r="V1451">
        <f>IF($U1451=1,SUMPRODUCT(--($X$2:$X$3001&lt;$X1451))+1,"")</f>
        <v/>
      </c>
      <c r="W1451">
        <f>IF($A1451="","",IF(OR($T1451=TRUE(),$T1451="TRUE"),1,0))</f>
        <v/>
      </c>
      <c r="X1451">
        <f>IF($U1451=1,IFERROR(IF(VALUE($A1451)&lt;100000000,VALUE($A1451),1000000000),IFERROR(IF(VALUE(MID($A1451,2,20))&lt;100000000,VALUE(MID($A1451,2,20)),1000000000),1000000000))+ROW()/100000,"")</f>
        <v/>
      </c>
    </row>
    <row r="1452">
      <c r="F1452" s="7">
        <f>IF($A1452="","",E1452*N1452/100)</f>
        <v/>
      </c>
      <c r="J1452" s="7" t="n"/>
      <c r="K1452" s="7">
        <f>IF($A1452="","",S1452*N1452)</f>
        <v/>
      </c>
      <c r="L1452" s="7">
        <f>IF($A1452="","",N1452-K1452)</f>
        <v/>
      </c>
      <c r="M1452" s="7">
        <f>IF($A1452="","",L1452-F1452)</f>
        <v/>
      </c>
      <c r="N1452" s="7" t="n"/>
      <c r="Q1452" s="11" t="n"/>
      <c r="S1452">
        <f>IF($A1452="","",IF($W1452=1,Settings!$C$6,Settings!$C$7)*1)</f>
        <v/>
      </c>
      <c r="U1452">
        <f>IF($A1452="","",IF(COUNTIF($A$2:$A1452,$A1452)=1,1,0))</f>
        <v/>
      </c>
      <c r="V1452">
        <f>IF($U1452=1,SUMPRODUCT(--($X$2:$X$3001&lt;$X1452))+1,"")</f>
        <v/>
      </c>
      <c r="W1452">
        <f>IF($A1452="","",IF(OR($T1452=TRUE(),$T1452="TRUE"),1,0))</f>
        <v/>
      </c>
      <c r="X1452">
        <f>IF($U1452=1,IFERROR(IF(VALUE($A1452)&lt;100000000,VALUE($A1452),1000000000),IFERROR(IF(VALUE(MID($A1452,2,20))&lt;100000000,VALUE(MID($A1452,2,20)),1000000000),1000000000))+ROW()/100000,"")</f>
        <v/>
      </c>
    </row>
    <row r="1453">
      <c r="F1453" s="7">
        <f>IF($A1453="","",E1453*N1453/100)</f>
        <v/>
      </c>
      <c r="J1453" s="7" t="n"/>
      <c r="K1453" s="7">
        <f>IF($A1453="","",S1453*N1453)</f>
        <v/>
      </c>
      <c r="L1453" s="7">
        <f>IF($A1453="","",N1453-K1453)</f>
        <v/>
      </c>
      <c r="M1453" s="7">
        <f>IF($A1453="","",L1453-F1453)</f>
        <v/>
      </c>
      <c r="N1453" s="7" t="n"/>
      <c r="Q1453" s="11" t="n"/>
      <c r="S1453">
        <f>IF($A1453="","",IF($W1453=1,Settings!$C$6,Settings!$C$7)*1)</f>
        <v/>
      </c>
      <c r="U1453">
        <f>IF($A1453="","",IF(COUNTIF($A$2:$A1453,$A1453)=1,1,0))</f>
        <v/>
      </c>
      <c r="V1453">
        <f>IF($U1453=1,SUMPRODUCT(--($X$2:$X$3001&lt;$X1453))+1,"")</f>
        <v/>
      </c>
      <c r="W1453">
        <f>IF($A1453="","",IF(OR($T1453=TRUE(),$T1453="TRUE"),1,0))</f>
        <v/>
      </c>
      <c r="X1453">
        <f>IF($U1453=1,IFERROR(IF(VALUE($A1453)&lt;100000000,VALUE($A1453),1000000000),IFERROR(IF(VALUE(MID($A1453,2,20))&lt;100000000,VALUE(MID($A1453,2,20)),1000000000),1000000000))+ROW()/100000,"")</f>
        <v/>
      </c>
    </row>
    <row r="1454">
      <c r="F1454" s="7">
        <f>IF($A1454="","",E1454*N1454/100)</f>
        <v/>
      </c>
      <c r="J1454" s="7" t="n"/>
      <c r="K1454" s="7">
        <f>IF($A1454="","",S1454*N1454)</f>
        <v/>
      </c>
      <c r="L1454" s="7">
        <f>IF($A1454="","",N1454-K1454)</f>
        <v/>
      </c>
      <c r="M1454" s="7">
        <f>IF($A1454="","",L1454-F1454)</f>
        <v/>
      </c>
      <c r="N1454" s="7" t="n"/>
      <c r="Q1454" s="11" t="n"/>
      <c r="S1454">
        <f>IF($A1454="","",IF($W1454=1,Settings!$C$6,Settings!$C$7)*1)</f>
        <v/>
      </c>
      <c r="U1454">
        <f>IF($A1454="","",IF(COUNTIF($A$2:$A1454,$A1454)=1,1,0))</f>
        <v/>
      </c>
      <c r="V1454">
        <f>IF($U1454=1,SUMPRODUCT(--($X$2:$X$3001&lt;$X1454))+1,"")</f>
        <v/>
      </c>
      <c r="W1454">
        <f>IF($A1454="","",IF(OR($T1454=TRUE(),$T1454="TRUE"),1,0))</f>
        <v/>
      </c>
      <c r="X1454">
        <f>IF($U1454=1,IFERROR(IF(VALUE($A1454)&lt;100000000,VALUE($A1454),1000000000),IFERROR(IF(VALUE(MID($A1454,2,20))&lt;100000000,VALUE(MID($A1454,2,20)),1000000000),1000000000))+ROW()/100000,"")</f>
        <v/>
      </c>
    </row>
    <row r="1455">
      <c r="F1455" s="7">
        <f>IF($A1455="","",E1455*N1455/100)</f>
        <v/>
      </c>
      <c r="J1455" s="7" t="n"/>
      <c r="K1455" s="7">
        <f>IF($A1455="","",S1455*N1455)</f>
        <v/>
      </c>
      <c r="L1455" s="7">
        <f>IF($A1455="","",N1455-K1455)</f>
        <v/>
      </c>
      <c r="M1455" s="7">
        <f>IF($A1455="","",L1455-F1455)</f>
        <v/>
      </c>
      <c r="N1455" s="7" t="n"/>
      <c r="Q1455" s="11" t="n"/>
      <c r="S1455">
        <f>IF($A1455="","",IF($W1455=1,Settings!$C$6,Settings!$C$7)*1)</f>
        <v/>
      </c>
      <c r="U1455">
        <f>IF($A1455="","",IF(COUNTIF($A$2:$A1455,$A1455)=1,1,0))</f>
        <v/>
      </c>
      <c r="V1455">
        <f>IF($U1455=1,SUMPRODUCT(--($X$2:$X$3001&lt;$X1455))+1,"")</f>
        <v/>
      </c>
      <c r="W1455">
        <f>IF($A1455="","",IF(OR($T1455=TRUE(),$T1455="TRUE"),1,0))</f>
        <v/>
      </c>
      <c r="X1455">
        <f>IF($U1455=1,IFERROR(IF(VALUE($A1455)&lt;100000000,VALUE($A1455),1000000000),IFERROR(IF(VALUE(MID($A1455,2,20))&lt;100000000,VALUE(MID($A1455,2,20)),1000000000),1000000000))+ROW()/100000,"")</f>
        <v/>
      </c>
    </row>
    <row r="1456">
      <c r="F1456" s="7">
        <f>IF($A1456="","",E1456*N1456/100)</f>
        <v/>
      </c>
      <c r="J1456" s="7" t="n"/>
      <c r="K1456" s="7">
        <f>IF($A1456="","",S1456*N1456)</f>
        <v/>
      </c>
      <c r="L1456" s="7">
        <f>IF($A1456="","",N1456-K1456)</f>
        <v/>
      </c>
      <c r="M1456" s="7">
        <f>IF($A1456="","",L1456-F1456)</f>
        <v/>
      </c>
      <c r="N1456" s="7" t="n"/>
      <c r="Q1456" s="11" t="n"/>
      <c r="S1456">
        <f>IF($A1456="","",IF($W1456=1,Settings!$C$6,Settings!$C$7)*1)</f>
        <v/>
      </c>
      <c r="U1456">
        <f>IF($A1456="","",IF(COUNTIF($A$2:$A1456,$A1456)=1,1,0))</f>
        <v/>
      </c>
      <c r="V1456">
        <f>IF($U1456=1,SUMPRODUCT(--($X$2:$X$3001&lt;$X1456))+1,"")</f>
        <v/>
      </c>
      <c r="W1456">
        <f>IF($A1456="","",IF(OR($T1456=TRUE(),$T1456="TRUE"),1,0))</f>
        <v/>
      </c>
      <c r="X1456">
        <f>IF($U1456=1,IFERROR(IF(VALUE($A1456)&lt;100000000,VALUE($A1456),1000000000),IFERROR(IF(VALUE(MID($A1456,2,20))&lt;100000000,VALUE(MID($A1456,2,20)),1000000000),1000000000))+ROW()/100000,"")</f>
        <v/>
      </c>
    </row>
    <row r="1457">
      <c r="F1457" s="7">
        <f>IF($A1457="","",E1457*N1457/100)</f>
        <v/>
      </c>
      <c r="J1457" s="7" t="n"/>
      <c r="K1457" s="7">
        <f>IF($A1457="","",S1457*N1457)</f>
        <v/>
      </c>
      <c r="L1457" s="7">
        <f>IF($A1457="","",N1457-K1457)</f>
        <v/>
      </c>
      <c r="M1457" s="7">
        <f>IF($A1457="","",L1457-F1457)</f>
        <v/>
      </c>
      <c r="N1457" s="7" t="n"/>
      <c r="Q1457" s="11" t="n"/>
      <c r="S1457">
        <f>IF($A1457="","",IF($W1457=1,Settings!$C$6,Settings!$C$7)*1)</f>
        <v/>
      </c>
      <c r="U1457">
        <f>IF($A1457="","",IF(COUNTIF($A$2:$A1457,$A1457)=1,1,0))</f>
        <v/>
      </c>
      <c r="V1457">
        <f>IF($U1457=1,SUMPRODUCT(--($X$2:$X$3001&lt;$X1457))+1,"")</f>
        <v/>
      </c>
      <c r="W1457">
        <f>IF($A1457="","",IF(OR($T1457=TRUE(),$T1457="TRUE"),1,0))</f>
        <v/>
      </c>
      <c r="X1457">
        <f>IF($U1457=1,IFERROR(IF(VALUE($A1457)&lt;100000000,VALUE($A1457),1000000000),IFERROR(IF(VALUE(MID($A1457,2,20))&lt;100000000,VALUE(MID($A1457,2,20)),1000000000),1000000000))+ROW()/100000,"")</f>
        <v/>
      </c>
    </row>
    <row r="1458">
      <c r="F1458" s="7">
        <f>IF($A1458="","",E1458*N1458/100)</f>
        <v/>
      </c>
      <c r="J1458" s="7" t="n"/>
      <c r="K1458" s="7">
        <f>IF($A1458="","",S1458*N1458)</f>
        <v/>
      </c>
      <c r="L1458" s="7">
        <f>IF($A1458="","",N1458-K1458)</f>
        <v/>
      </c>
      <c r="M1458" s="7">
        <f>IF($A1458="","",L1458-F1458)</f>
        <v/>
      </c>
      <c r="N1458" s="7" t="n"/>
      <c r="Q1458" s="11" t="n"/>
      <c r="S1458">
        <f>IF($A1458="","",IF($W1458=1,Settings!$C$6,Settings!$C$7)*1)</f>
        <v/>
      </c>
      <c r="U1458">
        <f>IF($A1458="","",IF(COUNTIF($A$2:$A1458,$A1458)=1,1,0))</f>
        <v/>
      </c>
      <c r="V1458">
        <f>IF($U1458=1,SUMPRODUCT(--($X$2:$X$3001&lt;$X1458))+1,"")</f>
        <v/>
      </c>
      <c r="W1458">
        <f>IF($A1458="","",IF(OR($T1458=TRUE(),$T1458="TRUE"),1,0))</f>
        <v/>
      </c>
      <c r="X1458">
        <f>IF($U1458=1,IFERROR(IF(VALUE($A1458)&lt;100000000,VALUE($A1458),1000000000),IFERROR(IF(VALUE(MID($A1458,2,20))&lt;100000000,VALUE(MID($A1458,2,20)),1000000000),1000000000))+ROW()/100000,"")</f>
        <v/>
      </c>
    </row>
    <row r="1459">
      <c r="F1459" s="7">
        <f>IF($A1459="","",E1459*N1459/100)</f>
        <v/>
      </c>
      <c r="J1459" s="7" t="n"/>
      <c r="K1459" s="7">
        <f>IF($A1459="","",S1459*N1459)</f>
        <v/>
      </c>
      <c r="L1459" s="7">
        <f>IF($A1459="","",N1459-K1459)</f>
        <v/>
      </c>
      <c r="M1459" s="7">
        <f>IF($A1459="","",L1459-F1459)</f>
        <v/>
      </c>
      <c r="N1459" s="7" t="n"/>
      <c r="Q1459" s="11" t="n"/>
      <c r="S1459">
        <f>IF($A1459="","",IF($W1459=1,Settings!$C$6,Settings!$C$7)*1)</f>
        <v/>
      </c>
      <c r="U1459">
        <f>IF($A1459="","",IF(COUNTIF($A$2:$A1459,$A1459)=1,1,0))</f>
        <v/>
      </c>
      <c r="V1459">
        <f>IF($U1459=1,SUMPRODUCT(--($X$2:$X$3001&lt;$X1459))+1,"")</f>
        <v/>
      </c>
      <c r="W1459">
        <f>IF($A1459="","",IF(OR($T1459=TRUE(),$T1459="TRUE"),1,0))</f>
        <v/>
      </c>
      <c r="X1459">
        <f>IF($U1459=1,IFERROR(IF(VALUE($A1459)&lt;100000000,VALUE($A1459),1000000000),IFERROR(IF(VALUE(MID($A1459,2,20))&lt;100000000,VALUE(MID($A1459,2,20)),1000000000),1000000000))+ROW()/100000,"")</f>
        <v/>
      </c>
    </row>
    <row r="1460">
      <c r="F1460" s="7">
        <f>IF($A1460="","",E1460*N1460/100)</f>
        <v/>
      </c>
      <c r="J1460" s="7" t="n"/>
      <c r="K1460" s="7">
        <f>IF($A1460="","",S1460*N1460)</f>
        <v/>
      </c>
      <c r="L1460" s="7">
        <f>IF($A1460="","",N1460-K1460)</f>
        <v/>
      </c>
      <c r="M1460" s="7">
        <f>IF($A1460="","",L1460-F1460)</f>
        <v/>
      </c>
      <c r="N1460" s="7" t="n"/>
      <c r="Q1460" s="11" t="n"/>
      <c r="S1460">
        <f>IF($A1460="","",IF($W1460=1,Settings!$C$6,Settings!$C$7)*1)</f>
        <v/>
      </c>
      <c r="U1460">
        <f>IF($A1460="","",IF(COUNTIF($A$2:$A1460,$A1460)=1,1,0))</f>
        <v/>
      </c>
      <c r="V1460">
        <f>IF($U1460=1,SUMPRODUCT(--($X$2:$X$3001&lt;$X1460))+1,"")</f>
        <v/>
      </c>
      <c r="W1460">
        <f>IF($A1460="","",IF(OR($T1460=TRUE(),$T1460="TRUE"),1,0))</f>
        <v/>
      </c>
      <c r="X1460">
        <f>IF($U1460=1,IFERROR(IF(VALUE($A1460)&lt;100000000,VALUE($A1460),1000000000),IFERROR(IF(VALUE(MID($A1460,2,20))&lt;100000000,VALUE(MID($A1460,2,20)),1000000000),1000000000))+ROW()/100000,"")</f>
        <v/>
      </c>
    </row>
    <row r="1461">
      <c r="F1461" s="7">
        <f>IF($A1461="","",E1461*N1461/100)</f>
        <v/>
      </c>
      <c r="J1461" s="7" t="n"/>
      <c r="K1461" s="7">
        <f>IF($A1461="","",S1461*N1461)</f>
        <v/>
      </c>
      <c r="L1461" s="7">
        <f>IF($A1461="","",N1461-K1461)</f>
        <v/>
      </c>
      <c r="M1461" s="7">
        <f>IF($A1461="","",L1461-F1461)</f>
        <v/>
      </c>
      <c r="N1461" s="7" t="n"/>
      <c r="Q1461" s="11" t="n"/>
      <c r="S1461">
        <f>IF($A1461="","",IF($W1461=1,Settings!$C$6,Settings!$C$7)*1)</f>
        <v/>
      </c>
      <c r="U1461">
        <f>IF($A1461="","",IF(COUNTIF($A$2:$A1461,$A1461)=1,1,0))</f>
        <v/>
      </c>
      <c r="V1461">
        <f>IF($U1461=1,SUMPRODUCT(--($X$2:$X$3001&lt;$X1461))+1,"")</f>
        <v/>
      </c>
      <c r="W1461">
        <f>IF($A1461="","",IF(OR($T1461=TRUE(),$T1461="TRUE"),1,0))</f>
        <v/>
      </c>
      <c r="X1461">
        <f>IF($U1461=1,IFERROR(IF(VALUE($A1461)&lt;100000000,VALUE($A1461),1000000000),IFERROR(IF(VALUE(MID($A1461,2,20))&lt;100000000,VALUE(MID($A1461,2,20)),1000000000),1000000000))+ROW()/100000,"")</f>
        <v/>
      </c>
    </row>
    <row r="1462">
      <c r="F1462" s="7">
        <f>IF($A1462="","",E1462*N1462/100)</f>
        <v/>
      </c>
      <c r="J1462" s="7" t="n"/>
      <c r="K1462" s="7">
        <f>IF($A1462="","",S1462*N1462)</f>
        <v/>
      </c>
      <c r="L1462" s="7">
        <f>IF($A1462="","",N1462-K1462)</f>
        <v/>
      </c>
      <c r="M1462" s="7">
        <f>IF($A1462="","",L1462-F1462)</f>
        <v/>
      </c>
      <c r="N1462" s="7" t="n"/>
      <c r="Q1462" s="11" t="n"/>
      <c r="S1462">
        <f>IF($A1462="","",IF($W1462=1,Settings!$C$6,Settings!$C$7)*1)</f>
        <v/>
      </c>
      <c r="U1462">
        <f>IF($A1462="","",IF(COUNTIF($A$2:$A1462,$A1462)=1,1,0))</f>
        <v/>
      </c>
      <c r="V1462">
        <f>IF($U1462=1,SUMPRODUCT(--($X$2:$X$3001&lt;$X1462))+1,"")</f>
        <v/>
      </c>
      <c r="W1462">
        <f>IF($A1462="","",IF(OR($T1462=TRUE(),$T1462="TRUE"),1,0))</f>
        <v/>
      </c>
      <c r="X1462">
        <f>IF($U1462=1,IFERROR(IF(VALUE($A1462)&lt;100000000,VALUE($A1462),1000000000),IFERROR(IF(VALUE(MID($A1462,2,20))&lt;100000000,VALUE(MID($A1462,2,20)),1000000000),1000000000))+ROW()/100000,"")</f>
        <v/>
      </c>
    </row>
    <row r="1463">
      <c r="F1463" s="7">
        <f>IF($A1463="","",E1463*N1463/100)</f>
        <v/>
      </c>
      <c r="J1463" s="7" t="n"/>
      <c r="K1463" s="7">
        <f>IF($A1463="","",S1463*N1463)</f>
        <v/>
      </c>
      <c r="L1463" s="7">
        <f>IF($A1463="","",N1463-K1463)</f>
        <v/>
      </c>
      <c r="M1463" s="7">
        <f>IF($A1463="","",L1463-F1463)</f>
        <v/>
      </c>
      <c r="N1463" s="7" t="n"/>
      <c r="Q1463" s="11" t="n"/>
      <c r="S1463">
        <f>IF($A1463="","",IF($W1463=1,Settings!$C$6,Settings!$C$7)*1)</f>
        <v/>
      </c>
      <c r="U1463">
        <f>IF($A1463="","",IF(COUNTIF($A$2:$A1463,$A1463)=1,1,0))</f>
        <v/>
      </c>
      <c r="V1463">
        <f>IF($U1463=1,SUMPRODUCT(--($X$2:$X$3001&lt;$X1463))+1,"")</f>
        <v/>
      </c>
      <c r="W1463">
        <f>IF($A1463="","",IF(OR($T1463=TRUE(),$T1463="TRUE"),1,0))</f>
        <v/>
      </c>
      <c r="X1463">
        <f>IF($U1463=1,IFERROR(IF(VALUE($A1463)&lt;100000000,VALUE($A1463),1000000000),IFERROR(IF(VALUE(MID($A1463,2,20))&lt;100000000,VALUE(MID($A1463,2,20)),1000000000),1000000000))+ROW()/100000,"")</f>
        <v/>
      </c>
    </row>
    <row r="1464">
      <c r="F1464" s="7">
        <f>IF($A1464="","",E1464*N1464/100)</f>
        <v/>
      </c>
      <c r="J1464" s="7" t="n"/>
      <c r="K1464" s="7">
        <f>IF($A1464="","",S1464*N1464)</f>
        <v/>
      </c>
      <c r="L1464" s="7">
        <f>IF($A1464="","",N1464-K1464)</f>
        <v/>
      </c>
      <c r="M1464" s="7">
        <f>IF($A1464="","",L1464-F1464)</f>
        <v/>
      </c>
      <c r="N1464" s="7" t="n"/>
      <c r="Q1464" s="11" t="n"/>
      <c r="S1464">
        <f>IF($A1464="","",IF($W1464=1,Settings!$C$6,Settings!$C$7)*1)</f>
        <v/>
      </c>
      <c r="U1464">
        <f>IF($A1464="","",IF(COUNTIF($A$2:$A1464,$A1464)=1,1,0))</f>
        <v/>
      </c>
      <c r="V1464">
        <f>IF($U1464=1,SUMPRODUCT(--($X$2:$X$3001&lt;$X1464))+1,"")</f>
        <v/>
      </c>
      <c r="W1464">
        <f>IF($A1464="","",IF(OR($T1464=TRUE(),$T1464="TRUE"),1,0))</f>
        <v/>
      </c>
      <c r="X1464">
        <f>IF($U1464=1,IFERROR(IF(VALUE($A1464)&lt;100000000,VALUE($A1464),1000000000),IFERROR(IF(VALUE(MID($A1464,2,20))&lt;100000000,VALUE(MID($A1464,2,20)),1000000000),1000000000))+ROW()/100000,"")</f>
        <v/>
      </c>
    </row>
    <row r="1465">
      <c r="F1465" s="7">
        <f>IF($A1465="","",E1465*N1465/100)</f>
        <v/>
      </c>
      <c r="J1465" s="7" t="n"/>
      <c r="K1465" s="7">
        <f>IF($A1465="","",S1465*N1465)</f>
        <v/>
      </c>
      <c r="L1465" s="7">
        <f>IF($A1465="","",N1465-K1465)</f>
        <v/>
      </c>
      <c r="M1465" s="7">
        <f>IF($A1465="","",L1465-F1465)</f>
        <v/>
      </c>
      <c r="N1465" s="7" t="n"/>
      <c r="Q1465" s="11" t="n"/>
      <c r="S1465">
        <f>IF($A1465="","",IF($W1465=1,Settings!$C$6,Settings!$C$7)*1)</f>
        <v/>
      </c>
      <c r="U1465">
        <f>IF($A1465="","",IF(COUNTIF($A$2:$A1465,$A1465)=1,1,0))</f>
        <v/>
      </c>
      <c r="V1465">
        <f>IF($U1465=1,SUMPRODUCT(--($X$2:$X$3001&lt;$X1465))+1,"")</f>
        <v/>
      </c>
      <c r="W1465">
        <f>IF($A1465="","",IF(OR($T1465=TRUE(),$T1465="TRUE"),1,0))</f>
        <v/>
      </c>
      <c r="X1465">
        <f>IF($U1465=1,IFERROR(IF(VALUE($A1465)&lt;100000000,VALUE($A1465),1000000000),IFERROR(IF(VALUE(MID($A1465,2,20))&lt;100000000,VALUE(MID($A1465,2,20)),1000000000),1000000000))+ROW()/100000,"")</f>
        <v/>
      </c>
    </row>
    <row r="1466">
      <c r="F1466" s="7">
        <f>IF($A1466="","",E1466*N1466/100)</f>
        <v/>
      </c>
      <c r="J1466" s="7" t="n"/>
      <c r="K1466" s="7">
        <f>IF($A1466="","",S1466*N1466)</f>
        <v/>
      </c>
      <c r="L1466" s="7">
        <f>IF($A1466="","",N1466-K1466)</f>
        <v/>
      </c>
      <c r="M1466" s="7">
        <f>IF($A1466="","",L1466-F1466)</f>
        <v/>
      </c>
      <c r="N1466" s="7" t="n"/>
      <c r="Q1466" s="11" t="n"/>
      <c r="S1466">
        <f>IF($A1466="","",IF($W1466=1,Settings!$C$6,Settings!$C$7)*1)</f>
        <v/>
      </c>
      <c r="U1466">
        <f>IF($A1466="","",IF(COUNTIF($A$2:$A1466,$A1466)=1,1,0))</f>
        <v/>
      </c>
      <c r="V1466">
        <f>IF($U1466=1,SUMPRODUCT(--($X$2:$X$3001&lt;$X1466))+1,"")</f>
        <v/>
      </c>
      <c r="W1466">
        <f>IF($A1466="","",IF(OR($T1466=TRUE(),$T1466="TRUE"),1,0))</f>
        <v/>
      </c>
      <c r="X1466">
        <f>IF($U1466=1,IFERROR(IF(VALUE($A1466)&lt;100000000,VALUE($A1466),1000000000),IFERROR(IF(VALUE(MID($A1466,2,20))&lt;100000000,VALUE(MID($A1466,2,20)),1000000000),1000000000))+ROW()/100000,"")</f>
        <v/>
      </c>
    </row>
    <row r="1467">
      <c r="F1467" s="7">
        <f>IF($A1467="","",E1467*N1467/100)</f>
        <v/>
      </c>
      <c r="J1467" s="7" t="n"/>
      <c r="K1467" s="7">
        <f>IF($A1467="","",S1467*N1467)</f>
        <v/>
      </c>
      <c r="L1467" s="7">
        <f>IF($A1467="","",N1467-K1467)</f>
        <v/>
      </c>
      <c r="M1467" s="7">
        <f>IF($A1467="","",L1467-F1467)</f>
        <v/>
      </c>
      <c r="N1467" s="7" t="n"/>
      <c r="Q1467" s="11" t="n"/>
      <c r="S1467">
        <f>IF($A1467="","",IF($W1467=1,Settings!$C$6,Settings!$C$7)*1)</f>
        <v/>
      </c>
      <c r="U1467">
        <f>IF($A1467="","",IF(COUNTIF($A$2:$A1467,$A1467)=1,1,0))</f>
        <v/>
      </c>
      <c r="V1467">
        <f>IF($U1467=1,SUMPRODUCT(--($X$2:$X$3001&lt;$X1467))+1,"")</f>
        <v/>
      </c>
      <c r="W1467">
        <f>IF($A1467="","",IF(OR($T1467=TRUE(),$T1467="TRUE"),1,0))</f>
        <v/>
      </c>
      <c r="X1467">
        <f>IF($U1467=1,IFERROR(IF(VALUE($A1467)&lt;100000000,VALUE($A1467),1000000000),IFERROR(IF(VALUE(MID($A1467,2,20))&lt;100000000,VALUE(MID($A1467,2,20)),1000000000),1000000000))+ROW()/100000,"")</f>
        <v/>
      </c>
    </row>
    <row r="1468">
      <c r="F1468" s="7">
        <f>IF($A1468="","",E1468*N1468/100)</f>
        <v/>
      </c>
      <c r="J1468" s="7" t="n"/>
      <c r="K1468" s="7">
        <f>IF($A1468="","",S1468*N1468)</f>
        <v/>
      </c>
      <c r="L1468" s="7">
        <f>IF($A1468="","",N1468-K1468)</f>
        <v/>
      </c>
      <c r="M1468" s="7">
        <f>IF($A1468="","",L1468-F1468)</f>
        <v/>
      </c>
      <c r="N1468" s="7" t="n"/>
      <c r="Q1468" s="11" t="n"/>
      <c r="S1468">
        <f>IF($A1468="","",IF($W1468=1,Settings!$C$6,Settings!$C$7)*1)</f>
        <v/>
      </c>
      <c r="U1468">
        <f>IF($A1468="","",IF(COUNTIF($A$2:$A1468,$A1468)=1,1,0))</f>
        <v/>
      </c>
      <c r="V1468">
        <f>IF($U1468=1,SUMPRODUCT(--($X$2:$X$3001&lt;$X1468))+1,"")</f>
        <v/>
      </c>
      <c r="W1468">
        <f>IF($A1468="","",IF(OR($T1468=TRUE(),$T1468="TRUE"),1,0))</f>
        <v/>
      </c>
      <c r="X1468">
        <f>IF($U1468=1,IFERROR(IF(VALUE($A1468)&lt;100000000,VALUE($A1468),1000000000),IFERROR(IF(VALUE(MID($A1468,2,20))&lt;100000000,VALUE(MID($A1468,2,20)),1000000000),1000000000))+ROW()/100000,"")</f>
        <v/>
      </c>
    </row>
    <row r="1469">
      <c r="F1469" s="7">
        <f>IF($A1469="","",E1469*N1469/100)</f>
        <v/>
      </c>
      <c r="J1469" s="7" t="n"/>
      <c r="K1469" s="7">
        <f>IF($A1469="","",S1469*N1469)</f>
        <v/>
      </c>
      <c r="L1469" s="7">
        <f>IF($A1469="","",N1469-K1469)</f>
        <v/>
      </c>
      <c r="M1469" s="7">
        <f>IF($A1469="","",L1469-F1469)</f>
        <v/>
      </c>
      <c r="N1469" s="7" t="n"/>
      <c r="Q1469" s="11" t="n"/>
      <c r="S1469">
        <f>IF($A1469="","",IF($W1469=1,Settings!$C$6,Settings!$C$7)*1)</f>
        <v/>
      </c>
      <c r="U1469">
        <f>IF($A1469="","",IF(COUNTIF($A$2:$A1469,$A1469)=1,1,0))</f>
        <v/>
      </c>
      <c r="V1469">
        <f>IF($U1469=1,SUMPRODUCT(--($X$2:$X$3001&lt;$X1469))+1,"")</f>
        <v/>
      </c>
      <c r="W1469">
        <f>IF($A1469="","",IF(OR($T1469=TRUE(),$T1469="TRUE"),1,0))</f>
        <v/>
      </c>
      <c r="X1469">
        <f>IF($U1469=1,IFERROR(IF(VALUE($A1469)&lt;100000000,VALUE($A1469),1000000000),IFERROR(IF(VALUE(MID($A1469,2,20))&lt;100000000,VALUE(MID($A1469,2,20)),1000000000),1000000000))+ROW()/100000,"")</f>
        <v/>
      </c>
    </row>
    <row r="1470">
      <c r="F1470" s="7">
        <f>IF($A1470="","",E1470*N1470/100)</f>
        <v/>
      </c>
      <c r="J1470" s="7" t="n"/>
      <c r="K1470" s="7">
        <f>IF($A1470="","",S1470*N1470)</f>
        <v/>
      </c>
      <c r="L1470" s="7">
        <f>IF($A1470="","",N1470-K1470)</f>
        <v/>
      </c>
      <c r="M1470" s="7">
        <f>IF($A1470="","",L1470-F1470)</f>
        <v/>
      </c>
      <c r="N1470" s="7" t="n"/>
      <c r="Q1470" s="11" t="n"/>
      <c r="S1470">
        <f>IF($A1470="","",IF($W1470=1,Settings!$C$6,Settings!$C$7)*1)</f>
        <v/>
      </c>
      <c r="U1470">
        <f>IF($A1470="","",IF(COUNTIF($A$2:$A1470,$A1470)=1,1,0))</f>
        <v/>
      </c>
      <c r="V1470">
        <f>IF($U1470=1,SUMPRODUCT(--($X$2:$X$3001&lt;$X1470))+1,"")</f>
        <v/>
      </c>
      <c r="W1470">
        <f>IF($A1470="","",IF(OR($T1470=TRUE(),$T1470="TRUE"),1,0))</f>
        <v/>
      </c>
      <c r="X1470">
        <f>IF($U1470=1,IFERROR(IF(VALUE($A1470)&lt;100000000,VALUE($A1470),1000000000),IFERROR(IF(VALUE(MID($A1470,2,20))&lt;100000000,VALUE(MID($A1470,2,20)),1000000000),1000000000))+ROW()/100000,"")</f>
        <v/>
      </c>
    </row>
    <row r="1471">
      <c r="F1471" s="7">
        <f>IF($A1471="","",E1471*N1471/100)</f>
        <v/>
      </c>
      <c r="J1471" s="7" t="n"/>
      <c r="K1471" s="7">
        <f>IF($A1471="","",S1471*N1471)</f>
        <v/>
      </c>
      <c r="L1471" s="7">
        <f>IF($A1471="","",N1471-K1471)</f>
        <v/>
      </c>
      <c r="M1471" s="7">
        <f>IF($A1471="","",L1471-F1471)</f>
        <v/>
      </c>
      <c r="N1471" s="7" t="n"/>
      <c r="Q1471" s="11" t="n"/>
      <c r="S1471">
        <f>IF($A1471="","",IF($W1471=1,Settings!$C$6,Settings!$C$7)*1)</f>
        <v/>
      </c>
      <c r="U1471">
        <f>IF($A1471="","",IF(COUNTIF($A$2:$A1471,$A1471)=1,1,0))</f>
        <v/>
      </c>
      <c r="V1471">
        <f>IF($U1471=1,SUMPRODUCT(--($X$2:$X$3001&lt;$X1471))+1,"")</f>
        <v/>
      </c>
      <c r="W1471">
        <f>IF($A1471="","",IF(OR($T1471=TRUE(),$T1471="TRUE"),1,0))</f>
        <v/>
      </c>
      <c r="X1471">
        <f>IF($U1471=1,IFERROR(IF(VALUE($A1471)&lt;100000000,VALUE($A1471),1000000000),IFERROR(IF(VALUE(MID($A1471,2,20))&lt;100000000,VALUE(MID($A1471,2,20)),1000000000),1000000000))+ROW()/100000,"")</f>
        <v/>
      </c>
    </row>
    <row r="1472">
      <c r="F1472" s="7">
        <f>IF($A1472="","",E1472*N1472/100)</f>
        <v/>
      </c>
      <c r="J1472" s="7" t="n"/>
      <c r="K1472" s="7">
        <f>IF($A1472="","",S1472*N1472)</f>
        <v/>
      </c>
      <c r="L1472" s="7">
        <f>IF($A1472="","",N1472-K1472)</f>
        <v/>
      </c>
      <c r="M1472" s="7">
        <f>IF($A1472="","",L1472-F1472)</f>
        <v/>
      </c>
      <c r="N1472" s="7" t="n"/>
      <c r="Q1472" s="11" t="n"/>
      <c r="S1472">
        <f>IF($A1472="","",IF($W1472=1,Settings!$C$6,Settings!$C$7)*1)</f>
        <v/>
      </c>
      <c r="U1472">
        <f>IF($A1472="","",IF(COUNTIF($A$2:$A1472,$A1472)=1,1,0))</f>
        <v/>
      </c>
      <c r="V1472">
        <f>IF($U1472=1,SUMPRODUCT(--($X$2:$X$3001&lt;$X1472))+1,"")</f>
        <v/>
      </c>
      <c r="W1472">
        <f>IF($A1472="","",IF(OR($T1472=TRUE(),$T1472="TRUE"),1,0))</f>
        <v/>
      </c>
      <c r="X1472">
        <f>IF($U1472=1,IFERROR(IF(VALUE($A1472)&lt;100000000,VALUE($A1472),1000000000),IFERROR(IF(VALUE(MID($A1472,2,20))&lt;100000000,VALUE(MID($A1472,2,20)),1000000000),1000000000))+ROW()/100000,"")</f>
        <v/>
      </c>
    </row>
    <row r="1473">
      <c r="F1473" s="7">
        <f>IF($A1473="","",E1473*N1473/100)</f>
        <v/>
      </c>
      <c r="J1473" s="7" t="n"/>
      <c r="K1473" s="7">
        <f>IF($A1473="","",S1473*N1473)</f>
        <v/>
      </c>
      <c r="L1473" s="7">
        <f>IF($A1473="","",N1473-K1473)</f>
        <v/>
      </c>
      <c r="M1473" s="7">
        <f>IF($A1473="","",L1473-F1473)</f>
        <v/>
      </c>
      <c r="N1473" s="7" t="n"/>
      <c r="Q1473" s="11" t="n"/>
      <c r="S1473">
        <f>IF($A1473="","",IF($W1473=1,Settings!$C$6,Settings!$C$7)*1)</f>
        <v/>
      </c>
      <c r="U1473">
        <f>IF($A1473="","",IF(COUNTIF($A$2:$A1473,$A1473)=1,1,0))</f>
        <v/>
      </c>
      <c r="V1473">
        <f>IF($U1473=1,SUMPRODUCT(--($X$2:$X$3001&lt;$X1473))+1,"")</f>
        <v/>
      </c>
      <c r="W1473">
        <f>IF($A1473="","",IF(OR($T1473=TRUE(),$T1473="TRUE"),1,0))</f>
        <v/>
      </c>
      <c r="X1473">
        <f>IF($U1473=1,IFERROR(IF(VALUE($A1473)&lt;100000000,VALUE($A1473),1000000000),IFERROR(IF(VALUE(MID($A1473,2,20))&lt;100000000,VALUE(MID($A1473,2,20)),1000000000),1000000000))+ROW()/100000,"")</f>
        <v/>
      </c>
    </row>
    <row r="1474">
      <c r="F1474" s="7">
        <f>IF($A1474="","",E1474*N1474/100)</f>
        <v/>
      </c>
      <c r="J1474" s="7" t="n"/>
      <c r="K1474" s="7">
        <f>IF($A1474="","",S1474*N1474)</f>
        <v/>
      </c>
      <c r="L1474" s="7">
        <f>IF($A1474="","",N1474-K1474)</f>
        <v/>
      </c>
      <c r="M1474" s="7">
        <f>IF($A1474="","",L1474-F1474)</f>
        <v/>
      </c>
      <c r="N1474" s="7" t="n"/>
      <c r="Q1474" s="11" t="n"/>
      <c r="S1474">
        <f>IF($A1474="","",IF($W1474=1,Settings!$C$6,Settings!$C$7)*1)</f>
        <v/>
      </c>
      <c r="U1474">
        <f>IF($A1474="","",IF(COUNTIF($A$2:$A1474,$A1474)=1,1,0))</f>
        <v/>
      </c>
      <c r="V1474">
        <f>IF($U1474=1,SUMPRODUCT(--($X$2:$X$3001&lt;$X1474))+1,"")</f>
        <v/>
      </c>
      <c r="W1474">
        <f>IF($A1474="","",IF(OR($T1474=TRUE(),$T1474="TRUE"),1,0))</f>
        <v/>
      </c>
      <c r="X1474">
        <f>IF($U1474=1,IFERROR(IF(VALUE($A1474)&lt;100000000,VALUE($A1474),1000000000),IFERROR(IF(VALUE(MID($A1474,2,20))&lt;100000000,VALUE(MID($A1474,2,20)),1000000000),1000000000))+ROW()/100000,"")</f>
        <v/>
      </c>
    </row>
    <row r="1475">
      <c r="F1475" s="7">
        <f>IF($A1475="","",E1475*N1475/100)</f>
        <v/>
      </c>
      <c r="J1475" s="7" t="n"/>
      <c r="K1475" s="7">
        <f>IF($A1475="","",S1475*N1475)</f>
        <v/>
      </c>
      <c r="L1475" s="7">
        <f>IF($A1475="","",N1475-K1475)</f>
        <v/>
      </c>
      <c r="M1475" s="7">
        <f>IF($A1475="","",L1475-F1475)</f>
        <v/>
      </c>
      <c r="N1475" s="7" t="n"/>
      <c r="Q1475" s="11" t="n"/>
      <c r="S1475">
        <f>IF($A1475="","",IF($W1475=1,Settings!$C$6,Settings!$C$7)*1)</f>
        <v/>
      </c>
      <c r="U1475">
        <f>IF($A1475="","",IF(COUNTIF($A$2:$A1475,$A1475)=1,1,0))</f>
        <v/>
      </c>
      <c r="V1475">
        <f>IF($U1475=1,SUMPRODUCT(--($X$2:$X$3001&lt;$X1475))+1,"")</f>
        <v/>
      </c>
      <c r="W1475">
        <f>IF($A1475="","",IF(OR($T1475=TRUE(),$T1475="TRUE"),1,0))</f>
        <v/>
      </c>
      <c r="X1475">
        <f>IF($U1475=1,IFERROR(IF(VALUE($A1475)&lt;100000000,VALUE($A1475),1000000000),IFERROR(IF(VALUE(MID($A1475,2,20))&lt;100000000,VALUE(MID($A1475,2,20)),1000000000),1000000000))+ROW()/100000,"")</f>
        <v/>
      </c>
    </row>
    <row r="1476">
      <c r="F1476" s="7">
        <f>IF($A1476="","",E1476*N1476/100)</f>
        <v/>
      </c>
      <c r="J1476" s="7" t="n"/>
      <c r="K1476" s="7">
        <f>IF($A1476="","",S1476*N1476)</f>
        <v/>
      </c>
      <c r="L1476" s="7">
        <f>IF($A1476="","",N1476-K1476)</f>
        <v/>
      </c>
      <c r="M1476" s="7">
        <f>IF($A1476="","",L1476-F1476)</f>
        <v/>
      </c>
      <c r="N1476" s="7" t="n"/>
      <c r="Q1476" s="11" t="n"/>
      <c r="S1476">
        <f>IF($A1476="","",IF($W1476=1,Settings!$C$6,Settings!$C$7)*1)</f>
        <v/>
      </c>
      <c r="U1476">
        <f>IF($A1476="","",IF(COUNTIF($A$2:$A1476,$A1476)=1,1,0))</f>
        <v/>
      </c>
      <c r="V1476">
        <f>IF($U1476=1,SUMPRODUCT(--($X$2:$X$3001&lt;$X1476))+1,"")</f>
        <v/>
      </c>
      <c r="W1476">
        <f>IF($A1476="","",IF(OR($T1476=TRUE(),$T1476="TRUE"),1,0))</f>
        <v/>
      </c>
      <c r="X1476">
        <f>IF($U1476=1,IFERROR(IF(VALUE($A1476)&lt;100000000,VALUE($A1476),1000000000),IFERROR(IF(VALUE(MID($A1476,2,20))&lt;100000000,VALUE(MID($A1476,2,20)),1000000000),1000000000))+ROW()/100000,"")</f>
        <v/>
      </c>
    </row>
    <row r="1477">
      <c r="F1477" s="7">
        <f>IF($A1477="","",E1477*N1477/100)</f>
        <v/>
      </c>
      <c r="J1477" s="7" t="n"/>
      <c r="K1477" s="7">
        <f>IF($A1477="","",S1477*N1477)</f>
        <v/>
      </c>
      <c r="L1477" s="7">
        <f>IF($A1477="","",N1477-K1477)</f>
        <v/>
      </c>
      <c r="M1477" s="7">
        <f>IF($A1477="","",L1477-F1477)</f>
        <v/>
      </c>
      <c r="N1477" s="7" t="n"/>
      <c r="Q1477" s="11" t="n"/>
      <c r="S1477">
        <f>IF($A1477="","",IF($W1477=1,Settings!$C$6,Settings!$C$7)*1)</f>
        <v/>
      </c>
      <c r="U1477">
        <f>IF($A1477="","",IF(COUNTIF($A$2:$A1477,$A1477)=1,1,0))</f>
        <v/>
      </c>
      <c r="V1477">
        <f>IF($U1477=1,SUMPRODUCT(--($X$2:$X$3001&lt;$X1477))+1,"")</f>
        <v/>
      </c>
      <c r="W1477">
        <f>IF($A1477="","",IF(OR($T1477=TRUE(),$T1477="TRUE"),1,0))</f>
        <v/>
      </c>
      <c r="X1477">
        <f>IF($U1477=1,IFERROR(IF(VALUE($A1477)&lt;100000000,VALUE($A1477),1000000000),IFERROR(IF(VALUE(MID($A1477,2,20))&lt;100000000,VALUE(MID($A1477,2,20)),1000000000),1000000000))+ROW()/100000,"")</f>
        <v/>
      </c>
    </row>
    <row r="1478">
      <c r="F1478" s="7">
        <f>IF($A1478="","",E1478*N1478/100)</f>
        <v/>
      </c>
      <c r="J1478" s="7" t="n"/>
      <c r="K1478" s="7">
        <f>IF($A1478="","",S1478*N1478)</f>
        <v/>
      </c>
      <c r="L1478" s="7">
        <f>IF($A1478="","",N1478-K1478)</f>
        <v/>
      </c>
      <c r="M1478" s="7">
        <f>IF($A1478="","",L1478-F1478)</f>
        <v/>
      </c>
      <c r="N1478" s="7" t="n"/>
      <c r="Q1478" s="11" t="n"/>
      <c r="S1478">
        <f>IF($A1478="","",IF($W1478=1,Settings!$C$6,Settings!$C$7)*1)</f>
        <v/>
      </c>
      <c r="U1478">
        <f>IF($A1478="","",IF(COUNTIF($A$2:$A1478,$A1478)=1,1,0))</f>
        <v/>
      </c>
      <c r="V1478">
        <f>IF($U1478=1,SUMPRODUCT(--($X$2:$X$3001&lt;$X1478))+1,"")</f>
        <v/>
      </c>
      <c r="W1478">
        <f>IF($A1478="","",IF(OR($T1478=TRUE(),$T1478="TRUE"),1,0))</f>
        <v/>
      </c>
      <c r="X1478">
        <f>IF($U1478=1,IFERROR(IF(VALUE($A1478)&lt;100000000,VALUE($A1478),1000000000),IFERROR(IF(VALUE(MID($A1478,2,20))&lt;100000000,VALUE(MID($A1478,2,20)),1000000000),1000000000))+ROW()/100000,"")</f>
        <v/>
      </c>
    </row>
    <row r="1479">
      <c r="F1479" s="7">
        <f>IF($A1479="","",E1479*N1479/100)</f>
        <v/>
      </c>
      <c r="J1479" s="7" t="n"/>
      <c r="K1479" s="7">
        <f>IF($A1479="","",S1479*N1479)</f>
        <v/>
      </c>
      <c r="L1479" s="7">
        <f>IF($A1479="","",N1479-K1479)</f>
        <v/>
      </c>
      <c r="M1479" s="7">
        <f>IF($A1479="","",L1479-F1479)</f>
        <v/>
      </c>
      <c r="N1479" s="7" t="n"/>
      <c r="Q1479" s="11" t="n"/>
      <c r="S1479">
        <f>IF($A1479="","",IF($W1479=1,Settings!$C$6,Settings!$C$7)*1)</f>
        <v/>
      </c>
      <c r="U1479">
        <f>IF($A1479="","",IF(COUNTIF($A$2:$A1479,$A1479)=1,1,0))</f>
        <v/>
      </c>
      <c r="V1479">
        <f>IF($U1479=1,SUMPRODUCT(--($X$2:$X$3001&lt;$X1479))+1,"")</f>
        <v/>
      </c>
      <c r="W1479">
        <f>IF($A1479="","",IF(OR($T1479=TRUE(),$T1479="TRUE"),1,0))</f>
        <v/>
      </c>
      <c r="X1479">
        <f>IF($U1479=1,IFERROR(IF(VALUE($A1479)&lt;100000000,VALUE($A1479),1000000000),IFERROR(IF(VALUE(MID($A1479,2,20))&lt;100000000,VALUE(MID($A1479,2,20)),1000000000),1000000000))+ROW()/100000,"")</f>
        <v/>
      </c>
    </row>
    <row r="1480">
      <c r="F1480" s="7">
        <f>IF($A1480="","",E1480*N1480/100)</f>
        <v/>
      </c>
      <c r="J1480" s="7" t="n"/>
      <c r="K1480" s="7">
        <f>IF($A1480="","",S1480*N1480)</f>
        <v/>
      </c>
      <c r="L1480" s="7">
        <f>IF($A1480="","",N1480-K1480)</f>
        <v/>
      </c>
      <c r="M1480" s="7">
        <f>IF($A1480="","",L1480-F1480)</f>
        <v/>
      </c>
      <c r="N1480" s="7" t="n"/>
      <c r="Q1480" s="11" t="n"/>
      <c r="S1480">
        <f>IF($A1480="","",IF($W1480=1,Settings!$C$6,Settings!$C$7)*1)</f>
        <v/>
      </c>
      <c r="U1480">
        <f>IF($A1480="","",IF(COUNTIF($A$2:$A1480,$A1480)=1,1,0))</f>
        <v/>
      </c>
      <c r="V1480">
        <f>IF($U1480=1,SUMPRODUCT(--($X$2:$X$3001&lt;$X1480))+1,"")</f>
        <v/>
      </c>
      <c r="W1480">
        <f>IF($A1480="","",IF(OR($T1480=TRUE(),$T1480="TRUE"),1,0))</f>
        <v/>
      </c>
      <c r="X1480">
        <f>IF($U1480=1,IFERROR(IF(VALUE($A1480)&lt;100000000,VALUE($A1480),1000000000),IFERROR(IF(VALUE(MID($A1480,2,20))&lt;100000000,VALUE(MID($A1480,2,20)),1000000000),1000000000))+ROW()/100000,"")</f>
        <v/>
      </c>
    </row>
    <row r="1481">
      <c r="F1481" s="7">
        <f>IF($A1481="","",E1481*N1481/100)</f>
        <v/>
      </c>
      <c r="J1481" s="7" t="n"/>
      <c r="K1481" s="7">
        <f>IF($A1481="","",S1481*N1481)</f>
        <v/>
      </c>
      <c r="L1481" s="7">
        <f>IF($A1481="","",N1481-K1481)</f>
        <v/>
      </c>
      <c r="M1481" s="7">
        <f>IF($A1481="","",L1481-F1481)</f>
        <v/>
      </c>
      <c r="N1481" s="7" t="n"/>
      <c r="Q1481" s="11" t="n"/>
      <c r="S1481">
        <f>IF($A1481="","",IF($W1481=1,Settings!$C$6,Settings!$C$7)*1)</f>
        <v/>
      </c>
      <c r="U1481">
        <f>IF($A1481="","",IF(COUNTIF($A$2:$A1481,$A1481)=1,1,0))</f>
        <v/>
      </c>
      <c r="V1481">
        <f>IF($U1481=1,SUMPRODUCT(--($X$2:$X$3001&lt;$X1481))+1,"")</f>
        <v/>
      </c>
      <c r="W1481">
        <f>IF($A1481="","",IF(OR($T1481=TRUE(),$T1481="TRUE"),1,0))</f>
        <v/>
      </c>
      <c r="X1481">
        <f>IF($U1481=1,IFERROR(IF(VALUE($A1481)&lt;100000000,VALUE($A1481),1000000000),IFERROR(IF(VALUE(MID($A1481,2,20))&lt;100000000,VALUE(MID($A1481,2,20)),1000000000),1000000000))+ROW()/100000,"")</f>
        <v/>
      </c>
    </row>
    <row r="1482">
      <c r="F1482" s="7">
        <f>IF($A1482="","",E1482*N1482/100)</f>
        <v/>
      </c>
      <c r="J1482" s="7" t="n"/>
      <c r="K1482" s="7">
        <f>IF($A1482="","",S1482*N1482)</f>
        <v/>
      </c>
      <c r="L1482" s="7">
        <f>IF($A1482="","",N1482-K1482)</f>
        <v/>
      </c>
      <c r="M1482" s="7">
        <f>IF($A1482="","",L1482-F1482)</f>
        <v/>
      </c>
      <c r="N1482" s="7" t="n"/>
      <c r="Q1482" s="11" t="n"/>
      <c r="S1482">
        <f>IF($A1482="","",IF($W1482=1,Settings!$C$6,Settings!$C$7)*1)</f>
        <v/>
      </c>
      <c r="U1482">
        <f>IF($A1482="","",IF(COUNTIF($A$2:$A1482,$A1482)=1,1,0))</f>
        <v/>
      </c>
      <c r="V1482">
        <f>IF($U1482=1,SUMPRODUCT(--($X$2:$X$3001&lt;$X1482))+1,"")</f>
        <v/>
      </c>
      <c r="W1482">
        <f>IF($A1482="","",IF(OR($T1482=TRUE(),$T1482="TRUE"),1,0))</f>
        <v/>
      </c>
      <c r="X1482">
        <f>IF($U1482=1,IFERROR(IF(VALUE($A1482)&lt;100000000,VALUE($A1482),1000000000),IFERROR(IF(VALUE(MID($A1482,2,20))&lt;100000000,VALUE(MID($A1482,2,20)),1000000000),1000000000))+ROW()/100000,"")</f>
        <v/>
      </c>
    </row>
    <row r="1483">
      <c r="F1483" s="7">
        <f>IF($A1483="","",E1483*N1483/100)</f>
        <v/>
      </c>
      <c r="J1483" s="7" t="n"/>
      <c r="K1483" s="7">
        <f>IF($A1483="","",S1483*N1483)</f>
        <v/>
      </c>
      <c r="L1483" s="7">
        <f>IF($A1483="","",N1483-K1483)</f>
        <v/>
      </c>
      <c r="M1483" s="7">
        <f>IF($A1483="","",L1483-F1483)</f>
        <v/>
      </c>
      <c r="N1483" s="7" t="n"/>
      <c r="Q1483" s="11" t="n"/>
      <c r="S1483">
        <f>IF($A1483="","",IF($W1483=1,Settings!$C$6,Settings!$C$7)*1)</f>
        <v/>
      </c>
      <c r="U1483">
        <f>IF($A1483="","",IF(COUNTIF($A$2:$A1483,$A1483)=1,1,0))</f>
        <v/>
      </c>
      <c r="V1483">
        <f>IF($U1483=1,SUMPRODUCT(--($X$2:$X$3001&lt;$X1483))+1,"")</f>
        <v/>
      </c>
      <c r="W1483">
        <f>IF($A1483="","",IF(OR($T1483=TRUE(),$T1483="TRUE"),1,0))</f>
        <v/>
      </c>
      <c r="X1483">
        <f>IF($U1483=1,IFERROR(IF(VALUE($A1483)&lt;100000000,VALUE($A1483),1000000000),IFERROR(IF(VALUE(MID($A1483,2,20))&lt;100000000,VALUE(MID($A1483,2,20)),1000000000),1000000000))+ROW()/100000,"")</f>
        <v/>
      </c>
    </row>
    <row r="1484">
      <c r="F1484" s="7">
        <f>IF($A1484="","",E1484*N1484/100)</f>
        <v/>
      </c>
      <c r="J1484" s="7" t="n"/>
      <c r="K1484" s="7">
        <f>IF($A1484="","",S1484*N1484)</f>
        <v/>
      </c>
      <c r="L1484" s="7">
        <f>IF($A1484="","",N1484-K1484)</f>
        <v/>
      </c>
      <c r="M1484" s="7">
        <f>IF($A1484="","",L1484-F1484)</f>
        <v/>
      </c>
      <c r="N1484" s="7" t="n"/>
      <c r="Q1484" s="11" t="n"/>
      <c r="S1484">
        <f>IF($A1484="","",IF($W1484=1,Settings!$C$6,Settings!$C$7)*1)</f>
        <v/>
      </c>
      <c r="U1484">
        <f>IF($A1484="","",IF(COUNTIF($A$2:$A1484,$A1484)=1,1,0))</f>
        <v/>
      </c>
      <c r="V1484">
        <f>IF($U1484=1,SUMPRODUCT(--($X$2:$X$3001&lt;$X1484))+1,"")</f>
        <v/>
      </c>
      <c r="W1484">
        <f>IF($A1484="","",IF(OR($T1484=TRUE(),$T1484="TRUE"),1,0))</f>
        <v/>
      </c>
      <c r="X1484">
        <f>IF($U1484=1,IFERROR(IF(VALUE($A1484)&lt;100000000,VALUE($A1484),1000000000),IFERROR(IF(VALUE(MID($A1484,2,20))&lt;100000000,VALUE(MID($A1484,2,20)),1000000000),1000000000))+ROW()/100000,"")</f>
        <v/>
      </c>
    </row>
    <row r="1485">
      <c r="F1485" s="7">
        <f>IF($A1485="","",E1485*N1485/100)</f>
        <v/>
      </c>
      <c r="J1485" s="7" t="n"/>
      <c r="K1485" s="7">
        <f>IF($A1485="","",S1485*N1485)</f>
        <v/>
      </c>
      <c r="L1485" s="7">
        <f>IF($A1485="","",N1485-K1485)</f>
        <v/>
      </c>
      <c r="M1485" s="7">
        <f>IF($A1485="","",L1485-F1485)</f>
        <v/>
      </c>
      <c r="N1485" s="7" t="n"/>
      <c r="Q1485" s="11" t="n"/>
      <c r="S1485">
        <f>IF($A1485="","",IF($W1485=1,Settings!$C$6,Settings!$C$7)*1)</f>
        <v/>
      </c>
      <c r="U1485">
        <f>IF($A1485="","",IF(COUNTIF($A$2:$A1485,$A1485)=1,1,0))</f>
        <v/>
      </c>
      <c r="V1485">
        <f>IF($U1485=1,SUMPRODUCT(--($X$2:$X$3001&lt;$X1485))+1,"")</f>
        <v/>
      </c>
      <c r="W1485">
        <f>IF($A1485="","",IF(OR($T1485=TRUE(),$T1485="TRUE"),1,0))</f>
        <v/>
      </c>
      <c r="X1485">
        <f>IF($U1485=1,IFERROR(IF(VALUE($A1485)&lt;100000000,VALUE($A1485),1000000000),IFERROR(IF(VALUE(MID($A1485,2,20))&lt;100000000,VALUE(MID($A1485,2,20)),1000000000),1000000000))+ROW()/100000,"")</f>
        <v/>
      </c>
    </row>
    <row r="1486">
      <c r="F1486" s="7">
        <f>IF($A1486="","",E1486*N1486/100)</f>
        <v/>
      </c>
      <c r="J1486" s="7" t="n"/>
      <c r="K1486" s="7">
        <f>IF($A1486="","",S1486*N1486)</f>
        <v/>
      </c>
      <c r="L1486" s="7">
        <f>IF($A1486="","",N1486-K1486)</f>
        <v/>
      </c>
      <c r="M1486" s="7">
        <f>IF($A1486="","",L1486-F1486)</f>
        <v/>
      </c>
      <c r="N1486" s="7" t="n"/>
      <c r="Q1486" s="11" t="n"/>
      <c r="S1486">
        <f>IF($A1486="","",IF($W1486=1,Settings!$C$6,Settings!$C$7)*1)</f>
        <v/>
      </c>
      <c r="U1486">
        <f>IF($A1486="","",IF(COUNTIF($A$2:$A1486,$A1486)=1,1,0))</f>
        <v/>
      </c>
      <c r="V1486">
        <f>IF($U1486=1,SUMPRODUCT(--($X$2:$X$3001&lt;$X1486))+1,"")</f>
        <v/>
      </c>
      <c r="W1486">
        <f>IF($A1486="","",IF(OR($T1486=TRUE(),$T1486="TRUE"),1,0))</f>
        <v/>
      </c>
      <c r="X1486">
        <f>IF($U1486=1,IFERROR(IF(VALUE($A1486)&lt;100000000,VALUE($A1486),1000000000),IFERROR(IF(VALUE(MID($A1486,2,20))&lt;100000000,VALUE(MID($A1486,2,20)),1000000000),1000000000))+ROW()/100000,"")</f>
        <v/>
      </c>
    </row>
    <row r="1487">
      <c r="F1487" s="7">
        <f>IF($A1487="","",E1487*N1487/100)</f>
        <v/>
      </c>
      <c r="J1487" s="7" t="n"/>
      <c r="K1487" s="7">
        <f>IF($A1487="","",S1487*N1487)</f>
        <v/>
      </c>
      <c r="L1487" s="7">
        <f>IF($A1487="","",N1487-K1487)</f>
        <v/>
      </c>
      <c r="M1487" s="7">
        <f>IF($A1487="","",L1487-F1487)</f>
        <v/>
      </c>
      <c r="N1487" s="7" t="n"/>
      <c r="Q1487" s="11" t="n"/>
      <c r="S1487">
        <f>IF($A1487="","",IF($W1487=1,Settings!$C$6,Settings!$C$7)*1)</f>
        <v/>
      </c>
      <c r="U1487">
        <f>IF($A1487="","",IF(COUNTIF($A$2:$A1487,$A1487)=1,1,0))</f>
        <v/>
      </c>
      <c r="V1487">
        <f>IF($U1487=1,SUMPRODUCT(--($X$2:$X$3001&lt;$X1487))+1,"")</f>
        <v/>
      </c>
      <c r="W1487">
        <f>IF($A1487="","",IF(OR($T1487=TRUE(),$T1487="TRUE"),1,0))</f>
        <v/>
      </c>
      <c r="X1487">
        <f>IF($U1487=1,IFERROR(IF(VALUE($A1487)&lt;100000000,VALUE($A1487),1000000000),IFERROR(IF(VALUE(MID($A1487,2,20))&lt;100000000,VALUE(MID($A1487,2,20)),1000000000),1000000000))+ROW()/100000,"")</f>
        <v/>
      </c>
    </row>
    <row r="1488">
      <c r="F1488" s="7">
        <f>IF($A1488="","",E1488*N1488/100)</f>
        <v/>
      </c>
      <c r="J1488" s="7" t="n"/>
      <c r="K1488" s="7">
        <f>IF($A1488="","",S1488*N1488)</f>
        <v/>
      </c>
      <c r="L1488" s="7">
        <f>IF($A1488="","",N1488-K1488)</f>
        <v/>
      </c>
      <c r="M1488" s="7">
        <f>IF($A1488="","",L1488-F1488)</f>
        <v/>
      </c>
      <c r="N1488" s="7" t="n"/>
      <c r="Q1488" s="11" t="n"/>
      <c r="S1488">
        <f>IF($A1488="","",IF($W1488=1,Settings!$C$6,Settings!$C$7)*1)</f>
        <v/>
      </c>
      <c r="U1488">
        <f>IF($A1488="","",IF(COUNTIF($A$2:$A1488,$A1488)=1,1,0))</f>
        <v/>
      </c>
      <c r="V1488">
        <f>IF($U1488=1,SUMPRODUCT(--($X$2:$X$3001&lt;$X1488))+1,"")</f>
        <v/>
      </c>
      <c r="W1488">
        <f>IF($A1488="","",IF(OR($T1488=TRUE(),$T1488="TRUE"),1,0))</f>
        <v/>
      </c>
      <c r="X1488">
        <f>IF($U1488=1,IFERROR(IF(VALUE($A1488)&lt;100000000,VALUE($A1488),1000000000),IFERROR(IF(VALUE(MID($A1488,2,20))&lt;100000000,VALUE(MID($A1488,2,20)),1000000000),1000000000))+ROW()/100000,"")</f>
        <v/>
      </c>
    </row>
    <row r="1489">
      <c r="F1489" s="7">
        <f>IF($A1489="","",E1489*N1489/100)</f>
        <v/>
      </c>
      <c r="J1489" s="7" t="n"/>
      <c r="K1489" s="7">
        <f>IF($A1489="","",S1489*N1489)</f>
        <v/>
      </c>
      <c r="L1489" s="7">
        <f>IF($A1489="","",N1489-K1489)</f>
        <v/>
      </c>
      <c r="M1489" s="7">
        <f>IF($A1489="","",L1489-F1489)</f>
        <v/>
      </c>
      <c r="N1489" s="7" t="n"/>
      <c r="Q1489" s="11" t="n"/>
      <c r="S1489">
        <f>IF($A1489="","",IF($W1489=1,Settings!$C$6,Settings!$C$7)*1)</f>
        <v/>
      </c>
      <c r="U1489">
        <f>IF($A1489="","",IF(COUNTIF($A$2:$A1489,$A1489)=1,1,0))</f>
        <v/>
      </c>
      <c r="V1489">
        <f>IF($U1489=1,SUMPRODUCT(--($X$2:$X$3001&lt;$X1489))+1,"")</f>
        <v/>
      </c>
      <c r="W1489">
        <f>IF($A1489="","",IF(OR($T1489=TRUE(),$T1489="TRUE"),1,0))</f>
        <v/>
      </c>
      <c r="X1489">
        <f>IF($U1489=1,IFERROR(IF(VALUE($A1489)&lt;100000000,VALUE($A1489),1000000000),IFERROR(IF(VALUE(MID($A1489,2,20))&lt;100000000,VALUE(MID($A1489,2,20)),1000000000),1000000000))+ROW()/100000,"")</f>
        <v/>
      </c>
    </row>
    <row r="1490">
      <c r="F1490" s="7">
        <f>IF($A1490="","",E1490*N1490/100)</f>
        <v/>
      </c>
      <c r="J1490" s="7" t="n"/>
      <c r="K1490" s="7">
        <f>IF($A1490="","",S1490*N1490)</f>
        <v/>
      </c>
      <c r="L1490" s="7">
        <f>IF($A1490="","",N1490-K1490)</f>
        <v/>
      </c>
      <c r="M1490" s="7">
        <f>IF($A1490="","",L1490-F1490)</f>
        <v/>
      </c>
      <c r="N1490" s="7" t="n"/>
      <c r="Q1490" s="11" t="n"/>
      <c r="S1490">
        <f>IF($A1490="","",IF($W1490=1,Settings!$C$6,Settings!$C$7)*1)</f>
        <v/>
      </c>
      <c r="U1490">
        <f>IF($A1490="","",IF(COUNTIF($A$2:$A1490,$A1490)=1,1,0))</f>
        <v/>
      </c>
      <c r="V1490">
        <f>IF($U1490=1,SUMPRODUCT(--($X$2:$X$3001&lt;$X1490))+1,"")</f>
        <v/>
      </c>
      <c r="W1490">
        <f>IF($A1490="","",IF(OR($T1490=TRUE(),$T1490="TRUE"),1,0))</f>
        <v/>
      </c>
      <c r="X1490">
        <f>IF($U1490=1,IFERROR(IF(VALUE($A1490)&lt;100000000,VALUE($A1490),1000000000),IFERROR(IF(VALUE(MID($A1490,2,20))&lt;100000000,VALUE(MID($A1490,2,20)),1000000000),1000000000))+ROW()/100000,"")</f>
        <v/>
      </c>
    </row>
    <row r="1491">
      <c r="F1491" s="7">
        <f>IF($A1491="","",E1491*N1491/100)</f>
        <v/>
      </c>
      <c r="J1491" s="7" t="n"/>
      <c r="K1491" s="7">
        <f>IF($A1491="","",S1491*N1491)</f>
        <v/>
      </c>
      <c r="L1491" s="7">
        <f>IF($A1491="","",N1491-K1491)</f>
        <v/>
      </c>
      <c r="M1491" s="7">
        <f>IF($A1491="","",L1491-F1491)</f>
        <v/>
      </c>
      <c r="N1491" s="7" t="n"/>
      <c r="Q1491" s="11" t="n"/>
      <c r="S1491">
        <f>IF($A1491="","",IF($W1491=1,Settings!$C$6,Settings!$C$7)*1)</f>
        <v/>
      </c>
      <c r="U1491">
        <f>IF($A1491="","",IF(COUNTIF($A$2:$A1491,$A1491)=1,1,0))</f>
        <v/>
      </c>
      <c r="V1491">
        <f>IF($U1491=1,SUMPRODUCT(--($X$2:$X$3001&lt;$X1491))+1,"")</f>
        <v/>
      </c>
      <c r="W1491">
        <f>IF($A1491="","",IF(OR($T1491=TRUE(),$T1491="TRUE"),1,0))</f>
        <v/>
      </c>
      <c r="X1491">
        <f>IF($U1491=1,IFERROR(IF(VALUE($A1491)&lt;100000000,VALUE($A1491),1000000000),IFERROR(IF(VALUE(MID($A1491,2,20))&lt;100000000,VALUE(MID($A1491,2,20)),1000000000),1000000000))+ROW()/100000,"")</f>
        <v/>
      </c>
    </row>
    <row r="1492">
      <c r="F1492" s="7">
        <f>IF($A1492="","",E1492*N1492/100)</f>
        <v/>
      </c>
      <c r="J1492" s="7" t="n"/>
      <c r="K1492" s="7">
        <f>IF($A1492="","",S1492*N1492)</f>
        <v/>
      </c>
      <c r="L1492" s="7">
        <f>IF($A1492="","",N1492-K1492)</f>
        <v/>
      </c>
      <c r="M1492" s="7">
        <f>IF($A1492="","",L1492-F1492)</f>
        <v/>
      </c>
      <c r="N1492" s="7" t="n"/>
      <c r="Q1492" s="11" t="n"/>
      <c r="S1492">
        <f>IF($A1492="","",IF($W1492=1,Settings!$C$6,Settings!$C$7)*1)</f>
        <v/>
      </c>
      <c r="U1492">
        <f>IF($A1492="","",IF(COUNTIF($A$2:$A1492,$A1492)=1,1,0))</f>
        <v/>
      </c>
      <c r="V1492">
        <f>IF($U1492=1,SUMPRODUCT(--($X$2:$X$3001&lt;$X1492))+1,"")</f>
        <v/>
      </c>
      <c r="W1492">
        <f>IF($A1492="","",IF(OR($T1492=TRUE(),$T1492="TRUE"),1,0))</f>
        <v/>
      </c>
      <c r="X1492">
        <f>IF($U1492=1,IFERROR(IF(VALUE($A1492)&lt;100000000,VALUE($A1492),1000000000),IFERROR(IF(VALUE(MID($A1492,2,20))&lt;100000000,VALUE(MID($A1492,2,20)),1000000000),1000000000))+ROW()/100000,"")</f>
        <v/>
      </c>
    </row>
    <row r="1493">
      <c r="F1493" s="7">
        <f>IF($A1493="","",E1493*N1493/100)</f>
        <v/>
      </c>
      <c r="J1493" s="7" t="n"/>
      <c r="K1493" s="7">
        <f>IF($A1493="","",S1493*N1493)</f>
        <v/>
      </c>
      <c r="L1493" s="7">
        <f>IF($A1493="","",N1493-K1493)</f>
        <v/>
      </c>
      <c r="M1493" s="7">
        <f>IF($A1493="","",L1493-F1493)</f>
        <v/>
      </c>
      <c r="N1493" s="7" t="n"/>
      <c r="Q1493" s="11" t="n"/>
      <c r="S1493">
        <f>IF($A1493="","",IF($W1493=1,Settings!$C$6,Settings!$C$7)*1)</f>
        <v/>
      </c>
      <c r="U1493">
        <f>IF($A1493="","",IF(COUNTIF($A$2:$A1493,$A1493)=1,1,0))</f>
        <v/>
      </c>
      <c r="V1493">
        <f>IF($U1493=1,SUMPRODUCT(--($X$2:$X$3001&lt;$X1493))+1,"")</f>
        <v/>
      </c>
      <c r="W1493">
        <f>IF($A1493="","",IF(OR($T1493=TRUE(),$T1493="TRUE"),1,0))</f>
        <v/>
      </c>
      <c r="X1493">
        <f>IF($U1493=1,IFERROR(IF(VALUE($A1493)&lt;100000000,VALUE($A1493),1000000000),IFERROR(IF(VALUE(MID($A1493,2,20))&lt;100000000,VALUE(MID($A1493,2,20)),1000000000),1000000000))+ROW()/100000,"")</f>
        <v/>
      </c>
    </row>
    <row r="1494">
      <c r="F1494" s="7">
        <f>IF($A1494="","",E1494*N1494/100)</f>
        <v/>
      </c>
      <c r="J1494" s="7" t="n"/>
      <c r="K1494" s="7">
        <f>IF($A1494="","",S1494*N1494)</f>
        <v/>
      </c>
      <c r="L1494" s="7">
        <f>IF($A1494="","",N1494-K1494)</f>
        <v/>
      </c>
      <c r="M1494" s="7">
        <f>IF($A1494="","",L1494-F1494)</f>
        <v/>
      </c>
      <c r="N1494" s="7" t="n"/>
      <c r="Q1494" s="11" t="n"/>
      <c r="S1494">
        <f>IF($A1494="","",IF($W1494=1,Settings!$C$6,Settings!$C$7)*1)</f>
        <v/>
      </c>
      <c r="U1494">
        <f>IF($A1494="","",IF(COUNTIF($A$2:$A1494,$A1494)=1,1,0))</f>
        <v/>
      </c>
      <c r="V1494">
        <f>IF($U1494=1,SUMPRODUCT(--($X$2:$X$3001&lt;$X1494))+1,"")</f>
        <v/>
      </c>
      <c r="W1494">
        <f>IF($A1494="","",IF(OR($T1494=TRUE(),$T1494="TRUE"),1,0))</f>
        <v/>
      </c>
      <c r="X1494">
        <f>IF($U1494=1,IFERROR(IF(VALUE($A1494)&lt;100000000,VALUE($A1494),1000000000),IFERROR(IF(VALUE(MID($A1494,2,20))&lt;100000000,VALUE(MID($A1494,2,20)),1000000000),1000000000))+ROW()/100000,"")</f>
        <v/>
      </c>
    </row>
    <row r="1495">
      <c r="F1495" s="7">
        <f>IF($A1495="","",E1495*N1495/100)</f>
        <v/>
      </c>
      <c r="J1495" s="7" t="n"/>
      <c r="K1495" s="7">
        <f>IF($A1495="","",S1495*N1495)</f>
        <v/>
      </c>
      <c r="L1495" s="7">
        <f>IF($A1495="","",N1495-K1495)</f>
        <v/>
      </c>
      <c r="M1495" s="7">
        <f>IF($A1495="","",L1495-F1495)</f>
        <v/>
      </c>
      <c r="N1495" s="7" t="n"/>
      <c r="Q1495" s="11" t="n"/>
      <c r="S1495">
        <f>IF($A1495="","",IF($W1495=1,Settings!$C$6,Settings!$C$7)*1)</f>
        <v/>
      </c>
      <c r="U1495">
        <f>IF($A1495="","",IF(COUNTIF($A$2:$A1495,$A1495)=1,1,0))</f>
        <v/>
      </c>
      <c r="V1495">
        <f>IF($U1495=1,SUMPRODUCT(--($X$2:$X$3001&lt;$X1495))+1,"")</f>
        <v/>
      </c>
      <c r="W1495">
        <f>IF($A1495="","",IF(OR($T1495=TRUE(),$T1495="TRUE"),1,0))</f>
        <v/>
      </c>
      <c r="X1495">
        <f>IF($U1495=1,IFERROR(IF(VALUE($A1495)&lt;100000000,VALUE($A1495),1000000000),IFERROR(IF(VALUE(MID($A1495,2,20))&lt;100000000,VALUE(MID($A1495,2,20)),1000000000),1000000000))+ROW()/100000,"")</f>
        <v/>
      </c>
    </row>
    <row r="1496">
      <c r="F1496" s="7">
        <f>IF($A1496="","",E1496*N1496/100)</f>
        <v/>
      </c>
      <c r="J1496" s="7" t="n"/>
      <c r="K1496" s="7">
        <f>IF($A1496="","",S1496*N1496)</f>
        <v/>
      </c>
      <c r="L1496" s="7">
        <f>IF($A1496="","",N1496-K1496)</f>
        <v/>
      </c>
      <c r="M1496" s="7">
        <f>IF($A1496="","",L1496-F1496)</f>
        <v/>
      </c>
      <c r="N1496" s="7" t="n"/>
      <c r="Q1496" s="11" t="n"/>
      <c r="S1496">
        <f>IF($A1496="","",IF($W1496=1,Settings!$C$6,Settings!$C$7)*1)</f>
        <v/>
      </c>
      <c r="U1496">
        <f>IF($A1496="","",IF(COUNTIF($A$2:$A1496,$A1496)=1,1,0))</f>
        <v/>
      </c>
      <c r="V1496">
        <f>IF($U1496=1,SUMPRODUCT(--($X$2:$X$3001&lt;$X1496))+1,"")</f>
        <v/>
      </c>
      <c r="W1496">
        <f>IF($A1496="","",IF(OR($T1496=TRUE(),$T1496="TRUE"),1,0))</f>
        <v/>
      </c>
      <c r="X1496">
        <f>IF($U1496=1,IFERROR(IF(VALUE($A1496)&lt;100000000,VALUE($A1496),1000000000),IFERROR(IF(VALUE(MID($A1496,2,20))&lt;100000000,VALUE(MID($A1496,2,20)),1000000000),1000000000))+ROW()/100000,"")</f>
        <v/>
      </c>
    </row>
    <row r="1497">
      <c r="F1497" s="7">
        <f>IF($A1497="","",E1497*N1497/100)</f>
        <v/>
      </c>
      <c r="J1497" s="7" t="n"/>
      <c r="K1497" s="7">
        <f>IF($A1497="","",S1497*N1497)</f>
        <v/>
      </c>
      <c r="L1497" s="7">
        <f>IF($A1497="","",N1497-K1497)</f>
        <v/>
      </c>
      <c r="M1497" s="7">
        <f>IF($A1497="","",L1497-F1497)</f>
        <v/>
      </c>
      <c r="N1497" s="7" t="n"/>
      <c r="Q1497" s="11" t="n"/>
      <c r="S1497">
        <f>IF($A1497="","",IF($W1497=1,Settings!$C$6,Settings!$C$7)*1)</f>
        <v/>
      </c>
      <c r="U1497">
        <f>IF($A1497="","",IF(COUNTIF($A$2:$A1497,$A1497)=1,1,0))</f>
        <v/>
      </c>
      <c r="V1497">
        <f>IF($U1497=1,SUMPRODUCT(--($X$2:$X$3001&lt;$X1497))+1,"")</f>
        <v/>
      </c>
      <c r="W1497">
        <f>IF($A1497="","",IF(OR($T1497=TRUE(),$T1497="TRUE"),1,0))</f>
        <v/>
      </c>
      <c r="X1497">
        <f>IF($U1497=1,IFERROR(IF(VALUE($A1497)&lt;100000000,VALUE($A1497),1000000000),IFERROR(IF(VALUE(MID($A1497,2,20))&lt;100000000,VALUE(MID($A1497,2,20)),1000000000),1000000000))+ROW()/100000,"")</f>
        <v/>
      </c>
    </row>
    <row r="1498">
      <c r="F1498" s="7">
        <f>IF($A1498="","",E1498*N1498/100)</f>
        <v/>
      </c>
      <c r="J1498" s="7" t="n"/>
      <c r="K1498" s="7">
        <f>IF($A1498="","",S1498*N1498)</f>
        <v/>
      </c>
      <c r="L1498" s="7">
        <f>IF($A1498="","",N1498-K1498)</f>
        <v/>
      </c>
      <c r="M1498" s="7">
        <f>IF($A1498="","",L1498-F1498)</f>
        <v/>
      </c>
      <c r="N1498" s="7" t="n"/>
      <c r="Q1498" s="11" t="n"/>
      <c r="S1498">
        <f>IF($A1498="","",IF($W1498=1,Settings!$C$6,Settings!$C$7)*1)</f>
        <v/>
      </c>
      <c r="U1498">
        <f>IF($A1498="","",IF(COUNTIF($A$2:$A1498,$A1498)=1,1,0))</f>
        <v/>
      </c>
      <c r="V1498">
        <f>IF($U1498=1,SUMPRODUCT(--($X$2:$X$3001&lt;$X1498))+1,"")</f>
        <v/>
      </c>
      <c r="W1498">
        <f>IF($A1498="","",IF(OR($T1498=TRUE(),$T1498="TRUE"),1,0))</f>
        <v/>
      </c>
      <c r="X1498">
        <f>IF($U1498=1,IFERROR(IF(VALUE($A1498)&lt;100000000,VALUE($A1498),1000000000),IFERROR(IF(VALUE(MID($A1498,2,20))&lt;100000000,VALUE(MID($A1498,2,20)),1000000000),1000000000))+ROW()/100000,"")</f>
        <v/>
      </c>
    </row>
    <row r="1499">
      <c r="F1499" s="7">
        <f>IF($A1499="","",E1499*N1499/100)</f>
        <v/>
      </c>
      <c r="J1499" s="7" t="n"/>
      <c r="K1499" s="7">
        <f>IF($A1499="","",S1499*N1499)</f>
        <v/>
      </c>
      <c r="L1499" s="7">
        <f>IF($A1499="","",N1499-K1499)</f>
        <v/>
      </c>
      <c r="M1499" s="7">
        <f>IF($A1499="","",L1499-F1499)</f>
        <v/>
      </c>
      <c r="N1499" s="7" t="n"/>
      <c r="Q1499" s="11" t="n"/>
      <c r="S1499">
        <f>IF($A1499="","",IF($W1499=1,Settings!$C$6,Settings!$C$7)*1)</f>
        <v/>
      </c>
      <c r="U1499">
        <f>IF($A1499="","",IF(COUNTIF($A$2:$A1499,$A1499)=1,1,0))</f>
        <v/>
      </c>
      <c r="V1499">
        <f>IF($U1499=1,SUMPRODUCT(--($X$2:$X$3001&lt;$X1499))+1,"")</f>
        <v/>
      </c>
      <c r="W1499">
        <f>IF($A1499="","",IF(OR($T1499=TRUE(),$T1499="TRUE"),1,0))</f>
        <v/>
      </c>
      <c r="X1499">
        <f>IF($U1499=1,IFERROR(IF(VALUE($A1499)&lt;100000000,VALUE($A1499),1000000000),IFERROR(IF(VALUE(MID($A1499,2,20))&lt;100000000,VALUE(MID($A1499,2,20)),1000000000),1000000000))+ROW()/100000,"")</f>
        <v/>
      </c>
    </row>
    <row r="1500">
      <c r="F1500" s="7">
        <f>IF($A1500="","",E1500*N1500/100)</f>
        <v/>
      </c>
      <c r="J1500" s="7" t="n"/>
      <c r="K1500" s="7">
        <f>IF($A1500="","",S1500*N1500)</f>
        <v/>
      </c>
      <c r="L1500" s="7">
        <f>IF($A1500="","",N1500-K1500)</f>
        <v/>
      </c>
      <c r="M1500" s="7">
        <f>IF($A1500="","",L1500-F1500)</f>
        <v/>
      </c>
      <c r="N1500" s="7" t="n"/>
      <c r="Q1500" s="11" t="n"/>
      <c r="S1500">
        <f>IF($A1500="","",IF($W1500=1,Settings!$C$6,Settings!$C$7)*1)</f>
        <v/>
      </c>
      <c r="U1500">
        <f>IF($A1500="","",IF(COUNTIF($A$2:$A1500,$A1500)=1,1,0))</f>
        <v/>
      </c>
      <c r="V1500">
        <f>IF($U1500=1,SUMPRODUCT(--($X$2:$X$3001&lt;$X1500))+1,"")</f>
        <v/>
      </c>
      <c r="W1500">
        <f>IF($A1500="","",IF(OR($T1500=TRUE(),$T1500="TRUE"),1,0))</f>
        <v/>
      </c>
      <c r="X1500">
        <f>IF($U1500=1,IFERROR(IF(VALUE($A1500)&lt;100000000,VALUE($A1500),1000000000),IFERROR(IF(VALUE(MID($A1500,2,20))&lt;100000000,VALUE(MID($A1500,2,20)),1000000000),1000000000))+ROW()/100000,"")</f>
        <v/>
      </c>
    </row>
    <row r="1501">
      <c r="F1501" s="7">
        <f>IF($A1501="","",E1501*N1501/100)</f>
        <v/>
      </c>
      <c r="J1501" s="7" t="n"/>
      <c r="K1501" s="7">
        <f>IF($A1501="","",S1501*N1501)</f>
        <v/>
      </c>
      <c r="L1501" s="7">
        <f>IF($A1501="","",N1501-K1501)</f>
        <v/>
      </c>
      <c r="M1501" s="7">
        <f>IF($A1501="","",L1501-F1501)</f>
        <v/>
      </c>
      <c r="N1501" s="7" t="n"/>
      <c r="Q1501" s="11" t="n"/>
      <c r="S1501">
        <f>IF($A1501="","",IF($W1501=1,Settings!$C$6,Settings!$C$7)*1)</f>
        <v/>
      </c>
      <c r="U1501">
        <f>IF($A1501="","",IF(COUNTIF($A$2:$A1501,$A1501)=1,1,0))</f>
        <v/>
      </c>
      <c r="V1501">
        <f>IF($U1501=1,SUMPRODUCT(--($X$2:$X$3001&lt;$X1501))+1,"")</f>
        <v/>
      </c>
      <c r="W1501">
        <f>IF($A1501="","",IF(OR($T1501=TRUE(),$T1501="TRUE"),1,0))</f>
        <v/>
      </c>
      <c r="X1501">
        <f>IF($U1501=1,IFERROR(IF(VALUE($A1501)&lt;100000000,VALUE($A1501),1000000000),IFERROR(IF(VALUE(MID($A1501,2,20))&lt;100000000,VALUE(MID($A1501,2,20)),1000000000),1000000000))+ROW()/100000,"")</f>
        <v/>
      </c>
    </row>
    <row r="1502">
      <c r="F1502" s="7">
        <f>IF($A1502="","",E1502*N1502/100)</f>
        <v/>
      </c>
      <c r="J1502" s="7" t="n"/>
      <c r="K1502" s="7">
        <f>IF($A1502="","",S1502*N1502)</f>
        <v/>
      </c>
      <c r="L1502" s="7">
        <f>IF($A1502="","",N1502-K1502)</f>
        <v/>
      </c>
      <c r="M1502" s="7">
        <f>IF($A1502="","",L1502-F1502)</f>
        <v/>
      </c>
      <c r="N1502" s="7" t="n"/>
      <c r="Q1502" s="11" t="n"/>
      <c r="S1502">
        <f>IF($A1502="","",IF($W1502=1,Settings!$C$6,Settings!$C$7)*1)</f>
        <v/>
      </c>
      <c r="U1502">
        <f>IF($A1502="","",IF(COUNTIF($A$2:$A1502,$A1502)=1,1,0))</f>
        <v/>
      </c>
      <c r="V1502">
        <f>IF($U1502=1,SUMPRODUCT(--($X$2:$X$3001&lt;$X1502))+1,"")</f>
        <v/>
      </c>
      <c r="W1502">
        <f>IF($A1502="","",IF(OR($T1502=TRUE(),$T1502="TRUE"),1,0))</f>
        <v/>
      </c>
      <c r="X1502">
        <f>IF($U1502=1,IFERROR(IF(VALUE($A1502)&lt;100000000,VALUE($A1502),1000000000),IFERROR(IF(VALUE(MID($A1502,2,20))&lt;100000000,VALUE(MID($A1502,2,20)),1000000000),1000000000))+ROW()/100000,"")</f>
        <v/>
      </c>
    </row>
    <row r="1503">
      <c r="F1503" s="7">
        <f>IF($A1503="","",E1503*N1503/100)</f>
        <v/>
      </c>
      <c r="J1503" s="7" t="n"/>
      <c r="K1503" s="7">
        <f>IF($A1503="","",S1503*N1503)</f>
        <v/>
      </c>
      <c r="L1503" s="7">
        <f>IF($A1503="","",N1503-K1503)</f>
        <v/>
      </c>
      <c r="M1503" s="7">
        <f>IF($A1503="","",L1503-F1503)</f>
        <v/>
      </c>
      <c r="N1503" s="7" t="n"/>
      <c r="Q1503" s="11" t="n"/>
      <c r="S1503">
        <f>IF($A1503="","",IF($W1503=1,Settings!$C$6,Settings!$C$7)*1)</f>
        <v/>
      </c>
      <c r="U1503">
        <f>IF($A1503="","",IF(COUNTIF($A$2:$A1503,$A1503)=1,1,0))</f>
        <v/>
      </c>
      <c r="V1503">
        <f>IF($U1503=1,SUMPRODUCT(--($X$2:$X$3001&lt;$X1503))+1,"")</f>
        <v/>
      </c>
      <c r="W1503">
        <f>IF($A1503="","",IF(OR($T1503=TRUE(),$T1503="TRUE"),1,0))</f>
        <v/>
      </c>
      <c r="X1503">
        <f>IF($U1503=1,IFERROR(IF(VALUE($A1503)&lt;100000000,VALUE($A1503),1000000000),IFERROR(IF(VALUE(MID($A1503,2,20))&lt;100000000,VALUE(MID($A1503,2,20)),1000000000),1000000000))+ROW()/100000,"")</f>
        <v/>
      </c>
    </row>
    <row r="1504">
      <c r="F1504" s="7">
        <f>IF($A1504="","",E1504*N1504/100)</f>
        <v/>
      </c>
      <c r="J1504" s="7" t="n"/>
      <c r="K1504" s="7">
        <f>IF($A1504="","",S1504*N1504)</f>
        <v/>
      </c>
      <c r="L1504" s="7">
        <f>IF($A1504="","",N1504-K1504)</f>
        <v/>
      </c>
      <c r="M1504" s="7">
        <f>IF($A1504="","",L1504-F1504)</f>
        <v/>
      </c>
      <c r="N1504" s="7" t="n"/>
      <c r="Q1504" s="11" t="n"/>
      <c r="S1504">
        <f>IF($A1504="","",IF($W1504=1,Settings!$C$6,Settings!$C$7)*1)</f>
        <v/>
      </c>
      <c r="U1504">
        <f>IF($A1504="","",IF(COUNTIF($A$2:$A1504,$A1504)=1,1,0))</f>
        <v/>
      </c>
      <c r="V1504">
        <f>IF($U1504=1,SUMPRODUCT(--($X$2:$X$3001&lt;$X1504))+1,"")</f>
        <v/>
      </c>
      <c r="W1504">
        <f>IF($A1504="","",IF(OR($T1504=TRUE(),$T1504="TRUE"),1,0))</f>
        <v/>
      </c>
      <c r="X1504">
        <f>IF($U1504=1,IFERROR(IF(VALUE($A1504)&lt;100000000,VALUE($A1504),1000000000),IFERROR(IF(VALUE(MID($A1504,2,20))&lt;100000000,VALUE(MID($A1504,2,20)),1000000000),1000000000))+ROW()/100000,"")</f>
        <v/>
      </c>
    </row>
    <row r="1505">
      <c r="F1505" s="7">
        <f>IF($A1505="","",E1505*N1505/100)</f>
        <v/>
      </c>
      <c r="J1505" s="7" t="n"/>
      <c r="K1505" s="7">
        <f>IF($A1505="","",S1505*N1505)</f>
        <v/>
      </c>
      <c r="L1505" s="7">
        <f>IF($A1505="","",N1505-K1505)</f>
        <v/>
      </c>
      <c r="M1505" s="7">
        <f>IF($A1505="","",L1505-F1505)</f>
        <v/>
      </c>
      <c r="N1505" s="7" t="n"/>
      <c r="Q1505" s="11" t="n"/>
      <c r="S1505">
        <f>IF($A1505="","",IF($W1505=1,Settings!$C$6,Settings!$C$7)*1)</f>
        <v/>
      </c>
      <c r="U1505">
        <f>IF($A1505="","",IF(COUNTIF($A$2:$A1505,$A1505)=1,1,0))</f>
        <v/>
      </c>
      <c r="V1505">
        <f>IF($U1505=1,SUMPRODUCT(--($X$2:$X$3001&lt;$X1505))+1,"")</f>
        <v/>
      </c>
      <c r="W1505">
        <f>IF($A1505="","",IF(OR($T1505=TRUE(),$T1505="TRUE"),1,0))</f>
        <v/>
      </c>
      <c r="X1505">
        <f>IF($U1505=1,IFERROR(IF(VALUE($A1505)&lt;100000000,VALUE($A1505),1000000000),IFERROR(IF(VALUE(MID($A1505,2,20))&lt;100000000,VALUE(MID($A1505,2,20)),1000000000),1000000000))+ROW()/100000,"")</f>
        <v/>
      </c>
    </row>
    <row r="1506">
      <c r="F1506" s="7">
        <f>IF($A1506="","",E1506*N1506/100)</f>
        <v/>
      </c>
      <c r="J1506" s="7" t="n"/>
      <c r="K1506" s="7">
        <f>IF($A1506="","",S1506*N1506)</f>
        <v/>
      </c>
      <c r="L1506" s="7">
        <f>IF($A1506="","",N1506-K1506)</f>
        <v/>
      </c>
      <c r="M1506" s="7">
        <f>IF($A1506="","",L1506-F1506)</f>
        <v/>
      </c>
      <c r="N1506" s="7" t="n"/>
      <c r="Q1506" s="11" t="n"/>
      <c r="S1506">
        <f>IF($A1506="","",IF($W1506=1,Settings!$C$6,Settings!$C$7)*1)</f>
        <v/>
      </c>
      <c r="U1506">
        <f>IF($A1506="","",IF(COUNTIF($A$2:$A1506,$A1506)=1,1,0))</f>
        <v/>
      </c>
      <c r="V1506">
        <f>IF($U1506=1,SUMPRODUCT(--($X$2:$X$3001&lt;$X1506))+1,"")</f>
        <v/>
      </c>
      <c r="W1506">
        <f>IF($A1506="","",IF(OR($T1506=TRUE(),$T1506="TRUE"),1,0))</f>
        <v/>
      </c>
      <c r="X1506">
        <f>IF($U1506=1,IFERROR(IF(VALUE($A1506)&lt;100000000,VALUE($A1506),1000000000),IFERROR(IF(VALUE(MID($A1506,2,20))&lt;100000000,VALUE(MID($A1506,2,20)),1000000000),1000000000))+ROW()/100000,"")</f>
        <v/>
      </c>
    </row>
    <row r="1507">
      <c r="F1507" s="7">
        <f>IF($A1507="","",E1507*N1507/100)</f>
        <v/>
      </c>
      <c r="J1507" s="7" t="n"/>
      <c r="K1507" s="7">
        <f>IF($A1507="","",S1507*N1507)</f>
        <v/>
      </c>
      <c r="L1507" s="7">
        <f>IF($A1507="","",N1507-K1507)</f>
        <v/>
      </c>
      <c r="M1507" s="7">
        <f>IF($A1507="","",L1507-F1507)</f>
        <v/>
      </c>
      <c r="N1507" s="7" t="n"/>
      <c r="Q1507" s="11" t="n"/>
      <c r="S1507">
        <f>IF($A1507="","",IF($W1507=1,Settings!$C$6,Settings!$C$7)*1)</f>
        <v/>
      </c>
      <c r="U1507">
        <f>IF($A1507="","",IF(COUNTIF($A$2:$A1507,$A1507)=1,1,0))</f>
        <v/>
      </c>
      <c r="V1507">
        <f>IF($U1507=1,SUMPRODUCT(--($X$2:$X$3001&lt;$X1507))+1,"")</f>
        <v/>
      </c>
      <c r="W1507">
        <f>IF($A1507="","",IF(OR($T1507=TRUE(),$T1507="TRUE"),1,0))</f>
        <v/>
      </c>
      <c r="X1507">
        <f>IF($U1507=1,IFERROR(IF(VALUE($A1507)&lt;100000000,VALUE($A1507),1000000000),IFERROR(IF(VALUE(MID($A1507,2,20))&lt;100000000,VALUE(MID($A1507,2,20)),1000000000),1000000000))+ROW()/100000,"")</f>
        <v/>
      </c>
    </row>
    <row r="1508">
      <c r="F1508" s="7">
        <f>IF($A1508="","",E1508*N1508/100)</f>
        <v/>
      </c>
      <c r="J1508" s="7" t="n"/>
      <c r="K1508" s="7">
        <f>IF($A1508="","",S1508*N1508)</f>
        <v/>
      </c>
      <c r="L1508" s="7">
        <f>IF($A1508="","",N1508-K1508)</f>
        <v/>
      </c>
      <c r="M1508" s="7">
        <f>IF($A1508="","",L1508-F1508)</f>
        <v/>
      </c>
      <c r="N1508" s="7" t="n"/>
      <c r="Q1508" s="11" t="n"/>
      <c r="S1508">
        <f>IF($A1508="","",IF($W1508=1,Settings!$C$6,Settings!$C$7)*1)</f>
        <v/>
      </c>
      <c r="U1508">
        <f>IF($A1508="","",IF(COUNTIF($A$2:$A1508,$A1508)=1,1,0))</f>
        <v/>
      </c>
      <c r="V1508">
        <f>IF($U1508=1,SUMPRODUCT(--($X$2:$X$3001&lt;$X1508))+1,"")</f>
        <v/>
      </c>
      <c r="W1508">
        <f>IF($A1508="","",IF(OR($T1508=TRUE(),$T1508="TRUE"),1,0))</f>
        <v/>
      </c>
      <c r="X1508">
        <f>IF($U1508=1,IFERROR(IF(VALUE($A1508)&lt;100000000,VALUE($A1508),1000000000),IFERROR(IF(VALUE(MID($A1508,2,20))&lt;100000000,VALUE(MID($A1508,2,20)),1000000000),1000000000))+ROW()/100000,"")</f>
        <v/>
      </c>
    </row>
    <row r="1509">
      <c r="F1509" s="7">
        <f>IF($A1509="","",E1509*N1509/100)</f>
        <v/>
      </c>
      <c r="J1509" s="7" t="n"/>
      <c r="K1509" s="7">
        <f>IF($A1509="","",S1509*N1509)</f>
        <v/>
      </c>
      <c r="L1509" s="7">
        <f>IF($A1509="","",N1509-K1509)</f>
        <v/>
      </c>
      <c r="M1509" s="7">
        <f>IF($A1509="","",L1509-F1509)</f>
        <v/>
      </c>
      <c r="N1509" s="7" t="n"/>
      <c r="Q1509" s="11" t="n"/>
      <c r="S1509">
        <f>IF($A1509="","",IF($W1509=1,Settings!$C$6,Settings!$C$7)*1)</f>
        <v/>
      </c>
      <c r="U1509">
        <f>IF($A1509="","",IF(COUNTIF($A$2:$A1509,$A1509)=1,1,0))</f>
        <v/>
      </c>
      <c r="V1509">
        <f>IF($U1509=1,SUMPRODUCT(--($X$2:$X$3001&lt;$X1509))+1,"")</f>
        <v/>
      </c>
      <c r="W1509">
        <f>IF($A1509="","",IF(OR($T1509=TRUE(),$T1509="TRUE"),1,0))</f>
        <v/>
      </c>
      <c r="X1509">
        <f>IF($U1509=1,IFERROR(IF(VALUE($A1509)&lt;100000000,VALUE($A1509),1000000000),IFERROR(IF(VALUE(MID($A1509,2,20))&lt;100000000,VALUE(MID($A1509,2,20)),1000000000),1000000000))+ROW()/100000,"")</f>
        <v/>
      </c>
    </row>
    <row r="1510">
      <c r="F1510" s="7">
        <f>IF($A1510="","",E1510*N1510/100)</f>
        <v/>
      </c>
      <c r="J1510" s="7" t="n"/>
      <c r="K1510" s="7">
        <f>IF($A1510="","",S1510*N1510)</f>
        <v/>
      </c>
      <c r="L1510" s="7">
        <f>IF($A1510="","",N1510-K1510)</f>
        <v/>
      </c>
      <c r="M1510" s="7">
        <f>IF($A1510="","",L1510-F1510)</f>
        <v/>
      </c>
      <c r="N1510" s="7" t="n"/>
      <c r="Q1510" s="11" t="n"/>
      <c r="S1510">
        <f>IF($A1510="","",IF($W1510=1,Settings!$C$6,Settings!$C$7)*1)</f>
        <v/>
      </c>
      <c r="U1510">
        <f>IF($A1510="","",IF(COUNTIF($A$2:$A1510,$A1510)=1,1,0))</f>
        <v/>
      </c>
      <c r="V1510">
        <f>IF($U1510=1,SUMPRODUCT(--($X$2:$X$3001&lt;$X1510))+1,"")</f>
        <v/>
      </c>
      <c r="W1510">
        <f>IF($A1510="","",IF(OR($T1510=TRUE(),$T1510="TRUE"),1,0))</f>
        <v/>
      </c>
      <c r="X1510">
        <f>IF($U1510=1,IFERROR(IF(VALUE($A1510)&lt;100000000,VALUE($A1510),1000000000),IFERROR(IF(VALUE(MID($A1510,2,20))&lt;100000000,VALUE(MID($A1510,2,20)),1000000000),1000000000))+ROW()/100000,"")</f>
        <v/>
      </c>
    </row>
    <row r="1511">
      <c r="F1511" s="7">
        <f>IF($A1511="","",E1511*N1511/100)</f>
        <v/>
      </c>
      <c r="J1511" s="7" t="n"/>
      <c r="K1511" s="7">
        <f>IF($A1511="","",S1511*N1511)</f>
        <v/>
      </c>
      <c r="L1511" s="7">
        <f>IF($A1511="","",N1511-K1511)</f>
        <v/>
      </c>
      <c r="M1511" s="7">
        <f>IF($A1511="","",L1511-F1511)</f>
        <v/>
      </c>
      <c r="N1511" s="7" t="n"/>
      <c r="Q1511" s="11" t="n"/>
      <c r="S1511">
        <f>IF($A1511="","",IF($W1511=1,Settings!$C$6,Settings!$C$7)*1)</f>
        <v/>
      </c>
      <c r="U1511">
        <f>IF($A1511="","",IF(COUNTIF($A$2:$A1511,$A1511)=1,1,0))</f>
        <v/>
      </c>
      <c r="V1511">
        <f>IF($U1511=1,SUMPRODUCT(--($X$2:$X$3001&lt;$X1511))+1,"")</f>
        <v/>
      </c>
      <c r="W1511">
        <f>IF($A1511="","",IF(OR($T1511=TRUE(),$T1511="TRUE"),1,0))</f>
        <v/>
      </c>
      <c r="X1511">
        <f>IF($U1511=1,IFERROR(IF(VALUE($A1511)&lt;100000000,VALUE($A1511),1000000000),IFERROR(IF(VALUE(MID($A1511,2,20))&lt;100000000,VALUE(MID($A1511,2,20)),1000000000),1000000000))+ROW()/100000,"")</f>
        <v/>
      </c>
    </row>
    <row r="1512">
      <c r="F1512" s="7">
        <f>IF($A1512="","",E1512*N1512/100)</f>
        <v/>
      </c>
      <c r="J1512" s="7" t="n"/>
      <c r="K1512" s="7">
        <f>IF($A1512="","",S1512*N1512)</f>
        <v/>
      </c>
      <c r="L1512" s="7">
        <f>IF($A1512="","",N1512-K1512)</f>
        <v/>
      </c>
      <c r="M1512" s="7">
        <f>IF($A1512="","",L1512-F1512)</f>
        <v/>
      </c>
      <c r="N1512" s="7" t="n"/>
      <c r="Q1512" s="11" t="n"/>
      <c r="S1512">
        <f>IF($A1512="","",IF($W1512=1,Settings!$C$6,Settings!$C$7)*1)</f>
        <v/>
      </c>
      <c r="U1512">
        <f>IF($A1512="","",IF(COUNTIF($A$2:$A1512,$A1512)=1,1,0))</f>
        <v/>
      </c>
      <c r="V1512">
        <f>IF($U1512=1,SUMPRODUCT(--($X$2:$X$3001&lt;$X1512))+1,"")</f>
        <v/>
      </c>
      <c r="W1512">
        <f>IF($A1512="","",IF(OR($T1512=TRUE(),$T1512="TRUE"),1,0))</f>
        <v/>
      </c>
      <c r="X1512">
        <f>IF($U1512=1,IFERROR(IF(VALUE($A1512)&lt;100000000,VALUE($A1512),1000000000),IFERROR(IF(VALUE(MID($A1512,2,20))&lt;100000000,VALUE(MID($A1512,2,20)),1000000000),1000000000))+ROW()/100000,"")</f>
        <v/>
      </c>
    </row>
    <row r="1513">
      <c r="F1513" s="7">
        <f>IF($A1513="","",E1513*N1513/100)</f>
        <v/>
      </c>
      <c r="J1513" s="7" t="n"/>
      <c r="K1513" s="7">
        <f>IF($A1513="","",S1513*N1513)</f>
        <v/>
      </c>
      <c r="L1513" s="7">
        <f>IF($A1513="","",N1513-K1513)</f>
        <v/>
      </c>
      <c r="M1513" s="7">
        <f>IF($A1513="","",L1513-F1513)</f>
        <v/>
      </c>
      <c r="N1513" s="7" t="n"/>
      <c r="Q1513" s="11" t="n"/>
      <c r="S1513">
        <f>IF($A1513="","",IF($W1513=1,Settings!$C$6,Settings!$C$7)*1)</f>
        <v/>
      </c>
      <c r="U1513">
        <f>IF($A1513="","",IF(COUNTIF($A$2:$A1513,$A1513)=1,1,0))</f>
        <v/>
      </c>
      <c r="V1513">
        <f>IF($U1513=1,SUMPRODUCT(--($X$2:$X$3001&lt;$X1513))+1,"")</f>
        <v/>
      </c>
      <c r="W1513">
        <f>IF($A1513="","",IF(OR($T1513=TRUE(),$T1513="TRUE"),1,0))</f>
        <v/>
      </c>
      <c r="X1513">
        <f>IF($U1513=1,IFERROR(IF(VALUE($A1513)&lt;100000000,VALUE($A1513),1000000000),IFERROR(IF(VALUE(MID($A1513,2,20))&lt;100000000,VALUE(MID($A1513,2,20)),1000000000),1000000000))+ROW()/100000,"")</f>
        <v/>
      </c>
    </row>
    <row r="1514">
      <c r="F1514" s="7">
        <f>IF($A1514="","",E1514*N1514/100)</f>
        <v/>
      </c>
      <c r="J1514" s="7" t="n"/>
      <c r="K1514" s="7">
        <f>IF($A1514="","",S1514*N1514)</f>
        <v/>
      </c>
      <c r="L1514" s="7">
        <f>IF($A1514="","",N1514-K1514)</f>
        <v/>
      </c>
      <c r="M1514" s="7">
        <f>IF($A1514="","",L1514-F1514)</f>
        <v/>
      </c>
      <c r="N1514" s="7" t="n"/>
      <c r="Q1514" s="11" t="n"/>
      <c r="S1514">
        <f>IF($A1514="","",IF($W1514=1,Settings!$C$6,Settings!$C$7)*1)</f>
        <v/>
      </c>
      <c r="U1514">
        <f>IF($A1514="","",IF(COUNTIF($A$2:$A1514,$A1514)=1,1,0))</f>
        <v/>
      </c>
      <c r="V1514">
        <f>IF($U1514=1,SUMPRODUCT(--($X$2:$X$3001&lt;$X1514))+1,"")</f>
        <v/>
      </c>
      <c r="W1514">
        <f>IF($A1514="","",IF(OR($T1514=TRUE(),$T1514="TRUE"),1,0))</f>
        <v/>
      </c>
      <c r="X1514">
        <f>IF($U1514=1,IFERROR(IF(VALUE($A1514)&lt;100000000,VALUE($A1514),1000000000),IFERROR(IF(VALUE(MID($A1514,2,20))&lt;100000000,VALUE(MID($A1514,2,20)),1000000000),1000000000))+ROW()/100000,"")</f>
        <v/>
      </c>
    </row>
    <row r="1515">
      <c r="F1515" s="7">
        <f>IF($A1515="","",E1515*N1515/100)</f>
        <v/>
      </c>
      <c r="J1515" s="7" t="n"/>
      <c r="K1515" s="7">
        <f>IF($A1515="","",S1515*N1515)</f>
        <v/>
      </c>
      <c r="L1515" s="7">
        <f>IF($A1515="","",N1515-K1515)</f>
        <v/>
      </c>
      <c r="M1515" s="7">
        <f>IF($A1515="","",L1515-F1515)</f>
        <v/>
      </c>
      <c r="N1515" s="7" t="n"/>
      <c r="Q1515" s="11" t="n"/>
      <c r="S1515">
        <f>IF($A1515="","",IF($W1515=1,Settings!$C$6,Settings!$C$7)*1)</f>
        <v/>
      </c>
      <c r="U1515">
        <f>IF($A1515="","",IF(COUNTIF($A$2:$A1515,$A1515)=1,1,0))</f>
        <v/>
      </c>
      <c r="V1515">
        <f>IF($U1515=1,SUMPRODUCT(--($X$2:$X$3001&lt;$X1515))+1,"")</f>
        <v/>
      </c>
      <c r="W1515">
        <f>IF($A1515="","",IF(OR($T1515=TRUE(),$T1515="TRUE"),1,0))</f>
        <v/>
      </c>
      <c r="X1515">
        <f>IF($U1515=1,IFERROR(IF(VALUE($A1515)&lt;100000000,VALUE($A1515),1000000000),IFERROR(IF(VALUE(MID($A1515,2,20))&lt;100000000,VALUE(MID($A1515,2,20)),1000000000),1000000000))+ROW()/100000,"")</f>
        <v/>
      </c>
    </row>
    <row r="1516">
      <c r="F1516" s="7">
        <f>IF($A1516="","",E1516*N1516/100)</f>
        <v/>
      </c>
      <c r="J1516" s="7" t="n"/>
      <c r="K1516" s="7">
        <f>IF($A1516="","",S1516*N1516)</f>
        <v/>
      </c>
      <c r="L1516" s="7">
        <f>IF($A1516="","",N1516-K1516)</f>
        <v/>
      </c>
      <c r="M1516" s="7">
        <f>IF($A1516="","",L1516-F1516)</f>
        <v/>
      </c>
      <c r="N1516" s="7" t="n"/>
      <c r="Q1516" s="11" t="n"/>
      <c r="S1516">
        <f>IF($A1516="","",IF($W1516=1,Settings!$C$6,Settings!$C$7)*1)</f>
        <v/>
      </c>
      <c r="U1516">
        <f>IF($A1516="","",IF(COUNTIF($A$2:$A1516,$A1516)=1,1,0))</f>
        <v/>
      </c>
      <c r="V1516">
        <f>IF($U1516=1,SUMPRODUCT(--($X$2:$X$3001&lt;$X1516))+1,"")</f>
        <v/>
      </c>
      <c r="W1516">
        <f>IF($A1516="","",IF(OR($T1516=TRUE(),$T1516="TRUE"),1,0))</f>
        <v/>
      </c>
      <c r="X1516">
        <f>IF($U1516=1,IFERROR(IF(VALUE($A1516)&lt;100000000,VALUE($A1516),1000000000),IFERROR(IF(VALUE(MID($A1516,2,20))&lt;100000000,VALUE(MID($A1516,2,20)),1000000000),1000000000))+ROW()/100000,"")</f>
        <v/>
      </c>
    </row>
    <row r="1517">
      <c r="F1517" s="7">
        <f>IF($A1517="","",E1517*N1517/100)</f>
        <v/>
      </c>
      <c r="J1517" s="7" t="n"/>
      <c r="K1517" s="7">
        <f>IF($A1517="","",S1517*N1517)</f>
        <v/>
      </c>
      <c r="L1517" s="7">
        <f>IF($A1517="","",N1517-K1517)</f>
        <v/>
      </c>
      <c r="M1517" s="7">
        <f>IF($A1517="","",L1517-F1517)</f>
        <v/>
      </c>
      <c r="N1517" s="7" t="n"/>
      <c r="Q1517" s="11" t="n"/>
      <c r="S1517">
        <f>IF($A1517="","",IF($W1517=1,Settings!$C$6,Settings!$C$7)*1)</f>
        <v/>
      </c>
      <c r="U1517">
        <f>IF($A1517="","",IF(COUNTIF($A$2:$A1517,$A1517)=1,1,0))</f>
        <v/>
      </c>
      <c r="V1517">
        <f>IF($U1517=1,SUMPRODUCT(--($X$2:$X$3001&lt;$X1517))+1,"")</f>
        <v/>
      </c>
      <c r="W1517">
        <f>IF($A1517="","",IF(OR($T1517=TRUE(),$T1517="TRUE"),1,0))</f>
        <v/>
      </c>
      <c r="X1517">
        <f>IF($U1517=1,IFERROR(IF(VALUE($A1517)&lt;100000000,VALUE($A1517),1000000000),IFERROR(IF(VALUE(MID($A1517,2,20))&lt;100000000,VALUE(MID($A1517,2,20)),1000000000),1000000000))+ROW()/100000,"")</f>
        <v/>
      </c>
    </row>
    <row r="1518">
      <c r="F1518" s="7">
        <f>IF($A1518="","",E1518*N1518/100)</f>
        <v/>
      </c>
      <c r="J1518" s="7" t="n"/>
      <c r="K1518" s="7">
        <f>IF($A1518="","",S1518*N1518)</f>
        <v/>
      </c>
      <c r="L1518" s="7">
        <f>IF($A1518="","",N1518-K1518)</f>
        <v/>
      </c>
      <c r="M1518" s="7">
        <f>IF($A1518="","",L1518-F1518)</f>
        <v/>
      </c>
      <c r="N1518" s="7" t="n"/>
      <c r="Q1518" s="11" t="n"/>
      <c r="S1518">
        <f>IF($A1518="","",IF($W1518=1,Settings!$C$6,Settings!$C$7)*1)</f>
        <v/>
      </c>
      <c r="U1518">
        <f>IF($A1518="","",IF(COUNTIF($A$2:$A1518,$A1518)=1,1,0))</f>
        <v/>
      </c>
      <c r="V1518">
        <f>IF($U1518=1,SUMPRODUCT(--($X$2:$X$3001&lt;$X1518))+1,"")</f>
        <v/>
      </c>
      <c r="W1518">
        <f>IF($A1518="","",IF(OR($T1518=TRUE(),$T1518="TRUE"),1,0))</f>
        <v/>
      </c>
      <c r="X1518">
        <f>IF($U1518=1,IFERROR(IF(VALUE($A1518)&lt;100000000,VALUE($A1518),1000000000),IFERROR(IF(VALUE(MID($A1518,2,20))&lt;100000000,VALUE(MID($A1518,2,20)),1000000000),1000000000))+ROW()/100000,"")</f>
        <v/>
      </c>
    </row>
    <row r="1519">
      <c r="F1519" s="7">
        <f>IF($A1519="","",E1519*N1519/100)</f>
        <v/>
      </c>
      <c r="J1519" s="7" t="n"/>
      <c r="K1519" s="7">
        <f>IF($A1519="","",S1519*N1519)</f>
        <v/>
      </c>
      <c r="L1519" s="7">
        <f>IF($A1519="","",N1519-K1519)</f>
        <v/>
      </c>
      <c r="M1519" s="7">
        <f>IF($A1519="","",L1519-F1519)</f>
        <v/>
      </c>
      <c r="N1519" s="7" t="n"/>
      <c r="Q1519" s="11" t="n"/>
      <c r="S1519">
        <f>IF($A1519="","",IF($W1519=1,Settings!$C$6,Settings!$C$7)*1)</f>
        <v/>
      </c>
      <c r="U1519">
        <f>IF($A1519="","",IF(COUNTIF($A$2:$A1519,$A1519)=1,1,0))</f>
        <v/>
      </c>
      <c r="V1519">
        <f>IF($U1519=1,SUMPRODUCT(--($X$2:$X$3001&lt;$X1519))+1,"")</f>
        <v/>
      </c>
      <c r="W1519">
        <f>IF($A1519="","",IF(OR($T1519=TRUE(),$T1519="TRUE"),1,0))</f>
        <v/>
      </c>
      <c r="X1519">
        <f>IF($U1519=1,IFERROR(IF(VALUE($A1519)&lt;100000000,VALUE($A1519),1000000000),IFERROR(IF(VALUE(MID($A1519,2,20))&lt;100000000,VALUE(MID($A1519,2,20)),1000000000),1000000000))+ROW()/100000,"")</f>
        <v/>
      </c>
    </row>
    <row r="1520">
      <c r="F1520" s="7">
        <f>IF($A1520="","",E1520*N1520/100)</f>
        <v/>
      </c>
      <c r="J1520" s="7" t="n"/>
      <c r="K1520" s="7">
        <f>IF($A1520="","",S1520*N1520)</f>
        <v/>
      </c>
      <c r="L1520" s="7">
        <f>IF($A1520="","",N1520-K1520)</f>
        <v/>
      </c>
      <c r="M1520" s="7">
        <f>IF($A1520="","",L1520-F1520)</f>
        <v/>
      </c>
      <c r="N1520" s="7" t="n"/>
      <c r="Q1520" s="11" t="n"/>
      <c r="S1520">
        <f>IF($A1520="","",IF($W1520=1,Settings!$C$6,Settings!$C$7)*1)</f>
        <v/>
      </c>
      <c r="U1520">
        <f>IF($A1520="","",IF(COUNTIF($A$2:$A1520,$A1520)=1,1,0))</f>
        <v/>
      </c>
      <c r="V1520">
        <f>IF($U1520=1,SUMPRODUCT(--($X$2:$X$3001&lt;$X1520))+1,"")</f>
        <v/>
      </c>
      <c r="W1520">
        <f>IF($A1520="","",IF(OR($T1520=TRUE(),$T1520="TRUE"),1,0))</f>
        <v/>
      </c>
      <c r="X1520">
        <f>IF($U1520=1,IFERROR(IF(VALUE($A1520)&lt;100000000,VALUE($A1520),1000000000),IFERROR(IF(VALUE(MID($A1520,2,20))&lt;100000000,VALUE(MID($A1520,2,20)),1000000000),1000000000))+ROW()/100000,"")</f>
        <v/>
      </c>
    </row>
    <row r="1521">
      <c r="F1521" s="7">
        <f>IF($A1521="","",E1521*N1521/100)</f>
        <v/>
      </c>
      <c r="J1521" s="7" t="n"/>
      <c r="K1521" s="7">
        <f>IF($A1521="","",S1521*N1521)</f>
        <v/>
      </c>
      <c r="L1521" s="7">
        <f>IF($A1521="","",N1521-K1521)</f>
        <v/>
      </c>
      <c r="M1521" s="7">
        <f>IF($A1521="","",L1521-F1521)</f>
        <v/>
      </c>
      <c r="N1521" s="7" t="n"/>
      <c r="Q1521" s="11" t="n"/>
      <c r="S1521">
        <f>IF($A1521="","",IF($W1521=1,Settings!$C$6,Settings!$C$7)*1)</f>
        <v/>
      </c>
      <c r="U1521">
        <f>IF($A1521="","",IF(COUNTIF($A$2:$A1521,$A1521)=1,1,0))</f>
        <v/>
      </c>
      <c r="V1521">
        <f>IF($U1521=1,SUMPRODUCT(--($X$2:$X$3001&lt;$X1521))+1,"")</f>
        <v/>
      </c>
      <c r="W1521">
        <f>IF($A1521="","",IF(OR($T1521=TRUE(),$T1521="TRUE"),1,0))</f>
        <v/>
      </c>
      <c r="X1521">
        <f>IF($U1521=1,IFERROR(IF(VALUE($A1521)&lt;100000000,VALUE($A1521),1000000000),IFERROR(IF(VALUE(MID($A1521,2,20))&lt;100000000,VALUE(MID($A1521,2,20)),1000000000),1000000000))+ROW()/100000,"")</f>
        <v/>
      </c>
    </row>
    <row r="1522">
      <c r="F1522" s="7">
        <f>IF($A1522="","",E1522*N1522/100)</f>
        <v/>
      </c>
      <c r="J1522" s="7" t="n"/>
      <c r="K1522" s="7">
        <f>IF($A1522="","",S1522*N1522)</f>
        <v/>
      </c>
      <c r="L1522" s="7">
        <f>IF($A1522="","",N1522-K1522)</f>
        <v/>
      </c>
      <c r="M1522" s="7">
        <f>IF($A1522="","",L1522-F1522)</f>
        <v/>
      </c>
      <c r="N1522" s="7" t="n"/>
      <c r="Q1522" s="11" t="n"/>
      <c r="S1522">
        <f>IF($A1522="","",IF($W1522=1,Settings!$C$6,Settings!$C$7)*1)</f>
        <v/>
      </c>
      <c r="U1522">
        <f>IF($A1522="","",IF(COUNTIF($A$2:$A1522,$A1522)=1,1,0))</f>
        <v/>
      </c>
      <c r="V1522">
        <f>IF($U1522=1,SUMPRODUCT(--($X$2:$X$3001&lt;$X1522))+1,"")</f>
        <v/>
      </c>
      <c r="W1522">
        <f>IF($A1522="","",IF(OR($T1522=TRUE(),$T1522="TRUE"),1,0))</f>
        <v/>
      </c>
      <c r="X1522">
        <f>IF($U1522=1,IFERROR(IF(VALUE($A1522)&lt;100000000,VALUE($A1522),1000000000),IFERROR(IF(VALUE(MID($A1522,2,20))&lt;100000000,VALUE(MID($A1522,2,20)),1000000000),1000000000))+ROW()/100000,"")</f>
        <v/>
      </c>
    </row>
    <row r="1523">
      <c r="F1523" s="7">
        <f>IF($A1523="","",E1523*N1523/100)</f>
        <v/>
      </c>
      <c r="J1523" s="7" t="n"/>
      <c r="K1523" s="7">
        <f>IF($A1523="","",S1523*N1523)</f>
        <v/>
      </c>
      <c r="L1523" s="7">
        <f>IF($A1523="","",N1523-K1523)</f>
        <v/>
      </c>
      <c r="M1523" s="7">
        <f>IF($A1523="","",L1523-F1523)</f>
        <v/>
      </c>
      <c r="N1523" s="7" t="n"/>
      <c r="Q1523" s="11" t="n"/>
      <c r="S1523">
        <f>IF($A1523="","",IF($W1523=1,Settings!$C$6,Settings!$C$7)*1)</f>
        <v/>
      </c>
      <c r="U1523">
        <f>IF($A1523="","",IF(COUNTIF($A$2:$A1523,$A1523)=1,1,0))</f>
        <v/>
      </c>
      <c r="V1523">
        <f>IF($U1523=1,SUMPRODUCT(--($X$2:$X$3001&lt;$X1523))+1,"")</f>
        <v/>
      </c>
      <c r="W1523">
        <f>IF($A1523="","",IF(OR($T1523=TRUE(),$T1523="TRUE"),1,0))</f>
        <v/>
      </c>
      <c r="X1523">
        <f>IF($U1523=1,IFERROR(IF(VALUE($A1523)&lt;100000000,VALUE($A1523),1000000000),IFERROR(IF(VALUE(MID($A1523,2,20))&lt;100000000,VALUE(MID($A1523,2,20)),1000000000),1000000000))+ROW()/100000,"")</f>
        <v/>
      </c>
    </row>
    <row r="1524">
      <c r="F1524" s="7">
        <f>IF($A1524="","",E1524*N1524/100)</f>
        <v/>
      </c>
      <c r="J1524" s="7" t="n"/>
      <c r="K1524" s="7">
        <f>IF($A1524="","",S1524*N1524)</f>
        <v/>
      </c>
      <c r="L1524" s="7">
        <f>IF($A1524="","",N1524-K1524)</f>
        <v/>
      </c>
      <c r="M1524" s="7">
        <f>IF($A1524="","",L1524-F1524)</f>
        <v/>
      </c>
      <c r="N1524" s="7" t="n"/>
      <c r="Q1524" s="11" t="n"/>
      <c r="S1524">
        <f>IF($A1524="","",IF($W1524=1,Settings!$C$6,Settings!$C$7)*1)</f>
        <v/>
      </c>
      <c r="U1524">
        <f>IF($A1524="","",IF(COUNTIF($A$2:$A1524,$A1524)=1,1,0))</f>
        <v/>
      </c>
      <c r="V1524">
        <f>IF($U1524=1,SUMPRODUCT(--($X$2:$X$3001&lt;$X1524))+1,"")</f>
        <v/>
      </c>
      <c r="W1524">
        <f>IF($A1524="","",IF(OR($T1524=TRUE(),$T1524="TRUE"),1,0))</f>
        <v/>
      </c>
      <c r="X1524">
        <f>IF($U1524=1,IFERROR(IF(VALUE($A1524)&lt;100000000,VALUE($A1524),1000000000),IFERROR(IF(VALUE(MID($A1524,2,20))&lt;100000000,VALUE(MID($A1524,2,20)),1000000000),1000000000))+ROW()/100000,"")</f>
        <v/>
      </c>
    </row>
    <row r="1525">
      <c r="F1525" s="7">
        <f>IF($A1525="","",E1525*N1525/100)</f>
        <v/>
      </c>
      <c r="J1525" s="7" t="n"/>
      <c r="K1525" s="7">
        <f>IF($A1525="","",S1525*N1525)</f>
        <v/>
      </c>
      <c r="L1525" s="7">
        <f>IF($A1525="","",N1525-K1525)</f>
        <v/>
      </c>
      <c r="M1525" s="7">
        <f>IF($A1525="","",L1525-F1525)</f>
        <v/>
      </c>
      <c r="N1525" s="7" t="n"/>
      <c r="Q1525" s="11" t="n"/>
      <c r="S1525">
        <f>IF($A1525="","",IF($W1525=1,Settings!$C$6,Settings!$C$7)*1)</f>
        <v/>
      </c>
      <c r="U1525">
        <f>IF($A1525="","",IF(COUNTIF($A$2:$A1525,$A1525)=1,1,0))</f>
        <v/>
      </c>
      <c r="V1525">
        <f>IF($U1525=1,SUMPRODUCT(--($X$2:$X$3001&lt;$X1525))+1,"")</f>
        <v/>
      </c>
      <c r="W1525">
        <f>IF($A1525="","",IF(OR($T1525=TRUE(),$T1525="TRUE"),1,0))</f>
        <v/>
      </c>
      <c r="X1525">
        <f>IF($U1525=1,IFERROR(IF(VALUE($A1525)&lt;100000000,VALUE($A1525),1000000000),IFERROR(IF(VALUE(MID($A1525,2,20))&lt;100000000,VALUE(MID($A1525,2,20)),1000000000),1000000000))+ROW()/100000,"")</f>
        <v/>
      </c>
    </row>
    <row r="1526">
      <c r="F1526" s="7">
        <f>IF($A1526="","",E1526*N1526/100)</f>
        <v/>
      </c>
      <c r="J1526" s="7" t="n"/>
      <c r="K1526" s="7">
        <f>IF($A1526="","",S1526*N1526)</f>
        <v/>
      </c>
      <c r="L1526" s="7">
        <f>IF($A1526="","",N1526-K1526)</f>
        <v/>
      </c>
      <c r="M1526" s="7">
        <f>IF($A1526="","",L1526-F1526)</f>
        <v/>
      </c>
      <c r="N1526" s="7" t="n"/>
      <c r="Q1526" s="11" t="n"/>
      <c r="S1526">
        <f>IF($A1526="","",IF($W1526=1,Settings!$C$6,Settings!$C$7)*1)</f>
        <v/>
      </c>
      <c r="U1526">
        <f>IF($A1526="","",IF(COUNTIF($A$2:$A1526,$A1526)=1,1,0))</f>
        <v/>
      </c>
      <c r="V1526">
        <f>IF($U1526=1,SUMPRODUCT(--($X$2:$X$3001&lt;$X1526))+1,"")</f>
        <v/>
      </c>
      <c r="W1526">
        <f>IF($A1526="","",IF(OR($T1526=TRUE(),$T1526="TRUE"),1,0))</f>
        <v/>
      </c>
      <c r="X1526">
        <f>IF($U1526=1,IFERROR(IF(VALUE($A1526)&lt;100000000,VALUE($A1526),1000000000),IFERROR(IF(VALUE(MID($A1526,2,20))&lt;100000000,VALUE(MID($A1526,2,20)),1000000000),1000000000))+ROW()/100000,"")</f>
        <v/>
      </c>
    </row>
    <row r="1527">
      <c r="F1527" s="7">
        <f>IF($A1527="","",E1527*N1527/100)</f>
        <v/>
      </c>
      <c r="J1527" s="7" t="n"/>
      <c r="K1527" s="7">
        <f>IF($A1527="","",S1527*N1527)</f>
        <v/>
      </c>
      <c r="L1527" s="7">
        <f>IF($A1527="","",N1527-K1527)</f>
        <v/>
      </c>
      <c r="M1527" s="7">
        <f>IF($A1527="","",L1527-F1527)</f>
        <v/>
      </c>
      <c r="N1527" s="7" t="n"/>
      <c r="Q1527" s="11" t="n"/>
      <c r="S1527">
        <f>IF($A1527="","",IF($W1527=1,Settings!$C$6,Settings!$C$7)*1)</f>
        <v/>
      </c>
      <c r="U1527">
        <f>IF($A1527="","",IF(COUNTIF($A$2:$A1527,$A1527)=1,1,0))</f>
        <v/>
      </c>
      <c r="V1527">
        <f>IF($U1527=1,SUMPRODUCT(--($X$2:$X$3001&lt;$X1527))+1,"")</f>
        <v/>
      </c>
      <c r="W1527">
        <f>IF($A1527="","",IF(OR($T1527=TRUE(),$T1527="TRUE"),1,0))</f>
        <v/>
      </c>
      <c r="X1527">
        <f>IF($U1527=1,IFERROR(IF(VALUE($A1527)&lt;100000000,VALUE($A1527),1000000000),IFERROR(IF(VALUE(MID($A1527,2,20))&lt;100000000,VALUE(MID($A1527,2,20)),1000000000),1000000000))+ROW()/100000,"")</f>
        <v/>
      </c>
    </row>
    <row r="1528">
      <c r="F1528" s="7">
        <f>IF($A1528="","",E1528*N1528/100)</f>
        <v/>
      </c>
      <c r="J1528" s="7" t="n"/>
      <c r="K1528" s="7">
        <f>IF($A1528="","",S1528*N1528)</f>
        <v/>
      </c>
      <c r="L1528" s="7">
        <f>IF($A1528="","",N1528-K1528)</f>
        <v/>
      </c>
      <c r="M1528" s="7">
        <f>IF($A1528="","",L1528-F1528)</f>
        <v/>
      </c>
      <c r="N1528" s="7" t="n"/>
      <c r="Q1528" s="11" t="n"/>
      <c r="S1528">
        <f>IF($A1528="","",IF($W1528=1,Settings!$C$6,Settings!$C$7)*1)</f>
        <v/>
      </c>
      <c r="U1528">
        <f>IF($A1528="","",IF(COUNTIF($A$2:$A1528,$A1528)=1,1,0))</f>
        <v/>
      </c>
      <c r="V1528">
        <f>IF($U1528=1,SUMPRODUCT(--($X$2:$X$3001&lt;$X1528))+1,"")</f>
        <v/>
      </c>
      <c r="W1528">
        <f>IF($A1528="","",IF(OR($T1528=TRUE(),$T1528="TRUE"),1,0))</f>
        <v/>
      </c>
      <c r="X1528">
        <f>IF($U1528=1,IFERROR(IF(VALUE($A1528)&lt;100000000,VALUE($A1528),1000000000),IFERROR(IF(VALUE(MID($A1528,2,20))&lt;100000000,VALUE(MID($A1528,2,20)),1000000000),1000000000))+ROW()/100000,"")</f>
        <v/>
      </c>
    </row>
    <row r="1529">
      <c r="F1529" s="7">
        <f>IF($A1529="","",E1529*N1529/100)</f>
        <v/>
      </c>
      <c r="J1529" s="7" t="n"/>
      <c r="K1529" s="7">
        <f>IF($A1529="","",S1529*N1529)</f>
        <v/>
      </c>
      <c r="L1529" s="7">
        <f>IF($A1529="","",N1529-K1529)</f>
        <v/>
      </c>
      <c r="M1529" s="7">
        <f>IF($A1529="","",L1529-F1529)</f>
        <v/>
      </c>
      <c r="N1529" s="7" t="n"/>
      <c r="Q1529" s="11" t="n"/>
      <c r="S1529">
        <f>IF($A1529="","",IF($W1529=1,Settings!$C$6,Settings!$C$7)*1)</f>
        <v/>
      </c>
      <c r="U1529">
        <f>IF($A1529="","",IF(COUNTIF($A$2:$A1529,$A1529)=1,1,0))</f>
        <v/>
      </c>
      <c r="V1529">
        <f>IF($U1529=1,SUMPRODUCT(--($X$2:$X$3001&lt;$X1529))+1,"")</f>
        <v/>
      </c>
      <c r="W1529">
        <f>IF($A1529="","",IF(OR($T1529=TRUE(),$T1529="TRUE"),1,0))</f>
        <v/>
      </c>
      <c r="X1529">
        <f>IF($U1529=1,IFERROR(IF(VALUE($A1529)&lt;100000000,VALUE($A1529),1000000000),IFERROR(IF(VALUE(MID($A1529,2,20))&lt;100000000,VALUE(MID($A1529,2,20)),1000000000),1000000000))+ROW()/100000,"")</f>
        <v/>
      </c>
    </row>
    <row r="1530">
      <c r="F1530" s="7">
        <f>IF($A1530="","",E1530*N1530/100)</f>
        <v/>
      </c>
      <c r="J1530" s="7" t="n"/>
      <c r="K1530" s="7">
        <f>IF($A1530="","",S1530*N1530)</f>
        <v/>
      </c>
      <c r="L1530" s="7">
        <f>IF($A1530="","",N1530-K1530)</f>
        <v/>
      </c>
      <c r="M1530" s="7">
        <f>IF($A1530="","",L1530-F1530)</f>
        <v/>
      </c>
      <c r="N1530" s="7" t="n"/>
      <c r="Q1530" s="11" t="n"/>
      <c r="S1530">
        <f>IF($A1530="","",IF($W1530=1,Settings!$C$6,Settings!$C$7)*1)</f>
        <v/>
      </c>
      <c r="U1530">
        <f>IF($A1530="","",IF(COUNTIF($A$2:$A1530,$A1530)=1,1,0))</f>
        <v/>
      </c>
      <c r="V1530">
        <f>IF($U1530=1,SUMPRODUCT(--($X$2:$X$3001&lt;$X1530))+1,"")</f>
        <v/>
      </c>
      <c r="W1530">
        <f>IF($A1530="","",IF(OR($T1530=TRUE(),$T1530="TRUE"),1,0))</f>
        <v/>
      </c>
      <c r="X1530">
        <f>IF($U1530=1,IFERROR(IF(VALUE($A1530)&lt;100000000,VALUE($A1530),1000000000),IFERROR(IF(VALUE(MID($A1530,2,20))&lt;100000000,VALUE(MID($A1530,2,20)),1000000000),1000000000))+ROW()/100000,"")</f>
        <v/>
      </c>
    </row>
    <row r="1531">
      <c r="F1531" s="7">
        <f>IF($A1531="","",E1531*N1531/100)</f>
        <v/>
      </c>
      <c r="J1531" s="7" t="n"/>
      <c r="K1531" s="7">
        <f>IF($A1531="","",S1531*N1531)</f>
        <v/>
      </c>
      <c r="L1531" s="7">
        <f>IF($A1531="","",N1531-K1531)</f>
        <v/>
      </c>
      <c r="M1531" s="7">
        <f>IF($A1531="","",L1531-F1531)</f>
        <v/>
      </c>
      <c r="N1531" s="7" t="n"/>
      <c r="Q1531" s="11" t="n"/>
      <c r="S1531">
        <f>IF($A1531="","",IF($W1531=1,Settings!$C$6,Settings!$C$7)*1)</f>
        <v/>
      </c>
      <c r="U1531">
        <f>IF($A1531="","",IF(COUNTIF($A$2:$A1531,$A1531)=1,1,0))</f>
        <v/>
      </c>
      <c r="V1531">
        <f>IF($U1531=1,SUMPRODUCT(--($X$2:$X$3001&lt;$X1531))+1,"")</f>
        <v/>
      </c>
      <c r="W1531">
        <f>IF($A1531="","",IF(OR($T1531=TRUE(),$T1531="TRUE"),1,0))</f>
        <v/>
      </c>
      <c r="X1531">
        <f>IF($U1531=1,IFERROR(IF(VALUE($A1531)&lt;100000000,VALUE($A1531),1000000000),IFERROR(IF(VALUE(MID($A1531,2,20))&lt;100000000,VALUE(MID($A1531,2,20)),1000000000),1000000000))+ROW()/100000,"")</f>
        <v/>
      </c>
    </row>
    <row r="1532">
      <c r="F1532" s="7">
        <f>IF($A1532="","",E1532*N1532/100)</f>
        <v/>
      </c>
      <c r="J1532" s="7" t="n"/>
      <c r="K1532" s="7">
        <f>IF($A1532="","",S1532*N1532)</f>
        <v/>
      </c>
      <c r="L1532" s="7">
        <f>IF($A1532="","",N1532-K1532)</f>
        <v/>
      </c>
      <c r="M1532" s="7">
        <f>IF($A1532="","",L1532-F1532)</f>
        <v/>
      </c>
      <c r="N1532" s="7" t="n"/>
      <c r="Q1532" s="11" t="n"/>
      <c r="S1532">
        <f>IF($A1532="","",IF($W1532=1,Settings!$C$6,Settings!$C$7)*1)</f>
        <v/>
      </c>
      <c r="U1532">
        <f>IF($A1532="","",IF(COUNTIF($A$2:$A1532,$A1532)=1,1,0))</f>
        <v/>
      </c>
      <c r="V1532">
        <f>IF($U1532=1,SUMPRODUCT(--($X$2:$X$3001&lt;$X1532))+1,"")</f>
        <v/>
      </c>
      <c r="W1532">
        <f>IF($A1532="","",IF(OR($T1532=TRUE(),$T1532="TRUE"),1,0))</f>
        <v/>
      </c>
      <c r="X1532">
        <f>IF($U1532=1,IFERROR(IF(VALUE($A1532)&lt;100000000,VALUE($A1532),1000000000),IFERROR(IF(VALUE(MID($A1532,2,20))&lt;100000000,VALUE(MID($A1532,2,20)),1000000000),1000000000))+ROW()/100000,"")</f>
        <v/>
      </c>
    </row>
    <row r="1533">
      <c r="F1533" s="7">
        <f>IF($A1533="","",E1533*N1533/100)</f>
        <v/>
      </c>
      <c r="J1533" s="7" t="n"/>
      <c r="K1533" s="7">
        <f>IF($A1533="","",S1533*N1533)</f>
        <v/>
      </c>
      <c r="L1533" s="7">
        <f>IF($A1533="","",N1533-K1533)</f>
        <v/>
      </c>
      <c r="M1533" s="7">
        <f>IF($A1533="","",L1533-F1533)</f>
        <v/>
      </c>
      <c r="N1533" s="7" t="n"/>
      <c r="Q1533" s="11" t="n"/>
      <c r="S1533">
        <f>IF($A1533="","",IF($W1533=1,Settings!$C$6,Settings!$C$7)*1)</f>
        <v/>
      </c>
      <c r="U1533">
        <f>IF($A1533="","",IF(COUNTIF($A$2:$A1533,$A1533)=1,1,0))</f>
        <v/>
      </c>
      <c r="V1533">
        <f>IF($U1533=1,SUMPRODUCT(--($X$2:$X$3001&lt;$X1533))+1,"")</f>
        <v/>
      </c>
      <c r="W1533">
        <f>IF($A1533="","",IF(OR($T1533=TRUE(),$T1533="TRUE"),1,0))</f>
        <v/>
      </c>
      <c r="X1533">
        <f>IF($U1533=1,IFERROR(IF(VALUE($A1533)&lt;100000000,VALUE($A1533),1000000000),IFERROR(IF(VALUE(MID($A1533,2,20))&lt;100000000,VALUE(MID($A1533,2,20)),1000000000),1000000000))+ROW()/100000,"")</f>
        <v/>
      </c>
    </row>
    <row r="1534">
      <c r="F1534" s="7">
        <f>IF($A1534="","",E1534*N1534/100)</f>
        <v/>
      </c>
      <c r="J1534" s="7" t="n"/>
      <c r="K1534" s="7">
        <f>IF($A1534="","",S1534*N1534)</f>
        <v/>
      </c>
      <c r="L1534" s="7">
        <f>IF($A1534="","",N1534-K1534)</f>
        <v/>
      </c>
      <c r="M1534" s="7">
        <f>IF($A1534="","",L1534-F1534)</f>
        <v/>
      </c>
      <c r="N1534" s="7" t="n"/>
      <c r="Q1534" s="11" t="n"/>
      <c r="S1534">
        <f>IF($A1534="","",IF($W1534=1,Settings!$C$6,Settings!$C$7)*1)</f>
        <v/>
      </c>
      <c r="U1534">
        <f>IF($A1534="","",IF(COUNTIF($A$2:$A1534,$A1534)=1,1,0))</f>
        <v/>
      </c>
      <c r="V1534">
        <f>IF($U1534=1,SUMPRODUCT(--($X$2:$X$3001&lt;$X1534))+1,"")</f>
        <v/>
      </c>
      <c r="W1534">
        <f>IF($A1534="","",IF(OR($T1534=TRUE(),$T1534="TRUE"),1,0))</f>
        <v/>
      </c>
      <c r="X1534">
        <f>IF($U1534=1,IFERROR(IF(VALUE($A1534)&lt;100000000,VALUE($A1534),1000000000),IFERROR(IF(VALUE(MID($A1534,2,20))&lt;100000000,VALUE(MID($A1534,2,20)),1000000000),1000000000))+ROW()/100000,"")</f>
        <v/>
      </c>
    </row>
    <row r="1535">
      <c r="F1535" s="7">
        <f>IF($A1535="","",E1535*N1535/100)</f>
        <v/>
      </c>
      <c r="J1535" s="7" t="n"/>
      <c r="K1535" s="7">
        <f>IF($A1535="","",S1535*N1535)</f>
        <v/>
      </c>
      <c r="L1535" s="7">
        <f>IF($A1535="","",N1535-K1535)</f>
        <v/>
      </c>
      <c r="M1535" s="7">
        <f>IF($A1535="","",L1535-F1535)</f>
        <v/>
      </c>
      <c r="N1535" s="7" t="n"/>
      <c r="Q1535" s="11" t="n"/>
      <c r="S1535">
        <f>IF($A1535="","",IF($W1535=1,Settings!$C$6,Settings!$C$7)*1)</f>
        <v/>
      </c>
      <c r="U1535">
        <f>IF($A1535="","",IF(COUNTIF($A$2:$A1535,$A1535)=1,1,0))</f>
        <v/>
      </c>
      <c r="V1535">
        <f>IF($U1535=1,SUMPRODUCT(--($X$2:$X$3001&lt;$X1535))+1,"")</f>
        <v/>
      </c>
      <c r="W1535">
        <f>IF($A1535="","",IF(OR($T1535=TRUE(),$T1535="TRUE"),1,0))</f>
        <v/>
      </c>
      <c r="X1535">
        <f>IF($U1535=1,IFERROR(IF(VALUE($A1535)&lt;100000000,VALUE($A1535),1000000000),IFERROR(IF(VALUE(MID($A1535,2,20))&lt;100000000,VALUE(MID($A1535,2,20)),1000000000),1000000000))+ROW()/100000,"")</f>
        <v/>
      </c>
    </row>
    <row r="1536">
      <c r="F1536" s="7">
        <f>IF($A1536="","",E1536*N1536/100)</f>
        <v/>
      </c>
      <c r="J1536" s="7" t="n"/>
      <c r="K1536" s="7">
        <f>IF($A1536="","",S1536*N1536)</f>
        <v/>
      </c>
      <c r="L1536" s="7">
        <f>IF($A1536="","",N1536-K1536)</f>
        <v/>
      </c>
      <c r="M1536" s="7">
        <f>IF($A1536="","",L1536-F1536)</f>
        <v/>
      </c>
      <c r="N1536" s="7" t="n"/>
      <c r="Q1536" s="11" t="n"/>
      <c r="S1536">
        <f>IF($A1536="","",IF($W1536=1,Settings!$C$6,Settings!$C$7)*1)</f>
        <v/>
      </c>
      <c r="U1536">
        <f>IF($A1536="","",IF(COUNTIF($A$2:$A1536,$A1536)=1,1,0))</f>
        <v/>
      </c>
      <c r="V1536">
        <f>IF($U1536=1,SUMPRODUCT(--($X$2:$X$3001&lt;$X1536))+1,"")</f>
        <v/>
      </c>
      <c r="W1536">
        <f>IF($A1536="","",IF(OR($T1536=TRUE(),$T1536="TRUE"),1,0))</f>
        <v/>
      </c>
      <c r="X1536">
        <f>IF($U1536=1,IFERROR(IF(VALUE($A1536)&lt;100000000,VALUE($A1536),1000000000),IFERROR(IF(VALUE(MID($A1536,2,20))&lt;100000000,VALUE(MID($A1536,2,20)),1000000000),1000000000))+ROW()/100000,"")</f>
        <v/>
      </c>
    </row>
    <row r="1537">
      <c r="F1537" s="7">
        <f>IF($A1537="","",E1537*N1537/100)</f>
        <v/>
      </c>
      <c r="J1537" s="7" t="n"/>
      <c r="K1537" s="7">
        <f>IF($A1537="","",S1537*N1537)</f>
        <v/>
      </c>
      <c r="L1537" s="7">
        <f>IF($A1537="","",N1537-K1537)</f>
        <v/>
      </c>
      <c r="M1537" s="7">
        <f>IF($A1537="","",L1537-F1537)</f>
        <v/>
      </c>
      <c r="N1537" s="7" t="n"/>
      <c r="Q1537" s="11" t="n"/>
      <c r="S1537">
        <f>IF($A1537="","",IF($W1537=1,Settings!$C$6,Settings!$C$7)*1)</f>
        <v/>
      </c>
      <c r="U1537">
        <f>IF($A1537="","",IF(COUNTIF($A$2:$A1537,$A1537)=1,1,0))</f>
        <v/>
      </c>
      <c r="V1537">
        <f>IF($U1537=1,SUMPRODUCT(--($X$2:$X$3001&lt;$X1537))+1,"")</f>
        <v/>
      </c>
      <c r="W1537">
        <f>IF($A1537="","",IF(OR($T1537=TRUE(),$T1537="TRUE"),1,0))</f>
        <v/>
      </c>
      <c r="X1537">
        <f>IF($U1537=1,IFERROR(IF(VALUE($A1537)&lt;100000000,VALUE($A1537),1000000000),IFERROR(IF(VALUE(MID($A1537,2,20))&lt;100000000,VALUE(MID($A1537,2,20)),1000000000),1000000000))+ROW()/100000,"")</f>
        <v/>
      </c>
    </row>
    <row r="1538">
      <c r="F1538" s="7">
        <f>IF($A1538="","",E1538*N1538/100)</f>
        <v/>
      </c>
      <c r="J1538" s="7" t="n"/>
      <c r="K1538" s="7">
        <f>IF($A1538="","",S1538*N1538)</f>
        <v/>
      </c>
      <c r="L1538" s="7">
        <f>IF($A1538="","",N1538-K1538)</f>
        <v/>
      </c>
      <c r="M1538" s="7">
        <f>IF($A1538="","",L1538-F1538)</f>
        <v/>
      </c>
      <c r="N1538" s="7" t="n"/>
      <c r="Q1538" s="11" t="n"/>
      <c r="S1538">
        <f>IF($A1538="","",IF($W1538=1,Settings!$C$6,Settings!$C$7)*1)</f>
        <v/>
      </c>
      <c r="U1538">
        <f>IF($A1538="","",IF(COUNTIF($A$2:$A1538,$A1538)=1,1,0))</f>
        <v/>
      </c>
      <c r="V1538">
        <f>IF($U1538=1,SUMPRODUCT(--($X$2:$X$3001&lt;$X1538))+1,"")</f>
        <v/>
      </c>
      <c r="W1538">
        <f>IF($A1538="","",IF(OR($T1538=TRUE(),$T1538="TRUE"),1,0))</f>
        <v/>
      </c>
      <c r="X1538">
        <f>IF($U1538=1,IFERROR(IF(VALUE($A1538)&lt;100000000,VALUE($A1538),1000000000),IFERROR(IF(VALUE(MID($A1538,2,20))&lt;100000000,VALUE(MID($A1538,2,20)),1000000000),1000000000))+ROW()/100000,"")</f>
        <v/>
      </c>
    </row>
    <row r="1539">
      <c r="F1539" s="7">
        <f>IF($A1539="","",E1539*N1539/100)</f>
        <v/>
      </c>
      <c r="J1539" s="7" t="n"/>
      <c r="K1539" s="7">
        <f>IF($A1539="","",S1539*N1539)</f>
        <v/>
      </c>
      <c r="L1539" s="7">
        <f>IF($A1539="","",N1539-K1539)</f>
        <v/>
      </c>
      <c r="M1539" s="7">
        <f>IF($A1539="","",L1539-F1539)</f>
        <v/>
      </c>
      <c r="N1539" s="7" t="n"/>
      <c r="Q1539" s="11" t="n"/>
      <c r="S1539">
        <f>IF($A1539="","",IF($W1539=1,Settings!$C$6,Settings!$C$7)*1)</f>
        <v/>
      </c>
      <c r="U1539">
        <f>IF($A1539="","",IF(COUNTIF($A$2:$A1539,$A1539)=1,1,0))</f>
        <v/>
      </c>
      <c r="V1539">
        <f>IF($U1539=1,SUMPRODUCT(--($X$2:$X$3001&lt;$X1539))+1,"")</f>
        <v/>
      </c>
      <c r="W1539">
        <f>IF($A1539="","",IF(OR($T1539=TRUE(),$T1539="TRUE"),1,0))</f>
        <v/>
      </c>
      <c r="X1539">
        <f>IF($U1539=1,IFERROR(IF(VALUE($A1539)&lt;100000000,VALUE($A1539),1000000000),IFERROR(IF(VALUE(MID($A1539,2,20))&lt;100000000,VALUE(MID($A1539,2,20)),1000000000),1000000000))+ROW()/100000,"")</f>
        <v/>
      </c>
    </row>
    <row r="1540">
      <c r="F1540" s="7">
        <f>IF($A1540="","",E1540*N1540/100)</f>
        <v/>
      </c>
      <c r="J1540" s="7" t="n"/>
      <c r="K1540" s="7">
        <f>IF($A1540="","",S1540*N1540)</f>
        <v/>
      </c>
      <c r="L1540" s="7">
        <f>IF($A1540="","",N1540-K1540)</f>
        <v/>
      </c>
      <c r="M1540" s="7">
        <f>IF($A1540="","",L1540-F1540)</f>
        <v/>
      </c>
      <c r="N1540" s="7" t="n"/>
      <c r="Q1540" s="11" t="n"/>
      <c r="S1540">
        <f>IF($A1540="","",IF($W1540=1,Settings!$C$6,Settings!$C$7)*1)</f>
        <v/>
      </c>
      <c r="U1540">
        <f>IF($A1540="","",IF(COUNTIF($A$2:$A1540,$A1540)=1,1,0))</f>
        <v/>
      </c>
      <c r="V1540">
        <f>IF($U1540=1,SUMPRODUCT(--($X$2:$X$3001&lt;$X1540))+1,"")</f>
        <v/>
      </c>
      <c r="W1540">
        <f>IF($A1540="","",IF(OR($T1540=TRUE(),$T1540="TRUE"),1,0))</f>
        <v/>
      </c>
      <c r="X1540">
        <f>IF($U1540=1,IFERROR(IF(VALUE($A1540)&lt;100000000,VALUE($A1540),1000000000),IFERROR(IF(VALUE(MID($A1540,2,20))&lt;100000000,VALUE(MID($A1540,2,20)),1000000000),1000000000))+ROW()/100000,"")</f>
        <v/>
      </c>
    </row>
    <row r="1541">
      <c r="F1541" s="7">
        <f>IF($A1541="","",E1541*N1541/100)</f>
        <v/>
      </c>
      <c r="J1541" s="7" t="n"/>
      <c r="K1541" s="7">
        <f>IF($A1541="","",S1541*N1541)</f>
        <v/>
      </c>
      <c r="L1541" s="7">
        <f>IF($A1541="","",N1541-K1541)</f>
        <v/>
      </c>
      <c r="M1541" s="7">
        <f>IF($A1541="","",L1541-F1541)</f>
        <v/>
      </c>
      <c r="N1541" s="7" t="n"/>
      <c r="Q1541" s="11" t="n"/>
      <c r="S1541">
        <f>IF($A1541="","",IF($W1541=1,Settings!$C$6,Settings!$C$7)*1)</f>
        <v/>
      </c>
      <c r="U1541">
        <f>IF($A1541="","",IF(COUNTIF($A$2:$A1541,$A1541)=1,1,0))</f>
        <v/>
      </c>
      <c r="V1541">
        <f>IF($U1541=1,SUMPRODUCT(--($X$2:$X$3001&lt;$X1541))+1,"")</f>
        <v/>
      </c>
      <c r="W1541">
        <f>IF($A1541="","",IF(OR($T1541=TRUE(),$T1541="TRUE"),1,0))</f>
        <v/>
      </c>
      <c r="X1541">
        <f>IF($U1541=1,IFERROR(IF(VALUE($A1541)&lt;100000000,VALUE($A1541),1000000000),IFERROR(IF(VALUE(MID($A1541,2,20))&lt;100000000,VALUE(MID($A1541,2,20)),1000000000),1000000000))+ROW()/100000,"")</f>
        <v/>
      </c>
    </row>
    <row r="1542">
      <c r="F1542" s="7">
        <f>IF($A1542="","",E1542*N1542/100)</f>
        <v/>
      </c>
      <c r="J1542" s="7" t="n"/>
      <c r="K1542" s="7">
        <f>IF($A1542="","",S1542*N1542)</f>
        <v/>
      </c>
      <c r="L1542" s="7">
        <f>IF($A1542="","",N1542-K1542)</f>
        <v/>
      </c>
      <c r="M1542" s="7">
        <f>IF($A1542="","",L1542-F1542)</f>
        <v/>
      </c>
      <c r="N1542" s="7" t="n"/>
      <c r="Q1542" s="11" t="n"/>
      <c r="S1542">
        <f>IF($A1542="","",IF($W1542=1,Settings!$C$6,Settings!$C$7)*1)</f>
        <v/>
      </c>
      <c r="U1542">
        <f>IF($A1542="","",IF(COUNTIF($A$2:$A1542,$A1542)=1,1,0))</f>
        <v/>
      </c>
      <c r="V1542">
        <f>IF($U1542=1,SUMPRODUCT(--($X$2:$X$3001&lt;$X1542))+1,"")</f>
        <v/>
      </c>
      <c r="W1542">
        <f>IF($A1542="","",IF(OR($T1542=TRUE(),$T1542="TRUE"),1,0))</f>
        <v/>
      </c>
      <c r="X1542">
        <f>IF($U1542=1,IFERROR(IF(VALUE($A1542)&lt;100000000,VALUE($A1542),1000000000),IFERROR(IF(VALUE(MID($A1542,2,20))&lt;100000000,VALUE(MID($A1542,2,20)),1000000000),1000000000))+ROW()/100000,"")</f>
        <v/>
      </c>
    </row>
    <row r="1543">
      <c r="F1543" s="7">
        <f>IF($A1543="","",E1543*N1543/100)</f>
        <v/>
      </c>
      <c r="J1543" s="7" t="n"/>
      <c r="K1543" s="7">
        <f>IF($A1543="","",S1543*N1543)</f>
        <v/>
      </c>
      <c r="L1543" s="7">
        <f>IF($A1543="","",N1543-K1543)</f>
        <v/>
      </c>
      <c r="M1543" s="7">
        <f>IF($A1543="","",L1543-F1543)</f>
        <v/>
      </c>
      <c r="N1543" s="7" t="n"/>
      <c r="Q1543" s="11" t="n"/>
      <c r="S1543">
        <f>IF($A1543="","",IF($W1543=1,Settings!$C$6,Settings!$C$7)*1)</f>
        <v/>
      </c>
      <c r="U1543">
        <f>IF($A1543="","",IF(COUNTIF($A$2:$A1543,$A1543)=1,1,0))</f>
        <v/>
      </c>
      <c r="V1543">
        <f>IF($U1543=1,SUMPRODUCT(--($X$2:$X$3001&lt;$X1543))+1,"")</f>
        <v/>
      </c>
      <c r="W1543">
        <f>IF($A1543="","",IF(OR($T1543=TRUE(),$T1543="TRUE"),1,0))</f>
        <v/>
      </c>
      <c r="X1543">
        <f>IF($U1543=1,IFERROR(IF(VALUE($A1543)&lt;100000000,VALUE($A1543),1000000000),IFERROR(IF(VALUE(MID($A1543,2,20))&lt;100000000,VALUE(MID($A1543,2,20)),1000000000),1000000000))+ROW()/100000,"")</f>
        <v/>
      </c>
    </row>
    <row r="1544">
      <c r="F1544" s="7">
        <f>IF($A1544="","",E1544*N1544/100)</f>
        <v/>
      </c>
      <c r="J1544" s="7" t="n"/>
      <c r="K1544" s="7">
        <f>IF($A1544="","",S1544*N1544)</f>
        <v/>
      </c>
      <c r="L1544" s="7">
        <f>IF($A1544="","",N1544-K1544)</f>
        <v/>
      </c>
      <c r="M1544" s="7">
        <f>IF($A1544="","",L1544-F1544)</f>
        <v/>
      </c>
      <c r="N1544" s="7" t="n"/>
      <c r="Q1544" s="11" t="n"/>
      <c r="S1544">
        <f>IF($A1544="","",IF($W1544=1,Settings!$C$6,Settings!$C$7)*1)</f>
        <v/>
      </c>
      <c r="U1544">
        <f>IF($A1544="","",IF(COUNTIF($A$2:$A1544,$A1544)=1,1,0))</f>
        <v/>
      </c>
      <c r="V1544">
        <f>IF($U1544=1,SUMPRODUCT(--($X$2:$X$3001&lt;$X1544))+1,"")</f>
        <v/>
      </c>
      <c r="W1544">
        <f>IF($A1544="","",IF(OR($T1544=TRUE(),$T1544="TRUE"),1,0))</f>
        <v/>
      </c>
      <c r="X1544">
        <f>IF($U1544=1,IFERROR(IF(VALUE($A1544)&lt;100000000,VALUE($A1544),1000000000),IFERROR(IF(VALUE(MID($A1544,2,20))&lt;100000000,VALUE(MID($A1544,2,20)),1000000000),1000000000))+ROW()/100000,"")</f>
        <v/>
      </c>
    </row>
    <row r="1545">
      <c r="F1545" s="7">
        <f>IF($A1545="","",E1545*N1545/100)</f>
        <v/>
      </c>
      <c r="J1545" s="7" t="n"/>
      <c r="K1545" s="7">
        <f>IF($A1545="","",S1545*N1545)</f>
        <v/>
      </c>
      <c r="L1545" s="7">
        <f>IF($A1545="","",N1545-K1545)</f>
        <v/>
      </c>
      <c r="M1545" s="7">
        <f>IF($A1545="","",L1545-F1545)</f>
        <v/>
      </c>
      <c r="N1545" s="7" t="n"/>
      <c r="Q1545" s="11" t="n"/>
      <c r="S1545">
        <f>IF($A1545="","",IF($W1545=1,Settings!$C$6,Settings!$C$7)*1)</f>
        <v/>
      </c>
      <c r="U1545">
        <f>IF($A1545="","",IF(COUNTIF($A$2:$A1545,$A1545)=1,1,0))</f>
        <v/>
      </c>
      <c r="V1545">
        <f>IF($U1545=1,SUMPRODUCT(--($X$2:$X$3001&lt;$X1545))+1,"")</f>
        <v/>
      </c>
      <c r="W1545">
        <f>IF($A1545="","",IF(OR($T1545=TRUE(),$T1545="TRUE"),1,0))</f>
        <v/>
      </c>
      <c r="X1545">
        <f>IF($U1545=1,IFERROR(IF(VALUE($A1545)&lt;100000000,VALUE($A1545),1000000000),IFERROR(IF(VALUE(MID($A1545,2,20))&lt;100000000,VALUE(MID($A1545,2,20)),1000000000),1000000000))+ROW()/100000,"")</f>
        <v/>
      </c>
    </row>
    <row r="1546">
      <c r="F1546" s="7">
        <f>IF($A1546="","",E1546*N1546/100)</f>
        <v/>
      </c>
      <c r="J1546" s="7" t="n"/>
      <c r="K1546" s="7">
        <f>IF($A1546="","",S1546*N1546)</f>
        <v/>
      </c>
      <c r="L1546" s="7">
        <f>IF($A1546="","",N1546-K1546)</f>
        <v/>
      </c>
      <c r="M1546" s="7">
        <f>IF($A1546="","",L1546-F1546)</f>
        <v/>
      </c>
      <c r="N1546" s="7" t="n"/>
      <c r="Q1546" s="11" t="n"/>
      <c r="S1546">
        <f>IF($A1546="","",IF($W1546=1,Settings!$C$6,Settings!$C$7)*1)</f>
        <v/>
      </c>
      <c r="U1546">
        <f>IF($A1546="","",IF(COUNTIF($A$2:$A1546,$A1546)=1,1,0))</f>
        <v/>
      </c>
      <c r="V1546">
        <f>IF($U1546=1,SUMPRODUCT(--($X$2:$X$3001&lt;$X1546))+1,"")</f>
        <v/>
      </c>
      <c r="W1546">
        <f>IF($A1546="","",IF(OR($T1546=TRUE(),$T1546="TRUE"),1,0))</f>
        <v/>
      </c>
      <c r="X1546">
        <f>IF($U1546=1,IFERROR(IF(VALUE($A1546)&lt;100000000,VALUE($A1546),1000000000),IFERROR(IF(VALUE(MID($A1546,2,20))&lt;100000000,VALUE(MID($A1546,2,20)),1000000000),1000000000))+ROW()/100000,"")</f>
        <v/>
      </c>
    </row>
    <row r="1547">
      <c r="F1547" s="7">
        <f>IF($A1547="","",E1547*N1547/100)</f>
        <v/>
      </c>
      <c r="J1547" s="7" t="n"/>
      <c r="K1547" s="7">
        <f>IF($A1547="","",S1547*N1547)</f>
        <v/>
      </c>
      <c r="L1547" s="7">
        <f>IF($A1547="","",N1547-K1547)</f>
        <v/>
      </c>
      <c r="M1547" s="7">
        <f>IF($A1547="","",L1547-F1547)</f>
        <v/>
      </c>
      <c r="N1547" s="7" t="n"/>
      <c r="Q1547" s="11" t="n"/>
      <c r="S1547">
        <f>IF($A1547="","",IF($W1547=1,Settings!$C$6,Settings!$C$7)*1)</f>
        <v/>
      </c>
      <c r="U1547">
        <f>IF($A1547="","",IF(COUNTIF($A$2:$A1547,$A1547)=1,1,0))</f>
        <v/>
      </c>
      <c r="V1547">
        <f>IF($U1547=1,SUMPRODUCT(--($X$2:$X$3001&lt;$X1547))+1,"")</f>
        <v/>
      </c>
      <c r="W1547">
        <f>IF($A1547="","",IF(OR($T1547=TRUE(),$T1547="TRUE"),1,0))</f>
        <v/>
      </c>
      <c r="X1547">
        <f>IF($U1547=1,IFERROR(IF(VALUE($A1547)&lt;100000000,VALUE($A1547),1000000000),IFERROR(IF(VALUE(MID($A1547,2,20))&lt;100000000,VALUE(MID($A1547,2,20)),1000000000),1000000000))+ROW()/100000,"")</f>
        <v/>
      </c>
    </row>
    <row r="1548">
      <c r="F1548" s="7">
        <f>IF($A1548="","",E1548*N1548/100)</f>
        <v/>
      </c>
      <c r="J1548" s="7" t="n"/>
      <c r="K1548" s="7">
        <f>IF($A1548="","",S1548*N1548)</f>
        <v/>
      </c>
      <c r="L1548" s="7">
        <f>IF($A1548="","",N1548-K1548)</f>
        <v/>
      </c>
      <c r="M1548" s="7">
        <f>IF($A1548="","",L1548-F1548)</f>
        <v/>
      </c>
      <c r="N1548" s="7" t="n"/>
      <c r="Q1548" s="11" t="n"/>
      <c r="S1548">
        <f>IF($A1548="","",IF($W1548=1,Settings!$C$6,Settings!$C$7)*1)</f>
        <v/>
      </c>
      <c r="U1548">
        <f>IF($A1548="","",IF(COUNTIF($A$2:$A1548,$A1548)=1,1,0))</f>
        <v/>
      </c>
      <c r="V1548">
        <f>IF($U1548=1,SUMPRODUCT(--($X$2:$X$3001&lt;$X1548))+1,"")</f>
        <v/>
      </c>
      <c r="W1548">
        <f>IF($A1548="","",IF(OR($T1548=TRUE(),$T1548="TRUE"),1,0))</f>
        <v/>
      </c>
      <c r="X1548">
        <f>IF($U1548=1,IFERROR(IF(VALUE($A1548)&lt;100000000,VALUE($A1548),1000000000),IFERROR(IF(VALUE(MID($A1548,2,20))&lt;100000000,VALUE(MID($A1548,2,20)),1000000000),1000000000))+ROW()/100000,"")</f>
        <v/>
      </c>
    </row>
    <row r="1549">
      <c r="F1549" s="7">
        <f>IF($A1549="","",E1549*N1549/100)</f>
        <v/>
      </c>
      <c r="J1549" s="7" t="n"/>
      <c r="K1549" s="7">
        <f>IF($A1549="","",S1549*N1549)</f>
        <v/>
      </c>
      <c r="L1549" s="7">
        <f>IF($A1549="","",N1549-K1549)</f>
        <v/>
      </c>
      <c r="M1549" s="7">
        <f>IF($A1549="","",L1549-F1549)</f>
        <v/>
      </c>
      <c r="N1549" s="7" t="n"/>
      <c r="Q1549" s="11" t="n"/>
      <c r="S1549">
        <f>IF($A1549="","",IF($W1549=1,Settings!$C$6,Settings!$C$7)*1)</f>
        <v/>
      </c>
      <c r="U1549">
        <f>IF($A1549="","",IF(COUNTIF($A$2:$A1549,$A1549)=1,1,0))</f>
        <v/>
      </c>
      <c r="V1549">
        <f>IF($U1549=1,SUMPRODUCT(--($X$2:$X$3001&lt;$X1549))+1,"")</f>
        <v/>
      </c>
      <c r="W1549">
        <f>IF($A1549="","",IF(OR($T1549=TRUE(),$T1549="TRUE"),1,0))</f>
        <v/>
      </c>
      <c r="X1549">
        <f>IF($U1549=1,IFERROR(IF(VALUE($A1549)&lt;100000000,VALUE($A1549),1000000000),IFERROR(IF(VALUE(MID($A1549,2,20))&lt;100000000,VALUE(MID($A1549,2,20)),1000000000),1000000000))+ROW()/100000,"")</f>
        <v/>
      </c>
    </row>
    <row r="1550">
      <c r="F1550" s="7">
        <f>IF($A1550="","",E1550*N1550/100)</f>
        <v/>
      </c>
      <c r="J1550" s="7" t="n"/>
      <c r="K1550" s="7">
        <f>IF($A1550="","",S1550*N1550)</f>
        <v/>
      </c>
      <c r="L1550" s="7">
        <f>IF($A1550="","",N1550-K1550)</f>
        <v/>
      </c>
      <c r="M1550" s="7">
        <f>IF($A1550="","",L1550-F1550)</f>
        <v/>
      </c>
      <c r="N1550" s="7" t="n"/>
      <c r="Q1550" s="11" t="n"/>
      <c r="S1550">
        <f>IF($A1550="","",IF($W1550=1,Settings!$C$6,Settings!$C$7)*1)</f>
        <v/>
      </c>
      <c r="U1550">
        <f>IF($A1550="","",IF(COUNTIF($A$2:$A1550,$A1550)=1,1,0))</f>
        <v/>
      </c>
      <c r="V1550">
        <f>IF($U1550=1,SUMPRODUCT(--($X$2:$X$3001&lt;$X1550))+1,"")</f>
        <v/>
      </c>
      <c r="W1550">
        <f>IF($A1550="","",IF(OR($T1550=TRUE(),$T1550="TRUE"),1,0))</f>
        <v/>
      </c>
      <c r="X1550">
        <f>IF($U1550=1,IFERROR(IF(VALUE($A1550)&lt;100000000,VALUE($A1550),1000000000),IFERROR(IF(VALUE(MID($A1550,2,20))&lt;100000000,VALUE(MID($A1550,2,20)),1000000000),1000000000))+ROW()/100000,"")</f>
        <v/>
      </c>
    </row>
    <row r="1551">
      <c r="F1551" s="7">
        <f>IF($A1551="","",E1551*N1551/100)</f>
        <v/>
      </c>
      <c r="J1551" s="7" t="n"/>
      <c r="K1551" s="7">
        <f>IF($A1551="","",S1551*N1551)</f>
        <v/>
      </c>
      <c r="L1551" s="7">
        <f>IF($A1551="","",N1551-K1551)</f>
        <v/>
      </c>
      <c r="M1551" s="7">
        <f>IF($A1551="","",L1551-F1551)</f>
        <v/>
      </c>
      <c r="N1551" s="7" t="n"/>
      <c r="Q1551" s="11" t="n"/>
      <c r="S1551">
        <f>IF($A1551="","",IF($W1551=1,Settings!$C$6,Settings!$C$7)*1)</f>
        <v/>
      </c>
      <c r="U1551">
        <f>IF($A1551="","",IF(COUNTIF($A$2:$A1551,$A1551)=1,1,0))</f>
        <v/>
      </c>
      <c r="V1551">
        <f>IF($U1551=1,SUMPRODUCT(--($X$2:$X$3001&lt;$X1551))+1,"")</f>
        <v/>
      </c>
      <c r="W1551">
        <f>IF($A1551="","",IF(OR($T1551=TRUE(),$T1551="TRUE"),1,0))</f>
        <v/>
      </c>
      <c r="X1551">
        <f>IF($U1551=1,IFERROR(IF(VALUE($A1551)&lt;100000000,VALUE($A1551),1000000000),IFERROR(IF(VALUE(MID($A1551,2,20))&lt;100000000,VALUE(MID($A1551,2,20)),1000000000),1000000000))+ROW()/100000,"")</f>
        <v/>
      </c>
    </row>
    <row r="1552">
      <c r="F1552" s="7">
        <f>IF($A1552="","",E1552*N1552/100)</f>
        <v/>
      </c>
      <c r="J1552" s="7" t="n"/>
      <c r="K1552" s="7">
        <f>IF($A1552="","",S1552*N1552)</f>
        <v/>
      </c>
      <c r="L1552" s="7">
        <f>IF($A1552="","",N1552-K1552)</f>
        <v/>
      </c>
      <c r="M1552" s="7">
        <f>IF($A1552="","",L1552-F1552)</f>
        <v/>
      </c>
      <c r="N1552" s="7" t="n"/>
      <c r="Q1552" s="11" t="n"/>
      <c r="S1552">
        <f>IF($A1552="","",IF($W1552=1,Settings!$C$6,Settings!$C$7)*1)</f>
        <v/>
      </c>
      <c r="U1552">
        <f>IF($A1552="","",IF(COUNTIF($A$2:$A1552,$A1552)=1,1,0))</f>
        <v/>
      </c>
      <c r="V1552">
        <f>IF($U1552=1,SUMPRODUCT(--($X$2:$X$3001&lt;$X1552))+1,"")</f>
        <v/>
      </c>
      <c r="W1552">
        <f>IF($A1552="","",IF(OR($T1552=TRUE(),$T1552="TRUE"),1,0))</f>
        <v/>
      </c>
      <c r="X1552">
        <f>IF($U1552=1,IFERROR(IF(VALUE($A1552)&lt;100000000,VALUE($A1552),1000000000),IFERROR(IF(VALUE(MID($A1552,2,20))&lt;100000000,VALUE(MID($A1552,2,20)),1000000000),1000000000))+ROW()/100000,"")</f>
        <v/>
      </c>
    </row>
    <row r="1553">
      <c r="F1553" s="7">
        <f>IF($A1553="","",E1553*N1553/100)</f>
        <v/>
      </c>
      <c r="J1553" s="7" t="n"/>
      <c r="K1553" s="7">
        <f>IF($A1553="","",S1553*N1553)</f>
        <v/>
      </c>
      <c r="L1553" s="7">
        <f>IF($A1553="","",N1553-K1553)</f>
        <v/>
      </c>
      <c r="M1553" s="7">
        <f>IF($A1553="","",L1553-F1553)</f>
        <v/>
      </c>
      <c r="N1553" s="7" t="n"/>
      <c r="Q1553" s="11" t="n"/>
      <c r="S1553">
        <f>IF($A1553="","",IF($W1553=1,Settings!$C$6,Settings!$C$7)*1)</f>
        <v/>
      </c>
      <c r="U1553">
        <f>IF($A1553="","",IF(COUNTIF($A$2:$A1553,$A1553)=1,1,0))</f>
        <v/>
      </c>
      <c r="V1553">
        <f>IF($U1553=1,SUMPRODUCT(--($X$2:$X$3001&lt;$X1553))+1,"")</f>
        <v/>
      </c>
      <c r="W1553">
        <f>IF($A1553="","",IF(OR($T1553=TRUE(),$T1553="TRUE"),1,0))</f>
        <v/>
      </c>
      <c r="X1553">
        <f>IF($U1553=1,IFERROR(IF(VALUE($A1553)&lt;100000000,VALUE($A1553),1000000000),IFERROR(IF(VALUE(MID($A1553,2,20))&lt;100000000,VALUE(MID($A1553,2,20)),1000000000),1000000000))+ROW()/100000,"")</f>
        <v/>
      </c>
    </row>
    <row r="1554">
      <c r="F1554" s="7">
        <f>IF($A1554="","",E1554*N1554/100)</f>
        <v/>
      </c>
      <c r="J1554" s="7" t="n"/>
      <c r="K1554" s="7">
        <f>IF($A1554="","",S1554*N1554)</f>
        <v/>
      </c>
      <c r="L1554" s="7">
        <f>IF($A1554="","",N1554-K1554)</f>
        <v/>
      </c>
      <c r="M1554" s="7">
        <f>IF($A1554="","",L1554-F1554)</f>
        <v/>
      </c>
      <c r="N1554" s="7" t="n"/>
      <c r="Q1554" s="11" t="n"/>
      <c r="S1554">
        <f>IF($A1554="","",IF($W1554=1,Settings!$C$6,Settings!$C$7)*1)</f>
        <v/>
      </c>
      <c r="U1554">
        <f>IF($A1554="","",IF(COUNTIF($A$2:$A1554,$A1554)=1,1,0))</f>
        <v/>
      </c>
      <c r="V1554">
        <f>IF($U1554=1,SUMPRODUCT(--($X$2:$X$3001&lt;$X1554))+1,"")</f>
        <v/>
      </c>
      <c r="W1554">
        <f>IF($A1554="","",IF(OR($T1554=TRUE(),$T1554="TRUE"),1,0))</f>
        <v/>
      </c>
      <c r="X1554">
        <f>IF($U1554=1,IFERROR(IF(VALUE($A1554)&lt;100000000,VALUE($A1554),1000000000),IFERROR(IF(VALUE(MID($A1554,2,20))&lt;100000000,VALUE(MID($A1554,2,20)),1000000000),1000000000))+ROW()/100000,"")</f>
        <v/>
      </c>
    </row>
    <row r="1555">
      <c r="F1555" s="7">
        <f>IF($A1555="","",E1555*N1555/100)</f>
        <v/>
      </c>
      <c r="J1555" s="7" t="n"/>
      <c r="K1555" s="7">
        <f>IF($A1555="","",S1555*N1555)</f>
        <v/>
      </c>
      <c r="L1555" s="7">
        <f>IF($A1555="","",N1555-K1555)</f>
        <v/>
      </c>
      <c r="M1555" s="7">
        <f>IF($A1555="","",L1555-F1555)</f>
        <v/>
      </c>
      <c r="N1555" s="7" t="n"/>
      <c r="Q1555" s="11" t="n"/>
      <c r="S1555">
        <f>IF($A1555="","",IF($W1555=1,Settings!$C$6,Settings!$C$7)*1)</f>
        <v/>
      </c>
      <c r="U1555">
        <f>IF($A1555="","",IF(COUNTIF($A$2:$A1555,$A1555)=1,1,0))</f>
        <v/>
      </c>
      <c r="V1555">
        <f>IF($U1555=1,SUMPRODUCT(--($X$2:$X$3001&lt;$X1555))+1,"")</f>
        <v/>
      </c>
      <c r="W1555">
        <f>IF($A1555="","",IF(OR($T1555=TRUE(),$T1555="TRUE"),1,0))</f>
        <v/>
      </c>
      <c r="X1555">
        <f>IF($U1555=1,IFERROR(IF(VALUE($A1555)&lt;100000000,VALUE($A1555),1000000000),IFERROR(IF(VALUE(MID($A1555,2,20))&lt;100000000,VALUE(MID($A1555,2,20)),1000000000),1000000000))+ROW()/100000,"")</f>
        <v/>
      </c>
    </row>
    <row r="1556">
      <c r="F1556" s="7">
        <f>IF($A1556="","",E1556*N1556/100)</f>
        <v/>
      </c>
      <c r="J1556" s="7" t="n"/>
      <c r="K1556" s="7">
        <f>IF($A1556="","",S1556*N1556)</f>
        <v/>
      </c>
      <c r="L1556" s="7">
        <f>IF($A1556="","",N1556-K1556)</f>
        <v/>
      </c>
      <c r="M1556" s="7">
        <f>IF($A1556="","",L1556-F1556)</f>
        <v/>
      </c>
      <c r="N1556" s="7" t="n"/>
      <c r="Q1556" s="11" t="n"/>
      <c r="S1556">
        <f>IF($A1556="","",IF($W1556=1,Settings!$C$6,Settings!$C$7)*1)</f>
        <v/>
      </c>
      <c r="U1556">
        <f>IF($A1556="","",IF(COUNTIF($A$2:$A1556,$A1556)=1,1,0))</f>
        <v/>
      </c>
      <c r="V1556">
        <f>IF($U1556=1,SUMPRODUCT(--($X$2:$X$3001&lt;$X1556))+1,"")</f>
        <v/>
      </c>
      <c r="W1556">
        <f>IF($A1556="","",IF(OR($T1556=TRUE(),$T1556="TRUE"),1,0))</f>
        <v/>
      </c>
      <c r="X1556">
        <f>IF($U1556=1,IFERROR(IF(VALUE($A1556)&lt;100000000,VALUE($A1556),1000000000),IFERROR(IF(VALUE(MID($A1556,2,20))&lt;100000000,VALUE(MID($A1556,2,20)),1000000000),1000000000))+ROW()/100000,"")</f>
        <v/>
      </c>
    </row>
    <row r="1557">
      <c r="F1557" s="7">
        <f>IF($A1557="","",E1557*N1557/100)</f>
        <v/>
      </c>
      <c r="J1557" s="7" t="n"/>
      <c r="K1557" s="7">
        <f>IF($A1557="","",S1557*N1557)</f>
        <v/>
      </c>
      <c r="L1557" s="7">
        <f>IF($A1557="","",N1557-K1557)</f>
        <v/>
      </c>
      <c r="M1557" s="7">
        <f>IF($A1557="","",L1557-F1557)</f>
        <v/>
      </c>
      <c r="N1557" s="7" t="n"/>
      <c r="Q1557" s="11" t="n"/>
      <c r="S1557">
        <f>IF($A1557="","",IF($W1557=1,Settings!$C$6,Settings!$C$7)*1)</f>
        <v/>
      </c>
      <c r="U1557">
        <f>IF($A1557="","",IF(COUNTIF($A$2:$A1557,$A1557)=1,1,0))</f>
        <v/>
      </c>
      <c r="V1557">
        <f>IF($U1557=1,SUMPRODUCT(--($X$2:$X$3001&lt;$X1557))+1,"")</f>
        <v/>
      </c>
      <c r="W1557">
        <f>IF($A1557="","",IF(OR($T1557=TRUE(),$T1557="TRUE"),1,0))</f>
        <v/>
      </c>
      <c r="X1557">
        <f>IF($U1557=1,IFERROR(IF(VALUE($A1557)&lt;100000000,VALUE($A1557),1000000000),IFERROR(IF(VALUE(MID($A1557,2,20))&lt;100000000,VALUE(MID($A1557,2,20)),1000000000),1000000000))+ROW()/100000,"")</f>
        <v/>
      </c>
    </row>
    <row r="1558">
      <c r="F1558" s="7">
        <f>IF($A1558="","",E1558*N1558/100)</f>
        <v/>
      </c>
      <c r="J1558" s="7" t="n"/>
      <c r="K1558" s="7">
        <f>IF($A1558="","",S1558*N1558)</f>
        <v/>
      </c>
      <c r="L1558" s="7">
        <f>IF($A1558="","",N1558-K1558)</f>
        <v/>
      </c>
      <c r="M1558" s="7">
        <f>IF($A1558="","",L1558-F1558)</f>
        <v/>
      </c>
      <c r="N1558" s="7" t="n"/>
      <c r="Q1558" s="11" t="n"/>
      <c r="S1558">
        <f>IF($A1558="","",IF($W1558=1,Settings!$C$6,Settings!$C$7)*1)</f>
        <v/>
      </c>
      <c r="U1558">
        <f>IF($A1558="","",IF(COUNTIF($A$2:$A1558,$A1558)=1,1,0))</f>
        <v/>
      </c>
      <c r="V1558">
        <f>IF($U1558=1,SUMPRODUCT(--($X$2:$X$3001&lt;$X1558))+1,"")</f>
        <v/>
      </c>
      <c r="W1558">
        <f>IF($A1558="","",IF(OR($T1558=TRUE(),$T1558="TRUE"),1,0))</f>
        <v/>
      </c>
      <c r="X1558">
        <f>IF($U1558=1,IFERROR(IF(VALUE($A1558)&lt;100000000,VALUE($A1558),1000000000),IFERROR(IF(VALUE(MID($A1558,2,20))&lt;100000000,VALUE(MID($A1558,2,20)),1000000000),1000000000))+ROW()/100000,"")</f>
        <v/>
      </c>
    </row>
    <row r="1559">
      <c r="F1559" s="7">
        <f>IF($A1559="","",E1559*N1559/100)</f>
        <v/>
      </c>
      <c r="J1559" s="7" t="n"/>
      <c r="K1559" s="7">
        <f>IF($A1559="","",S1559*N1559)</f>
        <v/>
      </c>
      <c r="L1559" s="7">
        <f>IF($A1559="","",N1559-K1559)</f>
        <v/>
      </c>
      <c r="M1559" s="7">
        <f>IF($A1559="","",L1559-F1559)</f>
        <v/>
      </c>
      <c r="N1559" s="7" t="n"/>
      <c r="Q1559" s="11" t="n"/>
      <c r="S1559">
        <f>IF($A1559="","",IF($W1559=1,Settings!$C$6,Settings!$C$7)*1)</f>
        <v/>
      </c>
      <c r="U1559">
        <f>IF($A1559="","",IF(COUNTIF($A$2:$A1559,$A1559)=1,1,0))</f>
        <v/>
      </c>
      <c r="V1559">
        <f>IF($U1559=1,SUMPRODUCT(--($X$2:$X$3001&lt;$X1559))+1,"")</f>
        <v/>
      </c>
      <c r="W1559">
        <f>IF($A1559="","",IF(OR($T1559=TRUE(),$T1559="TRUE"),1,0))</f>
        <v/>
      </c>
      <c r="X1559">
        <f>IF($U1559=1,IFERROR(IF(VALUE($A1559)&lt;100000000,VALUE($A1559),1000000000),IFERROR(IF(VALUE(MID($A1559,2,20))&lt;100000000,VALUE(MID($A1559,2,20)),1000000000),1000000000))+ROW()/100000,"")</f>
        <v/>
      </c>
    </row>
    <row r="1560">
      <c r="F1560" s="7">
        <f>IF($A1560="","",E1560*N1560/100)</f>
        <v/>
      </c>
      <c r="J1560" s="7" t="n"/>
      <c r="K1560" s="7">
        <f>IF($A1560="","",S1560*N1560)</f>
        <v/>
      </c>
      <c r="L1560" s="7">
        <f>IF($A1560="","",N1560-K1560)</f>
        <v/>
      </c>
      <c r="M1560" s="7">
        <f>IF($A1560="","",L1560-F1560)</f>
        <v/>
      </c>
      <c r="N1560" s="7" t="n"/>
      <c r="Q1560" s="11" t="n"/>
      <c r="S1560">
        <f>IF($A1560="","",IF($W1560=1,Settings!$C$6,Settings!$C$7)*1)</f>
        <v/>
      </c>
      <c r="U1560">
        <f>IF($A1560="","",IF(COUNTIF($A$2:$A1560,$A1560)=1,1,0))</f>
        <v/>
      </c>
      <c r="V1560">
        <f>IF($U1560=1,SUMPRODUCT(--($X$2:$X$3001&lt;$X1560))+1,"")</f>
        <v/>
      </c>
      <c r="W1560">
        <f>IF($A1560="","",IF(OR($T1560=TRUE(),$T1560="TRUE"),1,0))</f>
        <v/>
      </c>
      <c r="X1560">
        <f>IF($U1560=1,IFERROR(IF(VALUE($A1560)&lt;100000000,VALUE($A1560),1000000000),IFERROR(IF(VALUE(MID($A1560,2,20))&lt;100000000,VALUE(MID($A1560,2,20)),1000000000),1000000000))+ROW()/100000,"")</f>
        <v/>
      </c>
    </row>
    <row r="1561">
      <c r="F1561" s="7">
        <f>IF($A1561="","",E1561*N1561/100)</f>
        <v/>
      </c>
      <c r="J1561" s="7" t="n"/>
      <c r="K1561" s="7">
        <f>IF($A1561="","",S1561*N1561)</f>
        <v/>
      </c>
      <c r="L1561" s="7">
        <f>IF($A1561="","",N1561-K1561)</f>
        <v/>
      </c>
      <c r="M1561" s="7">
        <f>IF($A1561="","",L1561-F1561)</f>
        <v/>
      </c>
      <c r="N1561" s="7" t="n"/>
      <c r="Q1561" s="11" t="n"/>
      <c r="S1561">
        <f>IF($A1561="","",IF($W1561=1,Settings!$C$6,Settings!$C$7)*1)</f>
        <v/>
      </c>
      <c r="U1561">
        <f>IF($A1561="","",IF(COUNTIF($A$2:$A1561,$A1561)=1,1,0))</f>
        <v/>
      </c>
      <c r="V1561">
        <f>IF($U1561=1,SUMPRODUCT(--($X$2:$X$3001&lt;$X1561))+1,"")</f>
        <v/>
      </c>
      <c r="W1561">
        <f>IF($A1561="","",IF(OR($T1561=TRUE(),$T1561="TRUE"),1,0))</f>
        <v/>
      </c>
      <c r="X1561">
        <f>IF($U1561=1,IFERROR(IF(VALUE($A1561)&lt;100000000,VALUE($A1561),1000000000),IFERROR(IF(VALUE(MID($A1561,2,20))&lt;100000000,VALUE(MID($A1561,2,20)),1000000000),1000000000))+ROW()/100000,"")</f>
        <v/>
      </c>
    </row>
    <row r="1562">
      <c r="F1562" s="7">
        <f>IF($A1562="","",E1562*N1562/100)</f>
        <v/>
      </c>
      <c r="J1562" s="7" t="n"/>
      <c r="K1562" s="7">
        <f>IF($A1562="","",S1562*N1562)</f>
        <v/>
      </c>
      <c r="L1562" s="7">
        <f>IF($A1562="","",N1562-K1562)</f>
        <v/>
      </c>
      <c r="M1562" s="7">
        <f>IF($A1562="","",L1562-F1562)</f>
        <v/>
      </c>
      <c r="N1562" s="7" t="n"/>
      <c r="Q1562" s="11" t="n"/>
      <c r="S1562">
        <f>IF($A1562="","",IF($W1562=1,Settings!$C$6,Settings!$C$7)*1)</f>
        <v/>
      </c>
      <c r="U1562">
        <f>IF($A1562="","",IF(COUNTIF($A$2:$A1562,$A1562)=1,1,0))</f>
        <v/>
      </c>
      <c r="V1562">
        <f>IF($U1562=1,SUMPRODUCT(--($X$2:$X$3001&lt;$X1562))+1,"")</f>
        <v/>
      </c>
      <c r="W1562">
        <f>IF($A1562="","",IF(OR($T1562=TRUE(),$T1562="TRUE"),1,0))</f>
        <v/>
      </c>
      <c r="X1562">
        <f>IF($U1562=1,IFERROR(IF(VALUE($A1562)&lt;100000000,VALUE($A1562),1000000000),IFERROR(IF(VALUE(MID($A1562,2,20))&lt;100000000,VALUE(MID($A1562,2,20)),1000000000),1000000000))+ROW()/100000,"")</f>
        <v/>
      </c>
    </row>
    <row r="1563">
      <c r="F1563" s="7">
        <f>IF($A1563="","",E1563*N1563/100)</f>
        <v/>
      </c>
      <c r="J1563" s="7" t="n"/>
      <c r="K1563" s="7">
        <f>IF($A1563="","",S1563*N1563)</f>
        <v/>
      </c>
      <c r="L1563" s="7">
        <f>IF($A1563="","",N1563-K1563)</f>
        <v/>
      </c>
      <c r="M1563" s="7">
        <f>IF($A1563="","",L1563-F1563)</f>
        <v/>
      </c>
      <c r="N1563" s="7" t="n"/>
      <c r="Q1563" s="11" t="n"/>
      <c r="S1563">
        <f>IF($A1563="","",IF($W1563=1,Settings!$C$6,Settings!$C$7)*1)</f>
        <v/>
      </c>
      <c r="U1563">
        <f>IF($A1563="","",IF(COUNTIF($A$2:$A1563,$A1563)=1,1,0))</f>
        <v/>
      </c>
      <c r="V1563">
        <f>IF($U1563=1,SUMPRODUCT(--($X$2:$X$3001&lt;$X1563))+1,"")</f>
        <v/>
      </c>
      <c r="W1563">
        <f>IF($A1563="","",IF(OR($T1563=TRUE(),$T1563="TRUE"),1,0))</f>
        <v/>
      </c>
      <c r="X1563">
        <f>IF($U1563=1,IFERROR(IF(VALUE($A1563)&lt;100000000,VALUE($A1563),1000000000),IFERROR(IF(VALUE(MID($A1563,2,20))&lt;100000000,VALUE(MID($A1563,2,20)),1000000000),1000000000))+ROW()/100000,"")</f>
        <v/>
      </c>
    </row>
    <row r="1564">
      <c r="F1564" s="7">
        <f>IF($A1564="","",E1564*N1564/100)</f>
        <v/>
      </c>
      <c r="J1564" s="7" t="n"/>
      <c r="K1564" s="7">
        <f>IF($A1564="","",S1564*N1564)</f>
        <v/>
      </c>
      <c r="L1564" s="7">
        <f>IF($A1564="","",N1564-K1564)</f>
        <v/>
      </c>
      <c r="M1564" s="7">
        <f>IF($A1564="","",L1564-F1564)</f>
        <v/>
      </c>
      <c r="N1564" s="7" t="n"/>
      <c r="Q1564" s="11" t="n"/>
      <c r="S1564">
        <f>IF($A1564="","",IF($W1564=1,Settings!$C$6,Settings!$C$7)*1)</f>
        <v/>
      </c>
      <c r="U1564">
        <f>IF($A1564="","",IF(COUNTIF($A$2:$A1564,$A1564)=1,1,0))</f>
        <v/>
      </c>
      <c r="V1564">
        <f>IF($U1564=1,SUMPRODUCT(--($X$2:$X$3001&lt;$X1564))+1,"")</f>
        <v/>
      </c>
      <c r="W1564">
        <f>IF($A1564="","",IF(OR($T1564=TRUE(),$T1564="TRUE"),1,0))</f>
        <v/>
      </c>
      <c r="X1564">
        <f>IF($U1564=1,IFERROR(IF(VALUE($A1564)&lt;100000000,VALUE($A1564),1000000000),IFERROR(IF(VALUE(MID($A1564,2,20))&lt;100000000,VALUE(MID($A1564,2,20)),1000000000),1000000000))+ROW()/100000,"")</f>
        <v/>
      </c>
    </row>
    <row r="1565">
      <c r="F1565" s="7">
        <f>IF($A1565="","",E1565*N1565/100)</f>
        <v/>
      </c>
      <c r="J1565" s="7" t="n"/>
      <c r="K1565" s="7">
        <f>IF($A1565="","",S1565*N1565)</f>
        <v/>
      </c>
      <c r="L1565" s="7">
        <f>IF($A1565="","",N1565-K1565)</f>
        <v/>
      </c>
      <c r="M1565" s="7">
        <f>IF($A1565="","",L1565-F1565)</f>
        <v/>
      </c>
      <c r="N1565" s="7" t="n"/>
      <c r="Q1565" s="11" t="n"/>
      <c r="S1565">
        <f>IF($A1565="","",IF($W1565=1,Settings!$C$6,Settings!$C$7)*1)</f>
        <v/>
      </c>
      <c r="U1565">
        <f>IF($A1565="","",IF(COUNTIF($A$2:$A1565,$A1565)=1,1,0))</f>
        <v/>
      </c>
      <c r="V1565">
        <f>IF($U1565=1,SUMPRODUCT(--($X$2:$X$3001&lt;$X1565))+1,"")</f>
        <v/>
      </c>
      <c r="W1565">
        <f>IF($A1565="","",IF(OR($T1565=TRUE(),$T1565="TRUE"),1,0))</f>
        <v/>
      </c>
      <c r="X1565">
        <f>IF($U1565=1,IFERROR(IF(VALUE($A1565)&lt;100000000,VALUE($A1565),1000000000),IFERROR(IF(VALUE(MID($A1565,2,20))&lt;100000000,VALUE(MID($A1565,2,20)),1000000000),1000000000))+ROW()/100000,"")</f>
        <v/>
      </c>
    </row>
    <row r="1566">
      <c r="F1566" s="7">
        <f>IF($A1566="","",E1566*N1566/100)</f>
        <v/>
      </c>
      <c r="J1566" s="7" t="n"/>
      <c r="K1566" s="7">
        <f>IF($A1566="","",S1566*N1566)</f>
        <v/>
      </c>
      <c r="L1566" s="7">
        <f>IF($A1566="","",N1566-K1566)</f>
        <v/>
      </c>
      <c r="M1566" s="7">
        <f>IF($A1566="","",L1566-F1566)</f>
        <v/>
      </c>
      <c r="N1566" s="7" t="n"/>
      <c r="Q1566" s="11" t="n"/>
      <c r="S1566">
        <f>IF($A1566="","",IF($W1566=1,Settings!$C$6,Settings!$C$7)*1)</f>
        <v/>
      </c>
      <c r="U1566">
        <f>IF($A1566="","",IF(COUNTIF($A$2:$A1566,$A1566)=1,1,0))</f>
        <v/>
      </c>
      <c r="V1566">
        <f>IF($U1566=1,SUMPRODUCT(--($X$2:$X$3001&lt;$X1566))+1,"")</f>
        <v/>
      </c>
      <c r="W1566">
        <f>IF($A1566="","",IF(OR($T1566=TRUE(),$T1566="TRUE"),1,0))</f>
        <v/>
      </c>
      <c r="X1566">
        <f>IF($U1566=1,IFERROR(IF(VALUE($A1566)&lt;100000000,VALUE($A1566),1000000000),IFERROR(IF(VALUE(MID($A1566,2,20))&lt;100000000,VALUE(MID($A1566,2,20)),1000000000),1000000000))+ROW()/100000,"")</f>
        <v/>
      </c>
    </row>
    <row r="1567">
      <c r="F1567" s="7">
        <f>IF($A1567="","",E1567*N1567/100)</f>
        <v/>
      </c>
      <c r="J1567" s="7" t="n"/>
      <c r="K1567" s="7">
        <f>IF($A1567="","",S1567*N1567)</f>
        <v/>
      </c>
      <c r="L1567" s="7">
        <f>IF($A1567="","",N1567-K1567)</f>
        <v/>
      </c>
      <c r="M1567" s="7">
        <f>IF($A1567="","",L1567-F1567)</f>
        <v/>
      </c>
      <c r="N1567" s="7" t="n"/>
      <c r="Q1567" s="11" t="n"/>
      <c r="S1567">
        <f>IF($A1567="","",IF($W1567=1,Settings!$C$6,Settings!$C$7)*1)</f>
        <v/>
      </c>
      <c r="U1567">
        <f>IF($A1567="","",IF(COUNTIF($A$2:$A1567,$A1567)=1,1,0))</f>
        <v/>
      </c>
      <c r="V1567">
        <f>IF($U1567=1,SUMPRODUCT(--($X$2:$X$3001&lt;$X1567))+1,"")</f>
        <v/>
      </c>
      <c r="W1567">
        <f>IF($A1567="","",IF(OR($T1567=TRUE(),$T1567="TRUE"),1,0))</f>
        <v/>
      </c>
      <c r="X1567">
        <f>IF($U1567=1,IFERROR(IF(VALUE($A1567)&lt;100000000,VALUE($A1567),1000000000),IFERROR(IF(VALUE(MID($A1567,2,20))&lt;100000000,VALUE(MID($A1567,2,20)),1000000000),1000000000))+ROW()/100000,"")</f>
        <v/>
      </c>
    </row>
    <row r="1568">
      <c r="F1568" s="7">
        <f>IF($A1568="","",E1568*N1568/100)</f>
        <v/>
      </c>
      <c r="J1568" s="7" t="n"/>
      <c r="K1568" s="7">
        <f>IF($A1568="","",S1568*N1568)</f>
        <v/>
      </c>
      <c r="L1568" s="7">
        <f>IF($A1568="","",N1568-K1568)</f>
        <v/>
      </c>
      <c r="M1568" s="7">
        <f>IF($A1568="","",L1568-F1568)</f>
        <v/>
      </c>
      <c r="N1568" s="7" t="n"/>
      <c r="Q1568" s="11" t="n"/>
      <c r="S1568">
        <f>IF($A1568="","",IF($W1568=1,Settings!$C$6,Settings!$C$7)*1)</f>
        <v/>
      </c>
      <c r="U1568">
        <f>IF($A1568="","",IF(COUNTIF($A$2:$A1568,$A1568)=1,1,0))</f>
        <v/>
      </c>
      <c r="V1568">
        <f>IF($U1568=1,SUMPRODUCT(--($X$2:$X$3001&lt;$X1568))+1,"")</f>
        <v/>
      </c>
      <c r="W1568">
        <f>IF($A1568="","",IF(OR($T1568=TRUE(),$T1568="TRUE"),1,0))</f>
        <v/>
      </c>
      <c r="X1568">
        <f>IF($U1568=1,IFERROR(IF(VALUE($A1568)&lt;100000000,VALUE($A1568),1000000000),IFERROR(IF(VALUE(MID($A1568,2,20))&lt;100000000,VALUE(MID($A1568,2,20)),1000000000),1000000000))+ROW()/100000,"")</f>
        <v/>
      </c>
    </row>
    <row r="1569">
      <c r="F1569" s="7">
        <f>IF($A1569="","",E1569*N1569/100)</f>
        <v/>
      </c>
      <c r="J1569" s="7" t="n"/>
      <c r="K1569" s="7">
        <f>IF($A1569="","",S1569*N1569)</f>
        <v/>
      </c>
      <c r="L1569" s="7">
        <f>IF($A1569="","",N1569-K1569)</f>
        <v/>
      </c>
      <c r="M1569" s="7">
        <f>IF($A1569="","",L1569-F1569)</f>
        <v/>
      </c>
      <c r="N1569" s="7" t="n"/>
      <c r="Q1569" s="11" t="n"/>
      <c r="S1569">
        <f>IF($A1569="","",IF($W1569=1,Settings!$C$6,Settings!$C$7)*1)</f>
        <v/>
      </c>
      <c r="U1569">
        <f>IF($A1569="","",IF(COUNTIF($A$2:$A1569,$A1569)=1,1,0))</f>
        <v/>
      </c>
      <c r="V1569">
        <f>IF($U1569=1,SUMPRODUCT(--($X$2:$X$3001&lt;$X1569))+1,"")</f>
        <v/>
      </c>
      <c r="W1569">
        <f>IF($A1569="","",IF(OR($T1569=TRUE(),$T1569="TRUE"),1,0))</f>
        <v/>
      </c>
      <c r="X1569">
        <f>IF($U1569=1,IFERROR(IF(VALUE($A1569)&lt;100000000,VALUE($A1569),1000000000),IFERROR(IF(VALUE(MID($A1569,2,20))&lt;100000000,VALUE(MID($A1569,2,20)),1000000000),1000000000))+ROW()/100000,"")</f>
        <v/>
      </c>
    </row>
    <row r="1570">
      <c r="F1570" s="7">
        <f>IF($A1570="","",E1570*N1570/100)</f>
        <v/>
      </c>
      <c r="J1570" s="7" t="n"/>
      <c r="K1570" s="7">
        <f>IF($A1570="","",S1570*N1570)</f>
        <v/>
      </c>
      <c r="L1570" s="7">
        <f>IF($A1570="","",N1570-K1570)</f>
        <v/>
      </c>
      <c r="M1570" s="7">
        <f>IF($A1570="","",L1570-F1570)</f>
        <v/>
      </c>
      <c r="N1570" s="7" t="n"/>
      <c r="Q1570" s="11" t="n"/>
      <c r="S1570">
        <f>IF($A1570="","",IF($W1570=1,Settings!$C$6,Settings!$C$7)*1)</f>
        <v/>
      </c>
      <c r="U1570">
        <f>IF($A1570="","",IF(COUNTIF($A$2:$A1570,$A1570)=1,1,0))</f>
        <v/>
      </c>
      <c r="V1570">
        <f>IF($U1570=1,SUMPRODUCT(--($X$2:$X$3001&lt;$X1570))+1,"")</f>
        <v/>
      </c>
      <c r="W1570">
        <f>IF($A1570="","",IF(OR($T1570=TRUE(),$T1570="TRUE"),1,0))</f>
        <v/>
      </c>
      <c r="X1570">
        <f>IF($U1570=1,IFERROR(IF(VALUE($A1570)&lt;100000000,VALUE($A1570),1000000000),IFERROR(IF(VALUE(MID($A1570,2,20))&lt;100000000,VALUE(MID($A1570,2,20)),1000000000),1000000000))+ROW()/100000,"")</f>
        <v/>
      </c>
    </row>
    <row r="1571">
      <c r="F1571" s="7">
        <f>IF($A1571="","",E1571*N1571/100)</f>
        <v/>
      </c>
      <c r="J1571" s="7" t="n"/>
      <c r="K1571" s="7">
        <f>IF($A1571="","",S1571*N1571)</f>
        <v/>
      </c>
      <c r="L1571" s="7">
        <f>IF($A1571="","",N1571-K1571)</f>
        <v/>
      </c>
      <c r="M1571" s="7">
        <f>IF($A1571="","",L1571-F1571)</f>
        <v/>
      </c>
      <c r="N1571" s="7" t="n"/>
      <c r="Q1571" s="11" t="n"/>
      <c r="S1571">
        <f>IF($A1571="","",IF($W1571=1,Settings!$C$6,Settings!$C$7)*1)</f>
        <v/>
      </c>
      <c r="U1571">
        <f>IF($A1571="","",IF(COUNTIF($A$2:$A1571,$A1571)=1,1,0))</f>
        <v/>
      </c>
      <c r="V1571">
        <f>IF($U1571=1,SUMPRODUCT(--($X$2:$X$3001&lt;$X1571))+1,"")</f>
        <v/>
      </c>
      <c r="W1571">
        <f>IF($A1571="","",IF(OR($T1571=TRUE(),$T1571="TRUE"),1,0))</f>
        <v/>
      </c>
      <c r="X1571">
        <f>IF($U1571=1,IFERROR(IF(VALUE($A1571)&lt;100000000,VALUE($A1571),1000000000),IFERROR(IF(VALUE(MID($A1571,2,20))&lt;100000000,VALUE(MID($A1571,2,20)),1000000000),1000000000))+ROW()/100000,"")</f>
        <v/>
      </c>
    </row>
    <row r="1572">
      <c r="F1572" s="7">
        <f>IF($A1572="","",E1572*N1572/100)</f>
        <v/>
      </c>
      <c r="J1572" s="7" t="n"/>
      <c r="K1572" s="7">
        <f>IF($A1572="","",S1572*N1572)</f>
        <v/>
      </c>
      <c r="L1572" s="7">
        <f>IF($A1572="","",N1572-K1572)</f>
        <v/>
      </c>
      <c r="M1572" s="7">
        <f>IF($A1572="","",L1572-F1572)</f>
        <v/>
      </c>
      <c r="N1572" s="7" t="n"/>
      <c r="Q1572" s="11" t="n"/>
      <c r="S1572">
        <f>IF($A1572="","",IF($W1572=1,Settings!$C$6,Settings!$C$7)*1)</f>
        <v/>
      </c>
      <c r="U1572">
        <f>IF($A1572="","",IF(COUNTIF($A$2:$A1572,$A1572)=1,1,0))</f>
        <v/>
      </c>
      <c r="V1572">
        <f>IF($U1572=1,SUMPRODUCT(--($X$2:$X$3001&lt;$X1572))+1,"")</f>
        <v/>
      </c>
      <c r="W1572">
        <f>IF($A1572="","",IF(OR($T1572=TRUE(),$T1572="TRUE"),1,0))</f>
        <v/>
      </c>
      <c r="X1572">
        <f>IF($U1572=1,IFERROR(IF(VALUE($A1572)&lt;100000000,VALUE($A1572),1000000000),IFERROR(IF(VALUE(MID($A1572,2,20))&lt;100000000,VALUE(MID($A1572,2,20)),1000000000),1000000000))+ROW()/100000,"")</f>
        <v/>
      </c>
    </row>
    <row r="1573">
      <c r="F1573" s="7">
        <f>IF($A1573="","",E1573*N1573/100)</f>
        <v/>
      </c>
      <c r="J1573" s="7" t="n"/>
      <c r="K1573" s="7">
        <f>IF($A1573="","",S1573*N1573)</f>
        <v/>
      </c>
      <c r="L1573" s="7">
        <f>IF($A1573="","",N1573-K1573)</f>
        <v/>
      </c>
      <c r="M1573" s="7">
        <f>IF($A1573="","",L1573-F1573)</f>
        <v/>
      </c>
      <c r="N1573" s="7" t="n"/>
      <c r="Q1573" s="11" t="n"/>
      <c r="S1573">
        <f>IF($A1573="","",IF($W1573=1,Settings!$C$6,Settings!$C$7)*1)</f>
        <v/>
      </c>
      <c r="U1573">
        <f>IF($A1573="","",IF(COUNTIF($A$2:$A1573,$A1573)=1,1,0))</f>
        <v/>
      </c>
      <c r="V1573">
        <f>IF($U1573=1,SUMPRODUCT(--($X$2:$X$3001&lt;$X1573))+1,"")</f>
        <v/>
      </c>
      <c r="W1573">
        <f>IF($A1573="","",IF(OR($T1573=TRUE(),$T1573="TRUE"),1,0))</f>
        <v/>
      </c>
      <c r="X1573">
        <f>IF($U1573=1,IFERROR(IF(VALUE($A1573)&lt;100000000,VALUE($A1573),1000000000),IFERROR(IF(VALUE(MID($A1573,2,20))&lt;100000000,VALUE(MID($A1573,2,20)),1000000000),1000000000))+ROW()/100000,"")</f>
        <v/>
      </c>
    </row>
    <row r="1574">
      <c r="F1574" s="7">
        <f>IF($A1574="","",E1574*N1574/100)</f>
        <v/>
      </c>
      <c r="J1574" s="7" t="n"/>
      <c r="K1574" s="7">
        <f>IF($A1574="","",S1574*N1574)</f>
        <v/>
      </c>
      <c r="L1574" s="7">
        <f>IF($A1574="","",N1574-K1574)</f>
        <v/>
      </c>
      <c r="M1574" s="7">
        <f>IF($A1574="","",L1574-F1574)</f>
        <v/>
      </c>
      <c r="N1574" s="7" t="n"/>
      <c r="Q1574" s="11" t="n"/>
      <c r="S1574">
        <f>IF($A1574="","",IF($W1574=1,Settings!$C$6,Settings!$C$7)*1)</f>
        <v/>
      </c>
      <c r="U1574">
        <f>IF($A1574="","",IF(COUNTIF($A$2:$A1574,$A1574)=1,1,0))</f>
        <v/>
      </c>
      <c r="V1574">
        <f>IF($U1574=1,SUMPRODUCT(--($X$2:$X$3001&lt;$X1574))+1,"")</f>
        <v/>
      </c>
      <c r="W1574">
        <f>IF($A1574="","",IF(OR($T1574=TRUE(),$T1574="TRUE"),1,0))</f>
        <v/>
      </c>
      <c r="X1574">
        <f>IF($U1574=1,IFERROR(IF(VALUE($A1574)&lt;100000000,VALUE($A1574),1000000000),IFERROR(IF(VALUE(MID($A1574,2,20))&lt;100000000,VALUE(MID($A1574,2,20)),1000000000),1000000000))+ROW()/100000,"")</f>
        <v/>
      </c>
    </row>
    <row r="1575">
      <c r="F1575" s="7">
        <f>IF($A1575="","",E1575*N1575/100)</f>
        <v/>
      </c>
      <c r="J1575" s="7" t="n"/>
      <c r="K1575" s="7">
        <f>IF($A1575="","",S1575*N1575)</f>
        <v/>
      </c>
      <c r="L1575" s="7">
        <f>IF($A1575="","",N1575-K1575)</f>
        <v/>
      </c>
      <c r="M1575" s="7">
        <f>IF($A1575="","",L1575-F1575)</f>
        <v/>
      </c>
      <c r="N1575" s="7" t="n"/>
      <c r="Q1575" s="11" t="n"/>
      <c r="S1575">
        <f>IF($A1575="","",IF($W1575=1,Settings!$C$6,Settings!$C$7)*1)</f>
        <v/>
      </c>
      <c r="U1575">
        <f>IF($A1575="","",IF(COUNTIF($A$2:$A1575,$A1575)=1,1,0))</f>
        <v/>
      </c>
      <c r="V1575">
        <f>IF($U1575=1,SUMPRODUCT(--($X$2:$X$3001&lt;$X1575))+1,"")</f>
        <v/>
      </c>
      <c r="W1575">
        <f>IF($A1575="","",IF(OR($T1575=TRUE(),$T1575="TRUE"),1,0))</f>
        <v/>
      </c>
      <c r="X1575">
        <f>IF($U1575=1,IFERROR(IF(VALUE($A1575)&lt;100000000,VALUE($A1575),1000000000),IFERROR(IF(VALUE(MID($A1575,2,20))&lt;100000000,VALUE(MID($A1575,2,20)),1000000000),1000000000))+ROW()/100000,"")</f>
        <v/>
      </c>
    </row>
    <row r="1576">
      <c r="F1576" s="7">
        <f>IF($A1576="","",E1576*N1576/100)</f>
        <v/>
      </c>
      <c r="J1576" s="7" t="n"/>
      <c r="K1576" s="7">
        <f>IF($A1576="","",S1576*N1576)</f>
        <v/>
      </c>
      <c r="L1576" s="7">
        <f>IF($A1576="","",N1576-K1576)</f>
        <v/>
      </c>
      <c r="M1576" s="7">
        <f>IF($A1576="","",L1576-F1576)</f>
        <v/>
      </c>
      <c r="N1576" s="7" t="n"/>
      <c r="Q1576" s="11" t="n"/>
      <c r="S1576">
        <f>IF($A1576="","",IF($W1576=1,Settings!$C$6,Settings!$C$7)*1)</f>
        <v/>
      </c>
      <c r="U1576">
        <f>IF($A1576="","",IF(COUNTIF($A$2:$A1576,$A1576)=1,1,0))</f>
        <v/>
      </c>
      <c r="V1576">
        <f>IF($U1576=1,SUMPRODUCT(--($X$2:$X$3001&lt;$X1576))+1,"")</f>
        <v/>
      </c>
      <c r="W1576">
        <f>IF($A1576="","",IF(OR($T1576=TRUE(),$T1576="TRUE"),1,0))</f>
        <v/>
      </c>
      <c r="X1576">
        <f>IF($U1576=1,IFERROR(IF(VALUE($A1576)&lt;100000000,VALUE($A1576),1000000000),IFERROR(IF(VALUE(MID($A1576,2,20))&lt;100000000,VALUE(MID($A1576,2,20)),1000000000),1000000000))+ROW()/100000,"")</f>
        <v/>
      </c>
    </row>
    <row r="1577">
      <c r="F1577" s="7">
        <f>IF($A1577="","",E1577*N1577/100)</f>
        <v/>
      </c>
      <c r="J1577" s="7" t="n"/>
      <c r="K1577" s="7">
        <f>IF($A1577="","",S1577*N1577)</f>
        <v/>
      </c>
      <c r="L1577" s="7">
        <f>IF($A1577="","",N1577-K1577)</f>
        <v/>
      </c>
      <c r="M1577" s="7">
        <f>IF($A1577="","",L1577-F1577)</f>
        <v/>
      </c>
      <c r="N1577" s="7" t="n"/>
      <c r="Q1577" s="11" t="n"/>
      <c r="S1577">
        <f>IF($A1577="","",IF($W1577=1,Settings!$C$6,Settings!$C$7)*1)</f>
        <v/>
      </c>
      <c r="U1577">
        <f>IF($A1577="","",IF(COUNTIF($A$2:$A1577,$A1577)=1,1,0))</f>
        <v/>
      </c>
      <c r="V1577">
        <f>IF($U1577=1,SUMPRODUCT(--($X$2:$X$3001&lt;$X1577))+1,"")</f>
        <v/>
      </c>
      <c r="W1577">
        <f>IF($A1577="","",IF(OR($T1577=TRUE(),$T1577="TRUE"),1,0))</f>
        <v/>
      </c>
      <c r="X1577">
        <f>IF($U1577=1,IFERROR(IF(VALUE($A1577)&lt;100000000,VALUE($A1577),1000000000),IFERROR(IF(VALUE(MID($A1577,2,20))&lt;100000000,VALUE(MID($A1577,2,20)),1000000000),1000000000))+ROW()/100000,"")</f>
        <v/>
      </c>
    </row>
    <row r="1578">
      <c r="F1578" s="7">
        <f>IF($A1578="","",E1578*N1578/100)</f>
        <v/>
      </c>
      <c r="J1578" s="7" t="n"/>
      <c r="K1578" s="7">
        <f>IF($A1578="","",S1578*N1578)</f>
        <v/>
      </c>
      <c r="L1578" s="7">
        <f>IF($A1578="","",N1578-K1578)</f>
        <v/>
      </c>
      <c r="M1578" s="7">
        <f>IF($A1578="","",L1578-F1578)</f>
        <v/>
      </c>
      <c r="N1578" s="7" t="n"/>
      <c r="Q1578" s="11" t="n"/>
      <c r="S1578">
        <f>IF($A1578="","",IF($W1578=1,Settings!$C$6,Settings!$C$7)*1)</f>
        <v/>
      </c>
      <c r="U1578">
        <f>IF($A1578="","",IF(COUNTIF($A$2:$A1578,$A1578)=1,1,0))</f>
        <v/>
      </c>
      <c r="V1578">
        <f>IF($U1578=1,SUMPRODUCT(--($X$2:$X$3001&lt;$X1578))+1,"")</f>
        <v/>
      </c>
      <c r="W1578">
        <f>IF($A1578="","",IF(OR($T1578=TRUE(),$T1578="TRUE"),1,0))</f>
        <v/>
      </c>
      <c r="X1578">
        <f>IF($U1578=1,IFERROR(IF(VALUE($A1578)&lt;100000000,VALUE($A1578),1000000000),IFERROR(IF(VALUE(MID($A1578,2,20))&lt;100000000,VALUE(MID($A1578,2,20)),1000000000),1000000000))+ROW()/100000,"")</f>
        <v/>
      </c>
    </row>
    <row r="1579">
      <c r="F1579" s="7">
        <f>IF($A1579="","",E1579*N1579/100)</f>
        <v/>
      </c>
      <c r="J1579" s="7" t="n"/>
      <c r="K1579" s="7">
        <f>IF($A1579="","",S1579*N1579)</f>
        <v/>
      </c>
      <c r="L1579" s="7">
        <f>IF($A1579="","",N1579-K1579)</f>
        <v/>
      </c>
      <c r="M1579" s="7">
        <f>IF($A1579="","",L1579-F1579)</f>
        <v/>
      </c>
      <c r="N1579" s="7" t="n"/>
      <c r="Q1579" s="11" t="n"/>
      <c r="S1579">
        <f>IF($A1579="","",IF($W1579=1,Settings!$C$6,Settings!$C$7)*1)</f>
        <v/>
      </c>
      <c r="U1579">
        <f>IF($A1579="","",IF(COUNTIF($A$2:$A1579,$A1579)=1,1,0))</f>
        <v/>
      </c>
      <c r="V1579">
        <f>IF($U1579=1,SUMPRODUCT(--($X$2:$X$3001&lt;$X1579))+1,"")</f>
        <v/>
      </c>
      <c r="W1579">
        <f>IF($A1579="","",IF(OR($T1579=TRUE(),$T1579="TRUE"),1,0))</f>
        <v/>
      </c>
      <c r="X1579">
        <f>IF($U1579=1,IFERROR(IF(VALUE($A1579)&lt;100000000,VALUE($A1579),1000000000),IFERROR(IF(VALUE(MID($A1579,2,20))&lt;100000000,VALUE(MID($A1579,2,20)),1000000000),1000000000))+ROW()/100000,"")</f>
        <v/>
      </c>
    </row>
    <row r="1580">
      <c r="F1580" s="7">
        <f>IF($A1580="","",E1580*N1580/100)</f>
        <v/>
      </c>
      <c r="J1580" s="7" t="n"/>
      <c r="K1580" s="7">
        <f>IF($A1580="","",S1580*N1580)</f>
        <v/>
      </c>
      <c r="L1580" s="7">
        <f>IF($A1580="","",N1580-K1580)</f>
        <v/>
      </c>
      <c r="M1580" s="7">
        <f>IF($A1580="","",L1580-F1580)</f>
        <v/>
      </c>
      <c r="N1580" s="7" t="n"/>
      <c r="Q1580" s="11" t="n"/>
      <c r="S1580">
        <f>IF($A1580="","",IF($W1580=1,Settings!$C$6,Settings!$C$7)*1)</f>
        <v/>
      </c>
      <c r="U1580">
        <f>IF($A1580="","",IF(COUNTIF($A$2:$A1580,$A1580)=1,1,0))</f>
        <v/>
      </c>
      <c r="V1580">
        <f>IF($U1580=1,SUMPRODUCT(--($X$2:$X$3001&lt;$X1580))+1,"")</f>
        <v/>
      </c>
      <c r="W1580">
        <f>IF($A1580="","",IF(OR($T1580=TRUE(),$T1580="TRUE"),1,0))</f>
        <v/>
      </c>
      <c r="X1580">
        <f>IF($U1580=1,IFERROR(IF(VALUE($A1580)&lt;100000000,VALUE($A1580),1000000000),IFERROR(IF(VALUE(MID($A1580,2,20))&lt;100000000,VALUE(MID($A1580,2,20)),1000000000),1000000000))+ROW()/100000,"")</f>
        <v/>
      </c>
    </row>
    <row r="1581">
      <c r="F1581" s="7">
        <f>IF($A1581="","",E1581*N1581/100)</f>
        <v/>
      </c>
      <c r="J1581" s="7" t="n"/>
      <c r="K1581" s="7">
        <f>IF($A1581="","",S1581*N1581)</f>
        <v/>
      </c>
      <c r="L1581" s="7">
        <f>IF($A1581="","",N1581-K1581)</f>
        <v/>
      </c>
      <c r="M1581" s="7">
        <f>IF($A1581="","",L1581-F1581)</f>
        <v/>
      </c>
      <c r="N1581" s="7" t="n"/>
      <c r="Q1581" s="11" t="n"/>
      <c r="S1581">
        <f>IF($A1581="","",IF($W1581=1,Settings!$C$6,Settings!$C$7)*1)</f>
        <v/>
      </c>
      <c r="U1581">
        <f>IF($A1581="","",IF(COUNTIF($A$2:$A1581,$A1581)=1,1,0))</f>
        <v/>
      </c>
      <c r="V1581">
        <f>IF($U1581=1,SUMPRODUCT(--($X$2:$X$3001&lt;$X1581))+1,"")</f>
        <v/>
      </c>
      <c r="W1581">
        <f>IF($A1581="","",IF(OR($T1581=TRUE(),$T1581="TRUE"),1,0))</f>
        <v/>
      </c>
      <c r="X1581">
        <f>IF($U1581=1,IFERROR(IF(VALUE($A1581)&lt;100000000,VALUE($A1581),1000000000),IFERROR(IF(VALUE(MID($A1581,2,20))&lt;100000000,VALUE(MID($A1581,2,20)),1000000000),1000000000))+ROW()/100000,"")</f>
        <v/>
      </c>
    </row>
    <row r="1582">
      <c r="F1582" s="7">
        <f>IF($A1582="","",E1582*N1582/100)</f>
        <v/>
      </c>
      <c r="J1582" s="7" t="n"/>
      <c r="K1582" s="7">
        <f>IF($A1582="","",S1582*N1582)</f>
        <v/>
      </c>
      <c r="L1582" s="7">
        <f>IF($A1582="","",N1582-K1582)</f>
        <v/>
      </c>
      <c r="M1582" s="7">
        <f>IF($A1582="","",L1582-F1582)</f>
        <v/>
      </c>
      <c r="N1582" s="7" t="n"/>
      <c r="Q1582" s="11" t="n"/>
      <c r="S1582">
        <f>IF($A1582="","",IF($W1582=1,Settings!$C$6,Settings!$C$7)*1)</f>
        <v/>
      </c>
      <c r="U1582">
        <f>IF($A1582="","",IF(COUNTIF($A$2:$A1582,$A1582)=1,1,0))</f>
        <v/>
      </c>
      <c r="V1582">
        <f>IF($U1582=1,SUMPRODUCT(--($X$2:$X$3001&lt;$X1582))+1,"")</f>
        <v/>
      </c>
      <c r="W1582">
        <f>IF($A1582="","",IF(OR($T1582=TRUE(),$T1582="TRUE"),1,0))</f>
        <v/>
      </c>
      <c r="X1582">
        <f>IF($U1582=1,IFERROR(IF(VALUE($A1582)&lt;100000000,VALUE($A1582),1000000000),IFERROR(IF(VALUE(MID($A1582,2,20))&lt;100000000,VALUE(MID($A1582,2,20)),1000000000),1000000000))+ROW()/100000,"")</f>
        <v/>
      </c>
    </row>
    <row r="1583">
      <c r="F1583" s="7">
        <f>IF($A1583="","",E1583*N1583/100)</f>
        <v/>
      </c>
      <c r="J1583" s="7" t="n"/>
      <c r="K1583" s="7">
        <f>IF($A1583="","",S1583*N1583)</f>
        <v/>
      </c>
      <c r="L1583" s="7">
        <f>IF($A1583="","",N1583-K1583)</f>
        <v/>
      </c>
      <c r="M1583" s="7">
        <f>IF($A1583="","",L1583-F1583)</f>
        <v/>
      </c>
      <c r="N1583" s="7" t="n"/>
      <c r="Q1583" s="11" t="n"/>
      <c r="S1583">
        <f>IF($A1583="","",IF($W1583=1,Settings!$C$6,Settings!$C$7)*1)</f>
        <v/>
      </c>
      <c r="U1583">
        <f>IF($A1583="","",IF(COUNTIF($A$2:$A1583,$A1583)=1,1,0))</f>
        <v/>
      </c>
      <c r="V1583">
        <f>IF($U1583=1,SUMPRODUCT(--($X$2:$X$3001&lt;$X1583))+1,"")</f>
        <v/>
      </c>
      <c r="W1583">
        <f>IF($A1583="","",IF(OR($T1583=TRUE(),$T1583="TRUE"),1,0))</f>
        <v/>
      </c>
      <c r="X1583">
        <f>IF($U1583=1,IFERROR(IF(VALUE($A1583)&lt;100000000,VALUE($A1583),1000000000),IFERROR(IF(VALUE(MID($A1583,2,20))&lt;100000000,VALUE(MID($A1583,2,20)),1000000000),1000000000))+ROW()/100000,"")</f>
        <v/>
      </c>
    </row>
    <row r="1584">
      <c r="F1584" s="7">
        <f>IF($A1584="","",E1584*N1584/100)</f>
        <v/>
      </c>
      <c r="J1584" s="7" t="n"/>
      <c r="K1584" s="7">
        <f>IF($A1584="","",S1584*N1584)</f>
        <v/>
      </c>
      <c r="L1584" s="7">
        <f>IF($A1584="","",N1584-K1584)</f>
        <v/>
      </c>
      <c r="M1584" s="7">
        <f>IF($A1584="","",L1584-F1584)</f>
        <v/>
      </c>
      <c r="N1584" s="7" t="n"/>
      <c r="Q1584" s="11" t="n"/>
      <c r="S1584">
        <f>IF($A1584="","",IF($W1584=1,Settings!$C$6,Settings!$C$7)*1)</f>
        <v/>
      </c>
      <c r="U1584">
        <f>IF($A1584="","",IF(COUNTIF($A$2:$A1584,$A1584)=1,1,0))</f>
        <v/>
      </c>
      <c r="V1584">
        <f>IF($U1584=1,SUMPRODUCT(--($X$2:$X$3001&lt;$X1584))+1,"")</f>
        <v/>
      </c>
      <c r="W1584">
        <f>IF($A1584="","",IF(OR($T1584=TRUE(),$T1584="TRUE"),1,0))</f>
        <v/>
      </c>
      <c r="X1584">
        <f>IF($U1584=1,IFERROR(IF(VALUE($A1584)&lt;100000000,VALUE($A1584),1000000000),IFERROR(IF(VALUE(MID($A1584,2,20))&lt;100000000,VALUE(MID($A1584,2,20)),1000000000),1000000000))+ROW()/100000,"")</f>
        <v/>
      </c>
    </row>
    <row r="1585">
      <c r="F1585" s="7">
        <f>IF($A1585="","",E1585*N1585/100)</f>
        <v/>
      </c>
      <c r="J1585" s="7" t="n"/>
      <c r="K1585" s="7">
        <f>IF($A1585="","",S1585*N1585)</f>
        <v/>
      </c>
      <c r="L1585" s="7">
        <f>IF($A1585="","",N1585-K1585)</f>
        <v/>
      </c>
      <c r="M1585" s="7">
        <f>IF($A1585="","",L1585-F1585)</f>
        <v/>
      </c>
      <c r="N1585" s="7" t="n"/>
      <c r="Q1585" s="11" t="n"/>
      <c r="S1585">
        <f>IF($A1585="","",IF($W1585=1,Settings!$C$6,Settings!$C$7)*1)</f>
        <v/>
      </c>
      <c r="U1585">
        <f>IF($A1585="","",IF(COUNTIF($A$2:$A1585,$A1585)=1,1,0))</f>
        <v/>
      </c>
      <c r="V1585">
        <f>IF($U1585=1,SUMPRODUCT(--($X$2:$X$3001&lt;$X1585))+1,"")</f>
        <v/>
      </c>
      <c r="W1585">
        <f>IF($A1585="","",IF(OR($T1585=TRUE(),$T1585="TRUE"),1,0))</f>
        <v/>
      </c>
      <c r="X1585">
        <f>IF($U1585=1,IFERROR(IF(VALUE($A1585)&lt;100000000,VALUE($A1585),1000000000),IFERROR(IF(VALUE(MID($A1585,2,20))&lt;100000000,VALUE(MID($A1585,2,20)),1000000000),1000000000))+ROW()/100000,"")</f>
        <v/>
      </c>
    </row>
    <row r="1586">
      <c r="F1586" s="7">
        <f>IF($A1586="","",E1586*N1586/100)</f>
        <v/>
      </c>
      <c r="J1586" s="7" t="n"/>
      <c r="K1586" s="7">
        <f>IF($A1586="","",S1586*N1586)</f>
        <v/>
      </c>
      <c r="L1586" s="7">
        <f>IF($A1586="","",N1586-K1586)</f>
        <v/>
      </c>
      <c r="M1586" s="7">
        <f>IF($A1586="","",L1586-F1586)</f>
        <v/>
      </c>
      <c r="N1586" s="7" t="n"/>
      <c r="Q1586" s="11" t="n"/>
      <c r="S1586">
        <f>IF($A1586="","",IF($W1586=1,Settings!$C$6,Settings!$C$7)*1)</f>
        <v/>
      </c>
      <c r="U1586">
        <f>IF($A1586="","",IF(COUNTIF($A$2:$A1586,$A1586)=1,1,0))</f>
        <v/>
      </c>
      <c r="V1586">
        <f>IF($U1586=1,SUMPRODUCT(--($X$2:$X$3001&lt;$X1586))+1,"")</f>
        <v/>
      </c>
      <c r="W1586">
        <f>IF($A1586="","",IF(OR($T1586=TRUE(),$T1586="TRUE"),1,0))</f>
        <v/>
      </c>
      <c r="X1586">
        <f>IF($U1586=1,IFERROR(IF(VALUE($A1586)&lt;100000000,VALUE($A1586),1000000000),IFERROR(IF(VALUE(MID($A1586,2,20))&lt;100000000,VALUE(MID($A1586,2,20)),1000000000),1000000000))+ROW()/100000,"")</f>
        <v/>
      </c>
    </row>
    <row r="1587">
      <c r="F1587" s="7">
        <f>IF($A1587="","",E1587*N1587/100)</f>
        <v/>
      </c>
      <c r="J1587" s="7" t="n"/>
      <c r="K1587" s="7">
        <f>IF($A1587="","",S1587*N1587)</f>
        <v/>
      </c>
      <c r="L1587" s="7">
        <f>IF($A1587="","",N1587-K1587)</f>
        <v/>
      </c>
      <c r="M1587" s="7">
        <f>IF($A1587="","",L1587-F1587)</f>
        <v/>
      </c>
      <c r="N1587" s="7" t="n"/>
      <c r="Q1587" s="11" t="n"/>
      <c r="S1587">
        <f>IF($A1587="","",IF($W1587=1,Settings!$C$6,Settings!$C$7)*1)</f>
        <v/>
      </c>
      <c r="U1587">
        <f>IF($A1587="","",IF(COUNTIF($A$2:$A1587,$A1587)=1,1,0))</f>
        <v/>
      </c>
      <c r="V1587">
        <f>IF($U1587=1,SUMPRODUCT(--($X$2:$X$3001&lt;$X1587))+1,"")</f>
        <v/>
      </c>
      <c r="W1587">
        <f>IF($A1587="","",IF(OR($T1587=TRUE(),$T1587="TRUE"),1,0))</f>
        <v/>
      </c>
      <c r="X1587">
        <f>IF($U1587=1,IFERROR(IF(VALUE($A1587)&lt;100000000,VALUE($A1587),1000000000),IFERROR(IF(VALUE(MID($A1587,2,20))&lt;100000000,VALUE(MID($A1587,2,20)),1000000000),1000000000))+ROW()/100000,"")</f>
        <v/>
      </c>
    </row>
    <row r="1588">
      <c r="F1588" s="7">
        <f>IF($A1588="","",E1588*N1588/100)</f>
        <v/>
      </c>
      <c r="J1588" s="7" t="n"/>
      <c r="K1588" s="7">
        <f>IF($A1588="","",S1588*N1588)</f>
        <v/>
      </c>
      <c r="L1588" s="7">
        <f>IF($A1588="","",N1588-K1588)</f>
        <v/>
      </c>
      <c r="M1588" s="7">
        <f>IF($A1588="","",L1588-F1588)</f>
        <v/>
      </c>
      <c r="N1588" s="7" t="n"/>
      <c r="Q1588" s="11" t="n"/>
      <c r="S1588">
        <f>IF($A1588="","",IF($W1588=1,Settings!$C$6,Settings!$C$7)*1)</f>
        <v/>
      </c>
      <c r="U1588">
        <f>IF($A1588="","",IF(COUNTIF($A$2:$A1588,$A1588)=1,1,0))</f>
        <v/>
      </c>
      <c r="V1588">
        <f>IF($U1588=1,SUMPRODUCT(--($X$2:$X$3001&lt;$X1588))+1,"")</f>
        <v/>
      </c>
      <c r="W1588">
        <f>IF($A1588="","",IF(OR($T1588=TRUE(),$T1588="TRUE"),1,0))</f>
        <v/>
      </c>
      <c r="X1588">
        <f>IF($U1588=1,IFERROR(IF(VALUE($A1588)&lt;100000000,VALUE($A1588),1000000000),IFERROR(IF(VALUE(MID($A1588,2,20))&lt;100000000,VALUE(MID($A1588,2,20)),1000000000),1000000000))+ROW()/100000,"")</f>
        <v/>
      </c>
    </row>
    <row r="1589">
      <c r="F1589" s="7">
        <f>IF($A1589="","",E1589*N1589/100)</f>
        <v/>
      </c>
      <c r="J1589" s="7" t="n"/>
      <c r="K1589" s="7">
        <f>IF($A1589="","",S1589*N1589)</f>
        <v/>
      </c>
      <c r="L1589" s="7">
        <f>IF($A1589="","",N1589-K1589)</f>
        <v/>
      </c>
      <c r="M1589" s="7">
        <f>IF($A1589="","",L1589-F1589)</f>
        <v/>
      </c>
      <c r="N1589" s="7" t="n"/>
      <c r="Q1589" s="11" t="n"/>
      <c r="S1589">
        <f>IF($A1589="","",IF($W1589=1,Settings!$C$6,Settings!$C$7)*1)</f>
        <v/>
      </c>
      <c r="U1589">
        <f>IF($A1589="","",IF(COUNTIF($A$2:$A1589,$A1589)=1,1,0))</f>
        <v/>
      </c>
      <c r="V1589">
        <f>IF($U1589=1,SUMPRODUCT(--($X$2:$X$3001&lt;$X1589))+1,"")</f>
        <v/>
      </c>
      <c r="W1589">
        <f>IF($A1589="","",IF(OR($T1589=TRUE(),$T1589="TRUE"),1,0))</f>
        <v/>
      </c>
      <c r="X1589">
        <f>IF($U1589=1,IFERROR(IF(VALUE($A1589)&lt;100000000,VALUE($A1589),1000000000),IFERROR(IF(VALUE(MID($A1589,2,20))&lt;100000000,VALUE(MID($A1589,2,20)),1000000000),1000000000))+ROW()/100000,"")</f>
        <v/>
      </c>
    </row>
    <row r="1590">
      <c r="F1590" s="7">
        <f>IF($A1590="","",E1590*N1590/100)</f>
        <v/>
      </c>
      <c r="J1590" s="7" t="n"/>
      <c r="K1590" s="7">
        <f>IF($A1590="","",S1590*N1590)</f>
        <v/>
      </c>
      <c r="L1590" s="7">
        <f>IF($A1590="","",N1590-K1590)</f>
        <v/>
      </c>
      <c r="M1590" s="7">
        <f>IF($A1590="","",L1590-F1590)</f>
        <v/>
      </c>
      <c r="N1590" s="7" t="n"/>
      <c r="Q1590" s="11" t="n"/>
      <c r="S1590">
        <f>IF($A1590="","",IF($W1590=1,Settings!$C$6,Settings!$C$7)*1)</f>
        <v/>
      </c>
      <c r="U1590">
        <f>IF($A1590="","",IF(COUNTIF($A$2:$A1590,$A1590)=1,1,0))</f>
        <v/>
      </c>
      <c r="V1590">
        <f>IF($U1590=1,SUMPRODUCT(--($X$2:$X$3001&lt;$X1590))+1,"")</f>
        <v/>
      </c>
      <c r="W1590">
        <f>IF($A1590="","",IF(OR($T1590=TRUE(),$T1590="TRUE"),1,0))</f>
        <v/>
      </c>
      <c r="X1590">
        <f>IF($U1590=1,IFERROR(IF(VALUE($A1590)&lt;100000000,VALUE($A1590),1000000000),IFERROR(IF(VALUE(MID($A1590,2,20))&lt;100000000,VALUE(MID($A1590,2,20)),1000000000),1000000000))+ROW()/100000,"")</f>
        <v/>
      </c>
    </row>
    <row r="1591">
      <c r="F1591" s="7">
        <f>IF($A1591="","",E1591*N1591/100)</f>
        <v/>
      </c>
      <c r="J1591" s="7" t="n"/>
      <c r="K1591" s="7">
        <f>IF($A1591="","",S1591*N1591)</f>
        <v/>
      </c>
      <c r="L1591" s="7">
        <f>IF($A1591="","",N1591-K1591)</f>
        <v/>
      </c>
      <c r="M1591" s="7">
        <f>IF($A1591="","",L1591-F1591)</f>
        <v/>
      </c>
      <c r="N1591" s="7" t="n"/>
      <c r="Q1591" s="11" t="n"/>
      <c r="S1591">
        <f>IF($A1591="","",IF($W1591=1,Settings!$C$6,Settings!$C$7)*1)</f>
        <v/>
      </c>
      <c r="U1591">
        <f>IF($A1591="","",IF(COUNTIF($A$2:$A1591,$A1591)=1,1,0))</f>
        <v/>
      </c>
      <c r="V1591">
        <f>IF($U1591=1,SUMPRODUCT(--($X$2:$X$3001&lt;$X1591))+1,"")</f>
        <v/>
      </c>
      <c r="W1591">
        <f>IF($A1591="","",IF(OR($T1591=TRUE(),$T1591="TRUE"),1,0))</f>
        <v/>
      </c>
      <c r="X1591">
        <f>IF($U1591=1,IFERROR(IF(VALUE($A1591)&lt;100000000,VALUE($A1591),1000000000),IFERROR(IF(VALUE(MID($A1591,2,20))&lt;100000000,VALUE(MID($A1591,2,20)),1000000000),1000000000))+ROW()/100000,"")</f>
        <v/>
      </c>
    </row>
    <row r="1592">
      <c r="F1592" s="7">
        <f>IF($A1592="","",E1592*N1592/100)</f>
        <v/>
      </c>
      <c r="J1592" s="7" t="n"/>
      <c r="K1592" s="7">
        <f>IF($A1592="","",S1592*N1592)</f>
        <v/>
      </c>
      <c r="L1592" s="7">
        <f>IF($A1592="","",N1592-K1592)</f>
        <v/>
      </c>
      <c r="M1592" s="7">
        <f>IF($A1592="","",L1592-F1592)</f>
        <v/>
      </c>
      <c r="N1592" s="7" t="n"/>
      <c r="Q1592" s="11" t="n"/>
      <c r="S1592">
        <f>IF($A1592="","",IF($W1592=1,Settings!$C$6,Settings!$C$7)*1)</f>
        <v/>
      </c>
      <c r="U1592">
        <f>IF($A1592="","",IF(COUNTIF($A$2:$A1592,$A1592)=1,1,0))</f>
        <v/>
      </c>
      <c r="V1592">
        <f>IF($U1592=1,SUMPRODUCT(--($X$2:$X$3001&lt;$X1592))+1,"")</f>
        <v/>
      </c>
      <c r="W1592">
        <f>IF($A1592="","",IF(OR($T1592=TRUE(),$T1592="TRUE"),1,0))</f>
        <v/>
      </c>
      <c r="X1592">
        <f>IF($U1592=1,IFERROR(IF(VALUE($A1592)&lt;100000000,VALUE($A1592),1000000000),IFERROR(IF(VALUE(MID($A1592,2,20))&lt;100000000,VALUE(MID($A1592,2,20)),1000000000),1000000000))+ROW()/100000,"")</f>
        <v/>
      </c>
    </row>
    <row r="1593">
      <c r="F1593" s="7">
        <f>IF($A1593="","",E1593*N1593/100)</f>
        <v/>
      </c>
      <c r="J1593" s="7" t="n"/>
      <c r="K1593" s="7">
        <f>IF($A1593="","",S1593*N1593)</f>
        <v/>
      </c>
      <c r="L1593" s="7">
        <f>IF($A1593="","",N1593-K1593)</f>
        <v/>
      </c>
      <c r="M1593" s="7">
        <f>IF($A1593="","",L1593-F1593)</f>
        <v/>
      </c>
      <c r="N1593" s="7" t="n"/>
      <c r="Q1593" s="11" t="n"/>
      <c r="S1593">
        <f>IF($A1593="","",IF($W1593=1,Settings!$C$6,Settings!$C$7)*1)</f>
        <v/>
      </c>
      <c r="U1593">
        <f>IF($A1593="","",IF(COUNTIF($A$2:$A1593,$A1593)=1,1,0))</f>
        <v/>
      </c>
      <c r="V1593">
        <f>IF($U1593=1,SUMPRODUCT(--($X$2:$X$3001&lt;$X1593))+1,"")</f>
        <v/>
      </c>
      <c r="W1593">
        <f>IF($A1593="","",IF(OR($T1593=TRUE(),$T1593="TRUE"),1,0))</f>
        <v/>
      </c>
      <c r="X1593">
        <f>IF($U1593=1,IFERROR(IF(VALUE($A1593)&lt;100000000,VALUE($A1593),1000000000),IFERROR(IF(VALUE(MID($A1593,2,20))&lt;100000000,VALUE(MID($A1593,2,20)),1000000000),1000000000))+ROW()/100000,"")</f>
        <v/>
      </c>
    </row>
    <row r="1594">
      <c r="F1594" s="7">
        <f>IF($A1594="","",E1594*N1594/100)</f>
        <v/>
      </c>
      <c r="J1594" s="7" t="n"/>
      <c r="K1594" s="7">
        <f>IF($A1594="","",S1594*N1594)</f>
        <v/>
      </c>
      <c r="L1594" s="7">
        <f>IF($A1594="","",N1594-K1594)</f>
        <v/>
      </c>
      <c r="M1594" s="7">
        <f>IF($A1594="","",L1594-F1594)</f>
        <v/>
      </c>
      <c r="N1594" s="7" t="n"/>
      <c r="Q1594" s="11" t="n"/>
      <c r="S1594">
        <f>IF($A1594="","",IF($W1594=1,Settings!$C$6,Settings!$C$7)*1)</f>
        <v/>
      </c>
      <c r="U1594">
        <f>IF($A1594="","",IF(COUNTIF($A$2:$A1594,$A1594)=1,1,0))</f>
        <v/>
      </c>
      <c r="V1594">
        <f>IF($U1594=1,SUMPRODUCT(--($X$2:$X$3001&lt;$X1594))+1,"")</f>
        <v/>
      </c>
      <c r="W1594">
        <f>IF($A1594="","",IF(OR($T1594=TRUE(),$T1594="TRUE"),1,0))</f>
        <v/>
      </c>
      <c r="X1594">
        <f>IF($U1594=1,IFERROR(IF(VALUE($A1594)&lt;100000000,VALUE($A1594),1000000000),IFERROR(IF(VALUE(MID($A1594,2,20))&lt;100000000,VALUE(MID($A1594,2,20)),1000000000),1000000000))+ROW()/100000,"")</f>
        <v/>
      </c>
    </row>
    <row r="1595">
      <c r="F1595" s="7">
        <f>IF($A1595="","",E1595*N1595/100)</f>
        <v/>
      </c>
      <c r="J1595" s="7" t="n"/>
      <c r="K1595" s="7">
        <f>IF($A1595="","",S1595*N1595)</f>
        <v/>
      </c>
      <c r="L1595" s="7">
        <f>IF($A1595="","",N1595-K1595)</f>
        <v/>
      </c>
      <c r="M1595" s="7">
        <f>IF($A1595="","",L1595-F1595)</f>
        <v/>
      </c>
      <c r="N1595" s="7" t="n"/>
      <c r="Q1595" s="11" t="n"/>
      <c r="S1595">
        <f>IF($A1595="","",IF($W1595=1,Settings!$C$6,Settings!$C$7)*1)</f>
        <v/>
      </c>
      <c r="U1595">
        <f>IF($A1595="","",IF(COUNTIF($A$2:$A1595,$A1595)=1,1,0))</f>
        <v/>
      </c>
      <c r="V1595">
        <f>IF($U1595=1,SUMPRODUCT(--($X$2:$X$3001&lt;$X1595))+1,"")</f>
        <v/>
      </c>
      <c r="W1595">
        <f>IF($A1595="","",IF(OR($T1595=TRUE(),$T1595="TRUE"),1,0))</f>
        <v/>
      </c>
      <c r="X1595">
        <f>IF($U1595=1,IFERROR(IF(VALUE($A1595)&lt;100000000,VALUE($A1595),1000000000),IFERROR(IF(VALUE(MID($A1595,2,20))&lt;100000000,VALUE(MID($A1595,2,20)),1000000000),1000000000))+ROW()/100000,"")</f>
        <v/>
      </c>
    </row>
    <row r="1596">
      <c r="F1596" s="7">
        <f>IF($A1596="","",E1596*N1596/100)</f>
        <v/>
      </c>
      <c r="J1596" s="7" t="n"/>
      <c r="K1596" s="7">
        <f>IF($A1596="","",S1596*N1596)</f>
        <v/>
      </c>
      <c r="L1596" s="7">
        <f>IF($A1596="","",N1596-K1596)</f>
        <v/>
      </c>
      <c r="M1596" s="7">
        <f>IF($A1596="","",L1596-F1596)</f>
        <v/>
      </c>
      <c r="N1596" s="7" t="n"/>
      <c r="Q1596" s="11" t="n"/>
      <c r="S1596">
        <f>IF($A1596="","",IF($W1596=1,Settings!$C$6,Settings!$C$7)*1)</f>
        <v/>
      </c>
      <c r="U1596">
        <f>IF($A1596="","",IF(COUNTIF($A$2:$A1596,$A1596)=1,1,0))</f>
        <v/>
      </c>
      <c r="V1596">
        <f>IF($U1596=1,SUMPRODUCT(--($X$2:$X$3001&lt;$X1596))+1,"")</f>
        <v/>
      </c>
      <c r="W1596">
        <f>IF($A1596="","",IF(OR($T1596=TRUE(),$T1596="TRUE"),1,0))</f>
        <v/>
      </c>
      <c r="X1596">
        <f>IF($U1596=1,IFERROR(IF(VALUE($A1596)&lt;100000000,VALUE($A1596),1000000000),IFERROR(IF(VALUE(MID($A1596,2,20))&lt;100000000,VALUE(MID($A1596,2,20)),1000000000),1000000000))+ROW()/100000,"")</f>
        <v/>
      </c>
    </row>
    <row r="1597">
      <c r="F1597" s="7">
        <f>IF($A1597="","",E1597*N1597/100)</f>
        <v/>
      </c>
      <c r="J1597" s="7" t="n"/>
      <c r="K1597" s="7">
        <f>IF($A1597="","",S1597*N1597)</f>
        <v/>
      </c>
      <c r="L1597" s="7">
        <f>IF($A1597="","",N1597-K1597)</f>
        <v/>
      </c>
      <c r="M1597" s="7">
        <f>IF($A1597="","",L1597-F1597)</f>
        <v/>
      </c>
      <c r="N1597" s="7" t="n"/>
      <c r="Q1597" s="11" t="n"/>
      <c r="S1597">
        <f>IF($A1597="","",IF($W1597=1,Settings!$C$6,Settings!$C$7)*1)</f>
        <v/>
      </c>
      <c r="U1597">
        <f>IF($A1597="","",IF(COUNTIF($A$2:$A1597,$A1597)=1,1,0))</f>
        <v/>
      </c>
      <c r="V1597">
        <f>IF($U1597=1,SUMPRODUCT(--($X$2:$X$3001&lt;$X1597))+1,"")</f>
        <v/>
      </c>
      <c r="W1597">
        <f>IF($A1597="","",IF(OR($T1597=TRUE(),$T1597="TRUE"),1,0))</f>
        <v/>
      </c>
      <c r="X1597">
        <f>IF($U1597=1,IFERROR(IF(VALUE($A1597)&lt;100000000,VALUE($A1597),1000000000),IFERROR(IF(VALUE(MID($A1597,2,20))&lt;100000000,VALUE(MID($A1597,2,20)),1000000000),1000000000))+ROW()/100000,"")</f>
        <v/>
      </c>
    </row>
    <row r="1598">
      <c r="F1598" s="7">
        <f>IF($A1598="","",E1598*N1598/100)</f>
        <v/>
      </c>
      <c r="J1598" s="7" t="n"/>
      <c r="K1598" s="7">
        <f>IF($A1598="","",S1598*N1598)</f>
        <v/>
      </c>
      <c r="L1598" s="7">
        <f>IF($A1598="","",N1598-K1598)</f>
        <v/>
      </c>
      <c r="M1598" s="7">
        <f>IF($A1598="","",L1598-F1598)</f>
        <v/>
      </c>
      <c r="N1598" s="7" t="n"/>
      <c r="Q1598" s="11" t="n"/>
      <c r="S1598">
        <f>IF($A1598="","",IF($W1598=1,Settings!$C$6,Settings!$C$7)*1)</f>
        <v/>
      </c>
      <c r="U1598">
        <f>IF($A1598="","",IF(COUNTIF($A$2:$A1598,$A1598)=1,1,0))</f>
        <v/>
      </c>
      <c r="V1598">
        <f>IF($U1598=1,SUMPRODUCT(--($X$2:$X$3001&lt;$X1598))+1,"")</f>
        <v/>
      </c>
      <c r="W1598">
        <f>IF($A1598="","",IF(OR($T1598=TRUE(),$T1598="TRUE"),1,0))</f>
        <v/>
      </c>
      <c r="X1598">
        <f>IF($U1598=1,IFERROR(IF(VALUE($A1598)&lt;100000000,VALUE($A1598),1000000000),IFERROR(IF(VALUE(MID($A1598,2,20))&lt;100000000,VALUE(MID($A1598,2,20)),1000000000),1000000000))+ROW()/100000,"")</f>
        <v/>
      </c>
    </row>
    <row r="1599">
      <c r="F1599" s="7">
        <f>IF($A1599="","",E1599*N1599/100)</f>
        <v/>
      </c>
      <c r="J1599" s="7" t="n"/>
      <c r="K1599" s="7">
        <f>IF($A1599="","",S1599*N1599)</f>
        <v/>
      </c>
      <c r="L1599" s="7">
        <f>IF($A1599="","",N1599-K1599)</f>
        <v/>
      </c>
      <c r="M1599" s="7">
        <f>IF($A1599="","",L1599-F1599)</f>
        <v/>
      </c>
      <c r="N1599" s="7" t="n"/>
      <c r="Q1599" s="11" t="n"/>
      <c r="S1599">
        <f>IF($A1599="","",IF($W1599=1,Settings!$C$6,Settings!$C$7)*1)</f>
        <v/>
      </c>
      <c r="U1599">
        <f>IF($A1599="","",IF(COUNTIF($A$2:$A1599,$A1599)=1,1,0))</f>
        <v/>
      </c>
      <c r="V1599">
        <f>IF($U1599=1,SUMPRODUCT(--($X$2:$X$3001&lt;$X1599))+1,"")</f>
        <v/>
      </c>
      <c r="W1599">
        <f>IF($A1599="","",IF(OR($T1599=TRUE(),$T1599="TRUE"),1,0))</f>
        <v/>
      </c>
      <c r="X1599">
        <f>IF($U1599=1,IFERROR(IF(VALUE($A1599)&lt;100000000,VALUE($A1599),1000000000),IFERROR(IF(VALUE(MID($A1599,2,20))&lt;100000000,VALUE(MID($A1599,2,20)),1000000000),1000000000))+ROW()/100000,"")</f>
        <v/>
      </c>
    </row>
    <row r="1600">
      <c r="F1600" s="7">
        <f>IF($A1600="","",E1600*N1600/100)</f>
        <v/>
      </c>
      <c r="J1600" s="7" t="n"/>
      <c r="K1600" s="7">
        <f>IF($A1600="","",S1600*N1600)</f>
        <v/>
      </c>
      <c r="L1600" s="7">
        <f>IF($A1600="","",N1600-K1600)</f>
        <v/>
      </c>
      <c r="M1600" s="7">
        <f>IF($A1600="","",L1600-F1600)</f>
        <v/>
      </c>
      <c r="N1600" s="7" t="n"/>
      <c r="Q1600" s="11" t="n"/>
      <c r="S1600">
        <f>IF($A1600="","",IF($W1600=1,Settings!$C$6,Settings!$C$7)*1)</f>
        <v/>
      </c>
      <c r="U1600">
        <f>IF($A1600="","",IF(COUNTIF($A$2:$A1600,$A1600)=1,1,0))</f>
        <v/>
      </c>
      <c r="V1600">
        <f>IF($U1600=1,SUMPRODUCT(--($X$2:$X$3001&lt;$X1600))+1,"")</f>
        <v/>
      </c>
      <c r="W1600">
        <f>IF($A1600="","",IF(OR($T1600=TRUE(),$T1600="TRUE"),1,0))</f>
        <v/>
      </c>
      <c r="X1600">
        <f>IF($U1600=1,IFERROR(IF(VALUE($A1600)&lt;100000000,VALUE($A1600),1000000000),IFERROR(IF(VALUE(MID($A1600,2,20))&lt;100000000,VALUE(MID($A1600,2,20)),1000000000),1000000000))+ROW()/100000,"")</f>
        <v/>
      </c>
    </row>
    <row r="1601">
      <c r="F1601" s="7">
        <f>IF($A1601="","",E1601*N1601/100)</f>
        <v/>
      </c>
      <c r="J1601" s="7" t="n"/>
      <c r="K1601" s="7">
        <f>IF($A1601="","",S1601*N1601)</f>
        <v/>
      </c>
      <c r="L1601" s="7">
        <f>IF($A1601="","",N1601-K1601)</f>
        <v/>
      </c>
      <c r="M1601" s="7">
        <f>IF($A1601="","",L1601-F1601)</f>
        <v/>
      </c>
      <c r="N1601" s="7" t="n"/>
      <c r="Q1601" s="11" t="n"/>
      <c r="S1601">
        <f>IF($A1601="","",IF($W1601=1,Settings!$C$6,Settings!$C$7)*1)</f>
        <v/>
      </c>
      <c r="U1601">
        <f>IF($A1601="","",IF(COUNTIF($A$2:$A1601,$A1601)=1,1,0))</f>
        <v/>
      </c>
      <c r="V1601">
        <f>IF($U1601=1,SUMPRODUCT(--($X$2:$X$3001&lt;$X1601))+1,"")</f>
        <v/>
      </c>
      <c r="W1601">
        <f>IF($A1601="","",IF(OR($T1601=TRUE(),$T1601="TRUE"),1,0))</f>
        <v/>
      </c>
      <c r="X1601">
        <f>IF($U1601=1,IFERROR(IF(VALUE($A1601)&lt;100000000,VALUE($A1601),1000000000),IFERROR(IF(VALUE(MID($A1601,2,20))&lt;100000000,VALUE(MID($A1601,2,20)),1000000000),1000000000))+ROW()/100000,"")</f>
        <v/>
      </c>
    </row>
    <row r="1602">
      <c r="F1602" s="7">
        <f>IF($A1602="","",E1602*N1602/100)</f>
        <v/>
      </c>
      <c r="J1602" s="7" t="n"/>
      <c r="K1602" s="7">
        <f>IF($A1602="","",S1602*N1602)</f>
        <v/>
      </c>
      <c r="L1602" s="7">
        <f>IF($A1602="","",N1602-K1602)</f>
        <v/>
      </c>
      <c r="M1602" s="7">
        <f>IF($A1602="","",L1602-F1602)</f>
        <v/>
      </c>
      <c r="N1602" s="7" t="n"/>
      <c r="Q1602" s="11" t="n"/>
      <c r="S1602">
        <f>IF($A1602="","",IF($W1602=1,Settings!$C$6,Settings!$C$7)*1)</f>
        <v/>
      </c>
      <c r="U1602">
        <f>IF($A1602="","",IF(COUNTIF($A$2:$A1602,$A1602)=1,1,0))</f>
        <v/>
      </c>
      <c r="V1602">
        <f>IF($U1602=1,SUMPRODUCT(--($X$2:$X$3001&lt;$X1602))+1,"")</f>
        <v/>
      </c>
      <c r="W1602">
        <f>IF($A1602="","",IF(OR($T1602=TRUE(),$T1602="TRUE"),1,0))</f>
        <v/>
      </c>
      <c r="X1602">
        <f>IF($U1602=1,IFERROR(IF(VALUE($A1602)&lt;100000000,VALUE($A1602),1000000000),IFERROR(IF(VALUE(MID($A1602,2,20))&lt;100000000,VALUE(MID($A1602,2,20)),1000000000),1000000000))+ROW()/100000,"")</f>
        <v/>
      </c>
    </row>
    <row r="1603">
      <c r="F1603" s="7">
        <f>IF($A1603="","",E1603*N1603/100)</f>
        <v/>
      </c>
      <c r="J1603" s="7" t="n"/>
      <c r="K1603" s="7">
        <f>IF($A1603="","",S1603*N1603)</f>
        <v/>
      </c>
      <c r="L1603" s="7">
        <f>IF($A1603="","",N1603-K1603)</f>
        <v/>
      </c>
      <c r="M1603" s="7">
        <f>IF($A1603="","",L1603-F1603)</f>
        <v/>
      </c>
      <c r="N1603" s="7" t="n"/>
      <c r="Q1603" s="11" t="n"/>
      <c r="S1603">
        <f>IF($A1603="","",IF($W1603=1,Settings!$C$6,Settings!$C$7)*1)</f>
        <v/>
      </c>
      <c r="U1603">
        <f>IF($A1603="","",IF(COUNTIF($A$2:$A1603,$A1603)=1,1,0))</f>
        <v/>
      </c>
      <c r="V1603">
        <f>IF($U1603=1,SUMPRODUCT(--($X$2:$X$3001&lt;$X1603))+1,"")</f>
        <v/>
      </c>
      <c r="W1603">
        <f>IF($A1603="","",IF(OR($T1603=TRUE(),$T1603="TRUE"),1,0))</f>
        <v/>
      </c>
      <c r="X1603">
        <f>IF($U1603=1,IFERROR(IF(VALUE($A1603)&lt;100000000,VALUE($A1603),1000000000),IFERROR(IF(VALUE(MID($A1603,2,20))&lt;100000000,VALUE(MID($A1603,2,20)),1000000000),1000000000))+ROW()/100000,"")</f>
        <v/>
      </c>
    </row>
    <row r="1604">
      <c r="F1604" s="7">
        <f>IF($A1604="","",E1604*N1604/100)</f>
        <v/>
      </c>
      <c r="J1604" s="7" t="n"/>
      <c r="K1604" s="7">
        <f>IF($A1604="","",S1604*N1604)</f>
        <v/>
      </c>
      <c r="L1604" s="7">
        <f>IF($A1604="","",N1604-K1604)</f>
        <v/>
      </c>
      <c r="M1604" s="7">
        <f>IF($A1604="","",L1604-F1604)</f>
        <v/>
      </c>
      <c r="N1604" s="7" t="n"/>
      <c r="Q1604" s="11" t="n"/>
      <c r="S1604">
        <f>IF($A1604="","",IF($W1604=1,Settings!$C$6,Settings!$C$7)*1)</f>
        <v/>
      </c>
      <c r="U1604">
        <f>IF($A1604="","",IF(COUNTIF($A$2:$A1604,$A1604)=1,1,0))</f>
        <v/>
      </c>
      <c r="V1604">
        <f>IF($U1604=1,SUMPRODUCT(--($X$2:$X$3001&lt;$X1604))+1,"")</f>
        <v/>
      </c>
      <c r="W1604">
        <f>IF($A1604="","",IF(OR($T1604=TRUE(),$T1604="TRUE"),1,0))</f>
        <v/>
      </c>
      <c r="X1604">
        <f>IF($U1604=1,IFERROR(IF(VALUE($A1604)&lt;100000000,VALUE($A1604),1000000000),IFERROR(IF(VALUE(MID($A1604,2,20))&lt;100000000,VALUE(MID($A1604,2,20)),1000000000),1000000000))+ROW()/100000,"")</f>
        <v/>
      </c>
    </row>
    <row r="1605">
      <c r="F1605" s="7">
        <f>IF($A1605="","",E1605*N1605/100)</f>
        <v/>
      </c>
      <c r="J1605" s="7" t="n"/>
      <c r="K1605" s="7">
        <f>IF($A1605="","",S1605*N1605)</f>
        <v/>
      </c>
      <c r="L1605" s="7">
        <f>IF($A1605="","",N1605-K1605)</f>
        <v/>
      </c>
      <c r="M1605" s="7">
        <f>IF($A1605="","",L1605-F1605)</f>
        <v/>
      </c>
      <c r="N1605" s="7" t="n"/>
      <c r="Q1605" s="11" t="n"/>
      <c r="S1605">
        <f>IF($A1605="","",IF($W1605=1,Settings!$C$6,Settings!$C$7)*1)</f>
        <v/>
      </c>
      <c r="U1605">
        <f>IF($A1605="","",IF(COUNTIF($A$2:$A1605,$A1605)=1,1,0))</f>
        <v/>
      </c>
      <c r="V1605">
        <f>IF($U1605=1,SUMPRODUCT(--($X$2:$X$3001&lt;$X1605))+1,"")</f>
        <v/>
      </c>
      <c r="W1605">
        <f>IF($A1605="","",IF(OR($T1605=TRUE(),$T1605="TRUE"),1,0))</f>
        <v/>
      </c>
      <c r="X1605">
        <f>IF($U1605=1,IFERROR(IF(VALUE($A1605)&lt;100000000,VALUE($A1605),1000000000),IFERROR(IF(VALUE(MID($A1605,2,20))&lt;100000000,VALUE(MID($A1605,2,20)),1000000000),1000000000))+ROW()/100000,"")</f>
        <v/>
      </c>
    </row>
    <row r="1606">
      <c r="F1606" s="7">
        <f>IF($A1606="","",E1606*N1606/100)</f>
        <v/>
      </c>
      <c r="J1606" s="7" t="n"/>
      <c r="K1606" s="7">
        <f>IF($A1606="","",S1606*N1606)</f>
        <v/>
      </c>
      <c r="L1606" s="7">
        <f>IF($A1606="","",N1606-K1606)</f>
        <v/>
      </c>
      <c r="M1606" s="7">
        <f>IF($A1606="","",L1606-F1606)</f>
        <v/>
      </c>
      <c r="N1606" s="7" t="n"/>
      <c r="Q1606" s="11" t="n"/>
      <c r="S1606">
        <f>IF($A1606="","",IF($W1606=1,Settings!$C$6,Settings!$C$7)*1)</f>
        <v/>
      </c>
      <c r="U1606">
        <f>IF($A1606="","",IF(COUNTIF($A$2:$A1606,$A1606)=1,1,0))</f>
        <v/>
      </c>
      <c r="V1606">
        <f>IF($U1606=1,SUMPRODUCT(--($X$2:$X$3001&lt;$X1606))+1,"")</f>
        <v/>
      </c>
      <c r="W1606">
        <f>IF($A1606="","",IF(OR($T1606=TRUE(),$T1606="TRUE"),1,0))</f>
        <v/>
      </c>
      <c r="X1606">
        <f>IF($U1606=1,IFERROR(IF(VALUE($A1606)&lt;100000000,VALUE($A1606),1000000000),IFERROR(IF(VALUE(MID($A1606,2,20))&lt;100000000,VALUE(MID($A1606,2,20)),1000000000),1000000000))+ROW()/100000,"")</f>
        <v/>
      </c>
    </row>
    <row r="1607">
      <c r="F1607" s="7">
        <f>IF($A1607="","",E1607*N1607/100)</f>
        <v/>
      </c>
      <c r="J1607" s="7" t="n"/>
      <c r="K1607" s="7">
        <f>IF($A1607="","",S1607*N1607)</f>
        <v/>
      </c>
      <c r="L1607" s="7">
        <f>IF($A1607="","",N1607-K1607)</f>
        <v/>
      </c>
      <c r="M1607" s="7">
        <f>IF($A1607="","",L1607-F1607)</f>
        <v/>
      </c>
      <c r="N1607" s="7" t="n"/>
      <c r="Q1607" s="11" t="n"/>
      <c r="S1607">
        <f>IF($A1607="","",IF($W1607=1,Settings!$C$6,Settings!$C$7)*1)</f>
        <v/>
      </c>
      <c r="U1607">
        <f>IF($A1607="","",IF(COUNTIF($A$2:$A1607,$A1607)=1,1,0))</f>
        <v/>
      </c>
      <c r="V1607">
        <f>IF($U1607=1,SUMPRODUCT(--($X$2:$X$3001&lt;$X1607))+1,"")</f>
        <v/>
      </c>
      <c r="W1607">
        <f>IF($A1607="","",IF(OR($T1607=TRUE(),$T1607="TRUE"),1,0))</f>
        <v/>
      </c>
      <c r="X1607">
        <f>IF($U1607=1,IFERROR(IF(VALUE($A1607)&lt;100000000,VALUE($A1607),1000000000),IFERROR(IF(VALUE(MID($A1607,2,20))&lt;100000000,VALUE(MID($A1607,2,20)),1000000000),1000000000))+ROW()/100000,"")</f>
        <v/>
      </c>
    </row>
    <row r="1608">
      <c r="F1608" s="7">
        <f>IF($A1608="","",E1608*N1608/100)</f>
        <v/>
      </c>
      <c r="J1608" s="7" t="n"/>
      <c r="K1608" s="7">
        <f>IF($A1608="","",S1608*N1608)</f>
        <v/>
      </c>
      <c r="L1608" s="7">
        <f>IF($A1608="","",N1608-K1608)</f>
        <v/>
      </c>
      <c r="M1608" s="7">
        <f>IF($A1608="","",L1608-F1608)</f>
        <v/>
      </c>
      <c r="N1608" s="7" t="n"/>
      <c r="Q1608" s="11" t="n"/>
      <c r="S1608">
        <f>IF($A1608="","",IF($W1608=1,Settings!$C$6,Settings!$C$7)*1)</f>
        <v/>
      </c>
      <c r="U1608">
        <f>IF($A1608="","",IF(COUNTIF($A$2:$A1608,$A1608)=1,1,0))</f>
        <v/>
      </c>
      <c r="V1608">
        <f>IF($U1608=1,SUMPRODUCT(--($X$2:$X$3001&lt;$X1608))+1,"")</f>
        <v/>
      </c>
      <c r="W1608">
        <f>IF($A1608="","",IF(OR($T1608=TRUE(),$T1608="TRUE"),1,0))</f>
        <v/>
      </c>
      <c r="X1608">
        <f>IF($U1608=1,IFERROR(IF(VALUE($A1608)&lt;100000000,VALUE($A1608),1000000000),IFERROR(IF(VALUE(MID($A1608,2,20))&lt;100000000,VALUE(MID($A1608,2,20)),1000000000),1000000000))+ROW()/100000,"")</f>
        <v/>
      </c>
    </row>
    <row r="1609">
      <c r="F1609" s="7">
        <f>IF($A1609="","",E1609*N1609/100)</f>
        <v/>
      </c>
      <c r="J1609" s="7" t="n"/>
      <c r="K1609" s="7">
        <f>IF($A1609="","",S1609*N1609)</f>
        <v/>
      </c>
      <c r="L1609" s="7">
        <f>IF($A1609="","",N1609-K1609)</f>
        <v/>
      </c>
      <c r="M1609" s="7">
        <f>IF($A1609="","",L1609-F1609)</f>
        <v/>
      </c>
      <c r="N1609" s="7" t="n"/>
      <c r="Q1609" s="11" t="n"/>
      <c r="S1609">
        <f>IF($A1609="","",IF($W1609=1,Settings!$C$6,Settings!$C$7)*1)</f>
        <v/>
      </c>
      <c r="U1609">
        <f>IF($A1609="","",IF(COUNTIF($A$2:$A1609,$A1609)=1,1,0))</f>
        <v/>
      </c>
      <c r="V1609">
        <f>IF($U1609=1,SUMPRODUCT(--($X$2:$X$3001&lt;$X1609))+1,"")</f>
        <v/>
      </c>
      <c r="W1609">
        <f>IF($A1609="","",IF(OR($T1609=TRUE(),$T1609="TRUE"),1,0))</f>
        <v/>
      </c>
      <c r="X1609">
        <f>IF($U1609=1,IFERROR(IF(VALUE($A1609)&lt;100000000,VALUE($A1609),1000000000),IFERROR(IF(VALUE(MID($A1609,2,20))&lt;100000000,VALUE(MID($A1609,2,20)),1000000000),1000000000))+ROW()/100000,"")</f>
        <v/>
      </c>
    </row>
    <row r="1610">
      <c r="F1610" s="7">
        <f>IF($A1610="","",E1610*N1610/100)</f>
        <v/>
      </c>
      <c r="J1610" s="7" t="n"/>
      <c r="K1610" s="7">
        <f>IF($A1610="","",S1610*N1610)</f>
        <v/>
      </c>
      <c r="L1610" s="7">
        <f>IF($A1610="","",N1610-K1610)</f>
        <v/>
      </c>
      <c r="M1610" s="7">
        <f>IF($A1610="","",L1610-F1610)</f>
        <v/>
      </c>
      <c r="N1610" s="7" t="n"/>
      <c r="Q1610" s="11" t="n"/>
      <c r="S1610">
        <f>IF($A1610="","",IF($W1610=1,Settings!$C$6,Settings!$C$7)*1)</f>
        <v/>
      </c>
      <c r="U1610">
        <f>IF($A1610="","",IF(COUNTIF($A$2:$A1610,$A1610)=1,1,0))</f>
        <v/>
      </c>
      <c r="V1610">
        <f>IF($U1610=1,SUMPRODUCT(--($X$2:$X$3001&lt;$X1610))+1,"")</f>
        <v/>
      </c>
      <c r="W1610">
        <f>IF($A1610="","",IF(OR($T1610=TRUE(),$T1610="TRUE"),1,0))</f>
        <v/>
      </c>
      <c r="X1610">
        <f>IF($U1610=1,IFERROR(IF(VALUE($A1610)&lt;100000000,VALUE($A1610),1000000000),IFERROR(IF(VALUE(MID($A1610,2,20))&lt;100000000,VALUE(MID($A1610,2,20)),1000000000),1000000000))+ROW()/100000,"")</f>
        <v/>
      </c>
    </row>
    <row r="1611">
      <c r="F1611" s="7">
        <f>IF($A1611="","",E1611*N1611/100)</f>
        <v/>
      </c>
      <c r="J1611" s="7" t="n"/>
      <c r="K1611" s="7">
        <f>IF($A1611="","",S1611*N1611)</f>
        <v/>
      </c>
      <c r="L1611" s="7">
        <f>IF($A1611="","",N1611-K1611)</f>
        <v/>
      </c>
      <c r="M1611" s="7">
        <f>IF($A1611="","",L1611-F1611)</f>
        <v/>
      </c>
      <c r="N1611" s="7" t="n"/>
      <c r="Q1611" s="11" t="n"/>
      <c r="S1611">
        <f>IF($A1611="","",IF($W1611=1,Settings!$C$6,Settings!$C$7)*1)</f>
        <v/>
      </c>
      <c r="U1611">
        <f>IF($A1611="","",IF(COUNTIF($A$2:$A1611,$A1611)=1,1,0))</f>
        <v/>
      </c>
      <c r="V1611">
        <f>IF($U1611=1,SUMPRODUCT(--($X$2:$X$3001&lt;$X1611))+1,"")</f>
        <v/>
      </c>
      <c r="W1611">
        <f>IF($A1611="","",IF(OR($T1611=TRUE(),$T1611="TRUE"),1,0))</f>
        <v/>
      </c>
      <c r="X1611">
        <f>IF($U1611=1,IFERROR(IF(VALUE($A1611)&lt;100000000,VALUE($A1611),1000000000),IFERROR(IF(VALUE(MID($A1611,2,20))&lt;100000000,VALUE(MID($A1611,2,20)),1000000000),1000000000))+ROW()/100000,"")</f>
        <v/>
      </c>
    </row>
    <row r="1612">
      <c r="F1612" s="7">
        <f>IF($A1612="","",E1612*N1612/100)</f>
        <v/>
      </c>
      <c r="J1612" s="7" t="n"/>
      <c r="K1612" s="7">
        <f>IF($A1612="","",S1612*N1612)</f>
        <v/>
      </c>
      <c r="L1612" s="7">
        <f>IF($A1612="","",N1612-K1612)</f>
        <v/>
      </c>
      <c r="M1612" s="7">
        <f>IF($A1612="","",L1612-F1612)</f>
        <v/>
      </c>
      <c r="N1612" s="7" t="n"/>
      <c r="Q1612" s="11" t="n"/>
      <c r="S1612">
        <f>IF($A1612="","",IF($W1612=1,Settings!$C$6,Settings!$C$7)*1)</f>
        <v/>
      </c>
      <c r="U1612">
        <f>IF($A1612="","",IF(COUNTIF($A$2:$A1612,$A1612)=1,1,0))</f>
        <v/>
      </c>
      <c r="V1612">
        <f>IF($U1612=1,SUMPRODUCT(--($X$2:$X$3001&lt;$X1612))+1,"")</f>
        <v/>
      </c>
      <c r="W1612">
        <f>IF($A1612="","",IF(OR($T1612=TRUE(),$T1612="TRUE"),1,0))</f>
        <v/>
      </c>
      <c r="X1612">
        <f>IF($U1612=1,IFERROR(IF(VALUE($A1612)&lt;100000000,VALUE($A1612),1000000000),IFERROR(IF(VALUE(MID($A1612,2,20))&lt;100000000,VALUE(MID($A1612,2,20)),1000000000),1000000000))+ROW()/100000,"")</f>
        <v/>
      </c>
    </row>
    <row r="1613">
      <c r="F1613" s="7">
        <f>IF($A1613="","",E1613*N1613/100)</f>
        <v/>
      </c>
      <c r="J1613" s="7" t="n"/>
      <c r="K1613" s="7">
        <f>IF($A1613="","",S1613*N1613)</f>
        <v/>
      </c>
      <c r="L1613" s="7">
        <f>IF($A1613="","",N1613-K1613)</f>
        <v/>
      </c>
      <c r="M1613" s="7">
        <f>IF($A1613="","",L1613-F1613)</f>
        <v/>
      </c>
      <c r="N1613" s="7" t="n"/>
      <c r="Q1613" s="11" t="n"/>
      <c r="S1613">
        <f>IF($A1613="","",IF($W1613=1,Settings!$C$6,Settings!$C$7)*1)</f>
        <v/>
      </c>
      <c r="U1613">
        <f>IF($A1613="","",IF(COUNTIF($A$2:$A1613,$A1613)=1,1,0))</f>
        <v/>
      </c>
      <c r="V1613">
        <f>IF($U1613=1,SUMPRODUCT(--($X$2:$X$3001&lt;$X1613))+1,"")</f>
        <v/>
      </c>
      <c r="W1613">
        <f>IF($A1613="","",IF(OR($T1613=TRUE(),$T1613="TRUE"),1,0))</f>
        <v/>
      </c>
      <c r="X1613">
        <f>IF($U1613=1,IFERROR(IF(VALUE($A1613)&lt;100000000,VALUE($A1613),1000000000),IFERROR(IF(VALUE(MID($A1613,2,20))&lt;100000000,VALUE(MID($A1613,2,20)),1000000000),1000000000))+ROW()/100000,"")</f>
        <v/>
      </c>
    </row>
    <row r="1614">
      <c r="F1614" s="7">
        <f>IF($A1614="","",E1614*N1614/100)</f>
        <v/>
      </c>
      <c r="J1614" s="7" t="n"/>
      <c r="K1614" s="7">
        <f>IF($A1614="","",S1614*N1614)</f>
        <v/>
      </c>
      <c r="L1614" s="7">
        <f>IF($A1614="","",N1614-K1614)</f>
        <v/>
      </c>
      <c r="M1614" s="7">
        <f>IF($A1614="","",L1614-F1614)</f>
        <v/>
      </c>
      <c r="N1614" s="7" t="n"/>
      <c r="Q1614" s="11" t="n"/>
      <c r="S1614">
        <f>IF($A1614="","",IF($W1614=1,Settings!$C$6,Settings!$C$7)*1)</f>
        <v/>
      </c>
      <c r="U1614">
        <f>IF($A1614="","",IF(COUNTIF($A$2:$A1614,$A1614)=1,1,0))</f>
        <v/>
      </c>
      <c r="V1614">
        <f>IF($U1614=1,SUMPRODUCT(--($X$2:$X$3001&lt;$X1614))+1,"")</f>
        <v/>
      </c>
      <c r="W1614">
        <f>IF($A1614="","",IF(OR($T1614=TRUE(),$T1614="TRUE"),1,0))</f>
        <v/>
      </c>
      <c r="X1614">
        <f>IF($U1614=1,IFERROR(IF(VALUE($A1614)&lt;100000000,VALUE($A1614),1000000000),IFERROR(IF(VALUE(MID($A1614,2,20))&lt;100000000,VALUE(MID($A1614,2,20)),1000000000),1000000000))+ROW()/100000,"")</f>
        <v/>
      </c>
    </row>
    <row r="1615">
      <c r="F1615" s="7">
        <f>IF($A1615="","",E1615*N1615/100)</f>
        <v/>
      </c>
      <c r="J1615" s="7" t="n"/>
      <c r="K1615" s="7">
        <f>IF($A1615="","",S1615*N1615)</f>
        <v/>
      </c>
      <c r="L1615" s="7">
        <f>IF($A1615="","",N1615-K1615)</f>
        <v/>
      </c>
      <c r="M1615" s="7">
        <f>IF($A1615="","",L1615-F1615)</f>
        <v/>
      </c>
      <c r="N1615" s="7" t="n"/>
      <c r="Q1615" s="11" t="n"/>
      <c r="S1615">
        <f>IF($A1615="","",IF($W1615=1,Settings!$C$6,Settings!$C$7)*1)</f>
        <v/>
      </c>
      <c r="U1615">
        <f>IF($A1615="","",IF(COUNTIF($A$2:$A1615,$A1615)=1,1,0))</f>
        <v/>
      </c>
      <c r="V1615">
        <f>IF($U1615=1,SUMPRODUCT(--($X$2:$X$3001&lt;$X1615))+1,"")</f>
        <v/>
      </c>
      <c r="W1615">
        <f>IF($A1615="","",IF(OR($T1615=TRUE(),$T1615="TRUE"),1,0))</f>
        <v/>
      </c>
      <c r="X1615">
        <f>IF($U1615=1,IFERROR(IF(VALUE($A1615)&lt;100000000,VALUE($A1615),1000000000),IFERROR(IF(VALUE(MID($A1615,2,20))&lt;100000000,VALUE(MID($A1615,2,20)),1000000000),1000000000))+ROW()/100000,"")</f>
        <v/>
      </c>
    </row>
    <row r="1616">
      <c r="F1616" s="7">
        <f>IF($A1616="","",E1616*N1616/100)</f>
        <v/>
      </c>
      <c r="J1616" s="7" t="n"/>
      <c r="K1616" s="7">
        <f>IF($A1616="","",S1616*N1616)</f>
        <v/>
      </c>
      <c r="L1616" s="7">
        <f>IF($A1616="","",N1616-K1616)</f>
        <v/>
      </c>
      <c r="M1616" s="7">
        <f>IF($A1616="","",L1616-F1616)</f>
        <v/>
      </c>
      <c r="N1616" s="7" t="n"/>
      <c r="Q1616" s="11" t="n"/>
      <c r="S1616">
        <f>IF($A1616="","",IF($W1616=1,Settings!$C$6,Settings!$C$7)*1)</f>
        <v/>
      </c>
      <c r="U1616">
        <f>IF($A1616="","",IF(COUNTIF($A$2:$A1616,$A1616)=1,1,0))</f>
        <v/>
      </c>
      <c r="V1616">
        <f>IF($U1616=1,SUMPRODUCT(--($X$2:$X$3001&lt;$X1616))+1,"")</f>
        <v/>
      </c>
      <c r="W1616">
        <f>IF($A1616="","",IF(OR($T1616=TRUE(),$T1616="TRUE"),1,0))</f>
        <v/>
      </c>
      <c r="X1616">
        <f>IF($U1616=1,IFERROR(IF(VALUE($A1616)&lt;100000000,VALUE($A1616),1000000000),IFERROR(IF(VALUE(MID($A1616,2,20))&lt;100000000,VALUE(MID($A1616,2,20)),1000000000),1000000000))+ROW()/100000,"")</f>
        <v/>
      </c>
    </row>
    <row r="1617">
      <c r="F1617" s="7">
        <f>IF($A1617="","",E1617*N1617/100)</f>
        <v/>
      </c>
      <c r="J1617" s="7" t="n"/>
      <c r="K1617" s="7">
        <f>IF($A1617="","",S1617*N1617)</f>
        <v/>
      </c>
      <c r="L1617" s="7">
        <f>IF($A1617="","",N1617-K1617)</f>
        <v/>
      </c>
      <c r="M1617" s="7">
        <f>IF($A1617="","",L1617-F1617)</f>
        <v/>
      </c>
      <c r="N1617" s="7" t="n"/>
      <c r="Q1617" s="11" t="n"/>
      <c r="S1617">
        <f>IF($A1617="","",IF($W1617=1,Settings!$C$6,Settings!$C$7)*1)</f>
        <v/>
      </c>
      <c r="U1617">
        <f>IF($A1617="","",IF(COUNTIF($A$2:$A1617,$A1617)=1,1,0))</f>
        <v/>
      </c>
      <c r="V1617">
        <f>IF($U1617=1,SUMPRODUCT(--($X$2:$X$3001&lt;$X1617))+1,"")</f>
        <v/>
      </c>
      <c r="W1617">
        <f>IF($A1617="","",IF(OR($T1617=TRUE(),$T1617="TRUE"),1,0))</f>
        <v/>
      </c>
      <c r="X1617">
        <f>IF($U1617=1,IFERROR(IF(VALUE($A1617)&lt;100000000,VALUE($A1617),1000000000),IFERROR(IF(VALUE(MID($A1617,2,20))&lt;100000000,VALUE(MID($A1617,2,20)),1000000000),1000000000))+ROW()/100000,"")</f>
        <v/>
      </c>
    </row>
    <row r="1618">
      <c r="F1618" s="7">
        <f>IF($A1618="","",E1618*N1618/100)</f>
        <v/>
      </c>
      <c r="J1618" s="7" t="n"/>
      <c r="K1618" s="7">
        <f>IF($A1618="","",S1618*N1618)</f>
        <v/>
      </c>
      <c r="L1618" s="7">
        <f>IF($A1618="","",N1618-K1618)</f>
        <v/>
      </c>
      <c r="M1618" s="7">
        <f>IF($A1618="","",L1618-F1618)</f>
        <v/>
      </c>
      <c r="N1618" s="7" t="n"/>
      <c r="Q1618" s="11" t="n"/>
      <c r="S1618">
        <f>IF($A1618="","",IF($W1618=1,Settings!$C$6,Settings!$C$7)*1)</f>
        <v/>
      </c>
      <c r="U1618">
        <f>IF($A1618="","",IF(COUNTIF($A$2:$A1618,$A1618)=1,1,0))</f>
        <v/>
      </c>
      <c r="V1618">
        <f>IF($U1618=1,SUMPRODUCT(--($X$2:$X$3001&lt;$X1618))+1,"")</f>
        <v/>
      </c>
      <c r="W1618">
        <f>IF($A1618="","",IF(OR($T1618=TRUE(),$T1618="TRUE"),1,0))</f>
        <v/>
      </c>
      <c r="X1618">
        <f>IF($U1618=1,IFERROR(IF(VALUE($A1618)&lt;100000000,VALUE($A1618),1000000000),IFERROR(IF(VALUE(MID($A1618,2,20))&lt;100000000,VALUE(MID($A1618,2,20)),1000000000),1000000000))+ROW()/100000,"")</f>
        <v/>
      </c>
    </row>
    <row r="1619">
      <c r="F1619" s="7">
        <f>IF($A1619="","",E1619*N1619/100)</f>
        <v/>
      </c>
      <c r="J1619" s="7" t="n"/>
      <c r="K1619" s="7">
        <f>IF($A1619="","",S1619*N1619)</f>
        <v/>
      </c>
      <c r="L1619" s="7">
        <f>IF($A1619="","",N1619-K1619)</f>
        <v/>
      </c>
      <c r="M1619" s="7">
        <f>IF($A1619="","",L1619-F1619)</f>
        <v/>
      </c>
      <c r="N1619" s="7" t="n"/>
      <c r="Q1619" s="11" t="n"/>
      <c r="S1619">
        <f>IF($A1619="","",IF($W1619=1,Settings!$C$6,Settings!$C$7)*1)</f>
        <v/>
      </c>
      <c r="U1619">
        <f>IF($A1619="","",IF(COUNTIF($A$2:$A1619,$A1619)=1,1,0))</f>
        <v/>
      </c>
      <c r="V1619">
        <f>IF($U1619=1,SUMPRODUCT(--($X$2:$X$3001&lt;$X1619))+1,"")</f>
        <v/>
      </c>
      <c r="W1619">
        <f>IF($A1619="","",IF(OR($T1619=TRUE(),$T1619="TRUE"),1,0))</f>
        <v/>
      </c>
      <c r="X1619">
        <f>IF($U1619=1,IFERROR(IF(VALUE($A1619)&lt;100000000,VALUE($A1619),1000000000),IFERROR(IF(VALUE(MID($A1619,2,20))&lt;100000000,VALUE(MID($A1619,2,20)),1000000000),1000000000))+ROW()/100000,"")</f>
        <v/>
      </c>
    </row>
    <row r="1620">
      <c r="F1620" s="7">
        <f>IF($A1620="","",E1620*N1620/100)</f>
        <v/>
      </c>
      <c r="J1620" s="7" t="n"/>
      <c r="K1620" s="7">
        <f>IF($A1620="","",S1620*N1620)</f>
        <v/>
      </c>
      <c r="L1620" s="7">
        <f>IF($A1620="","",N1620-K1620)</f>
        <v/>
      </c>
      <c r="M1620" s="7">
        <f>IF($A1620="","",L1620-F1620)</f>
        <v/>
      </c>
      <c r="N1620" s="7" t="n"/>
      <c r="Q1620" s="11" t="n"/>
      <c r="S1620">
        <f>IF($A1620="","",IF($W1620=1,Settings!$C$6,Settings!$C$7)*1)</f>
        <v/>
      </c>
      <c r="U1620">
        <f>IF($A1620="","",IF(COUNTIF($A$2:$A1620,$A1620)=1,1,0))</f>
        <v/>
      </c>
      <c r="V1620">
        <f>IF($U1620=1,SUMPRODUCT(--($X$2:$X$3001&lt;$X1620))+1,"")</f>
        <v/>
      </c>
      <c r="W1620">
        <f>IF($A1620="","",IF(OR($T1620=TRUE(),$T1620="TRUE"),1,0))</f>
        <v/>
      </c>
      <c r="X1620">
        <f>IF($U1620=1,IFERROR(IF(VALUE($A1620)&lt;100000000,VALUE($A1620),1000000000),IFERROR(IF(VALUE(MID($A1620,2,20))&lt;100000000,VALUE(MID($A1620,2,20)),1000000000),1000000000))+ROW()/100000,"")</f>
        <v/>
      </c>
    </row>
    <row r="1621">
      <c r="F1621" s="7">
        <f>IF($A1621="","",E1621*N1621/100)</f>
        <v/>
      </c>
      <c r="J1621" s="7" t="n"/>
      <c r="K1621" s="7">
        <f>IF($A1621="","",S1621*N1621)</f>
        <v/>
      </c>
      <c r="L1621" s="7">
        <f>IF($A1621="","",N1621-K1621)</f>
        <v/>
      </c>
      <c r="M1621" s="7">
        <f>IF($A1621="","",L1621-F1621)</f>
        <v/>
      </c>
      <c r="N1621" s="7" t="n"/>
      <c r="Q1621" s="11" t="n"/>
      <c r="S1621">
        <f>IF($A1621="","",IF($W1621=1,Settings!$C$6,Settings!$C$7)*1)</f>
        <v/>
      </c>
      <c r="U1621">
        <f>IF($A1621="","",IF(COUNTIF($A$2:$A1621,$A1621)=1,1,0))</f>
        <v/>
      </c>
      <c r="V1621">
        <f>IF($U1621=1,SUMPRODUCT(--($X$2:$X$3001&lt;$X1621))+1,"")</f>
        <v/>
      </c>
      <c r="W1621">
        <f>IF($A1621="","",IF(OR($T1621=TRUE(),$T1621="TRUE"),1,0))</f>
        <v/>
      </c>
      <c r="X1621">
        <f>IF($U1621=1,IFERROR(IF(VALUE($A1621)&lt;100000000,VALUE($A1621),1000000000),IFERROR(IF(VALUE(MID($A1621,2,20))&lt;100000000,VALUE(MID($A1621,2,20)),1000000000),1000000000))+ROW()/100000,"")</f>
        <v/>
      </c>
    </row>
    <row r="1622">
      <c r="F1622" s="7">
        <f>IF($A1622="","",E1622*N1622/100)</f>
        <v/>
      </c>
      <c r="J1622" s="7" t="n"/>
      <c r="K1622" s="7">
        <f>IF($A1622="","",S1622*N1622)</f>
        <v/>
      </c>
      <c r="L1622" s="7">
        <f>IF($A1622="","",N1622-K1622)</f>
        <v/>
      </c>
      <c r="M1622" s="7">
        <f>IF($A1622="","",L1622-F1622)</f>
        <v/>
      </c>
      <c r="N1622" s="7" t="n"/>
      <c r="Q1622" s="11" t="n"/>
      <c r="S1622">
        <f>IF($A1622="","",IF($W1622=1,Settings!$C$6,Settings!$C$7)*1)</f>
        <v/>
      </c>
      <c r="U1622">
        <f>IF($A1622="","",IF(COUNTIF($A$2:$A1622,$A1622)=1,1,0))</f>
        <v/>
      </c>
      <c r="V1622">
        <f>IF($U1622=1,SUMPRODUCT(--($X$2:$X$3001&lt;$X1622))+1,"")</f>
        <v/>
      </c>
      <c r="W1622">
        <f>IF($A1622="","",IF(OR($T1622=TRUE(),$T1622="TRUE"),1,0))</f>
        <v/>
      </c>
      <c r="X1622">
        <f>IF($U1622=1,IFERROR(IF(VALUE($A1622)&lt;100000000,VALUE($A1622),1000000000),IFERROR(IF(VALUE(MID($A1622,2,20))&lt;100000000,VALUE(MID($A1622,2,20)),1000000000),1000000000))+ROW()/100000,"")</f>
        <v/>
      </c>
    </row>
    <row r="1623">
      <c r="F1623" s="7">
        <f>IF($A1623="","",E1623*N1623/100)</f>
        <v/>
      </c>
      <c r="J1623" s="7" t="n"/>
      <c r="K1623" s="7">
        <f>IF($A1623="","",S1623*N1623)</f>
        <v/>
      </c>
      <c r="L1623" s="7">
        <f>IF($A1623="","",N1623-K1623)</f>
        <v/>
      </c>
      <c r="M1623" s="7">
        <f>IF($A1623="","",L1623-F1623)</f>
        <v/>
      </c>
      <c r="N1623" s="7" t="n"/>
      <c r="Q1623" s="11" t="n"/>
      <c r="S1623">
        <f>IF($A1623="","",IF($W1623=1,Settings!$C$6,Settings!$C$7)*1)</f>
        <v/>
      </c>
      <c r="U1623">
        <f>IF($A1623="","",IF(COUNTIF($A$2:$A1623,$A1623)=1,1,0))</f>
        <v/>
      </c>
      <c r="V1623">
        <f>IF($U1623=1,SUMPRODUCT(--($X$2:$X$3001&lt;$X1623))+1,"")</f>
        <v/>
      </c>
      <c r="W1623">
        <f>IF($A1623="","",IF(OR($T1623=TRUE(),$T1623="TRUE"),1,0))</f>
        <v/>
      </c>
      <c r="X1623">
        <f>IF($U1623=1,IFERROR(IF(VALUE($A1623)&lt;100000000,VALUE($A1623),1000000000),IFERROR(IF(VALUE(MID($A1623,2,20))&lt;100000000,VALUE(MID($A1623,2,20)),1000000000),1000000000))+ROW()/100000,"")</f>
        <v/>
      </c>
    </row>
    <row r="1624">
      <c r="F1624" s="7">
        <f>IF($A1624="","",E1624*N1624/100)</f>
        <v/>
      </c>
      <c r="J1624" s="7" t="n"/>
      <c r="K1624" s="7">
        <f>IF($A1624="","",S1624*N1624)</f>
        <v/>
      </c>
      <c r="L1624" s="7">
        <f>IF($A1624="","",N1624-K1624)</f>
        <v/>
      </c>
      <c r="M1624" s="7">
        <f>IF($A1624="","",L1624-F1624)</f>
        <v/>
      </c>
      <c r="N1624" s="7" t="n"/>
      <c r="Q1624" s="11" t="n"/>
      <c r="S1624">
        <f>IF($A1624="","",IF($W1624=1,Settings!$C$6,Settings!$C$7)*1)</f>
        <v/>
      </c>
      <c r="U1624">
        <f>IF($A1624="","",IF(COUNTIF($A$2:$A1624,$A1624)=1,1,0))</f>
        <v/>
      </c>
      <c r="V1624">
        <f>IF($U1624=1,SUMPRODUCT(--($X$2:$X$3001&lt;$X1624))+1,"")</f>
        <v/>
      </c>
      <c r="W1624">
        <f>IF($A1624="","",IF(OR($T1624=TRUE(),$T1624="TRUE"),1,0))</f>
        <v/>
      </c>
      <c r="X1624">
        <f>IF($U1624=1,IFERROR(IF(VALUE($A1624)&lt;100000000,VALUE($A1624),1000000000),IFERROR(IF(VALUE(MID($A1624,2,20))&lt;100000000,VALUE(MID($A1624,2,20)),1000000000),1000000000))+ROW()/100000,"")</f>
        <v/>
      </c>
    </row>
    <row r="1625">
      <c r="F1625" s="7">
        <f>IF($A1625="","",E1625*N1625/100)</f>
        <v/>
      </c>
      <c r="J1625" s="7" t="n"/>
      <c r="K1625" s="7">
        <f>IF($A1625="","",S1625*N1625)</f>
        <v/>
      </c>
      <c r="L1625" s="7">
        <f>IF($A1625="","",N1625-K1625)</f>
        <v/>
      </c>
      <c r="M1625" s="7">
        <f>IF($A1625="","",L1625-F1625)</f>
        <v/>
      </c>
      <c r="N1625" s="7" t="n"/>
      <c r="Q1625" s="11" t="n"/>
      <c r="S1625">
        <f>IF($A1625="","",IF($W1625=1,Settings!$C$6,Settings!$C$7)*1)</f>
        <v/>
      </c>
      <c r="U1625">
        <f>IF($A1625="","",IF(COUNTIF($A$2:$A1625,$A1625)=1,1,0))</f>
        <v/>
      </c>
      <c r="V1625">
        <f>IF($U1625=1,SUMPRODUCT(--($X$2:$X$3001&lt;$X1625))+1,"")</f>
        <v/>
      </c>
      <c r="W1625">
        <f>IF($A1625="","",IF(OR($T1625=TRUE(),$T1625="TRUE"),1,0))</f>
        <v/>
      </c>
      <c r="X1625">
        <f>IF($U1625=1,IFERROR(IF(VALUE($A1625)&lt;100000000,VALUE($A1625),1000000000),IFERROR(IF(VALUE(MID($A1625,2,20))&lt;100000000,VALUE(MID($A1625,2,20)),1000000000),1000000000))+ROW()/100000,"")</f>
        <v/>
      </c>
    </row>
    <row r="1626">
      <c r="F1626" s="7">
        <f>IF($A1626="","",E1626*N1626/100)</f>
        <v/>
      </c>
      <c r="J1626" s="7" t="n"/>
      <c r="K1626" s="7">
        <f>IF($A1626="","",S1626*N1626)</f>
        <v/>
      </c>
      <c r="L1626" s="7">
        <f>IF($A1626="","",N1626-K1626)</f>
        <v/>
      </c>
      <c r="M1626" s="7">
        <f>IF($A1626="","",L1626-F1626)</f>
        <v/>
      </c>
      <c r="N1626" s="7" t="n"/>
      <c r="Q1626" s="11" t="n"/>
      <c r="S1626">
        <f>IF($A1626="","",IF($W1626=1,Settings!$C$6,Settings!$C$7)*1)</f>
        <v/>
      </c>
      <c r="U1626">
        <f>IF($A1626="","",IF(COUNTIF($A$2:$A1626,$A1626)=1,1,0))</f>
        <v/>
      </c>
      <c r="V1626">
        <f>IF($U1626=1,SUMPRODUCT(--($X$2:$X$3001&lt;$X1626))+1,"")</f>
        <v/>
      </c>
      <c r="W1626">
        <f>IF($A1626="","",IF(OR($T1626=TRUE(),$T1626="TRUE"),1,0))</f>
        <v/>
      </c>
      <c r="X1626">
        <f>IF($U1626=1,IFERROR(IF(VALUE($A1626)&lt;100000000,VALUE($A1626),1000000000),IFERROR(IF(VALUE(MID($A1626,2,20))&lt;100000000,VALUE(MID($A1626,2,20)),1000000000),1000000000))+ROW()/100000,"")</f>
        <v/>
      </c>
    </row>
    <row r="1627">
      <c r="F1627" s="7">
        <f>IF($A1627="","",E1627*N1627/100)</f>
        <v/>
      </c>
      <c r="J1627" s="7" t="n"/>
      <c r="K1627" s="7">
        <f>IF($A1627="","",S1627*N1627)</f>
        <v/>
      </c>
      <c r="L1627" s="7">
        <f>IF($A1627="","",N1627-K1627)</f>
        <v/>
      </c>
      <c r="M1627" s="7">
        <f>IF($A1627="","",L1627-F1627)</f>
        <v/>
      </c>
      <c r="N1627" s="7" t="n"/>
      <c r="Q1627" s="11" t="n"/>
      <c r="S1627">
        <f>IF($A1627="","",IF($W1627=1,Settings!$C$6,Settings!$C$7)*1)</f>
        <v/>
      </c>
      <c r="U1627">
        <f>IF($A1627="","",IF(COUNTIF($A$2:$A1627,$A1627)=1,1,0))</f>
        <v/>
      </c>
      <c r="V1627">
        <f>IF($U1627=1,SUMPRODUCT(--($X$2:$X$3001&lt;$X1627))+1,"")</f>
        <v/>
      </c>
      <c r="W1627">
        <f>IF($A1627="","",IF(OR($T1627=TRUE(),$T1627="TRUE"),1,0))</f>
        <v/>
      </c>
      <c r="X1627">
        <f>IF($U1627=1,IFERROR(IF(VALUE($A1627)&lt;100000000,VALUE($A1627),1000000000),IFERROR(IF(VALUE(MID($A1627,2,20))&lt;100000000,VALUE(MID($A1627,2,20)),1000000000),1000000000))+ROW()/100000,"")</f>
        <v/>
      </c>
    </row>
    <row r="1628">
      <c r="F1628" s="7">
        <f>IF($A1628="","",E1628*N1628/100)</f>
        <v/>
      </c>
      <c r="J1628" s="7" t="n"/>
      <c r="K1628" s="7">
        <f>IF($A1628="","",S1628*N1628)</f>
        <v/>
      </c>
      <c r="L1628" s="7">
        <f>IF($A1628="","",N1628-K1628)</f>
        <v/>
      </c>
      <c r="M1628" s="7">
        <f>IF($A1628="","",L1628-F1628)</f>
        <v/>
      </c>
      <c r="N1628" s="7" t="n"/>
      <c r="Q1628" s="11" t="n"/>
      <c r="S1628">
        <f>IF($A1628="","",IF($W1628=1,Settings!$C$6,Settings!$C$7)*1)</f>
        <v/>
      </c>
      <c r="U1628">
        <f>IF($A1628="","",IF(COUNTIF($A$2:$A1628,$A1628)=1,1,0))</f>
        <v/>
      </c>
      <c r="V1628">
        <f>IF($U1628=1,SUMPRODUCT(--($X$2:$X$3001&lt;$X1628))+1,"")</f>
        <v/>
      </c>
      <c r="W1628">
        <f>IF($A1628="","",IF(OR($T1628=TRUE(),$T1628="TRUE"),1,0))</f>
        <v/>
      </c>
      <c r="X1628">
        <f>IF($U1628=1,IFERROR(IF(VALUE($A1628)&lt;100000000,VALUE($A1628),1000000000),IFERROR(IF(VALUE(MID($A1628,2,20))&lt;100000000,VALUE(MID($A1628,2,20)),1000000000),1000000000))+ROW()/100000,"")</f>
        <v/>
      </c>
    </row>
    <row r="1629">
      <c r="F1629" s="7">
        <f>IF($A1629="","",E1629*N1629/100)</f>
        <v/>
      </c>
      <c r="J1629" s="7" t="n"/>
      <c r="K1629" s="7">
        <f>IF($A1629="","",S1629*N1629)</f>
        <v/>
      </c>
      <c r="L1629" s="7">
        <f>IF($A1629="","",N1629-K1629)</f>
        <v/>
      </c>
      <c r="M1629" s="7">
        <f>IF($A1629="","",L1629-F1629)</f>
        <v/>
      </c>
      <c r="N1629" s="7" t="n"/>
      <c r="Q1629" s="11" t="n"/>
      <c r="S1629">
        <f>IF($A1629="","",IF($W1629=1,Settings!$C$6,Settings!$C$7)*1)</f>
        <v/>
      </c>
      <c r="U1629">
        <f>IF($A1629="","",IF(COUNTIF($A$2:$A1629,$A1629)=1,1,0))</f>
        <v/>
      </c>
      <c r="V1629">
        <f>IF($U1629=1,SUMPRODUCT(--($X$2:$X$3001&lt;$X1629))+1,"")</f>
        <v/>
      </c>
      <c r="W1629">
        <f>IF($A1629="","",IF(OR($T1629=TRUE(),$T1629="TRUE"),1,0))</f>
        <v/>
      </c>
      <c r="X1629">
        <f>IF($U1629=1,IFERROR(IF(VALUE($A1629)&lt;100000000,VALUE($A1629),1000000000),IFERROR(IF(VALUE(MID($A1629,2,20))&lt;100000000,VALUE(MID($A1629,2,20)),1000000000),1000000000))+ROW()/100000,"")</f>
        <v/>
      </c>
    </row>
    <row r="1630">
      <c r="F1630" s="7">
        <f>IF($A1630="","",E1630*N1630/100)</f>
        <v/>
      </c>
      <c r="J1630" s="7" t="n"/>
      <c r="K1630" s="7">
        <f>IF($A1630="","",S1630*N1630)</f>
        <v/>
      </c>
      <c r="L1630" s="7">
        <f>IF($A1630="","",N1630-K1630)</f>
        <v/>
      </c>
      <c r="M1630" s="7">
        <f>IF($A1630="","",L1630-F1630)</f>
        <v/>
      </c>
      <c r="N1630" s="7" t="n"/>
      <c r="Q1630" s="11" t="n"/>
      <c r="S1630">
        <f>IF($A1630="","",IF($W1630=1,Settings!$C$6,Settings!$C$7)*1)</f>
        <v/>
      </c>
      <c r="U1630">
        <f>IF($A1630="","",IF(COUNTIF($A$2:$A1630,$A1630)=1,1,0))</f>
        <v/>
      </c>
      <c r="V1630">
        <f>IF($U1630=1,SUMPRODUCT(--($X$2:$X$3001&lt;$X1630))+1,"")</f>
        <v/>
      </c>
      <c r="W1630">
        <f>IF($A1630="","",IF(OR($T1630=TRUE(),$T1630="TRUE"),1,0))</f>
        <v/>
      </c>
      <c r="X1630">
        <f>IF($U1630=1,IFERROR(IF(VALUE($A1630)&lt;100000000,VALUE($A1630),1000000000),IFERROR(IF(VALUE(MID($A1630,2,20))&lt;100000000,VALUE(MID($A1630,2,20)),1000000000),1000000000))+ROW()/100000,"")</f>
        <v/>
      </c>
    </row>
    <row r="1631">
      <c r="F1631" s="7">
        <f>IF($A1631="","",E1631*N1631/100)</f>
        <v/>
      </c>
      <c r="J1631" s="7" t="n"/>
      <c r="K1631" s="7">
        <f>IF($A1631="","",S1631*N1631)</f>
        <v/>
      </c>
      <c r="L1631" s="7">
        <f>IF($A1631="","",N1631-K1631)</f>
        <v/>
      </c>
      <c r="M1631" s="7">
        <f>IF($A1631="","",L1631-F1631)</f>
        <v/>
      </c>
      <c r="N1631" s="7" t="n"/>
      <c r="Q1631" s="11" t="n"/>
      <c r="S1631">
        <f>IF($A1631="","",IF($W1631=1,Settings!$C$6,Settings!$C$7)*1)</f>
        <v/>
      </c>
      <c r="U1631">
        <f>IF($A1631="","",IF(COUNTIF($A$2:$A1631,$A1631)=1,1,0))</f>
        <v/>
      </c>
      <c r="V1631">
        <f>IF($U1631=1,SUMPRODUCT(--($X$2:$X$3001&lt;$X1631))+1,"")</f>
        <v/>
      </c>
      <c r="W1631">
        <f>IF($A1631="","",IF(OR($T1631=TRUE(),$T1631="TRUE"),1,0))</f>
        <v/>
      </c>
      <c r="X1631">
        <f>IF($U1631=1,IFERROR(IF(VALUE($A1631)&lt;100000000,VALUE($A1631),1000000000),IFERROR(IF(VALUE(MID($A1631,2,20))&lt;100000000,VALUE(MID($A1631,2,20)),1000000000),1000000000))+ROW()/100000,"")</f>
        <v/>
      </c>
    </row>
    <row r="1632">
      <c r="F1632" s="7">
        <f>IF($A1632="","",E1632*N1632/100)</f>
        <v/>
      </c>
      <c r="J1632" s="7" t="n"/>
      <c r="K1632" s="7">
        <f>IF($A1632="","",S1632*N1632)</f>
        <v/>
      </c>
      <c r="L1632" s="7">
        <f>IF($A1632="","",N1632-K1632)</f>
        <v/>
      </c>
      <c r="M1632" s="7">
        <f>IF($A1632="","",L1632-F1632)</f>
        <v/>
      </c>
      <c r="N1632" s="7" t="n"/>
      <c r="Q1632" s="11" t="n"/>
      <c r="S1632">
        <f>IF($A1632="","",IF($W1632=1,Settings!$C$6,Settings!$C$7)*1)</f>
        <v/>
      </c>
      <c r="U1632">
        <f>IF($A1632="","",IF(COUNTIF($A$2:$A1632,$A1632)=1,1,0))</f>
        <v/>
      </c>
      <c r="V1632">
        <f>IF($U1632=1,SUMPRODUCT(--($X$2:$X$3001&lt;$X1632))+1,"")</f>
        <v/>
      </c>
      <c r="W1632">
        <f>IF($A1632="","",IF(OR($T1632=TRUE(),$T1632="TRUE"),1,0))</f>
        <v/>
      </c>
      <c r="X1632">
        <f>IF($U1632=1,IFERROR(IF(VALUE($A1632)&lt;100000000,VALUE($A1632),1000000000),IFERROR(IF(VALUE(MID($A1632,2,20))&lt;100000000,VALUE(MID($A1632,2,20)),1000000000),1000000000))+ROW()/100000,"")</f>
        <v/>
      </c>
    </row>
    <row r="1633">
      <c r="F1633" s="7">
        <f>IF($A1633="","",E1633*N1633/100)</f>
        <v/>
      </c>
      <c r="J1633" s="7" t="n"/>
      <c r="K1633" s="7">
        <f>IF($A1633="","",S1633*N1633)</f>
        <v/>
      </c>
      <c r="L1633" s="7">
        <f>IF($A1633="","",N1633-K1633)</f>
        <v/>
      </c>
      <c r="M1633" s="7">
        <f>IF($A1633="","",L1633-F1633)</f>
        <v/>
      </c>
      <c r="N1633" s="7" t="n"/>
      <c r="Q1633" s="11" t="n"/>
      <c r="S1633">
        <f>IF($A1633="","",IF($W1633=1,Settings!$C$6,Settings!$C$7)*1)</f>
        <v/>
      </c>
      <c r="U1633">
        <f>IF($A1633="","",IF(COUNTIF($A$2:$A1633,$A1633)=1,1,0))</f>
        <v/>
      </c>
      <c r="V1633">
        <f>IF($U1633=1,SUMPRODUCT(--($X$2:$X$3001&lt;$X1633))+1,"")</f>
        <v/>
      </c>
      <c r="W1633">
        <f>IF($A1633="","",IF(OR($T1633=TRUE(),$T1633="TRUE"),1,0))</f>
        <v/>
      </c>
      <c r="X1633">
        <f>IF($U1633=1,IFERROR(IF(VALUE($A1633)&lt;100000000,VALUE($A1633),1000000000),IFERROR(IF(VALUE(MID($A1633,2,20))&lt;100000000,VALUE(MID($A1633,2,20)),1000000000),1000000000))+ROW()/100000,"")</f>
        <v/>
      </c>
    </row>
    <row r="1634">
      <c r="F1634" s="7">
        <f>IF($A1634="","",E1634*N1634/100)</f>
        <v/>
      </c>
      <c r="J1634" s="7" t="n"/>
      <c r="K1634" s="7">
        <f>IF($A1634="","",S1634*N1634)</f>
        <v/>
      </c>
      <c r="L1634" s="7">
        <f>IF($A1634="","",N1634-K1634)</f>
        <v/>
      </c>
      <c r="M1634" s="7">
        <f>IF($A1634="","",L1634-F1634)</f>
        <v/>
      </c>
      <c r="N1634" s="7" t="n"/>
      <c r="Q1634" s="11" t="n"/>
      <c r="S1634">
        <f>IF($A1634="","",IF($W1634=1,Settings!$C$6,Settings!$C$7)*1)</f>
        <v/>
      </c>
      <c r="U1634">
        <f>IF($A1634="","",IF(COUNTIF($A$2:$A1634,$A1634)=1,1,0))</f>
        <v/>
      </c>
      <c r="V1634">
        <f>IF($U1634=1,SUMPRODUCT(--($X$2:$X$3001&lt;$X1634))+1,"")</f>
        <v/>
      </c>
      <c r="W1634">
        <f>IF($A1634="","",IF(OR($T1634=TRUE(),$T1634="TRUE"),1,0))</f>
        <v/>
      </c>
      <c r="X1634">
        <f>IF($U1634=1,IFERROR(IF(VALUE($A1634)&lt;100000000,VALUE($A1634),1000000000),IFERROR(IF(VALUE(MID($A1634,2,20))&lt;100000000,VALUE(MID($A1634,2,20)),1000000000),1000000000))+ROW()/100000,"")</f>
        <v/>
      </c>
    </row>
    <row r="1635">
      <c r="F1635" s="7">
        <f>IF($A1635="","",E1635*N1635/100)</f>
        <v/>
      </c>
      <c r="J1635" s="7" t="n"/>
      <c r="K1635" s="7">
        <f>IF($A1635="","",S1635*N1635)</f>
        <v/>
      </c>
      <c r="L1635" s="7">
        <f>IF($A1635="","",N1635-K1635)</f>
        <v/>
      </c>
      <c r="M1635" s="7">
        <f>IF($A1635="","",L1635-F1635)</f>
        <v/>
      </c>
      <c r="N1635" s="7" t="n"/>
      <c r="Q1635" s="11" t="n"/>
      <c r="S1635">
        <f>IF($A1635="","",IF($W1635=1,Settings!$C$6,Settings!$C$7)*1)</f>
        <v/>
      </c>
      <c r="U1635">
        <f>IF($A1635="","",IF(COUNTIF($A$2:$A1635,$A1635)=1,1,0))</f>
        <v/>
      </c>
      <c r="V1635">
        <f>IF($U1635=1,SUMPRODUCT(--($X$2:$X$3001&lt;$X1635))+1,"")</f>
        <v/>
      </c>
      <c r="W1635">
        <f>IF($A1635="","",IF(OR($T1635=TRUE(),$T1635="TRUE"),1,0))</f>
        <v/>
      </c>
      <c r="X1635">
        <f>IF($U1635=1,IFERROR(IF(VALUE($A1635)&lt;100000000,VALUE($A1635),1000000000),IFERROR(IF(VALUE(MID($A1635,2,20))&lt;100000000,VALUE(MID($A1635,2,20)),1000000000),1000000000))+ROW()/100000,"")</f>
        <v/>
      </c>
    </row>
    <row r="1636">
      <c r="F1636" s="7">
        <f>IF($A1636="","",E1636*N1636/100)</f>
        <v/>
      </c>
      <c r="J1636" s="7" t="n"/>
      <c r="K1636" s="7">
        <f>IF($A1636="","",S1636*N1636)</f>
        <v/>
      </c>
      <c r="L1636" s="7">
        <f>IF($A1636="","",N1636-K1636)</f>
        <v/>
      </c>
      <c r="M1636" s="7">
        <f>IF($A1636="","",L1636-F1636)</f>
        <v/>
      </c>
      <c r="N1636" s="7" t="n"/>
      <c r="Q1636" s="11" t="n"/>
      <c r="S1636">
        <f>IF($A1636="","",IF($W1636=1,Settings!$C$6,Settings!$C$7)*1)</f>
        <v/>
      </c>
      <c r="U1636">
        <f>IF($A1636="","",IF(COUNTIF($A$2:$A1636,$A1636)=1,1,0))</f>
        <v/>
      </c>
      <c r="V1636">
        <f>IF($U1636=1,SUMPRODUCT(--($X$2:$X$3001&lt;$X1636))+1,"")</f>
        <v/>
      </c>
      <c r="W1636">
        <f>IF($A1636="","",IF(OR($T1636=TRUE(),$T1636="TRUE"),1,0))</f>
        <v/>
      </c>
      <c r="X1636">
        <f>IF($U1636=1,IFERROR(IF(VALUE($A1636)&lt;100000000,VALUE($A1636),1000000000),IFERROR(IF(VALUE(MID($A1636,2,20))&lt;100000000,VALUE(MID($A1636,2,20)),1000000000),1000000000))+ROW()/100000,"")</f>
        <v/>
      </c>
    </row>
    <row r="1637">
      <c r="F1637" s="7">
        <f>IF($A1637="","",E1637*N1637/100)</f>
        <v/>
      </c>
      <c r="J1637" s="7" t="n"/>
      <c r="K1637" s="7">
        <f>IF($A1637="","",S1637*N1637)</f>
        <v/>
      </c>
      <c r="L1637" s="7">
        <f>IF($A1637="","",N1637-K1637)</f>
        <v/>
      </c>
      <c r="M1637" s="7">
        <f>IF($A1637="","",L1637-F1637)</f>
        <v/>
      </c>
      <c r="N1637" s="7" t="n"/>
      <c r="Q1637" s="11" t="n"/>
      <c r="S1637">
        <f>IF($A1637="","",IF($W1637=1,Settings!$C$6,Settings!$C$7)*1)</f>
        <v/>
      </c>
      <c r="U1637">
        <f>IF($A1637="","",IF(COUNTIF($A$2:$A1637,$A1637)=1,1,0))</f>
        <v/>
      </c>
      <c r="V1637">
        <f>IF($U1637=1,SUMPRODUCT(--($X$2:$X$3001&lt;$X1637))+1,"")</f>
        <v/>
      </c>
      <c r="W1637">
        <f>IF($A1637="","",IF(OR($T1637=TRUE(),$T1637="TRUE"),1,0))</f>
        <v/>
      </c>
      <c r="X1637">
        <f>IF($U1637=1,IFERROR(IF(VALUE($A1637)&lt;100000000,VALUE($A1637),1000000000),IFERROR(IF(VALUE(MID($A1637,2,20))&lt;100000000,VALUE(MID($A1637,2,20)),1000000000),1000000000))+ROW()/100000,"")</f>
        <v/>
      </c>
    </row>
    <row r="1638">
      <c r="F1638" s="7">
        <f>IF($A1638="","",E1638*N1638/100)</f>
        <v/>
      </c>
      <c r="J1638" s="7" t="n"/>
      <c r="K1638" s="7">
        <f>IF($A1638="","",S1638*N1638)</f>
        <v/>
      </c>
      <c r="L1638" s="7">
        <f>IF($A1638="","",N1638-K1638)</f>
        <v/>
      </c>
      <c r="M1638" s="7">
        <f>IF($A1638="","",L1638-F1638)</f>
        <v/>
      </c>
      <c r="N1638" s="7" t="n"/>
      <c r="Q1638" s="11" t="n"/>
      <c r="S1638">
        <f>IF($A1638="","",IF($W1638=1,Settings!$C$6,Settings!$C$7)*1)</f>
        <v/>
      </c>
      <c r="U1638">
        <f>IF($A1638="","",IF(COUNTIF($A$2:$A1638,$A1638)=1,1,0))</f>
        <v/>
      </c>
      <c r="V1638">
        <f>IF($U1638=1,SUMPRODUCT(--($X$2:$X$3001&lt;$X1638))+1,"")</f>
        <v/>
      </c>
      <c r="W1638">
        <f>IF($A1638="","",IF(OR($T1638=TRUE(),$T1638="TRUE"),1,0))</f>
        <v/>
      </c>
      <c r="X1638">
        <f>IF($U1638=1,IFERROR(IF(VALUE($A1638)&lt;100000000,VALUE($A1638),1000000000),IFERROR(IF(VALUE(MID($A1638,2,20))&lt;100000000,VALUE(MID($A1638,2,20)),1000000000),1000000000))+ROW()/100000,"")</f>
        <v/>
      </c>
    </row>
    <row r="1639">
      <c r="F1639" s="7">
        <f>IF($A1639="","",E1639*N1639/100)</f>
        <v/>
      </c>
      <c r="J1639" s="7" t="n"/>
      <c r="K1639" s="7">
        <f>IF($A1639="","",S1639*N1639)</f>
        <v/>
      </c>
      <c r="L1639" s="7">
        <f>IF($A1639="","",N1639-K1639)</f>
        <v/>
      </c>
      <c r="M1639" s="7">
        <f>IF($A1639="","",L1639-F1639)</f>
        <v/>
      </c>
      <c r="N1639" s="7" t="n"/>
      <c r="Q1639" s="11" t="n"/>
      <c r="S1639">
        <f>IF($A1639="","",IF($W1639=1,Settings!$C$6,Settings!$C$7)*1)</f>
        <v/>
      </c>
      <c r="U1639">
        <f>IF($A1639="","",IF(COUNTIF($A$2:$A1639,$A1639)=1,1,0))</f>
        <v/>
      </c>
      <c r="V1639">
        <f>IF($U1639=1,SUMPRODUCT(--($X$2:$X$3001&lt;$X1639))+1,"")</f>
        <v/>
      </c>
      <c r="W1639">
        <f>IF($A1639="","",IF(OR($T1639=TRUE(),$T1639="TRUE"),1,0))</f>
        <v/>
      </c>
      <c r="X1639">
        <f>IF($U1639=1,IFERROR(IF(VALUE($A1639)&lt;100000000,VALUE($A1639),1000000000),IFERROR(IF(VALUE(MID($A1639,2,20))&lt;100000000,VALUE(MID($A1639,2,20)),1000000000),1000000000))+ROW()/100000,"")</f>
        <v/>
      </c>
    </row>
    <row r="1640">
      <c r="F1640" s="7">
        <f>IF($A1640="","",E1640*N1640/100)</f>
        <v/>
      </c>
      <c r="J1640" s="7" t="n"/>
      <c r="K1640" s="7">
        <f>IF($A1640="","",S1640*N1640)</f>
        <v/>
      </c>
      <c r="L1640" s="7">
        <f>IF($A1640="","",N1640-K1640)</f>
        <v/>
      </c>
      <c r="M1640" s="7">
        <f>IF($A1640="","",L1640-F1640)</f>
        <v/>
      </c>
      <c r="N1640" s="7" t="n"/>
      <c r="Q1640" s="11" t="n"/>
      <c r="S1640">
        <f>IF($A1640="","",IF($W1640=1,Settings!$C$6,Settings!$C$7)*1)</f>
        <v/>
      </c>
      <c r="U1640">
        <f>IF($A1640="","",IF(COUNTIF($A$2:$A1640,$A1640)=1,1,0))</f>
        <v/>
      </c>
      <c r="V1640">
        <f>IF($U1640=1,SUMPRODUCT(--($X$2:$X$3001&lt;$X1640))+1,"")</f>
        <v/>
      </c>
      <c r="W1640">
        <f>IF($A1640="","",IF(OR($T1640=TRUE(),$T1640="TRUE"),1,0))</f>
        <v/>
      </c>
      <c r="X1640">
        <f>IF($U1640=1,IFERROR(IF(VALUE($A1640)&lt;100000000,VALUE($A1640),1000000000),IFERROR(IF(VALUE(MID($A1640,2,20))&lt;100000000,VALUE(MID($A1640,2,20)),1000000000),1000000000))+ROW()/100000,"")</f>
        <v/>
      </c>
    </row>
    <row r="1641">
      <c r="F1641" s="7">
        <f>IF($A1641="","",E1641*N1641/100)</f>
        <v/>
      </c>
      <c r="J1641" s="7" t="n"/>
      <c r="K1641" s="7">
        <f>IF($A1641="","",S1641*N1641)</f>
        <v/>
      </c>
      <c r="L1641" s="7">
        <f>IF($A1641="","",N1641-K1641)</f>
        <v/>
      </c>
      <c r="M1641" s="7">
        <f>IF($A1641="","",L1641-F1641)</f>
        <v/>
      </c>
      <c r="N1641" s="7" t="n"/>
      <c r="Q1641" s="11" t="n"/>
      <c r="S1641">
        <f>IF($A1641="","",IF($W1641=1,Settings!$C$6,Settings!$C$7)*1)</f>
        <v/>
      </c>
      <c r="U1641">
        <f>IF($A1641="","",IF(COUNTIF($A$2:$A1641,$A1641)=1,1,0))</f>
        <v/>
      </c>
      <c r="V1641">
        <f>IF($U1641=1,SUMPRODUCT(--($X$2:$X$3001&lt;$X1641))+1,"")</f>
        <v/>
      </c>
      <c r="W1641">
        <f>IF($A1641="","",IF(OR($T1641=TRUE(),$T1641="TRUE"),1,0))</f>
        <v/>
      </c>
      <c r="X1641">
        <f>IF($U1641=1,IFERROR(IF(VALUE($A1641)&lt;100000000,VALUE($A1641),1000000000),IFERROR(IF(VALUE(MID($A1641,2,20))&lt;100000000,VALUE(MID($A1641,2,20)),1000000000),1000000000))+ROW()/100000,"")</f>
        <v/>
      </c>
    </row>
    <row r="1642">
      <c r="F1642" s="7">
        <f>IF($A1642="","",E1642*N1642/100)</f>
        <v/>
      </c>
      <c r="J1642" s="7" t="n"/>
      <c r="K1642" s="7">
        <f>IF($A1642="","",S1642*N1642)</f>
        <v/>
      </c>
      <c r="L1642" s="7">
        <f>IF($A1642="","",N1642-K1642)</f>
        <v/>
      </c>
      <c r="M1642" s="7">
        <f>IF($A1642="","",L1642-F1642)</f>
        <v/>
      </c>
      <c r="N1642" s="7" t="n"/>
      <c r="Q1642" s="11" t="n"/>
      <c r="S1642">
        <f>IF($A1642="","",IF($W1642=1,Settings!$C$6,Settings!$C$7)*1)</f>
        <v/>
      </c>
      <c r="U1642">
        <f>IF($A1642="","",IF(COUNTIF($A$2:$A1642,$A1642)=1,1,0))</f>
        <v/>
      </c>
      <c r="V1642">
        <f>IF($U1642=1,SUMPRODUCT(--($X$2:$X$3001&lt;$X1642))+1,"")</f>
        <v/>
      </c>
      <c r="W1642">
        <f>IF($A1642="","",IF(OR($T1642=TRUE(),$T1642="TRUE"),1,0))</f>
        <v/>
      </c>
      <c r="X1642">
        <f>IF($U1642=1,IFERROR(IF(VALUE($A1642)&lt;100000000,VALUE($A1642),1000000000),IFERROR(IF(VALUE(MID($A1642,2,20))&lt;100000000,VALUE(MID($A1642,2,20)),1000000000),1000000000))+ROW()/100000,"")</f>
        <v/>
      </c>
    </row>
    <row r="1643">
      <c r="F1643" s="7">
        <f>IF($A1643="","",E1643*N1643/100)</f>
        <v/>
      </c>
      <c r="J1643" s="7" t="n"/>
      <c r="K1643" s="7">
        <f>IF($A1643="","",S1643*N1643)</f>
        <v/>
      </c>
      <c r="L1643" s="7">
        <f>IF($A1643="","",N1643-K1643)</f>
        <v/>
      </c>
      <c r="M1643" s="7">
        <f>IF($A1643="","",L1643-F1643)</f>
        <v/>
      </c>
      <c r="N1643" s="7" t="n"/>
      <c r="Q1643" s="11" t="n"/>
      <c r="S1643">
        <f>IF($A1643="","",IF($W1643=1,Settings!$C$6,Settings!$C$7)*1)</f>
        <v/>
      </c>
      <c r="U1643">
        <f>IF($A1643="","",IF(COUNTIF($A$2:$A1643,$A1643)=1,1,0))</f>
        <v/>
      </c>
      <c r="V1643">
        <f>IF($U1643=1,SUMPRODUCT(--($X$2:$X$3001&lt;$X1643))+1,"")</f>
        <v/>
      </c>
      <c r="W1643">
        <f>IF($A1643="","",IF(OR($T1643=TRUE(),$T1643="TRUE"),1,0))</f>
        <v/>
      </c>
      <c r="X1643">
        <f>IF($U1643=1,IFERROR(IF(VALUE($A1643)&lt;100000000,VALUE($A1643),1000000000),IFERROR(IF(VALUE(MID($A1643,2,20))&lt;100000000,VALUE(MID($A1643,2,20)),1000000000),1000000000))+ROW()/100000,"")</f>
        <v/>
      </c>
    </row>
    <row r="1644">
      <c r="F1644" s="7">
        <f>IF($A1644="","",E1644*N1644/100)</f>
        <v/>
      </c>
      <c r="J1644" s="7" t="n"/>
      <c r="K1644" s="7">
        <f>IF($A1644="","",S1644*N1644)</f>
        <v/>
      </c>
      <c r="L1644" s="7">
        <f>IF($A1644="","",N1644-K1644)</f>
        <v/>
      </c>
      <c r="M1644" s="7">
        <f>IF($A1644="","",L1644-F1644)</f>
        <v/>
      </c>
      <c r="N1644" s="7" t="n"/>
      <c r="Q1644" s="11" t="n"/>
      <c r="S1644">
        <f>IF($A1644="","",IF($W1644=1,Settings!$C$6,Settings!$C$7)*1)</f>
        <v/>
      </c>
      <c r="U1644">
        <f>IF($A1644="","",IF(COUNTIF($A$2:$A1644,$A1644)=1,1,0))</f>
        <v/>
      </c>
      <c r="V1644">
        <f>IF($U1644=1,SUMPRODUCT(--($X$2:$X$3001&lt;$X1644))+1,"")</f>
        <v/>
      </c>
      <c r="W1644">
        <f>IF($A1644="","",IF(OR($T1644=TRUE(),$T1644="TRUE"),1,0))</f>
        <v/>
      </c>
      <c r="X1644">
        <f>IF($U1644=1,IFERROR(IF(VALUE($A1644)&lt;100000000,VALUE($A1644),1000000000),IFERROR(IF(VALUE(MID($A1644,2,20))&lt;100000000,VALUE(MID($A1644,2,20)),1000000000),1000000000))+ROW()/100000,"")</f>
        <v/>
      </c>
    </row>
    <row r="1645">
      <c r="F1645" s="7">
        <f>IF($A1645="","",E1645*N1645/100)</f>
        <v/>
      </c>
      <c r="J1645" s="7" t="n"/>
      <c r="K1645" s="7">
        <f>IF($A1645="","",S1645*N1645)</f>
        <v/>
      </c>
      <c r="L1645" s="7">
        <f>IF($A1645="","",N1645-K1645)</f>
        <v/>
      </c>
      <c r="M1645" s="7">
        <f>IF($A1645="","",L1645-F1645)</f>
        <v/>
      </c>
      <c r="N1645" s="7" t="n"/>
      <c r="Q1645" s="11" t="n"/>
      <c r="S1645">
        <f>IF($A1645="","",IF($W1645=1,Settings!$C$6,Settings!$C$7)*1)</f>
        <v/>
      </c>
      <c r="U1645">
        <f>IF($A1645="","",IF(COUNTIF($A$2:$A1645,$A1645)=1,1,0))</f>
        <v/>
      </c>
      <c r="V1645">
        <f>IF($U1645=1,SUMPRODUCT(--($X$2:$X$3001&lt;$X1645))+1,"")</f>
        <v/>
      </c>
      <c r="W1645">
        <f>IF($A1645="","",IF(OR($T1645=TRUE(),$T1645="TRUE"),1,0))</f>
        <v/>
      </c>
      <c r="X1645">
        <f>IF($U1645=1,IFERROR(IF(VALUE($A1645)&lt;100000000,VALUE($A1645),1000000000),IFERROR(IF(VALUE(MID($A1645,2,20))&lt;100000000,VALUE(MID($A1645,2,20)),1000000000),1000000000))+ROW()/100000,"")</f>
        <v/>
      </c>
    </row>
    <row r="1646">
      <c r="F1646" s="7">
        <f>IF($A1646="","",E1646*N1646/100)</f>
        <v/>
      </c>
      <c r="J1646" s="7" t="n"/>
      <c r="K1646" s="7">
        <f>IF($A1646="","",S1646*N1646)</f>
        <v/>
      </c>
      <c r="L1646" s="7">
        <f>IF($A1646="","",N1646-K1646)</f>
        <v/>
      </c>
      <c r="M1646" s="7">
        <f>IF($A1646="","",L1646-F1646)</f>
        <v/>
      </c>
      <c r="N1646" s="7" t="n"/>
      <c r="Q1646" s="11" t="n"/>
      <c r="S1646">
        <f>IF($A1646="","",IF($W1646=1,Settings!$C$6,Settings!$C$7)*1)</f>
        <v/>
      </c>
      <c r="U1646">
        <f>IF($A1646="","",IF(COUNTIF($A$2:$A1646,$A1646)=1,1,0))</f>
        <v/>
      </c>
      <c r="V1646">
        <f>IF($U1646=1,SUMPRODUCT(--($X$2:$X$3001&lt;$X1646))+1,"")</f>
        <v/>
      </c>
      <c r="W1646">
        <f>IF($A1646="","",IF(OR($T1646=TRUE(),$T1646="TRUE"),1,0))</f>
        <v/>
      </c>
      <c r="X1646">
        <f>IF($U1646=1,IFERROR(IF(VALUE($A1646)&lt;100000000,VALUE($A1646),1000000000),IFERROR(IF(VALUE(MID($A1646,2,20))&lt;100000000,VALUE(MID($A1646,2,20)),1000000000),1000000000))+ROW()/100000,"")</f>
        <v/>
      </c>
    </row>
    <row r="1647">
      <c r="F1647" s="7">
        <f>IF($A1647="","",E1647*N1647/100)</f>
        <v/>
      </c>
      <c r="J1647" s="7" t="n"/>
      <c r="K1647" s="7">
        <f>IF($A1647="","",S1647*N1647)</f>
        <v/>
      </c>
      <c r="L1647" s="7">
        <f>IF($A1647="","",N1647-K1647)</f>
        <v/>
      </c>
      <c r="M1647" s="7">
        <f>IF($A1647="","",L1647-F1647)</f>
        <v/>
      </c>
      <c r="N1647" s="7" t="n"/>
      <c r="Q1647" s="11" t="n"/>
      <c r="S1647">
        <f>IF($A1647="","",IF($W1647=1,Settings!$C$6,Settings!$C$7)*1)</f>
        <v/>
      </c>
      <c r="U1647">
        <f>IF($A1647="","",IF(COUNTIF($A$2:$A1647,$A1647)=1,1,0))</f>
        <v/>
      </c>
      <c r="V1647">
        <f>IF($U1647=1,SUMPRODUCT(--($X$2:$X$3001&lt;$X1647))+1,"")</f>
        <v/>
      </c>
      <c r="W1647">
        <f>IF($A1647="","",IF(OR($T1647=TRUE(),$T1647="TRUE"),1,0))</f>
        <v/>
      </c>
      <c r="X1647">
        <f>IF($U1647=1,IFERROR(IF(VALUE($A1647)&lt;100000000,VALUE($A1647),1000000000),IFERROR(IF(VALUE(MID($A1647,2,20))&lt;100000000,VALUE(MID($A1647,2,20)),1000000000),1000000000))+ROW()/100000,"")</f>
        <v/>
      </c>
    </row>
    <row r="1648">
      <c r="F1648" s="7">
        <f>IF($A1648="","",E1648*N1648/100)</f>
        <v/>
      </c>
      <c r="J1648" s="7" t="n"/>
      <c r="K1648" s="7">
        <f>IF($A1648="","",S1648*N1648)</f>
        <v/>
      </c>
      <c r="L1648" s="7">
        <f>IF($A1648="","",N1648-K1648)</f>
        <v/>
      </c>
      <c r="M1648" s="7">
        <f>IF($A1648="","",L1648-F1648)</f>
        <v/>
      </c>
      <c r="N1648" s="7" t="n"/>
      <c r="Q1648" s="11" t="n"/>
      <c r="S1648">
        <f>IF($A1648="","",IF($W1648=1,Settings!$C$6,Settings!$C$7)*1)</f>
        <v/>
      </c>
      <c r="U1648">
        <f>IF($A1648="","",IF(COUNTIF($A$2:$A1648,$A1648)=1,1,0))</f>
        <v/>
      </c>
      <c r="V1648">
        <f>IF($U1648=1,SUMPRODUCT(--($X$2:$X$3001&lt;$X1648))+1,"")</f>
        <v/>
      </c>
      <c r="W1648">
        <f>IF($A1648="","",IF(OR($T1648=TRUE(),$T1648="TRUE"),1,0))</f>
        <v/>
      </c>
      <c r="X1648">
        <f>IF($U1648=1,IFERROR(IF(VALUE($A1648)&lt;100000000,VALUE($A1648),1000000000),IFERROR(IF(VALUE(MID($A1648,2,20))&lt;100000000,VALUE(MID($A1648,2,20)),1000000000),1000000000))+ROW()/100000,"")</f>
        <v/>
      </c>
    </row>
    <row r="1649">
      <c r="F1649" s="7">
        <f>IF($A1649="","",E1649*N1649/100)</f>
        <v/>
      </c>
      <c r="J1649" s="7" t="n"/>
      <c r="K1649" s="7">
        <f>IF($A1649="","",S1649*N1649)</f>
        <v/>
      </c>
      <c r="L1649" s="7">
        <f>IF($A1649="","",N1649-K1649)</f>
        <v/>
      </c>
      <c r="M1649" s="7">
        <f>IF($A1649="","",L1649-F1649)</f>
        <v/>
      </c>
      <c r="N1649" s="7" t="n"/>
      <c r="Q1649" s="11" t="n"/>
      <c r="S1649">
        <f>IF($A1649="","",IF($W1649=1,Settings!$C$6,Settings!$C$7)*1)</f>
        <v/>
      </c>
      <c r="U1649">
        <f>IF($A1649="","",IF(COUNTIF($A$2:$A1649,$A1649)=1,1,0))</f>
        <v/>
      </c>
      <c r="V1649">
        <f>IF($U1649=1,SUMPRODUCT(--($X$2:$X$3001&lt;$X1649))+1,"")</f>
        <v/>
      </c>
      <c r="W1649">
        <f>IF($A1649="","",IF(OR($T1649=TRUE(),$T1649="TRUE"),1,0))</f>
        <v/>
      </c>
      <c r="X1649">
        <f>IF($U1649=1,IFERROR(IF(VALUE($A1649)&lt;100000000,VALUE($A1649),1000000000),IFERROR(IF(VALUE(MID($A1649,2,20))&lt;100000000,VALUE(MID($A1649,2,20)),1000000000),1000000000))+ROW()/100000,"")</f>
        <v/>
      </c>
    </row>
    <row r="1650">
      <c r="F1650" s="7">
        <f>IF($A1650="","",E1650*N1650/100)</f>
        <v/>
      </c>
      <c r="J1650" s="7" t="n"/>
      <c r="K1650" s="7">
        <f>IF($A1650="","",S1650*N1650)</f>
        <v/>
      </c>
      <c r="L1650" s="7">
        <f>IF($A1650="","",N1650-K1650)</f>
        <v/>
      </c>
      <c r="M1650" s="7">
        <f>IF($A1650="","",L1650-F1650)</f>
        <v/>
      </c>
      <c r="N1650" s="7" t="n"/>
      <c r="Q1650" s="11" t="n"/>
      <c r="S1650">
        <f>IF($A1650="","",IF($W1650=1,Settings!$C$6,Settings!$C$7)*1)</f>
        <v/>
      </c>
      <c r="U1650">
        <f>IF($A1650="","",IF(COUNTIF($A$2:$A1650,$A1650)=1,1,0))</f>
        <v/>
      </c>
      <c r="V1650">
        <f>IF($U1650=1,SUMPRODUCT(--($X$2:$X$3001&lt;$X1650))+1,"")</f>
        <v/>
      </c>
      <c r="W1650">
        <f>IF($A1650="","",IF(OR($T1650=TRUE(),$T1650="TRUE"),1,0))</f>
        <v/>
      </c>
      <c r="X1650">
        <f>IF($U1650=1,IFERROR(IF(VALUE($A1650)&lt;100000000,VALUE($A1650),1000000000),IFERROR(IF(VALUE(MID($A1650,2,20))&lt;100000000,VALUE(MID($A1650,2,20)),1000000000),1000000000))+ROW()/100000,"")</f>
        <v/>
      </c>
    </row>
    <row r="1651">
      <c r="F1651" s="7">
        <f>IF($A1651="","",E1651*N1651/100)</f>
        <v/>
      </c>
      <c r="J1651" s="7" t="n"/>
      <c r="K1651" s="7">
        <f>IF($A1651="","",S1651*N1651)</f>
        <v/>
      </c>
      <c r="L1651" s="7">
        <f>IF($A1651="","",N1651-K1651)</f>
        <v/>
      </c>
      <c r="M1651" s="7">
        <f>IF($A1651="","",L1651-F1651)</f>
        <v/>
      </c>
      <c r="N1651" s="7" t="n"/>
      <c r="Q1651" s="11" t="n"/>
      <c r="S1651">
        <f>IF($A1651="","",IF($W1651=1,Settings!$C$6,Settings!$C$7)*1)</f>
        <v/>
      </c>
      <c r="U1651">
        <f>IF($A1651="","",IF(COUNTIF($A$2:$A1651,$A1651)=1,1,0))</f>
        <v/>
      </c>
      <c r="V1651">
        <f>IF($U1651=1,SUMPRODUCT(--($X$2:$X$3001&lt;$X1651))+1,"")</f>
        <v/>
      </c>
      <c r="W1651">
        <f>IF($A1651="","",IF(OR($T1651=TRUE(),$T1651="TRUE"),1,0))</f>
        <v/>
      </c>
      <c r="X1651">
        <f>IF($U1651=1,IFERROR(IF(VALUE($A1651)&lt;100000000,VALUE($A1651),1000000000),IFERROR(IF(VALUE(MID($A1651,2,20))&lt;100000000,VALUE(MID($A1651,2,20)),1000000000),1000000000))+ROW()/100000,"")</f>
        <v/>
      </c>
    </row>
    <row r="1652">
      <c r="F1652" s="7">
        <f>IF($A1652="","",E1652*N1652/100)</f>
        <v/>
      </c>
      <c r="J1652" s="7" t="n"/>
      <c r="K1652" s="7">
        <f>IF($A1652="","",S1652*N1652)</f>
        <v/>
      </c>
      <c r="L1652" s="7">
        <f>IF($A1652="","",N1652-K1652)</f>
        <v/>
      </c>
      <c r="M1652" s="7">
        <f>IF($A1652="","",L1652-F1652)</f>
        <v/>
      </c>
      <c r="N1652" s="7" t="n"/>
      <c r="Q1652" s="11" t="n"/>
      <c r="S1652">
        <f>IF($A1652="","",IF($W1652=1,Settings!$C$6,Settings!$C$7)*1)</f>
        <v/>
      </c>
      <c r="U1652">
        <f>IF($A1652="","",IF(COUNTIF($A$2:$A1652,$A1652)=1,1,0))</f>
        <v/>
      </c>
      <c r="V1652">
        <f>IF($U1652=1,SUMPRODUCT(--($X$2:$X$3001&lt;$X1652))+1,"")</f>
        <v/>
      </c>
      <c r="W1652">
        <f>IF($A1652="","",IF(OR($T1652=TRUE(),$T1652="TRUE"),1,0))</f>
        <v/>
      </c>
      <c r="X1652">
        <f>IF($U1652=1,IFERROR(IF(VALUE($A1652)&lt;100000000,VALUE($A1652),1000000000),IFERROR(IF(VALUE(MID($A1652,2,20))&lt;100000000,VALUE(MID($A1652,2,20)),1000000000),1000000000))+ROW()/100000,"")</f>
        <v/>
      </c>
    </row>
    <row r="1653">
      <c r="F1653" s="7">
        <f>IF($A1653="","",E1653*N1653/100)</f>
        <v/>
      </c>
      <c r="J1653" s="7" t="n"/>
      <c r="K1653" s="7">
        <f>IF($A1653="","",S1653*N1653)</f>
        <v/>
      </c>
      <c r="L1653" s="7">
        <f>IF($A1653="","",N1653-K1653)</f>
        <v/>
      </c>
      <c r="M1653" s="7">
        <f>IF($A1653="","",L1653-F1653)</f>
        <v/>
      </c>
      <c r="N1653" s="7" t="n"/>
      <c r="Q1653" s="11" t="n"/>
      <c r="S1653">
        <f>IF($A1653="","",IF($W1653=1,Settings!$C$6,Settings!$C$7)*1)</f>
        <v/>
      </c>
      <c r="U1653">
        <f>IF($A1653="","",IF(COUNTIF($A$2:$A1653,$A1653)=1,1,0))</f>
        <v/>
      </c>
      <c r="V1653">
        <f>IF($U1653=1,SUMPRODUCT(--($X$2:$X$3001&lt;$X1653))+1,"")</f>
        <v/>
      </c>
      <c r="W1653">
        <f>IF($A1653="","",IF(OR($T1653=TRUE(),$T1653="TRUE"),1,0))</f>
        <v/>
      </c>
      <c r="X1653">
        <f>IF($U1653=1,IFERROR(IF(VALUE($A1653)&lt;100000000,VALUE($A1653),1000000000),IFERROR(IF(VALUE(MID($A1653,2,20))&lt;100000000,VALUE(MID($A1653,2,20)),1000000000),1000000000))+ROW()/100000,"")</f>
        <v/>
      </c>
    </row>
    <row r="1654">
      <c r="F1654" s="7">
        <f>IF($A1654="","",E1654*N1654/100)</f>
        <v/>
      </c>
      <c r="J1654" s="7" t="n"/>
      <c r="K1654" s="7">
        <f>IF($A1654="","",S1654*N1654)</f>
        <v/>
      </c>
      <c r="L1654" s="7">
        <f>IF($A1654="","",N1654-K1654)</f>
        <v/>
      </c>
      <c r="M1654" s="7">
        <f>IF($A1654="","",L1654-F1654)</f>
        <v/>
      </c>
      <c r="N1654" s="7" t="n"/>
      <c r="Q1654" s="11" t="n"/>
      <c r="S1654">
        <f>IF($A1654="","",IF($W1654=1,Settings!$C$6,Settings!$C$7)*1)</f>
        <v/>
      </c>
      <c r="U1654">
        <f>IF($A1654="","",IF(COUNTIF($A$2:$A1654,$A1654)=1,1,0))</f>
        <v/>
      </c>
      <c r="V1654">
        <f>IF($U1654=1,SUMPRODUCT(--($X$2:$X$3001&lt;$X1654))+1,"")</f>
        <v/>
      </c>
      <c r="W1654">
        <f>IF($A1654="","",IF(OR($T1654=TRUE(),$T1654="TRUE"),1,0))</f>
        <v/>
      </c>
      <c r="X1654">
        <f>IF($U1654=1,IFERROR(IF(VALUE($A1654)&lt;100000000,VALUE($A1654),1000000000),IFERROR(IF(VALUE(MID($A1654,2,20))&lt;100000000,VALUE(MID($A1654,2,20)),1000000000),1000000000))+ROW()/100000,"")</f>
        <v/>
      </c>
    </row>
    <row r="1655">
      <c r="F1655" s="7">
        <f>IF($A1655="","",E1655*N1655/100)</f>
        <v/>
      </c>
      <c r="J1655" s="7" t="n"/>
      <c r="K1655" s="7">
        <f>IF($A1655="","",S1655*N1655)</f>
        <v/>
      </c>
      <c r="L1655" s="7">
        <f>IF($A1655="","",N1655-K1655)</f>
        <v/>
      </c>
      <c r="M1655" s="7">
        <f>IF($A1655="","",L1655-F1655)</f>
        <v/>
      </c>
      <c r="N1655" s="7" t="n"/>
      <c r="Q1655" s="11" t="n"/>
      <c r="S1655">
        <f>IF($A1655="","",IF($W1655=1,Settings!$C$6,Settings!$C$7)*1)</f>
        <v/>
      </c>
      <c r="U1655">
        <f>IF($A1655="","",IF(COUNTIF($A$2:$A1655,$A1655)=1,1,0))</f>
        <v/>
      </c>
      <c r="V1655">
        <f>IF($U1655=1,SUMPRODUCT(--($X$2:$X$3001&lt;$X1655))+1,"")</f>
        <v/>
      </c>
      <c r="W1655">
        <f>IF($A1655="","",IF(OR($T1655=TRUE(),$T1655="TRUE"),1,0))</f>
        <v/>
      </c>
      <c r="X1655">
        <f>IF($U1655=1,IFERROR(IF(VALUE($A1655)&lt;100000000,VALUE($A1655),1000000000),IFERROR(IF(VALUE(MID($A1655,2,20))&lt;100000000,VALUE(MID($A1655,2,20)),1000000000),1000000000))+ROW()/100000,"")</f>
        <v/>
      </c>
    </row>
    <row r="1656">
      <c r="F1656" s="7">
        <f>IF($A1656="","",E1656*N1656/100)</f>
        <v/>
      </c>
      <c r="J1656" s="7" t="n"/>
      <c r="K1656" s="7">
        <f>IF($A1656="","",S1656*N1656)</f>
        <v/>
      </c>
      <c r="L1656" s="7">
        <f>IF($A1656="","",N1656-K1656)</f>
        <v/>
      </c>
      <c r="M1656" s="7">
        <f>IF($A1656="","",L1656-F1656)</f>
        <v/>
      </c>
      <c r="N1656" s="7" t="n"/>
      <c r="Q1656" s="11" t="n"/>
      <c r="S1656">
        <f>IF($A1656="","",IF($W1656=1,Settings!$C$6,Settings!$C$7)*1)</f>
        <v/>
      </c>
      <c r="U1656">
        <f>IF($A1656="","",IF(COUNTIF($A$2:$A1656,$A1656)=1,1,0))</f>
        <v/>
      </c>
      <c r="V1656">
        <f>IF($U1656=1,SUMPRODUCT(--($X$2:$X$3001&lt;$X1656))+1,"")</f>
        <v/>
      </c>
      <c r="W1656">
        <f>IF($A1656="","",IF(OR($T1656=TRUE(),$T1656="TRUE"),1,0))</f>
        <v/>
      </c>
      <c r="X1656">
        <f>IF($U1656=1,IFERROR(IF(VALUE($A1656)&lt;100000000,VALUE($A1656),1000000000),IFERROR(IF(VALUE(MID($A1656,2,20))&lt;100000000,VALUE(MID($A1656,2,20)),1000000000),1000000000))+ROW()/100000,"")</f>
        <v/>
      </c>
    </row>
    <row r="1657">
      <c r="F1657" s="7">
        <f>IF($A1657="","",E1657*N1657/100)</f>
        <v/>
      </c>
      <c r="J1657" s="7" t="n"/>
      <c r="K1657" s="7">
        <f>IF($A1657="","",S1657*N1657)</f>
        <v/>
      </c>
      <c r="L1657" s="7">
        <f>IF($A1657="","",N1657-K1657)</f>
        <v/>
      </c>
      <c r="M1657" s="7">
        <f>IF($A1657="","",L1657-F1657)</f>
        <v/>
      </c>
      <c r="N1657" s="7" t="n"/>
      <c r="Q1657" s="11" t="n"/>
      <c r="S1657">
        <f>IF($A1657="","",IF($W1657=1,Settings!$C$6,Settings!$C$7)*1)</f>
        <v/>
      </c>
      <c r="U1657">
        <f>IF($A1657="","",IF(COUNTIF($A$2:$A1657,$A1657)=1,1,0))</f>
        <v/>
      </c>
      <c r="V1657">
        <f>IF($U1657=1,SUMPRODUCT(--($X$2:$X$3001&lt;$X1657))+1,"")</f>
        <v/>
      </c>
      <c r="W1657">
        <f>IF($A1657="","",IF(OR($T1657=TRUE(),$T1657="TRUE"),1,0))</f>
        <v/>
      </c>
      <c r="X1657">
        <f>IF($U1657=1,IFERROR(IF(VALUE($A1657)&lt;100000000,VALUE($A1657),1000000000),IFERROR(IF(VALUE(MID($A1657,2,20))&lt;100000000,VALUE(MID($A1657,2,20)),1000000000),1000000000))+ROW()/100000,"")</f>
        <v/>
      </c>
    </row>
    <row r="1658">
      <c r="F1658" s="7">
        <f>IF($A1658="","",E1658*N1658/100)</f>
        <v/>
      </c>
      <c r="J1658" s="7" t="n"/>
      <c r="K1658" s="7">
        <f>IF($A1658="","",S1658*N1658)</f>
        <v/>
      </c>
      <c r="L1658" s="7">
        <f>IF($A1658="","",N1658-K1658)</f>
        <v/>
      </c>
      <c r="M1658" s="7">
        <f>IF($A1658="","",L1658-F1658)</f>
        <v/>
      </c>
      <c r="N1658" s="7" t="n"/>
      <c r="Q1658" s="11" t="n"/>
      <c r="S1658">
        <f>IF($A1658="","",IF($W1658=1,Settings!$C$6,Settings!$C$7)*1)</f>
        <v/>
      </c>
      <c r="U1658">
        <f>IF($A1658="","",IF(COUNTIF($A$2:$A1658,$A1658)=1,1,0))</f>
        <v/>
      </c>
      <c r="V1658">
        <f>IF($U1658=1,SUMPRODUCT(--($X$2:$X$3001&lt;$X1658))+1,"")</f>
        <v/>
      </c>
      <c r="W1658">
        <f>IF($A1658="","",IF(OR($T1658=TRUE(),$T1658="TRUE"),1,0))</f>
        <v/>
      </c>
      <c r="X1658">
        <f>IF($U1658=1,IFERROR(IF(VALUE($A1658)&lt;100000000,VALUE($A1658),1000000000),IFERROR(IF(VALUE(MID($A1658,2,20))&lt;100000000,VALUE(MID($A1658,2,20)),1000000000),1000000000))+ROW()/100000,"")</f>
        <v/>
      </c>
    </row>
    <row r="1659">
      <c r="F1659" s="7">
        <f>IF($A1659="","",E1659*N1659/100)</f>
        <v/>
      </c>
      <c r="J1659" s="7" t="n"/>
      <c r="K1659" s="7">
        <f>IF($A1659="","",S1659*N1659)</f>
        <v/>
      </c>
      <c r="L1659" s="7">
        <f>IF($A1659="","",N1659-K1659)</f>
        <v/>
      </c>
      <c r="M1659" s="7">
        <f>IF($A1659="","",L1659-F1659)</f>
        <v/>
      </c>
      <c r="N1659" s="7" t="n"/>
      <c r="Q1659" s="11" t="n"/>
      <c r="S1659">
        <f>IF($A1659="","",IF($W1659=1,Settings!$C$6,Settings!$C$7)*1)</f>
        <v/>
      </c>
      <c r="U1659">
        <f>IF($A1659="","",IF(COUNTIF($A$2:$A1659,$A1659)=1,1,0))</f>
        <v/>
      </c>
      <c r="V1659">
        <f>IF($U1659=1,SUMPRODUCT(--($X$2:$X$3001&lt;$X1659))+1,"")</f>
        <v/>
      </c>
      <c r="W1659">
        <f>IF($A1659="","",IF(OR($T1659=TRUE(),$T1659="TRUE"),1,0))</f>
        <v/>
      </c>
      <c r="X1659">
        <f>IF($U1659=1,IFERROR(IF(VALUE($A1659)&lt;100000000,VALUE($A1659),1000000000),IFERROR(IF(VALUE(MID($A1659,2,20))&lt;100000000,VALUE(MID($A1659,2,20)),1000000000),1000000000))+ROW()/100000,"")</f>
        <v/>
      </c>
    </row>
    <row r="1660">
      <c r="F1660" s="7">
        <f>IF($A1660="","",E1660*N1660/100)</f>
        <v/>
      </c>
      <c r="J1660" s="7" t="n"/>
      <c r="K1660" s="7">
        <f>IF($A1660="","",S1660*N1660)</f>
        <v/>
      </c>
      <c r="L1660" s="7">
        <f>IF($A1660="","",N1660-K1660)</f>
        <v/>
      </c>
      <c r="M1660" s="7">
        <f>IF($A1660="","",L1660-F1660)</f>
        <v/>
      </c>
      <c r="N1660" s="7" t="n"/>
      <c r="Q1660" s="11" t="n"/>
      <c r="S1660">
        <f>IF($A1660="","",IF($W1660=1,Settings!$C$6,Settings!$C$7)*1)</f>
        <v/>
      </c>
      <c r="U1660">
        <f>IF($A1660="","",IF(COUNTIF($A$2:$A1660,$A1660)=1,1,0))</f>
        <v/>
      </c>
      <c r="V1660">
        <f>IF($U1660=1,SUMPRODUCT(--($X$2:$X$3001&lt;$X1660))+1,"")</f>
        <v/>
      </c>
      <c r="W1660">
        <f>IF($A1660="","",IF(OR($T1660=TRUE(),$T1660="TRUE"),1,0))</f>
        <v/>
      </c>
      <c r="X1660">
        <f>IF($U1660=1,IFERROR(IF(VALUE($A1660)&lt;100000000,VALUE($A1660),1000000000),IFERROR(IF(VALUE(MID($A1660,2,20))&lt;100000000,VALUE(MID($A1660,2,20)),1000000000),1000000000))+ROW()/100000,"")</f>
        <v/>
      </c>
    </row>
    <row r="1661">
      <c r="F1661" s="7">
        <f>IF($A1661="","",E1661*N1661/100)</f>
        <v/>
      </c>
      <c r="J1661" s="7" t="n"/>
      <c r="K1661" s="7">
        <f>IF($A1661="","",S1661*N1661)</f>
        <v/>
      </c>
      <c r="L1661" s="7">
        <f>IF($A1661="","",N1661-K1661)</f>
        <v/>
      </c>
      <c r="M1661" s="7">
        <f>IF($A1661="","",L1661-F1661)</f>
        <v/>
      </c>
      <c r="N1661" s="7" t="n"/>
      <c r="Q1661" s="11" t="n"/>
      <c r="S1661">
        <f>IF($A1661="","",IF($W1661=1,Settings!$C$6,Settings!$C$7)*1)</f>
        <v/>
      </c>
      <c r="U1661">
        <f>IF($A1661="","",IF(COUNTIF($A$2:$A1661,$A1661)=1,1,0))</f>
        <v/>
      </c>
      <c r="V1661">
        <f>IF($U1661=1,SUMPRODUCT(--($X$2:$X$3001&lt;$X1661))+1,"")</f>
        <v/>
      </c>
      <c r="W1661">
        <f>IF($A1661="","",IF(OR($T1661=TRUE(),$T1661="TRUE"),1,0))</f>
        <v/>
      </c>
      <c r="X1661">
        <f>IF($U1661=1,IFERROR(IF(VALUE($A1661)&lt;100000000,VALUE($A1661),1000000000),IFERROR(IF(VALUE(MID($A1661,2,20))&lt;100000000,VALUE(MID($A1661,2,20)),1000000000),1000000000))+ROW()/100000,"")</f>
        <v/>
      </c>
    </row>
    <row r="1662">
      <c r="F1662" s="7">
        <f>IF($A1662="","",E1662*N1662/100)</f>
        <v/>
      </c>
      <c r="J1662" s="7" t="n"/>
      <c r="K1662" s="7">
        <f>IF($A1662="","",S1662*N1662)</f>
        <v/>
      </c>
      <c r="L1662" s="7">
        <f>IF($A1662="","",N1662-K1662)</f>
        <v/>
      </c>
      <c r="M1662" s="7">
        <f>IF($A1662="","",L1662-F1662)</f>
        <v/>
      </c>
      <c r="N1662" s="7" t="n"/>
      <c r="Q1662" s="11" t="n"/>
      <c r="S1662">
        <f>IF($A1662="","",IF($W1662=1,Settings!$C$6,Settings!$C$7)*1)</f>
        <v/>
      </c>
      <c r="U1662">
        <f>IF($A1662="","",IF(COUNTIF($A$2:$A1662,$A1662)=1,1,0))</f>
        <v/>
      </c>
      <c r="V1662">
        <f>IF($U1662=1,SUMPRODUCT(--($X$2:$X$3001&lt;$X1662))+1,"")</f>
        <v/>
      </c>
      <c r="W1662">
        <f>IF($A1662="","",IF(OR($T1662=TRUE(),$T1662="TRUE"),1,0))</f>
        <v/>
      </c>
      <c r="X1662">
        <f>IF($U1662=1,IFERROR(IF(VALUE($A1662)&lt;100000000,VALUE($A1662),1000000000),IFERROR(IF(VALUE(MID($A1662,2,20))&lt;100000000,VALUE(MID($A1662,2,20)),1000000000),1000000000))+ROW()/100000,"")</f>
        <v/>
      </c>
    </row>
    <row r="1663">
      <c r="F1663" s="7">
        <f>IF($A1663="","",E1663*N1663/100)</f>
        <v/>
      </c>
      <c r="J1663" s="7" t="n"/>
      <c r="K1663" s="7">
        <f>IF($A1663="","",S1663*N1663)</f>
        <v/>
      </c>
      <c r="L1663" s="7">
        <f>IF($A1663="","",N1663-K1663)</f>
        <v/>
      </c>
      <c r="M1663" s="7">
        <f>IF($A1663="","",L1663-F1663)</f>
        <v/>
      </c>
      <c r="N1663" s="7" t="n"/>
      <c r="Q1663" s="11" t="n"/>
      <c r="S1663">
        <f>IF($A1663="","",IF($W1663=1,Settings!$C$6,Settings!$C$7)*1)</f>
        <v/>
      </c>
      <c r="U1663">
        <f>IF($A1663="","",IF(COUNTIF($A$2:$A1663,$A1663)=1,1,0))</f>
        <v/>
      </c>
      <c r="V1663">
        <f>IF($U1663=1,SUMPRODUCT(--($X$2:$X$3001&lt;$X1663))+1,"")</f>
        <v/>
      </c>
      <c r="W1663">
        <f>IF($A1663="","",IF(OR($T1663=TRUE(),$T1663="TRUE"),1,0))</f>
        <v/>
      </c>
      <c r="X1663">
        <f>IF($U1663=1,IFERROR(IF(VALUE($A1663)&lt;100000000,VALUE($A1663),1000000000),IFERROR(IF(VALUE(MID($A1663,2,20))&lt;100000000,VALUE(MID($A1663,2,20)),1000000000),1000000000))+ROW()/100000,"")</f>
        <v/>
      </c>
    </row>
    <row r="1664">
      <c r="F1664" s="7">
        <f>IF($A1664="","",E1664*N1664/100)</f>
        <v/>
      </c>
      <c r="J1664" s="7" t="n"/>
      <c r="K1664" s="7">
        <f>IF($A1664="","",S1664*N1664)</f>
        <v/>
      </c>
      <c r="L1664" s="7">
        <f>IF($A1664="","",N1664-K1664)</f>
        <v/>
      </c>
      <c r="M1664" s="7">
        <f>IF($A1664="","",L1664-F1664)</f>
        <v/>
      </c>
      <c r="N1664" s="7" t="n"/>
      <c r="Q1664" s="11" t="n"/>
      <c r="S1664">
        <f>IF($A1664="","",IF($W1664=1,Settings!$C$6,Settings!$C$7)*1)</f>
        <v/>
      </c>
      <c r="U1664">
        <f>IF($A1664="","",IF(COUNTIF($A$2:$A1664,$A1664)=1,1,0))</f>
        <v/>
      </c>
      <c r="V1664">
        <f>IF($U1664=1,SUMPRODUCT(--($X$2:$X$3001&lt;$X1664))+1,"")</f>
        <v/>
      </c>
      <c r="W1664">
        <f>IF($A1664="","",IF(OR($T1664=TRUE(),$T1664="TRUE"),1,0))</f>
        <v/>
      </c>
      <c r="X1664">
        <f>IF($U1664=1,IFERROR(IF(VALUE($A1664)&lt;100000000,VALUE($A1664),1000000000),IFERROR(IF(VALUE(MID($A1664,2,20))&lt;100000000,VALUE(MID($A1664,2,20)),1000000000),1000000000))+ROW()/100000,"")</f>
        <v/>
      </c>
    </row>
    <row r="1665">
      <c r="F1665" s="7">
        <f>IF($A1665="","",E1665*N1665/100)</f>
        <v/>
      </c>
      <c r="J1665" s="7" t="n"/>
      <c r="K1665" s="7">
        <f>IF($A1665="","",S1665*N1665)</f>
        <v/>
      </c>
      <c r="L1665" s="7">
        <f>IF($A1665="","",N1665-K1665)</f>
        <v/>
      </c>
      <c r="M1665" s="7">
        <f>IF($A1665="","",L1665-F1665)</f>
        <v/>
      </c>
      <c r="N1665" s="7" t="n"/>
      <c r="Q1665" s="11" t="n"/>
      <c r="S1665">
        <f>IF($A1665="","",IF($W1665=1,Settings!$C$6,Settings!$C$7)*1)</f>
        <v/>
      </c>
      <c r="U1665">
        <f>IF($A1665="","",IF(COUNTIF($A$2:$A1665,$A1665)=1,1,0))</f>
        <v/>
      </c>
      <c r="V1665">
        <f>IF($U1665=1,SUMPRODUCT(--($X$2:$X$3001&lt;$X1665))+1,"")</f>
        <v/>
      </c>
      <c r="W1665">
        <f>IF($A1665="","",IF(OR($T1665=TRUE(),$T1665="TRUE"),1,0))</f>
        <v/>
      </c>
      <c r="X1665">
        <f>IF($U1665=1,IFERROR(IF(VALUE($A1665)&lt;100000000,VALUE($A1665),1000000000),IFERROR(IF(VALUE(MID($A1665,2,20))&lt;100000000,VALUE(MID($A1665,2,20)),1000000000),1000000000))+ROW()/100000,"")</f>
        <v/>
      </c>
    </row>
    <row r="1666">
      <c r="F1666" s="7">
        <f>IF($A1666="","",E1666*N1666/100)</f>
        <v/>
      </c>
      <c r="J1666" s="7" t="n"/>
      <c r="K1666" s="7">
        <f>IF($A1666="","",S1666*N1666)</f>
        <v/>
      </c>
      <c r="L1666" s="7">
        <f>IF($A1666="","",N1666-K1666)</f>
        <v/>
      </c>
      <c r="M1666" s="7">
        <f>IF($A1666="","",L1666-F1666)</f>
        <v/>
      </c>
      <c r="N1666" s="7" t="n"/>
      <c r="Q1666" s="11" t="n"/>
      <c r="S1666">
        <f>IF($A1666="","",IF($W1666=1,Settings!$C$6,Settings!$C$7)*1)</f>
        <v/>
      </c>
      <c r="U1666">
        <f>IF($A1666="","",IF(COUNTIF($A$2:$A1666,$A1666)=1,1,0))</f>
        <v/>
      </c>
      <c r="V1666">
        <f>IF($U1666=1,SUMPRODUCT(--($X$2:$X$3001&lt;$X1666))+1,"")</f>
        <v/>
      </c>
      <c r="W1666">
        <f>IF($A1666="","",IF(OR($T1666=TRUE(),$T1666="TRUE"),1,0))</f>
        <v/>
      </c>
      <c r="X1666">
        <f>IF($U1666=1,IFERROR(IF(VALUE($A1666)&lt;100000000,VALUE($A1666),1000000000),IFERROR(IF(VALUE(MID($A1666,2,20))&lt;100000000,VALUE(MID($A1666,2,20)),1000000000),1000000000))+ROW()/100000,"")</f>
        <v/>
      </c>
    </row>
    <row r="1667">
      <c r="F1667" s="7">
        <f>IF($A1667="","",E1667*N1667/100)</f>
        <v/>
      </c>
      <c r="J1667" s="7" t="n"/>
      <c r="K1667" s="7">
        <f>IF($A1667="","",S1667*N1667)</f>
        <v/>
      </c>
      <c r="L1667" s="7">
        <f>IF($A1667="","",N1667-K1667)</f>
        <v/>
      </c>
      <c r="M1667" s="7">
        <f>IF($A1667="","",L1667-F1667)</f>
        <v/>
      </c>
      <c r="N1667" s="7" t="n"/>
      <c r="Q1667" s="11" t="n"/>
      <c r="S1667">
        <f>IF($A1667="","",IF($W1667=1,Settings!$C$6,Settings!$C$7)*1)</f>
        <v/>
      </c>
      <c r="U1667">
        <f>IF($A1667="","",IF(COUNTIF($A$2:$A1667,$A1667)=1,1,0))</f>
        <v/>
      </c>
      <c r="V1667">
        <f>IF($U1667=1,SUMPRODUCT(--($X$2:$X$3001&lt;$X1667))+1,"")</f>
        <v/>
      </c>
      <c r="W1667">
        <f>IF($A1667="","",IF(OR($T1667=TRUE(),$T1667="TRUE"),1,0))</f>
        <v/>
      </c>
      <c r="X1667">
        <f>IF($U1667=1,IFERROR(IF(VALUE($A1667)&lt;100000000,VALUE($A1667),1000000000),IFERROR(IF(VALUE(MID($A1667,2,20))&lt;100000000,VALUE(MID($A1667,2,20)),1000000000),1000000000))+ROW()/100000,"")</f>
        <v/>
      </c>
    </row>
    <row r="1668">
      <c r="F1668" s="7">
        <f>IF($A1668="","",E1668*N1668/100)</f>
        <v/>
      </c>
      <c r="J1668" s="7" t="n"/>
      <c r="K1668" s="7">
        <f>IF($A1668="","",S1668*N1668)</f>
        <v/>
      </c>
      <c r="L1668" s="7">
        <f>IF($A1668="","",N1668-K1668)</f>
        <v/>
      </c>
      <c r="M1668" s="7">
        <f>IF($A1668="","",L1668-F1668)</f>
        <v/>
      </c>
      <c r="N1668" s="7" t="n"/>
      <c r="Q1668" s="11" t="n"/>
      <c r="S1668">
        <f>IF($A1668="","",IF($W1668=1,Settings!$C$6,Settings!$C$7)*1)</f>
        <v/>
      </c>
      <c r="U1668">
        <f>IF($A1668="","",IF(COUNTIF($A$2:$A1668,$A1668)=1,1,0))</f>
        <v/>
      </c>
      <c r="V1668">
        <f>IF($U1668=1,SUMPRODUCT(--($X$2:$X$3001&lt;$X1668))+1,"")</f>
        <v/>
      </c>
      <c r="W1668">
        <f>IF($A1668="","",IF(OR($T1668=TRUE(),$T1668="TRUE"),1,0))</f>
        <v/>
      </c>
      <c r="X1668">
        <f>IF($U1668=1,IFERROR(IF(VALUE($A1668)&lt;100000000,VALUE($A1668),1000000000),IFERROR(IF(VALUE(MID($A1668,2,20))&lt;100000000,VALUE(MID($A1668,2,20)),1000000000),1000000000))+ROW()/100000,"")</f>
        <v/>
      </c>
    </row>
    <row r="1669">
      <c r="F1669" s="7">
        <f>IF($A1669="","",E1669*N1669/100)</f>
        <v/>
      </c>
      <c r="J1669" s="7" t="n"/>
      <c r="K1669" s="7">
        <f>IF($A1669="","",S1669*N1669)</f>
        <v/>
      </c>
      <c r="L1669" s="7">
        <f>IF($A1669="","",N1669-K1669)</f>
        <v/>
      </c>
      <c r="M1669" s="7">
        <f>IF($A1669="","",L1669-F1669)</f>
        <v/>
      </c>
      <c r="N1669" s="7" t="n"/>
      <c r="Q1669" s="11" t="n"/>
      <c r="S1669">
        <f>IF($A1669="","",IF($W1669=1,Settings!$C$6,Settings!$C$7)*1)</f>
        <v/>
      </c>
      <c r="U1669">
        <f>IF($A1669="","",IF(COUNTIF($A$2:$A1669,$A1669)=1,1,0))</f>
        <v/>
      </c>
      <c r="V1669">
        <f>IF($U1669=1,SUMPRODUCT(--($X$2:$X$3001&lt;$X1669))+1,"")</f>
        <v/>
      </c>
      <c r="W1669">
        <f>IF($A1669="","",IF(OR($T1669=TRUE(),$T1669="TRUE"),1,0))</f>
        <v/>
      </c>
      <c r="X1669">
        <f>IF($U1669=1,IFERROR(IF(VALUE($A1669)&lt;100000000,VALUE($A1669),1000000000),IFERROR(IF(VALUE(MID($A1669,2,20))&lt;100000000,VALUE(MID($A1669,2,20)),1000000000),1000000000))+ROW()/100000,"")</f>
        <v/>
      </c>
    </row>
    <row r="1670">
      <c r="F1670" s="7">
        <f>IF($A1670="","",E1670*N1670/100)</f>
        <v/>
      </c>
      <c r="J1670" s="7" t="n"/>
      <c r="K1670" s="7">
        <f>IF($A1670="","",S1670*N1670)</f>
        <v/>
      </c>
      <c r="L1670" s="7">
        <f>IF($A1670="","",N1670-K1670)</f>
        <v/>
      </c>
      <c r="M1670" s="7">
        <f>IF($A1670="","",L1670-F1670)</f>
        <v/>
      </c>
      <c r="N1670" s="7" t="n"/>
      <c r="Q1670" s="11" t="n"/>
      <c r="S1670">
        <f>IF($A1670="","",IF($W1670=1,Settings!$C$6,Settings!$C$7)*1)</f>
        <v/>
      </c>
      <c r="U1670">
        <f>IF($A1670="","",IF(COUNTIF($A$2:$A1670,$A1670)=1,1,0))</f>
        <v/>
      </c>
      <c r="V1670">
        <f>IF($U1670=1,SUMPRODUCT(--($X$2:$X$3001&lt;$X1670))+1,"")</f>
        <v/>
      </c>
      <c r="W1670">
        <f>IF($A1670="","",IF(OR($T1670=TRUE(),$T1670="TRUE"),1,0))</f>
        <v/>
      </c>
      <c r="X1670">
        <f>IF($U1670=1,IFERROR(IF(VALUE($A1670)&lt;100000000,VALUE($A1670),1000000000),IFERROR(IF(VALUE(MID($A1670,2,20))&lt;100000000,VALUE(MID($A1670,2,20)),1000000000),1000000000))+ROW()/100000,"")</f>
        <v/>
      </c>
    </row>
    <row r="1671">
      <c r="F1671" s="7">
        <f>IF($A1671="","",E1671*N1671/100)</f>
        <v/>
      </c>
      <c r="J1671" s="7" t="n"/>
      <c r="K1671" s="7">
        <f>IF($A1671="","",S1671*N1671)</f>
        <v/>
      </c>
      <c r="L1671" s="7">
        <f>IF($A1671="","",N1671-K1671)</f>
        <v/>
      </c>
      <c r="M1671" s="7">
        <f>IF($A1671="","",L1671-F1671)</f>
        <v/>
      </c>
      <c r="N1671" s="7" t="n"/>
      <c r="Q1671" s="11" t="n"/>
      <c r="S1671">
        <f>IF($A1671="","",IF($W1671=1,Settings!$C$6,Settings!$C$7)*1)</f>
        <v/>
      </c>
      <c r="U1671">
        <f>IF($A1671="","",IF(COUNTIF($A$2:$A1671,$A1671)=1,1,0))</f>
        <v/>
      </c>
      <c r="V1671">
        <f>IF($U1671=1,SUMPRODUCT(--($X$2:$X$3001&lt;$X1671))+1,"")</f>
        <v/>
      </c>
      <c r="W1671">
        <f>IF($A1671="","",IF(OR($T1671=TRUE(),$T1671="TRUE"),1,0))</f>
        <v/>
      </c>
      <c r="X1671">
        <f>IF($U1671=1,IFERROR(IF(VALUE($A1671)&lt;100000000,VALUE($A1671),1000000000),IFERROR(IF(VALUE(MID($A1671,2,20))&lt;100000000,VALUE(MID($A1671,2,20)),1000000000),1000000000))+ROW()/100000,"")</f>
        <v/>
      </c>
    </row>
    <row r="1672">
      <c r="F1672" s="7">
        <f>IF($A1672="","",E1672*N1672/100)</f>
        <v/>
      </c>
      <c r="J1672" s="7" t="n"/>
      <c r="K1672" s="7">
        <f>IF($A1672="","",S1672*N1672)</f>
        <v/>
      </c>
      <c r="L1672" s="7">
        <f>IF($A1672="","",N1672-K1672)</f>
        <v/>
      </c>
      <c r="M1672" s="7">
        <f>IF($A1672="","",L1672-F1672)</f>
        <v/>
      </c>
      <c r="N1672" s="7" t="n"/>
      <c r="Q1672" s="11" t="n"/>
      <c r="S1672">
        <f>IF($A1672="","",IF($W1672=1,Settings!$C$6,Settings!$C$7)*1)</f>
        <v/>
      </c>
      <c r="U1672">
        <f>IF($A1672="","",IF(COUNTIF($A$2:$A1672,$A1672)=1,1,0))</f>
        <v/>
      </c>
      <c r="V1672">
        <f>IF($U1672=1,SUMPRODUCT(--($X$2:$X$3001&lt;$X1672))+1,"")</f>
        <v/>
      </c>
      <c r="W1672">
        <f>IF($A1672="","",IF(OR($T1672=TRUE(),$T1672="TRUE"),1,0))</f>
        <v/>
      </c>
      <c r="X1672">
        <f>IF($U1672=1,IFERROR(IF(VALUE($A1672)&lt;100000000,VALUE($A1672),1000000000),IFERROR(IF(VALUE(MID($A1672,2,20))&lt;100000000,VALUE(MID($A1672,2,20)),1000000000),1000000000))+ROW()/100000,"")</f>
        <v/>
      </c>
    </row>
    <row r="1673">
      <c r="F1673" s="7">
        <f>IF($A1673="","",E1673*N1673/100)</f>
        <v/>
      </c>
      <c r="J1673" s="7" t="n"/>
      <c r="K1673" s="7">
        <f>IF($A1673="","",S1673*N1673)</f>
        <v/>
      </c>
      <c r="L1673" s="7">
        <f>IF($A1673="","",N1673-K1673)</f>
        <v/>
      </c>
      <c r="M1673" s="7">
        <f>IF($A1673="","",L1673-F1673)</f>
        <v/>
      </c>
      <c r="N1673" s="7" t="n"/>
      <c r="Q1673" s="11" t="n"/>
      <c r="S1673">
        <f>IF($A1673="","",IF($W1673=1,Settings!$C$6,Settings!$C$7)*1)</f>
        <v/>
      </c>
      <c r="U1673">
        <f>IF($A1673="","",IF(COUNTIF($A$2:$A1673,$A1673)=1,1,0))</f>
        <v/>
      </c>
      <c r="V1673">
        <f>IF($U1673=1,SUMPRODUCT(--($X$2:$X$3001&lt;$X1673))+1,"")</f>
        <v/>
      </c>
      <c r="W1673">
        <f>IF($A1673="","",IF(OR($T1673=TRUE(),$T1673="TRUE"),1,0))</f>
        <v/>
      </c>
      <c r="X1673">
        <f>IF($U1673=1,IFERROR(IF(VALUE($A1673)&lt;100000000,VALUE($A1673),1000000000),IFERROR(IF(VALUE(MID($A1673,2,20))&lt;100000000,VALUE(MID($A1673,2,20)),1000000000),1000000000))+ROW()/100000,"")</f>
        <v/>
      </c>
    </row>
    <row r="1674">
      <c r="F1674" s="7">
        <f>IF($A1674="","",E1674*N1674/100)</f>
        <v/>
      </c>
      <c r="J1674" s="7" t="n"/>
      <c r="K1674" s="7">
        <f>IF($A1674="","",S1674*N1674)</f>
        <v/>
      </c>
      <c r="L1674" s="7">
        <f>IF($A1674="","",N1674-K1674)</f>
        <v/>
      </c>
      <c r="M1674" s="7">
        <f>IF($A1674="","",L1674-F1674)</f>
        <v/>
      </c>
      <c r="N1674" s="7" t="n"/>
      <c r="Q1674" s="11" t="n"/>
      <c r="S1674">
        <f>IF($A1674="","",IF($W1674=1,Settings!$C$6,Settings!$C$7)*1)</f>
        <v/>
      </c>
      <c r="U1674">
        <f>IF($A1674="","",IF(COUNTIF($A$2:$A1674,$A1674)=1,1,0))</f>
        <v/>
      </c>
      <c r="V1674">
        <f>IF($U1674=1,SUMPRODUCT(--($X$2:$X$3001&lt;$X1674))+1,"")</f>
        <v/>
      </c>
      <c r="W1674">
        <f>IF($A1674="","",IF(OR($T1674=TRUE(),$T1674="TRUE"),1,0))</f>
        <v/>
      </c>
      <c r="X1674">
        <f>IF($U1674=1,IFERROR(IF(VALUE($A1674)&lt;100000000,VALUE($A1674),1000000000),IFERROR(IF(VALUE(MID($A1674,2,20))&lt;100000000,VALUE(MID($A1674,2,20)),1000000000),1000000000))+ROW()/100000,"")</f>
        <v/>
      </c>
    </row>
    <row r="1675">
      <c r="F1675" s="7">
        <f>IF($A1675="","",E1675*N1675/100)</f>
        <v/>
      </c>
      <c r="J1675" s="7" t="n"/>
      <c r="K1675" s="7">
        <f>IF($A1675="","",S1675*N1675)</f>
        <v/>
      </c>
      <c r="L1675" s="7">
        <f>IF($A1675="","",N1675-K1675)</f>
        <v/>
      </c>
      <c r="M1675" s="7">
        <f>IF($A1675="","",L1675-F1675)</f>
        <v/>
      </c>
      <c r="N1675" s="7" t="n"/>
      <c r="Q1675" s="11" t="n"/>
      <c r="S1675">
        <f>IF($A1675="","",IF($W1675=1,Settings!$C$6,Settings!$C$7)*1)</f>
        <v/>
      </c>
      <c r="U1675">
        <f>IF($A1675="","",IF(COUNTIF($A$2:$A1675,$A1675)=1,1,0))</f>
        <v/>
      </c>
      <c r="V1675">
        <f>IF($U1675=1,SUMPRODUCT(--($X$2:$X$3001&lt;$X1675))+1,"")</f>
        <v/>
      </c>
      <c r="W1675">
        <f>IF($A1675="","",IF(OR($T1675=TRUE(),$T1675="TRUE"),1,0))</f>
        <v/>
      </c>
      <c r="X1675">
        <f>IF($U1675=1,IFERROR(IF(VALUE($A1675)&lt;100000000,VALUE($A1675),1000000000),IFERROR(IF(VALUE(MID($A1675,2,20))&lt;100000000,VALUE(MID($A1675,2,20)),1000000000),1000000000))+ROW()/100000,"")</f>
        <v/>
      </c>
    </row>
    <row r="1676">
      <c r="F1676" s="7">
        <f>IF($A1676="","",E1676*N1676/100)</f>
        <v/>
      </c>
      <c r="J1676" s="7" t="n"/>
      <c r="K1676" s="7">
        <f>IF($A1676="","",S1676*N1676)</f>
        <v/>
      </c>
      <c r="L1676" s="7">
        <f>IF($A1676="","",N1676-K1676)</f>
        <v/>
      </c>
      <c r="M1676" s="7">
        <f>IF($A1676="","",L1676-F1676)</f>
        <v/>
      </c>
      <c r="N1676" s="7" t="n"/>
      <c r="Q1676" s="11" t="n"/>
      <c r="S1676">
        <f>IF($A1676="","",IF($W1676=1,Settings!$C$6,Settings!$C$7)*1)</f>
        <v/>
      </c>
      <c r="U1676">
        <f>IF($A1676="","",IF(COUNTIF($A$2:$A1676,$A1676)=1,1,0))</f>
        <v/>
      </c>
      <c r="V1676">
        <f>IF($U1676=1,SUMPRODUCT(--($X$2:$X$3001&lt;$X1676))+1,"")</f>
        <v/>
      </c>
      <c r="W1676">
        <f>IF($A1676="","",IF(OR($T1676=TRUE(),$T1676="TRUE"),1,0))</f>
        <v/>
      </c>
      <c r="X1676">
        <f>IF($U1676=1,IFERROR(IF(VALUE($A1676)&lt;100000000,VALUE($A1676),1000000000),IFERROR(IF(VALUE(MID($A1676,2,20))&lt;100000000,VALUE(MID($A1676,2,20)),1000000000),1000000000))+ROW()/100000,"")</f>
        <v/>
      </c>
    </row>
    <row r="1677">
      <c r="F1677" s="7">
        <f>IF($A1677="","",E1677*N1677/100)</f>
        <v/>
      </c>
      <c r="J1677" s="7" t="n"/>
      <c r="K1677" s="7">
        <f>IF($A1677="","",S1677*N1677)</f>
        <v/>
      </c>
      <c r="L1677" s="7">
        <f>IF($A1677="","",N1677-K1677)</f>
        <v/>
      </c>
      <c r="M1677" s="7">
        <f>IF($A1677="","",L1677-F1677)</f>
        <v/>
      </c>
      <c r="N1677" s="7" t="n"/>
      <c r="Q1677" s="11" t="n"/>
      <c r="S1677">
        <f>IF($A1677="","",IF($W1677=1,Settings!$C$6,Settings!$C$7)*1)</f>
        <v/>
      </c>
      <c r="U1677">
        <f>IF($A1677="","",IF(COUNTIF($A$2:$A1677,$A1677)=1,1,0))</f>
        <v/>
      </c>
      <c r="V1677">
        <f>IF($U1677=1,SUMPRODUCT(--($X$2:$X$3001&lt;$X1677))+1,"")</f>
        <v/>
      </c>
      <c r="W1677">
        <f>IF($A1677="","",IF(OR($T1677=TRUE(),$T1677="TRUE"),1,0))</f>
        <v/>
      </c>
      <c r="X1677">
        <f>IF($U1677=1,IFERROR(IF(VALUE($A1677)&lt;100000000,VALUE($A1677),1000000000),IFERROR(IF(VALUE(MID($A1677,2,20))&lt;100000000,VALUE(MID($A1677,2,20)),1000000000),1000000000))+ROW()/100000,"")</f>
        <v/>
      </c>
    </row>
    <row r="1678">
      <c r="F1678" s="7">
        <f>IF($A1678="","",E1678*N1678/100)</f>
        <v/>
      </c>
      <c r="J1678" s="7" t="n"/>
      <c r="K1678" s="7">
        <f>IF($A1678="","",S1678*N1678)</f>
        <v/>
      </c>
      <c r="L1678" s="7">
        <f>IF($A1678="","",N1678-K1678)</f>
        <v/>
      </c>
      <c r="M1678" s="7">
        <f>IF($A1678="","",L1678-F1678)</f>
        <v/>
      </c>
      <c r="N1678" s="7" t="n"/>
      <c r="Q1678" s="11" t="n"/>
      <c r="S1678">
        <f>IF($A1678="","",IF($W1678=1,Settings!$C$6,Settings!$C$7)*1)</f>
        <v/>
      </c>
      <c r="U1678">
        <f>IF($A1678="","",IF(COUNTIF($A$2:$A1678,$A1678)=1,1,0))</f>
        <v/>
      </c>
      <c r="V1678">
        <f>IF($U1678=1,SUMPRODUCT(--($X$2:$X$3001&lt;$X1678))+1,"")</f>
        <v/>
      </c>
      <c r="W1678">
        <f>IF($A1678="","",IF(OR($T1678=TRUE(),$T1678="TRUE"),1,0))</f>
        <v/>
      </c>
      <c r="X1678">
        <f>IF($U1678=1,IFERROR(IF(VALUE($A1678)&lt;100000000,VALUE($A1678),1000000000),IFERROR(IF(VALUE(MID($A1678,2,20))&lt;100000000,VALUE(MID($A1678,2,20)),1000000000),1000000000))+ROW()/100000,"")</f>
        <v/>
      </c>
    </row>
    <row r="1679">
      <c r="F1679" s="7">
        <f>IF($A1679="","",E1679*N1679/100)</f>
        <v/>
      </c>
      <c r="J1679" s="7" t="n"/>
      <c r="K1679" s="7">
        <f>IF($A1679="","",S1679*N1679)</f>
        <v/>
      </c>
      <c r="L1679" s="7">
        <f>IF($A1679="","",N1679-K1679)</f>
        <v/>
      </c>
      <c r="M1679" s="7">
        <f>IF($A1679="","",L1679-F1679)</f>
        <v/>
      </c>
      <c r="N1679" s="7" t="n"/>
      <c r="Q1679" s="11" t="n"/>
      <c r="S1679">
        <f>IF($A1679="","",IF($W1679=1,Settings!$C$6,Settings!$C$7)*1)</f>
        <v/>
      </c>
      <c r="U1679">
        <f>IF($A1679="","",IF(COUNTIF($A$2:$A1679,$A1679)=1,1,0))</f>
        <v/>
      </c>
      <c r="V1679">
        <f>IF($U1679=1,SUMPRODUCT(--($X$2:$X$3001&lt;$X1679))+1,"")</f>
        <v/>
      </c>
      <c r="W1679">
        <f>IF($A1679="","",IF(OR($T1679=TRUE(),$T1679="TRUE"),1,0))</f>
        <v/>
      </c>
      <c r="X1679">
        <f>IF($U1679=1,IFERROR(IF(VALUE($A1679)&lt;100000000,VALUE($A1679),1000000000),IFERROR(IF(VALUE(MID($A1679,2,20))&lt;100000000,VALUE(MID($A1679,2,20)),1000000000),1000000000))+ROW()/100000,"")</f>
        <v/>
      </c>
    </row>
    <row r="1680">
      <c r="F1680" s="7">
        <f>IF($A1680="","",E1680*N1680/100)</f>
        <v/>
      </c>
      <c r="J1680" s="7" t="n"/>
      <c r="K1680" s="7">
        <f>IF($A1680="","",S1680*N1680)</f>
        <v/>
      </c>
      <c r="L1680" s="7">
        <f>IF($A1680="","",N1680-K1680)</f>
        <v/>
      </c>
      <c r="M1680" s="7">
        <f>IF($A1680="","",L1680-F1680)</f>
        <v/>
      </c>
      <c r="N1680" s="7" t="n"/>
      <c r="Q1680" s="11" t="n"/>
      <c r="S1680">
        <f>IF($A1680="","",IF($W1680=1,Settings!$C$6,Settings!$C$7)*1)</f>
        <v/>
      </c>
      <c r="U1680">
        <f>IF($A1680="","",IF(COUNTIF($A$2:$A1680,$A1680)=1,1,0))</f>
        <v/>
      </c>
      <c r="V1680">
        <f>IF($U1680=1,SUMPRODUCT(--($X$2:$X$3001&lt;$X1680))+1,"")</f>
        <v/>
      </c>
      <c r="W1680">
        <f>IF($A1680="","",IF(OR($T1680=TRUE(),$T1680="TRUE"),1,0))</f>
        <v/>
      </c>
      <c r="X1680">
        <f>IF($U1680=1,IFERROR(IF(VALUE($A1680)&lt;100000000,VALUE($A1680),1000000000),IFERROR(IF(VALUE(MID($A1680,2,20))&lt;100000000,VALUE(MID($A1680,2,20)),1000000000),1000000000))+ROW()/100000,"")</f>
        <v/>
      </c>
    </row>
    <row r="1681">
      <c r="F1681" s="7">
        <f>IF($A1681="","",E1681*N1681/100)</f>
        <v/>
      </c>
      <c r="J1681" s="7" t="n"/>
      <c r="K1681" s="7">
        <f>IF($A1681="","",S1681*N1681)</f>
        <v/>
      </c>
      <c r="L1681" s="7">
        <f>IF($A1681="","",N1681-K1681)</f>
        <v/>
      </c>
      <c r="M1681" s="7">
        <f>IF($A1681="","",L1681-F1681)</f>
        <v/>
      </c>
      <c r="N1681" s="7" t="n"/>
      <c r="Q1681" s="11" t="n"/>
      <c r="S1681">
        <f>IF($A1681="","",IF($W1681=1,Settings!$C$6,Settings!$C$7)*1)</f>
        <v/>
      </c>
      <c r="U1681">
        <f>IF($A1681="","",IF(COUNTIF($A$2:$A1681,$A1681)=1,1,0))</f>
        <v/>
      </c>
      <c r="V1681">
        <f>IF($U1681=1,SUMPRODUCT(--($X$2:$X$3001&lt;$X1681))+1,"")</f>
        <v/>
      </c>
      <c r="W1681">
        <f>IF($A1681="","",IF(OR($T1681=TRUE(),$T1681="TRUE"),1,0))</f>
        <v/>
      </c>
      <c r="X1681">
        <f>IF($U1681=1,IFERROR(IF(VALUE($A1681)&lt;100000000,VALUE($A1681),1000000000),IFERROR(IF(VALUE(MID($A1681,2,20))&lt;100000000,VALUE(MID($A1681,2,20)),1000000000),1000000000))+ROW()/100000,"")</f>
        <v/>
      </c>
    </row>
    <row r="1682">
      <c r="F1682" s="7">
        <f>IF($A1682="","",E1682*N1682/100)</f>
        <v/>
      </c>
      <c r="J1682" s="7" t="n"/>
      <c r="K1682" s="7">
        <f>IF($A1682="","",S1682*N1682)</f>
        <v/>
      </c>
      <c r="L1682" s="7">
        <f>IF($A1682="","",N1682-K1682)</f>
        <v/>
      </c>
      <c r="M1682" s="7">
        <f>IF($A1682="","",L1682-F1682)</f>
        <v/>
      </c>
      <c r="N1682" s="7" t="n"/>
      <c r="Q1682" s="11" t="n"/>
      <c r="S1682">
        <f>IF($A1682="","",IF($W1682=1,Settings!$C$6,Settings!$C$7)*1)</f>
        <v/>
      </c>
      <c r="U1682">
        <f>IF($A1682="","",IF(COUNTIF($A$2:$A1682,$A1682)=1,1,0))</f>
        <v/>
      </c>
      <c r="V1682">
        <f>IF($U1682=1,SUMPRODUCT(--($X$2:$X$3001&lt;$X1682))+1,"")</f>
        <v/>
      </c>
      <c r="W1682">
        <f>IF($A1682="","",IF(OR($T1682=TRUE(),$T1682="TRUE"),1,0))</f>
        <v/>
      </c>
      <c r="X1682">
        <f>IF($U1682=1,IFERROR(IF(VALUE($A1682)&lt;100000000,VALUE($A1682),1000000000),IFERROR(IF(VALUE(MID($A1682,2,20))&lt;100000000,VALUE(MID($A1682,2,20)),1000000000),1000000000))+ROW()/100000,"")</f>
        <v/>
      </c>
    </row>
    <row r="1683">
      <c r="F1683" s="7">
        <f>IF($A1683="","",E1683*N1683/100)</f>
        <v/>
      </c>
      <c r="J1683" s="7" t="n"/>
      <c r="K1683" s="7">
        <f>IF($A1683="","",S1683*N1683)</f>
        <v/>
      </c>
      <c r="L1683" s="7">
        <f>IF($A1683="","",N1683-K1683)</f>
        <v/>
      </c>
      <c r="M1683" s="7">
        <f>IF($A1683="","",L1683-F1683)</f>
        <v/>
      </c>
      <c r="N1683" s="7" t="n"/>
      <c r="Q1683" s="11" t="n"/>
      <c r="S1683">
        <f>IF($A1683="","",IF($W1683=1,Settings!$C$6,Settings!$C$7)*1)</f>
        <v/>
      </c>
      <c r="U1683">
        <f>IF($A1683="","",IF(COUNTIF($A$2:$A1683,$A1683)=1,1,0))</f>
        <v/>
      </c>
      <c r="V1683">
        <f>IF($U1683=1,SUMPRODUCT(--($X$2:$X$3001&lt;$X1683))+1,"")</f>
        <v/>
      </c>
      <c r="W1683">
        <f>IF($A1683="","",IF(OR($T1683=TRUE(),$T1683="TRUE"),1,0))</f>
        <v/>
      </c>
      <c r="X1683">
        <f>IF($U1683=1,IFERROR(IF(VALUE($A1683)&lt;100000000,VALUE($A1683),1000000000),IFERROR(IF(VALUE(MID($A1683,2,20))&lt;100000000,VALUE(MID($A1683,2,20)),1000000000),1000000000))+ROW()/100000,"")</f>
        <v/>
      </c>
    </row>
    <row r="1684">
      <c r="F1684" s="7">
        <f>IF($A1684="","",E1684*N1684/100)</f>
        <v/>
      </c>
      <c r="J1684" s="7" t="n"/>
      <c r="K1684" s="7">
        <f>IF($A1684="","",S1684*N1684)</f>
        <v/>
      </c>
      <c r="L1684" s="7">
        <f>IF($A1684="","",N1684-K1684)</f>
        <v/>
      </c>
      <c r="M1684" s="7">
        <f>IF($A1684="","",L1684-F1684)</f>
        <v/>
      </c>
      <c r="N1684" s="7" t="n"/>
      <c r="Q1684" s="11" t="n"/>
      <c r="S1684">
        <f>IF($A1684="","",IF($W1684=1,Settings!$C$6,Settings!$C$7)*1)</f>
        <v/>
      </c>
      <c r="U1684">
        <f>IF($A1684="","",IF(COUNTIF($A$2:$A1684,$A1684)=1,1,0))</f>
        <v/>
      </c>
      <c r="V1684">
        <f>IF($U1684=1,SUMPRODUCT(--($X$2:$X$3001&lt;$X1684))+1,"")</f>
        <v/>
      </c>
      <c r="W1684">
        <f>IF($A1684="","",IF(OR($T1684=TRUE(),$T1684="TRUE"),1,0))</f>
        <v/>
      </c>
      <c r="X1684">
        <f>IF($U1684=1,IFERROR(IF(VALUE($A1684)&lt;100000000,VALUE($A1684),1000000000),IFERROR(IF(VALUE(MID($A1684,2,20))&lt;100000000,VALUE(MID($A1684,2,20)),1000000000),1000000000))+ROW()/100000,"")</f>
        <v/>
      </c>
    </row>
    <row r="1685">
      <c r="F1685" s="7">
        <f>IF($A1685="","",E1685*N1685/100)</f>
        <v/>
      </c>
      <c r="J1685" s="7" t="n"/>
      <c r="K1685" s="7">
        <f>IF($A1685="","",S1685*N1685)</f>
        <v/>
      </c>
      <c r="L1685" s="7">
        <f>IF($A1685="","",N1685-K1685)</f>
        <v/>
      </c>
      <c r="M1685" s="7">
        <f>IF($A1685="","",L1685-F1685)</f>
        <v/>
      </c>
      <c r="N1685" s="7" t="n"/>
      <c r="Q1685" s="11" t="n"/>
      <c r="S1685">
        <f>IF($A1685="","",IF($W1685=1,Settings!$C$6,Settings!$C$7)*1)</f>
        <v/>
      </c>
      <c r="U1685">
        <f>IF($A1685="","",IF(COUNTIF($A$2:$A1685,$A1685)=1,1,0))</f>
        <v/>
      </c>
      <c r="V1685">
        <f>IF($U1685=1,SUMPRODUCT(--($X$2:$X$3001&lt;$X1685))+1,"")</f>
        <v/>
      </c>
      <c r="W1685">
        <f>IF($A1685="","",IF(OR($T1685=TRUE(),$T1685="TRUE"),1,0))</f>
        <v/>
      </c>
      <c r="X1685">
        <f>IF($U1685=1,IFERROR(IF(VALUE($A1685)&lt;100000000,VALUE($A1685),1000000000),IFERROR(IF(VALUE(MID($A1685,2,20))&lt;100000000,VALUE(MID($A1685,2,20)),1000000000),1000000000))+ROW()/100000,"")</f>
        <v/>
      </c>
    </row>
    <row r="1686">
      <c r="F1686" s="7">
        <f>IF($A1686="","",E1686*N1686/100)</f>
        <v/>
      </c>
      <c r="J1686" s="7" t="n"/>
      <c r="K1686" s="7">
        <f>IF($A1686="","",S1686*N1686)</f>
        <v/>
      </c>
      <c r="L1686" s="7">
        <f>IF($A1686="","",N1686-K1686)</f>
        <v/>
      </c>
      <c r="M1686" s="7">
        <f>IF($A1686="","",L1686-F1686)</f>
        <v/>
      </c>
      <c r="N1686" s="7" t="n"/>
      <c r="Q1686" s="11" t="n"/>
      <c r="S1686">
        <f>IF($A1686="","",IF($W1686=1,Settings!$C$6,Settings!$C$7)*1)</f>
        <v/>
      </c>
      <c r="U1686">
        <f>IF($A1686="","",IF(COUNTIF($A$2:$A1686,$A1686)=1,1,0))</f>
        <v/>
      </c>
      <c r="V1686">
        <f>IF($U1686=1,SUMPRODUCT(--($X$2:$X$3001&lt;$X1686))+1,"")</f>
        <v/>
      </c>
      <c r="W1686">
        <f>IF($A1686="","",IF(OR($T1686=TRUE(),$T1686="TRUE"),1,0))</f>
        <v/>
      </c>
      <c r="X1686">
        <f>IF($U1686=1,IFERROR(IF(VALUE($A1686)&lt;100000000,VALUE($A1686),1000000000),IFERROR(IF(VALUE(MID($A1686,2,20))&lt;100000000,VALUE(MID($A1686,2,20)),1000000000),1000000000))+ROW()/100000,"")</f>
        <v/>
      </c>
    </row>
    <row r="1687">
      <c r="F1687" s="7">
        <f>IF($A1687="","",E1687*N1687/100)</f>
        <v/>
      </c>
      <c r="J1687" s="7" t="n"/>
      <c r="K1687" s="7">
        <f>IF($A1687="","",S1687*N1687)</f>
        <v/>
      </c>
      <c r="L1687" s="7">
        <f>IF($A1687="","",N1687-K1687)</f>
        <v/>
      </c>
      <c r="M1687" s="7">
        <f>IF($A1687="","",L1687-F1687)</f>
        <v/>
      </c>
      <c r="N1687" s="7" t="n"/>
      <c r="Q1687" s="11" t="n"/>
      <c r="S1687">
        <f>IF($A1687="","",IF($W1687=1,Settings!$C$6,Settings!$C$7)*1)</f>
        <v/>
      </c>
      <c r="U1687">
        <f>IF($A1687="","",IF(COUNTIF($A$2:$A1687,$A1687)=1,1,0))</f>
        <v/>
      </c>
      <c r="V1687">
        <f>IF($U1687=1,SUMPRODUCT(--($X$2:$X$3001&lt;$X1687))+1,"")</f>
        <v/>
      </c>
      <c r="W1687">
        <f>IF($A1687="","",IF(OR($T1687=TRUE(),$T1687="TRUE"),1,0))</f>
        <v/>
      </c>
      <c r="X1687">
        <f>IF($U1687=1,IFERROR(IF(VALUE($A1687)&lt;100000000,VALUE($A1687),1000000000),IFERROR(IF(VALUE(MID($A1687,2,20))&lt;100000000,VALUE(MID($A1687,2,20)),1000000000),1000000000))+ROW()/100000,"")</f>
        <v/>
      </c>
    </row>
    <row r="1688">
      <c r="F1688" s="7">
        <f>IF($A1688="","",E1688*N1688/100)</f>
        <v/>
      </c>
      <c r="J1688" s="7" t="n"/>
      <c r="K1688" s="7">
        <f>IF($A1688="","",S1688*N1688)</f>
        <v/>
      </c>
      <c r="L1688" s="7">
        <f>IF($A1688="","",N1688-K1688)</f>
        <v/>
      </c>
      <c r="M1688" s="7">
        <f>IF($A1688="","",L1688-F1688)</f>
        <v/>
      </c>
      <c r="N1688" s="7" t="n"/>
      <c r="Q1688" s="11" t="n"/>
      <c r="S1688">
        <f>IF($A1688="","",IF($W1688=1,Settings!$C$6,Settings!$C$7)*1)</f>
        <v/>
      </c>
      <c r="U1688">
        <f>IF($A1688="","",IF(COUNTIF($A$2:$A1688,$A1688)=1,1,0))</f>
        <v/>
      </c>
      <c r="V1688">
        <f>IF($U1688=1,SUMPRODUCT(--($X$2:$X$3001&lt;$X1688))+1,"")</f>
        <v/>
      </c>
      <c r="W1688">
        <f>IF($A1688="","",IF(OR($T1688=TRUE(),$T1688="TRUE"),1,0))</f>
        <v/>
      </c>
      <c r="X1688">
        <f>IF($U1688=1,IFERROR(IF(VALUE($A1688)&lt;100000000,VALUE($A1688),1000000000),IFERROR(IF(VALUE(MID($A1688,2,20))&lt;100000000,VALUE(MID($A1688,2,20)),1000000000),1000000000))+ROW()/100000,"")</f>
        <v/>
      </c>
    </row>
    <row r="1689">
      <c r="F1689" s="7">
        <f>IF($A1689="","",E1689*N1689/100)</f>
        <v/>
      </c>
      <c r="J1689" s="7" t="n"/>
      <c r="K1689" s="7">
        <f>IF($A1689="","",S1689*N1689)</f>
        <v/>
      </c>
      <c r="L1689" s="7">
        <f>IF($A1689="","",N1689-K1689)</f>
        <v/>
      </c>
      <c r="M1689" s="7">
        <f>IF($A1689="","",L1689-F1689)</f>
        <v/>
      </c>
      <c r="N1689" s="7" t="n"/>
      <c r="Q1689" s="11" t="n"/>
      <c r="S1689">
        <f>IF($A1689="","",IF($W1689=1,Settings!$C$6,Settings!$C$7)*1)</f>
        <v/>
      </c>
      <c r="U1689">
        <f>IF($A1689="","",IF(COUNTIF($A$2:$A1689,$A1689)=1,1,0))</f>
        <v/>
      </c>
      <c r="V1689">
        <f>IF($U1689=1,SUMPRODUCT(--($X$2:$X$3001&lt;$X1689))+1,"")</f>
        <v/>
      </c>
      <c r="W1689">
        <f>IF($A1689="","",IF(OR($T1689=TRUE(),$T1689="TRUE"),1,0))</f>
        <v/>
      </c>
      <c r="X1689">
        <f>IF($U1689=1,IFERROR(IF(VALUE($A1689)&lt;100000000,VALUE($A1689),1000000000),IFERROR(IF(VALUE(MID($A1689,2,20))&lt;100000000,VALUE(MID($A1689,2,20)),1000000000),1000000000))+ROW()/100000,"")</f>
        <v/>
      </c>
    </row>
    <row r="1690">
      <c r="F1690" s="7">
        <f>IF($A1690="","",E1690*N1690/100)</f>
        <v/>
      </c>
      <c r="J1690" s="7" t="n"/>
      <c r="K1690" s="7">
        <f>IF($A1690="","",S1690*N1690)</f>
        <v/>
      </c>
      <c r="L1690" s="7">
        <f>IF($A1690="","",N1690-K1690)</f>
        <v/>
      </c>
      <c r="M1690" s="7">
        <f>IF($A1690="","",L1690-F1690)</f>
        <v/>
      </c>
      <c r="N1690" s="7" t="n"/>
      <c r="Q1690" s="11" t="n"/>
      <c r="S1690">
        <f>IF($A1690="","",IF($W1690=1,Settings!$C$6,Settings!$C$7)*1)</f>
        <v/>
      </c>
      <c r="U1690">
        <f>IF($A1690="","",IF(COUNTIF($A$2:$A1690,$A1690)=1,1,0))</f>
        <v/>
      </c>
      <c r="V1690">
        <f>IF($U1690=1,SUMPRODUCT(--($X$2:$X$3001&lt;$X1690))+1,"")</f>
        <v/>
      </c>
      <c r="W1690">
        <f>IF($A1690="","",IF(OR($T1690=TRUE(),$T1690="TRUE"),1,0))</f>
        <v/>
      </c>
      <c r="X1690">
        <f>IF($U1690=1,IFERROR(IF(VALUE($A1690)&lt;100000000,VALUE($A1690),1000000000),IFERROR(IF(VALUE(MID($A1690,2,20))&lt;100000000,VALUE(MID($A1690,2,20)),1000000000),1000000000))+ROW()/100000,"")</f>
        <v/>
      </c>
    </row>
    <row r="1691">
      <c r="F1691" s="7">
        <f>IF($A1691="","",E1691*N1691/100)</f>
        <v/>
      </c>
      <c r="J1691" s="7" t="n"/>
      <c r="K1691" s="7">
        <f>IF($A1691="","",S1691*N1691)</f>
        <v/>
      </c>
      <c r="L1691" s="7">
        <f>IF($A1691="","",N1691-K1691)</f>
        <v/>
      </c>
      <c r="M1691" s="7">
        <f>IF($A1691="","",L1691-F1691)</f>
        <v/>
      </c>
      <c r="N1691" s="7" t="n"/>
      <c r="Q1691" s="11" t="n"/>
      <c r="S1691">
        <f>IF($A1691="","",IF($W1691=1,Settings!$C$6,Settings!$C$7)*1)</f>
        <v/>
      </c>
      <c r="U1691">
        <f>IF($A1691="","",IF(COUNTIF($A$2:$A1691,$A1691)=1,1,0))</f>
        <v/>
      </c>
      <c r="V1691">
        <f>IF($U1691=1,SUMPRODUCT(--($X$2:$X$3001&lt;$X1691))+1,"")</f>
        <v/>
      </c>
      <c r="W1691">
        <f>IF($A1691="","",IF(OR($T1691=TRUE(),$T1691="TRUE"),1,0))</f>
        <v/>
      </c>
      <c r="X1691">
        <f>IF($U1691=1,IFERROR(IF(VALUE($A1691)&lt;100000000,VALUE($A1691),1000000000),IFERROR(IF(VALUE(MID($A1691,2,20))&lt;100000000,VALUE(MID($A1691,2,20)),1000000000),1000000000))+ROW()/100000,"")</f>
        <v/>
      </c>
    </row>
    <row r="1692">
      <c r="F1692" s="7">
        <f>IF($A1692="","",E1692*N1692/100)</f>
        <v/>
      </c>
      <c r="J1692" s="7" t="n"/>
      <c r="K1692" s="7">
        <f>IF($A1692="","",S1692*N1692)</f>
        <v/>
      </c>
      <c r="L1692" s="7">
        <f>IF($A1692="","",N1692-K1692)</f>
        <v/>
      </c>
      <c r="M1692" s="7">
        <f>IF($A1692="","",L1692-F1692)</f>
        <v/>
      </c>
      <c r="N1692" s="7" t="n"/>
      <c r="Q1692" s="11" t="n"/>
      <c r="S1692">
        <f>IF($A1692="","",IF($W1692=1,Settings!$C$6,Settings!$C$7)*1)</f>
        <v/>
      </c>
      <c r="U1692">
        <f>IF($A1692="","",IF(COUNTIF($A$2:$A1692,$A1692)=1,1,0))</f>
        <v/>
      </c>
      <c r="V1692">
        <f>IF($U1692=1,SUMPRODUCT(--($X$2:$X$3001&lt;$X1692))+1,"")</f>
        <v/>
      </c>
      <c r="W1692">
        <f>IF($A1692="","",IF(OR($T1692=TRUE(),$T1692="TRUE"),1,0))</f>
        <v/>
      </c>
      <c r="X1692">
        <f>IF($U1692=1,IFERROR(IF(VALUE($A1692)&lt;100000000,VALUE($A1692),1000000000),IFERROR(IF(VALUE(MID($A1692,2,20))&lt;100000000,VALUE(MID($A1692,2,20)),1000000000),1000000000))+ROW()/100000,"")</f>
        <v/>
      </c>
    </row>
    <row r="1693">
      <c r="F1693" s="7">
        <f>IF($A1693="","",E1693*N1693/100)</f>
        <v/>
      </c>
      <c r="J1693" s="7" t="n"/>
      <c r="K1693" s="7">
        <f>IF($A1693="","",S1693*N1693)</f>
        <v/>
      </c>
      <c r="L1693" s="7">
        <f>IF($A1693="","",N1693-K1693)</f>
        <v/>
      </c>
      <c r="M1693" s="7">
        <f>IF($A1693="","",L1693-F1693)</f>
        <v/>
      </c>
      <c r="N1693" s="7" t="n"/>
      <c r="Q1693" s="11" t="n"/>
      <c r="S1693">
        <f>IF($A1693="","",IF($W1693=1,Settings!$C$6,Settings!$C$7)*1)</f>
        <v/>
      </c>
      <c r="U1693">
        <f>IF($A1693="","",IF(COUNTIF($A$2:$A1693,$A1693)=1,1,0))</f>
        <v/>
      </c>
      <c r="V1693">
        <f>IF($U1693=1,SUMPRODUCT(--($X$2:$X$3001&lt;$X1693))+1,"")</f>
        <v/>
      </c>
      <c r="W1693">
        <f>IF($A1693="","",IF(OR($T1693=TRUE(),$T1693="TRUE"),1,0))</f>
        <v/>
      </c>
      <c r="X1693">
        <f>IF($U1693=1,IFERROR(IF(VALUE($A1693)&lt;100000000,VALUE($A1693),1000000000),IFERROR(IF(VALUE(MID($A1693,2,20))&lt;100000000,VALUE(MID($A1693,2,20)),1000000000),1000000000))+ROW()/100000,"")</f>
        <v/>
      </c>
    </row>
    <row r="1694">
      <c r="F1694" s="7">
        <f>IF($A1694="","",E1694*N1694/100)</f>
        <v/>
      </c>
      <c r="J1694" s="7" t="n"/>
      <c r="K1694" s="7">
        <f>IF($A1694="","",S1694*N1694)</f>
        <v/>
      </c>
      <c r="L1694" s="7">
        <f>IF($A1694="","",N1694-K1694)</f>
        <v/>
      </c>
      <c r="M1694" s="7">
        <f>IF($A1694="","",L1694-F1694)</f>
        <v/>
      </c>
      <c r="N1694" s="7" t="n"/>
      <c r="Q1694" s="11" t="n"/>
      <c r="S1694">
        <f>IF($A1694="","",IF($W1694=1,Settings!$C$6,Settings!$C$7)*1)</f>
        <v/>
      </c>
      <c r="U1694">
        <f>IF($A1694="","",IF(COUNTIF($A$2:$A1694,$A1694)=1,1,0))</f>
        <v/>
      </c>
      <c r="V1694">
        <f>IF($U1694=1,SUMPRODUCT(--($X$2:$X$3001&lt;$X1694))+1,"")</f>
        <v/>
      </c>
      <c r="W1694">
        <f>IF($A1694="","",IF(OR($T1694=TRUE(),$T1694="TRUE"),1,0))</f>
        <v/>
      </c>
      <c r="X1694">
        <f>IF($U1694=1,IFERROR(IF(VALUE($A1694)&lt;100000000,VALUE($A1694),1000000000),IFERROR(IF(VALUE(MID($A1694,2,20))&lt;100000000,VALUE(MID($A1694,2,20)),1000000000),1000000000))+ROW()/100000,"")</f>
        <v/>
      </c>
    </row>
    <row r="1695">
      <c r="F1695" s="7">
        <f>IF($A1695="","",E1695*N1695/100)</f>
        <v/>
      </c>
      <c r="J1695" s="7" t="n"/>
      <c r="K1695" s="7">
        <f>IF($A1695="","",S1695*N1695)</f>
        <v/>
      </c>
      <c r="L1695" s="7">
        <f>IF($A1695="","",N1695-K1695)</f>
        <v/>
      </c>
      <c r="M1695" s="7">
        <f>IF($A1695="","",L1695-F1695)</f>
        <v/>
      </c>
      <c r="N1695" s="7" t="n"/>
      <c r="Q1695" s="11" t="n"/>
      <c r="S1695">
        <f>IF($A1695="","",IF($W1695=1,Settings!$C$6,Settings!$C$7)*1)</f>
        <v/>
      </c>
      <c r="U1695">
        <f>IF($A1695="","",IF(COUNTIF($A$2:$A1695,$A1695)=1,1,0))</f>
        <v/>
      </c>
      <c r="V1695">
        <f>IF($U1695=1,SUMPRODUCT(--($X$2:$X$3001&lt;$X1695))+1,"")</f>
        <v/>
      </c>
      <c r="W1695">
        <f>IF($A1695="","",IF(OR($T1695=TRUE(),$T1695="TRUE"),1,0))</f>
        <v/>
      </c>
      <c r="X1695">
        <f>IF($U1695=1,IFERROR(IF(VALUE($A1695)&lt;100000000,VALUE($A1695),1000000000),IFERROR(IF(VALUE(MID($A1695,2,20))&lt;100000000,VALUE(MID($A1695,2,20)),1000000000),1000000000))+ROW()/100000,"")</f>
        <v/>
      </c>
    </row>
    <row r="1696">
      <c r="F1696" s="7">
        <f>IF($A1696="","",E1696*N1696/100)</f>
        <v/>
      </c>
      <c r="J1696" s="7" t="n"/>
      <c r="K1696" s="7">
        <f>IF($A1696="","",S1696*N1696)</f>
        <v/>
      </c>
      <c r="L1696" s="7">
        <f>IF($A1696="","",N1696-K1696)</f>
        <v/>
      </c>
      <c r="M1696" s="7">
        <f>IF($A1696="","",L1696-F1696)</f>
        <v/>
      </c>
      <c r="N1696" s="7" t="n"/>
      <c r="Q1696" s="11" t="n"/>
      <c r="S1696">
        <f>IF($A1696="","",IF($W1696=1,Settings!$C$6,Settings!$C$7)*1)</f>
        <v/>
      </c>
      <c r="U1696">
        <f>IF($A1696="","",IF(COUNTIF($A$2:$A1696,$A1696)=1,1,0))</f>
        <v/>
      </c>
      <c r="V1696">
        <f>IF($U1696=1,SUMPRODUCT(--($X$2:$X$3001&lt;$X1696))+1,"")</f>
        <v/>
      </c>
      <c r="W1696">
        <f>IF($A1696="","",IF(OR($T1696=TRUE(),$T1696="TRUE"),1,0))</f>
        <v/>
      </c>
      <c r="X1696">
        <f>IF($U1696=1,IFERROR(IF(VALUE($A1696)&lt;100000000,VALUE($A1696),1000000000),IFERROR(IF(VALUE(MID($A1696,2,20))&lt;100000000,VALUE(MID($A1696,2,20)),1000000000),1000000000))+ROW()/100000,"")</f>
        <v/>
      </c>
    </row>
    <row r="1697">
      <c r="F1697" s="7">
        <f>IF($A1697="","",E1697*N1697/100)</f>
        <v/>
      </c>
      <c r="J1697" s="7" t="n"/>
      <c r="K1697" s="7">
        <f>IF($A1697="","",S1697*N1697)</f>
        <v/>
      </c>
      <c r="L1697" s="7">
        <f>IF($A1697="","",N1697-K1697)</f>
        <v/>
      </c>
      <c r="M1697" s="7">
        <f>IF($A1697="","",L1697-F1697)</f>
        <v/>
      </c>
      <c r="N1697" s="7" t="n"/>
      <c r="Q1697" s="11" t="n"/>
      <c r="S1697">
        <f>IF($A1697="","",IF($W1697=1,Settings!$C$6,Settings!$C$7)*1)</f>
        <v/>
      </c>
      <c r="U1697">
        <f>IF($A1697="","",IF(COUNTIF($A$2:$A1697,$A1697)=1,1,0))</f>
        <v/>
      </c>
      <c r="V1697">
        <f>IF($U1697=1,SUMPRODUCT(--($X$2:$X$3001&lt;$X1697))+1,"")</f>
        <v/>
      </c>
      <c r="W1697">
        <f>IF($A1697="","",IF(OR($T1697=TRUE(),$T1697="TRUE"),1,0))</f>
        <v/>
      </c>
      <c r="X1697">
        <f>IF($U1697=1,IFERROR(IF(VALUE($A1697)&lt;100000000,VALUE($A1697),1000000000),IFERROR(IF(VALUE(MID($A1697,2,20))&lt;100000000,VALUE(MID($A1697,2,20)),1000000000),1000000000))+ROW()/100000,"")</f>
        <v/>
      </c>
    </row>
    <row r="1698">
      <c r="F1698" s="7">
        <f>IF($A1698="","",E1698*N1698/100)</f>
        <v/>
      </c>
      <c r="J1698" s="7" t="n"/>
      <c r="K1698" s="7">
        <f>IF($A1698="","",S1698*N1698)</f>
        <v/>
      </c>
      <c r="L1698" s="7">
        <f>IF($A1698="","",N1698-K1698)</f>
        <v/>
      </c>
      <c r="M1698" s="7">
        <f>IF($A1698="","",L1698-F1698)</f>
        <v/>
      </c>
      <c r="N1698" s="7" t="n"/>
      <c r="Q1698" s="11" t="n"/>
      <c r="S1698">
        <f>IF($A1698="","",IF($W1698=1,Settings!$C$6,Settings!$C$7)*1)</f>
        <v/>
      </c>
      <c r="U1698">
        <f>IF($A1698="","",IF(COUNTIF($A$2:$A1698,$A1698)=1,1,0))</f>
        <v/>
      </c>
      <c r="V1698">
        <f>IF($U1698=1,SUMPRODUCT(--($X$2:$X$3001&lt;$X1698))+1,"")</f>
        <v/>
      </c>
      <c r="W1698">
        <f>IF($A1698="","",IF(OR($T1698=TRUE(),$T1698="TRUE"),1,0))</f>
        <v/>
      </c>
      <c r="X1698">
        <f>IF($U1698=1,IFERROR(IF(VALUE($A1698)&lt;100000000,VALUE($A1698),1000000000),IFERROR(IF(VALUE(MID($A1698,2,20))&lt;100000000,VALUE(MID($A1698,2,20)),1000000000),1000000000))+ROW()/100000,"")</f>
        <v/>
      </c>
    </row>
    <row r="1699">
      <c r="F1699" s="7">
        <f>IF($A1699="","",E1699*N1699/100)</f>
        <v/>
      </c>
      <c r="J1699" s="7" t="n"/>
      <c r="K1699" s="7">
        <f>IF($A1699="","",S1699*N1699)</f>
        <v/>
      </c>
      <c r="L1699" s="7">
        <f>IF($A1699="","",N1699-K1699)</f>
        <v/>
      </c>
      <c r="M1699" s="7">
        <f>IF($A1699="","",L1699-F1699)</f>
        <v/>
      </c>
      <c r="N1699" s="7" t="n"/>
      <c r="Q1699" s="11" t="n"/>
      <c r="S1699">
        <f>IF($A1699="","",IF($W1699=1,Settings!$C$6,Settings!$C$7)*1)</f>
        <v/>
      </c>
      <c r="U1699">
        <f>IF($A1699="","",IF(COUNTIF($A$2:$A1699,$A1699)=1,1,0))</f>
        <v/>
      </c>
      <c r="V1699">
        <f>IF($U1699=1,SUMPRODUCT(--($X$2:$X$3001&lt;$X1699))+1,"")</f>
        <v/>
      </c>
      <c r="W1699">
        <f>IF($A1699="","",IF(OR($T1699=TRUE(),$T1699="TRUE"),1,0))</f>
        <v/>
      </c>
      <c r="X1699">
        <f>IF($U1699=1,IFERROR(IF(VALUE($A1699)&lt;100000000,VALUE($A1699),1000000000),IFERROR(IF(VALUE(MID($A1699,2,20))&lt;100000000,VALUE(MID($A1699,2,20)),1000000000),1000000000))+ROW()/100000,"")</f>
        <v/>
      </c>
    </row>
    <row r="1700">
      <c r="F1700" s="7">
        <f>IF($A1700="","",E1700*N1700/100)</f>
        <v/>
      </c>
      <c r="J1700" s="7" t="n"/>
      <c r="K1700" s="7">
        <f>IF($A1700="","",S1700*N1700)</f>
        <v/>
      </c>
      <c r="L1700" s="7">
        <f>IF($A1700="","",N1700-K1700)</f>
        <v/>
      </c>
      <c r="M1700" s="7">
        <f>IF($A1700="","",L1700-F1700)</f>
        <v/>
      </c>
      <c r="N1700" s="7" t="n"/>
      <c r="Q1700" s="11" t="n"/>
      <c r="S1700">
        <f>IF($A1700="","",IF($W1700=1,Settings!$C$6,Settings!$C$7)*1)</f>
        <v/>
      </c>
      <c r="U1700">
        <f>IF($A1700="","",IF(COUNTIF($A$2:$A1700,$A1700)=1,1,0))</f>
        <v/>
      </c>
      <c r="V1700">
        <f>IF($U1700=1,SUMPRODUCT(--($X$2:$X$3001&lt;$X1700))+1,"")</f>
        <v/>
      </c>
      <c r="W1700">
        <f>IF($A1700="","",IF(OR($T1700=TRUE(),$T1700="TRUE"),1,0))</f>
        <v/>
      </c>
      <c r="X1700">
        <f>IF($U1700=1,IFERROR(IF(VALUE($A1700)&lt;100000000,VALUE($A1700),1000000000),IFERROR(IF(VALUE(MID($A1700,2,20))&lt;100000000,VALUE(MID($A1700,2,20)),1000000000),1000000000))+ROW()/100000,"")</f>
        <v/>
      </c>
    </row>
    <row r="1701">
      <c r="F1701" s="7">
        <f>IF($A1701="","",E1701*N1701/100)</f>
        <v/>
      </c>
      <c r="J1701" s="7" t="n"/>
      <c r="K1701" s="7">
        <f>IF($A1701="","",S1701*N1701)</f>
        <v/>
      </c>
      <c r="L1701" s="7">
        <f>IF($A1701="","",N1701-K1701)</f>
        <v/>
      </c>
      <c r="M1701" s="7">
        <f>IF($A1701="","",L1701-F1701)</f>
        <v/>
      </c>
      <c r="N1701" s="7" t="n"/>
      <c r="Q1701" s="11" t="n"/>
      <c r="S1701">
        <f>IF($A1701="","",IF($W1701=1,Settings!$C$6,Settings!$C$7)*1)</f>
        <v/>
      </c>
      <c r="U1701">
        <f>IF($A1701="","",IF(COUNTIF($A$2:$A1701,$A1701)=1,1,0))</f>
        <v/>
      </c>
      <c r="V1701">
        <f>IF($U1701=1,SUMPRODUCT(--($X$2:$X$3001&lt;$X1701))+1,"")</f>
        <v/>
      </c>
      <c r="W1701">
        <f>IF($A1701="","",IF(OR($T1701=TRUE(),$T1701="TRUE"),1,0))</f>
        <v/>
      </c>
      <c r="X1701">
        <f>IF($U1701=1,IFERROR(IF(VALUE($A1701)&lt;100000000,VALUE($A1701),1000000000),IFERROR(IF(VALUE(MID($A1701,2,20))&lt;100000000,VALUE(MID($A1701,2,20)),1000000000),1000000000))+ROW()/100000,"")</f>
        <v/>
      </c>
    </row>
    <row r="1702">
      <c r="F1702" s="7">
        <f>IF($A1702="","",E1702*N1702/100)</f>
        <v/>
      </c>
      <c r="J1702" s="7" t="n"/>
      <c r="K1702" s="7">
        <f>IF($A1702="","",S1702*N1702)</f>
        <v/>
      </c>
      <c r="L1702" s="7">
        <f>IF($A1702="","",N1702-K1702)</f>
        <v/>
      </c>
      <c r="M1702" s="7">
        <f>IF($A1702="","",L1702-F1702)</f>
        <v/>
      </c>
      <c r="N1702" s="7" t="n"/>
      <c r="Q1702" s="11" t="n"/>
      <c r="S1702">
        <f>IF($A1702="","",IF($W1702=1,Settings!$C$6,Settings!$C$7)*1)</f>
        <v/>
      </c>
      <c r="U1702">
        <f>IF($A1702="","",IF(COUNTIF($A$2:$A1702,$A1702)=1,1,0))</f>
        <v/>
      </c>
      <c r="V1702">
        <f>IF($U1702=1,SUMPRODUCT(--($X$2:$X$3001&lt;$X1702))+1,"")</f>
        <v/>
      </c>
      <c r="W1702">
        <f>IF($A1702="","",IF(OR($T1702=TRUE(),$T1702="TRUE"),1,0))</f>
        <v/>
      </c>
      <c r="X1702">
        <f>IF($U1702=1,IFERROR(IF(VALUE($A1702)&lt;100000000,VALUE($A1702),1000000000),IFERROR(IF(VALUE(MID($A1702,2,20))&lt;100000000,VALUE(MID($A1702,2,20)),1000000000),1000000000))+ROW()/100000,"")</f>
        <v/>
      </c>
    </row>
    <row r="1703">
      <c r="F1703" s="7">
        <f>IF($A1703="","",E1703*N1703/100)</f>
        <v/>
      </c>
      <c r="J1703" s="7" t="n"/>
      <c r="K1703" s="7">
        <f>IF($A1703="","",S1703*N1703)</f>
        <v/>
      </c>
      <c r="L1703" s="7">
        <f>IF($A1703="","",N1703-K1703)</f>
        <v/>
      </c>
      <c r="M1703" s="7">
        <f>IF($A1703="","",L1703-F1703)</f>
        <v/>
      </c>
      <c r="N1703" s="7" t="n"/>
      <c r="Q1703" s="11" t="n"/>
      <c r="S1703">
        <f>IF($A1703="","",IF($W1703=1,Settings!$C$6,Settings!$C$7)*1)</f>
        <v/>
      </c>
      <c r="U1703">
        <f>IF($A1703="","",IF(COUNTIF($A$2:$A1703,$A1703)=1,1,0))</f>
        <v/>
      </c>
      <c r="V1703">
        <f>IF($U1703=1,SUMPRODUCT(--($X$2:$X$3001&lt;$X1703))+1,"")</f>
        <v/>
      </c>
      <c r="W1703">
        <f>IF($A1703="","",IF(OR($T1703=TRUE(),$T1703="TRUE"),1,0))</f>
        <v/>
      </c>
      <c r="X1703">
        <f>IF($U1703=1,IFERROR(IF(VALUE($A1703)&lt;100000000,VALUE($A1703),1000000000),IFERROR(IF(VALUE(MID($A1703,2,20))&lt;100000000,VALUE(MID($A1703,2,20)),1000000000),1000000000))+ROW()/100000,"")</f>
        <v/>
      </c>
    </row>
    <row r="1704">
      <c r="F1704" s="7">
        <f>IF($A1704="","",E1704*N1704/100)</f>
        <v/>
      </c>
      <c r="J1704" s="7" t="n"/>
      <c r="K1704" s="7">
        <f>IF($A1704="","",S1704*N1704)</f>
        <v/>
      </c>
      <c r="L1704" s="7">
        <f>IF($A1704="","",N1704-K1704)</f>
        <v/>
      </c>
      <c r="M1704" s="7">
        <f>IF($A1704="","",L1704-F1704)</f>
        <v/>
      </c>
      <c r="N1704" s="7" t="n"/>
      <c r="Q1704" s="11" t="n"/>
      <c r="S1704">
        <f>IF($A1704="","",IF($W1704=1,Settings!$C$6,Settings!$C$7)*1)</f>
        <v/>
      </c>
      <c r="U1704">
        <f>IF($A1704="","",IF(COUNTIF($A$2:$A1704,$A1704)=1,1,0))</f>
        <v/>
      </c>
      <c r="V1704">
        <f>IF($U1704=1,SUMPRODUCT(--($X$2:$X$3001&lt;$X1704))+1,"")</f>
        <v/>
      </c>
      <c r="W1704">
        <f>IF($A1704="","",IF(OR($T1704=TRUE(),$T1704="TRUE"),1,0))</f>
        <v/>
      </c>
      <c r="X1704">
        <f>IF($U1704=1,IFERROR(IF(VALUE($A1704)&lt;100000000,VALUE($A1704),1000000000),IFERROR(IF(VALUE(MID($A1704,2,20))&lt;100000000,VALUE(MID($A1704,2,20)),1000000000),1000000000))+ROW()/100000,"")</f>
        <v/>
      </c>
    </row>
    <row r="1705">
      <c r="F1705" s="7">
        <f>IF($A1705="","",E1705*N1705/100)</f>
        <v/>
      </c>
      <c r="J1705" s="7" t="n"/>
      <c r="K1705" s="7">
        <f>IF($A1705="","",S1705*N1705)</f>
        <v/>
      </c>
      <c r="L1705" s="7">
        <f>IF($A1705="","",N1705-K1705)</f>
        <v/>
      </c>
      <c r="M1705" s="7">
        <f>IF($A1705="","",L1705-F1705)</f>
        <v/>
      </c>
      <c r="N1705" s="7" t="n"/>
      <c r="Q1705" s="11" t="n"/>
      <c r="S1705">
        <f>IF($A1705="","",IF($W1705=1,Settings!$C$6,Settings!$C$7)*1)</f>
        <v/>
      </c>
      <c r="U1705">
        <f>IF($A1705="","",IF(COUNTIF($A$2:$A1705,$A1705)=1,1,0))</f>
        <v/>
      </c>
      <c r="V1705">
        <f>IF($U1705=1,SUMPRODUCT(--($X$2:$X$3001&lt;$X1705))+1,"")</f>
        <v/>
      </c>
      <c r="W1705">
        <f>IF($A1705="","",IF(OR($T1705=TRUE(),$T1705="TRUE"),1,0))</f>
        <v/>
      </c>
      <c r="X1705">
        <f>IF($U1705=1,IFERROR(IF(VALUE($A1705)&lt;100000000,VALUE($A1705),1000000000),IFERROR(IF(VALUE(MID($A1705,2,20))&lt;100000000,VALUE(MID($A1705,2,20)),1000000000),1000000000))+ROW()/100000,"")</f>
        <v/>
      </c>
    </row>
    <row r="1706">
      <c r="F1706" s="7">
        <f>IF($A1706="","",E1706*N1706/100)</f>
        <v/>
      </c>
      <c r="J1706" s="7" t="n"/>
      <c r="K1706" s="7">
        <f>IF($A1706="","",S1706*N1706)</f>
        <v/>
      </c>
      <c r="L1706" s="7">
        <f>IF($A1706="","",N1706-K1706)</f>
        <v/>
      </c>
      <c r="M1706" s="7">
        <f>IF($A1706="","",L1706-F1706)</f>
        <v/>
      </c>
      <c r="N1706" s="7" t="n"/>
      <c r="Q1706" s="11" t="n"/>
      <c r="S1706">
        <f>IF($A1706="","",IF($W1706=1,Settings!$C$6,Settings!$C$7)*1)</f>
        <v/>
      </c>
      <c r="U1706">
        <f>IF($A1706="","",IF(COUNTIF($A$2:$A1706,$A1706)=1,1,0))</f>
        <v/>
      </c>
      <c r="V1706">
        <f>IF($U1706=1,SUMPRODUCT(--($X$2:$X$3001&lt;$X1706))+1,"")</f>
        <v/>
      </c>
      <c r="W1706">
        <f>IF($A1706="","",IF(OR($T1706=TRUE(),$T1706="TRUE"),1,0))</f>
        <v/>
      </c>
      <c r="X1706">
        <f>IF($U1706=1,IFERROR(IF(VALUE($A1706)&lt;100000000,VALUE($A1706),1000000000),IFERROR(IF(VALUE(MID($A1706,2,20))&lt;100000000,VALUE(MID($A1706,2,20)),1000000000),1000000000))+ROW()/100000,"")</f>
        <v/>
      </c>
    </row>
    <row r="1707">
      <c r="F1707" s="7">
        <f>IF($A1707="","",E1707*N1707/100)</f>
        <v/>
      </c>
      <c r="J1707" s="7" t="n"/>
      <c r="K1707" s="7">
        <f>IF($A1707="","",S1707*N1707)</f>
        <v/>
      </c>
      <c r="L1707" s="7">
        <f>IF($A1707="","",N1707-K1707)</f>
        <v/>
      </c>
      <c r="M1707" s="7">
        <f>IF($A1707="","",L1707-F1707)</f>
        <v/>
      </c>
      <c r="N1707" s="7" t="n"/>
      <c r="Q1707" s="11" t="n"/>
      <c r="S1707">
        <f>IF($A1707="","",IF($W1707=1,Settings!$C$6,Settings!$C$7)*1)</f>
        <v/>
      </c>
      <c r="U1707">
        <f>IF($A1707="","",IF(COUNTIF($A$2:$A1707,$A1707)=1,1,0))</f>
        <v/>
      </c>
      <c r="V1707">
        <f>IF($U1707=1,SUMPRODUCT(--($X$2:$X$3001&lt;$X1707))+1,"")</f>
        <v/>
      </c>
      <c r="W1707">
        <f>IF($A1707="","",IF(OR($T1707=TRUE(),$T1707="TRUE"),1,0))</f>
        <v/>
      </c>
      <c r="X1707">
        <f>IF($U1707=1,IFERROR(IF(VALUE($A1707)&lt;100000000,VALUE($A1707),1000000000),IFERROR(IF(VALUE(MID($A1707,2,20))&lt;100000000,VALUE(MID($A1707,2,20)),1000000000),1000000000))+ROW()/100000,"")</f>
        <v/>
      </c>
    </row>
    <row r="1708">
      <c r="F1708" s="7">
        <f>IF($A1708="","",E1708*N1708/100)</f>
        <v/>
      </c>
      <c r="J1708" s="7" t="n"/>
      <c r="K1708" s="7">
        <f>IF($A1708="","",S1708*N1708)</f>
        <v/>
      </c>
      <c r="L1708" s="7">
        <f>IF($A1708="","",N1708-K1708)</f>
        <v/>
      </c>
      <c r="M1708" s="7">
        <f>IF($A1708="","",L1708-F1708)</f>
        <v/>
      </c>
      <c r="N1708" s="7" t="n"/>
      <c r="Q1708" s="11" t="n"/>
      <c r="S1708">
        <f>IF($A1708="","",IF($W1708=1,Settings!$C$6,Settings!$C$7)*1)</f>
        <v/>
      </c>
      <c r="U1708">
        <f>IF($A1708="","",IF(COUNTIF($A$2:$A1708,$A1708)=1,1,0))</f>
        <v/>
      </c>
      <c r="V1708">
        <f>IF($U1708=1,SUMPRODUCT(--($X$2:$X$3001&lt;$X1708))+1,"")</f>
        <v/>
      </c>
      <c r="W1708">
        <f>IF($A1708="","",IF(OR($T1708=TRUE(),$T1708="TRUE"),1,0))</f>
        <v/>
      </c>
      <c r="X1708">
        <f>IF($U1708=1,IFERROR(IF(VALUE($A1708)&lt;100000000,VALUE($A1708),1000000000),IFERROR(IF(VALUE(MID($A1708,2,20))&lt;100000000,VALUE(MID($A1708,2,20)),1000000000),1000000000))+ROW()/100000,"")</f>
        <v/>
      </c>
    </row>
    <row r="1709">
      <c r="F1709" s="7">
        <f>IF($A1709="","",E1709*N1709/100)</f>
        <v/>
      </c>
      <c r="J1709" s="7" t="n"/>
      <c r="K1709" s="7">
        <f>IF($A1709="","",S1709*N1709)</f>
        <v/>
      </c>
      <c r="L1709" s="7">
        <f>IF($A1709="","",N1709-K1709)</f>
        <v/>
      </c>
      <c r="M1709" s="7">
        <f>IF($A1709="","",L1709-F1709)</f>
        <v/>
      </c>
      <c r="N1709" s="7" t="n"/>
      <c r="Q1709" s="11" t="n"/>
      <c r="S1709">
        <f>IF($A1709="","",IF($W1709=1,Settings!$C$6,Settings!$C$7)*1)</f>
        <v/>
      </c>
      <c r="U1709">
        <f>IF($A1709="","",IF(COUNTIF($A$2:$A1709,$A1709)=1,1,0))</f>
        <v/>
      </c>
      <c r="V1709">
        <f>IF($U1709=1,SUMPRODUCT(--($X$2:$X$3001&lt;$X1709))+1,"")</f>
        <v/>
      </c>
      <c r="W1709">
        <f>IF($A1709="","",IF(OR($T1709=TRUE(),$T1709="TRUE"),1,0))</f>
        <v/>
      </c>
      <c r="X1709">
        <f>IF($U1709=1,IFERROR(IF(VALUE($A1709)&lt;100000000,VALUE($A1709),1000000000),IFERROR(IF(VALUE(MID($A1709,2,20))&lt;100000000,VALUE(MID($A1709,2,20)),1000000000),1000000000))+ROW()/100000,"")</f>
        <v/>
      </c>
    </row>
    <row r="1710">
      <c r="F1710" s="7">
        <f>IF($A1710="","",E1710*N1710/100)</f>
        <v/>
      </c>
      <c r="J1710" s="7" t="n"/>
      <c r="K1710" s="7">
        <f>IF($A1710="","",S1710*N1710)</f>
        <v/>
      </c>
      <c r="L1710" s="7">
        <f>IF($A1710="","",N1710-K1710)</f>
        <v/>
      </c>
      <c r="M1710" s="7">
        <f>IF($A1710="","",L1710-F1710)</f>
        <v/>
      </c>
      <c r="N1710" s="7" t="n"/>
      <c r="Q1710" s="11" t="n"/>
      <c r="S1710">
        <f>IF($A1710="","",IF($W1710=1,Settings!$C$6,Settings!$C$7)*1)</f>
        <v/>
      </c>
      <c r="U1710">
        <f>IF($A1710="","",IF(COUNTIF($A$2:$A1710,$A1710)=1,1,0))</f>
        <v/>
      </c>
      <c r="V1710">
        <f>IF($U1710=1,SUMPRODUCT(--($X$2:$X$3001&lt;$X1710))+1,"")</f>
        <v/>
      </c>
      <c r="W1710">
        <f>IF($A1710="","",IF(OR($T1710=TRUE(),$T1710="TRUE"),1,0))</f>
        <v/>
      </c>
      <c r="X1710">
        <f>IF($U1710=1,IFERROR(IF(VALUE($A1710)&lt;100000000,VALUE($A1710),1000000000),IFERROR(IF(VALUE(MID($A1710,2,20))&lt;100000000,VALUE(MID($A1710,2,20)),1000000000),1000000000))+ROW()/100000,"")</f>
        <v/>
      </c>
    </row>
    <row r="1711">
      <c r="F1711" s="7">
        <f>IF($A1711="","",E1711*N1711/100)</f>
        <v/>
      </c>
      <c r="J1711" s="7" t="n"/>
      <c r="K1711" s="7">
        <f>IF($A1711="","",S1711*N1711)</f>
        <v/>
      </c>
      <c r="L1711" s="7">
        <f>IF($A1711="","",N1711-K1711)</f>
        <v/>
      </c>
      <c r="M1711" s="7">
        <f>IF($A1711="","",L1711-F1711)</f>
        <v/>
      </c>
      <c r="N1711" s="7" t="n"/>
      <c r="Q1711" s="11" t="n"/>
      <c r="S1711">
        <f>IF($A1711="","",IF($W1711=1,Settings!$C$6,Settings!$C$7)*1)</f>
        <v/>
      </c>
      <c r="U1711">
        <f>IF($A1711="","",IF(COUNTIF($A$2:$A1711,$A1711)=1,1,0))</f>
        <v/>
      </c>
      <c r="V1711">
        <f>IF($U1711=1,SUMPRODUCT(--($X$2:$X$3001&lt;$X1711))+1,"")</f>
        <v/>
      </c>
      <c r="W1711">
        <f>IF($A1711="","",IF(OR($T1711=TRUE(),$T1711="TRUE"),1,0))</f>
        <v/>
      </c>
      <c r="X1711">
        <f>IF($U1711=1,IFERROR(IF(VALUE($A1711)&lt;100000000,VALUE($A1711),1000000000),IFERROR(IF(VALUE(MID($A1711,2,20))&lt;100000000,VALUE(MID($A1711,2,20)),1000000000),1000000000))+ROW()/100000,"")</f>
        <v/>
      </c>
    </row>
    <row r="1712">
      <c r="F1712" s="7">
        <f>IF($A1712="","",E1712*N1712/100)</f>
        <v/>
      </c>
      <c r="J1712" s="7" t="n"/>
      <c r="K1712" s="7">
        <f>IF($A1712="","",S1712*N1712)</f>
        <v/>
      </c>
      <c r="L1712" s="7">
        <f>IF($A1712="","",N1712-K1712)</f>
        <v/>
      </c>
      <c r="M1712" s="7">
        <f>IF($A1712="","",L1712-F1712)</f>
        <v/>
      </c>
      <c r="N1712" s="7" t="n"/>
      <c r="Q1712" s="11" t="n"/>
      <c r="S1712">
        <f>IF($A1712="","",IF($W1712=1,Settings!$C$6,Settings!$C$7)*1)</f>
        <v/>
      </c>
      <c r="U1712">
        <f>IF($A1712="","",IF(COUNTIF($A$2:$A1712,$A1712)=1,1,0))</f>
        <v/>
      </c>
      <c r="V1712">
        <f>IF($U1712=1,SUMPRODUCT(--($X$2:$X$3001&lt;$X1712))+1,"")</f>
        <v/>
      </c>
      <c r="W1712">
        <f>IF($A1712="","",IF(OR($T1712=TRUE(),$T1712="TRUE"),1,0))</f>
        <v/>
      </c>
      <c r="X1712">
        <f>IF($U1712=1,IFERROR(IF(VALUE($A1712)&lt;100000000,VALUE($A1712),1000000000),IFERROR(IF(VALUE(MID($A1712,2,20))&lt;100000000,VALUE(MID($A1712,2,20)),1000000000),1000000000))+ROW()/100000,"")</f>
        <v/>
      </c>
    </row>
    <row r="1713">
      <c r="F1713" s="7">
        <f>IF($A1713="","",E1713*N1713/100)</f>
        <v/>
      </c>
      <c r="J1713" s="7" t="n"/>
      <c r="K1713" s="7">
        <f>IF($A1713="","",S1713*N1713)</f>
        <v/>
      </c>
      <c r="L1713" s="7">
        <f>IF($A1713="","",N1713-K1713)</f>
        <v/>
      </c>
      <c r="M1713" s="7">
        <f>IF($A1713="","",L1713-F1713)</f>
        <v/>
      </c>
      <c r="N1713" s="7" t="n"/>
      <c r="Q1713" s="11" t="n"/>
      <c r="S1713">
        <f>IF($A1713="","",IF($W1713=1,Settings!$C$6,Settings!$C$7)*1)</f>
        <v/>
      </c>
      <c r="U1713">
        <f>IF($A1713="","",IF(COUNTIF($A$2:$A1713,$A1713)=1,1,0))</f>
        <v/>
      </c>
      <c r="V1713">
        <f>IF($U1713=1,SUMPRODUCT(--($X$2:$X$3001&lt;$X1713))+1,"")</f>
        <v/>
      </c>
      <c r="W1713">
        <f>IF($A1713="","",IF(OR($T1713=TRUE(),$T1713="TRUE"),1,0))</f>
        <v/>
      </c>
      <c r="X1713">
        <f>IF($U1713=1,IFERROR(IF(VALUE($A1713)&lt;100000000,VALUE($A1713),1000000000),IFERROR(IF(VALUE(MID($A1713,2,20))&lt;100000000,VALUE(MID($A1713,2,20)),1000000000),1000000000))+ROW()/100000,"")</f>
        <v/>
      </c>
    </row>
    <row r="1714">
      <c r="F1714" s="7">
        <f>IF($A1714="","",E1714*N1714/100)</f>
        <v/>
      </c>
      <c r="J1714" s="7" t="n"/>
      <c r="K1714" s="7">
        <f>IF($A1714="","",S1714*N1714)</f>
        <v/>
      </c>
      <c r="L1714" s="7">
        <f>IF($A1714="","",N1714-K1714)</f>
        <v/>
      </c>
      <c r="M1714" s="7">
        <f>IF($A1714="","",L1714-F1714)</f>
        <v/>
      </c>
      <c r="N1714" s="7" t="n"/>
      <c r="Q1714" s="11" t="n"/>
      <c r="S1714">
        <f>IF($A1714="","",IF($W1714=1,Settings!$C$6,Settings!$C$7)*1)</f>
        <v/>
      </c>
      <c r="U1714">
        <f>IF($A1714="","",IF(COUNTIF($A$2:$A1714,$A1714)=1,1,0))</f>
        <v/>
      </c>
      <c r="V1714">
        <f>IF($U1714=1,SUMPRODUCT(--($X$2:$X$3001&lt;$X1714))+1,"")</f>
        <v/>
      </c>
      <c r="W1714">
        <f>IF($A1714="","",IF(OR($T1714=TRUE(),$T1714="TRUE"),1,0))</f>
        <v/>
      </c>
      <c r="X1714">
        <f>IF($U1714=1,IFERROR(IF(VALUE($A1714)&lt;100000000,VALUE($A1714),1000000000),IFERROR(IF(VALUE(MID($A1714,2,20))&lt;100000000,VALUE(MID($A1714,2,20)),1000000000),1000000000))+ROW()/100000,"")</f>
        <v/>
      </c>
    </row>
    <row r="1715">
      <c r="F1715" s="7">
        <f>IF($A1715="","",E1715*N1715/100)</f>
        <v/>
      </c>
      <c r="J1715" s="7" t="n"/>
      <c r="K1715" s="7">
        <f>IF($A1715="","",S1715*N1715)</f>
        <v/>
      </c>
      <c r="L1715" s="7">
        <f>IF($A1715="","",N1715-K1715)</f>
        <v/>
      </c>
      <c r="M1715" s="7">
        <f>IF($A1715="","",L1715-F1715)</f>
        <v/>
      </c>
      <c r="N1715" s="7" t="n"/>
      <c r="Q1715" s="11" t="n"/>
      <c r="S1715">
        <f>IF($A1715="","",IF($W1715=1,Settings!$C$6,Settings!$C$7)*1)</f>
        <v/>
      </c>
      <c r="U1715">
        <f>IF($A1715="","",IF(COUNTIF($A$2:$A1715,$A1715)=1,1,0))</f>
        <v/>
      </c>
      <c r="V1715">
        <f>IF($U1715=1,SUMPRODUCT(--($X$2:$X$3001&lt;$X1715))+1,"")</f>
        <v/>
      </c>
      <c r="W1715">
        <f>IF($A1715="","",IF(OR($T1715=TRUE(),$T1715="TRUE"),1,0))</f>
        <v/>
      </c>
      <c r="X1715">
        <f>IF($U1715=1,IFERROR(IF(VALUE($A1715)&lt;100000000,VALUE($A1715),1000000000),IFERROR(IF(VALUE(MID($A1715,2,20))&lt;100000000,VALUE(MID($A1715,2,20)),1000000000),1000000000))+ROW()/100000,"")</f>
        <v/>
      </c>
    </row>
    <row r="1716">
      <c r="F1716" s="7">
        <f>IF($A1716="","",E1716*N1716/100)</f>
        <v/>
      </c>
      <c r="J1716" s="7" t="n"/>
      <c r="K1716" s="7">
        <f>IF($A1716="","",S1716*N1716)</f>
        <v/>
      </c>
      <c r="L1716" s="7">
        <f>IF($A1716="","",N1716-K1716)</f>
        <v/>
      </c>
      <c r="M1716" s="7">
        <f>IF($A1716="","",L1716-F1716)</f>
        <v/>
      </c>
      <c r="N1716" s="7" t="n"/>
      <c r="Q1716" s="11" t="n"/>
      <c r="S1716">
        <f>IF($A1716="","",IF($W1716=1,Settings!$C$6,Settings!$C$7)*1)</f>
        <v/>
      </c>
      <c r="U1716">
        <f>IF($A1716="","",IF(COUNTIF($A$2:$A1716,$A1716)=1,1,0))</f>
        <v/>
      </c>
      <c r="V1716">
        <f>IF($U1716=1,SUMPRODUCT(--($X$2:$X$3001&lt;$X1716))+1,"")</f>
        <v/>
      </c>
      <c r="W1716">
        <f>IF($A1716="","",IF(OR($T1716=TRUE(),$T1716="TRUE"),1,0))</f>
        <v/>
      </c>
      <c r="X1716">
        <f>IF($U1716=1,IFERROR(IF(VALUE($A1716)&lt;100000000,VALUE($A1716),1000000000),IFERROR(IF(VALUE(MID($A1716,2,20))&lt;100000000,VALUE(MID($A1716,2,20)),1000000000),1000000000))+ROW()/100000,"")</f>
        <v/>
      </c>
    </row>
    <row r="1717">
      <c r="F1717" s="7">
        <f>IF($A1717="","",E1717*N1717/100)</f>
        <v/>
      </c>
      <c r="J1717" s="7" t="n"/>
      <c r="K1717" s="7">
        <f>IF($A1717="","",S1717*N1717)</f>
        <v/>
      </c>
      <c r="L1717" s="7">
        <f>IF($A1717="","",N1717-K1717)</f>
        <v/>
      </c>
      <c r="M1717" s="7">
        <f>IF($A1717="","",L1717-F1717)</f>
        <v/>
      </c>
      <c r="N1717" s="7" t="n"/>
      <c r="Q1717" s="11" t="n"/>
      <c r="S1717">
        <f>IF($A1717="","",IF($W1717=1,Settings!$C$6,Settings!$C$7)*1)</f>
        <v/>
      </c>
      <c r="U1717">
        <f>IF($A1717="","",IF(COUNTIF($A$2:$A1717,$A1717)=1,1,0))</f>
        <v/>
      </c>
      <c r="V1717">
        <f>IF($U1717=1,SUMPRODUCT(--($X$2:$X$3001&lt;$X1717))+1,"")</f>
        <v/>
      </c>
      <c r="W1717">
        <f>IF($A1717="","",IF(OR($T1717=TRUE(),$T1717="TRUE"),1,0))</f>
        <v/>
      </c>
      <c r="X1717">
        <f>IF($U1717=1,IFERROR(IF(VALUE($A1717)&lt;100000000,VALUE($A1717),1000000000),IFERROR(IF(VALUE(MID($A1717,2,20))&lt;100000000,VALUE(MID($A1717,2,20)),1000000000),1000000000))+ROW()/100000,"")</f>
        <v/>
      </c>
    </row>
    <row r="1718">
      <c r="F1718" s="7">
        <f>IF($A1718="","",E1718*N1718/100)</f>
        <v/>
      </c>
      <c r="J1718" s="7" t="n"/>
      <c r="K1718" s="7">
        <f>IF($A1718="","",S1718*N1718)</f>
        <v/>
      </c>
      <c r="L1718" s="7">
        <f>IF($A1718="","",N1718-K1718)</f>
        <v/>
      </c>
      <c r="M1718" s="7">
        <f>IF($A1718="","",L1718-F1718)</f>
        <v/>
      </c>
      <c r="N1718" s="7" t="n"/>
      <c r="Q1718" s="11" t="n"/>
      <c r="S1718">
        <f>IF($A1718="","",IF($W1718=1,Settings!$C$6,Settings!$C$7)*1)</f>
        <v/>
      </c>
      <c r="U1718">
        <f>IF($A1718="","",IF(COUNTIF($A$2:$A1718,$A1718)=1,1,0))</f>
        <v/>
      </c>
      <c r="V1718">
        <f>IF($U1718=1,SUMPRODUCT(--($X$2:$X$3001&lt;$X1718))+1,"")</f>
        <v/>
      </c>
      <c r="W1718">
        <f>IF($A1718="","",IF(OR($T1718=TRUE(),$T1718="TRUE"),1,0))</f>
        <v/>
      </c>
      <c r="X1718">
        <f>IF($U1718=1,IFERROR(IF(VALUE($A1718)&lt;100000000,VALUE($A1718),1000000000),IFERROR(IF(VALUE(MID($A1718,2,20))&lt;100000000,VALUE(MID($A1718,2,20)),1000000000),1000000000))+ROW()/100000,"")</f>
        <v/>
      </c>
    </row>
    <row r="1719">
      <c r="F1719" s="7">
        <f>IF($A1719="","",E1719*N1719/100)</f>
        <v/>
      </c>
      <c r="J1719" s="7" t="n"/>
      <c r="K1719" s="7">
        <f>IF($A1719="","",S1719*N1719)</f>
        <v/>
      </c>
      <c r="L1719" s="7">
        <f>IF($A1719="","",N1719-K1719)</f>
        <v/>
      </c>
      <c r="M1719" s="7">
        <f>IF($A1719="","",L1719-F1719)</f>
        <v/>
      </c>
      <c r="N1719" s="7" t="n"/>
      <c r="Q1719" s="11" t="n"/>
      <c r="S1719">
        <f>IF($A1719="","",IF($W1719=1,Settings!$C$6,Settings!$C$7)*1)</f>
        <v/>
      </c>
      <c r="U1719">
        <f>IF($A1719="","",IF(COUNTIF($A$2:$A1719,$A1719)=1,1,0))</f>
        <v/>
      </c>
      <c r="V1719">
        <f>IF($U1719=1,SUMPRODUCT(--($X$2:$X$3001&lt;$X1719))+1,"")</f>
        <v/>
      </c>
      <c r="W1719">
        <f>IF($A1719="","",IF(OR($T1719=TRUE(),$T1719="TRUE"),1,0))</f>
        <v/>
      </c>
      <c r="X1719">
        <f>IF($U1719=1,IFERROR(IF(VALUE($A1719)&lt;100000000,VALUE($A1719),1000000000),IFERROR(IF(VALUE(MID($A1719,2,20))&lt;100000000,VALUE(MID($A1719,2,20)),1000000000),1000000000))+ROW()/100000,"")</f>
        <v/>
      </c>
    </row>
    <row r="1720">
      <c r="F1720" s="7">
        <f>IF($A1720="","",E1720*N1720/100)</f>
        <v/>
      </c>
      <c r="J1720" s="7" t="n"/>
      <c r="K1720" s="7">
        <f>IF($A1720="","",S1720*N1720)</f>
        <v/>
      </c>
      <c r="L1720" s="7">
        <f>IF($A1720="","",N1720-K1720)</f>
        <v/>
      </c>
      <c r="M1720" s="7">
        <f>IF($A1720="","",L1720-F1720)</f>
        <v/>
      </c>
      <c r="N1720" s="7" t="n"/>
      <c r="Q1720" s="11" t="n"/>
      <c r="S1720">
        <f>IF($A1720="","",IF($W1720=1,Settings!$C$6,Settings!$C$7)*1)</f>
        <v/>
      </c>
      <c r="U1720">
        <f>IF($A1720="","",IF(COUNTIF($A$2:$A1720,$A1720)=1,1,0))</f>
        <v/>
      </c>
      <c r="V1720">
        <f>IF($U1720=1,SUMPRODUCT(--($X$2:$X$3001&lt;$X1720))+1,"")</f>
        <v/>
      </c>
      <c r="W1720">
        <f>IF($A1720="","",IF(OR($T1720=TRUE(),$T1720="TRUE"),1,0))</f>
        <v/>
      </c>
      <c r="X1720">
        <f>IF($U1720=1,IFERROR(IF(VALUE($A1720)&lt;100000000,VALUE($A1720),1000000000),IFERROR(IF(VALUE(MID($A1720,2,20))&lt;100000000,VALUE(MID($A1720,2,20)),1000000000),1000000000))+ROW()/100000,"")</f>
        <v/>
      </c>
    </row>
    <row r="1721">
      <c r="F1721" s="7">
        <f>IF($A1721="","",E1721*N1721/100)</f>
        <v/>
      </c>
      <c r="J1721" s="7" t="n"/>
      <c r="K1721" s="7">
        <f>IF($A1721="","",S1721*N1721)</f>
        <v/>
      </c>
      <c r="L1721" s="7">
        <f>IF($A1721="","",N1721-K1721)</f>
        <v/>
      </c>
      <c r="M1721" s="7">
        <f>IF($A1721="","",L1721-F1721)</f>
        <v/>
      </c>
      <c r="N1721" s="7" t="n"/>
      <c r="Q1721" s="11" t="n"/>
      <c r="S1721">
        <f>IF($A1721="","",IF($W1721=1,Settings!$C$6,Settings!$C$7)*1)</f>
        <v/>
      </c>
      <c r="U1721">
        <f>IF($A1721="","",IF(COUNTIF($A$2:$A1721,$A1721)=1,1,0))</f>
        <v/>
      </c>
      <c r="V1721">
        <f>IF($U1721=1,SUMPRODUCT(--($X$2:$X$3001&lt;$X1721))+1,"")</f>
        <v/>
      </c>
      <c r="W1721">
        <f>IF($A1721="","",IF(OR($T1721=TRUE(),$T1721="TRUE"),1,0))</f>
        <v/>
      </c>
      <c r="X1721">
        <f>IF($U1721=1,IFERROR(IF(VALUE($A1721)&lt;100000000,VALUE($A1721),1000000000),IFERROR(IF(VALUE(MID($A1721,2,20))&lt;100000000,VALUE(MID($A1721,2,20)),1000000000),1000000000))+ROW()/100000,"")</f>
        <v/>
      </c>
    </row>
    <row r="1722">
      <c r="F1722" s="7">
        <f>IF($A1722="","",E1722*N1722/100)</f>
        <v/>
      </c>
      <c r="J1722" s="7" t="n"/>
      <c r="K1722" s="7">
        <f>IF($A1722="","",S1722*N1722)</f>
        <v/>
      </c>
      <c r="L1722" s="7">
        <f>IF($A1722="","",N1722-K1722)</f>
        <v/>
      </c>
      <c r="M1722" s="7">
        <f>IF($A1722="","",L1722-F1722)</f>
        <v/>
      </c>
      <c r="N1722" s="7" t="n"/>
      <c r="Q1722" s="11" t="n"/>
      <c r="S1722">
        <f>IF($A1722="","",IF($W1722=1,Settings!$C$6,Settings!$C$7)*1)</f>
        <v/>
      </c>
      <c r="U1722">
        <f>IF($A1722="","",IF(COUNTIF($A$2:$A1722,$A1722)=1,1,0))</f>
        <v/>
      </c>
      <c r="V1722">
        <f>IF($U1722=1,SUMPRODUCT(--($X$2:$X$3001&lt;$X1722))+1,"")</f>
        <v/>
      </c>
      <c r="W1722">
        <f>IF($A1722="","",IF(OR($T1722=TRUE(),$T1722="TRUE"),1,0))</f>
        <v/>
      </c>
      <c r="X1722">
        <f>IF($U1722=1,IFERROR(IF(VALUE($A1722)&lt;100000000,VALUE($A1722),1000000000),IFERROR(IF(VALUE(MID($A1722,2,20))&lt;100000000,VALUE(MID($A1722,2,20)),1000000000),1000000000))+ROW()/100000,"")</f>
        <v/>
      </c>
    </row>
    <row r="1723">
      <c r="F1723" s="7">
        <f>IF($A1723="","",E1723*N1723/100)</f>
        <v/>
      </c>
      <c r="J1723" s="7" t="n"/>
      <c r="K1723" s="7">
        <f>IF($A1723="","",S1723*N1723)</f>
        <v/>
      </c>
      <c r="L1723" s="7">
        <f>IF($A1723="","",N1723-K1723)</f>
        <v/>
      </c>
      <c r="M1723" s="7">
        <f>IF($A1723="","",L1723-F1723)</f>
        <v/>
      </c>
      <c r="N1723" s="7" t="n"/>
      <c r="Q1723" s="11" t="n"/>
      <c r="S1723">
        <f>IF($A1723="","",IF($W1723=1,Settings!$C$6,Settings!$C$7)*1)</f>
        <v/>
      </c>
      <c r="U1723">
        <f>IF($A1723="","",IF(COUNTIF($A$2:$A1723,$A1723)=1,1,0))</f>
        <v/>
      </c>
      <c r="V1723">
        <f>IF($U1723=1,SUMPRODUCT(--($X$2:$X$3001&lt;$X1723))+1,"")</f>
        <v/>
      </c>
      <c r="W1723">
        <f>IF($A1723="","",IF(OR($T1723=TRUE(),$T1723="TRUE"),1,0))</f>
        <v/>
      </c>
      <c r="X1723">
        <f>IF($U1723=1,IFERROR(IF(VALUE($A1723)&lt;100000000,VALUE($A1723),1000000000),IFERROR(IF(VALUE(MID($A1723,2,20))&lt;100000000,VALUE(MID($A1723,2,20)),1000000000),1000000000))+ROW()/100000,"")</f>
        <v/>
      </c>
    </row>
    <row r="1724">
      <c r="F1724" s="7">
        <f>IF($A1724="","",E1724*N1724/100)</f>
        <v/>
      </c>
      <c r="J1724" s="7" t="n"/>
      <c r="K1724" s="7">
        <f>IF($A1724="","",S1724*N1724)</f>
        <v/>
      </c>
      <c r="L1724" s="7">
        <f>IF($A1724="","",N1724-K1724)</f>
        <v/>
      </c>
      <c r="M1724" s="7">
        <f>IF($A1724="","",L1724-F1724)</f>
        <v/>
      </c>
      <c r="N1724" s="7" t="n"/>
      <c r="Q1724" s="11" t="n"/>
      <c r="S1724">
        <f>IF($A1724="","",IF($W1724=1,Settings!$C$6,Settings!$C$7)*1)</f>
        <v/>
      </c>
      <c r="U1724">
        <f>IF($A1724="","",IF(COUNTIF($A$2:$A1724,$A1724)=1,1,0))</f>
        <v/>
      </c>
      <c r="V1724">
        <f>IF($U1724=1,SUMPRODUCT(--($X$2:$X$3001&lt;$X1724))+1,"")</f>
        <v/>
      </c>
      <c r="W1724">
        <f>IF($A1724="","",IF(OR($T1724=TRUE(),$T1724="TRUE"),1,0))</f>
        <v/>
      </c>
      <c r="X1724">
        <f>IF($U1724=1,IFERROR(IF(VALUE($A1724)&lt;100000000,VALUE($A1724),1000000000),IFERROR(IF(VALUE(MID($A1724,2,20))&lt;100000000,VALUE(MID($A1724,2,20)),1000000000),1000000000))+ROW()/100000,"")</f>
        <v/>
      </c>
    </row>
    <row r="1725">
      <c r="F1725" s="7">
        <f>IF($A1725="","",E1725*N1725/100)</f>
        <v/>
      </c>
      <c r="J1725" s="7" t="n"/>
      <c r="K1725" s="7">
        <f>IF($A1725="","",S1725*N1725)</f>
        <v/>
      </c>
      <c r="L1725" s="7">
        <f>IF($A1725="","",N1725-K1725)</f>
        <v/>
      </c>
      <c r="M1725" s="7">
        <f>IF($A1725="","",L1725-F1725)</f>
        <v/>
      </c>
      <c r="N1725" s="7" t="n"/>
      <c r="Q1725" s="11" t="n"/>
      <c r="S1725">
        <f>IF($A1725="","",IF($W1725=1,Settings!$C$6,Settings!$C$7)*1)</f>
        <v/>
      </c>
      <c r="U1725">
        <f>IF($A1725="","",IF(COUNTIF($A$2:$A1725,$A1725)=1,1,0))</f>
        <v/>
      </c>
      <c r="V1725">
        <f>IF($U1725=1,SUMPRODUCT(--($X$2:$X$3001&lt;$X1725))+1,"")</f>
        <v/>
      </c>
      <c r="W1725">
        <f>IF($A1725="","",IF(OR($T1725=TRUE(),$T1725="TRUE"),1,0))</f>
        <v/>
      </c>
      <c r="X1725">
        <f>IF($U1725=1,IFERROR(IF(VALUE($A1725)&lt;100000000,VALUE($A1725),1000000000),IFERROR(IF(VALUE(MID($A1725,2,20))&lt;100000000,VALUE(MID($A1725,2,20)),1000000000),1000000000))+ROW()/100000,"")</f>
        <v/>
      </c>
    </row>
    <row r="1726">
      <c r="F1726" s="7">
        <f>IF($A1726="","",E1726*N1726/100)</f>
        <v/>
      </c>
      <c r="J1726" s="7" t="n"/>
      <c r="K1726" s="7">
        <f>IF($A1726="","",S1726*N1726)</f>
        <v/>
      </c>
      <c r="L1726" s="7">
        <f>IF($A1726="","",N1726-K1726)</f>
        <v/>
      </c>
      <c r="M1726" s="7">
        <f>IF($A1726="","",L1726-F1726)</f>
        <v/>
      </c>
      <c r="N1726" s="7" t="n"/>
      <c r="Q1726" s="11" t="n"/>
      <c r="S1726">
        <f>IF($A1726="","",IF($W1726=1,Settings!$C$6,Settings!$C$7)*1)</f>
        <v/>
      </c>
      <c r="U1726">
        <f>IF($A1726="","",IF(COUNTIF($A$2:$A1726,$A1726)=1,1,0))</f>
        <v/>
      </c>
      <c r="V1726">
        <f>IF($U1726=1,SUMPRODUCT(--($X$2:$X$3001&lt;$X1726))+1,"")</f>
        <v/>
      </c>
      <c r="W1726">
        <f>IF($A1726="","",IF(OR($T1726=TRUE(),$T1726="TRUE"),1,0))</f>
        <v/>
      </c>
      <c r="X1726">
        <f>IF($U1726=1,IFERROR(IF(VALUE($A1726)&lt;100000000,VALUE($A1726),1000000000),IFERROR(IF(VALUE(MID($A1726,2,20))&lt;100000000,VALUE(MID($A1726,2,20)),1000000000),1000000000))+ROW()/100000,"")</f>
        <v/>
      </c>
    </row>
    <row r="1727">
      <c r="F1727" s="7">
        <f>IF($A1727="","",E1727*N1727/100)</f>
        <v/>
      </c>
      <c r="J1727" s="7" t="n"/>
      <c r="K1727" s="7">
        <f>IF($A1727="","",S1727*N1727)</f>
        <v/>
      </c>
      <c r="L1727" s="7">
        <f>IF($A1727="","",N1727-K1727)</f>
        <v/>
      </c>
      <c r="M1727" s="7">
        <f>IF($A1727="","",L1727-F1727)</f>
        <v/>
      </c>
      <c r="N1727" s="7" t="n"/>
      <c r="Q1727" s="11" t="n"/>
      <c r="S1727">
        <f>IF($A1727="","",IF($W1727=1,Settings!$C$6,Settings!$C$7)*1)</f>
        <v/>
      </c>
      <c r="U1727">
        <f>IF($A1727="","",IF(COUNTIF($A$2:$A1727,$A1727)=1,1,0))</f>
        <v/>
      </c>
      <c r="V1727">
        <f>IF($U1727=1,SUMPRODUCT(--($X$2:$X$3001&lt;$X1727))+1,"")</f>
        <v/>
      </c>
      <c r="W1727">
        <f>IF($A1727="","",IF(OR($T1727=TRUE(),$T1727="TRUE"),1,0))</f>
        <v/>
      </c>
      <c r="X1727">
        <f>IF($U1727=1,IFERROR(IF(VALUE($A1727)&lt;100000000,VALUE($A1727),1000000000),IFERROR(IF(VALUE(MID($A1727,2,20))&lt;100000000,VALUE(MID($A1727,2,20)),1000000000),1000000000))+ROW()/100000,"")</f>
        <v/>
      </c>
    </row>
    <row r="1728">
      <c r="F1728" s="7">
        <f>IF($A1728="","",E1728*N1728/100)</f>
        <v/>
      </c>
      <c r="J1728" s="7" t="n"/>
      <c r="K1728" s="7">
        <f>IF($A1728="","",S1728*N1728)</f>
        <v/>
      </c>
      <c r="L1728" s="7">
        <f>IF($A1728="","",N1728-K1728)</f>
        <v/>
      </c>
      <c r="M1728" s="7">
        <f>IF($A1728="","",L1728-F1728)</f>
        <v/>
      </c>
      <c r="N1728" s="7" t="n"/>
      <c r="Q1728" s="11" t="n"/>
      <c r="S1728">
        <f>IF($A1728="","",IF($W1728=1,Settings!$C$6,Settings!$C$7)*1)</f>
        <v/>
      </c>
      <c r="U1728">
        <f>IF($A1728="","",IF(COUNTIF($A$2:$A1728,$A1728)=1,1,0))</f>
        <v/>
      </c>
      <c r="V1728">
        <f>IF($U1728=1,SUMPRODUCT(--($X$2:$X$3001&lt;$X1728))+1,"")</f>
        <v/>
      </c>
      <c r="W1728">
        <f>IF($A1728="","",IF(OR($T1728=TRUE(),$T1728="TRUE"),1,0))</f>
        <v/>
      </c>
      <c r="X1728">
        <f>IF($U1728=1,IFERROR(IF(VALUE($A1728)&lt;100000000,VALUE($A1728),1000000000),IFERROR(IF(VALUE(MID($A1728,2,20))&lt;100000000,VALUE(MID($A1728,2,20)),1000000000),1000000000))+ROW()/100000,"")</f>
        <v/>
      </c>
    </row>
    <row r="1729">
      <c r="F1729" s="7">
        <f>IF($A1729="","",E1729*N1729/100)</f>
        <v/>
      </c>
      <c r="J1729" s="7" t="n"/>
      <c r="K1729" s="7">
        <f>IF($A1729="","",S1729*N1729)</f>
        <v/>
      </c>
      <c r="L1729" s="7">
        <f>IF($A1729="","",N1729-K1729)</f>
        <v/>
      </c>
      <c r="M1729" s="7">
        <f>IF($A1729="","",L1729-F1729)</f>
        <v/>
      </c>
      <c r="N1729" s="7" t="n"/>
      <c r="Q1729" s="11" t="n"/>
      <c r="S1729">
        <f>IF($A1729="","",IF($W1729=1,Settings!$C$6,Settings!$C$7)*1)</f>
        <v/>
      </c>
      <c r="U1729">
        <f>IF($A1729="","",IF(COUNTIF($A$2:$A1729,$A1729)=1,1,0))</f>
        <v/>
      </c>
      <c r="V1729">
        <f>IF($U1729=1,SUMPRODUCT(--($X$2:$X$3001&lt;$X1729))+1,"")</f>
        <v/>
      </c>
      <c r="W1729">
        <f>IF($A1729="","",IF(OR($T1729=TRUE(),$T1729="TRUE"),1,0))</f>
        <v/>
      </c>
      <c r="X1729">
        <f>IF($U1729=1,IFERROR(IF(VALUE($A1729)&lt;100000000,VALUE($A1729),1000000000),IFERROR(IF(VALUE(MID($A1729,2,20))&lt;100000000,VALUE(MID($A1729,2,20)),1000000000),1000000000))+ROW()/100000,"")</f>
        <v/>
      </c>
    </row>
    <row r="1730">
      <c r="F1730" s="7">
        <f>IF($A1730="","",E1730*N1730/100)</f>
        <v/>
      </c>
      <c r="J1730" s="7" t="n"/>
      <c r="K1730" s="7">
        <f>IF($A1730="","",S1730*N1730)</f>
        <v/>
      </c>
      <c r="L1730" s="7">
        <f>IF($A1730="","",N1730-K1730)</f>
        <v/>
      </c>
      <c r="M1730" s="7">
        <f>IF($A1730="","",L1730-F1730)</f>
        <v/>
      </c>
      <c r="N1730" s="7" t="n"/>
      <c r="Q1730" s="11" t="n"/>
      <c r="S1730">
        <f>IF($A1730="","",IF($W1730=1,Settings!$C$6,Settings!$C$7)*1)</f>
        <v/>
      </c>
      <c r="U1730">
        <f>IF($A1730="","",IF(COUNTIF($A$2:$A1730,$A1730)=1,1,0))</f>
        <v/>
      </c>
      <c r="V1730">
        <f>IF($U1730=1,SUMPRODUCT(--($X$2:$X$3001&lt;$X1730))+1,"")</f>
        <v/>
      </c>
      <c r="W1730">
        <f>IF($A1730="","",IF(OR($T1730=TRUE(),$T1730="TRUE"),1,0))</f>
        <v/>
      </c>
      <c r="X1730">
        <f>IF($U1730=1,IFERROR(IF(VALUE($A1730)&lt;100000000,VALUE($A1730),1000000000),IFERROR(IF(VALUE(MID($A1730,2,20))&lt;100000000,VALUE(MID($A1730,2,20)),1000000000),1000000000))+ROW()/100000,"")</f>
        <v/>
      </c>
    </row>
    <row r="1731">
      <c r="F1731" s="7">
        <f>IF($A1731="","",E1731*N1731/100)</f>
        <v/>
      </c>
      <c r="J1731" s="7" t="n"/>
      <c r="K1731" s="7">
        <f>IF($A1731="","",S1731*N1731)</f>
        <v/>
      </c>
      <c r="L1731" s="7">
        <f>IF($A1731="","",N1731-K1731)</f>
        <v/>
      </c>
      <c r="M1731" s="7">
        <f>IF($A1731="","",L1731-F1731)</f>
        <v/>
      </c>
      <c r="N1731" s="7" t="n"/>
      <c r="Q1731" s="11" t="n"/>
      <c r="S1731">
        <f>IF($A1731="","",IF($W1731=1,Settings!$C$6,Settings!$C$7)*1)</f>
        <v/>
      </c>
      <c r="U1731">
        <f>IF($A1731="","",IF(COUNTIF($A$2:$A1731,$A1731)=1,1,0))</f>
        <v/>
      </c>
      <c r="V1731">
        <f>IF($U1731=1,SUMPRODUCT(--($X$2:$X$3001&lt;$X1731))+1,"")</f>
        <v/>
      </c>
      <c r="W1731">
        <f>IF($A1731="","",IF(OR($T1731=TRUE(),$T1731="TRUE"),1,0))</f>
        <v/>
      </c>
      <c r="X1731">
        <f>IF($U1731=1,IFERROR(IF(VALUE($A1731)&lt;100000000,VALUE($A1731),1000000000),IFERROR(IF(VALUE(MID($A1731,2,20))&lt;100000000,VALUE(MID($A1731,2,20)),1000000000),1000000000))+ROW()/100000,"")</f>
        <v/>
      </c>
    </row>
    <row r="1732">
      <c r="F1732" s="7">
        <f>IF($A1732="","",E1732*N1732/100)</f>
        <v/>
      </c>
      <c r="J1732" s="7" t="n"/>
      <c r="K1732" s="7">
        <f>IF($A1732="","",S1732*N1732)</f>
        <v/>
      </c>
      <c r="L1732" s="7">
        <f>IF($A1732="","",N1732-K1732)</f>
        <v/>
      </c>
      <c r="M1732" s="7">
        <f>IF($A1732="","",L1732-F1732)</f>
        <v/>
      </c>
      <c r="N1732" s="7" t="n"/>
      <c r="Q1732" s="11" t="n"/>
      <c r="S1732">
        <f>IF($A1732="","",IF($W1732=1,Settings!$C$6,Settings!$C$7)*1)</f>
        <v/>
      </c>
      <c r="U1732">
        <f>IF($A1732="","",IF(COUNTIF($A$2:$A1732,$A1732)=1,1,0))</f>
        <v/>
      </c>
      <c r="V1732">
        <f>IF($U1732=1,SUMPRODUCT(--($X$2:$X$3001&lt;$X1732))+1,"")</f>
        <v/>
      </c>
      <c r="W1732">
        <f>IF($A1732="","",IF(OR($T1732=TRUE(),$T1732="TRUE"),1,0))</f>
        <v/>
      </c>
      <c r="X1732">
        <f>IF($U1732=1,IFERROR(IF(VALUE($A1732)&lt;100000000,VALUE($A1732),1000000000),IFERROR(IF(VALUE(MID($A1732,2,20))&lt;100000000,VALUE(MID($A1732,2,20)),1000000000),1000000000))+ROW()/100000,"")</f>
        <v/>
      </c>
    </row>
    <row r="1733">
      <c r="F1733" s="7">
        <f>IF($A1733="","",E1733*N1733/100)</f>
        <v/>
      </c>
      <c r="J1733" s="7" t="n"/>
      <c r="K1733" s="7">
        <f>IF($A1733="","",S1733*N1733)</f>
        <v/>
      </c>
      <c r="L1733" s="7">
        <f>IF($A1733="","",N1733-K1733)</f>
        <v/>
      </c>
      <c r="M1733" s="7">
        <f>IF($A1733="","",L1733-F1733)</f>
        <v/>
      </c>
      <c r="N1733" s="7" t="n"/>
      <c r="Q1733" s="11" t="n"/>
      <c r="S1733">
        <f>IF($A1733="","",IF($W1733=1,Settings!$C$6,Settings!$C$7)*1)</f>
        <v/>
      </c>
      <c r="U1733">
        <f>IF($A1733="","",IF(COUNTIF($A$2:$A1733,$A1733)=1,1,0))</f>
        <v/>
      </c>
      <c r="V1733">
        <f>IF($U1733=1,SUMPRODUCT(--($X$2:$X$3001&lt;$X1733))+1,"")</f>
        <v/>
      </c>
      <c r="W1733">
        <f>IF($A1733="","",IF(OR($T1733=TRUE(),$T1733="TRUE"),1,0))</f>
        <v/>
      </c>
      <c r="X1733">
        <f>IF($U1733=1,IFERROR(IF(VALUE($A1733)&lt;100000000,VALUE($A1733),1000000000),IFERROR(IF(VALUE(MID($A1733,2,20))&lt;100000000,VALUE(MID($A1733,2,20)),1000000000),1000000000))+ROW()/100000,"")</f>
        <v/>
      </c>
    </row>
    <row r="1734">
      <c r="F1734" s="7">
        <f>IF($A1734="","",E1734*N1734/100)</f>
        <v/>
      </c>
      <c r="J1734" s="7" t="n"/>
      <c r="K1734" s="7">
        <f>IF($A1734="","",S1734*N1734)</f>
        <v/>
      </c>
      <c r="L1734" s="7">
        <f>IF($A1734="","",N1734-K1734)</f>
        <v/>
      </c>
      <c r="M1734" s="7">
        <f>IF($A1734="","",L1734-F1734)</f>
        <v/>
      </c>
      <c r="N1734" s="7" t="n"/>
      <c r="Q1734" s="11" t="n"/>
      <c r="S1734">
        <f>IF($A1734="","",IF($W1734=1,Settings!$C$6,Settings!$C$7)*1)</f>
        <v/>
      </c>
      <c r="U1734">
        <f>IF($A1734="","",IF(COUNTIF($A$2:$A1734,$A1734)=1,1,0))</f>
        <v/>
      </c>
      <c r="V1734">
        <f>IF($U1734=1,SUMPRODUCT(--($X$2:$X$3001&lt;$X1734))+1,"")</f>
        <v/>
      </c>
      <c r="W1734">
        <f>IF($A1734="","",IF(OR($T1734=TRUE(),$T1734="TRUE"),1,0))</f>
        <v/>
      </c>
      <c r="X1734">
        <f>IF($U1734=1,IFERROR(IF(VALUE($A1734)&lt;100000000,VALUE($A1734),1000000000),IFERROR(IF(VALUE(MID($A1734,2,20))&lt;100000000,VALUE(MID($A1734,2,20)),1000000000),1000000000))+ROW()/100000,"")</f>
        <v/>
      </c>
    </row>
    <row r="1735">
      <c r="F1735" s="7">
        <f>IF($A1735="","",E1735*N1735/100)</f>
        <v/>
      </c>
      <c r="J1735" s="7" t="n"/>
      <c r="K1735" s="7">
        <f>IF($A1735="","",S1735*N1735)</f>
        <v/>
      </c>
      <c r="L1735" s="7">
        <f>IF($A1735="","",N1735-K1735)</f>
        <v/>
      </c>
      <c r="M1735" s="7">
        <f>IF($A1735="","",L1735-F1735)</f>
        <v/>
      </c>
      <c r="N1735" s="7" t="n"/>
      <c r="Q1735" s="11" t="n"/>
      <c r="S1735">
        <f>IF($A1735="","",IF($W1735=1,Settings!$C$6,Settings!$C$7)*1)</f>
        <v/>
      </c>
      <c r="U1735">
        <f>IF($A1735="","",IF(COUNTIF($A$2:$A1735,$A1735)=1,1,0))</f>
        <v/>
      </c>
      <c r="V1735">
        <f>IF($U1735=1,SUMPRODUCT(--($X$2:$X$3001&lt;$X1735))+1,"")</f>
        <v/>
      </c>
      <c r="W1735">
        <f>IF($A1735="","",IF(OR($T1735=TRUE(),$T1735="TRUE"),1,0))</f>
        <v/>
      </c>
      <c r="X1735">
        <f>IF($U1735=1,IFERROR(IF(VALUE($A1735)&lt;100000000,VALUE($A1735),1000000000),IFERROR(IF(VALUE(MID($A1735,2,20))&lt;100000000,VALUE(MID($A1735,2,20)),1000000000),1000000000))+ROW()/100000,"")</f>
        <v/>
      </c>
    </row>
    <row r="1736">
      <c r="F1736" s="7">
        <f>IF($A1736="","",E1736*N1736/100)</f>
        <v/>
      </c>
      <c r="J1736" s="7" t="n"/>
      <c r="K1736" s="7">
        <f>IF($A1736="","",S1736*N1736)</f>
        <v/>
      </c>
      <c r="L1736" s="7">
        <f>IF($A1736="","",N1736-K1736)</f>
        <v/>
      </c>
      <c r="M1736" s="7">
        <f>IF($A1736="","",L1736-F1736)</f>
        <v/>
      </c>
      <c r="N1736" s="7" t="n"/>
      <c r="Q1736" s="11" t="n"/>
      <c r="S1736">
        <f>IF($A1736="","",IF($W1736=1,Settings!$C$6,Settings!$C$7)*1)</f>
        <v/>
      </c>
      <c r="U1736">
        <f>IF($A1736="","",IF(COUNTIF($A$2:$A1736,$A1736)=1,1,0))</f>
        <v/>
      </c>
      <c r="V1736">
        <f>IF($U1736=1,SUMPRODUCT(--($X$2:$X$3001&lt;$X1736))+1,"")</f>
        <v/>
      </c>
      <c r="W1736">
        <f>IF($A1736="","",IF(OR($T1736=TRUE(),$T1736="TRUE"),1,0))</f>
        <v/>
      </c>
      <c r="X1736">
        <f>IF($U1736=1,IFERROR(IF(VALUE($A1736)&lt;100000000,VALUE($A1736),1000000000),IFERROR(IF(VALUE(MID($A1736,2,20))&lt;100000000,VALUE(MID($A1736,2,20)),1000000000),1000000000))+ROW()/100000,"")</f>
        <v/>
      </c>
    </row>
    <row r="1737">
      <c r="F1737" s="7">
        <f>IF($A1737="","",E1737*N1737/100)</f>
        <v/>
      </c>
      <c r="J1737" s="7" t="n"/>
      <c r="K1737" s="7">
        <f>IF($A1737="","",S1737*N1737)</f>
        <v/>
      </c>
      <c r="L1737" s="7">
        <f>IF($A1737="","",N1737-K1737)</f>
        <v/>
      </c>
      <c r="M1737" s="7">
        <f>IF($A1737="","",L1737-F1737)</f>
        <v/>
      </c>
      <c r="N1737" s="7" t="n"/>
      <c r="Q1737" s="11" t="n"/>
      <c r="S1737">
        <f>IF($A1737="","",IF($W1737=1,Settings!$C$6,Settings!$C$7)*1)</f>
        <v/>
      </c>
      <c r="U1737">
        <f>IF($A1737="","",IF(COUNTIF($A$2:$A1737,$A1737)=1,1,0))</f>
        <v/>
      </c>
      <c r="V1737">
        <f>IF($U1737=1,SUMPRODUCT(--($X$2:$X$3001&lt;$X1737))+1,"")</f>
        <v/>
      </c>
      <c r="W1737">
        <f>IF($A1737="","",IF(OR($T1737=TRUE(),$T1737="TRUE"),1,0))</f>
        <v/>
      </c>
      <c r="X1737">
        <f>IF($U1737=1,IFERROR(IF(VALUE($A1737)&lt;100000000,VALUE($A1737),1000000000),IFERROR(IF(VALUE(MID($A1737,2,20))&lt;100000000,VALUE(MID($A1737,2,20)),1000000000),1000000000))+ROW()/100000,"")</f>
        <v/>
      </c>
    </row>
    <row r="1738">
      <c r="F1738" s="7">
        <f>IF($A1738="","",E1738*N1738/100)</f>
        <v/>
      </c>
      <c r="J1738" s="7" t="n"/>
      <c r="K1738" s="7">
        <f>IF($A1738="","",S1738*N1738)</f>
        <v/>
      </c>
      <c r="L1738" s="7">
        <f>IF($A1738="","",N1738-K1738)</f>
        <v/>
      </c>
      <c r="M1738" s="7">
        <f>IF($A1738="","",L1738-F1738)</f>
        <v/>
      </c>
      <c r="N1738" s="7" t="n"/>
      <c r="Q1738" s="11" t="n"/>
      <c r="S1738">
        <f>IF($A1738="","",IF($W1738=1,Settings!$C$6,Settings!$C$7)*1)</f>
        <v/>
      </c>
      <c r="U1738">
        <f>IF($A1738="","",IF(COUNTIF($A$2:$A1738,$A1738)=1,1,0))</f>
        <v/>
      </c>
      <c r="V1738">
        <f>IF($U1738=1,SUMPRODUCT(--($X$2:$X$3001&lt;$X1738))+1,"")</f>
        <v/>
      </c>
      <c r="W1738">
        <f>IF($A1738="","",IF(OR($T1738=TRUE(),$T1738="TRUE"),1,0))</f>
        <v/>
      </c>
      <c r="X1738">
        <f>IF($U1738=1,IFERROR(IF(VALUE($A1738)&lt;100000000,VALUE($A1738),1000000000),IFERROR(IF(VALUE(MID($A1738,2,20))&lt;100000000,VALUE(MID($A1738,2,20)),1000000000),1000000000))+ROW()/100000,"")</f>
        <v/>
      </c>
    </row>
    <row r="1739">
      <c r="F1739" s="7">
        <f>IF($A1739="","",E1739*N1739/100)</f>
        <v/>
      </c>
      <c r="J1739" s="7" t="n"/>
      <c r="K1739" s="7">
        <f>IF($A1739="","",S1739*N1739)</f>
        <v/>
      </c>
      <c r="L1739" s="7">
        <f>IF($A1739="","",N1739-K1739)</f>
        <v/>
      </c>
      <c r="M1739" s="7">
        <f>IF($A1739="","",L1739-F1739)</f>
        <v/>
      </c>
      <c r="N1739" s="7" t="n"/>
      <c r="Q1739" s="11" t="n"/>
      <c r="S1739">
        <f>IF($A1739="","",IF($W1739=1,Settings!$C$6,Settings!$C$7)*1)</f>
        <v/>
      </c>
      <c r="U1739">
        <f>IF($A1739="","",IF(COUNTIF($A$2:$A1739,$A1739)=1,1,0))</f>
        <v/>
      </c>
      <c r="V1739">
        <f>IF($U1739=1,SUMPRODUCT(--($X$2:$X$3001&lt;$X1739))+1,"")</f>
        <v/>
      </c>
      <c r="W1739">
        <f>IF($A1739="","",IF(OR($T1739=TRUE(),$T1739="TRUE"),1,0))</f>
        <v/>
      </c>
      <c r="X1739">
        <f>IF($U1739=1,IFERROR(IF(VALUE($A1739)&lt;100000000,VALUE($A1739),1000000000),IFERROR(IF(VALUE(MID($A1739,2,20))&lt;100000000,VALUE(MID($A1739,2,20)),1000000000),1000000000))+ROW()/100000,"")</f>
        <v/>
      </c>
    </row>
    <row r="1740">
      <c r="F1740" s="7">
        <f>IF($A1740="","",E1740*N1740/100)</f>
        <v/>
      </c>
      <c r="J1740" s="7" t="n"/>
      <c r="K1740" s="7">
        <f>IF($A1740="","",S1740*N1740)</f>
        <v/>
      </c>
      <c r="L1740" s="7">
        <f>IF($A1740="","",N1740-K1740)</f>
        <v/>
      </c>
      <c r="M1740" s="7">
        <f>IF($A1740="","",L1740-F1740)</f>
        <v/>
      </c>
      <c r="N1740" s="7" t="n"/>
      <c r="Q1740" s="11" t="n"/>
      <c r="S1740">
        <f>IF($A1740="","",IF($W1740=1,Settings!$C$6,Settings!$C$7)*1)</f>
        <v/>
      </c>
      <c r="U1740">
        <f>IF($A1740="","",IF(COUNTIF($A$2:$A1740,$A1740)=1,1,0))</f>
        <v/>
      </c>
      <c r="V1740">
        <f>IF($U1740=1,SUMPRODUCT(--($X$2:$X$3001&lt;$X1740))+1,"")</f>
        <v/>
      </c>
      <c r="W1740">
        <f>IF($A1740="","",IF(OR($T1740=TRUE(),$T1740="TRUE"),1,0))</f>
        <v/>
      </c>
      <c r="X1740">
        <f>IF($U1740=1,IFERROR(IF(VALUE($A1740)&lt;100000000,VALUE($A1740),1000000000),IFERROR(IF(VALUE(MID($A1740,2,20))&lt;100000000,VALUE(MID($A1740,2,20)),1000000000),1000000000))+ROW()/100000,"")</f>
        <v/>
      </c>
    </row>
    <row r="1741">
      <c r="F1741" s="7">
        <f>IF($A1741="","",E1741*N1741/100)</f>
        <v/>
      </c>
      <c r="J1741" s="7" t="n"/>
      <c r="K1741" s="7">
        <f>IF($A1741="","",S1741*N1741)</f>
        <v/>
      </c>
      <c r="L1741" s="7">
        <f>IF($A1741="","",N1741-K1741)</f>
        <v/>
      </c>
      <c r="M1741" s="7">
        <f>IF($A1741="","",L1741-F1741)</f>
        <v/>
      </c>
      <c r="N1741" s="7" t="n"/>
      <c r="Q1741" s="11" t="n"/>
      <c r="S1741">
        <f>IF($A1741="","",IF($W1741=1,Settings!$C$6,Settings!$C$7)*1)</f>
        <v/>
      </c>
      <c r="U1741">
        <f>IF($A1741="","",IF(COUNTIF($A$2:$A1741,$A1741)=1,1,0))</f>
        <v/>
      </c>
      <c r="V1741">
        <f>IF($U1741=1,SUMPRODUCT(--($X$2:$X$3001&lt;$X1741))+1,"")</f>
        <v/>
      </c>
      <c r="W1741">
        <f>IF($A1741="","",IF(OR($T1741=TRUE(),$T1741="TRUE"),1,0))</f>
        <v/>
      </c>
      <c r="X1741">
        <f>IF($U1741=1,IFERROR(IF(VALUE($A1741)&lt;100000000,VALUE($A1741),1000000000),IFERROR(IF(VALUE(MID($A1741,2,20))&lt;100000000,VALUE(MID($A1741,2,20)),1000000000),1000000000))+ROW()/100000,"")</f>
        <v/>
      </c>
    </row>
    <row r="1742">
      <c r="F1742" s="7">
        <f>IF($A1742="","",E1742*N1742/100)</f>
        <v/>
      </c>
      <c r="J1742" s="7" t="n"/>
      <c r="K1742" s="7">
        <f>IF($A1742="","",S1742*N1742)</f>
        <v/>
      </c>
      <c r="L1742" s="7">
        <f>IF($A1742="","",N1742-K1742)</f>
        <v/>
      </c>
      <c r="M1742" s="7">
        <f>IF($A1742="","",L1742-F1742)</f>
        <v/>
      </c>
      <c r="N1742" s="7" t="n"/>
      <c r="Q1742" s="11" t="n"/>
      <c r="S1742">
        <f>IF($A1742="","",IF($W1742=1,Settings!$C$6,Settings!$C$7)*1)</f>
        <v/>
      </c>
      <c r="U1742">
        <f>IF($A1742="","",IF(COUNTIF($A$2:$A1742,$A1742)=1,1,0))</f>
        <v/>
      </c>
      <c r="V1742">
        <f>IF($U1742=1,SUMPRODUCT(--($X$2:$X$3001&lt;$X1742))+1,"")</f>
        <v/>
      </c>
      <c r="W1742">
        <f>IF($A1742="","",IF(OR($T1742=TRUE(),$T1742="TRUE"),1,0))</f>
        <v/>
      </c>
      <c r="X1742">
        <f>IF($U1742=1,IFERROR(IF(VALUE($A1742)&lt;100000000,VALUE($A1742),1000000000),IFERROR(IF(VALUE(MID($A1742,2,20))&lt;100000000,VALUE(MID($A1742,2,20)),1000000000),1000000000))+ROW()/100000,"")</f>
        <v/>
      </c>
    </row>
    <row r="1743">
      <c r="F1743" s="7">
        <f>IF($A1743="","",E1743*N1743/100)</f>
        <v/>
      </c>
      <c r="J1743" s="7" t="n"/>
      <c r="K1743" s="7">
        <f>IF($A1743="","",S1743*N1743)</f>
        <v/>
      </c>
      <c r="L1743" s="7">
        <f>IF($A1743="","",N1743-K1743)</f>
        <v/>
      </c>
      <c r="M1743" s="7">
        <f>IF($A1743="","",L1743-F1743)</f>
        <v/>
      </c>
      <c r="N1743" s="7" t="n"/>
      <c r="Q1743" s="11" t="n"/>
      <c r="S1743">
        <f>IF($A1743="","",IF($W1743=1,Settings!$C$6,Settings!$C$7)*1)</f>
        <v/>
      </c>
      <c r="U1743">
        <f>IF($A1743="","",IF(COUNTIF($A$2:$A1743,$A1743)=1,1,0))</f>
        <v/>
      </c>
      <c r="V1743">
        <f>IF($U1743=1,SUMPRODUCT(--($X$2:$X$3001&lt;$X1743))+1,"")</f>
        <v/>
      </c>
      <c r="W1743">
        <f>IF($A1743="","",IF(OR($T1743=TRUE(),$T1743="TRUE"),1,0))</f>
        <v/>
      </c>
      <c r="X1743">
        <f>IF($U1743=1,IFERROR(IF(VALUE($A1743)&lt;100000000,VALUE($A1743),1000000000),IFERROR(IF(VALUE(MID($A1743,2,20))&lt;100000000,VALUE(MID($A1743,2,20)),1000000000),1000000000))+ROW()/100000,"")</f>
        <v/>
      </c>
    </row>
    <row r="1744">
      <c r="F1744" s="7">
        <f>IF($A1744="","",E1744*N1744/100)</f>
        <v/>
      </c>
      <c r="J1744" s="7" t="n"/>
      <c r="K1744" s="7">
        <f>IF($A1744="","",S1744*N1744)</f>
        <v/>
      </c>
      <c r="L1744" s="7">
        <f>IF($A1744="","",N1744-K1744)</f>
        <v/>
      </c>
      <c r="M1744" s="7">
        <f>IF($A1744="","",L1744-F1744)</f>
        <v/>
      </c>
      <c r="N1744" s="7" t="n"/>
      <c r="Q1744" s="11" t="n"/>
      <c r="S1744">
        <f>IF($A1744="","",IF($W1744=1,Settings!$C$6,Settings!$C$7)*1)</f>
        <v/>
      </c>
      <c r="U1744">
        <f>IF($A1744="","",IF(COUNTIF($A$2:$A1744,$A1744)=1,1,0))</f>
        <v/>
      </c>
      <c r="V1744">
        <f>IF($U1744=1,SUMPRODUCT(--($X$2:$X$3001&lt;$X1744))+1,"")</f>
        <v/>
      </c>
      <c r="W1744">
        <f>IF($A1744="","",IF(OR($T1744=TRUE(),$T1744="TRUE"),1,0))</f>
        <v/>
      </c>
      <c r="X1744">
        <f>IF($U1744=1,IFERROR(IF(VALUE($A1744)&lt;100000000,VALUE($A1744),1000000000),IFERROR(IF(VALUE(MID($A1744,2,20))&lt;100000000,VALUE(MID($A1744,2,20)),1000000000),1000000000))+ROW()/100000,"")</f>
        <v/>
      </c>
    </row>
    <row r="1745">
      <c r="F1745" s="7">
        <f>IF($A1745="","",E1745*N1745/100)</f>
        <v/>
      </c>
      <c r="J1745" s="7" t="n"/>
      <c r="K1745" s="7">
        <f>IF($A1745="","",S1745*N1745)</f>
        <v/>
      </c>
      <c r="L1745" s="7">
        <f>IF($A1745="","",N1745-K1745)</f>
        <v/>
      </c>
      <c r="M1745" s="7">
        <f>IF($A1745="","",L1745-F1745)</f>
        <v/>
      </c>
      <c r="N1745" s="7" t="n"/>
      <c r="Q1745" s="11" t="n"/>
      <c r="S1745">
        <f>IF($A1745="","",IF($W1745=1,Settings!$C$6,Settings!$C$7)*1)</f>
        <v/>
      </c>
      <c r="U1745">
        <f>IF($A1745="","",IF(COUNTIF($A$2:$A1745,$A1745)=1,1,0))</f>
        <v/>
      </c>
      <c r="V1745">
        <f>IF($U1745=1,SUMPRODUCT(--($X$2:$X$3001&lt;$X1745))+1,"")</f>
        <v/>
      </c>
      <c r="W1745">
        <f>IF($A1745="","",IF(OR($T1745=TRUE(),$T1745="TRUE"),1,0))</f>
        <v/>
      </c>
      <c r="X1745">
        <f>IF($U1745=1,IFERROR(IF(VALUE($A1745)&lt;100000000,VALUE($A1745),1000000000),IFERROR(IF(VALUE(MID($A1745,2,20))&lt;100000000,VALUE(MID($A1745,2,20)),1000000000),1000000000))+ROW()/100000,"")</f>
        <v/>
      </c>
    </row>
    <row r="1746">
      <c r="F1746" s="7">
        <f>IF($A1746="","",E1746*N1746/100)</f>
        <v/>
      </c>
      <c r="J1746" s="7" t="n"/>
      <c r="K1746" s="7">
        <f>IF($A1746="","",S1746*N1746)</f>
        <v/>
      </c>
      <c r="L1746" s="7">
        <f>IF($A1746="","",N1746-K1746)</f>
        <v/>
      </c>
      <c r="M1746" s="7">
        <f>IF($A1746="","",L1746-F1746)</f>
        <v/>
      </c>
      <c r="N1746" s="7" t="n"/>
      <c r="Q1746" s="11" t="n"/>
      <c r="S1746">
        <f>IF($A1746="","",IF($W1746=1,Settings!$C$6,Settings!$C$7)*1)</f>
        <v/>
      </c>
      <c r="U1746">
        <f>IF($A1746="","",IF(COUNTIF($A$2:$A1746,$A1746)=1,1,0))</f>
        <v/>
      </c>
      <c r="V1746">
        <f>IF($U1746=1,SUMPRODUCT(--($X$2:$X$3001&lt;$X1746))+1,"")</f>
        <v/>
      </c>
      <c r="W1746">
        <f>IF($A1746="","",IF(OR($T1746=TRUE(),$T1746="TRUE"),1,0))</f>
        <v/>
      </c>
      <c r="X1746">
        <f>IF($U1746=1,IFERROR(IF(VALUE($A1746)&lt;100000000,VALUE($A1746),1000000000),IFERROR(IF(VALUE(MID($A1746,2,20))&lt;100000000,VALUE(MID($A1746,2,20)),1000000000),1000000000))+ROW()/100000,"")</f>
        <v/>
      </c>
    </row>
    <row r="1747">
      <c r="F1747" s="7">
        <f>IF($A1747="","",E1747*N1747/100)</f>
        <v/>
      </c>
      <c r="J1747" s="7" t="n"/>
      <c r="K1747" s="7">
        <f>IF($A1747="","",S1747*N1747)</f>
        <v/>
      </c>
      <c r="L1747" s="7">
        <f>IF($A1747="","",N1747-K1747)</f>
        <v/>
      </c>
      <c r="M1747" s="7">
        <f>IF($A1747="","",L1747-F1747)</f>
        <v/>
      </c>
      <c r="N1747" s="7" t="n"/>
      <c r="Q1747" s="11" t="n"/>
      <c r="S1747">
        <f>IF($A1747="","",IF($W1747=1,Settings!$C$6,Settings!$C$7)*1)</f>
        <v/>
      </c>
      <c r="U1747">
        <f>IF($A1747="","",IF(COUNTIF($A$2:$A1747,$A1747)=1,1,0))</f>
        <v/>
      </c>
      <c r="V1747">
        <f>IF($U1747=1,SUMPRODUCT(--($X$2:$X$3001&lt;$X1747))+1,"")</f>
        <v/>
      </c>
      <c r="W1747">
        <f>IF($A1747="","",IF(OR($T1747=TRUE(),$T1747="TRUE"),1,0))</f>
        <v/>
      </c>
      <c r="X1747">
        <f>IF($U1747=1,IFERROR(IF(VALUE($A1747)&lt;100000000,VALUE($A1747),1000000000),IFERROR(IF(VALUE(MID($A1747,2,20))&lt;100000000,VALUE(MID($A1747,2,20)),1000000000),1000000000))+ROW()/100000,"")</f>
        <v/>
      </c>
    </row>
    <row r="1748">
      <c r="F1748" s="7">
        <f>IF($A1748="","",E1748*N1748/100)</f>
        <v/>
      </c>
      <c r="J1748" s="7" t="n"/>
      <c r="K1748" s="7">
        <f>IF($A1748="","",S1748*N1748)</f>
        <v/>
      </c>
      <c r="L1748" s="7">
        <f>IF($A1748="","",N1748-K1748)</f>
        <v/>
      </c>
      <c r="M1748" s="7">
        <f>IF($A1748="","",L1748-F1748)</f>
        <v/>
      </c>
      <c r="N1748" s="7" t="n"/>
      <c r="Q1748" s="11" t="n"/>
      <c r="S1748">
        <f>IF($A1748="","",IF($W1748=1,Settings!$C$6,Settings!$C$7)*1)</f>
        <v/>
      </c>
      <c r="U1748">
        <f>IF($A1748="","",IF(COUNTIF($A$2:$A1748,$A1748)=1,1,0))</f>
        <v/>
      </c>
      <c r="V1748">
        <f>IF($U1748=1,SUMPRODUCT(--($X$2:$X$3001&lt;$X1748))+1,"")</f>
        <v/>
      </c>
      <c r="W1748">
        <f>IF($A1748="","",IF(OR($T1748=TRUE(),$T1748="TRUE"),1,0))</f>
        <v/>
      </c>
      <c r="X1748">
        <f>IF($U1748=1,IFERROR(IF(VALUE($A1748)&lt;100000000,VALUE($A1748),1000000000),IFERROR(IF(VALUE(MID($A1748,2,20))&lt;100000000,VALUE(MID($A1748,2,20)),1000000000),1000000000))+ROW()/100000,"")</f>
        <v/>
      </c>
    </row>
    <row r="1749">
      <c r="F1749" s="7">
        <f>IF($A1749="","",E1749*N1749/100)</f>
        <v/>
      </c>
      <c r="J1749" s="7" t="n"/>
      <c r="K1749" s="7">
        <f>IF($A1749="","",S1749*N1749)</f>
        <v/>
      </c>
      <c r="L1749" s="7">
        <f>IF($A1749="","",N1749-K1749)</f>
        <v/>
      </c>
      <c r="M1749" s="7">
        <f>IF($A1749="","",L1749-F1749)</f>
        <v/>
      </c>
      <c r="N1749" s="7" t="n"/>
      <c r="Q1749" s="11" t="n"/>
      <c r="S1749">
        <f>IF($A1749="","",IF($W1749=1,Settings!$C$6,Settings!$C$7)*1)</f>
        <v/>
      </c>
      <c r="U1749">
        <f>IF($A1749="","",IF(COUNTIF($A$2:$A1749,$A1749)=1,1,0))</f>
        <v/>
      </c>
      <c r="V1749">
        <f>IF($U1749=1,SUMPRODUCT(--($X$2:$X$3001&lt;$X1749))+1,"")</f>
        <v/>
      </c>
      <c r="W1749">
        <f>IF($A1749="","",IF(OR($T1749=TRUE(),$T1749="TRUE"),1,0))</f>
        <v/>
      </c>
      <c r="X1749">
        <f>IF($U1749=1,IFERROR(IF(VALUE($A1749)&lt;100000000,VALUE($A1749),1000000000),IFERROR(IF(VALUE(MID($A1749,2,20))&lt;100000000,VALUE(MID($A1749,2,20)),1000000000),1000000000))+ROW()/100000,"")</f>
        <v/>
      </c>
    </row>
    <row r="1750">
      <c r="F1750" s="7">
        <f>IF($A1750="","",E1750*N1750/100)</f>
        <v/>
      </c>
      <c r="J1750" s="7" t="n"/>
      <c r="K1750" s="7">
        <f>IF($A1750="","",S1750*N1750)</f>
        <v/>
      </c>
      <c r="L1750" s="7">
        <f>IF($A1750="","",N1750-K1750)</f>
        <v/>
      </c>
      <c r="M1750" s="7">
        <f>IF($A1750="","",L1750-F1750)</f>
        <v/>
      </c>
      <c r="N1750" s="7" t="n"/>
      <c r="Q1750" s="11" t="n"/>
      <c r="S1750">
        <f>IF($A1750="","",IF($W1750=1,Settings!$C$6,Settings!$C$7)*1)</f>
        <v/>
      </c>
      <c r="U1750">
        <f>IF($A1750="","",IF(COUNTIF($A$2:$A1750,$A1750)=1,1,0))</f>
        <v/>
      </c>
      <c r="V1750">
        <f>IF($U1750=1,SUMPRODUCT(--($X$2:$X$3001&lt;$X1750))+1,"")</f>
        <v/>
      </c>
      <c r="W1750">
        <f>IF($A1750="","",IF(OR($T1750=TRUE(),$T1750="TRUE"),1,0))</f>
        <v/>
      </c>
      <c r="X1750">
        <f>IF($U1750=1,IFERROR(IF(VALUE($A1750)&lt;100000000,VALUE($A1750),1000000000),IFERROR(IF(VALUE(MID($A1750,2,20))&lt;100000000,VALUE(MID($A1750,2,20)),1000000000),1000000000))+ROW()/100000,"")</f>
        <v/>
      </c>
    </row>
    <row r="1751">
      <c r="F1751" s="7">
        <f>IF($A1751="","",E1751*N1751/100)</f>
        <v/>
      </c>
      <c r="J1751" s="7" t="n"/>
      <c r="K1751" s="7">
        <f>IF($A1751="","",S1751*N1751)</f>
        <v/>
      </c>
      <c r="L1751" s="7">
        <f>IF($A1751="","",N1751-K1751)</f>
        <v/>
      </c>
      <c r="M1751" s="7">
        <f>IF($A1751="","",L1751-F1751)</f>
        <v/>
      </c>
      <c r="N1751" s="7" t="n"/>
      <c r="Q1751" s="11" t="n"/>
      <c r="S1751">
        <f>IF($A1751="","",IF($W1751=1,Settings!$C$6,Settings!$C$7)*1)</f>
        <v/>
      </c>
      <c r="U1751">
        <f>IF($A1751="","",IF(COUNTIF($A$2:$A1751,$A1751)=1,1,0))</f>
        <v/>
      </c>
      <c r="V1751">
        <f>IF($U1751=1,SUMPRODUCT(--($X$2:$X$3001&lt;$X1751))+1,"")</f>
        <v/>
      </c>
      <c r="W1751">
        <f>IF($A1751="","",IF(OR($T1751=TRUE(),$T1751="TRUE"),1,0))</f>
        <v/>
      </c>
      <c r="X1751">
        <f>IF($U1751=1,IFERROR(IF(VALUE($A1751)&lt;100000000,VALUE($A1751),1000000000),IFERROR(IF(VALUE(MID($A1751,2,20))&lt;100000000,VALUE(MID($A1751,2,20)),1000000000),1000000000))+ROW()/100000,"")</f>
        <v/>
      </c>
    </row>
    <row r="1752">
      <c r="F1752" s="7">
        <f>IF($A1752="","",E1752*N1752/100)</f>
        <v/>
      </c>
      <c r="J1752" s="7" t="n"/>
      <c r="K1752" s="7">
        <f>IF($A1752="","",S1752*N1752)</f>
        <v/>
      </c>
      <c r="L1752" s="7">
        <f>IF($A1752="","",N1752-K1752)</f>
        <v/>
      </c>
      <c r="M1752" s="7">
        <f>IF($A1752="","",L1752-F1752)</f>
        <v/>
      </c>
      <c r="N1752" s="7" t="n"/>
      <c r="Q1752" s="11" t="n"/>
      <c r="S1752">
        <f>IF($A1752="","",IF($W1752=1,Settings!$C$6,Settings!$C$7)*1)</f>
        <v/>
      </c>
      <c r="U1752">
        <f>IF($A1752="","",IF(COUNTIF($A$2:$A1752,$A1752)=1,1,0))</f>
        <v/>
      </c>
      <c r="V1752">
        <f>IF($U1752=1,SUMPRODUCT(--($X$2:$X$3001&lt;$X1752))+1,"")</f>
        <v/>
      </c>
      <c r="W1752">
        <f>IF($A1752="","",IF(OR($T1752=TRUE(),$T1752="TRUE"),1,0))</f>
        <v/>
      </c>
      <c r="X1752">
        <f>IF($U1752=1,IFERROR(IF(VALUE($A1752)&lt;100000000,VALUE($A1752),1000000000),IFERROR(IF(VALUE(MID($A1752,2,20))&lt;100000000,VALUE(MID($A1752,2,20)),1000000000),1000000000))+ROW()/100000,"")</f>
        <v/>
      </c>
    </row>
    <row r="1753">
      <c r="F1753" s="7">
        <f>IF($A1753="","",E1753*N1753/100)</f>
        <v/>
      </c>
      <c r="J1753" s="7" t="n"/>
      <c r="K1753" s="7">
        <f>IF($A1753="","",S1753*N1753)</f>
        <v/>
      </c>
      <c r="L1753" s="7">
        <f>IF($A1753="","",N1753-K1753)</f>
        <v/>
      </c>
      <c r="M1753" s="7">
        <f>IF($A1753="","",L1753-F1753)</f>
        <v/>
      </c>
      <c r="N1753" s="7" t="n"/>
      <c r="Q1753" s="11" t="n"/>
      <c r="S1753">
        <f>IF($A1753="","",IF($W1753=1,Settings!$C$6,Settings!$C$7)*1)</f>
        <v/>
      </c>
      <c r="U1753">
        <f>IF($A1753="","",IF(COUNTIF($A$2:$A1753,$A1753)=1,1,0))</f>
        <v/>
      </c>
      <c r="V1753">
        <f>IF($U1753=1,SUMPRODUCT(--($X$2:$X$3001&lt;$X1753))+1,"")</f>
        <v/>
      </c>
      <c r="W1753">
        <f>IF($A1753="","",IF(OR($T1753=TRUE(),$T1753="TRUE"),1,0))</f>
        <v/>
      </c>
      <c r="X1753">
        <f>IF($U1753=1,IFERROR(IF(VALUE($A1753)&lt;100000000,VALUE($A1753),1000000000),IFERROR(IF(VALUE(MID($A1753,2,20))&lt;100000000,VALUE(MID($A1753,2,20)),1000000000),1000000000))+ROW()/100000,"")</f>
        <v/>
      </c>
    </row>
    <row r="1754">
      <c r="F1754" s="7">
        <f>IF($A1754="","",E1754*N1754/100)</f>
        <v/>
      </c>
      <c r="J1754" s="7" t="n"/>
      <c r="K1754" s="7">
        <f>IF($A1754="","",S1754*N1754)</f>
        <v/>
      </c>
      <c r="L1754" s="7">
        <f>IF($A1754="","",N1754-K1754)</f>
        <v/>
      </c>
      <c r="M1754" s="7">
        <f>IF($A1754="","",L1754-F1754)</f>
        <v/>
      </c>
      <c r="N1754" s="7" t="n"/>
      <c r="Q1754" s="11" t="n"/>
      <c r="S1754">
        <f>IF($A1754="","",IF($W1754=1,Settings!$C$6,Settings!$C$7)*1)</f>
        <v/>
      </c>
      <c r="U1754">
        <f>IF($A1754="","",IF(COUNTIF($A$2:$A1754,$A1754)=1,1,0))</f>
        <v/>
      </c>
      <c r="V1754">
        <f>IF($U1754=1,SUMPRODUCT(--($X$2:$X$3001&lt;$X1754))+1,"")</f>
        <v/>
      </c>
      <c r="W1754">
        <f>IF($A1754="","",IF(OR($T1754=TRUE(),$T1754="TRUE"),1,0))</f>
        <v/>
      </c>
      <c r="X1754">
        <f>IF($U1754=1,IFERROR(IF(VALUE($A1754)&lt;100000000,VALUE($A1754),1000000000),IFERROR(IF(VALUE(MID($A1754,2,20))&lt;100000000,VALUE(MID($A1754,2,20)),1000000000),1000000000))+ROW()/100000,"")</f>
        <v/>
      </c>
    </row>
    <row r="1755">
      <c r="F1755" s="7">
        <f>IF($A1755="","",E1755*N1755/100)</f>
        <v/>
      </c>
      <c r="J1755" s="7" t="n"/>
      <c r="K1755" s="7">
        <f>IF($A1755="","",S1755*N1755)</f>
        <v/>
      </c>
      <c r="L1755" s="7">
        <f>IF($A1755="","",N1755-K1755)</f>
        <v/>
      </c>
      <c r="M1755" s="7">
        <f>IF($A1755="","",L1755-F1755)</f>
        <v/>
      </c>
      <c r="N1755" s="7" t="n"/>
      <c r="Q1755" s="11" t="n"/>
      <c r="S1755">
        <f>IF($A1755="","",IF($W1755=1,Settings!$C$6,Settings!$C$7)*1)</f>
        <v/>
      </c>
      <c r="U1755">
        <f>IF($A1755="","",IF(COUNTIF($A$2:$A1755,$A1755)=1,1,0))</f>
        <v/>
      </c>
      <c r="V1755">
        <f>IF($U1755=1,SUMPRODUCT(--($X$2:$X$3001&lt;$X1755))+1,"")</f>
        <v/>
      </c>
      <c r="W1755">
        <f>IF($A1755="","",IF(OR($T1755=TRUE(),$T1755="TRUE"),1,0))</f>
        <v/>
      </c>
      <c r="X1755">
        <f>IF($U1755=1,IFERROR(IF(VALUE($A1755)&lt;100000000,VALUE($A1755),1000000000),IFERROR(IF(VALUE(MID($A1755,2,20))&lt;100000000,VALUE(MID($A1755,2,20)),1000000000),1000000000))+ROW()/100000,"")</f>
        <v/>
      </c>
    </row>
    <row r="1756">
      <c r="F1756" s="7">
        <f>IF($A1756="","",E1756*N1756/100)</f>
        <v/>
      </c>
      <c r="J1756" s="7" t="n"/>
      <c r="K1756" s="7">
        <f>IF($A1756="","",S1756*N1756)</f>
        <v/>
      </c>
      <c r="L1756" s="7">
        <f>IF($A1756="","",N1756-K1756)</f>
        <v/>
      </c>
      <c r="M1756" s="7">
        <f>IF($A1756="","",L1756-F1756)</f>
        <v/>
      </c>
      <c r="N1756" s="7" t="n"/>
      <c r="Q1756" s="11" t="n"/>
      <c r="S1756">
        <f>IF($A1756="","",IF($W1756=1,Settings!$C$6,Settings!$C$7)*1)</f>
        <v/>
      </c>
      <c r="U1756">
        <f>IF($A1756="","",IF(COUNTIF($A$2:$A1756,$A1756)=1,1,0))</f>
        <v/>
      </c>
      <c r="V1756">
        <f>IF($U1756=1,SUMPRODUCT(--($X$2:$X$3001&lt;$X1756))+1,"")</f>
        <v/>
      </c>
      <c r="W1756">
        <f>IF($A1756="","",IF(OR($T1756=TRUE(),$T1756="TRUE"),1,0))</f>
        <v/>
      </c>
      <c r="X1756">
        <f>IF($U1756=1,IFERROR(IF(VALUE($A1756)&lt;100000000,VALUE($A1756),1000000000),IFERROR(IF(VALUE(MID($A1756,2,20))&lt;100000000,VALUE(MID($A1756,2,20)),1000000000),1000000000))+ROW()/100000,"")</f>
        <v/>
      </c>
    </row>
    <row r="1757">
      <c r="F1757" s="7">
        <f>IF($A1757="","",E1757*N1757/100)</f>
        <v/>
      </c>
      <c r="J1757" s="7" t="n"/>
      <c r="K1757" s="7">
        <f>IF($A1757="","",S1757*N1757)</f>
        <v/>
      </c>
      <c r="L1757" s="7">
        <f>IF($A1757="","",N1757-K1757)</f>
        <v/>
      </c>
      <c r="M1757" s="7">
        <f>IF($A1757="","",L1757-F1757)</f>
        <v/>
      </c>
      <c r="N1757" s="7" t="n"/>
      <c r="Q1757" s="11" t="n"/>
      <c r="S1757">
        <f>IF($A1757="","",IF($W1757=1,Settings!$C$6,Settings!$C$7)*1)</f>
        <v/>
      </c>
      <c r="U1757">
        <f>IF($A1757="","",IF(COUNTIF($A$2:$A1757,$A1757)=1,1,0))</f>
        <v/>
      </c>
      <c r="V1757">
        <f>IF($U1757=1,SUMPRODUCT(--($X$2:$X$3001&lt;$X1757))+1,"")</f>
        <v/>
      </c>
      <c r="W1757">
        <f>IF($A1757="","",IF(OR($T1757=TRUE(),$T1757="TRUE"),1,0))</f>
        <v/>
      </c>
      <c r="X1757">
        <f>IF($U1757=1,IFERROR(IF(VALUE($A1757)&lt;100000000,VALUE($A1757),1000000000),IFERROR(IF(VALUE(MID($A1757,2,20))&lt;100000000,VALUE(MID($A1757,2,20)),1000000000),1000000000))+ROW()/100000,"")</f>
        <v/>
      </c>
    </row>
    <row r="1758">
      <c r="F1758" s="7">
        <f>IF($A1758="","",E1758*N1758/100)</f>
        <v/>
      </c>
      <c r="J1758" s="7" t="n"/>
      <c r="K1758" s="7">
        <f>IF($A1758="","",S1758*N1758)</f>
        <v/>
      </c>
      <c r="L1758" s="7">
        <f>IF($A1758="","",N1758-K1758)</f>
        <v/>
      </c>
      <c r="M1758" s="7">
        <f>IF($A1758="","",L1758-F1758)</f>
        <v/>
      </c>
      <c r="N1758" s="7" t="n"/>
      <c r="Q1758" s="11" t="n"/>
      <c r="S1758">
        <f>IF($A1758="","",IF($W1758=1,Settings!$C$6,Settings!$C$7)*1)</f>
        <v/>
      </c>
      <c r="U1758">
        <f>IF($A1758="","",IF(COUNTIF($A$2:$A1758,$A1758)=1,1,0))</f>
        <v/>
      </c>
      <c r="V1758">
        <f>IF($U1758=1,SUMPRODUCT(--($X$2:$X$3001&lt;$X1758))+1,"")</f>
        <v/>
      </c>
      <c r="W1758">
        <f>IF($A1758="","",IF(OR($T1758=TRUE(),$T1758="TRUE"),1,0))</f>
        <v/>
      </c>
      <c r="X1758">
        <f>IF($U1758=1,IFERROR(IF(VALUE($A1758)&lt;100000000,VALUE($A1758),1000000000),IFERROR(IF(VALUE(MID($A1758,2,20))&lt;100000000,VALUE(MID($A1758,2,20)),1000000000),1000000000))+ROW()/100000,"")</f>
        <v/>
      </c>
    </row>
    <row r="1759">
      <c r="F1759" s="7">
        <f>IF($A1759="","",E1759*N1759/100)</f>
        <v/>
      </c>
      <c r="J1759" s="7" t="n"/>
      <c r="K1759" s="7">
        <f>IF($A1759="","",S1759*N1759)</f>
        <v/>
      </c>
      <c r="L1759" s="7">
        <f>IF($A1759="","",N1759-K1759)</f>
        <v/>
      </c>
      <c r="M1759" s="7">
        <f>IF($A1759="","",L1759-F1759)</f>
        <v/>
      </c>
      <c r="N1759" s="7" t="n"/>
      <c r="Q1759" s="11" t="n"/>
      <c r="S1759">
        <f>IF($A1759="","",IF($W1759=1,Settings!$C$6,Settings!$C$7)*1)</f>
        <v/>
      </c>
      <c r="U1759">
        <f>IF($A1759="","",IF(COUNTIF($A$2:$A1759,$A1759)=1,1,0))</f>
        <v/>
      </c>
      <c r="V1759">
        <f>IF($U1759=1,SUMPRODUCT(--($X$2:$X$3001&lt;$X1759))+1,"")</f>
        <v/>
      </c>
      <c r="W1759">
        <f>IF($A1759="","",IF(OR($T1759=TRUE(),$T1759="TRUE"),1,0))</f>
        <v/>
      </c>
      <c r="X1759">
        <f>IF($U1759=1,IFERROR(IF(VALUE($A1759)&lt;100000000,VALUE($A1759),1000000000),IFERROR(IF(VALUE(MID($A1759,2,20))&lt;100000000,VALUE(MID($A1759,2,20)),1000000000),1000000000))+ROW()/100000,"")</f>
        <v/>
      </c>
    </row>
    <row r="1760">
      <c r="F1760" s="7">
        <f>IF($A1760="","",E1760*N1760/100)</f>
        <v/>
      </c>
      <c r="J1760" s="7" t="n"/>
      <c r="K1760" s="7">
        <f>IF($A1760="","",S1760*N1760)</f>
        <v/>
      </c>
      <c r="L1760" s="7">
        <f>IF($A1760="","",N1760-K1760)</f>
        <v/>
      </c>
      <c r="M1760" s="7">
        <f>IF($A1760="","",L1760-F1760)</f>
        <v/>
      </c>
      <c r="N1760" s="7" t="n"/>
      <c r="Q1760" s="11" t="n"/>
      <c r="S1760">
        <f>IF($A1760="","",IF($W1760=1,Settings!$C$6,Settings!$C$7)*1)</f>
        <v/>
      </c>
      <c r="U1760">
        <f>IF($A1760="","",IF(COUNTIF($A$2:$A1760,$A1760)=1,1,0))</f>
        <v/>
      </c>
      <c r="V1760">
        <f>IF($U1760=1,SUMPRODUCT(--($X$2:$X$3001&lt;$X1760))+1,"")</f>
        <v/>
      </c>
      <c r="W1760">
        <f>IF($A1760="","",IF(OR($T1760=TRUE(),$T1760="TRUE"),1,0))</f>
        <v/>
      </c>
      <c r="X1760">
        <f>IF($U1760=1,IFERROR(IF(VALUE($A1760)&lt;100000000,VALUE($A1760),1000000000),IFERROR(IF(VALUE(MID($A1760,2,20))&lt;100000000,VALUE(MID($A1760,2,20)),1000000000),1000000000))+ROW()/100000,"")</f>
        <v/>
      </c>
    </row>
    <row r="1761">
      <c r="F1761" s="7">
        <f>IF($A1761="","",E1761*N1761/100)</f>
        <v/>
      </c>
      <c r="J1761" s="7" t="n"/>
      <c r="K1761" s="7">
        <f>IF($A1761="","",S1761*N1761)</f>
        <v/>
      </c>
      <c r="L1761" s="7">
        <f>IF($A1761="","",N1761-K1761)</f>
        <v/>
      </c>
      <c r="M1761" s="7">
        <f>IF($A1761="","",L1761-F1761)</f>
        <v/>
      </c>
      <c r="N1761" s="7" t="n"/>
      <c r="Q1761" s="11" t="n"/>
      <c r="S1761">
        <f>IF($A1761="","",IF($W1761=1,Settings!$C$6,Settings!$C$7)*1)</f>
        <v/>
      </c>
      <c r="U1761">
        <f>IF($A1761="","",IF(COUNTIF($A$2:$A1761,$A1761)=1,1,0))</f>
        <v/>
      </c>
      <c r="V1761">
        <f>IF($U1761=1,SUMPRODUCT(--($X$2:$X$3001&lt;$X1761))+1,"")</f>
        <v/>
      </c>
      <c r="W1761">
        <f>IF($A1761="","",IF(OR($T1761=TRUE(),$T1761="TRUE"),1,0))</f>
        <v/>
      </c>
      <c r="X1761">
        <f>IF($U1761=1,IFERROR(IF(VALUE($A1761)&lt;100000000,VALUE($A1761),1000000000),IFERROR(IF(VALUE(MID($A1761,2,20))&lt;100000000,VALUE(MID($A1761,2,20)),1000000000),1000000000))+ROW()/100000,"")</f>
        <v/>
      </c>
    </row>
    <row r="1762">
      <c r="F1762" s="7">
        <f>IF($A1762="","",E1762*N1762/100)</f>
        <v/>
      </c>
      <c r="J1762" s="7" t="n"/>
      <c r="K1762" s="7">
        <f>IF($A1762="","",S1762*N1762)</f>
        <v/>
      </c>
      <c r="L1762" s="7">
        <f>IF($A1762="","",N1762-K1762)</f>
        <v/>
      </c>
      <c r="M1762" s="7">
        <f>IF($A1762="","",L1762-F1762)</f>
        <v/>
      </c>
      <c r="N1762" s="7" t="n"/>
      <c r="Q1762" s="11" t="n"/>
      <c r="S1762">
        <f>IF($A1762="","",IF($W1762=1,Settings!$C$6,Settings!$C$7)*1)</f>
        <v/>
      </c>
      <c r="U1762">
        <f>IF($A1762="","",IF(COUNTIF($A$2:$A1762,$A1762)=1,1,0))</f>
        <v/>
      </c>
      <c r="V1762">
        <f>IF($U1762=1,SUMPRODUCT(--($X$2:$X$3001&lt;$X1762))+1,"")</f>
        <v/>
      </c>
      <c r="W1762">
        <f>IF($A1762="","",IF(OR($T1762=TRUE(),$T1762="TRUE"),1,0))</f>
        <v/>
      </c>
      <c r="X1762">
        <f>IF($U1762=1,IFERROR(IF(VALUE($A1762)&lt;100000000,VALUE($A1762),1000000000),IFERROR(IF(VALUE(MID($A1762,2,20))&lt;100000000,VALUE(MID($A1762,2,20)),1000000000),1000000000))+ROW()/100000,"")</f>
        <v/>
      </c>
    </row>
    <row r="1763">
      <c r="F1763" s="7">
        <f>IF($A1763="","",E1763*N1763/100)</f>
        <v/>
      </c>
      <c r="J1763" s="7" t="n"/>
      <c r="K1763" s="7">
        <f>IF($A1763="","",S1763*N1763)</f>
        <v/>
      </c>
      <c r="L1763" s="7">
        <f>IF($A1763="","",N1763-K1763)</f>
        <v/>
      </c>
      <c r="M1763" s="7">
        <f>IF($A1763="","",L1763-F1763)</f>
        <v/>
      </c>
      <c r="N1763" s="7" t="n"/>
      <c r="Q1763" s="11" t="n"/>
      <c r="S1763">
        <f>IF($A1763="","",IF($W1763=1,Settings!$C$6,Settings!$C$7)*1)</f>
        <v/>
      </c>
      <c r="U1763">
        <f>IF($A1763="","",IF(COUNTIF($A$2:$A1763,$A1763)=1,1,0))</f>
        <v/>
      </c>
      <c r="V1763">
        <f>IF($U1763=1,SUMPRODUCT(--($X$2:$X$3001&lt;$X1763))+1,"")</f>
        <v/>
      </c>
      <c r="W1763">
        <f>IF($A1763="","",IF(OR($T1763=TRUE(),$T1763="TRUE"),1,0))</f>
        <v/>
      </c>
      <c r="X1763">
        <f>IF($U1763=1,IFERROR(IF(VALUE($A1763)&lt;100000000,VALUE($A1763),1000000000),IFERROR(IF(VALUE(MID($A1763,2,20))&lt;100000000,VALUE(MID($A1763,2,20)),1000000000),1000000000))+ROW()/100000,"")</f>
        <v/>
      </c>
    </row>
    <row r="1764">
      <c r="F1764" s="7">
        <f>IF($A1764="","",E1764*N1764/100)</f>
        <v/>
      </c>
      <c r="J1764" s="7" t="n"/>
      <c r="K1764" s="7">
        <f>IF($A1764="","",S1764*N1764)</f>
        <v/>
      </c>
      <c r="L1764" s="7">
        <f>IF($A1764="","",N1764-K1764)</f>
        <v/>
      </c>
      <c r="M1764" s="7">
        <f>IF($A1764="","",L1764-F1764)</f>
        <v/>
      </c>
      <c r="N1764" s="7" t="n"/>
      <c r="Q1764" s="11" t="n"/>
      <c r="S1764">
        <f>IF($A1764="","",IF($W1764=1,Settings!$C$6,Settings!$C$7)*1)</f>
        <v/>
      </c>
      <c r="U1764">
        <f>IF($A1764="","",IF(COUNTIF($A$2:$A1764,$A1764)=1,1,0))</f>
        <v/>
      </c>
      <c r="V1764">
        <f>IF($U1764=1,SUMPRODUCT(--($X$2:$X$3001&lt;$X1764))+1,"")</f>
        <v/>
      </c>
      <c r="W1764">
        <f>IF($A1764="","",IF(OR($T1764=TRUE(),$T1764="TRUE"),1,0))</f>
        <v/>
      </c>
      <c r="X1764">
        <f>IF($U1764=1,IFERROR(IF(VALUE($A1764)&lt;100000000,VALUE($A1764),1000000000),IFERROR(IF(VALUE(MID($A1764,2,20))&lt;100000000,VALUE(MID($A1764,2,20)),1000000000),1000000000))+ROW()/100000,"")</f>
        <v/>
      </c>
    </row>
    <row r="1765">
      <c r="F1765" s="7">
        <f>IF($A1765="","",E1765*N1765/100)</f>
        <v/>
      </c>
      <c r="J1765" s="7" t="n"/>
      <c r="K1765" s="7">
        <f>IF($A1765="","",S1765*N1765)</f>
        <v/>
      </c>
      <c r="L1765" s="7">
        <f>IF($A1765="","",N1765-K1765)</f>
        <v/>
      </c>
      <c r="M1765" s="7">
        <f>IF($A1765="","",L1765-F1765)</f>
        <v/>
      </c>
      <c r="N1765" s="7" t="n"/>
      <c r="Q1765" s="11" t="n"/>
      <c r="S1765">
        <f>IF($A1765="","",IF($W1765=1,Settings!$C$6,Settings!$C$7)*1)</f>
        <v/>
      </c>
      <c r="U1765">
        <f>IF($A1765="","",IF(COUNTIF($A$2:$A1765,$A1765)=1,1,0))</f>
        <v/>
      </c>
      <c r="V1765">
        <f>IF($U1765=1,SUMPRODUCT(--($X$2:$X$3001&lt;$X1765))+1,"")</f>
        <v/>
      </c>
      <c r="W1765">
        <f>IF($A1765="","",IF(OR($T1765=TRUE(),$T1765="TRUE"),1,0))</f>
        <v/>
      </c>
      <c r="X1765">
        <f>IF($U1765=1,IFERROR(IF(VALUE($A1765)&lt;100000000,VALUE($A1765),1000000000),IFERROR(IF(VALUE(MID($A1765,2,20))&lt;100000000,VALUE(MID($A1765,2,20)),1000000000),1000000000))+ROW()/100000,"")</f>
        <v/>
      </c>
    </row>
    <row r="1766">
      <c r="F1766" s="7">
        <f>IF($A1766="","",E1766*N1766/100)</f>
        <v/>
      </c>
      <c r="J1766" s="7" t="n"/>
      <c r="K1766" s="7">
        <f>IF($A1766="","",S1766*N1766)</f>
        <v/>
      </c>
      <c r="L1766" s="7">
        <f>IF($A1766="","",N1766-K1766)</f>
        <v/>
      </c>
      <c r="M1766" s="7">
        <f>IF($A1766="","",L1766-F1766)</f>
        <v/>
      </c>
      <c r="N1766" s="7" t="n"/>
      <c r="Q1766" s="11" t="n"/>
      <c r="S1766">
        <f>IF($A1766="","",IF($W1766=1,Settings!$C$6,Settings!$C$7)*1)</f>
        <v/>
      </c>
      <c r="U1766">
        <f>IF($A1766="","",IF(COUNTIF($A$2:$A1766,$A1766)=1,1,0))</f>
        <v/>
      </c>
      <c r="V1766">
        <f>IF($U1766=1,SUMPRODUCT(--($X$2:$X$3001&lt;$X1766))+1,"")</f>
        <v/>
      </c>
      <c r="W1766">
        <f>IF($A1766="","",IF(OR($T1766=TRUE(),$T1766="TRUE"),1,0))</f>
        <v/>
      </c>
      <c r="X1766">
        <f>IF($U1766=1,IFERROR(IF(VALUE($A1766)&lt;100000000,VALUE($A1766),1000000000),IFERROR(IF(VALUE(MID($A1766,2,20))&lt;100000000,VALUE(MID($A1766,2,20)),1000000000),1000000000))+ROW()/100000,"")</f>
        <v/>
      </c>
    </row>
    <row r="1767">
      <c r="F1767" s="7">
        <f>IF($A1767="","",E1767*N1767/100)</f>
        <v/>
      </c>
      <c r="J1767" s="7" t="n"/>
      <c r="K1767" s="7">
        <f>IF($A1767="","",S1767*N1767)</f>
        <v/>
      </c>
      <c r="L1767" s="7">
        <f>IF($A1767="","",N1767-K1767)</f>
        <v/>
      </c>
      <c r="M1767" s="7">
        <f>IF($A1767="","",L1767-F1767)</f>
        <v/>
      </c>
      <c r="N1767" s="7" t="n"/>
      <c r="Q1767" s="11" t="n"/>
      <c r="S1767">
        <f>IF($A1767="","",IF($W1767=1,Settings!$C$6,Settings!$C$7)*1)</f>
        <v/>
      </c>
      <c r="U1767">
        <f>IF($A1767="","",IF(COUNTIF($A$2:$A1767,$A1767)=1,1,0))</f>
        <v/>
      </c>
      <c r="V1767">
        <f>IF($U1767=1,SUMPRODUCT(--($X$2:$X$3001&lt;$X1767))+1,"")</f>
        <v/>
      </c>
      <c r="W1767">
        <f>IF($A1767="","",IF(OR($T1767=TRUE(),$T1767="TRUE"),1,0))</f>
        <v/>
      </c>
      <c r="X1767">
        <f>IF($U1767=1,IFERROR(IF(VALUE($A1767)&lt;100000000,VALUE($A1767),1000000000),IFERROR(IF(VALUE(MID($A1767,2,20))&lt;100000000,VALUE(MID($A1767,2,20)),1000000000),1000000000))+ROW()/100000,"")</f>
        <v/>
      </c>
    </row>
    <row r="1768">
      <c r="F1768" s="7">
        <f>IF($A1768="","",E1768*N1768/100)</f>
        <v/>
      </c>
      <c r="J1768" s="7" t="n"/>
      <c r="K1768" s="7">
        <f>IF($A1768="","",S1768*N1768)</f>
        <v/>
      </c>
      <c r="L1768" s="7">
        <f>IF($A1768="","",N1768-K1768)</f>
        <v/>
      </c>
      <c r="M1768" s="7">
        <f>IF($A1768="","",L1768-F1768)</f>
        <v/>
      </c>
      <c r="N1768" s="7" t="n"/>
      <c r="Q1768" s="11" t="n"/>
      <c r="S1768">
        <f>IF($A1768="","",IF($W1768=1,Settings!$C$6,Settings!$C$7)*1)</f>
        <v/>
      </c>
      <c r="U1768">
        <f>IF($A1768="","",IF(COUNTIF($A$2:$A1768,$A1768)=1,1,0))</f>
        <v/>
      </c>
      <c r="V1768">
        <f>IF($U1768=1,SUMPRODUCT(--($X$2:$X$3001&lt;$X1768))+1,"")</f>
        <v/>
      </c>
      <c r="W1768">
        <f>IF($A1768="","",IF(OR($T1768=TRUE(),$T1768="TRUE"),1,0))</f>
        <v/>
      </c>
      <c r="X1768">
        <f>IF($U1768=1,IFERROR(IF(VALUE($A1768)&lt;100000000,VALUE($A1768),1000000000),IFERROR(IF(VALUE(MID($A1768,2,20))&lt;100000000,VALUE(MID($A1768,2,20)),1000000000),1000000000))+ROW()/100000,"")</f>
        <v/>
      </c>
    </row>
    <row r="1769">
      <c r="F1769" s="7">
        <f>IF($A1769="","",E1769*N1769/100)</f>
        <v/>
      </c>
      <c r="J1769" s="7" t="n"/>
      <c r="K1769" s="7">
        <f>IF($A1769="","",S1769*N1769)</f>
        <v/>
      </c>
      <c r="L1769" s="7">
        <f>IF($A1769="","",N1769-K1769)</f>
        <v/>
      </c>
      <c r="M1769" s="7">
        <f>IF($A1769="","",L1769-F1769)</f>
        <v/>
      </c>
      <c r="N1769" s="7" t="n"/>
      <c r="Q1769" s="11" t="n"/>
      <c r="S1769">
        <f>IF($A1769="","",IF($W1769=1,Settings!$C$6,Settings!$C$7)*1)</f>
        <v/>
      </c>
      <c r="U1769">
        <f>IF($A1769="","",IF(COUNTIF($A$2:$A1769,$A1769)=1,1,0))</f>
        <v/>
      </c>
      <c r="V1769">
        <f>IF($U1769=1,SUMPRODUCT(--($X$2:$X$3001&lt;$X1769))+1,"")</f>
        <v/>
      </c>
      <c r="W1769">
        <f>IF($A1769="","",IF(OR($T1769=TRUE(),$T1769="TRUE"),1,0))</f>
        <v/>
      </c>
      <c r="X1769">
        <f>IF($U1769=1,IFERROR(IF(VALUE($A1769)&lt;100000000,VALUE($A1769),1000000000),IFERROR(IF(VALUE(MID($A1769,2,20))&lt;100000000,VALUE(MID($A1769,2,20)),1000000000),1000000000))+ROW()/100000,"")</f>
        <v/>
      </c>
    </row>
    <row r="1770">
      <c r="F1770" s="7">
        <f>IF($A1770="","",E1770*N1770/100)</f>
        <v/>
      </c>
      <c r="J1770" s="7" t="n"/>
      <c r="K1770" s="7">
        <f>IF($A1770="","",S1770*N1770)</f>
        <v/>
      </c>
      <c r="L1770" s="7">
        <f>IF($A1770="","",N1770-K1770)</f>
        <v/>
      </c>
      <c r="M1770" s="7">
        <f>IF($A1770="","",L1770-F1770)</f>
        <v/>
      </c>
      <c r="N1770" s="7" t="n"/>
      <c r="Q1770" s="11" t="n"/>
      <c r="S1770">
        <f>IF($A1770="","",IF($W1770=1,Settings!$C$6,Settings!$C$7)*1)</f>
        <v/>
      </c>
      <c r="U1770">
        <f>IF($A1770="","",IF(COUNTIF($A$2:$A1770,$A1770)=1,1,0))</f>
        <v/>
      </c>
      <c r="V1770">
        <f>IF($U1770=1,SUMPRODUCT(--($X$2:$X$3001&lt;$X1770))+1,"")</f>
        <v/>
      </c>
      <c r="W1770">
        <f>IF($A1770="","",IF(OR($T1770=TRUE(),$T1770="TRUE"),1,0))</f>
        <v/>
      </c>
      <c r="X1770">
        <f>IF($U1770=1,IFERROR(IF(VALUE($A1770)&lt;100000000,VALUE($A1770),1000000000),IFERROR(IF(VALUE(MID($A1770,2,20))&lt;100000000,VALUE(MID($A1770,2,20)),1000000000),1000000000))+ROW()/100000,"")</f>
        <v/>
      </c>
    </row>
    <row r="1771">
      <c r="F1771" s="7">
        <f>IF($A1771="","",E1771*N1771/100)</f>
        <v/>
      </c>
      <c r="J1771" s="7" t="n"/>
      <c r="K1771" s="7">
        <f>IF($A1771="","",S1771*N1771)</f>
        <v/>
      </c>
      <c r="L1771" s="7">
        <f>IF($A1771="","",N1771-K1771)</f>
        <v/>
      </c>
      <c r="M1771" s="7">
        <f>IF($A1771="","",L1771-F1771)</f>
        <v/>
      </c>
      <c r="N1771" s="7" t="n"/>
      <c r="Q1771" s="11" t="n"/>
      <c r="S1771">
        <f>IF($A1771="","",IF($W1771=1,Settings!$C$6,Settings!$C$7)*1)</f>
        <v/>
      </c>
      <c r="U1771">
        <f>IF($A1771="","",IF(COUNTIF($A$2:$A1771,$A1771)=1,1,0))</f>
        <v/>
      </c>
      <c r="V1771">
        <f>IF($U1771=1,SUMPRODUCT(--($X$2:$X$3001&lt;$X1771))+1,"")</f>
        <v/>
      </c>
      <c r="W1771">
        <f>IF($A1771="","",IF(OR($T1771=TRUE(),$T1771="TRUE"),1,0))</f>
        <v/>
      </c>
      <c r="X1771">
        <f>IF($U1771=1,IFERROR(IF(VALUE($A1771)&lt;100000000,VALUE($A1771),1000000000),IFERROR(IF(VALUE(MID($A1771,2,20))&lt;100000000,VALUE(MID($A1771,2,20)),1000000000),1000000000))+ROW()/100000,"")</f>
        <v/>
      </c>
    </row>
    <row r="1772">
      <c r="F1772" s="7">
        <f>IF($A1772="","",E1772*N1772/100)</f>
        <v/>
      </c>
      <c r="J1772" s="7" t="n"/>
      <c r="K1772" s="7">
        <f>IF($A1772="","",S1772*N1772)</f>
        <v/>
      </c>
      <c r="L1772" s="7">
        <f>IF($A1772="","",N1772-K1772)</f>
        <v/>
      </c>
      <c r="M1772" s="7">
        <f>IF($A1772="","",L1772-F1772)</f>
        <v/>
      </c>
      <c r="N1772" s="7" t="n"/>
      <c r="Q1772" s="11" t="n"/>
      <c r="S1772">
        <f>IF($A1772="","",IF($W1772=1,Settings!$C$6,Settings!$C$7)*1)</f>
        <v/>
      </c>
      <c r="U1772">
        <f>IF($A1772="","",IF(COUNTIF($A$2:$A1772,$A1772)=1,1,0))</f>
        <v/>
      </c>
      <c r="V1772">
        <f>IF($U1772=1,SUMPRODUCT(--($X$2:$X$3001&lt;$X1772))+1,"")</f>
        <v/>
      </c>
      <c r="W1772">
        <f>IF($A1772="","",IF(OR($T1772=TRUE(),$T1772="TRUE"),1,0))</f>
        <v/>
      </c>
      <c r="X1772">
        <f>IF($U1772=1,IFERROR(IF(VALUE($A1772)&lt;100000000,VALUE($A1772),1000000000),IFERROR(IF(VALUE(MID($A1772,2,20))&lt;100000000,VALUE(MID($A1772,2,20)),1000000000),1000000000))+ROW()/100000,"")</f>
        <v/>
      </c>
    </row>
    <row r="1773">
      <c r="F1773" s="7">
        <f>IF($A1773="","",E1773*N1773/100)</f>
        <v/>
      </c>
      <c r="J1773" s="7" t="n"/>
      <c r="K1773" s="7">
        <f>IF($A1773="","",S1773*N1773)</f>
        <v/>
      </c>
      <c r="L1773" s="7">
        <f>IF($A1773="","",N1773-K1773)</f>
        <v/>
      </c>
      <c r="M1773" s="7">
        <f>IF($A1773="","",L1773-F1773)</f>
        <v/>
      </c>
      <c r="N1773" s="7" t="n"/>
      <c r="Q1773" s="11" t="n"/>
      <c r="S1773">
        <f>IF($A1773="","",IF($W1773=1,Settings!$C$6,Settings!$C$7)*1)</f>
        <v/>
      </c>
      <c r="U1773">
        <f>IF($A1773="","",IF(COUNTIF($A$2:$A1773,$A1773)=1,1,0))</f>
        <v/>
      </c>
      <c r="V1773">
        <f>IF($U1773=1,SUMPRODUCT(--($X$2:$X$3001&lt;$X1773))+1,"")</f>
        <v/>
      </c>
      <c r="W1773">
        <f>IF($A1773="","",IF(OR($T1773=TRUE(),$T1773="TRUE"),1,0))</f>
        <v/>
      </c>
      <c r="X1773">
        <f>IF($U1773=1,IFERROR(IF(VALUE($A1773)&lt;100000000,VALUE($A1773),1000000000),IFERROR(IF(VALUE(MID($A1773,2,20))&lt;100000000,VALUE(MID($A1773,2,20)),1000000000),1000000000))+ROW()/100000,"")</f>
        <v/>
      </c>
    </row>
    <row r="1774">
      <c r="F1774" s="7">
        <f>IF($A1774="","",E1774*N1774/100)</f>
        <v/>
      </c>
      <c r="J1774" s="7" t="n"/>
      <c r="K1774" s="7">
        <f>IF($A1774="","",S1774*N1774)</f>
        <v/>
      </c>
      <c r="L1774" s="7">
        <f>IF($A1774="","",N1774-K1774)</f>
        <v/>
      </c>
      <c r="M1774" s="7">
        <f>IF($A1774="","",L1774-F1774)</f>
        <v/>
      </c>
      <c r="N1774" s="7" t="n"/>
      <c r="Q1774" s="11" t="n"/>
      <c r="S1774">
        <f>IF($A1774="","",IF($W1774=1,Settings!$C$6,Settings!$C$7)*1)</f>
        <v/>
      </c>
      <c r="U1774">
        <f>IF($A1774="","",IF(COUNTIF($A$2:$A1774,$A1774)=1,1,0))</f>
        <v/>
      </c>
      <c r="V1774">
        <f>IF($U1774=1,SUMPRODUCT(--($X$2:$X$3001&lt;$X1774))+1,"")</f>
        <v/>
      </c>
      <c r="W1774">
        <f>IF($A1774="","",IF(OR($T1774=TRUE(),$T1774="TRUE"),1,0))</f>
        <v/>
      </c>
      <c r="X1774">
        <f>IF($U1774=1,IFERROR(IF(VALUE($A1774)&lt;100000000,VALUE($A1774),1000000000),IFERROR(IF(VALUE(MID($A1774,2,20))&lt;100000000,VALUE(MID($A1774,2,20)),1000000000),1000000000))+ROW()/100000,"")</f>
        <v/>
      </c>
    </row>
    <row r="1775">
      <c r="F1775" s="7">
        <f>IF($A1775="","",E1775*N1775/100)</f>
        <v/>
      </c>
      <c r="J1775" s="7" t="n"/>
      <c r="K1775" s="7">
        <f>IF($A1775="","",S1775*N1775)</f>
        <v/>
      </c>
      <c r="L1775" s="7">
        <f>IF($A1775="","",N1775-K1775)</f>
        <v/>
      </c>
      <c r="M1775" s="7">
        <f>IF($A1775="","",L1775-F1775)</f>
        <v/>
      </c>
      <c r="N1775" s="7" t="n"/>
      <c r="Q1775" s="11" t="n"/>
      <c r="S1775">
        <f>IF($A1775="","",IF($W1775=1,Settings!$C$6,Settings!$C$7)*1)</f>
        <v/>
      </c>
      <c r="U1775">
        <f>IF($A1775="","",IF(COUNTIF($A$2:$A1775,$A1775)=1,1,0))</f>
        <v/>
      </c>
      <c r="V1775">
        <f>IF($U1775=1,SUMPRODUCT(--($X$2:$X$3001&lt;$X1775))+1,"")</f>
        <v/>
      </c>
      <c r="W1775">
        <f>IF($A1775="","",IF(OR($T1775=TRUE(),$T1775="TRUE"),1,0))</f>
        <v/>
      </c>
      <c r="X1775">
        <f>IF($U1775=1,IFERROR(IF(VALUE($A1775)&lt;100000000,VALUE($A1775),1000000000),IFERROR(IF(VALUE(MID($A1775,2,20))&lt;100000000,VALUE(MID($A1775,2,20)),1000000000),1000000000))+ROW()/100000,"")</f>
        <v/>
      </c>
    </row>
    <row r="1776">
      <c r="F1776" s="7">
        <f>IF($A1776="","",E1776*N1776/100)</f>
        <v/>
      </c>
      <c r="J1776" s="7" t="n"/>
      <c r="K1776" s="7">
        <f>IF($A1776="","",S1776*N1776)</f>
        <v/>
      </c>
      <c r="L1776" s="7">
        <f>IF($A1776="","",N1776-K1776)</f>
        <v/>
      </c>
      <c r="M1776" s="7">
        <f>IF($A1776="","",L1776-F1776)</f>
        <v/>
      </c>
      <c r="N1776" s="7" t="n"/>
      <c r="Q1776" s="11" t="n"/>
      <c r="S1776">
        <f>IF($A1776="","",IF($W1776=1,Settings!$C$6,Settings!$C$7)*1)</f>
        <v/>
      </c>
      <c r="U1776">
        <f>IF($A1776="","",IF(COUNTIF($A$2:$A1776,$A1776)=1,1,0))</f>
        <v/>
      </c>
      <c r="V1776">
        <f>IF($U1776=1,SUMPRODUCT(--($X$2:$X$3001&lt;$X1776))+1,"")</f>
        <v/>
      </c>
      <c r="W1776">
        <f>IF($A1776="","",IF(OR($T1776=TRUE(),$T1776="TRUE"),1,0))</f>
        <v/>
      </c>
      <c r="X1776">
        <f>IF($U1776=1,IFERROR(IF(VALUE($A1776)&lt;100000000,VALUE($A1776),1000000000),IFERROR(IF(VALUE(MID($A1776,2,20))&lt;100000000,VALUE(MID($A1776,2,20)),1000000000),1000000000))+ROW()/100000,"")</f>
        <v/>
      </c>
    </row>
    <row r="1777">
      <c r="F1777" s="7">
        <f>IF($A1777="","",E1777*N1777/100)</f>
        <v/>
      </c>
      <c r="J1777" s="7" t="n"/>
      <c r="K1777" s="7">
        <f>IF($A1777="","",S1777*N1777)</f>
        <v/>
      </c>
      <c r="L1777" s="7">
        <f>IF($A1777="","",N1777-K1777)</f>
        <v/>
      </c>
      <c r="M1777" s="7">
        <f>IF($A1777="","",L1777-F1777)</f>
        <v/>
      </c>
      <c r="N1777" s="7" t="n"/>
      <c r="Q1777" s="11" t="n"/>
      <c r="S1777">
        <f>IF($A1777="","",IF($W1777=1,Settings!$C$6,Settings!$C$7)*1)</f>
        <v/>
      </c>
      <c r="U1777">
        <f>IF($A1777="","",IF(COUNTIF($A$2:$A1777,$A1777)=1,1,0))</f>
        <v/>
      </c>
      <c r="V1777">
        <f>IF($U1777=1,SUMPRODUCT(--($X$2:$X$3001&lt;$X1777))+1,"")</f>
        <v/>
      </c>
      <c r="W1777">
        <f>IF($A1777="","",IF(OR($T1777=TRUE(),$T1777="TRUE"),1,0))</f>
        <v/>
      </c>
      <c r="X1777">
        <f>IF($U1777=1,IFERROR(IF(VALUE($A1777)&lt;100000000,VALUE($A1777),1000000000),IFERROR(IF(VALUE(MID($A1777,2,20))&lt;100000000,VALUE(MID($A1777,2,20)),1000000000),1000000000))+ROW()/100000,"")</f>
        <v/>
      </c>
    </row>
    <row r="1778">
      <c r="F1778" s="7">
        <f>IF($A1778="","",E1778*N1778/100)</f>
        <v/>
      </c>
      <c r="J1778" s="7" t="n"/>
      <c r="K1778" s="7">
        <f>IF($A1778="","",S1778*N1778)</f>
        <v/>
      </c>
      <c r="L1778" s="7">
        <f>IF($A1778="","",N1778-K1778)</f>
        <v/>
      </c>
      <c r="M1778" s="7">
        <f>IF($A1778="","",L1778-F1778)</f>
        <v/>
      </c>
      <c r="N1778" s="7" t="n"/>
      <c r="Q1778" s="11" t="n"/>
      <c r="S1778">
        <f>IF($A1778="","",IF($W1778=1,Settings!$C$6,Settings!$C$7)*1)</f>
        <v/>
      </c>
      <c r="U1778">
        <f>IF($A1778="","",IF(COUNTIF($A$2:$A1778,$A1778)=1,1,0))</f>
        <v/>
      </c>
      <c r="V1778">
        <f>IF($U1778=1,SUMPRODUCT(--($X$2:$X$3001&lt;$X1778))+1,"")</f>
        <v/>
      </c>
      <c r="W1778">
        <f>IF($A1778="","",IF(OR($T1778=TRUE(),$T1778="TRUE"),1,0))</f>
        <v/>
      </c>
      <c r="X1778">
        <f>IF($U1778=1,IFERROR(IF(VALUE($A1778)&lt;100000000,VALUE($A1778),1000000000),IFERROR(IF(VALUE(MID($A1778,2,20))&lt;100000000,VALUE(MID($A1778,2,20)),1000000000),1000000000))+ROW()/100000,"")</f>
        <v/>
      </c>
    </row>
    <row r="1779">
      <c r="F1779" s="7">
        <f>IF($A1779="","",E1779*N1779/100)</f>
        <v/>
      </c>
      <c r="J1779" s="7" t="n"/>
      <c r="K1779" s="7">
        <f>IF($A1779="","",S1779*N1779)</f>
        <v/>
      </c>
      <c r="L1779" s="7">
        <f>IF($A1779="","",N1779-K1779)</f>
        <v/>
      </c>
      <c r="M1779" s="7">
        <f>IF($A1779="","",L1779-F1779)</f>
        <v/>
      </c>
      <c r="N1779" s="7" t="n"/>
      <c r="Q1779" s="11" t="n"/>
      <c r="S1779">
        <f>IF($A1779="","",IF($W1779=1,Settings!$C$6,Settings!$C$7)*1)</f>
        <v/>
      </c>
      <c r="U1779">
        <f>IF($A1779="","",IF(COUNTIF($A$2:$A1779,$A1779)=1,1,0))</f>
        <v/>
      </c>
      <c r="V1779">
        <f>IF($U1779=1,SUMPRODUCT(--($X$2:$X$3001&lt;$X1779))+1,"")</f>
        <v/>
      </c>
      <c r="W1779">
        <f>IF($A1779="","",IF(OR($T1779=TRUE(),$T1779="TRUE"),1,0))</f>
        <v/>
      </c>
      <c r="X1779">
        <f>IF($U1779=1,IFERROR(IF(VALUE($A1779)&lt;100000000,VALUE($A1779),1000000000),IFERROR(IF(VALUE(MID($A1779,2,20))&lt;100000000,VALUE(MID($A1779,2,20)),1000000000),1000000000))+ROW()/100000,"")</f>
        <v/>
      </c>
    </row>
    <row r="1780">
      <c r="F1780" s="7">
        <f>IF($A1780="","",E1780*N1780/100)</f>
        <v/>
      </c>
      <c r="J1780" s="7" t="n"/>
      <c r="K1780" s="7">
        <f>IF($A1780="","",S1780*N1780)</f>
        <v/>
      </c>
      <c r="L1780" s="7">
        <f>IF($A1780="","",N1780-K1780)</f>
        <v/>
      </c>
      <c r="M1780" s="7">
        <f>IF($A1780="","",L1780-F1780)</f>
        <v/>
      </c>
      <c r="N1780" s="7" t="n"/>
      <c r="Q1780" s="11" t="n"/>
      <c r="S1780">
        <f>IF($A1780="","",IF($W1780=1,Settings!$C$6,Settings!$C$7)*1)</f>
        <v/>
      </c>
      <c r="U1780">
        <f>IF($A1780="","",IF(COUNTIF($A$2:$A1780,$A1780)=1,1,0))</f>
        <v/>
      </c>
      <c r="V1780">
        <f>IF($U1780=1,SUMPRODUCT(--($X$2:$X$3001&lt;$X1780))+1,"")</f>
        <v/>
      </c>
      <c r="W1780">
        <f>IF($A1780="","",IF(OR($T1780=TRUE(),$T1780="TRUE"),1,0))</f>
        <v/>
      </c>
      <c r="X1780">
        <f>IF($U1780=1,IFERROR(IF(VALUE($A1780)&lt;100000000,VALUE($A1780),1000000000),IFERROR(IF(VALUE(MID($A1780,2,20))&lt;100000000,VALUE(MID($A1780,2,20)),1000000000),1000000000))+ROW()/100000,"")</f>
        <v/>
      </c>
    </row>
    <row r="1781">
      <c r="F1781" s="7">
        <f>IF($A1781="","",E1781*N1781/100)</f>
        <v/>
      </c>
      <c r="J1781" s="7" t="n"/>
      <c r="K1781" s="7">
        <f>IF($A1781="","",S1781*N1781)</f>
        <v/>
      </c>
      <c r="L1781" s="7">
        <f>IF($A1781="","",N1781-K1781)</f>
        <v/>
      </c>
      <c r="M1781" s="7">
        <f>IF($A1781="","",L1781-F1781)</f>
        <v/>
      </c>
      <c r="N1781" s="7" t="n"/>
      <c r="Q1781" s="11" t="n"/>
      <c r="S1781">
        <f>IF($A1781="","",IF($W1781=1,Settings!$C$6,Settings!$C$7)*1)</f>
        <v/>
      </c>
      <c r="U1781">
        <f>IF($A1781="","",IF(COUNTIF($A$2:$A1781,$A1781)=1,1,0))</f>
        <v/>
      </c>
      <c r="V1781">
        <f>IF($U1781=1,SUMPRODUCT(--($X$2:$X$3001&lt;$X1781))+1,"")</f>
        <v/>
      </c>
      <c r="W1781">
        <f>IF($A1781="","",IF(OR($T1781=TRUE(),$T1781="TRUE"),1,0))</f>
        <v/>
      </c>
      <c r="X1781">
        <f>IF($U1781=1,IFERROR(IF(VALUE($A1781)&lt;100000000,VALUE($A1781),1000000000),IFERROR(IF(VALUE(MID($A1781,2,20))&lt;100000000,VALUE(MID($A1781,2,20)),1000000000),1000000000))+ROW()/100000,"")</f>
        <v/>
      </c>
    </row>
    <row r="1782">
      <c r="F1782" s="7">
        <f>IF($A1782="","",E1782*N1782/100)</f>
        <v/>
      </c>
      <c r="J1782" s="7" t="n"/>
      <c r="K1782" s="7">
        <f>IF($A1782="","",S1782*N1782)</f>
        <v/>
      </c>
      <c r="L1782" s="7">
        <f>IF($A1782="","",N1782-K1782)</f>
        <v/>
      </c>
      <c r="M1782" s="7">
        <f>IF($A1782="","",L1782-F1782)</f>
        <v/>
      </c>
      <c r="N1782" s="7" t="n"/>
      <c r="Q1782" s="11" t="n"/>
      <c r="S1782">
        <f>IF($A1782="","",IF($W1782=1,Settings!$C$6,Settings!$C$7)*1)</f>
        <v/>
      </c>
      <c r="U1782">
        <f>IF($A1782="","",IF(COUNTIF($A$2:$A1782,$A1782)=1,1,0))</f>
        <v/>
      </c>
      <c r="V1782">
        <f>IF($U1782=1,SUMPRODUCT(--($X$2:$X$3001&lt;$X1782))+1,"")</f>
        <v/>
      </c>
      <c r="W1782">
        <f>IF($A1782="","",IF(OR($T1782=TRUE(),$T1782="TRUE"),1,0))</f>
        <v/>
      </c>
      <c r="X1782">
        <f>IF($U1782=1,IFERROR(IF(VALUE($A1782)&lt;100000000,VALUE($A1782),1000000000),IFERROR(IF(VALUE(MID($A1782,2,20))&lt;100000000,VALUE(MID($A1782,2,20)),1000000000),1000000000))+ROW()/100000,"")</f>
        <v/>
      </c>
    </row>
    <row r="1783">
      <c r="F1783" s="7">
        <f>IF($A1783="","",E1783*N1783/100)</f>
        <v/>
      </c>
      <c r="J1783" s="7" t="n"/>
      <c r="K1783" s="7">
        <f>IF($A1783="","",S1783*N1783)</f>
        <v/>
      </c>
      <c r="L1783" s="7">
        <f>IF($A1783="","",N1783-K1783)</f>
        <v/>
      </c>
      <c r="M1783" s="7">
        <f>IF($A1783="","",L1783-F1783)</f>
        <v/>
      </c>
      <c r="N1783" s="7" t="n"/>
      <c r="Q1783" s="11" t="n"/>
      <c r="S1783">
        <f>IF($A1783="","",IF($W1783=1,Settings!$C$6,Settings!$C$7)*1)</f>
        <v/>
      </c>
      <c r="U1783">
        <f>IF($A1783="","",IF(COUNTIF($A$2:$A1783,$A1783)=1,1,0))</f>
        <v/>
      </c>
      <c r="V1783">
        <f>IF($U1783=1,SUMPRODUCT(--($X$2:$X$3001&lt;$X1783))+1,"")</f>
        <v/>
      </c>
      <c r="W1783">
        <f>IF($A1783="","",IF(OR($T1783=TRUE(),$T1783="TRUE"),1,0))</f>
        <v/>
      </c>
      <c r="X1783">
        <f>IF($U1783=1,IFERROR(IF(VALUE($A1783)&lt;100000000,VALUE($A1783),1000000000),IFERROR(IF(VALUE(MID($A1783,2,20))&lt;100000000,VALUE(MID($A1783,2,20)),1000000000),1000000000))+ROW()/100000,"")</f>
        <v/>
      </c>
    </row>
    <row r="1784">
      <c r="F1784" s="7">
        <f>IF($A1784="","",E1784*N1784/100)</f>
        <v/>
      </c>
      <c r="J1784" s="7" t="n"/>
      <c r="K1784" s="7">
        <f>IF($A1784="","",S1784*N1784)</f>
        <v/>
      </c>
      <c r="L1784" s="7">
        <f>IF($A1784="","",N1784-K1784)</f>
        <v/>
      </c>
      <c r="M1784" s="7">
        <f>IF($A1784="","",L1784-F1784)</f>
        <v/>
      </c>
      <c r="N1784" s="7" t="n"/>
      <c r="Q1784" s="11" t="n"/>
      <c r="S1784">
        <f>IF($A1784="","",IF($W1784=1,Settings!$C$6,Settings!$C$7)*1)</f>
        <v/>
      </c>
      <c r="U1784">
        <f>IF($A1784="","",IF(COUNTIF($A$2:$A1784,$A1784)=1,1,0))</f>
        <v/>
      </c>
      <c r="V1784">
        <f>IF($U1784=1,SUMPRODUCT(--($X$2:$X$3001&lt;$X1784))+1,"")</f>
        <v/>
      </c>
      <c r="W1784">
        <f>IF($A1784="","",IF(OR($T1784=TRUE(),$T1784="TRUE"),1,0))</f>
        <v/>
      </c>
      <c r="X1784">
        <f>IF($U1784=1,IFERROR(IF(VALUE($A1784)&lt;100000000,VALUE($A1784),1000000000),IFERROR(IF(VALUE(MID($A1784,2,20))&lt;100000000,VALUE(MID($A1784,2,20)),1000000000),1000000000))+ROW()/100000,"")</f>
        <v/>
      </c>
    </row>
    <row r="1785">
      <c r="F1785" s="7">
        <f>IF($A1785="","",E1785*N1785/100)</f>
        <v/>
      </c>
      <c r="J1785" s="7" t="n"/>
      <c r="K1785" s="7">
        <f>IF($A1785="","",S1785*N1785)</f>
        <v/>
      </c>
      <c r="L1785" s="7">
        <f>IF($A1785="","",N1785-K1785)</f>
        <v/>
      </c>
      <c r="M1785" s="7">
        <f>IF($A1785="","",L1785-F1785)</f>
        <v/>
      </c>
      <c r="N1785" s="7" t="n"/>
      <c r="Q1785" s="11" t="n"/>
      <c r="S1785">
        <f>IF($A1785="","",IF($W1785=1,Settings!$C$6,Settings!$C$7)*1)</f>
        <v/>
      </c>
      <c r="U1785">
        <f>IF($A1785="","",IF(COUNTIF($A$2:$A1785,$A1785)=1,1,0))</f>
        <v/>
      </c>
      <c r="V1785">
        <f>IF($U1785=1,SUMPRODUCT(--($X$2:$X$3001&lt;$X1785))+1,"")</f>
        <v/>
      </c>
      <c r="W1785">
        <f>IF($A1785="","",IF(OR($T1785=TRUE(),$T1785="TRUE"),1,0))</f>
        <v/>
      </c>
      <c r="X1785">
        <f>IF($U1785=1,IFERROR(IF(VALUE($A1785)&lt;100000000,VALUE($A1785),1000000000),IFERROR(IF(VALUE(MID($A1785,2,20))&lt;100000000,VALUE(MID($A1785,2,20)),1000000000),1000000000))+ROW()/100000,"")</f>
        <v/>
      </c>
    </row>
    <row r="1786">
      <c r="F1786" s="7">
        <f>IF($A1786="","",E1786*N1786/100)</f>
        <v/>
      </c>
      <c r="J1786" s="7" t="n"/>
      <c r="K1786" s="7">
        <f>IF($A1786="","",S1786*N1786)</f>
        <v/>
      </c>
      <c r="L1786" s="7">
        <f>IF($A1786="","",N1786-K1786)</f>
        <v/>
      </c>
      <c r="M1786" s="7">
        <f>IF($A1786="","",L1786-F1786)</f>
        <v/>
      </c>
      <c r="N1786" s="7" t="n"/>
      <c r="Q1786" s="11" t="n"/>
      <c r="S1786">
        <f>IF($A1786="","",IF($W1786=1,Settings!$C$6,Settings!$C$7)*1)</f>
        <v/>
      </c>
      <c r="U1786">
        <f>IF($A1786="","",IF(COUNTIF($A$2:$A1786,$A1786)=1,1,0))</f>
        <v/>
      </c>
      <c r="V1786">
        <f>IF($U1786=1,SUMPRODUCT(--($X$2:$X$3001&lt;$X1786))+1,"")</f>
        <v/>
      </c>
      <c r="W1786">
        <f>IF($A1786="","",IF(OR($T1786=TRUE(),$T1786="TRUE"),1,0))</f>
        <v/>
      </c>
      <c r="X1786">
        <f>IF($U1786=1,IFERROR(IF(VALUE($A1786)&lt;100000000,VALUE($A1786),1000000000),IFERROR(IF(VALUE(MID($A1786,2,20))&lt;100000000,VALUE(MID($A1786,2,20)),1000000000),1000000000))+ROW()/100000,"")</f>
        <v/>
      </c>
    </row>
    <row r="1787">
      <c r="F1787" s="7">
        <f>IF($A1787="","",E1787*N1787/100)</f>
        <v/>
      </c>
      <c r="J1787" s="7" t="n"/>
      <c r="K1787" s="7">
        <f>IF($A1787="","",S1787*N1787)</f>
        <v/>
      </c>
      <c r="L1787" s="7">
        <f>IF($A1787="","",N1787-K1787)</f>
        <v/>
      </c>
      <c r="M1787" s="7">
        <f>IF($A1787="","",L1787-F1787)</f>
        <v/>
      </c>
      <c r="N1787" s="7" t="n"/>
      <c r="Q1787" s="11" t="n"/>
      <c r="S1787">
        <f>IF($A1787="","",IF($W1787=1,Settings!$C$6,Settings!$C$7)*1)</f>
        <v/>
      </c>
      <c r="U1787">
        <f>IF($A1787="","",IF(COUNTIF($A$2:$A1787,$A1787)=1,1,0))</f>
        <v/>
      </c>
      <c r="V1787">
        <f>IF($U1787=1,SUMPRODUCT(--($X$2:$X$3001&lt;$X1787))+1,"")</f>
        <v/>
      </c>
      <c r="W1787">
        <f>IF($A1787="","",IF(OR($T1787=TRUE(),$T1787="TRUE"),1,0))</f>
        <v/>
      </c>
      <c r="X1787">
        <f>IF($U1787=1,IFERROR(IF(VALUE($A1787)&lt;100000000,VALUE($A1787),1000000000),IFERROR(IF(VALUE(MID($A1787,2,20))&lt;100000000,VALUE(MID($A1787,2,20)),1000000000),1000000000))+ROW()/100000,"")</f>
        <v/>
      </c>
    </row>
    <row r="1788">
      <c r="F1788" s="7">
        <f>IF($A1788="","",E1788*N1788/100)</f>
        <v/>
      </c>
      <c r="J1788" s="7" t="n"/>
      <c r="K1788" s="7">
        <f>IF($A1788="","",S1788*N1788)</f>
        <v/>
      </c>
      <c r="L1788" s="7">
        <f>IF($A1788="","",N1788-K1788)</f>
        <v/>
      </c>
      <c r="M1788" s="7">
        <f>IF($A1788="","",L1788-F1788)</f>
        <v/>
      </c>
      <c r="N1788" s="7" t="n"/>
      <c r="Q1788" s="11" t="n"/>
      <c r="S1788">
        <f>IF($A1788="","",IF($W1788=1,Settings!$C$6,Settings!$C$7)*1)</f>
        <v/>
      </c>
      <c r="U1788">
        <f>IF($A1788="","",IF(COUNTIF($A$2:$A1788,$A1788)=1,1,0))</f>
        <v/>
      </c>
      <c r="V1788">
        <f>IF($U1788=1,SUMPRODUCT(--($X$2:$X$3001&lt;$X1788))+1,"")</f>
        <v/>
      </c>
      <c r="W1788">
        <f>IF($A1788="","",IF(OR($T1788=TRUE(),$T1788="TRUE"),1,0))</f>
        <v/>
      </c>
      <c r="X1788">
        <f>IF($U1788=1,IFERROR(IF(VALUE($A1788)&lt;100000000,VALUE($A1788),1000000000),IFERROR(IF(VALUE(MID($A1788,2,20))&lt;100000000,VALUE(MID($A1788,2,20)),1000000000),1000000000))+ROW()/100000,"")</f>
        <v/>
      </c>
    </row>
    <row r="1789">
      <c r="F1789" s="7">
        <f>IF($A1789="","",E1789*N1789/100)</f>
        <v/>
      </c>
      <c r="J1789" s="7" t="n"/>
      <c r="K1789" s="7">
        <f>IF($A1789="","",S1789*N1789)</f>
        <v/>
      </c>
      <c r="L1789" s="7">
        <f>IF($A1789="","",N1789-K1789)</f>
        <v/>
      </c>
      <c r="M1789" s="7">
        <f>IF($A1789="","",L1789-F1789)</f>
        <v/>
      </c>
      <c r="N1789" s="7" t="n"/>
      <c r="Q1789" s="11" t="n"/>
      <c r="S1789">
        <f>IF($A1789="","",IF($W1789=1,Settings!$C$6,Settings!$C$7)*1)</f>
        <v/>
      </c>
      <c r="U1789">
        <f>IF($A1789="","",IF(COUNTIF($A$2:$A1789,$A1789)=1,1,0))</f>
        <v/>
      </c>
      <c r="V1789">
        <f>IF($U1789=1,SUMPRODUCT(--($X$2:$X$3001&lt;$X1789))+1,"")</f>
        <v/>
      </c>
      <c r="W1789">
        <f>IF($A1789="","",IF(OR($T1789=TRUE(),$T1789="TRUE"),1,0))</f>
        <v/>
      </c>
      <c r="X1789">
        <f>IF($U1789=1,IFERROR(IF(VALUE($A1789)&lt;100000000,VALUE($A1789),1000000000),IFERROR(IF(VALUE(MID($A1789,2,20))&lt;100000000,VALUE(MID($A1789,2,20)),1000000000),1000000000))+ROW()/100000,"")</f>
        <v/>
      </c>
    </row>
    <row r="1790">
      <c r="F1790" s="7">
        <f>IF($A1790="","",E1790*N1790/100)</f>
        <v/>
      </c>
      <c r="J1790" s="7" t="n"/>
      <c r="K1790" s="7">
        <f>IF($A1790="","",S1790*N1790)</f>
        <v/>
      </c>
      <c r="L1790" s="7">
        <f>IF($A1790="","",N1790-K1790)</f>
        <v/>
      </c>
      <c r="M1790" s="7">
        <f>IF($A1790="","",L1790-F1790)</f>
        <v/>
      </c>
      <c r="N1790" s="7" t="n"/>
      <c r="Q1790" s="11" t="n"/>
      <c r="S1790">
        <f>IF($A1790="","",IF($W1790=1,Settings!$C$6,Settings!$C$7)*1)</f>
        <v/>
      </c>
      <c r="U1790">
        <f>IF($A1790="","",IF(COUNTIF($A$2:$A1790,$A1790)=1,1,0))</f>
        <v/>
      </c>
      <c r="V1790">
        <f>IF($U1790=1,SUMPRODUCT(--($X$2:$X$3001&lt;$X1790))+1,"")</f>
        <v/>
      </c>
      <c r="W1790">
        <f>IF($A1790="","",IF(OR($T1790=TRUE(),$T1790="TRUE"),1,0))</f>
        <v/>
      </c>
      <c r="X1790">
        <f>IF($U1790=1,IFERROR(IF(VALUE($A1790)&lt;100000000,VALUE($A1790),1000000000),IFERROR(IF(VALUE(MID($A1790,2,20))&lt;100000000,VALUE(MID($A1790,2,20)),1000000000),1000000000))+ROW()/100000,"")</f>
        <v/>
      </c>
    </row>
    <row r="1791">
      <c r="F1791" s="7">
        <f>IF($A1791="","",E1791*N1791/100)</f>
        <v/>
      </c>
      <c r="J1791" s="7" t="n"/>
      <c r="K1791" s="7">
        <f>IF($A1791="","",S1791*N1791)</f>
        <v/>
      </c>
      <c r="L1791" s="7">
        <f>IF($A1791="","",N1791-K1791)</f>
        <v/>
      </c>
      <c r="M1791" s="7">
        <f>IF($A1791="","",L1791-F1791)</f>
        <v/>
      </c>
      <c r="N1791" s="7" t="n"/>
      <c r="Q1791" s="11" t="n"/>
      <c r="S1791">
        <f>IF($A1791="","",IF($W1791=1,Settings!$C$6,Settings!$C$7)*1)</f>
        <v/>
      </c>
      <c r="U1791">
        <f>IF($A1791="","",IF(COUNTIF($A$2:$A1791,$A1791)=1,1,0))</f>
        <v/>
      </c>
      <c r="V1791">
        <f>IF($U1791=1,SUMPRODUCT(--($X$2:$X$3001&lt;$X1791))+1,"")</f>
        <v/>
      </c>
      <c r="W1791">
        <f>IF($A1791="","",IF(OR($T1791=TRUE(),$T1791="TRUE"),1,0))</f>
        <v/>
      </c>
      <c r="X1791">
        <f>IF($U1791=1,IFERROR(IF(VALUE($A1791)&lt;100000000,VALUE($A1791),1000000000),IFERROR(IF(VALUE(MID($A1791,2,20))&lt;100000000,VALUE(MID($A1791,2,20)),1000000000),1000000000))+ROW()/100000,"")</f>
        <v/>
      </c>
    </row>
    <row r="1792">
      <c r="F1792" s="7">
        <f>IF($A1792="","",E1792*N1792/100)</f>
        <v/>
      </c>
      <c r="J1792" s="7" t="n"/>
      <c r="K1792" s="7">
        <f>IF($A1792="","",S1792*N1792)</f>
        <v/>
      </c>
      <c r="L1792" s="7">
        <f>IF($A1792="","",N1792-K1792)</f>
        <v/>
      </c>
      <c r="M1792" s="7">
        <f>IF($A1792="","",L1792-F1792)</f>
        <v/>
      </c>
      <c r="N1792" s="7" t="n"/>
      <c r="Q1792" s="11" t="n"/>
      <c r="S1792">
        <f>IF($A1792="","",IF($W1792=1,Settings!$C$6,Settings!$C$7)*1)</f>
        <v/>
      </c>
      <c r="U1792">
        <f>IF($A1792="","",IF(COUNTIF($A$2:$A1792,$A1792)=1,1,0))</f>
        <v/>
      </c>
      <c r="V1792">
        <f>IF($U1792=1,SUMPRODUCT(--($X$2:$X$3001&lt;$X1792))+1,"")</f>
        <v/>
      </c>
      <c r="W1792">
        <f>IF($A1792="","",IF(OR($T1792=TRUE(),$T1792="TRUE"),1,0))</f>
        <v/>
      </c>
      <c r="X1792">
        <f>IF($U1792=1,IFERROR(IF(VALUE($A1792)&lt;100000000,VALUE($A1792),1000000000),IFERROR(IF(VALUE(MID($A1792,2,20))&lt;100000000,VALUE(MID($A1792,2,20)),1000000000),1000000000))+ROW()/100000,"")</f>
        <v/>
      </c>
    </row>
    <row r="1793">
      <c r="F1793" s="7">
        <f>IF($A1793="","",E1793*N1793/100)</f>
        <v/>
      </c>
      <c r="J1793" s="7" t="n"/>
      <c r="K1793" s="7">
        <f>IF($A1793="","",S1793*N1793)</f>
        <v/>
      </c>
      <c r="L1793" s="7">
        <f>IF($A1793="","",N1793-K1793)</f>
        <v/>
      </c>
      <c r="M1793" s="7">
        <f>IF($A1793="","",L1793-F1793)</f>
        <v/>
      </c>
      <c r="N1793" s="7" t="n"/>
      <c r="Q1793" s="11" t="n"/>
      <c r="S1793">
        <f>IF($A1793="","",IF($W1793=1,Settings!$C$6,Settings!$C$7)*1)</f>
        <v/>
      </c>
      <c r="U1793">
        <f>IF($A1793="","",IF(COUNTIF($A$2:$A1793,$A1793)=1,1,0))</f>
        <v/>
      </c>
      <c r="V1793">
        <f>IF($U1793=1,SUMPRODUCT(--($X$2:$X$3001&lt;$X1793))+1,"")</f>
        <v/>
      </c>
      <c r="W1793">
        <f>IF($A1793="","",IF(OR($T1793=TRUE(),$T1793="TRUE"),1,0))</f>
        <v/>
      </c>
      <c r="X1793">
        <f>IF($U1793=1,IFERROR(IF(VALUE($A1793)&lt;100000000,VALUE($A1793),1000000000),IFERROR(IF(VALUE(MID($A1793,2,20))&lt;100000000,VALUE(MID($A1793,2,20)),1000000000),1000000000))+ROW()/100000,"")</f>
        <v/>
      </c>
    </row>
    <row r="1794">
      <c r="F1794" s="7">
        <f>IF($A1794="","",E1794*N1794/100)</f>
        <v/>
      </c>
      <c r="J1794" s="7" t="n"/>
      <c r="K1794" s="7">
        <f>IF($A1794="","",S1794*N1794)</f>
        <v/>
      </c>
      <c r="L1794" s="7">
        <f>IF($A1794="","",N1794-K1794)</f>
        <v/>
      </c>
      <c r="M1794" s="7">
        <f>IF($A1794="","",L1794-F1794)</f>
        <v/>
      </c>
      <c r="N1794" s="7" t="n"/>
      <c r="Q1794" s="11" t="n"/>
      <c r="S1794">
        <f>IF($A1794="","",IF($W1794=1,Settings!$C$6,Settings!$C$7)*1)</f>
        <v/>
      </c>
      <c r="U1794">
        <f>IF($A1794="","",IF(COUNTIF($A$2:$A1794,$A1794)=1,1,0))</f>
        <v/>
      </c>
      <c r="V1794">
        <f>IF($U1794=1,SUMPRODUCT(--($X$2:$X$3001&lt;$X1794))+1,"")</f>
        <v/>
      </c>
      <c r="W1794">
        <f>IF($A1794="","",IF(OR($T1794=TRUE(),$T1794="TRUE"),1,0))</f>
        <v/>
      </c>
      <c r="X1794">
        <f>IF($U1794=1,IFERROR(IF(VALUE($A1794)&lt;100000000,VALUE($A1794),1000000000),IFERROR(IF(VALUE(MID($A1794,2,20))&lt;100000000,VALUE(MID($A1794,2,20)),1000000000),1000000000))+ROW()/100000,"")</f>
        <v/>
      </c>
    </row>
    <row r="1795">
      <c r="F1795" s="7">
        <f>IF($A1795="","",E1795*N1795/100)</f>
        <v/>
      </c>
      <c r="J1795" s="7" t="n"/>
      <c r="K1795" s="7">
        <f>IF($A1795="","",S1795*N1795)</f>
        <v/>
      </c>
      <c r="L1795" s="7">
        <f>IF($A1795="","",N1795-K1795)</f>
        <v/>
      </c>
      <c r="M1795" s="7">
        <f>IF($A1795="","",L1795-F1795)</f>
        <v/>
      </c>
      <c r="N1795" s="7" t="n"/>
      <c r="Q1795" s="11" t="n"/>
      <c r="S1795">
        <f>IF($A1795="","",IF($W1795=1,Settings!$C$6,Settings!$C$7)*1)</f>
        <v/>
      </c>
      <c r="U1795">
        <f>IF($A1795="","",IF(COUNTIF($A$2:$A1795,$A1795)=1,1,0))</f>
        <v/>
      </c>
      <c r="V1795">
        <f>IF($U1795=1,SUMPRODUCT(--($X$2:$X$3001&lt;$X1795))+1,"")</f>
        <v/>
      </c>
      <c r="W1795">
        <f>IF($A1795="","",IF(OR($T1795=TRUE(),$T1795="TRUE"),1,0))</f>
        <v/>
      </c>
      <c r="X1795">
        <f>IF($U1795=1,IFERROR(IF(VALUE($A1795)&lt;100000000,VALUE($A1795),1000000000),IFERROR(IF(VALUE(MID($A1795,2,20))&lt;100000000,VALUE(MID($A1795,2,20)),1000000000),1000000000))+ROW()/100000,"")</f>
        <v/>
      </c>
    </row>
    <row r="1796">
      <c r="F1796" s="7">
        <f>IF($A1796="","",E1796*N1796/100)</f>
        <v/>
      </c>
      <c r="J1796" s="7" t="n"/>
      <c r="K1796" s="7">
        <f>IF($A1796="","",S1796*N1796)</f>
        <v/>
      </c>
      <c r="L1796" s="7">
        <f>IF($A1796="","",N1796-K1796)</f>
        <v/>
      </c>
      <c r="M1796" s="7">
        <f>IF($A1796="","",L1796-F1796)</f>
        <v/>
      </c>
      <c r="N1796" s="7" t="n"/>
      <c r="Q1796" s="11" t="n"/>
      <c r="S1796">
        <f>IF($A1796="","",IF($W1796=1,Settings!$C$6,Settings!$C$7)*1)</f>
        <v/>
      </c>
      <c r="U1796">
        <f>IF($A1796="","",IF(COUNTIF($A$2:$A1796,$A1796)=1,1,0))</f>
        <v/>
      </c>
      <c r="V1796">
        <f>IF($U1796=1,SUMPRODUCT(--($X$2:$X$3001&lt;$X1796))+1,"")</f>
        <v/>
      </c>
      <c r="W1796">
        <f>IF($A1796="","",IF(OR($T1796=TRUE(),$T1796="TRUE"),1,0))</f>
        <v/>
      </c>
      <c r="X1796">
        <f>IF($U1796=1,IFERROR(IF(VALUE($A1796)&lt;100000000,VALUE($A1796),1000000000),IFERROR(IF(VALUE(MID($A1796,2,20))&lt;100000000,VALUE(MID($A1796,2,20)),1000000000),1000000000))+ROW()/100000,"")</f>
        <v/>
      </c>
    </row>
    <row r="1797">
      <c r="F1797" s="7">
        <f>IF($A1797="","",E1797*N1797/100)</f>
        <v/>
      </c>
      <c r="J1797" s="7" t="n"/>
      <c r="K1797" s="7">
        <f>IF($A1797="","",S1797*N1797)</f>
        <v/>
      </c>
      <c r="L1797" s="7">
        <f>IF($A1797="","",N1797-K1797)</f>
        <v/>
      </c>
      <c r="M1797" s="7">
        <f>IF($A1797="","",L1797-F1797)</f>
        <v/>
      </c>
      <c r="N1797" s="7" t="n"/>
      <c r="Q1797" s="11" t="n"/>
      <c r="S1797">
        <f>IF($A1797="","",IF($W1797=1,Settings!$C$6,Settings!$C$7)*1)</f>
        <v/>
      </c>
      <c r="U1797">
        <f>IF($A1797="","",IF(COUNTIF($A$2:$A1797,$A1797)=1,1,0))</f>
        <v/>
      </c>
      <c r="V1797">
        <f>IF($U1797=1,SUMPRODUCT(--($X$2:$X$3001&lt;$X1797))+1,"")</f>
        <v/>
      </c>
      <c r="W1797">
        <f>IF($A1797="","",IF(OR($T1797=TRUE(),$T1797="TRUE"),1,0))</f>
        <v/>
      </c>
      <c r="X1797">
        <f>IF($U1797=1,IFERROR(IF(VALUE($A1797)&lt;100000000,VALUE($A1797),1000000000),IFERROR(IF(VALUE(MID($A1797,2,20))&lt;100000000,VALUE(MID($A1797,2,20)),1000000000),1000000000))+ROW()/100000,"")</f>
        <v/>
      </c>
    </row>
    <row r="1798">
      <c r="F1798" s="7">
        <f>IF($A1798="","",E1798*N1798/100)</f>
        <v/>
      </c>
      <c r="J1798" s="7" t="n"/>
      <c r="K1798" s="7">
        <f>IF($A1798="","",S1798*N1798)</f>
        <v/>
      </c>
      <c r="L1798" s="7">
        <f>IF($A1798="","",N1798-K1798)</f>
        <v/>
      </c>
      <c r="M1798" s="7">
        <f>IF($A1798="","",L1798-F1798)</f>
        <v/>
      </c>
      <c r="N1798" s="7" t="n"/>
      <c r="Q1798" s="11" t="n"/>
      <c r="S1798">
        <f>IF($A1798="","",IF($W1798=1,Settings!$C$6,Settings!$C$7)*1)</f>
        <v/>
      </c>
      <c r="U1798">
        <f>IF($A1798="","",IF(COUNTIF($A$2:$A1798,$A1798)=1,1,0))</f>
        <v/>
      </c>
      <c r="V1798">
        <f>IF($U1798=1,SUMPRODUCT(--($X$2:$X$3001&lt;$X1798))+1,"")</f>
        <v/>
      </c>
      <c r="W1798">
        <f>IF($A1798="","",IF(OR($T1798=TRUE(),$T1798="TRUE"),1,0))</f>
        <v/>
      </c>
      <c r="X1798">
        <f>IF($U1798=1,IFERROR(IF(VALUE($A1798)&lt;100000000,VALUE($A1798),1000000000),IFERROR(IF(VALUE(MID($A1798,2,20))&lt;100000000,VALUE(MID($A1798,2,20)),1000000000),1000000000))+ROW()/100000,"")</f>
        <v/>
      </c>
    </row>
    <row r="1799">
      <c r="F1799" s="7">
        <f>IF($A1799="","",E1799*N1799/100)</f>
        <v/>
      </c>
      <c r="J1799" s="7" t="n"/>
      <c r="K1799" s="7">
        <f>IF($A1799="","",S1799*N1799)</f>
        <v/>
      </c>
      <c r="L1799" s="7">
        <f>IF($A1799="","",N1799-K1799)</f>
        <v/>
      </c>
      <c r="M1799" s="7">
        <f>IF($A1799="","",L1799-F1799)</f>
        <v/>
      </c>
      <c r="N1799" s="7" t="n"/>
      <c r="Q1799" s="11" t="n"/>
      <c r="S1799">
        <f>IF($A1799="","",IF($W1799=1,Settings!$C$6,Settings!$C$7)*1)</f>
        <v/>
      </c>
      <c r="U1799">
        <f>IF($A1799="","",IF(COUNTIF($A$2:$A1799,$A1799)=1,1,0))</f>
        <v/>
      </c>
      <c r="V1799">
        <f>IF($U1799=1,SUMPRODUCT(--($X$2:$X$3001&lt;$X1799))+1,"")</f>
        <v/>
      </c>
      <c r="W1799">
        <f>IF($A1799="","",IF(OR($T1799=TRUE(),$T1799="TRUE"),1,0))</f>
        <v/>
      </c>
      <c r="X1799">
        <f>IF($U1799=1,IFERROR(IF(VALUE($A1799)&lt;100000000,VALUE($A1799),1000000000),IFERROR(IF(VALUE(MID($A1799,2,20))&lt;100000000,VALUE(MID($A1799,2,20)),1000000000),1000000000))+ROW()/100000,"")</f>
        <v/>
      </c>
    </row>
    <row r="1800">
      <c r="F1800" s="7">
        <f>IF($A1800="","",E1800*N1800/100)</f>
        <v/>
      </c>
      <c r="J1800" s="7" t="n"/>
      <c r="K1800" s="7">
        <f>IF($A1800="","",S1800*N1800)</f>
        <v/>
      </c>
      <c r="L1800" s="7">
        <f>IF($A1800="","",N1800-K1800)</f>
        <v/>
      </c>
      <c r="M1800" s="7">
        <f>IF($A1800="","",L1800-F1800)</f>
        <v/>
      </c>
      <c r="N1800" s="7" t="n"/>
      <c r="Q1800" s="11" t="n"/>
      <c r="S1800">
        <f>IF($A1800="","",IF($W1800=1,Settings!$C$6,Settings!$C$7)*1)</f>
        <v/>
      </c>
      <c r="U1800">
        <f>IF($A1800="","",IF(COUNTIF($A$2:$A1800,$A1800)=1,1,0))</f>
        <v/>
      </c>
      <c r="V1800">
        <f>IF($U1800=1,SUMPRODUCT(--($X$2:$X$3001&lt;$X1800))+1,"")</f>
        <v/>
      </c>
      <c r="W1800">
        <f>IF($A1800="","",IF(OR($T1800=TRUE(),$T1800="TRUE"),1,0))</f>
        <v/>
      </c>
      <c r="X1800">
        <f>IF($U1800=1,IFERROR(IF(VALUE($A1800)&lt;100000000,VALUE($A1800),1000000000),IFERROR(IF(VALUE(MID($A1800,2,20))&lt;100000000,VALUE(MID($A1800,2,20)),1000000000),1000000000))+ROW()/100000,"")</f>
        <v/>
      </c>
    </row>
    <row r="1801">
      <c r="F1801" s="7">
        <f>IF($A1801="","",E1801*N1801/100)</f>
        <v/>
      </c>
      <c r="J1801" s="7" t="n"/>
      <c r="K1801" s="7">
        <f>IF($A1801="","",S1801*N1801)</f>
        <v/>
      </c>
      <c r="L1801" s="7">
        <f>IF($A1801="","",N1801-K1801)</f>
        <v/>
      </c>
      <c r="M1801" s="7">
        <f>IF($A1801="","",L1801-F1801)</f>
        <v/>
      </c>
      <c r="N1801" s="7" t="n"/>
      <c r="Q1801" s="11" t="n"/>
      <c r="S1801">
        <f>IF($A1801="","",IF($W1801=1,Settings!$C$6,Settings!$C$7)*1)</f>
        <v/>
      </c>
      <c r="U1801">
        <f>IF($A1801="","",IF(COUNTIF($A$2:$A1801,$A1801)=1,1,0))</f>
        <v/>
      </c>
      <c r="V1801">
        <f>IF($U1801=1,SUMPRODUCT(--($X$2:$X$3001&lt;$X1801))+1,"")</f>
        <v/>
      </c>
      <c r="W1801">
        <f>IF($A1801="","",IF(OR($T1801=TRUE(),$T1801="TRUE"),1,0))</f>
        <v/>
      </c>
      <c r="X1801">
        <f>IF($U1801=1,IFERROR(IF(VALUE($A1801)&lt;100000000,VALUE($A1801),1000000000),IFERROR(IF(VALUE(MID($A1801,2,20))&lt;100000000,VALUE(MID($A1801,2,20)),1000000000),1000000000))+ROW()/100000,"")</f>
        <v/>
      </c>
    </row>
    <row r="1802">
      <c r="F1802" s="7">
        <f>IF($A1802="","",E1802*N1802/100)</f>
        <v/>
      </c>
      <c r="J1802" s="7" t="n"/>
      <c r="K1802" s="7">
        <f>IF($A1802="","",S1802*N1802)</f>
        <v/>
      </c>
      <c r="L1802" s="7">
        <f>IF($A1802="","",N1802-K1802)</f>
        <v/>
      </c>
      <c r="M1802" s="7">
        <f>IF($A1802="","",L1802-F1802)</f>
        <v/>
      </c>
      <c r="N1802" s="7" t="n"/>
      <c r="Q1802" s="11" t="n"/>
      <c r="S1802">
        <f>IF($A1802="","",IF($W1802=1,Settings!$C$6,Settings!$C$7)*1)</f>
        <v/>
      </c>
      <c r="U1802">
        <f>IF($A1802="","",IF(COUNTIF($A$2:$A1802,$A1802)=1,1,0))</f>
        <v/>
      </c>
      <c r="V1802">
        <f>IF($U1802=1,SUMPRODUCT(--($X$2:$X$3001&lt;$X1802))+1,"")</f>
        <v/>
      </c>
      <c r="W1802">
        <f>IF($A1802="","",IF(OR($T1802=TRUE(),$T1802="TRUE"),1,0))</f>
        <v/>
      </c>
      <c r="X1802">
        <f>IF($U1802=1,IFERROR(IF(VALUE($A1802)&lt;100000000,VALUE($A1802),1000000000),IFERROR(IF(VALUE(MID($A1802,2,20))&lt;100000000,VALUE(MID($A1802,2,20)),1000000000),1000000000))+ROW()/100000,"")</f>
        <v/>
      </c>
    </row>
    <row r="1803">
      <c r="F1803" s="7">
        <f>IF($A1803="","",E1803*N1803/100)</f>
        <v/>
      </c>
      <c r="J1803" s="7" t="n"/>
      <c r="K1803" s="7">
        <f>IF($A1803="","",S1803*N1803)</f>
        <v/>
      </c>
      <c r="L1803" s="7">
        <f>IF($A1803="","",N1803-K1803)</f>
        <v/>
      </c>
      <c r="M1803" s="7">
        <f>IF($A1803="","",L1803-F1803)</f>
        <v/>
      </c>
      <c r="N1803" s="7" t="n"/>
      <c r="Q1803" s="11" t="n"/>
      <c r="S1803">
        <f>IF($A1803="","",IF($W1803=1,Settings!$C$6,Settings!$C$7)*1)</f>
        <v/>
      </c>
      <c r="U1803">
        <f>IF($A1803="","",IF(COUNTIF($A$2:$A1803,$A1803)=1,1,0))</f>
        <v/>
      </c>
      <c r="V1803">
        <f>IF($U1803=1,SUMPRODUCT(--($X$2:$X$3001&lt;$X1803))+1,"")</f>
        <v/>
      </c>
      <c r="W1803">
        <f>IF($A1803="","",IF(OR($T1803=TRUE(),$T1803="TRUE"),1,0))</f>
        <v/>
      </c>
      <c r="X1803">
        <f>IF($U1803=1,IFERROR(IF(VALUE($A1803)&lt;100000000,VALUE($A1803),1000000000),IFERROR(IF(VALUE(MID($A1803,2,20))&lt;100000000,VALUE(MID($A1803,2,20)),1000000000),1000000000))+ROW()/100000,"")</f>
        <v/>
      </c>
    </row>
    <row r="1804">
      <c r="F1804" s="7">
        <f>IF($A1804="","",E1804*N1804/100)</f>
        <v/>
      </c>
      <c r="J1804" s="7" t="n"/>
      <c r="K1804" s="7">
        <f>IF($A1804="","",S1804*N1804)</f>
        <v/>
      </c>
      <c r="L1804" s="7">
        <f>IF($A1804="","",N1804-K1804)</f>
        <v/>
      </c>
      <c r="M1804" s="7">
        <f>IF($A1804="","",L1804-F1804)</f>
        <v/>
      </c>
      <c r="N1804" s="7" t="n"/>
      <c r="Q1804" s="11" t="n"/>
      <c r="S1804">
        <f>IF($A1804="","",IF($W1804=1,Settings!$C$6,Settings!$C$7)*1)</f>
        <v/>
      </c>
      <c r="U1804">
        <f>IF($A1804="","",IF(COUNTIF($A$2:$A1804,$A1804)=1,1,0))</f>
        <v/>
      </c>
      <c r="V1804">
        <f>IF($U1804=1,SUMPRODUCT(--($X$2:$X$3001&lt;$X1804))+1,"")</f>
        <v/>
      </c>
      <c r="W1804">
        <f>IF($A1804="","",IF(OR($T1804=TRUE(),$T1804="TRUE"),1,0))</f>
        <v/>
      </c>
      <c r="X1804">
        <f>IF($U1804=1,IFERROR(IF(VALUE($A1804)&lt;100000000,VALUE($A1804),1000000000),IFERROR(IF(VALUE(MID($A1804,2,20))&lt;100000000,VALUE(MID($A1804,2,20)),1000000000),1000000000))+ROW()/100000,"")</f>
        <v/>
      </c>
    </row>
    <row r="1805">
      <c r="F1805" s="7">
        <f>IF($A1805="","",E1805*N1805/100)</f>
        <v/>
      </c>
      <c r="J1805" s="7" t="n"/>
      <c r="K1805" s="7">
        <f>IF($A1805="","",S1805*N1805)</f>
        <v/>
      </c>
      <c r="L1805" s="7">
        <f>IF($A1805="","",N1805-K1805)</f>
        <v/>
      </c>
      <c r="M1805" s="7">
        <f>IF($A1805="","",L1805-F1805)</f>
        <v/>
      </c>
      <c r="N1805" s="7" t="n"/>
      <c r="Q1805" s="11" t="n"/>
      <c r="S1805">
        <f>IF($A1805="","",IF($W1805=1,Settings!$C$6,Settings!$C$7)*1)</f>
        <v/>
      </c>
      <c r="U1805">
        <f>IF($A1805="","",IF(COUNTIF($A$2:$A1805,$A1805)=1,1,0))</f>
        <v/>
      </c>
      <c r="V1805">
        <f>IF($U1805=1,SUMPRODUCT(--($X$2:$X$3001&lt;$X1805))+1,"")</f>
        <v/>
      </c>
      <c r="W1805">
        <f>IF($A1805="","",IF(OR($T1805=TRUE(),$T1805="TRUE"),1,0))</f>
        <v/>
      </c>
      <c r="X1805">
        <f>IF($U1805=1,IFERROR(IF(VALUE($A1805)&lt;100000000,VALUE($A1805),1000000000),IFERROR(IF(VALUE(MID($A1805,2,20))&lt;100000000,VALUE(MID($A1805,2,20)),1000000000),1000000000))+ROW()/100000,"")</f>
        <v/>
      </c>
    </row>
    <row r="1806">
      <c r="F1806" s="7">
        <f>IF($A1806="","",E1806*N1806/100)</f>
        <v/>
      </c>
      <c r="J1806" s="7" t="n"/>
      <c r="K1806" s="7">
        <f>IF($A1806="","",S1806*N1806)</f>
        <v/>
      </c>
      <c r="L1806" s="7">
        <f>IF($A1806="","",N1806-K1806)</f>
        <v/>
      </c>
      <c r="M1806" s="7">
        <f>IF($A1806="","",L1806-F1806)</f>
        <v/>
      </c>
      <c r="N1806" s="7" t="n"/>
      <c r="Q1806" s="11" t="n"/>
      <c r="S1806">
        <f>IF($A1806="","",IF($W1806=1,Settings!$C$6,Settings!$C$7)*1)</f>
        <v/>
      </c>
      <c r="U1806">
        <f>IF($A1806="","",IF(COUNTIF($A$2:$A1806,$A1806)=1,1,0))</f>
        <v/>
      </c>
      <c r="V1806">
        <f>IF($U1806=1,SUMPRODUCT(--($X$2:$X$3001&lt;$X1806))+1,"")</f>
        <v/>
      </c>
      <c r="W1806">
        <f>IF($A1806="","",IF(OR($T1806=TRUE(),$T1806="TRUE"),1,0))</f>
        <v/>
      </c>
      <c r="X1806">
        <f>IF($U1806=1,IFERROR(IF(VALUE($A1806)&lt;100000000,VALUE($A1806),1000000000),IFERROR(IF(VALUE(MID($A1806,2,20))&lt;100000000,VALUE(MID($A1806,2,20)),1000000000),1000000000))+ROW()/100000,"")</f>
        <v/>
      </c>
    </row>
    <row r="1807">
      <c r="F1807" s="7">
        <f>IF($A1807="","",E1807*N1807/100)</f>
        <v/>
      </c>
      <c r="J1807" s="7" t="n"/>
      <c r="K1807" s="7">
        <f>IF($A1807="","",S1807*N1807)</f>
        <v/>
      </c>
      <c r="L1807" s="7">
        <f>IF($A1807="","",N1807-K1807)</f>
        <v/>
      </c>
      <c r="M1807" s="7">
        <f>IF($A1807="","",L1807-F1807)</f>
        <v/>
      </c>
      <c r="N1807" s="7" t="n"/>
      <c r="Q1807" s="11" t="n"/>
      <c r="S1807">
        <f>IF($A1807="","",IF($W1807=1,Settings!$C$6,Settings!$C$7)*1)</f>
        <v/>
      </c>
      <c r="U1807">
        <f>IF($A1807="","",IF(COUNTIF($A$2:$A1807,$A1807)=1,1,0))</f>
        <v/>
      </c>
      <c r="V1807">
        <f>IF($U1807=1,SUMPRODUCT(--($X$2:$X$3001&lt;$X1807))+1,"")</f>
        <v/>
      </c>
      <c r="W1807">
        <f>IF($A1807="","",IF(OR($T1807=TRUE(),$T1807="TRUE"),1,0))</f>
        <v/>
      </c>
      <c r="X1807">
        <f>IF($U1807=1,IFERROR(IF(VALUE($A1807)&lt;100000000,VALUE($A1807),1000000000),IFERROR(IF(VALUE(MID($A1807,2,20))&lt;100000000,VALUE(MID($A1807,2,20)),1000000000),1000000000))+ROW()/100000,"")</f>
        <v/>
      </c>
    </row>
    <row r="1808">
      <c r="F1808" s="7">
        <f>IF($A1808="","",E1808*N1808/100)</f>
        <v/>
      </c>
      <c r="J1808" s="7" t="n"/>
      <c r="K1808" s="7">
        <f>IF($A1808="","",S1808*N1808)</f>
        <v/>
      </c>
      <c r="L1808" s="7">
        <f>IF($A1808="","",N1808-K1808)</f>
        <v/>
      </c>
      <c r="M1808" s="7">
        <f>IF($A1808="","",L1808-F1808)</f>
        <v/>
      </c>
      <c r="N1808" s="7" t="n"/>
      <c r="Q1808" s="11" t="n"/>
      <c r="S1808">
        <f>IF($A1808="","",IF($W1808=1,Settings!$C$6,Settings!$C$7)*1)</f>
        <v/>
      </c>
      <c r="U1808">
        <f>IF($A1808="","",IF(COUNTIF($A$2:$A1808,$A1808)=1,1,0))</f>
        <v/>
      </c>
      <c r="V1808">
        <f>IF($U1808=1,SUMPRODUCT(--($X$2:$X$3001&lt;$X1808))+1,"")</f>
        <v/>
      </c>
      <c r="W1808">
        <f>IF($A1808="","",IF(OR($T1808=TRUE(),$T1808="TRUE"),1,0))</f>
        <v/>
      </c>
      <c r="X1808">
        <f>IF($U1808=1,IFERROR(IF(VALUE($A1808)&lt;100000000,VALUE($A1808),1000000000),IFERROR(IF(VALUE(MID($A1808,2,20))&lt;100000000,VALUE(MID($A1808,2,20)),1000000000),1000000000))+ROW()/100000,"")</f>
        <v/>
      </c>
    </row>
    <row r="1809">
      <c r="F1809" s="7">
        <f>IF($A1809="","",E1809*N1809/100)</f>
        <v/>
      </c>
      <c r="J1809" s="7" t="n"/>
      <c r="K1809" s="7">
        <f>IF($A1809="","",S1809*N1809)</f>
        <v/>
      </c>
      <c r="L1809" s="7">
        <f>IF($A1809="","",N1809-K1809)</f>
        <v/>
      </c>
      <c r="M1809" s="7">
        <f>IF($A1809="","",L1809-F1809)</f>
        <v/>
      </c>
      <c r="N1809" s="7" t="n"/>
      <c r="Q1809" s="11" t="n"/>
      <c r="S1809">
        <f>IF($A1809="","",IF($W1809=1,Settings!$C$6,Settings!$C$7)*1)</f>
        <v/>
      </c>
      <c r="U1809">
        <f>IF($A1809="","",IF(COUNTIF($A$2:$A1809,$A1809)=1,1,0))</f>
        <v/>
      </c>
      <c r="V1809">
        <f>IF($U1809=1,SUMPRODUCT(--($X$2:$X$3001&lt;$X1809))+1,"")</f>
        <v/>
      </c>
      <c r="W1809">
        <f>IF($A1809="","",IF(OR($T1809=TRUE(),$T1809="TRUE"),1,0))</f>
        <v/>
      </c>
      <c r="X1809">
        <f>IF($U1809=1,IFERROR(IF(VALUE($A1809)&lt;100000000,VALUE($A1809),1000000000),IFERROR(IF(VALUE(MID($A1809,2,20))&lt;100000000,VALUE(MID($A1809,2,20)),1000000000),1000000000))+ROW()/100000,"")</f>
        <v/>
      </c>
    </row>
    <row r="1810">
      <c r="F1810" s="7">
        <f>IF($A1810="","",E1810*N1810/100)</f>
        <v/>
      </c>
      <c r="J1810" s="7" t="n"/>
      <c r="K1810" s="7">
        <f>IF($A1810="","",S1810*N1810)</f>
        <v/>
      </c>
      <c r="L1810" s="7">
        <f>IF($A1810="","",N1810-K1810)</f>
        <v/>
      </c>
      <c r="M1810" s="7">
        <f>IF($A1810="","",L1810-F1810)</f>
        <v/>
      </c>
      <c r="N1810" s="7" t="n"/>
      <c r="Q1810" s="11" t="n"/>
      <c r="S1810">
        <f>IF($A1810="","",IF($W1810=1,Settings!$C$6,Settings!$C$7)*1)</f>
        <v/>
      </c>
      <c r="U1810">
        <f>IF($A1810="","",IF(COUNTIF($A$2:$A1810,$A1810)=1,1,0))</f>
        <v/>
      </c>
      <c r="V1810">
        <f>IF($U1810=1,SUMPRODUCT(--($X$2:$X$3001&lt;$X1810))+1,"")</f>
        <v/>
      </c>
      <c r="W1810">
        <f>IF($A1810="","",IF(OR($T1810=TRUE(),$T1810="TRUE"),1,0))</f>
        <v/>
      </c>
      <c r="X1810">
        <f>IF($U1810=1,IFERROR(IF(VALUE($A1810)&lt;100000000,VALUE($A1810),1000000000),IFERROR(IF(VALUE(MID($A1810,2,20))&lt;100000000,VALUE(MID($A1810,2,20)),1000000000),1000000000))+ROW()/100000,"")</f>
        <v/>
      </c>
    </row>
    <row r="1811">
      <c r="F1811" s="7">
        <f>IF($A1811="","",E1811*N1811/100)</f>
        <v/>
      </c>
      <c r="J1811" s="7" t="n"/>
      <c r="K1811" s="7">
        <f>IF($A1811="","",S1811*N1811)</f>
        <v/>
      </c>
      <c r="L1811" s="7">
        <f>IF($A1811="","",N1811-K1811)</f>
        <v/>
      </c>
      <c r="M1811" s="7">
        <f>IF($A1811="","",L1811-F1811)</f>
        <v/>
      </c>
      <c r="N1811" s="7" t="n"/>
      <c r="Q1811" s="11" t="n"/>
      <c r="S1811">
        <f>IF($A1811="","",IF($W1811=1,Settings!$C$6,Settings!$C$7)*1)</f>
        <v/>
      </c>
      <c r="U1811">
        <f>IF($A1811="","",IF(COUNTIF($A$2:$A1811,$A1811)=1,1,0))</f>
        <v/>
      </c>
      <c r="V1811">
        <f>IF($U1811=1,SUMPRODUCT(--($X$2:$X$3001&lt;$X1811))+1,"")</f>
        <v/>
      </c>
      <c r="W1811">
        <f>IF($A1811="","",IF(OR($T1811=TRUE(),$T1811="TRUE"),1,0))</f>
        <v/>
      </c>
      <c r="X1811">
        <f>IF($U1811=1,IFERROR(IF(VALUE($A1811)&lt;100000000,VALUE($A1811),1000000000),IFERROR(IF(VALUE(MID($A1811,2,20))&lt;100000000,VALUE(MID($A1811,2,20)),1000000000),1000000000))+ROW()/100000,"")</f>
        <v/>
      </c>
    </row>
    <row r="1812">
      <c r="F1812" s="7">
        <f>IF($A1812="","",E1812*N1812/100)</f>
        <v/>
      </c>
      <c r="J1812" s="7" t="n"/>
      <c r="K1812" s="7">
        <f>IF($A1812="","",S1812*N1812)</f>
        <v/>
      </c>
      <c r="L1812" s="7">
        <f>IF($A1812="","",N1812-K1812)</f>
        <v/>
      </c>
      <c r="M1812" s="7">
        <f>IF($A1812="","",L1812-F1812)</f>
        <v/>
      </c>
      <c r="N1812" s="7" t="n"/>
      <c r="Q1812" s="11" t="n"/>
      <c r="S1812">
        <f>IF($A1812="","",IF($W1812=1,Settings!$C$6,Settings!$C$7)*1)</f>
        <v/>
      </c>
      <c r="U1812">
        <f>IF($A1812="","",IF(COUNTIF($A$2:$A1812,$A1812)=1,1,0))</f>
        <v/>
      </c>
      <c r="V1812">
        <f>IF($U1812=1,SUMPRODUCT(--($X$2:$X$3001&lt;$X1812))+1,"")</f>
        <v/>
      </c>
      <c r="W1812">
        <f>IF($A1812="","",IF(OR($T1812=TRUE(),$T1812="TRUE"),1,0))</f>
        <v/>
      </c>
      <c r="X1812">
        <f>IF($U1812=1,IFERROR(IF(VALUE($A1812)&lt;100000000,VALUE($A1812),1000000000),IFERROR(IF(VALUE(MID($A1812,2,20))&lt;100000000,VALUE(MID($A1812,2,20)),1000000000),1000000000))+ROW()/100000,"")</f>
        <v/>
      </c>
    </row>
    <row r="1813">
      <c r="F1813" s="7">
        <f>IF($A1813="","",E1813*N1813/100)</f>
        <v/>
      </c>
      <c r="J1813" s="7" t="n"/>
      <c r="K1813" s="7">
        <f>IF($A1813="","",S1813*N1813)</f>
        <v/>
      </c>
      <c r="L1813" s="7">
        <f>IF($A1813="","",N1813-K1813)</f>
        <v/>
      </c>
      <c r="M1813" s="7">
        <f>IF($A1813="","",L1813-F1813)</f>
        <v/>
      </c>
      <c r="N1813" s="7" t="n"/>
      <c r="Q1813" s="11" t="n"/>
      <c r="S1813">
        <f>IF($A1813="","",IF($W1813=1,Settings!$C$6,Settings!$C$7)*1)</f>
        <v/>
      </c>
      <c r="U1813">
        <f>IF($A1813="","",IF(COUNTIF($A$2:$A1813,$A1813)=1,1,0))</f>
        <v/>
      </c>
      <c r="V1813">
        <f>IF($U1813=1,SUMPRODUCT(--($X$2:$X$3001&lt;$X1813))+1,"")</f>
        <v/>
      </c>
      <c r="W1813">
        <f>IF($A1813="","",IF(OR($T1813=TRUE(),$T1813="TRUE"),1,0))</f>
        <v/>
      </c>
      <c r="X1813">
        <f>IF($U1813=1,IFERROR(IF(VALUE($A1813)&lt;100000000,VALUE($A1813),1000000000),IFERROR(IF(VALUE(MID($A1813,2,20))&lt;100000000,VALUE(MID($A1813,2,20)),1000000000),1000000000))+ROW()/100000,"")</f>
        <v/>
      </c>
    </row>
    <row r="1814">
      <c r="F1814" s="7">
        <f>IF($A1814="","",E1814*N1814/100)</f>
        <v/>
      </c>
      <c r="J1814" s="7" t="n"/>
      <c r="K1814" s="7">
        <f>IF($A1814="","",S1814*N1814)</f>
        <v/>
      </c>
      <c r="L1814" s="7">
        <f>IF($A1814="","",N1814-K1814)</f>
        <v/>
      </c>
      <c r="M1814" s="7">
        <f>IF($A1814="","",L1814-F1814)</f>
        <v/>
      </c>
      <c r="N1814" s="7" t="n"/>
      <c r="Q1814" s="11" t="n"/>
      <c r="S1814">
        <f>IF($A1814="","",IF($W1814=1,Settings!$C$6,Settings!$C$7)*1)</f>
        <v/>
      </c>
      <c r="U1814">
        <f>IF($A1814="","",IF(COUNTIF($A$2:$A1814,$A1814)=1,1,0))</f>
        <v/>
      </c>
      <c r="V1814">
        <f>IF($U1814=1,SUMPRODUCT(--($X$2:$X$3001&lt;$X1814))+1,"")</f>
        <v/>
      </c>
      <c r="W1814">
        <f>IF($A1814="","",IF(OR($T1814=TRUE(),$T1814="TRUE"),1,0))</f>
        <v/>
      </c>
      <c r="X1814">
        <f>IF($U1814=1,IFERROR(IF(VALUE($A1814)&lt;100000000,VALUE($A1814),1000000000),IFERROR(IF(VALUE(MID($A1814,2,20))&lt;100000000,VALUE(MID($A1814,2,20)),1000000000),1000000000))+ROW()/100000,"")</f>
        <v/>
      </c>
    </row>
    <row r="1815">
      <c r="F1815" s="7">
        <f>IF($A1815="","",E1815*N1815/100)</f>
        <v/>
      </c>
      <c r="J1815" s="7" t="n"/>
      <c r="K1815" s="7">
        <f>IF($A1815="","",S1815*N1815)</f>
        <v/>
      </c>
      <c r="L1815" s="7">
        <f>IF($A1815="","",N1815-K1815)</f>
        <v/>
      </c>
      <c r="M1815" s="7">
        <f>IF($A1815="","",L1815-F1815)</f>
        <v/>
      </c>
      <c r="N1815" s="7" t="n"/>
      <c r="Q1815" s="11" t="n"/>
      <c r="S1815">
        <f>IF($A1815="","",IF($W1815=1,Settings!$C$6,Settings!$C$7)*1)</f>
        <v/>
      </c>
      <c r="U1815">
        <f>IF($A1815="","",IF(COUNTIF($A$2:$A1815,$A1815)=1,1,0))</f>
        <v/>
      </c>
      <c r="V1815">
        <f>IF($U1815=1,SUMPRODUCT(--($X$2:$X$3001&lt;$X1815))+1,"")</f>
        <v/>
      </c>
      <c r="W1815">
        <f>IF($A1815="","",IF(OR($T1815=TRUE(),$T1815="TRUE"),1,0))</f>
        <v/>
      </c>
      <c r="X1815">
        <f>IF($U1815=1,IFERROR(IF(VALUE($A1815)&lt;100000000,VALUE($A1815),1000000000),IFERROR(IF(VALUE(MID($A1815,2,20))&lt;100000000,VALUE(MID($A1815,2,20)),1000000000),1000000000))+ROW()/100000,"")</f>
        <v/>
      </c>
    </row>
    <row r="1816">
      <c r="F1816" s="7">
        <f>IF($A1816="","",E1816*N1816/100)</f>
        <v/>
      </c>
      <c r="J1816" s="7" t="n"/>
      <c r="K1816" s="7">
        <f>IF($A1816="","",S1816*N1816)</f>
        <v/>
      </c>
      <c r="L1816" s="7">
        <f>IF($A1816="","",N1816-K1816)</f>
        <v/>
      </c>
      <c r="M1816" s="7">
        <f>IF($A1816="","",L1816-F1816)</f>
        <v/>
      </c>
      <c r="N1816" s="7" t="n"/>
      <c r="Q1816" s="11" t="n"/>
      <c r="S1816">
        <f>IF($A1816="","",IF($W1816=1,Settings!$C$6,Settings!$C$7)*1)</f>
        <v/>
      </c>
      <c r="U1816">
        <f>IF($A1816="","",IF(COUNTIF($A$2:$A1816,$A1816)=1,1,0))</f>
        <v/>
      </c>
      <c r="V1816">
        <f>IF($U1816=1,SUMPRODUCT(--($X$2:$X$3001&lt;$X1816))+1,"")</f>
        <v/>
      </c>
      <c r="W1816">
        <f>IF($A1816="","",IF(OR($T1816=TRUE(),$T1816="TRUE"),1,0))</f>
        <v/>
      </c>
      <c r="X1816">
        <f>IF($U1816=1,IFERROR(IF(VALUE($A1816)&lt;100000000,VALUE($A1816),1000000000),IFERROR(IF(VALUE(MID($A1816,2,20))&lt;100000000,VALUE(MID($A1816,2,20)),1000000000),1000000000))+ROW()/100000,"")</f>
        <v/>
      </c>
    </row>
    <row r="1817">
      <c r="F1817" s="7">
        <f>IF($A1817="","",E1817*N1817/100)</f>
        <v/>
      </c>
      <c r="J1817" s="7" t="n"/>
      <c r="K1817" s="7">
        <f>IF($A1817="","",S1817*N1817)</f>
        <v/>
      </c>
      <c r="L1817" s="7">
        <f>IF($A1817="","",N1817-K1817)</f>
        <v/>
      </c>
      <c r="M1817" s="7">
        <f>IF($A1817="","",L1817-F1817)</f>
        <v/>
      </c>
      <c r="N1817" s="7" t="n"/>
      <c r="Q1817" s="11" t="n"/>
      <c r="S1817">
        <f>IF($A1817="","",IF($W1817=1,Settings!$C$6,Settings!$C$7)*1)</f>
        <v/>
      </c>
      <c r="U1817">
        <f>IF($A1817="","",IF(COUNTIF($A$2:$A1817,$A1817)=1,1,0))</f>
        <v/>
      </c>
      <c r="V1817">
        <f>IF($U1817=1,SUMPRODUCT(--($X$2:$X$3001&lt;$X1817))+1,"")</f>
        <v/>
      </c>
      <c r="W1817">
        <f>IF($A1817="","",IF(OR($T1817=TRUE(),$T1817="TRUE"),1,0))</f>
        <v/>
      </c>
      <c r="X1817">
        <f>IF($U1817=1,IFERROR(IF(VALUE($A1817)&lt;100000000,VALUE($A1817),1000000000),IFERROR(IF(VALUE(MID($A1817,2,20))&lt;100000000,VALUE(MID($A1817,2,20)),1000000000),1000000000))+ROW()/100000,"")</f>
        <v/>
      </c>
    </row>
    <row r="1818">
      <c r="F1818" s="7">
        <f>IF($A1818="","",E1818*N1818/100)</f>
        <v/>
      </c>
      <c r="J1818" s="7" t="n"/>
      <c r="K1818" s="7">
        <f>IF($A1818="","",S1818*N1818)</f>
        <v/>
      </c>
      <c r="L1818" s="7">
        <f>IF($A1818="","",N1818-K1818)</f>
        <v/>
      </c>
      <c r="M1818" s="7">
        <f>IF($A1818="","",L1818-F1818)</f>
        <v/>
      </c>
      <c r="N1818" s="7" t="n"/>
      <c r="Q1818" s="11" t="n"/>
      <c r="S1818">
        <f>IF($A1818="","",IF($W1818=1,Settings!$C$6,Settings!$C$7)*1)</f>
        <v/>
      </c>
      <c r="U1818">
        <f>IF($A1818="","",IF(COUNTIF($A$2:$A1818,$A1818)=1,1,0))</f>
        <v/>
      </c>
      <c r="V1818">
        <f>IF($U1818=1,SUMPRODUCT(--($X$2:$X$3001&lt;$X1818))+1,"")</f>
        <v/>
      </c>
      <c r="W1818">
        <f>IF($A1818="","",IF(OR($T1818=TRUE(),$T1818="TRUE"),1,0))</f>
        <v/>
      </c>
      <c r="X1818">
        <f>IF($U1818=1,IFERROR(IF(VALUE($A1818)&lt;100000000,VALUE($A1818),1000000000),IFERROR(IF(VALUE(MID($A1818,2,20))&lt;100000000,VALUE(MID($A1818,2,20)),1000000000),1000000000))+ROW()/100000,"")</f>
        <v/>
      </c>
    </row>
    <row r="1819">
      <c r="F1819" s="7">
        <f>IF($A1819="","",E1819*N1819/100)</f>
        <v/>
      </c>
      <c r="J1819" s="7" t="n"/>
      <c r="K1819" s="7">
        <f>IF($A1819="","",S1819*N1819)</f>
        <v/>
      </c>
      <c r="L1819" s="7">
        <f>IF($A1819="","",N1819-K1819)</f>
        <v/>
      </c>
      <c r="M1819" s="7">
        <f>IF($A1819="","",L1819-F1819)</f>
        <v/>
      </c>
      <c r="N1819" s="7" t="n"/>
      <c r="Q1819" s="11" t="n"/>
      <c r="S1819">
        <f>IF($A1819="","",IF($W1819=1,Settings!$C$6,Settings!$C$7)*1)</f>
        <v/>
      </c>
      <c r="U1819">
        <f>IF($A1819="","",IF(COUNTIF($A$2:$A1819,$A1819)=1,1,0))</f>
        <v/>
      </c>
      <c r="V1819">
        <f>IF($U1819=1,SUMPRODUCT(--($X$2:$X$3001&lt;$X1819))+1,"")</f>
        <v/>
      </c>
      <c r="W1819">
        <f>IF($A1819="","",IF(OR($T1819=TRUE(),$T1819="TRUE"),1,0))</f>
        <v/>
      </c>
      <c r="X1819">
        <f>IF($U1819=1,IFERROR(IF(VALUE($A1819)&lt;100000000,VALUE($A1819),1000000000),IFERROR(IF(VALUE(MID($A1819,2,20))&lt;100000000,VALUE(MID($A1819,2,20)),1000000000),1000000000))+ROW()/100000,"")</f>
        <v/>
      </c>
    </row>
    <row r="1820">
      <c r="F1820" s="7">
        <f>IF($A1820="","",E1820*N1820/100)</f>
        <v/>
      </c>
      <c r="J1820" s="7" t="n"/>
      <c r="K1820" s="7">
        <f>IF($A1820="","",S1820*N1820)</f>
        <v/>
      </c>
      <c r="L1820" s="7">
        <f>IF($A1820="","",N1820-K1820)</f>
        <v/>
      </c>
      <c r="M1820" s="7">
        <f>IF($A1820="","",L1820-F1820)</f>
        <v/>
      </c>
      <c r="N1820" s="7" t="n"/>
      <c r="Q1820" s="11" t="n"/>
      <c r="S1820">
        <f>IF($A1820="","",IF($W1820=1,Settings!$C$6,Settings!$C$7)*1)</f>
        <v/>
      </c>
      <c r="U1820">
        <f>IF($A1820="","",IF(COUNTIF($A$2:$A1820,$A1820)=1,1,0))</f>
        <v/>
      </c>
      <c r="V1820">
        <f>IF($U1820=1,SUMPRODUCT(--($X$2:$X$3001&lt;$X1820))+1,"")</f>
        <v/>
      </c>
      <c r="W1820">
        <f>IF($A1820="","",IF(OR($T1820=TRUE(),$T1820="TRUE"),1,0))</f>
        <v/>
      </c>
      <c r="X1820">
        <f>IF($U1820=1,IFERROR(IF(VALUE($A1820)&lt;100000000,VALUE($A1820),1000000000),IFERROR(IF(VALUE(MID($A1820,2,20))&lt;100000000,VALUE(MID($A1820,2,20)),1000000000),1000000000))+ROW()/100000,"")</f>
        <v/>
      </c>
    </row>
    <row r="1821">
      <c r="F1821" s="7">
        <f>IF($A1821="","",E1821*N1821/100)</f>
        <v/>
      </c>
      <c r="J1821" s="7" t="n"/>
      <c r="K1821" s="7">
        <f>IF($A1821="","",S1821*N1821)</f>
        <v/>
      </c>
      <c r="L1821" s="7">
        <f>IF($A1821="","",N1821-K1821)</f>
        <v/>
      </c>
      <c r="M1821" s="7">
        <f>IF($A1821="","",L1821-F1821)</f>
        <v/>
      </c>
      <c r="N1821" s="7" t="n"/>
      <c r="Q1821" s="11" t="n"/>
      <c r="S1821">
        <f>IF($A1821="","",IF($W1821=1,Settings!$C$6,Settings!$C$7)*1)</f>
        <v/>
      </c>
      <c r="U1821">
        <f>IF($A1821="","",IF(COUNTIF($A$2:$A1821,$A1821)=1,1,0))</f>
        <v/>
      </c>
      <c r="V1821">
        <f>IF($U1821=1,SUMPRODUCT(--($X$2:$X$3001&lt;$X1821))+1,"")</f>
        <v/>
      </c>
      <c r="W1821">
        <f>IF($A1821="","",IF(OR($T1821=TRUE(),$T1821="TRUE"),1,0))</f>
        <v/>
      </c>
      <c r="X1821">
        <f>IF($U1821=1,IFERROR(IF(VALUE($A1821)&lt;100000000,VALUE($A1821),1000000000),IFERROR(IF(VALUE(MID($A1821,2,20))&lt;100000000,VALUE(MID($A1821,2,20)),1000000000),1000000000))+ROW()/100000,"")</f>
        <v/>
      </c>
    </row>
    <row r="1822">
      <c r="F1822" s="7">
        <f>IF($A1822="","",E1822*N1822/100)</f>
        <v/>
      </c>
      <c r="J1822" s="7" t="n"/>
      <c r="K1822" s="7">
        <f>IF($A1822="","",S1822*N1822)</f>
        <v/>
      </c>
      <c r="L1822" s="7">
        <f>IF($A1822="","",N1822-K1822)</f>
        <v/>
      </c>
      <c r="M1822" s="7">
        <f>IF($A1822="","",L1822-F1822)</f>
        <v/>
      </c>
      <c r="N1822" s="7" t="n"/>
      <c r="Q1822" s="11" t="n"/>
      <c r="S1822">
        <f>IF($A1822="","",IF($W1822=1,Settings!$C$6,Settings!$C$7)*1)</f>
        <v/>
      </c>
      <c r="U1822">
        <f>IF($A1822="","",IF(COUNTIF($A$2:$A1822,$A1822)=1,1,0))</f>
        <v/>
      </c>
      <c r="V1822">
        <f>IF($U1822=1,SUMPRODUCT(--($X$2:$X$3001&lt;$X1822))+1,"")</f>
        <v/>
      </c>
      <c r="W1822">
        <f>IF($A1822="","",IF(OR($T1822=TRUE(),$T1822="TRUE"),1,0))</f>
        <v/>
      </c>
      <c r="X1822">
        <f>IF($U1822=1,IFERROR(IF(VALUE($A1822)&lt;100000000,VALUE($A1822),1000000000),IFERROR(IF(VALUE(MID($A1822,2,20))&lt;100000000,VALUE(MID($A1822,2,20)),1000000000),1000000000))+ROW()/100000,"")</f>
        <v/>
      </c>
    </row>
    <row r="1823">
      <c r="F1823" s="7">
        <f>IF($A1823="","",E1823*N1823/100)</f>
        <v/>
      </c>
      <c r="J1823" s="7" t="n"/>
      <c r="K1823" s="7">
        <f>IF($A1823="","",S1823*N1823)</f>
        <v/>
      </c>
      <c r="L1823" s="7">
        <f>IF($A1823="","",N1823-K1823)</f>
        <v/>
      </c>
      <c r="M1823" s="7">
        <f>IF($A1823="","",L1823-F1823)</f>
        <v/>
      </c>
      <c r="N1823" s="7" t="n"/>
      <c r="Q1823" s="11" t="n"/>
      <c r="S1823">
        <f>IF($A1823="","",IF($W1823=1,Settings!$C$6,Settings!$C$7)*1)</f>
        <v/>
      </c>
      <c r="U1823">
        <f>IF($A1823="","",IF(COUNTIF($A$2:$A1823,$A1823)=1,1,0))</f>
        <v/>
      </c>
      <c r="V1823">
        <f>IF($U1823=1,SUMPRODUCT(--($X$2:$X$3001&lt;$X1823))+1,"")</f>
        <v/>
      </c>
      <c r="W1823">
        <f>IF($A1823="","",IF(OR($T1823=TRUE(),$T1823="TRUE"),1,0))</f>
        <v/>
      </c>
      <c r="X1823">
        <f>IF($U1823=1,IFERROR(IF(VALUE($A1823)&lt;100000000,VALUE($A1823),1000000000),IFERROR(IF(VALUE(MID($A1823,2,20))&lt;100000000,VALUE(MID($A1823,2,20)),1000000000),1000000000))+ROW()/100000,"")</f>
        <v/>
      </c>
    </row>
    <row r="1824">
      <c r="F1824" s="7">
        <f>IF($A1824="","",E1824*N1824/100)</f>
        <v/>
      </c>
      <c r="J1824" s="7" t="n"/>
      <c r="K1824" s="7">
        <f>IF($A1824="","",S1824*N1824)</f>
        <v/>
      </c>
      <c r="L1824" s="7">
        <f>IF($A1824="","",N1824-K1824)</f>
        <v/>
      </c>
      <c r="M1824" s="7">
        <f>IF($A1824="","",L1824-F1824)</f>
        <v/>
      </c>
      <c r="N1824" s="7" t="n"/>
      <c r="Q1824" s="11" t="n"/>
      <c r="S1824">
        <f>IF($A1824="","",IF($W1824=1,Settings!$C$6,Settings!$C$7)*1)</f>
        <v/>
      </c>
      <c r="U1824">
        <f>IF($A1824="","",IF(COUNTIF($A$2:$A1824,$A1824)=1,1,0))</f>
        <v/>
      </c>
      <c r="V1824">
        <f>IF($U1824=1,SUMPRODUCT(--($X$2:$X$3001&lt;$X1824))+1,"")</f>
        <v/>
      </c>
      <c r="W1824">
        <f>IF($A1824="","",IF(OR($T1824=TRUE(),$T1824="TRUE"),1,0))</f>
        <v/>
      </c>
      <c r="X1824">
        <f>IF($U1824=1,IFERROR(IF(VALUE($A1824)&lt;100000000,VALUE($A1824),1000000000),IFERROR(IF(VALUE(MID($A1824,2,20))&lt;100000000,VALUE(MID($A1824,2,20)),1000000000),1000000000))+ROW()/100000,"")</f>
        <v/>
      </c>
    </row>
    <row r="1825">
      <c r="F1825" s="7">
        <f>IF($A1825="","",E1825*N1825/100)</f>
        <v/>
      </c>
      <c r="J1825" s="7" t="n"/>
      <c r="K1825" s="7">
        <f>IF($A1825="","",S1825*N1825)</f>
        <v/>
      </c>
      <c r="L1825" s="7">
        <f>IF($A1825="","",N1825-K1825)</f>
        <v/>
      </c>
      <c r="M1825" s="7">
        <f>IF($A1825="","",L1825-F1825)</f>
        <v/>
      </c>
      <c r="N1825" s="7" t="n"/>
      <c r="Q1825" s="11" t="n"/>
      <c r="S1825">
        <f>IF($A1825="","",IF($W1825=1,Settings!$C$6,Settings!$C$7)*1)</f>
        <v/>
      </c>
      <c r="U1825">
        <f>IF($A1825="","",IF(COUNTIF($A$2:$A1825,$A1825)=1,1,0))</f>
        <v/>
      </c>
      <c r="V1825">
        <f>IF($U1825=1,SUMPRODUCT(--($X$2:$X$3001&lt;$X1825))+1,"")</f>
        <v/>
      </c>
      <c r="W1825">
        <f>IF($A1825="","",IF(OR($T1825=TRUE(),$T1825="TRUE"),1,0))</f>
        <v/>
      </c>
      <c r="X1825">
        <f>IF($U1825=1,IFERROR(IF(VALUE($A1825)&lt;100000000,VALUE($A1825),1000000000),IFERROR(IF(VALUE(MID($A1825,2,20))&lt;100000000,VALUE(MID($A1825,2,20)),1000000000),1000000000))+ROW()/100000,"")</f>
        <v/>
      </c>
    </row>
    <row r="1826">
      <c r="F1826" s="7">
        <f>IF($A1826="","",E1826*N1826/100)</f>
        <v/>
      </c>
      <c r="J1826" s="7" t="n"/>
      <c r="K1826" s="7">
        <f>IF($A1826="","",S1826*N1826)</f>
        <v/>
      </c>
      <c r="L1826" s="7">
        <f>IF($A1826="","",N1826-K1826)</f>
        <v/>
      </c>
      <c r="M1826" s="7">
        <f>IF($A1826="","",L1826-F1826)</f>
        <v/>
      </c>
      <c r="N1826" s="7" t="n"/>
      <c r="Q1826" s="11" t="n"/>
      <c r="S1826">
        <f>IF($A1826="","",IF($W1826=1,Settings!$C$6,Settings!$C$7)*1)</f>
        <v/>
      </c>
      <c r="U1826">
        <f>IF($A1826="","",IF(COUNTIF($A$2:$A1826,$A1826)=1,1,0))</f>
        <v/>
      </c>
      <c r="V1826">
        <f>IF($U1826=1,SUMPRODUCT(--($X$2:$X$3001&lt;$X1826))+1,"")</f>
        <v/>
      </c>
      <c r="W1826">
        <f>IF($A1826="","",IF(OR($T1826=TRUE(),$T1826="TRUE"),1,0))</f>
        <v/>
      </c>
      <c r="X1826">
        <f>IF($U1826=1,IFERROR(IF(VALUE($A1826)&lt;100000000,VALUE($A1826),1000000000),IFERROR(IF(VALUE(MID($A1826,2,20))&lt;100000000,VALUE(MID($A1826,2,20)),1000000000),1000000000))+ROW()/100000,"")</f>
        <v/>
      </c>
    </row>
    <row r="1827">
      <c r="F1827" s="7">
        <f>IF($A1827="","",E1827*N1827/100)</f>
        <v/>
      </c>
      <c r="J1827" s="7" t="n"/>
      <c r="K1827" s="7">
        <f>IF($A1827="","",S1827*N1827)</f>
        <v/>
      </c>
      <c r="L1827" s="7">
        <f>IF($A1827="","",N1827-K1827)</f>
        <v/>
      </c>
      <c r="M1827" s="7">
        <f>IF($A1827="","",L1827-F1827)</f>
        <v/>
      </c>
      <c r="N1827" s="7" t="n"/>
      <c r="Q1827" s="11" t="n"/>
      <c r="S1827">
        <f>IF($A1827="","",IF($W1827=1,Settings!$C$6,Settings!$C$7)*1)</f>
        <v/>
      </c>
      <c r="U1827">
        <f>IF($A1827="","",IF(COUNTIF($A$2:$A1827,$A1827)=1,1,0))</f>
        <v/>
      </c>
      <c r="V1827">
        <f>IF($U1827=1,SUMPRODUCT(--($X$2:$X$3001&lt;$X1827))+1,"")</f>
        <v/>
      </c>
      <c r="W1827">
        <f>IF($A1827="","",IF(OR($T1827=TRUE(),$T1827="TRUE"),1,0))</f>
        <v/>
      </c>
      <c r="X1827">
        <f>IF($U1827=1,IFERROR(IF(VALUE($A1827)&lt;100000000,VALUE($A1827),1000000000),IFERROR(IF(VALUE(MID($A1827,2,20))&lt;100000000,VALUE(MID($A1827,2,20)),1000000000),1000000000))+ROW()/100000,"")</f>
        <v/>
      </c>
    </row>
    <row r="1828">
      <c r="F1828" s="7">
        <f>IF($A1828="","",E1828*N1828/100)</f>
        <v/>
      </c>
      <c r="J1828" s="7" t="n"/>
      <c r="K1828" s="7">
        <f>IF($A1828="","",S1828*N1828)</f>
        <v/>
      </c>
      <c r="L1828" s="7">
        <f>IF($A1828="","",N1828-K1828)</f>
        <v/>
      </c>
      <c r="M1828" s="7">
        <f>IF($A1828="","",L1828-F1828)</f>
        <v/>
      </c>
      <c r="N1828" s="7" t="n"/>
      <c r="Q1828" s="11" t="n"/>
      <c r="S1828">
        <f>IF($A1828="","",IF($W1828=1,Settings!$C$6,Settings!$C$7)*1)</f>
        <v/>
      </c>
      <c r="U1828">
        <f>IF($A1828="","",IF(COUNTIF($A$2:$A1828,$A1828)=1,1,0))</f>
        <v/>
      </c>
      <c r="V1828">
        <f>IF($U1828=1,SUMPRODUCT(--($X$2:$X$3001&lt;$X1828))+1,"")</f>
        <v/>
      </c>
      <c r="W1828">
        <f>IF($A1828="","",IF(OR($T1828=TRUE(),$T1828="TRUE"),1,0))</f>
        <v/>
      </c>
      <c r="X1828">
        <f>IF($U1828=1,IFERROR(IF(VALUE($A1828)&lt;100000000,VALUE($A1828),1000000000),IFERROR(IF(VALUE(MID($A1828,2,20))&lt;100000000,VALUE(MID($A1828,2,20)),1000000000),1000000000))+ROW()/100000,"")</f>
        <v/>
      </c>
    </row>
    <row r="1829">
      <c r="F1829" s="7">
        <f>IF($A1829="","",E1829*N1829/100)</f>
        <v/>
      </c>
      <c r="J1829" s="7" t="n"/>
      <c r="K1829" s="7">
        <f>IF($A1829="","",S1829*N1829)</f>
        <v/>
      </c>
      <c r="L1829" s="7">
        <f>IF($A1829="","",N1829-K1829)</f>
        <v/>
      </c>
      <c r="M1829" s="7">
        <f>IF($A1829="","",L1829-F1829)</f>
        <v/>
      </c>
      <c r="N1829" s="7" t="n"/>
      <c r="Q1829" s="11" t="n"/>
      <c r="S1829">
        <f>IF($A1829="","",IF($W1829=1,Settings!$C$6,Settings!$C$7)*1)</f>
        <v/>
      </c>
      <c r="U1829">
        <f>IF($A1829="","",IF(COUNTIF($A$2:$A1829,$A1829)=1,1,0))</f>
        <v/>
      </c>
      <c r="V1829">
        <f>IF($U1829=1,SUMPRODUCT(--($X$2:$X$3001&lt;$X1829))+1,"")</f>
        <v/>
      </c>
      <c r="W1829">
        <f>IF($A1829="","",IF(OR($T1829=TRUE(),$T1829="TRUE"),1,0))</f>
        <v/>
      </c>
      <c r="X1829">
        <f>IF($U1829=1,IFERROR(IF(VALUE($A1829)&lt;100000000,VALUE($A1829),1000000000),IFERROR(IF(VALUE(MID($A1829,2,20))&lt;100000000,VALUE(MID($A1829,2,20)),1000000000),1000000000))+ROW()/100000,"")</f>
        <v/>
      </c>
    </row>
    <row r="1830">
      <c r="F1830" s="7">
        <f>IF($A1830="","",E1830*N1830/100)</f>
        <v/>
      </c>
      <c r="J1830" s="7" t="n"/>
      <c r="K1830" s="7">
        <f>IF($A1830="","",S1830*N1830)</f>
        <v/>
      </c>
      <c r="L1830" s="7">
        <f>IF($A1830="","",N1830-K1830)</f>
        <v/>
      </c>
      <c r="M1830" s="7">
        <f>IF($A1830="","",L1830-F1830)</f>
        <v/>
      </c>
      <c r="N1830" s="7" t="n"/>
      <c r="Q1830" s="11" t="n"/>
      <c r="S1830">
        <f>IF($A1830="","",IF($W1830=1,Settings!$C$6,Settings!$C$7)*1)</f>
        <v/>
      </c>
      <c r="U1830">
        <f>IF($A1830="","",IF(COUNTIF($A$2:$A1830,$A1830)=1,1,0))</f>
        <v/>
      </c>
      <c r="V1830">
        <f>IF($U1830=1,SUMPRODUCT(--($X$2:$X$3001&lt;$X1830))+1,"")</f>
        <v/>
      </c>
      <c r="W1830">
        <f>IF($A1830="","",IF(OR($T1830=TRUE(),$T1830="TRUE"),1,0))</f>
        <v/>
      </c>
      <c r="X1830">
        <f>IF($U1830=1,IFERROR(IF(VALUE($A1830)&lt;100000000,VALUE($A1830),1000000000),IFERROR(IF(VALUE(MID($A1830,2,20))&lt;100000000,VALUE(MID($A1830,2,20)),1000000000),1000000000))+ROW()/100000,"")</f>
        <v/>
      </c>
    </row>
    <row r="1831">
      <c r="F1831" s="7">
        <f>IF($A1831="","",E1831*N1831/100)</f>
        <v/>
      </c>
      <c r="J1831" s="7" t="n"/>
      <c r="K1831" s="7">
        <f>IF($A1831="","",S1831*N1831)</f>
        <v/>
      </c>
      <c r="L1831" s="7">
        <f>IF($A1831="","",N1831-K1831)</f>
        <v/>
      </c>
      <c r="M1831" s="7">
        <f>IF($A1831="","",L1831-F1831)</f>
        <v/>
      </c>
      <c r="N1831" s="7" t="n"/>
      <c r="Q1831" s="11" t="n"/>
      <c r="S1831">
        <f>IF($A1831="","",IF($W1831=1,Settings!$C$6,Settings!$C$7)*1)</f>
        <v/>
      </c>
      <c r="U1831">
        <f>IF($A1831="","",IF(COUNTIF($A$2:$A1831,$A1831)=1,1,0))</f>
        <v/>
      </c>
      <c r="V1831">
        <f>IF($U1831=1,SUMPRODUCT(--($X$2:$X$3001&lt;$X1831))+1,"")</f>
        <v/>
      </c>
      <c r="W1831">
        <f>IF($A1831="","",IF(OR($T1831=TRUE(),$T1831="TRUE"),1,0))</f>
        <v/>
      </c>
      <c r="X1831">
        <f>IF($U1831=1,IFERROR(IF(VALUE($A1831)&lt;100000000,VALUE($A1831),1000000000),IFERROR(IF(VALUE(MID($A1831,2,20))&lt;100000000,VALUE(MID($A1831,2,20)),1000000000),1000000000))+ROW()/100000,"")</f>
        <v/>
      </c>
    </row>
    <row r="1832">
      <c r="F1832" s="7">
        <f>IF($A1832="","",E1832*N1832/100)</f>
        <v/>
      </c>
      <c r="J1832" s="7" t="n"/>
      <c r="K1832" s="7">
        <f>IF($A1832="","",S1832*N1832)</f>
        <v/>
      </c>
      <c r="L1832" s="7">
        <f>IF($A1832="","",N1832-K1832)</f>
        <v/>
      </c>
      <c r="M1832" s="7">
        <f>IF($A1832="","",L1832-F1832)</f>
        <v/>
      </c>
      <c r="N1832" s="7" t="n"/>
      <c r="Q1832" s="11" t="n"/>
      <c r="S1832">
        <f>IF($A1832="","",IF($W1832=1,Settings!$C$6,Settings!$C$7)*1)</f>
        <v/>
      </c>
      <c r="U1832">
        <f>IF($A1832="","",IF(COUNTIF($A$2:$A1832,$A1832)=1,1,0))</f>
        <v/>
      </c>
      <c r="V1832">
        <f>IF($U1832=1,SUMPRODUCT(--($X$2:$X$3001&lt;$X1832))+1,"")</f>
        <v/>
      </c>
      <c r="W1832">
        <f>IF($A1832="","",IF(OR($T1832=TRUE(),$T1832="TRUE"),1,0))</f>
        <v/>
      </c>
      <c r="X1832">
        <f>IF($U1832=1,IFERROR(IF(VALUE($A1832)&lt;100000000,VALUE($A1832),1000000000),IFERROR(IF(VALUE(MID($A1832,2,20))&lt;100000000,VALUE(MID($A1832,2,20)),1000000000),1000000000))+ROW()/100000,"")</f>
        <v/>
      </c>
    </row>
    <row r="1833">
      <c r="F1833" s="7">
        <f>IF($A1833="","",E1833*N1833/100)</f>
        <v/>
      </c>
      <c r="J1833" s="7" t="n"/>
      <c r="K1833" s="7">
        <f>IF($A1833="","",S1833*N1833)</f>
        <v/>
      </c>
      <c r="L1833" s="7">
        <f>IF($A1833="","",N1833-K1833)</f>
        <v/>
      </c>
      <c r="M1833" s="7">
        <f>IF($A1833="","",L1833-F1833)</f>
        <v/>
      </c>
      <c r="N1833" s="7" t="n"/>
      <c r="Q1833" s="11" t="n"/>
      <c r="S1833">
        <f>IF($A1833="","",IF($W1833=1,Settings!$C$6,Settings!$C$7)*1)</f>
        <v/>
      </c>
      <c r="U1833">
        <f>IF($A1833="","",IF(COUNTIF($A$2:$A1833,$A1833)=1,1,0))</f>
        <v/>
      </c>
      <c r="V1833">
        <f>IF($U1833=1,SUMPRODUCT(--($X$2:$X$3001&lt;$X1833))+1,"")</f>
        <v/>
      </c>
      <c r="W1833">
        <f>IF($A1833="","",IF(OR($T1833=TRUE(),$T1833="TRUE"),1,0))</f>
        <v/>
      </c>
      <c r="X1833">
        <f>IF($U1833=1,IFERROR(IF(VALUE($A1833)&lt;100000000,VALUE($A1833),1000000000),IFERROR(IF(VALUE(MID($A1833,2,20))&lt;100000000,VALUE(MID($A1833,2,20)),1000000000),1000000000))+ROW()/100000,"")</f>
        <v/>
      </c>
    </row>
    <row r="1834">
      <c r="F1834" s="7">
        <f>IF($A1834="","",E1834*N1834/100)</f>
        <v/>
      </c>
      <c r="J1834" s="7" t="n"/>
      <c r="K1834" s="7">
        <f>IF($A1834="","",S1834*N1834)</f>
        <v/>
      </c>
      <c r="L1834" s="7">
        <f>IF($A1834="","",N1834-K1834)</f>
        <v/>
      </c>
      <c r="M1834" s="7">
        <f>IF($A1834="","",L1834-F1834)</f>
        <v/>
      </c>
      <c r="N1834" s="7" t="n"/>
      <c r="Q1834" s="11" t="n"/>
      <c r="S1834">
        <f>IF($A1834="","",IF($W1834=1,Settings!$C$6,Settings!$C$7)*1)</f>
        <v/>
      </c>
      <c r="U1834">
        <f>IF($A1834="","",IF(COUNTIF($A$2:$A1834,$A1834)=1,1,0))</f>
        <v/>
      </c>
      <c r="V1834">
        <f>IF($U1834=1,SUMPRODUCT(--($X$2:$X$3001&lt;$X1834))+1,"")</f>
        <v/>
      </c>
      <c r="W1834">
        <f>IF($A1834="","",IF(OR($T1834=TRUE(),$T1834="TRUE"),1,0))</f>
        <v/>
      </c>
      <c r="X1834">
        <f>IF($U1834=1,IFERROR(IF(VALUE($A1834)&lt;100000000,VALUE($A1834),1000000000),IFERROR(IF(VALUE(MID($A1834,2,20))&lt;100000000,VALUE(MID($A1834,2,20)),1000000000),1000000000))+ROW()/100000,"")</f>
        <v/>
      </c>
    </row>
    <row r="1835">
      <c r="F1835" s="7">
        <f>IF($A1835="","",E1835*N1835/100)</f>
        <v/>
      </c>
      <c r="J1835" s="7" t="n"/>
      <c r="K1835" s="7">
        <f>IF($A1835="","",S1835*N1835)</f>
        <v/>
      </c>
      <c r="L1835" s="7">
        <f>IF($A1835="","",N1835-K1835)</f>
        <v/>
      </c>
      <c r="M1835" s="7">
        <f>IF($A1835="","",L1835-F1835)</f>
        <v/>
      </c>
      <c r="N1835" s="7" t="n"/>
      <c r="Q1835" s="11" t="n"/>
      <c r="S1835">
        <f>IF($A1835="","",IF($W1835=1,Settings!$C$6,Settings!$C$7)*1)</f>
        <v/>
      </c>
      <c r="U1835">
        <f>IF($A1835="","",IF(COUNTIF($A$2:$A1835,$A1835)=1,1,0))</f>
        <v/>
      </c>
      <c r="V1835">
        <f>IF($U1835=1,SUMPRODUCT(--($X$2:$X$3001&lt;$X1835))+1,"")</f>
        <v/>
      </c>
      <c r="W1835">
        <f>IF($A1835="","",IF(OR($T1835=TRUE(),$T1835="TRUE"),1,0))</f>
        <v/>
      </c>
      <c r="X1835">
        <f>IF($U1835=1,IFERROR(IF(VALUE($A1835)&lt;100000000,VALUE($A1835),1000000000),IFERROR(IF(VALUE(MID($A1835,2,20))&lt;100000000,VALUE(MID($A1835,2,20)),1000000000),1000000000))+ROW()/100000,"")</f>
        <v/>
      </c>
    </row>
    <row r="1836">
      <c r="F1836" s="7">
        <f>IF($A1836="","",E1836*N1836/100)</f>
        <v/>
      </c>
      <c r="J1836" s="7" t="n"/>
      <c r="K1836" s="7">
        <f>IF($A1836="","",S1836*N1836)</f>
        <v/>
      </c>
      <c r="L1836" s="7">
        <f>IF($A1836="","",N1836-K1836)</f>
        <v/>
      </c>
      <c r="M1836" s="7">
        <f>IF($A1836="","",L1836-F1836)</f>
        <v/>
      </c>
      <c r="N1836" s="7" t="n"/>
      <c r="Q1836" s="11" t="n"/>
      <c r="S1836">
        <f>IF($A1836="","",IF($W1836=1,Settings!$C$6,Settings!$C$7)*1)</f>
        <v/>
      </c>
      <c r="U1836">
        <f>IF($A1836="","",IF(COUNTIF($A$2:$A1836,$A1836)=1,1,0))</f>
        <v/>
      </c>
      <c r="V1836">
        <f>IF($U1836=1,SUMPRODUCT(--($X$2:$X$3001&lt;$X1836))+1,"")</f>
        <v/>
      </c>
      <c r="W1836">
        <f>IF($A1836="","",IF(OR($T1836=TRUE(),$T1836="TRUE"),1,0))</f>
        <v/>
      </c>
      <c r="X1836">
        <f>IF($U1836=1,IFERROR(IF(VALUE($A1836)&lt;100000000,VALUE($A1836),1000000000),IFERROR(IF(VALUE(MID($A1836,2,20))&lt;100000000,VALUE(MID($A1836,2,20)),1000000000),1000000000))+ROW()/100000,"")</f>
        <v/>
      </c>
    </row>
    <row r="1837">
      <c r="F1837" s="7">
        <f>IF($A1837="","",E1837*N1837/100)</f>
        <v/>
      </c>
      <c r="J1837" s="7" t="n"/>
      <c r="K1837" s="7">
        <f>IF($A1837="","",S1837*N1837)</f>
        <v/>
      </c>
      <c r="L1837" s="7">
        <f>IF($A1837="","",N1837-K1837)</f>
        <v/>
      </c>
      <c r="M1837" s="7">
        <f>IF($A1837="","",L1837-F1837)</f>
        <v/>
      </c>
      <c r="N1837" s="7" t="n"/>
      <c r="Q1837" s="11" t="n"/>
      <c r="S1837">
        <f>IF($A1837="","",IF($W1837=1,Settings!$C$6,Settings!$C$7)*1)</f>
        <v/>
      </c>
      <c r="U1837">
        <f>IF($A1837="","",IF(COUNTIF($A$2:$A1837,$A1837)=1,1,0))</f>
        <v/>
      </c>
      <c r="V1837">
        <f>IF($U1837=1,SUMPRODUCT(--($X$2:$X$3001&lt;$X1837))+1,"")</f>
        <v/>
      </c>
      <c r="W1837">
        <f>IF($A1837="","",IF(OR($T1837=TRUE(),$T1837="TRUE"),1,0))</f>
        <v/>
      </c>
      <c r="X1837">
        <f>IF($U1837=1,IFERROR(IF(VALUE($A1837)&lt;100000000,VALUE($A1837),1000000000),IFERROR(IF(VALUE(MID($A1837,2,20))&lt;100000000,VALUE(MID($A1837,2,20)),1000000000),1000000000))+ROW()/100000,"")</f>
        <v/>
      </c>
    </row>
    <row r="1838">
      <c r="F1838" s="7">
        <f>IF($A1838="","",E1838*N1838/100)</f>
        <v/>
      </c>
      <c r="J1838" s="7" t="n"/>
      <c r="K1838" s="7">
        <f>IF($A1838="","",S1838*N1838)</f>
        <v/>
      </c>
      <c r="L1838" s="7">
        <f>IF($A1838="","",N1838-K1838)</f>
        <v/>
      </c>
      <c r="M1838" s="7">
        <f>IF($A1838="","",L1838-F1838)</f>
        <v/>
      </c>
      <c r="N1838" s="7" t="n"/>
      <c r="Q1838" s="11" t="n"/>
      <c r="S1838">
        <f>IF($A1838="","",IF($W1838=1,Settings!$C$6,Settings!$C$7)*1)</f>
        <v/>
      </c>
      <c r="U1838">
        <f>IF($A1838="","",IF(COUNTIF($A$2:$A1838,$A1838)=1,1,0))</f>
        <v/>
      </c>
      <c r="V1838">
        <f>IF($U1838=1,SUMPRODUCT(--($X$2:$X$3001&lt;$X1838))+1,"")</f>
        <v/>
      </c>
      <c r="W1838">
        <f>IF($A1838="","",IF(OR($T1838=TRUE(),$T1838="TRUE"),1,0))</f>
        <v/>
      </c>
      <c r="X1838">
        <f>IF($U1838=1,IFERROR(IF(VALUE($A1838)&lt;100000000,VALUE($A1838),1000000000),IFERROR(IF(VALUE(MID($A1838,2,20))&lt;100000000,VALUE(MID($A1838,2,20)),1000000000),1000000000))+ROW()/100000,"")</f>
        <v/>
      </c>
    </row>
    <row r="1839">
      <c r="F1839" s="7">
        <f>IF($A1839="","",E1839*N1839/100)</f>
        <v/>
      </c>
      <c r="J1839" s="7" t="n"/>
      <c r="K1839" s="7">
        <f>IF($A1839="","",S1839*N1839)</f>
        <v/>
      </c>
      <c r="L1839" s="7">
        <f>IF($A1839="","",N1839-K1839)</f>
        <v/>
      </c>
      <c r="M1839" s="7">
        <f>IF($A1839="","",L1839-F1839)</f>
        <v/>
      </c>
      <c r="N1839" s="7" t="n"/>
      <c r="Q1839" s="11" t="n"/>
      <c r="S1839">
        <f>IF($A1839="","",IF($W1839=1,Settings!$C$6,Settings!$C$7)*1)</f>
        <v/>
      </c>
      <c r="U1839">
        <f>IF($A1839="","",IF(COUNTIF($A$2:$A1839,$A1839)=1,1,0))</f>
        <v/>
      </c>
      <c r="V1839">
        <f>IF($U1839=1,SUMPRODUCT(--($X$2:$X$3001&lt;$X1839))+1,"")</f>
        <v/>
      </c>
      <c r="W1839">
        <f>IF($A1839="","",IF(OR($T1839=TRUE(),$T1839="TRUE"),1,0))</f>
        <v/>
      </c>
      <c r="X1839">
        <f>IF($U1839=1,IFERROR(IF(VALUE($A1839)&lt;100000000,VALUE($A1839),1000000000),IFERROR(IF(VALUE(MID($A1839,2,20))&lt;100000000,VALUE(MID($A1839,2,20)),1000000000),1000000000))+ROW()/100000,"")</f>
        <v/>
      </c>
    </row>
    <row r="1840">
      <c r="F1840" s="7">
        <f>IF($A1840="","",E1840*N1840/100)</f>
        <v/>
      </c>
      <c r="J1840" s="7" t="n"/>
      <c r="K1840" s="7">
        <f>IF($A1840="","",S1840*N1840)</f>
        <v/>
      </c>
      <c r="L1840" s="7">
        <f>IF($A1840="","",N1840-K1840)</f>
        <v/>
      </c>
      <c r="M1840" s="7">
        <f>IF($A1840="","",L1840-F1840)</f>
        <v/>
      </c>
      <c r="N1840" s="7" t="n"/>
      <c r="Q1840" s="11" t="n"/>
      <c r="S1840">
        <f>IF($A1840="","",IF($W1840=1,Settings!$C$6,Settings!$C$7)*1)</f>
        <v/>
      </c>
      <c r="U1840">
        <f>IF($A1840="","",IF(COUNTIF($A$2:$A1840,$A1840)=1,1,0))</f>
        <v/>
      </c>
      <c r="V1840">
        <f>IF($U1840=1,SUMPRODUCT(--($X$2:$X$3001&lt;$X1840))+1,"")</f>
        <v/>
      </c>
      <c r="W1840">
        <f>IF($A1840="","",IF(OR($T1840=TRUE(),$T1840="TRUE"),1,0))</f>
        <v/>
      </c>
      <c r="X1840">
        <f>IF($U1840=1,IFERROR(IF(VALUE($A1840)&lt;100000000,VALUE($A1840),1000000000),IFERROR(IF(VALUE(MID($A1840,2,20))&lt;100000000,VALUE(MID($A1840,2,20)),1000000000),1000000000))+ROW()/100000,"")</f>
        <v/>
      </c>
    </row>
    <row r="1841">
      <c r="F1841" s="7">
        <f>IF($A1841="","",E1841*N1841/100)</f>
        <v/>
      </c>
      <c r="J1841" s="7" t="n"/>
      <c r="K1841" s="7">
        <f>IF($A1841="","",S1841*N1841)</f>
        <v/>
      </c>
      <c r="L1841" s="7">
        <f>IF($A1841="","",N1841-K1841)</f>
        <v/>
      </c>
      <c r="M1841" s="7">
        <f>IF($A1841="","",L1841-F1841)</f>
        <v/>
      </c>
      <c r="N1841" s="7" t="n"/>
      <c r="Q1841" s="11" t="n"/>
      <c r="S1841">
        <f>IF($A1841="","",IF($W1841=1,Settings!$C$6,Settings!$C$7)*1)</f>
        <v/>
      </c>
      <c r="U1841">
        <f>IF($A1841="","",IF(COUNTIF($A$2:$A1841,$A1841)=1,1,0))</f>
        <v/>
      </c>
      <c r="V1841">
        <f>IF($U1841=1,SUMPRODUCT(--($X$2:$X$3001&lt;$X1841))+1,"")</f>
        <v/>
      </c>
      <c r="W1841">
        <f>IF($A1841="","",IF(OR($T1841=TRUE(),$T1841="TRUE"),1,0))</f>
        <v/>
      </c>
      <c r="X1841">
        <f>IF($U1841=1,IFERROR(IF(VALUE($A1841)&lt;100000000,VALUE($A1841),1000000000),IFERROR(IF(VALUE(MID($A1841,2,20))&lt;100000000,VALUE(MID($A1841,2,20)),1000000000),1000000000))+ROW()/100000,"")</f>
        <v/>
      </c>
    </row>
    <row r="1842">
      <c r="F1842" s="7">
        <f>IF($A1842="","",E1842*N1842/100)</f>
        <v/>
      </c>
      <c r="J1842" s="7" t="n"/>
      <c r="K1842" s="7">
        <f>IF($A1842="","",S1842*N1842)</f>
        <v/>
      </c>
      <c r="L1842" s="7">
        <f>IF($A1842="","",N1842-K1842)</f>
        <v/>
      </c>
      <c r="M1842" s="7">
        <f>IF($A1842="","",L1842-F1842)</f>
        <v/>
      </c>
      <c r="N1842" s="7" t="n"/>
      <c r="Q1842" s="11" t="n"/>
      <c r="S1842">
        <f>IF($A1842="","",IF($W1842=1,Settings!$C$6,Settings!$C$7)*1)</f>
        <v/>
      </c>
      <c r="U1842">
        <f>IF($A1842="","",IF(COUNTIF($A$2:$A1842,$A1842)=1,1,0))</f>
        <v/>
      </c>
      <c r="V1842">
        <f>IF($U1842=1,SUMPRODUCT(--($X$2:$X$3001&lt;$X1842))+1,"")</f>
        <v/>
      </c>
      <c r="W1842">
        <f>IF($A1842="","",IF(OR($T1842=TRUE(),$T1842="TRUE"),1,0))</f>
        <v/>
      </c>
      <c r="X1842">
        <f>IF($U1842=1,IFERROR(IF(VALUE($A1842)&lt;100000000,VALUE($A1842),1000000000),IFERROR(IF(VALUE(MID($A1842,2,20))&lt;100000000,VALUE(MID($A1842,2,20)),1000000000),1000000000))+ROW()/100000,"")</f>
        <v/>
      </c>
    </row>
    <row r="1843">
      <c r="F1843" s="7">
        <f>IF($A1843="","",E1843*N1843/100)</f>
        <v/>
      </c>
      <c r="J1843" s="7" t="n"/>
      <c r="K1843" s="7">
        <f>IF($A1843="","",S1843*N1843)</f>
        <v/>
      </c>
      <c r="L1843" s="7">
        <f>IF($A1843="","",N1843-K1843)</f>
        <v/>
      </c>
      <c r="M1843" s="7">
        <f>IF($A1843="","",L1843-F1843)</f>
        <v/>
      </c>
      <c r="N1843" s="7" t="n"/>
      <c r="Q1843" s="11" t="n"/>
      <c r="S1843">
        <f>IF($A1843="","",IF($W1843=1,Settings!$C$6,Settings!$C$7)*1)</f>
        <v/>
      </c>
      <c r="U1843">
        <f>IF($A1843="","",IF(COUNTIF($A$2:$A1843,$A1843)=1,1,0))</f>
        <v/>
      </c>
      <c r="V1843">
        <f>IF($U1843=1,SUMPRODUCT(--($X$2:$X$3001&lt;$X1843))+1,"")</f>
        <v/>
      </c>
      <c r="W1843">
        <f>IF($A1843="","",IF(OR($T1843=TRUE(),$T1843="TRUE"),1,0))</f>
        <v/>
      </c>
      <c r="X1843">
        <f>IF($U1843=1,IFERROR(IF(VALUE($A1843)&lt;100000000,VALUE($A1843),1000000000),IFERROR(IF(VALUE(MID($A1843,2,20))&lt;100000000,VALUE(MID($A1843,2,20)),1000000000),1000000000))+ROW()/100000,"")</f>
        <v/>
      </c>
    </row>
    <row r="1844">
      <c r="F1844" s="7">
        <f>IF($A1844="","",E1844*N1844/100)</f>
        <v/>
      </c>
      <c r="J1844" s="7" t="n"/>
      <c r="K1844" s="7">
        <f>IF($A1844="","",S1844*N1844)</f>
        <v/>
      </c>
      <c r="L1844" s="7">
        <f>IF($A1844="","",N1844-K1844)</f>
        <v/>
      </c>
      <c r="M1844" s="7">
        <f>IF($A1844="","",L1844-F1844)</f>
        <v/>
      </c>
      <c r="N1844" s="7" t="n"/>
      <c r="Q1844" s="11" t="n"/>
      <c r="S1844">
        <f>IF($A1844="","",IF($W1844=1,Settings!$C$6,Settings!$C$7)*1)</f>
        <v/>
      </c>
      <c r="U1844">
        <f>IF($A1844="","",IF(COUNTIF($A$2:$A1844,$A1844)=1,1,0))</f>
        <v/>
      </c>
      <c r="V1844">
        <f>IF($U1844=1,SUMPRODUCT(--($X$2:$X$3001&lt;$X1844))+1,"")</f>
        <v/>
      </c>
      <c r="W1844">
        <f>IF($A1844="","",IF(OR($T1844=TRUE(),$T1844="TRUE"),1,0))</f>
        <v/>
      </c>
      <c r="X1844">
        <f>IF($U1844=1,IFERROR(IF(VALUE($A1844)&lt;100000000,VALUE($A1844),1000000000),IFERROR(IF(VALUE(MID($A1844,2,20))&lt;100000000,VALUE(MID($A1844,2,20)),1000000000),1000000000))+ROW()/100000,"")</f>
        <v/>
      </c>
    </row>
    <row r="1845">
      <c r="F1845" s="7">
        <f>IF($A1845="","",E1845*N1845/100)</f>
        <v/>
      </c>
      <c r="J1845" s="7" t="n"/>
      <c r="K1845" s="7">
        <f>IF($A1845="","",S1845*N1845)</f>
        <v/>
      </c>
      <c r="L1845" s="7">
        <f>IF($A1845="","",N1845-K1845)</f>
        <v/>
      </c>
      <c r="M1845" s="7">
        <f>IF($A1845="","",L1845-F1845)</f>
        <v/>
      </c>
      <c r="N1845" s="7" t="n"/>
      <c r="Q1845" s="11" t="n"/>
      <c r="S1845">
        <f>IF($A1845="","",IF($W1845=1,Settings!$C$6,Settings!$C$7)*1)</f>
        <v/>
      </c>
      <c r="U1845">
        <f>IF($A1845="","",IF(COUNTIF($A$2:$A1845,$A1845)=1,1,0))</f>
        <v/>
      </c>
      <c r="V1845">
        <f>IF($U1845=1,SUMPRODUCT(--($X$2:$X$3001&lt;$X1845))+1,"")</f>
        <v/>
      </c>
      <c r="W1845">
        <f>IF($A1845="","",IF(OR($T1845=TRUE(),$T1845="TRUE"),1,0))</f>
        <v/>
      </c>
      <c r="X1845">
        <f>IF($U1845=1,IFERROR(IF(VALUE($A1845)&lt;100000000,VALUE($A1845),1000000000),IFERROR(IF(VALUE(MID($A1845,2,20))&lt;100000000,VALUE(MID($A1845,2,20)),1000000000),1000000000))+ROW()/100000,"")</f>
        <v/>
      </c>
    </row>
    <row r="1846">
      <c r="F1846" s="7">
        <f>IF($A1846="","",E1846*N1846/100)</f>
        <v/>
      </c>
      <c r="J1846" s="7" t="n"/>
      <c r="K1846" s="7">
        <f>IF($A1846="","",S1846*N1846)</f>
        <v/>
      </c>
      <c r="L1846" s="7">
        <f>IF($A1846="","",N1846-K1846)</f>
        <v/>
      </c>
      <c r="M1846" s="7">
        <f>IF($A1846="","",L1846-F1846)</f>
        <v/>
      </c>
      <c r="N1846" s="7" t="n"/>
      <c r="Q1846" s="11" t="n"/>
      <c r="S1846">
        <f>IF($A1846="","",IF($W1846=1,Settings!$C$6,Settings!$C$7)*1)</f>
        <v/>
      </c>
      <c r="U1846">
        <f>IF($A1846="","",IF(COUNTIF($A$2:$A1846,$A1846)=1,1,0))</f>
        <v/>
      </c>
      <c r="V1846">
        <f>IF($U1846=1,SUMPRODUCT(--($X$2:$X$3001&lt;$X1846))+1,"")</f>
        <v/>
      </c>
      <c r="W1846">
        <f>IF($A1846="","",IF(OR($T1846=TRUE(),$T1846="TRUE"),1,0))</f>
        <v/>
      </c>
      <c r="X1846">
        <f>IF($U1846=1,IFERROR(IF(VALUE($A1846)&lt;100000000,VALUE($A1846),1000000000),IFERROR(IF(VALUE(MID($A1846,2,20))&lt;100000000,VALUE(MID($A1846,2,20)),1000000000),1000000000))+ROW()/100000,"")</f>
        <v/>
      </c>
    </row>
    <row r="1847">
      <c r="F1847" s="7">
        <f>IF($A1847="","",E1847*N1847/100)</f>
        <v/>
      </c>
      <c r="J1847" s="7" t="n"/>
      <c r="K1847" s="7">
        <f>IF($A1847="","",S1847*N1847)</f>
        <v/>
      </c>
      <c r="L1847" s="7">
        <f>IF($A1847="","",N1847-K1847)</f>
        <v/>
      </c>
      <c r="M1847" s="7">
        <f>IF($A1847="","",L1847-F1847)</f>
        <v/>
      </c>
      <c r="N1847" s="7" t="n"/>
      <c r="Q1847" s="11" t="n"/>
      <c r="S1847">
        <f>IF($A1847="","",IF($W1847=1,Settings!$C$6,Settings!$C$7)*1)</f>
        <v/>
      </c>
      <c r="U1847">
        <f>IF($A1847="","",IF(COUNTIF($A$2:$A1847,$A1847)=1,1,0))</f>
        <v/>
      </c>
      <c r="V1847">
        <f>IF($U1847=1,SUMPRODUCT(--($X$2:$X$3001&lt;$X1847))+1,"")</f>
        <v/>
      </c>
      <c r="W1847">
        <f>IF($A1847="","",IF(OR($T1847=TRUE(),$T1847="TRUE"),1,0))</f>
        <v/>
      </c>
      <c r="X1847">
        <f>IF($U1847=1,IFERROR(IF(VALUE($A1847)&lt;100000000,VALUE($A1847),1000000000),IFERROR(IF(VALUE(MID($A1847,2,20))&lt;100000000,VALUE(MID($A1847,2,20)),1000000000),1000000000))+ROW()/100000,"")</f>
        <v/>
      </c>
    </row>
    <row r="1848">
      <c r="F1848" s="7">
        <f>IF($A1848="","",E1848*N1848/100)</f>
        <v/>
      </c>
      <c r="J1848" s="7" t="n"/>
      <c r="K1848" s="7">
        <f>IF($A1848="","",S1848*N1848)</f>
        <v/>
      </c>
      <c r="L1848" s="7">
        <f>IF($A1848="","",N1848-K1848)</f>
        <v/>
      </c>
      <c r="M1848" s="7">
        <f>IF($A1848="","",L1848-F1848)</f>
        <v/>
      </c>
      <c r="N1848" s="7" t="n"/>
      <c r="Q1848" s="11" t="n"/>
      <c r="S1848">
        <f>IF($A1848="","",IF($W1848=1,Settings!$C$6,Settings!$C$7)*1)</f>
        <v/>
      </c>
      <c r="U1848">
        <f>IF($A1848="","",IF(COUNTIF($A$2:$A1848,$A1848)=1,1,0))</f>
        <v/>
      </c>
      <c r="V1848">
        <f>IF($U1848=1,SUMPRODUCT(--($X$2:$X$3001&lt;$X1848))+1,"")</f>
        <v/>
      </c>
      <c r="W1848">
        <f>IF($A1848="","",IF(OR($T1848=TRUE(),$T1848="TRUE"),1,0))</f>
        <v/>
      </c>
      <c r="X1848">
        <f>IF($U1848=1,IFERROR(IF(VALUE($A1848)&lt;100000000,VALUE($A1848),1000000000),IFERROR(IF(VALUE(MID($A1848,2,20))&lt;100000000,VALUE(MID($A1848,2,20)),1000000000),1000000000))+ROW()/100000,"")</f>
        <v/>
      </c>
    </row>
    <row r="1849">
      <c r="F1849" s="7">
        <f>IF($A1849="","",E1849*N1849/100)</f>
        <v/>
      </c>
      <c r="J1849" s="7" t="n"/>
      <c r="K1849" s="7">
        <f>IF($A1849="","",S1849*N1849)</f>
        <v/>
      </c>
      <c r="L1849" s="7">
        <f>IF($A1849="","",N1849-K1849)</f>
        <v/>
      </c>
      <c r="M1849" s="7">
        <f>IF($A1849="","",L1849-F1849)</f>
        <v/>
      </c>
      <c r="N1849" s="7" t="n"/>
      <c r="Q1849" s="11" t="n"/>
      <c r="S1849">
        <f>IF($A1849="","",IF($W1849=1,Settings!$C$6,Settings!$C$7)*1)</f>
        <v/>
      </c>
      <c r="U1849">
        <f>IF($A1849="","",IF(COUNTIF($A$2:$A1849,$A1849)=1,1,0))</f>
        <v/>
      </c>
      <c r="V1849">
        <f>IF($U1849=1,SUMPRODUCT(--($X$2:$X$3001&lt;$X1849))+1,"")</f>
        <v/>
      </c>
      <c r="W1849">
        <f>IF($A1849="","",IF(OR($T1849=TRUE(),$T1849="TRUE"),1,0))</f>
        <v/>
      </c>
      <c r="X1849">
        <f>IF($U1849=1,IFERROR(IF(VALUE($A1849)&lt;100000000,VALUE($A1849),1000000000),IFERROR(IF(VALUE(MID($A1849,2,20))&lt;100000000,VALUE(MID($A1849,2,20)),1000000000),1000000000))+ROW()/100000,"")</f>
        <v/>
      </c>
    </row>
    <row r="1850">
      <c r="F1850" s="7">
        <f>IF($A1850="","",E1850*N1850/100)</f>
        <v/>
      </c>
      <c r="J1850" s="7" t="n"/>
      <c r="K1850" s="7">
        <f>IF($A1850="","",S1850*N1850)</f>
        <v/>
      </c>
      <c r="L1850" s="7">
        <f>IF($A1850="","",N1850-K1850)</f>
        <v/>
      </c>
      <c r="M1850" s="7">
        <f>IF($A1850="","",L1850-F1850)</f>
        <v/>
      </c>
      <c r="N1850" s="7" t="n"/>
      <c r="Q1850" s="11" t="n"/>
      <c r="S1850">
        <f>IF($A1850="","",IF($W1850=1,Settings!$C$6,Settings!$C$7)*1)</f>
        <v/>
      </c>
      <c r="U1850">
        <f>IF($A1850="","",IF(COUNTIF($A$2:$A1850,$A1850)=1,1,0))</f>
        <v/>
      </c>
      <c r="V1850">
        <f>IF($U1850=1,SUMPRODUCT(--($X$2:$X$3001&lt;$X1850))+1,"")</f>
        <v/>
      </c>
      <c r="W1850">
        <f>IF($A1850="","",IF(OR($T1850=TRUE(),$T1850="TRUE"),1,0))</f>
        <v/>
      </c>
      <c r="X1850">
        <f>IF($U1850=1,IFERROR(IF(VALUE($A1850)&lt;100000000,VALUE($A1850),1000000000),IFERROR(IF(VALUE(MID($A1850,2,20))&lt;100000000,VALUE(MID($A1850,2,20)),1000000000),1000000000))+ROW()/100000,"")</f>
        <v/>
      </c>
    </row>
    <row r="1851">
      <c r="F1851" s="7">
        <f>IF($A1851="","",E1851*N1851/100)</f>
        <v/>
      </c>
      <c r="J1851" s="7" t="n"/>
      <c r="K1851" s="7">
        <f>IF($A1851="","",S1851*N1851)</f>
        <v/>
      </c>
      <c r="L1851" s="7">
        <f>IF($A1851="","",N1851-K1851)</f>
        <v/>
      </c>
      <c r="M1851" s="7">
        <f>IF($A1851="","",L1851-F1851)</f>
        <v/>
      </c>
      <c r="N1851" s="7" t="n"/>
      <c r="Q1851" s="11" t="n"/>
      <c r="S1851">
        <f>IF($A1851="","",IF($W1851=1,Settings!$C$6,Settings!$C$7)*1)</f>
        <v/>
      </c>
      <c r="U1851">
        <f>IF($A1851="","",IF(COUNTIF($A$2:$A1851,$A1851)=1,1,0))</f>
        <v/>
      </c>
      <c r="V1851">
        <f>IF($U1851=1,SUMPRODUCT(--($X$2:$X$3001&lt;$X1851))+1,"")</f>
        <v/>
      </c>
      <c r="W1851">
        <f>IF($A1851="","",IF(OR($T1851=TRUE(),$T1851="TRUE"),1,0))</f>
        <v/>
      </c>
      <c r="X1851">
        <f>IF($U1851=1,IFERROR(IF(VALUE($A1851)&lt;100000000,VALUE($A1851),1000000000),IFERROR(IF(VALUE(MID($A1851,2,20))&lt;100000000,VALUE(MID($A1851,2,20)),1000000000),1000000000))+ROW()/100000,"")</f>
        <v/>
      </c>
    </row>
    <row r="1852">
      <c r="F1852" s="7">
        <f>IF($A1852="","",E1852*N1852/100)</f>
        <v/>
      </c>
      <c r="J1852" s="7" t="n"/>
      <c r="K1852" s="7">
        <f>IF($A1852="","",S1852*N1852)</f>
        <v/>
      </c>
      <c r="L1852" s="7">
        <f>IF($A1852="","",N1852-K1852)</f>
        <v/>
      </c>
      <c r="M1852" s="7">
        <f>IF($A1852="","",L1852-F1852)</f>
        <v/>
      </c>
      <c r="N1852" s="7" t="n"/>
      <c r="Q1852" s="11" t="n"/>
      <c r="S1852">
        <f>IF($A1852="","",IF($W1852=1,Settings!$C$6,Settings!$C$7)*1)</f>
        <v/>
      </c>
      <c r="U1852">
        <f>IF($A1852="","",IF(COUNTIF($A$2:$A1852,$A1852)=1,1,0))</f>
        <v/>
      </c>
      <c r="V1852">
        <f>IF($U1852=1,SUMPRODUCT(--($X$2:$X$3001&lt;$X1852))+1,"")</f>
        <v/>
      </c>
      <c r="W1852">
        <f>IF($A1852="","",IF(OR($T1852=TRUE(),$T1852="TRUE"),1,0))</f>
        <v/>
      </c>
      <c r="X1852">
        <f>IF($U1852=1,IFERROR(IF(VALUE($A1852)&lt;100000000,VALUE($A1852),1000000000),IFERROR(IF(VALUE(MID($A1852,2,20))&lt;100000000,VALUE(MID($A1852,2,20)),1000000000),1000000000))+ROW()/100000,"")</f>
        <v/>
      </c>
    </row>
    <row r="1853">
      <c r="F1853" s="7">
        <f>IF($A1853="","",E1853*N1853/100)</f>
        <v/>
      </c>
      <c r="J1853" s="7" t="n"/>
      <c r="K1853" s="7">
        <f>IF($A1853="","",S1853*N1853)</f>
        <v/>
      </c>
      <c r="L1853" s="7">
        <f>IF($A1853="","",N1853-K1853)</f>
        <v/>
      </c>
      <c r="M1853" s="7">
        <f>IF($A1853="","",L1853-F1853)</f>
        <v/>
      </c>
      <c r="N1853" s="7" t="n"/>
      <c r="Q1853" s="11" t="n"/>
      <c r="S1853">
        <f>IF($A1853="","",IF($W1853=1,Settings!$C$6,Settings!$C$7)*1)</f>
        <v/>
      </c>
      <c r="U1853">
        <f>IF($A1853="","",IF(COUNTIF($A$2:$A1853,$A1853)=1,1,0))</f>
        <v/>
      </c>
      <c r="V1853">
        <f>IF($U1853=1,SUMPRODUCT(--($X$2:$X$3001&lt;$X1853))+1,"")</f>
        <v/>
      </c>
      <c r="W1853">
        <f>IF($A1853="","",IF(OR($T1853=TRUE(),$T1853="TRUE"),1,0))</f>
        <v/>
      </c>
      <c r="X1853">
        <f>IF($U1853=1,IFERROR(IF(VALUE($A1853)&lt;100000000,VALUE($A1853),1000000000),IFERROR(IF(VALUE(MID($A1853,2,20))&lt;100000000,VALUE(MID($A1853,2,20)),1000000000),1000000000))+ROW()/100000,"")</f>
        <v/>
      </c>
    </row>
    <row r="1854">
      <c r="F1854" s="7">
        <f>IF($A1854="","",E1854*N1854/100)</f>
        <v/>
      </c>
      <c r="J1854" s="7" t="n"/>
      <c r="K1854" s="7">
        <f>IF($A1854="","",S1854*N1854)</f>
        <v/>
      </c>
      <c r="L1854" s="7">
        <f>IF($A1854="","",N1854-K1854)</f>
        <v/>
      </c>
      <c r="M1854" s="7">
        <f>IF($A1854="","",L1854-F1854)</f>
        <v/>
      </c>
      <c r="N1854" s="7" t="n"/>
      <c r="Q1854" s="11" t="n"/>
      <c r="S1854">
        <f>IF($A1854="","",IF($W1854=1,Settings!$C$6,Settings!$C$7)*1)</f>
        <v/>
      </c>
      <c r="U1854">
        <f>IF($A1854="","",IF(COUNTIF($A$2:$A1854,$A1854)=1,1,0))</f>
        <v/>
      </c>
      <c r="V1854">
        <f>IF($U1854=1,SUMPRODUCT(--($X$2:$X$3001&lt;$X1854))+1,"")</f>
        <v/>
      </c>
      <c r="W1854">
        <f>IF($A1854="","",IF(OR($T1854=TRUE(),$T1854="TRUE"),1,0))</f>
        <v/>
      </c>
      <c r="X1854">
        <f>IF($U1854=1,IFERROR(IF(VALUE($A1854)&lt;100000000,VALUE($A1854),1000000000),IFERROR(IF(VALUE(MID($A1854,2,20))&lt;100000000,VALUE(MID($A1854,2,20)),1000000000),1000000000))+ROW()/100000,"")</f>
        <v/>
      </c>
    </row>
    <row r="1855">
      <c r="F1855" s="7">
        <f>IF($A1855="","",E1855*N1855/100)</f>
        <v/>
      </c>
      <c r="J1855" s="7" t="n"/>
      <c r="K1855" s="7">
        <f>IF($A1855="","",S1855*N1855)</f>
        <v/>
      </c>
      <c r="L1855" s="7">
        <f>IF($A1855="","",N1855-K1855)</f>
        <v/>
      </c>
      <c r="M1855" s="7">
        <f>IF($A1855="","",L1855-F1855)</f>
        <v/>
      </c>
      <c r="N1855" s="7" t="n"/>
      <c r="Q1855" s="11" t="n"/>
      <c r="S1855">
        <f>IF($A1855="","",IF($W1855=1,Settings!$C$6,Settings!$C$7)*1)</f>
        <v/>
      </c>
      <c r="U1855">
        <f>IF($A1855="","",IF(COUNTIF($A$2:$A1855,$A1855)=1,1,0))</f>
        <v/>
      </c>
      <c r="V1855">
        <f>IF($U1855=1,SUMPRODUCT(--($X$2:$X$3001&lt;$X1855))+1,"")</f>
        <v/>
      </c>
      <c r="W1855">
        <f>IF($A1855="","",IF(OR($T1855=TRUE(),$T1855="TRUE"),1,0))</f>
        <v/>
      </c>
      <c r="X1855">
        <f>IF($U1855=1,IFERROR(IF(VALUE($A1855)&lt;100000000,VALUE($A1855),1000000000),IFERROR(IF(VALUE(MID($A1855,2,20))&lt;100000000,VALUE(MID($A1855,2,20)),1000000000),1000000000))+ROW()/100000,"")</f>
        <v/>
      </c>
    </row>
    <row r="1856">
      <c r="F1856" s="7">
        <f>IF($A1856="","",E1856*N1856/100)</f>
        <v/>
      </c>
      <c r="J1856" s="7" t="n"/>
      <c r="K1856" s="7">
        <f>IF($A1856="","",S1856*N1856)</f>
        <v/>
      </c>
      <c r="L1856" s="7">
        <f>IF($A1856="","",N1856-K1856)</f>
        <v/>
      </c>
      <c r="M1856" s="7">
        <f>IF($A1856="","",L1856-F1856)</f>
        <v/>
      </c>
      <c r="N1856" s="7" t="n"/>
      <c r="Q1856" s="11" t="n"/>
      <c r="S1856">
        <f>IF($A1856="","",IF($W1856=1,Settings!$C$6,Settings!$C$7)*1)</f>
        <v/>
      </c>
      <c r="U1856">
        <f>IF($A1856="","",IF(COUNTIF($A$2:$A1856,$A1856)=1,1,0))</f>
        <v/>
      </c>
      <c r="V1856">
        <f>IF($U1856=1,SUMPRODUCT(--($X$2:$X$3001&lt;$X1856))+1,"")</f>
        <v/>
      </c>
      <c r="W1856">
        <f>IF($A1856="","",IF(OR($T1856=TRUE(),$T1856="TRUE"),1,0))</f>
        <v/>
      </c>
      <c r="X1856">
        <f>IF($U1856=1,IFERROR(IF(VALUE($A1856)&lt;100000000,VALUE($A1856),1000000000),IFERROR(IF(VALUE(MID($A1856,2,20))&lt;100000000,VALUE(MID($A1856,2,20)),1000000000),1000000000))+ROW()/100000,"")</f>
        <v/>
      </c>
    </row>
    <row r="1857">
      <c r="F1857" s="7">
        <f>IF($A1857="","",E1857*N1857/100)</f>
        <v/>
      </c>
      <c r="J1857" s="7" t="n"/>
      <c r="K1857" s="7">
        <f>IF($A1857="","",S1857*N1857)</f>
        <v/>
      </c>
      <c r="L1857" s="7">
        <f>IF($A1857="","",N1857-K1857)</f>
        <v/>
      </c>
      <c r="M1857" s="7">
        <f>IF($A1857="","",L1857-F1857)</f>
        <v/>
      </c>
      <c r="N1857" s="7" t="n"/>
      <c r="Q1857" s="11" t="n"/>
      <c r="S1857">
        <f>IF($A1857="","",IF($W1857=1,Settings!$C$6,Settings!$C$7)*1)</f>
        <v/>
      </c>
      <c r="U1857">
        <f>IF($A1857="","",IF(COUNTIF($A$2:$A1857,$A1857)=1,1,0))</f>
        <v/>
      </c>
      <c r="V1857">
        <f>IF($U1857=1,SUMPRODUCT(--($X$2:$X$3001&lt;$X1857))+1,"")</f>
        <v/>
      </c>
      <c r="W1857">
        <f>IF($A1857="","",IF(OR($T1857=TRUE(),$T1857="TRUE"),1,0))</f>
        <v/>
      </c>
      <c r="X1857">
        <f>IF($U1857=1,IFERROR(IF(VALUE($A1857)&lt;100000000,VALUE($A1857),1000000000),IFERROR(IF(VALUE(MID($A1857,2,20))&lt;100000000,VALUE(MID($A1857,2,20)),1000000000),1000000000))+ROW()/100000,"")</f>
        <v/>
      </c>
    </row>
    <row r="1858">
      <c r="F1858" s="7">
        <f>IF($A1858="","",E1858*N1858/100)</f>
        <v/>
      </c>
      <c r="J1858" s="7" t="n"/>
      <c r="K1858" s="7">
        <f>IF($A1858="","",S1858*N1858)</f>
        <v/>
      </c>
      <c r="L1858" s="7">
        <f>IF($A1858="","",N1858-K1858)</f>
        <v/>
      </c>
      <c r="M1858" s="7">
        <f>IF($A1858="","",L1858-F1858)</f>
        <v/>
      </c>
      <c r="N1858" s="7" t="n"/>
      <c r="Q1858" s="11" t="n"/>
      <c r="S1858">
        <f>IF($A1858="","",IF($W1858=1,Settings!$C$6,Settings!$C$7)*1)</f>
        <v/>
      </c>
      <c r="U1858">
        <f>IF($A1858="","",IF(COUNTIF($A$2:$A1858,$A1858)=1,1,0))</f>
        <v/>
      </c>
      <c r="V1858">
        <f>IF($U1858=1,SUMPRODUCT(--($X$2:$X$3001&lt;$X1858))+1,"")</f>
        <v/>
      </c>
      <c r="W1858">
        <f>IF($A1858="","",IF(OR($T1858=TRUE(),$T1858="TRUE"),1,0))</f>
        <v/>
      </c>
      <c r="X1858">
        <f>IF($U1858=1,IFERROR(IF(VALUE($A1858)&lt;100000000,VALUE($A1858),1000000000),IFERROR(IF(VALUE(MID($A1858,2,20))&lt;100000000,VALUE(MID($A1858,2,20)),1000000000),1000000000))+ROW()/100000,"")</f>
        <v/>
      </c>
    </row>
    <row r="1859">
      <c r="F1859" s="7">
        <f>IF($A1859="","",E1859*N1859/100)</f>
        <v/>
      </c>
      <c r="J1859" s="7" t="n"/>
      <c r="K1859" s="7">
        <f>IF($A1859="","",S1859*N1859)</f>
        <v/>
      </c>
      <c r="L1859" s="7">
        <f>IF($A1859="","",N1859-K1859)</f>
        <v/>
      </c>
      <c r="M1859" s="7">
        <f>IF($A1859="","",L1859-F1859)</f>
        <v/>
      </c>
      <c r="N1859" s="7" t="n"/>
      <c r="Q1859" s="11" t="n"/>
      <c r="S1859">
        <f>IF($A1859="","",IF($W1859=1,Settings!$C$6,Settings!$C$7)*1)</f>
        <v/>
      </c>
      <c r="U1859">
        <f>IF($A1859="","",IF(COUNTIF($A$2:$A1859,$A1859)=1,1,0))</f>
        <v/>
      </c>
      <c r="V1859">
        <f>IF($U1859=1,SUMPRODUCT(--($X$2:$X$3001&lt;$X1859))+1,"")</f>
        <v/>
      </c>
      <c r="W1859">
        <f>IF($A1859="","",IF(OR($T1859=TRUE(),$T1859="TRUE"),1,0))</f>
        <v/>
      </c>
      <c r="X1859">
        <f>IF($U1859=1,IFERROR(IF(VALUE($A1859)&lt;100000000,VALUE($A1859),1000000000),IFERROR(IF(VALUE(MID($A1859,2,20))&lt;100000000,VALUE(MID($A1859,2,20)),1000000000),1000000000))+ROW()/100000,"")</f>
        <v/>
      </c>
    </row>
    <row r="1860">
      <c r="F1860" s="7">
        <f>IF($A1860="","",E1860*N1860/100)</f>
        <v/>
      </c>
      <c r="J1860" s="7" t="n"/>
      <c r="K1860" s="7">
        <f>IF($A1860="","",S1860*N1860)</f>
        <v/>
      </c>
      <c r="L1860" s="7">
        <f>IF($A1860="","",N1860-K1860)</f>
        <v/>
      </c>
      <c r="M1860" s="7">
        <f>IF($A1860="","",L1860-F1860)</f>
        <v/>
      </c>
      <c r="N1860" s="7" t="n"/>
      <c r="Q1860" s="11" t="n"/>
      <c r="S1860">
        <f>IF($A1860="","",IF($W1860=1,Settings!$C$6,Settings!$C$7)*1)</f>
        <v/>
      </c>
      <c r="U1860">
        <f>IF($A1860="","",IF(COUNTIF($A$2:$A1860,$A1860)=1,1,0))</f>
        <v/>
      </c>
      <c r="V1860">
        <f>IF($U1860=1,SUMPRODUCT(--($X$2:$X$3001&lt;$X1860))+1,"")</f>
        <v/>
      </c>
      <c r="W1860">
        <f>IF($A1860="","",IF(OR($T1860=TRUE(),$T1860="TRUE"),1,0))</f>
        <v/>
      </c>
      <c r="X1860">
        <f>IF($U1860=1,IFERROR(IF(VALUE($A1860)&lt;100000000,VALUE($A1860),1000000000),IFERROR(IF(VALUE(MID($A1860,2,20))&lt;100000000,VALUE(MID($A1860,2,20)),1000000000),1000000000))+ROW()/100000,"")</f>
        <v/>
      </c>
    </row>
    <row r="1861">
      <c r="F1861" s="7">
        <f>IF($A1861="","",E1861*N1861/100)</f>
        <v/>
      </c>
      <c r="J1861" s="7" t="n"/>
      <c r="K1861" s="7">
        <f>IF($A1861="","",S1861*N1861)</f>
        <v/>
      </c>
      <c r="L1861" s="7">
        <f>IF($A1861="","",N1861-K1861)</f>
        <v/>
      </c>
      <c r="M1861" s="7">
        <f>IF($A1861="","",L1861-F1861)</f>
        <v/>
      </c>
      <c r="N1861" s="7" t="n"/>
      <c r="Q1861" s="11" t="n"/>
      <c r="S1861">
        <f>IF($A1861="","",IF($W1861=1,Settings!$C$6,Settings!$C$7)*1)</f>
        <v/>
      </c>
      <c r="U1861">
        <f>IF($A1861="","",IF(COUNTIF($A$2:$A1861,$A1861)=1,1,0))</f>
        <v/>
      </c>
      <c r="V1861">
        <f>IF($U1861=1,SUMPRODUCT(--($X$2:$X$3001&lt;$X1861))+1,"")</f>
        <v/>
      </c>
      <c r="W1861">
        <f>IF($A1861="","",IF(OR($T1861=TRUE(),$T1861="TRUE"),1,0))</f>
        <v/>
      </c>
      <c r="X1861">
        <f>IF($U1861=1,IFERROR(IF(VALUE($A1861)&lt;100000000,VALUE($A1861),1000000000),IFERROR(IF(VALUE(MID($A1861,2,20))&lt;100000000,VALUE(MID($A1861,2,20)),1000000000),1000000000))+ROW()/100000,"")</f>
        <v/>
      </c>
    </row>
    <row r="1862">
      <c r="F1862" s="7">
        <f>IF($A1862="","",E1862*N1862/100)</f>
        <v/>
      </c>
      <c r="J1862" s="7" t="n"/>
      <c r="K1862" s="7">
        <f>IF($A1862="","",S1862*N1862)</f>
        <v/>
      </c>
      <c r="L1862" s="7">
        <f>IF($A1862="","",N1862-K1862)</f>
        <v/>
      </c>
      <c r="M1862" s="7">
        <f>IF($A1862="","",L1862-F1862)</f>
        <v/>
      </c>
      <c r="N1862" s="7" t="n"/>
      <c r="Q1862" s="11" t="n"/>
      <c r="S1862">
        <f>IF($A1862="","",IF($W1862=1,Settings!$C$6,Settings!$C$7)*1)</f>
        <v/>
      </c>
      <c r="U1862">
        <f>IF($A1862="","",IF(COUNTIF($A$2:$A1862,$A1862)=1,1,0))</f>
        <v/>
      </c>
      <c r="V1862">
        <f>IF($U1862=1,SUMPRODUCT(--($X$2:$X$3001&lt;$X1862))+1,"")</f>
        <v/>
      </c>
      <c r="W1862">
        <f>IF($A1862="","",IF(OR($T1862=TRUE(),$T1862="TRUE"),1,0))</f>
        <v/>
      </c>
      <c r="X1862">
        <f>IF($U1862=1,IFERROR(IF(VALUE($A1862)&lt;100000000,VALUE($A1862),1000000000),IFERROR(IF(VALUE(MID($A1862,2,20))&lt;100000000,VALUE(MID($A1862,2,20)),1000000000),1000000000))+ROW()/100000,"")</f>
        <v/>
      </c>
    </row>
    <row r="1863">
      <c r="F1863" s="7">
        <f>IF($A1863="","",E1863*N1863/100)</f>
        <v/>
      </c>
      <c r="J1863" s="7" t="n"/>
      <c r="K1863" s="7">
        <f>IF($A1863="","",S1863*N1863)</f>
        <v/>
      </c>
      <c r="L1863" s="7">
        <f>IF($A1863="","",N1863-K1863)</f>
        <v/>
      </c>
      <c r="M1863" s="7">
        <f>IF($A1863="","",L1863-F1863)</f>
        <v/>
      </c>
      <c r="N1863" s="7" t="n"/>
      <c r="Q1863" s="11" t="n"/>
      <c r="S1863">
        <f>IF($A1863="","",IF($W1863=1,Settings!$C$6,Settings!$C$7)*1)</f>
        <v/>
      </c>
      <c r="U1863">
        <f>IF($A1863="","",IF(COUNTIF($A$2:$A1863,$A1863)=1,1,0))</f>
        <v/>
      </c>
      <c r="V1863">
        <f>IF($U1863=1,SUMPRODUCT(--($X$2:$X$3001&lt;$X1863))+1,"")</f>
        <v/>
      </c>
      <c r="W1863">
        <f>IF($A1863="","",IF(OR($T1863=TRUE(),$T1863="TRUE"),1,0))</f>
        <v/>
      </c>
      <c r="X1863">
        <f>IF($U1863=1,IFERROR(IF(VALUE($A1863)&lt;100000000,VALUE($A1863),1000000000),IFERROR(IF(VALUE(MID($A1863,2,20))&lt;100000000,VALUE(MID($A1863,2,20)),1000000000),1000000000))+ROW()/100000,"")</f>
        <v/>
      </c>
    </row>
    <row r="1864">
      <c r="F1864" s="7">
        <f>IF($A1864="","",E1864*N1864/100)</f>
        <v/>
      </c>
      <c r="J1864" s="7" t="n"/>
      <c r="K1864" s="7">
        <f>IF($A1864="","",S1864*N1864)</f>
        <v/>
      </c>
      <c r="L1864" s="7">
        <f>IF($A1864="","",N1864-K1864)</f>
        <v/>
      </c>
      <c r="M1864" s="7">
        <f>IF($A1864="","",L1864-F1864)</f>
        <v/>
      </c>
      <c r="N1864" s="7" t="n"/>
      <c r="Q1864" s="11" t="n"/>
      <c r="S1864">
        <f>IF($A1864="","",IF($W1864=1,Settings!$C$6,Settings!$C$7)*1)</f>
        <v/>
      </c>
      <c r="U1864">
        <f>IF($A1864="","",IF(COUNTIF($A$2:$A1864,$A1864)=1,1,0))</f>
        <v/>
      </c>
      <c r="V1864">
        <f>IF($U1864=1,SUMPRODUCT(--($X$2:$X$3001&lt;$X1864))+1,"")</f>
        <v/>
      </c>
      <c r="W1864">
        <f>IF($A1864="","",IF(OR($T1864=TRUE(),$T1864="TRUE"),1,0))</f>
        <v/>
      </c>
      <c r="X1864">
        <f>IF($U1864=1,IFERROR(IF(VALUE($A1864)&lt;100000000,VALUE($A1864),1000000000),IFERROR(IF(VALUE(MID($A1864,2,20))&lt;100000000,VALUE(MID($A1864,2,20)),1000000000),1000000000))+ROW()/100000,"")</f>
        <v/>
      </c>
    </row>
    <row r="1865">
      <c r="F1865" s="7">
        <f>IF($A1865="","",E1865*N1865/100)</f>
        <v/>
      </c>
      <c r="J1865" s="7" t="n"/>
      <c r="K1865" s="7">
        <f>IF($A1865="","",S1865*N1865)</f>
        <v/>
      </c>
      <c r="L1865" s="7">
        <f>IF($A1865="","",N1865-K1865)</f>
        <v/>
      </c>
      <c r="M1865" s="7">
        <f>IF($A1865="","",L1865-F1865)</f>
        <v/>
      </c>
      <c r="N1865" s="7" t="n"/>
      <c r="Q1865" s="11" t="n"/>
      <c r="S1865">
        <f>IF($A1865="","",IF($W1865=1,Settings!$C$6,Settings!$C$7)*1)</f>
        <v/>
      </c>
      <c r="U1865">
        <f>IF($A1865="","",IF(COUNTIF($A$2:$A1865,$A1865)=1,1,0))</f>
        <v/>
      </c>
      <c r="V1865">
        <f>IF($U1865=1,SUMPRODUCT(--($X$2:$X$3001&lt;$X1865))+1,"")</f>
        <v/>
      </c>
      <c r="W1865">
        <f>IF($A1865="","",IF(OR($T1865=TRUE(),$T1865="TRUE"),1,0))</f>
        <v/>
      </c>
      <c r="X1865">
        <f>IF($U1865=1,IFERROR(IF(VALUE($A1865)&lt;100000000,VALUE($A1865),1000000000),IFERROR(IF(VALUE(MID($A1865,2,20))&lt;100000000,VALUE(MID($A1865,2,20)),1000000000),1000000000))+ROW()/100000,"")</f>
        <v/>
      </c>
    </row>
    <row r="1866">
      <c r="F1866" s="7">
        <f>IF($A1866="","",E1866*N1866/100)</f>
        <v/>
      </c>
      <c r="J1866" s="7" t="n"/>
      <c r="K1866" s="7">
        <f>IF($A1866="","",S1866*N1866)</f>
        <v/>
      </c>
      <c r="L1866" s="7">
        <f>IF($A1866="","",N1866-K1866)</f>
        <v/>
      </c>
      <c r="M1866" s="7">
        <f>IF($A1866="","",L1866-F1866)</f>
        <v/>
      </c>
      <c r="N1866" s="7" t="n"/>
      <c r="Q1866" s="11" t="n"/>
      <c r="S1866">
        <f>IF($A1866="","",IF($W1866=1,Settings!$C$6,Settings!$C$7)*1)</f>
        <v/>
      </c>
      <c r="U1866">
        <f>IF($A1866="","",IF(COUNTIF($A$2:$A1866,$A1866)=1,1,0))</f>
        <v/>
      </c>
      <c r="V1866">
        <f>IF($U1866=1,SUMPRODUCT(--($X$2:$X$3001&lt;$X1866))+1,"")</f>
        <v/>
      </c>
      <c r="W1866">
        <f>IF($A1866="","",IF(OR($T1866=TRUE(),$T1866="TRUE"),1,0))</f>
        <v/>
      </c>
      <c r="X1866">
        <f>IF($U1866=1,IFERROR(IF(VALUE($A1866)&lt;100000000,VALUE($A1866),1000000000),IFERROR(IF(VALUE(MID($A1866,2,20))&lt;100000000,VALUE(MID($A1866,2,20)),1000000000),1000000000))+ROW()/100000,"")</f>
        <v/>
      </c>
    </row>
    <row r="1867">
      <c r="F1867" s="7">
        <f>IF($A1867="","",E1867*N1867/100)</f>
        <v/>
      </c>
      <c r="J1867" s="7" t="n"/>
      <c r="K1867" s="7">
        <f>IF($A1867="","",S1867*N1867)</f>
        <v/>
      </c>
      <c r="L1867" s="7">
        <f>IF($A1867="","",N1867-K1867)</f>
        <v/>
      </c>
      <c r="M1867" s="7">
        <f>IF($A1867="","",L1867-F1867)</f>
        <v/>
      </c>
      <c r="N1867" s="7" t="n"/>
      <c r="Q1867" s="11" t="n"/>
      <c r="S1867">
        <f>IF($A1867="","",IF($W1867=1,Settings!$C$6,Settings!$C$7)*1)</f>
        <v/>
      </c>
      <c r="U1867">
        <f>IF($A1867="","",IF(COUNTIF($A$2:$A1867,$A1867)=1,1,0))</f>
        <v/>
      </c>
      <c r="V1867">
        <f>IF($U1867=1,SUMPRODUCT(--($X$2:$X$3001&lt;$X1867))+1,"")</f>
        <v/>
      </c>
      <c r="W1867">
        <f>IF($A1867="","",IF(OR($T1867=TRUE(),$T1867="TRUE"),1,0))</f>
        <v/>
      </c>
      <c r="X1867">
        <f>IF($U1867=1,IFERROR(IF(VALUE($A1867)&lt;100000000,VALUE($A1867),1000000000),IFERROR(IF(VALUE(MID($A1867,2,20))&lt;100000000,VALUE(MID($A1867,2,20)),1000000000),1000000000))+ROW()/100000,"")</f>
        <v/>
      </c>
    </row>
    <row r="1868">
      <c r="F1868" s="7">
        <f>IF($A1868="","",E1868*N1868/100)</f>
        <v/>
      </c>
      <c r="J1868" s="7" t="n"/>
      <c r="K1868" s="7">
        <f>IF($A1868="","",S1868*N1868)</f>
        <v/>
      </c>
      <c r="L1868" s="7">
        <f>IF($A1868="","",N1868-K1868)</f>
        <v/>
      </c>
      <c r="M1868" s="7">
        <f>IF($A1868="","",L1868-F1868)</f>
        <v/>
      </c>
      <c r="N1868" s="7" t="n"/>
      <c r="Q1868" s="11" t="n"/>
      <c r="S1868">
        <f>IF($A1868="","",IF($W1868=1,Settings!$C$6,Settings!$C$7)*1)</f>
        <v/>
      </c>
      <c r="U1868">
        <f>IF($A1868="","",IF(COUNTIF($A$2:$A1868,$A1868)=1,1,0))</f>
        <v/>
      </c>
      <c r="V1868">
        <f>IF($U1868=1,SUMPRODUCT(--($X$2:$X$3001&lt;$X1868))+1,"")</f>
        <v/>
      </c>
      <c r="W1868">
        <f>IF($A1868="","",IF(OR($T1868=TRUE(),$T1868="TRUE"),1,0))</f>
        <v/>
      </c>
      <c r="X1868">
        <f>IF($U1868=1,IFERROR(IF(VALUE($A1868)&lt;100000000,VALUE($A1868),1000000000),IFERROR(IF(VALUE(MID($A1868,2,20))&lt;100000000,VALUE(MID($A1868,2,20)),1000000000),1000000000))+ROW()/100000,"")</f>
        <v/>
      </c>
    </row>
    <row r="1869">
      <c r="F1869" s="7">
        <f>IF($A1869="","",E1869*N1869/100)</f>
        <v/>
      </c>
      <c r="J1869" s="7" t="n"/>
      <c r="K1869" s="7">
        <f>IF($A1869="","",S1869*N1869)</f>
        <v/>
      </c>
      <c r="L1869" s="7">
        <f>IF($A1869="","",N1869-K1869)</f>
        <v/>
      </c>
      <c r="M1869" s="7">
        <f>IF($A1869="","",L1869-F1869)</f>
        <v/>
      </c>
      <c r="N1869" s="7" t="n"/>
      <c r="Q1869" s="11" t="n"/>
      <c r="S1869">
        <f>IF($A1869="","",IF($W1869=1,Settings!$C$6,Settings!$C$7)*1)</f>
        <v/>
      </c>
      <c r="U1869">
        <f>IF($A1869="","",IF(COUNTIF($A$2:$A1869,$A1869)=1,1,0))</f>
        <v/>
      </c>
      <c r="V1869">
        <f>IF($U1869=1,SUMPRODUCT(--($X$2:$X$3001&lt;$X1869))+1,"")</f>
        <v/>
      </c>
      <c r="W1869">
        <f>IF($A1869="","",IF(OR($T1869=TRUE(),$T1869="TRUE"),1,0))</f>
        <v/>
      </c>
      <c r="X1869">
        <f>IF($U1869=1,IFERROR(IF(VALUE($A1869)&lt;100000000,VALUE($A1869),1000000000),IFERROR(IF(VALUE(MID($A1869,2,20))&lt;100000000,VALUE(MID($A1869,2,20)),1000000000),1000000000))+ROW()/100000,"")</f>
        <v/>
      </c>
    </row>
    <row r="1870">
      <c r="F1870" s="7">
        <f>IF($A1870="","",E1870*N1870/100)</f>
        <v/>
      </c>
      <c r="J1870" s="7" t="n"/>
      <c r="K1870" s="7">
        <f>IF($A1870="","",S1870*N1870)</f>
        <v/>
      </c>
      <c r="L1870" s="7">
        <f>IF($A1870="","",N1870-K1870)</f>
        <v/>
      </c>
      <c r="M1870" s="7">
        <f>IF($A1870="","",L1870-F1870)</f>
        <v/>
      </c>
      <c r="N1870" s="7" t="n"/>
      <c r="Q1870" s="11" t="n"/>
      <c r="S1870">
        <f>IF($A1870="","",IF($W1870=1,Settings!$C$6,Settings!$C$7)*1)</f>
        <v/>
      </c>
      <c r="U1870">
        <f>IF($A1870="","",IF(COUNTIF($A$2:$A1870,$A1870)=1,1,0))</f>
        <v/>
      </c>
      <c r="V1870">
        <f>IF($U1870=1,SUMPRODUCT(--($X$2:$X$3001&lt;$X1870))+1,"")</f>
        <v/>
      </c>
      <c r="W1870">
        <f>IF($A1870="","",IF(OR($T1870=TRUE(),$T1870="TRUE"),1,0))</f>
        <v/>
      </c>
      <c r="X1870">
        <f>IF($U1870=1,IFERROR(IF(VALUE($A1870)&lt;100000000,VALUE($A1870),1000000000),IFERROR(IF(VALUE(MID($A1870,2,20))&lt;100000000,VALUE(MID($A1870,2,20)),1000000000),1000000000))+ROW()/100000,"")</f>
        <v/>
      </c>
    </row>
    <row r="1871">
      <c r="F1871" s="7">
        <f>IF($A1871="","",E1871*N1871/100)</f>
        <v/>
      </c>
      <c r="J1871" s="7" t="n"/>
      <c r="K1871" s="7">
        <f>IF($A1871="","",S1871*N1871)</f>
        <v/>
      </c>
      <c r="L1871" s="7">
        <f>IF($A1871="","",N1871-K1871)</f>
        <v/>
      </c>
      <c r="M1871" s="7">
        <f>IF($A1871="","",L1871-F1871)</f>
        <v/>
      </c>
      <c r="N1871" s="7" t="n"/>
      <c r="Q1871" s="11" t="n"/>
      <c r="S1871">
        <f>IF($A1871="","",IF($W1871=1,Settings!$C$6,Settings!$C$7)*1)</f>
        <v/>
      </c>
      <c r="U1871">
        <f>IF($A1871="","",IF(COUNTIF($A$2:$A1871,$A1871)=1,1,0))</f>
        <v/>
      </c>
      <c r="V1871">
        <f>IF($U1871=1,SUMPRODUCT(--($X$2:$X$3001&lt;$X1871))+1,"")</f>
        <v/>
      </c>
      <c r="W1871">
        <f>IF($A1871="","",IF(OR($T1871=TRUE(),$T1871="TRUE"),1,0))</f>
        <v/>
      </c>
      <c r="X1871">
        <f>IF($U1871=1,IFERROR(IF(VALUE($A1871)&lt;100000000,VALUE($A1871),1000000000),IFERROR(IF(VALUE(MID($A1871,2,20))&lt;100000000,VALUE(MID($A1871,2,20)),1000000000),1000000000))+ROW()/100000,"")</f>
        <v/>
      </c>
    </row>
    <row r="1872">
      <c r="F1872" s="7">
        <f>IF($A1872="","",E1872*N1872/100)</f>
        <v/>
      </c>
      <c r="J1872" s="7" t="n"/>
      <c r="K1872" s="7">
        <f>IF($A1872="","",S1872*N1872)</f>
        <v/>
      </c>
      <c r="L1872" s="7">
        <f>IF($A1872="","",N1872-K1872)</f>
        <v/>
      </c>
      <c r="M1872" s="7">
        <f>IF($A1872="","",L1872-F1872)</f>
        <v/>
      </c>
      <c r="N1872" s="7" t="n"/>
      <c r="Q1872" s="11" t="n"/>
      <c r="S1872">
        <f>IF($A1872="","",IF($W1872=1,Settings!$C$6,Settings!$C$7)*1)</f>
        <v/>
      </c>
      <c r="U1872">
        <f>IF($A1872="","",IF(COUNTIF($A$2:$A1872,$A1872)=1,1,0))</f>
        <v/>
      </c>
      <c r="V1872">
        <f>IF($U1872=1,SUMPRODUCT(--($X$2:$X$3001&lt;$X1872))+1,"")</f>
        <v/>
      </c>
      <c r="W1872">
        <f>IF($A1872="","",IF(OR($T1872=TRUE(),$T1872="TRUE"),1,0))</f>
        <v/>
      </c>
      <c r="X1872">
        <f>IF($U1872=1,IFERROR(IF(VALUE($A1872)&lt;100000000,VALUE($A1872),1000000000),IFERROR(IF(VALUE(MID($A1872,2,20))&lt;100000000,VALUE(MID($A1872,2,20)),1000000000),1000000000))+ROW()/100000,"")</f>
        <v/>
      </c>
    </row>
    <row r="1873">
      <c r="F1873" s="7">
        <f>IF($A1873="","",E1873*N1873/100)</f>
        <v/>
      </c>
      <c r="J1873" s="7" t="n"/>
      <c r="K1873" s="7">
        <f>IF($A1873="","",S1873*N1873)</f>
        <v/>
      </c>
      <c r="L1873" s="7">
        <f>IF($A1873="","",N1873-K1873)</f>
        <v/>
      </c>
      <c r="M1873" s="7">
        <f>IF($A1873="","",L1873-F1873)</f>
        <v/>
      </c>
      <c r="N1873" s="7" t="n"/>
      <c r="Q1873" s="11" t="n"/>
      <c r="S1873">
        <f>IF($A1873="","",IF($W1873=1,Settings!$C$6,Settings!$C$7)*1)</f>
        <v/>
      </c>
      <c r="U1873">
        <f>IF($A1873="","",IF(COUNTIF($A$2:$A1873,$A1873)=1,1,0))</f>
        <v/>
      </c>
      <c r="V1873">
        <f>IF($U1873=1,SUMPRODUCT(--($X$2:$X$3001&lt;$X1873))+1,"")</f>
        <v/>
      </c>
      <c r="W1873">
        <f>IF($A1873="","",IF(OR($T1873=TRUE(),$T1873="TRUE"),1,0))</f>
        <v/>
      </c>
      <c r="X1873">
        <f>IF($U1873=1,IFERROR(IF(VALUE($A1873)&lt;100000000,VALUE($A1873),1000000000),IFERROR(IF(VALUE(MID($A1873,2,20))&lt;100000000,VALUE(MID($A1873,2,20)),1000000000),1000000000))+ROW()/100000,"")</f>
        <v/>
      </c>
    </row>
    <row r="1874">
      <c r="F1874" s="7">
        <f>IF($A1874="","",E1874*N1874/100)</f>
        <v/>
      </c>
      <c r="J1874" s="7" t="n"/>
      <c r="K1874" s="7">
        <f>IF($A1874="","",S1874*N1874)</f>
        <v/>
      </c>
      <c r="L1874" s="7">
        <f>IF($A1874="","",N1874-K1874)</f>
        <v/>
      </c>
      <c r="M1874" s="7">
        <f>IF($A1874="","",L1874-F1874)</f>
        <v/>
      </c>
      <c r="N1874" s="7" t="n"/>
      <c r="Q1874" s="11" t="n"/>
      <c r="S1874">
        <f>IF($A1874="","",IF($W1874=1,Settings!$C$6,Settings!$C$7)*1)</f>
        <v/>
      </c>
      <c r="U1874">
        <f>IF($A1874="","",IF(COUNTIF($A$2:$A1874,$A1874)=1,1,0))</f>
        <v/>
      </c>
      <c r="V1874">
        <f>IF($U1874=1,SUMPRODUCT(--($X$2:$X$3001&lt;$X1874))+1,"")</f>
        <v/>
      </c>
      <c r="W1874">
        <f>IF($A1874="","",IF(OR($T1874=TRUE(),$T1874="TRUE"),1,0))</f>
        <v/>
      </c>
      <c r="X1874">
        <f>IF($U1874=1,IFERROR(IF(VALUE($A1874)&lt;100000000,VALUE($A1874),1000000000),IFERROR(IF(VALUE(MID($A1874,2,20))&lt;100000000,VALUE(MID($A1874,2,20)),1000000000),1000000000))+ROW()/100000,"")</f>
        <v/>
      </c>
    </row>
    <row r="1875">
      <c r="F1875" s="7">
        <f>IF($A1875="","",E1875*N1875/100)</f>
        <v/>
      </c>
      <c r="J1875" s="7" t="n"/>
      <c r="K1875" s="7">
        <f>IF($A1875="","",S1875*N1875)</f>
        <v/>
      </c>
      <c r="L1875" s="7">
        <f>IF($A1875="","",N1875-K1875)</f>
        <v/>
      </c>
      <c r="M1875" s="7">
        <f>IF($A1875="","",L1875-F1875)</f>
        <v/>
      </c>
      <c r="N1875" s="7" t="n"/>
      <c r="Q1875" s="11" t="n"/>
      <c r="S1875">
        <f>IF($A1875="","",IF($W1875=1,Settings!$C$6,Settings!$C$7)*1)</f>
        <v/>
      </c>
      <c r="U1875">
        <f>IF($A1875="","",IF(COUNTIF($A$2:$A1875,$A1875)=1,1,0))</f>
        <v/>
      </c>
      <c r="V1875">
        <f>IF($U1875=1,SUMPRODUCT(--($X$2:$X$3001&lt;$X1875))+1,"")</f>
        <v/>
      </c>
      <c r="W1875">
        <f>IF($A1875="","",IF(OR($T1875=TRUE(),$T1875="TRUE"),1,0))</f>
        <v/>
      </c>
      <c r="X1875">
        <f>IF($U1875=1,IFERROR(IF(VALUE($A1875)&lt;100000000,VALUE($A1875),1000000000),IFERROR(IF(VALUE(MID($A1875,2,20))&lt;100000000,VALUE(MID($A1875,2,20)),1000000000),1000000000))+ROW()/100000,"")</f>
        <v/>
      </c>
    </row>
    <row r="1876">
      <c r="F1876" s="7">
        <f>IF($A1876="","",E1876*N1876/100)</f>
        <v/>
      </c>
      <c r="J1876" s="7" t="n"/>
      <c r="K1876" s="7">
        <f>IF($A1876="","",S1876*N1876)</f>
        <v/>
      </c>
      <c r="L1876" s="7">
        <f>IF($A1876="","",N1876-K1876)</f>
        <v/>
      </c>
      <c r="M1876" s="7">
        <f>IF($A1876="","",L1876-F1876)</f>
        <v/>
      </c>
      <c r="N1876" s="7" t="n"/>
      <c r="Q1876" s="11" t="n"/>
      <c r="S1876">
        <f>IF($A1876="","",IF($W1876=1,Settings!$C$6,Settings!$C$7)*1)</f>
        <v/>
      </c>
      <c r="U1876">
        <f>IF($A1876="","",IF(COUNTIF($A$2:$A1876,$A1876)=1,1,0))</f>
        <v/>
      </c>
      <c r="V1876">
        <f>IF($U1876=1,SUMPRODUCT(--($X$2:$X$3001&lt;$X1876))+1,"")</f>
        <v/>
      </c>
      <c r="W1876">
        <f>IF($A1876="","",IF(OR($T1876=TRUE(),$T1876="TRUE"),1,0))</f>
        <v/>
      </c>
      <c r="X1876">
        <f>IF($U1876=1,IFERROR(IF(VALUE($A1876)&lt;100000000,VALUE($A1876),1000000000),IFERROR(IF(VALUE(MID($A1876,2,20))&lt;100000000,VALUE(MID($A1876,2,20)),1000000000),1000000000))+ROW()/100000,"")</f>
        <v/>
      </c>
    </row>
    <row r="1877">
      <c r="F1877" s="7">
        <f>IF($A1877="","",E1877*N1877/100)</f>
        <v/>
      </c>
      <c r="J1877" s="7" t="n"/>
      <c r="K1877" s="7">
        <f>IF($A1877="","",S1877*N1877)</f>
        <v/>
      </c>
      <c r="L1877" s="7">
        <f>IF($A1877="","",N1877-K1877)</f>
        <v/>
      </c>
      <c r="M1877" s="7">
        <f>IF($A1877="","",L1877-F1877)</f>
        <v/>
      </c>
      <c r="N1877" s="7" t="n"/>
      <c r="Q1877" s="11" t="n"/>
      <c r="S1877">
        <f>IF($A1877="","",IF($W1877=1,Settings!$C$6,Settings!$C$7)*1)</f>
        <v/>
      </c>
      <c r="U1877">
        <f>IF($A1877="","",IF(COUNTIF($A$2:$A1877,$A1877)=1,1,0))</f>
        <v/>
      </c>
      <c r="V1877">
        <f>IF($U1877=1,SUMPRODUCT(--($X$2:$X$3001&lt;$X1877))+1,"")</f>
        <v/>
      </c>
      <c r="W1877">
        <f>IF($A1877="","",IF(OR($T1877=TRUE(),$T1877="TRUE"),1,0))</f>
        <v/>
      </c>
      <c r="X1877">
        <f>IF($U1877=1,IFERROR(IF(VALUE($A1877)&lt;100000000,VALUE($A1877),1000000000),IFERROR(IF(VALUE(MID($A1877,2,20))&lt;100000000,VALUE(MID($A1877,2,20)),1000000000),1000000000))+ROW()/100000,"")</f>
        <v/>
      </c>
    </row>
    <row r="1878">
      <c r="F1878" s="7">
        <f>IF($A1878="","",E1878*N1878/100)</f>
        <v/>
      </c>
      <c r="J1878" s="7" t="n"/>
      <c r="K1878" s="7">
        <f>IF($A1878="","",S1878*N1878)</f>
        <v/>
      </c>
      <c r="L1878" s="7">
        <f>IF($A1878="","",N1878-K1878)</f>
        <v/>
      </c>
      <c r="M1878" s="7">
        <f>IF($A1878="","",L1878-F1878)</f>
        <v/>
      </c>
      <c r="N1878" s="7" t="n"/>
      <c r="Q1878" s="11" t="n"/>
      <c r="S1878">
        <f>IF($A1878="","",IF($W1878=1,Settings!$C$6,Settings!$C$7)*1)</f>
        <v/>
      </c>
      <c r="U1878">
        <f>IF($A1878="","",IF(COUNTIF($A$2:$A1878,$A1878)=1,1,0))</f>
        <v/>
      </c>
      <c r="V1878">
        <f>IF($U1878=1,SUMPRODUCT(--($X$2:$X$3001&lt;$X1878))+1,"")</f>
        <v/>
      </c>
      <c r="W1878">
        <f>IF($A1878="","",IF(OR($T1878=TRUE(),$T1878="TRUE"),1,0))</f>
        <v/>
      </c>
      <c r="X1878">
        <f>IF($U1878=1,IFERROR(IF(VALUE($A1878)&lt;100000000,VALUE($A1878),1000000000),IFERROR(IF(VALUE(MID($A1878,2,20))&lt;100000000,VALUE(MID($A1878,2,20)),1000000000),1000000000))+ROW()/100000,"")</f>
        <v/>
      </c>
    </row>
    <row r="1879">
      <c r="F1879" s="7">
        <f>IF($A1879="","",E1879*N1879/100)</f>
        <v/>
      </c>
      <c r="J1879" s="7" t="n"/>
      <c r="K1879" s="7">
        <f>IF($A1879="","",S1879*N1879)</f>
        <v/>
      </c>
      <c r="L1879" s="7">
        <f>IF($A1879="","",N1879-K1879)</f>
        <v/>
      </c>
      <c r="M1879" s="7">
        <f>IF($A1879="","",L1879-F1879)</f>
        <v/>
      </c>
      <c r="N1879" s="7" t="n"/>
      <c r="Q1879" s="11" t="n"/>
      <c r="S1879">
        <f>IF($A1879="","",IF($W1879=1,Settings!$C$6,Settings!$C$7)*1)</f>
        <v/>
      </c>
      <c r="U1879">
        <f>IF($A1879="","",IF(COUNTIF($A$2:$A1879,$A1879)=1,1,0))</f>
        <v/>
      </c>
      <c r="V1879">
        <f>IF($U1879=1,SUMPRODUCT(--($X$2:$X$3001&lt;$X1879))+1,"")</f>
        <v/>
      </c>
      <c r="W1879">
        <f>IF($A1879="","",IF(OR($T1879=TRUE(),$T1879="TRUE"),1,0))</f>
        <v/>
      </c>
      <c r="X1879">
        <f>IF($U1879=1,IFERROR(IF(VALUE($A1879)&lt;100000000,VALUE($A1879),1000000000),IFERROR(IF(VALUE(MID($A1879,2,20))&lt;100000000,VALUE(MID($A1879,2,20)),1000000000),1000000000))+ROW()/100000,"")</f>
        <v/>
      </c>
    </row>
    <row r="1880">
      <c r="F1880" s="7">
        <f>IF($A1880="","",E1880*N1880/100)</f>
        <v/>
      </c>
      <c r="J1880" s="7" t="n"/>
      <c r="K1880" s="7">
        <f>IF($A1880="","",S1880*N1880)</f>
        <v/>
      </c>
      <c r="L1880" s="7">
        <f>IF($A1880="","",N1880-K1880)</f>
        <v/>
      </c>
      <c r="M1880" s="7">
        <f>IF($A1880="","",L1880-F1880)</f>
        <v/>
      </c>
      <c r="N1880" s="7" t="n"/>
      <c r="Q1880" s="11" t="n"/>
      <c r="S1880">
        <f>IF($A1880="","",IF($W1880=1,Settings!$C$6,Settings!$C$7)*1)</f>
        <v/>
      </c>
      <c r="U1880">
        <f>IF($A1880="","",IF(COUNTIF($A$2:$A1880,$A1880)=1,1,0))</f>
        <v/>
      </c>
      <c r="V1880">
        <f>IF($U1880=1,SUMPRODUCT(--($X$2:$X$3001&lt;$X1880))+1,"")</f>
        <v/>
      </c>
      <c r="W1880">
        <f>IF($A1880="","",IF(OR($T1880=TRUE(),$T1880="TRUE"),1,0))</f>
        <v/>
      </c>
      <c r="X1880">
        <f>IF($U1880=1,IFERROR(IF(VALUE($A1880)&lt;100000000,VALUE($A1880),1000000000),IFERROR(IF(VALUE(MID($A1880,2,20))&lt;100000000,VALUE(MID($A1880,2,20)),1000000000),1000000000))+ROW()/100000,"")</f>
        <v/>
      </c>
    </row>
    <row r="1881">
      <c r="F1881" s="7">
        <f>IF($A1881="","",E1881*N1881/100)</f>
        <v/>
      </c>
      <c r="J1881" s="7" t="n"/>
      <c r="K1881" s="7">
        <f>IF($A1881="","",S1881*N1881)</f>
        <v/>
      </c>
      <c r="L1881" s="7">
        <f>IF($A1881="","",N1881-K1881)</f>
        <v/>
      </c>
      <c r="M1881" s="7">
        <f>IF($A1881="","",L1881-F1881)</f>
        <v/>
      </c>
      <c r="N1881" s="7" t="n"/>
      <c r="Q1881" s="11" t="n"/>
      <c r="S1881">
        <f>IF($A1881="","",IF($W1881=1,Settings!$C$6,Settings!$C$7)*1)</f>
        <v/>
      </c>
      <c r="U1881">
        <f>IF($A1881="","",IF(COUNTIF($A$2:$A1881,$A1881)=1,1,0))</f>
        <v/>
      </c>
      <c r="V1881">
        <f>IF($U1881=1,SUMPRODUCT(--($X$2:$X$3001&lt;$X1881))+1,"")</f>
        <v/>
      </c>
      <c r="W1881">
        <f>IF($A1881="","",IF(OR($T1881=TRUE(),$T1881="TRUE"),1,0))</f>
        <v/>
      </c>
      <c r="X1881">
        <f>IF($U1881=1,IFERROR(IF(VALUE($A1881)&lt;100000000,VALUE($A1881),1000000000),IFERROR(IF(VALUE(MID($A1881,2,20))&lt;100000000,VALUE(MID($A1881,2,20)),1000000000),1000000000))+ROW()/100000,"")</f>
        <v/>
      </c>
    </row>
    <row r="1882">
      <c r="F1882" s="7">
        <f>IF($A1882="","",E1882*N1882/100)</f>
        <v/>
      </c>
      <c r="J1882" s="7" t="n"/>
      <c r="K1882" s="7">
        <f>IF($A1882="","",S1882*N1882)</f>
        <v/>
      </c>
      <c r="L1882" s="7">
        <f>IF($A1882="","",N1882-K1882)</f>
        <v/>
      </c>
      <c r="M1882" s="7">
        <f>IF($A1882="","",L1882-F1882)</f>
        <v/>
      </c>
      <c r="N1882" s="7" t="n"/>
      <c r="Q1882" s="11" t="n"/>
      <c r="S1882">
        <f>IF($A1882="","",IF($W1882=1,Settings!$C$6,Settings!$C$7)*1)</f>
        <v/>
      </c>
      <c r="U1882">
        <f>IF($A1882="","",IF(COUNTIF($A$2:$A1882,$A1882)=1,1,0))</f>
        <v/>
      </c>
      <c r="V1882">
        <f>IF($U1882=1,SUMPRODUCT(--($X$2:$X$3001&lt;$X1882))+1,"")</f>
        <v/>
      </c>
      <c r="W1882">
        <f>IF($A1882="","",IF(OR($T1882=TRUE(),$T1882="TRUE"),1,0))</f>
        <v/>
      </c>
      <c r="X1882">
        <f>IF($U1882=1,IFERROR(IF(VALUE($A1882)&lt;100000000,VALUE($A1882),1000000000),IFERROR(IF(VALUE(MID($A1882,2,20))&lt;100000000,VALUE(MID($A1882,2,20)),1000000000),1000000000))+ROW()/100000,"")</f>
        <v/>
      </c>
    </row>
    <row r="1883">
      <c r="F1883" s="7">
        <f>IF($A1883="","",E1883*N1883/100)</f>
        <v/>
      </c>
      <c r="J1883" s="7" t="n"/>
      <c r="K1883" s="7">
        <f>IF($A1883="","",S1883*N1883)</f>
        <v/>
      </c>
      <c r="L1883" s="7">
        <f>IF($A1883="","",N1883-K1883)</f>
        <v/>
      </c>
      <c r="M1883" s="7">
        <f>IF($A1883="","",L1883-F1883)</f>
        <v/>
      </c>
      <c r="N1883" s="7" t="n"/>
      <c r="Q1883" s="11" t="n"/>
      <c r="S1883">
        <f>IF($A1883="","",IF($W1883=1,Settings!$C$6,Settings!$C$7)*1)</f>
        <v/>
      </c>
      <c r="U1883">
        <f>IF($A1883="","",IF(COUNTIF($A$2:$A1883,$A1883)=1,1,0))</f>
        <v/>
      </c>
      <c r="V1883">
        <f>IF($U1883=1,SUMPRODUCT(--($X$2:$X$3001&lt;$X1883))+1,"")</f>
        <v/>
      </c>
      <c r="W1883">
        <f>IF($A1883="","",IF(OR($T1883=TRUE(),$T1883="TRUE"),1,0))</f>
        <v/>
      </c>
      <c r="X1883">
        <f>IF($U1883=1,IFERROR(IF(VALUE($A1883)&lt;100000000,VALUE($A1883),1000000000),IFERROR(IF(VALUE(MID($A1883,2,20))&lt;100000000,VALUE(MID($A1883,2,20)),1000000000),1000000000))+ROW()/100000,"")</f>
        <v/>
      </c>
    </row>
    <row r="1884">
      <c r="F1884" s="7">
        <f>IF($A1884="","",E1884*N1884/100)</f>
        <v/>
      </c>
      <c r="J1884" s="7" t="n"/>
      <c r="K1884" s="7">
        <f>IF($A1884="","",S1884*N1884)</f>
        <v/>
      </c>
      <c r="L1884" s="7">
        <f>IF($A1884="","",N1884-K1884)</f>
        <v/>
      </c>
      <c r="M1884" s="7">
        <f>IF($A1884="","",L1884-F1884)</f>
        <v/>
      </c>
      <c r="N1884" s="7" t="n"/>
      <c r="Q1884" s="11" t="n"/>
      <c r="S1884">
        <f>IF($A1884="","",IF($W1884=1,Settings!$C$6,Settings!$C$7)*1)</f>
        <v/>
      </c>
      <c r="U1884">
        <f>IF($A1884="","",IF(COUNTIF($A$2:$A1884,$A1884)=1,1,0))</f>
        <v/>
      </c>
      <c r="V1884">
        <f>IF($U1884=1,SUMPRODUCT(--($X$2:$X$3001&lt;$X1884))+1,"")</f>
        <v/>
      </c>
      <c r="W1884">
        <f>IF($A1884="","",IF(OR($T1884=TRUE(),$T1884="TRUE"),1,0))</f>
        <v/>
      </c>
      <c r="X1884">
        <f>IF($U1884=1,IFERROR(IF(VALUE($A1884)&lt;100000000,VALUE($A1884),1000000000),IFERROR(IF(VALUE(MID($A1884,2,20))&lt;100000000,VALUE(MID($A1884,2,20)),1000000000),1000000000))+ROW()/100000,"")</f>
        <v/>
      </c>
    </row>
    <row r="1885">
      <c r="F1885" s="7">
        <f>IF($A1885="","",E1885*N1885/100)</f>
        <v/>
      </c>
      <c r="J1885" s="7" t="n"/>
      <c r="K1885" s="7">
        <f>IF($A1885="","",S1885*N1885)</f>
        <v/>
      </c>
      <c r="L1885" s="7">
        <f>IF($A1885="","",N1885-K1885)</f>
        <v/>
      </c>
      <c r="M1885" s="7">
        <f>IF($A1885="","",L1885-F1885)</f>
        <v/>
      </c>
      <c r="N1885" s="7" t="n"/>
      <c r="Q1885" s="11" t="n"/>
      <c r="S1885">
        <f>IF($A1885="","",IF($W1885=1,Settings!$C$6,Settings!$C$7)*1)</f>
        <v/>
      </c>
      <c r="U1885">
        <f>IF($A1885="","",IF(COUNTIF($A$2:$A1885,$A1885)=1,1,0))</f>
        <v/>
      </c>
      <c r="V1885">
        <f>IF($U1885=1,SUMPRODUCT(--($X$2:$X$3001&lt;$X1885))+1,"")</f>
        <v/>
      </c>
      <c r="W1885">
        <f>IF($A1885="","",IF(OR($T1885=TRUE(),$T1885="TRUE"),1,0))</f>
        <v/>
      </c>
      <c r="X1885">
        <f>IF($U1885=1,IFERROR(IF(VALUE($A1885)&lt;100000000,VALUE($A1885),1000000000),IFERROR(IF(VALUE(MID($A1885,2,20))&lt;100000000,VALUE(MID($A1885,2,20)),1000000000),1000000000))+ROW()/100000,"")</f>
        <v/>
      </c>
    </row>
    <row r="1886">
      <c r="F1886" s="7">
        <f>IF($A1886="","",E1886*N1886/100)</f>
        <v/>
      </c>
      <c r="J1886" s="7" t="n"/>
      <c r="K1886" s="7">
        <f>IF($A1886="","",S1886*N1886)</f>
        <v/>
      </c>
      <c r="L1886" s="7">
        <f>IF($A1886="","",N1886-K1886)</f>
        <v/>
      </c>
      <c r="M1886" s="7">
        <f>IF($A1886="","",L1886-F1886)</f>
        <v/>
      </c>
      <c r="N1886" s="7" t="n"/>
      <c r="Q1886" s="11" t="n"/>
      <c r="S1886">
        <f>IF($A1886="","",IF($W1886=1,Settings!$C$6,Settings!$C$7)*1)</f>
        <v/>
      </c>
      <c r="U1886">
        <f>IF($A1886="","",IF(COUNTIF($A$2:$A1886,$A1886)=1,1,0))</f>
        <v/>
      </c>
      <c r="V1886">
        <f>IF($U1886=1,SUMPRODUCT(--($X$2:$X$3001&lt;$X1886))+1,"")</f>
        <v/>
      </c>
      <c r="W1886">
        <f>IF($A1886="","",IF(OR($T1886=TRUE(),$T1886="TRUE"),1,0))</f>
        <v/>
      </c>
      <c r="X1886">
        <f>IF($U1886=1,IFERROR(IF(VALUE($A1886)&lt;100000000,VALUE($A1886),1000000000),IFERROR(IF(VALUE(MID($A1886,2,20))&lt;100000000,VALUE(MID($A1886,2,20)),1000000000),1000000000))+ROW()/100000,"")</f>
        <v/>
      </c>
    </row>
    <row r="1887">
      <c r="F1887" s="7">
        <f>IF($A1887="","",E1887*N1887/100)</f>
        <v/>
      </c>
      <c r="J1887" s="7" t="n"/>
      <c r="K1887" s="7">
        <f>IF($A1887="","",S1887*N1887)</f>
        <v/>
      </c>
      <c r="L1887" s="7">
        <f>IF($A1887="","",N1887-K1887)</f>
        <v/>
      </c>
      <c r="M1887" s="7">
        <f>IF($A1887="","",L1887-F1887)</f>
        <v/>
      </c>
      <c r="N1887" s="7" t="n"/>
      <c r="Q1887" s="11" t="n"/>
      <c r="S1887">
        <f>IF($A1887="","",IF($W1887=1,Settings!$C$6,Settings!$C$7)*1)</f>
        <v/>
      </c>
      <c r="U1887">
        <f>IF($A1887="","",IF(COUNTIF($A$2:$A1887,$A1887)=1,1,0))</f>
        <v/>
      </c>
      <c r="V1887">
        <f>IF($U1887=1,SUMPRODUCT(--($X$2:$X$3001&lt;$X1887))+1,"")</f>
        <v/>
      </c>
      <c r="W1887">
        <f>IF($A1887="","",IF(OR($T1887=TRUE(),$T1887="TRUE"),1,0))</f>
        <v/>
      </c>
      <c r="X1887">
        <f>IF($U1887=1,IFERROR(IF(VALUE($A1887)&lt;100000000,VALUE($A1887),1000000000),IFERROR(IF(VALUE(MID($A1887,2,20))&lt;100000000,VALUE(MID($A1887,2,20)),1000000000),1000000000))+ROW()/100000,"")</f>
        <v/>
      </c>
    </row>
    <row r="1888">
      <c r="F1888" s="7">
        <f>IF($A1888="","",E1888*N1888/100)</f>
        <v/>
      </c>
      <c r="J1888" s="7" t="n"/>
      <c r="K1888" s="7">
        <f>IF($A1888="","",S1888*N1888)</f>
        <v/>
      </c>
      <c r="L1888" s="7">
        <f>IF($A1888="","",N1888-K1888)</f>
        <v/>
      </c>
      <c r="M1888" s="7">
        <f>IF($A1888="","",L1888-F1888)</f>
        <v/>
      </c>
      <c r="N1888" s="7" t="n"/>
      <c r="Q1888" s="11" t="n"/>
      <c r="S1888">
        <f>IF($A1888="","",IF($W1888=1,Settings!$C$6,Settings!$C$7)*1)</f>
        <v/>
      </c>
      <c r="U1888">
        <f>IF($A1888="","",IF(COUNTIF($A$2:$A1888,$A1888)=1,1,0))</f>
        <v/>
      </c>
      <c r="V1888">
        <f>IF($U1888=1,SUMPRODUCT(--($X$2:$X$3001&lt;$X1888))+1,"")</f>
        <v/>
      </c>
      <c r="W1888">
        <f>IF($A1888="","",IF(OR($T1888=TRUE(),$T1888="TRUE"),1,0))</f>
        <v/>
      </c>
      <c r="X1888">
        <f>IF($U1888=1,IFERROR(IF(VALUE($A1888)&lt;100000000,VALUE($A1888),1000000000),IFERROR(IF(VALUE(MID($A1888,2,20))&lt;100000000,VALUE(MID($A1888,2,20)),1000000000),1000000000))+ROW()/100000,"")</f>
        <v/>
      </c>
    </row>
    <row r="1889">
      <c r="F1889" s="7">
        <f>IF($A1889="","",E1889*N1889/100)</f>
        <v/>
      </c>
      <c r="J1889" s="7" t="n"/>
      <c r="K1889" s="7">
        <f>IF($A1889="","",S1889*N1889)</f>
        <v/>
      </c>
      <c r="L1889" s="7">
        <f>IF($A1889="","",N1889-K1889)</f>
        <v/>
      </c>
      <c r="M1889" s="7">
        <f>IF($A1889="","",L1889-F1889)</f>
        <v/>
      </c>
      <c r="N1889" s="7" t="n"/>
      <c r="Q1889" s="11" t="n"/>
      <c r="S1889">
        <f>IF($A1889="","",IF($W1889=1,Settings!$C$6,Settings!$C$7)*1)</f>
        <v/>
      </c>
      <c r="U1889">
        <f>IF($A1889="","",IF(COUNTIF($A$2:$A1889,$A1889)=1,1,0))</f>
        <v/>
      </c>
      <c r="V1889">
        <f>IF($U1889=1,SUMPRODUCT(--($X$2:$X$3001&lt;$X1889))+1,"")</f>
        <v/>
      </c>
      <c r="W1889">
        <f>IF($A1889="","",IF(OR($T1889=TRUE(),$T1889="TRUE"),1,0))</f>
        <v/>
      </c>
      <c r="X1889">
        <f>IF($U1889=1,IFERROR(IF(VALUE($A1889)&lt;100000000,VALUE($A1889),1000000000),IFERROR(IF(VALUE(MID($A1889,2,20))&lt;100000000,VALUE(MID($A1889,2,20)),1000000000),1000000000))+ROW()/100000,"")</f>
        <v/>
      </c>
    </row>
    <row r="1890">
      <c r="F1890" s="7">
        <f>IF($A1890="","",E1890*N1890/100)</f>
        <v/>
      </c>
      <c r="J1890" s="7" t="n"/>
      <c r="K1890" s="7">
        <f>IF($A1890="","",S1890*N1890)</f>
        <v/>
      </c>
      <c r="L1890" s="7">
        <f>IF($A1890="","",N1890-K1890)</f>
        <v/>
      </c>
      <c r="M1890" s="7">
        <f>IF($A1890="","",L1890-F1890)</f>
        <v/>
      </c>
      <c r="N1890" s="7" t="n"/>
      <c r="Q1890" s="11" t="n"/>
      <c r="S1890">
        <f>IF($A1890="","",IF($W1890=1,Settings!$C$6,Settings!$C$7)*1)</f>
        <v/>
      </c>
      <c r="U1890">
        <f>IF($A1890="","",IF(COUNTIF($A$2:$A1890,$A1890)=1,1,0))</f>
        <v/>
      </c>
      <c r="V1890">
        <f>IF($U1890=1,SUMPRODUCT(--($X$2:$X$3001&lt;$X1890))+1,"")</f>
        <v/>
      </c>
      <c r="W1890">
        <f>IF($A1890="","",IF(OR($T1890=TRUE(),$T1890="TRUE"),1,0))</f>
        <v/>
      </c>
      <c r="X1890">
        <f>IF($U1890=1,IFERROR(IF(VALUE($A1890)&lt;100000000,VALUE($A1890),1000000000),IFERROR(IF(VALUE(MID($A1890,2,20))&lt;100000000,VALUE(MID($A1890,2,20)),1000000000),1000000000))+ROW()/100000,"")</f>
        <v/>
      </c>
    </row>
    <row r="1891">
      <c r="F1891" s="7">
        <f>IF($A1891="","",E1891*N1891/100)</f>
        <v/>
      </c>
      <c r="J1891" s="7" t="n"/>
      <c r="K1891" s="7">
        <f>IF($A1891="","",S1891*N1891)</f>
        <v/>
      </c>
      <c r="L1891" s="7">
        <f>IF($A1891="","",N1891-K1891)</f>
        <v/>
      </c>
      <c r="M1891" s="7">
        <f>IF($A1891="","",L1891-F1891)</f>
        <v/>
      </c>
      <c r="N1891" s="7" t="n"/>
      <c r="Q1891" s="11" t="n"/>
      <c r="S1891">
        <f>IF($A1891="","",IF($W1891=1,Settings!$C$6,Settings!$C$7)*1)</f>
        <v/>
      </c>
      <c r="U1891">
        <f>IF($A1891="","",IF(COUNTIF($A$2:$A1891,$A1891)=1,1,0))</f>
        <v/>
      </c>
      <c r="V1891">
        <f>IF($U1891=1,SUMPRODUCT(--($X$2:$X$3001&lt;$X1891))+1,"")</f>
        <v/>
      </c>
      <c r="W1891">
        <f>IF($A1891="","",IF(OR($T1891=TRUE(),$T1891="TRUE"),1,0))</f>
        <v/>
      </c>
      <c r="X1891">
        <f>IF($U1891=1,IFERROR(IF(VALUE($A1891)&lt;100000000,VALUE($A1891),1000000000),IFERROR(IF(VALUE(MID($A1891,2,20))&lt;100000000,VALUE(MID($A1891,2,20)),1000000000),1000000000))+ROW()/100000,"")</f>
        <v/>
      </c>
    </row>
    <row r="1892">
      <c r="F1892" s="7">
        <f>IF($A1892="","",E1892*N1892/100)</f>
        <v/>
      </c>
      <c r="J1892" s="7" t="n"/>
      <c r="K1892" s="7">
        <f>IF($A1892="","",S1892*N1892)</f>
        <v/>
      </c>
      <c r="L1892" s="7">
        <f>IF($A1892="","",N1892-K1892)</f>
        <v/>
      </c>
      <c r="M1892" s="7">
        <f>IF($A1892="","",L1892-F1892)</f>
        <v/>
      </c>
      <c r="N1892" s="7" t="n"/>
      <c r="Q1892" s="11" t="n"/>
      <c r="S1892">
        <f>IF($A1892="","",IF($W1892=1,Settings!$C$6,Settings!$C$7)*1)</f>
        <v/>
      </c>
      <c r="U1892">
        <f>IF($A1892="","",IF(COUNTIF($A$2:$A1892,$A1892)=1,1,0))</f>
        <v/>
      </c>
      <c r="V1892">
        <f>IF($U1892=1,SUMPRODUCT(--($X$2:$X$3001&lt;$X1892))+1,"")</f>
        <v/>
      </c>
      <c r="W1892">
        <f>IF($A1892="","",IF(OR($T1892=TRUE(),$T1892="TRUE"),1,0))</f>
        <v/>
      </c>
      <c r="X1892">
        <f>IF($U1892=1,IFERROR(IF(VALUE($A1892)&lt;100000000,VALUE($A1892),1000000000),IFERROR(IF(VALUE(MID($A1892,2,20))&lt;100000000,VALUE(MID($A1892,2,20)),1000000000),1000000000))+ROW()/100000,"")</f>
        <v/>
      </c>
    </row>
    <row r="1893">
      <c r="F1893" s="7">
        <f>IF($A1893="","",E1893*N1893/100)</f>
        <v/>
      </c>
      <c r="J1893" s="7" t="n"/>
      <c r="K1893" s="7">
        <f>IF($A1893="","",S1893*N1893)</f>
        <v/>
      </c>
      <c r="L1893" s="7">
        <f>IF($A1893="","",N1893-K1893)</f>
        <v/>
      </c>
      <c r="M1893" s="7">
        <f>IF($A1893="","",L1893-F1893)</f>
        <v/>
      </c>
      <c r="N1893" s="7" t="n"/>
      <c r="Q1893" s="11" t="n"/>
      <c r="S1893">
        <f>IF($A1893="","",IF($W1893=1,Settings!$C$6,Settings!$C$7)*1)</f>
        <v/>
      </c>
      <c r="U1893">
        <f>IF($A1893="","",IF(COUNTIF($A$2:$A1893,$A1893)=1,1,0))</f>
        <v/>
      </c>
      <c r="V1893">
        <f>IF($U1893=1,SUMPRODUCT(--($X$2:$X$3001&lt;$X1893))+1,"")</f>
        <v/>
      </c>
      <c r="W1893">
        <f>IF($A1893="","",IF(OR($T1893=TRUE(),$T1893="TRUE"),1,0))</f>
        <v/>
      </c>
      <c r="X1893">
        <f>IF($U1893=1,IFERROR(IF(VALUE($A1893)&lt;100000000,VALUE($A1893),1000000000),IFERROR(IF(VALUE(MID($A1893,2,20))&lt;100000000,VALUE(MID($A1893,2,20)),1000000000),1000000000))+ROW()/100000,"")</f>
        <v/>
      </c>
    </row>
    <row r="1894">
      <c r="F1894" s="7">
        <f>IF($A1894="","",E1894*N1894/100)</f>
        <v/>
      </c>
      <c r="J1894" s="7" t="n"/>
      <c r="K1894" s="7">
        <f>IF($A1894="","",S1894*N1894)</f>
        <v/>
      </c>
      <c r="L1894" s="7">
        <f>IF($A1894="","",N1894-K1894)</f>
        <v/>
      </c>
      <c r="M1894" s="7">
        <f>IF($A1894="","",L1894-F1894)</f>
        <v/>
      </c>
      <c r="N1894" s="7" t="n"/>
      <c r="Q1894" s="11" t="n"/>
      <c r="S1894">
        <f>IF($A1894="","",IF($W1894=1,Settings!$C$6,Settings!$C$7)*1)</f>
        <v/>
      </c>
      <c r="U1894">
        <f>IF($A1894="","",IF(COUNTIF($A$2:$A1894,$A1894)=1,1,0))</f>
        <v/>
      </c>
      <c r="V1894">
        <f>IF($U1894=1,SUMPRODUCT(--($X$2:$X$3001&lt;$X1894))+1,"")</f>
        <v/>
      </c>
      <c r="W1894">
        <f>IF($A1894="","",IF(OR($T1894=TRUE(),$T1894="TRUE"),1,0))</f>
        <v/>
      </c>
      <c r="X1894">
        <f>IF($U1894=1,IFERROR(IF(VALUE($A1894)&lt;100000000,VALUE($A1894),1000000000),IFERROR(IF(VALUE(MID($A1894,2,20))&lt;100000000,VALUE(MID($A1894,2,20)),1000000000),1000000000))+ROW()/100000,"")</f>
        <v/>
      </c>
    </row>
    <row r="1895">
      <c r="F1895" s="7">
        <f>IF($A1895="","",E1895*N1895/100)</f>
        <v/>
      </c>
      <c r="J1895" s="7" t="n"/>
      <c r="K1895" s="7">
        <f>IF($A1895="","",S1895*N1895)</f>
        <v/>
      </c>
      <c r="L1895" s="7">
        <f>IF($A1895="","",N1895-K1895)</f>
        <v/>
      </c>
      <c r="M1895" s="7">
        <f>IF($A1895="","",L1895-F1895)</f>
        <v/>
      </c>
      <c r="N1895" s="7" t="n"/>
      <c r="Q1895" s="11" t="n"/>
      <c r="S1895">
        <f>IF($A1895="","",IF($W1895=1,Settings!$C$6,Settings!$C$7)*1)</f>
        <v/>
      </c>
      <c r="U1895">
        <f>IF($A1895="","",IF(COUNTIF($A$2:$A1895,$A1895)=1,1,0))</f>
        <v/>
      </c>
      <c r="V1895">
        <f>IF($U1895=1,SUMPRODUCT(--($X$2:$X$3001&lt;$X1895))+1,"")</f>
        <v/>
      </c>
      <c r="W1895">
        <f>IF($A1895="","",IF(OR($T1895=TRUE(),$T1895="TRUE"),1,0))</f>
        <v/>
      </c>
      <c r="X1895">
        <f>IF($U1895=1,IFERROR(IF(VALUE($A1895)&lt;100000000,VALUE($A1895),1000000000),IFERROR(IF(VALUE(MID($A1895,2,20))&lt;100000000,VALUE(MID($A1895,2,20)),1000000000),1000000000))+ROW()/100000,"")</f>
        <v/>
      </c>
    </row>
    <row r="1896">
      <c r="F1896" s="7">
        <f>IF($A1896="","",E1896*N1896/100)</f>
        <v/>
      </c>
      <c r="J1896" s="7" t="n"/>
      <c r="K1896" s="7">
        <f>IF($A1896="","",S1896*N1896)</f>
        <v/>
      </c>
      <c r="L1896" s="7">
        <f>IF($A1896="","",N1896-K1896)</f>
        <v/>
      </c>
      <c r="M1896" s="7">
        <f>IF($A1896="","",L1896-F1896)</f>
        <v/>
      </c>
      <c r="N1896" s="7" t="n"/>
      <c r="Q1896" s="11" t="n"/>
      <c r="S1896">
        <f>IF($A1896="","",IF($W1896=1,Settings!$C$6,Settings!$C$7)*1)</f>
        <v/>
      </c>
      <c r="U1896">
        <f>IF($A1896="","",IF(COUNTIF($A$2:$A1896,$A1896)=1,1,0))</f>
        <v/>
      </c>
      <c r="V1896">
        <f>IF($U1896=1,SUMPRODUCT(--($X$2:$X$3001&lt;$X1896))+1,"")</f>
        <v/>
      </c>
      <c r="W1896">
        <f>IF($A1896="","",IF(OR($T1896=TRUE(),$T1896="TRUE"),1,0))</f>
        <v/>
      </c>
      <c r="X1896">
        <f>IF($U1896=1,IFERROR(IF(VALUE($A1896)&lt;100000000,VALUE($A1896),1000000000),IFERROR(IF(VALUE(MID($A1896,2,20))&lt;100000000,VALUE(MID($A1896,2,20)),1000000000),1000000000))+ROW()/100000,"")</f>
        <v/>
      </c>
    </row>
    <row r="1897">
      <c r="F1897" s="7">
        <f>IF($A1897="","",E1897*N1897/100)</f>
        <v/>
      </c>
      <c r="J1897" s="7" t="n"/>
      <c r="K1897" s="7">
        <f>IF($A1897="","",S1897*N1897)</f>
        <v/>
      </c>
      <c r="L1897" s="7">
        <f>IF($A1897="","",N1897-K1897)</f>
        <v/>
      </c>
      <c r="M1897" s="7">
        <f>IF($A1897="","",L1897-F1897)</f>
        <v/>
      </c>
      <c r="N1897" s="7" t="n"/>
      <c r="Q1897" s="11" t="n"/>
      <c r="S1897">
        <f>IF($A1897="","",IF($W1897=1,Settings!$C$6,Settings!$C$7)*1)</f>
        <v/>
      </c>
      <c r="U1897">
        <f>IF($A1897="","",IF(COUNTIF($A$2:$A1897,$A1897)=1,1,0))</f>
        <v/>
      </c>
      <c r="V1897">
        <f>IF($U1897=1,SUMPRODUCT(--($X$2:$X$3001&lt;$X1897))+1,"")</f>
        <v/>
      </c>
      <c r="W1897">
        <f>IF($A1897="","",IF(OR($T1897=TRUE(),$T1897="TRUE"),1,0))</f>
        <v/>
      </c>
      <c r="X1897">
        <f>IF($U1897=1,IFERROR(IF(VALUE($A1897)&lt;100000000,VALUE($A1897),1000000000),IFERROR(IF(VALUE(MID($A1897,2,20))&lt;100000000,VALUE(MID($A1897,2,20)),1000000000),1000000000))+ROW()/100000,"")</f>
        <v/>
      </c>
    </row>
    <row r="1898">
      <c r="F1898" s="7">
        <f>IF($A1898="","",E1898*N1898/100)</f>
        <v/>
      </c>
      <c r="J1898" s="7" t="n"/>
      <c r="K1898" s="7">
        <f>IF($A1898="","",S1898*N1898)</f>
        <v/>
      </c>
      <c r="L1898" s="7">
        <f>IF($A1898="","",N1898-K1898)</f>
        <v/>
      </c>
      <c r="M1898" s="7">
        <f>IF($A1898="","",L1898-F1898)</f>
        <v/>
      </c>
      <c r="N1898" s="7" t="n"/>
      <c r="Q1898" s="11" t="n"/>
      <c r="S1898">
        <f>IF($A1898="","",IF($W1898=1,Settings!$C$6,Settings!$C$7)*1)</f>
        <v/>
      </c>
      <c r="U1898">
        <f>IF($A1898="","",IF(COUNTIF($A$2:$A1898,$A1898)=1,1,0))</f>
        <v/>
      </c>
      <c r="V1898">
        <f>IF($U1898=1,SUMPRODUCT(--($X$2:$X$3001&lt;$X1898))+1,"")</f>
        <v/>
      </c>
      <c r="W1898">
        <f>IF($A1898="","",IF(OR($T1898=TRUE(),$T1898="TRUE"),1,0))</f>
        <v/>
      </c>
      <c r="X1898">
        <f>IF($U1898=1,IFERROR(IF(VALUE($A1898)&lt;100000000,VALUE($A1898),1000000000),IFERROR(IF(VALUE(MID($A1898,2,20))&lt;100000000,VALUE(MID($A1898,2,20)),1000000000),1000000000))+ROW()/100000,"")</f>
        <v/>
      </c>
    </row>
    <row r="1899">
      <c r="F1899" s="7">
        <f>IF($A1899="","",E1899*N1899/100)</f>
        <v/>
      </c>
      <c r="J1899" s="7" t="n"/>
      <c r="K1899" s="7">
        <f>IF($A1899="","",S1899*N1899)</f>
        <v/>
      </c>
      <c r="L1899" s="7">
        <f>IF($A1899="","",N1899-K1899)</f>
        <v/>
      </c>
      <c r="M1899" s="7">
        <f>IF($A1899="","",L1899-F1899)</f>
        <v/>
      </c>
      <c r="N1899" s="7" t="n"/>
      <c r="Q1899" s="11" t="n"/>
      <c r="S1899">
        <f>IF($A1899="","",IF($W1899=1,Settings!$C$6,Settings!$C$7)*1)</f>
        <v/>
      </c>
      <c r="U1899">
        <f>IF($A1899="","",IF(COUNTIF($A$2:$A1899,$A1899)=1,1,0))</f>
        <v/>
      </c>
      <c r="V1899">
        <f>IF($U1899=1,SUMPRODUCT(--($X$2:$X$3001&lt;$X1899))+1,"")</f>
        <v/>
      </c>
      <c r="W1899">
        <f>IF($A1899="","",IF(OR($T1899=TRUE(),$T1899="TRUE"),1,0))</f>
        <v/>
      </c>
      <c r="X1899">
        <f>IF($U1899=1,IFERROR(IF(VALUE($A1899)&lt;100000000,VALUE($A1899),1000000000),IFERROR(IF(VALUE(MID($A1899,2,20))&lt;100000000,VALUE(MID($A1899,2,20)),1000000000),1000000000))+ROW()/100000,"")</f>
        <v/>
      </c>
    </row>
    <row r="1900">
      <c r="F1900" s="7">
        <f>IF($A1900="","",E1900*N1900/100)</f>
        <v/>
      </c>
      <c r="J1900" s="7" t="n"/>
      <c r="K1900" s="7">
        <f>IF($A1900="","",S1900*N1900)</f>
        <v/>
      </c>
      <c r="L1900" s="7">
        <f>IF($A1900="","",N1900-K1900)</f>
        <v/>
      </c>
      <c r="M1900" s="7">
        <f>IF($A1900="","",L1900-F1900)</f>
        <v/>
      </c>
      <c r="N1900" s="7" t="n"/>
      <c r="Q1900" s="11" t="n"/>
      <c r="S1900">
        <f>IF($A1900="","",IF($W1900=1,Settings!$C$6,Settings!$C$7)*1)</f>
        <v/>
      </c>
      <c r="U1900">
        <f>IF($A1900="","",IF(COUNTIF($A$2:$A1900,$A1900)=1,1,0))</f>
        <v/>
      </c>
      <c r="V1900">
        <f>IF($U1900=1,SUMPRODUCT(--($X$2:$X$3001&lt;$X1900))+1,"")</f>
        <v/>
      </c>
      <c r="W1900">
        <f>IF($A1900="","",IF(OR($T1900=TRUE(),$T1900="TRUE"),1,0))</f>
        <v/>
      </c>
      <c r="X1900">
        <f>IF($U1900=1,IFERROR(IF(VALUE($A1900)&lt;100000000,VALUE($A1900),1000000000),IFERROR(IF(VALUE(MID($A1900,2,20))&lt;100000000,VALUE(MID($A1900,2,20)),1000000000),1000000000))+ROW()/100000,"")</f>
        <v/>
      </c>
    </row>
    <row r="1901">
      <c r="F1901" s="7">
        <f>IF($A1901="","",E1901*N1901/100)</f>
        <v/>
      </c>
      <c r="J1901" s="7" t="n"/>
      <c r="K1901" s="7">
        <f>IF($A1901="","",S1901*N1901)</f>
        <v/>
      </c>
      <c r="L1901" s="7">
        <f>IF($A1901="","",N1901-K1901)</f>
        <v/>
      </c>
      <c r="M1901" s="7">
        <f>IF($A1901="","",L1901-F1901)</f>
        <v/>
      </c>
      <c r="N1901" s="7" t="n"/>
      <c r="Q1901" s="11" t="n"/>
      <c r="S1901">
        <f>IF($A1901="","",IF($W1901=1,Settings!$C$6,Settings!$C$7)*1)</f>
        <v/>
      </c>
      <c r="U1901">
        <f>IF($A1901="","",IF(COUNTIF($A$2:$A1901,$A1901)=1,1,0))</f>
        <v/>
      </c>
      <c r="V1901">
        <f>IF($U1901=1,SUMPRODUCT(--($X$2:$X$3001&lt;$X1901))+1,"")</f>
        <v/>
      </c>
      <c r="W1901">
        <f>IF($A1901="","",IF(OR($T1901=TRUE(),$T1901="TRUE"),1,0))</f>
        <v/>
      </c>
      <c r="X1901">
        <f>IF($U1901=1,IFERROR(IF(VALUE($A1901)&lt;100000000,VALUE($A1901),1000000000),IFERROR(IF(VALUE(MID($A1901,2,20))&lt;100000000,VALUE(MID($A1901,2,20)),1000000000),1000000000))+ROW()/100000,"")</f>
        <v/>
      </c>
    </row>
    <row r="1902">
      <c r="F1902" s="7">
        <f>IF($A1902="","",E1902*N1902/100)</f>
        <v/>
      </c>
      <c r="J1902" s="7" t="n"/>
      <c r="K1902" s="7">
        <f>IF($A1902="","",S1902*N1902)</f>
        <v/>
      </c>
      <c r="L1902" s="7">
        <f>IF($A1902="","",N1902-K1902)</f>
        <v/>
      </c>
      <c r="M1902" s="7">
        <f>IF($A1902="","",L1902-F1902)</f>
        <v/>
      </c>
      <c r="N1902" s="7" t="n"/>
      <c r="Q1902" s="11" t="n"/>
      <c r="S1902">
        <f>IF($A1902="","",IF($W1902=1,Settings!$C$6,Settings!$C$7)*1)</f>
        <v/>
      </c>
      <c r="U1902">
        <f>IF($A1902="","",IF(COUNTIF($A$2:$A1902,$A1902)=1,1,0))</f>
        <v/>
      </c>
      <c r="V1902">
        <f>IF($U1902=1,SUMPRODUCT(--($X$2:$X$3001&lt;$X1902))+1,"")</f>
        <v/>
      </c>
      <c r="W1902">
        <f>IF($A1902="","",IF(OR($T1902=TRUE(),$T1902="TRUE"),1,0))</f>
        <v/>
      </c>
      <c r="X1902">
        <f>IF($U1902=1,IFERROR(IF(VALUE($A1902)&lt;100000000,VALUE($A1902),1000000000),IFERROR(IF(VALUE(MID($A1902,2,20))&lt;100000000,VALUE(MID($A1902,2,20)),1000000000),1000000000))+ROW()/100000,"")</f>
        <v/>
      </c>
    </row>
    <row r="1903">
      <c r="F1903" s="7">
        <f>IF($A1903="","",E1903*N1903/100)</f>
        <v/>
      </c>
      <c r="J1903" s="7" t="n"/>
      <c r="K1903" s="7">
        <f>IF($A1903="","",S1903*N1903)</f>
        <v/>
      </c>
      <c r="L1903" s="7">
        <f>IF($A1903="","",N1903-K1903)</f>
        <v/>
      </c>
      <c r="M1903" s="7">
        <f>IF($A1903="","",L1903-F1903)</f>
        <v/>
      </c>
      <c r="N1903" s="7" t="n"/>
      <c r="Q1903" s="11" t="n"/>
      <c r="S1903">
        <f>IF($A1903="","",IF($W1903=1,Settings!$C$6,Settings!$C$7)*1)</f>
        <v/>
      </c>
      <c r="U1903">
        <f>IF($A1903="","",IF(COUNTIF($A$2:$A1903,$A1903)=1,1,0))</f>
        <v/>
      </c>
      <c r="V1903">
        <f>IF($U1903=1,SUMPRODUCT(--($X$2:$X$3001&lt;$X1903))+1,"")</f>
        <v/>
      </c>
      <c r="W1903">
        <f>IF($A1903="","",IF(OR($T1903=TRUE(),$T1903="TRUE"),1,0))</f>
        <v/>
      </c>
      <c r="X1903">
        <f>IF($U1903=1,IFERROR(IF(VALUE($A1903)&lt;100000000,VALUE($A1903),1000000000),IFERROR(IF(VALUE(MID($A1903,2,20))&lt;100000000,VALUE(MID($A1903,2,20)),1000000000),1000000000))+ROW()/100000,"")</f>
        <v/>
      </c>
    </row>
    <row r="1904">
      <c r="F1904" s="7">
        <f>IF($A1904="","",E1904*N1904/100)</f>
        <v/>
      </c>
      <c r="J1904" s="7" t="n"/>
      <c r="K1904" s="7">
        <f>IF($A1904="","",S1904*N1904)</f>
        <v/>
      </c>
      <c r="L1904" s="7">
        <f>IF($A1904="","",N1904-K1904)</f>
        <v/>
      </c>
      <c r="M1904" s="7">
        <f>IF($A1904="","",L1904-F1904)</f>
        <v/>
      </c>
      <c r="N1904" s="7" t="n"/>
      <c r="Q1904" s="11" t="n"/>
      <c r="S1904">
        <f>IF($A1904="","",IF($W1904=1,Settings!$C$6,Settings!$C$7)*1)</f>
        <v/>
      </c>
      <c r="U1904">
        <f>IF($A1904="","",IF(COUNTIF($A$2:$A1904,$A1904)=1,1,0))</f>
        <v/>
      </c>
      <c r="V1904">
        <f>IF($U1904=1,SUMPRODUCT(--($X$2:$X$3001&lt;$X1904))+1,"")</f>
        <v/>
      </c>
      <c r="W1904">
        <f>IF($A1904="","",IF(OR($T1904=TRUE(),$T1904="TRUE"),1,0))</f>
        <v/>
      </c>
      <c r="X1904">
        <f>IF($U1904=1,IFERROR(IF(VALUE($A1904)&lt;100000000,VALUE($A1904),1000000000),IFERROR(IF(VALUE(MID($A1904,2,20))&lt;100000000,VALUE(MID($A1904,2,20)),1000000000),1000000000))+ROW()/100000,"")</f>
        <v/>
      </c>
    </row>
    <row r="1905">
      <c r="F1905" s="7">
        <f>IF($A1905="","",E1905*N1905/100)</f>
        <v/>
      </c>
      <c r="J1905" s="7" t="n"/>
      <c r="K1905" s="7">
        <f>IF($A1905="","",S1905*N1905)</f>
        <v/>
      </c>
      <c r="L1905" s="7">
        <f>IF($A1905="","",N1905-K1905)</f>
        <v/>
      </c>
      <c r="M1905" s="7">
        <f>IF($A1905="","",L1905-F1905)</f>
        <v/>
      </c>
      <c r="N1905" s="7" t="n"/>
      <c r="Q1905" s="11" t="n"/>
      <c r="S1905">
        <f>IF($A1905="","",IF($W1905=1,Settings!$C$6,Settings!$C$7)*1)</f>
        <v/>
      </c>
      <c r="U1905">
        <f>IF($A1905="","",IF(COUNTIF($A$2:$A1905,$A1905)=1,1,0))</f>
        <v/>
      </c>
      <c r="V1905">
        <f>IF($U1905=1,SUMPRODUCT(--($X$2:$X$3001&lt;$X1905))+1,"")</f>
        <v/>
      </c>
      <c r="W1905">
        <f>IF($A1905="","",IF(OR($T1905=TRUE(),$T1905="TRUE"),1,0))</f>
        <v/>
      </c>
      <c r="X1905">
        <f>IF($U1905=1,IFERROR(IF(VALUE($A1905)&lt;100000000,VALUE($A1905),1000000000),IFERROR(IF(VALUE(MID($A1905,2,20))&lt;100000000,VALUE(MID($A1905,2,20)),1000000000),1000000000))+ROW()/100000,"")</f>
        <v/>
      </c>
    </row>
    <row r="1906">
      <c r="F1906" s="7">
        <f>IF($A1906="","",E1906*N1906/100)</f>
        <v/>
      </c>
      <c r="J1906" s="7" t="n"/>
      <c r="K1906" s="7">
        <f>IF($A1906="","",S1906*N1906)</f>
        <v/>
      </c>
      <c r="L1906" s="7">
        <f>IF($A1906="","",N1906-K1906)</f>
        <v/>
      </c>
      <c r="M1906" s="7">
        <f>IF($A1906="","",L1906-F1906)</f>
        <v/>
      </c>
      <c r="N1906" s="7" t="n"/>
      <c r="Q1906" s="11" t="n"/>
      <c r="S1906">
        <f>IF($A1906="","",IF($W1906=1,Settings!$C$6,Settings!$C$7)*1)</f>
        <v/>
      </c>
      <c r="U1906">
        <f>IF($A1906="","",IF(COUNTIF($A$2:$A1906,$A1906)=1,1,0))</f>
        <v/>
      </c>
      <c r="V1906">
        <f>IF($U1906=1,SUMPRODUCT(--($X$2:$X$3001&lt;$X1906))+1,"")</f>
        <v/>
      </c>
      <c r="W1906">
        <f>IF($A1906="","",IF(OR($T1906=TRUE(),$T1906="TRUE"),1,0))</f>
        <v/>
      </c>
      <c r="X1906">
        <f>IF($U1906=1,IFERROR(IF(VALUE($A1906)&lt;100000000,VALUE($A1906),1000000000),IFERROR(IF(VALUE(MID($A1906,2,20))&lt;100000000,VALUE(MID($A1906,2,20)),1000000000),1000000000))+ROW()/100000,"")</f>
        <v/>
      </c>
    </row>
    <row r="1907">
      <c r="F1907" s="7">
        <f>IF($A1907="","",E1907*N1907/100)</f>
        <v/>
      </c>
      <c r="J1907" s="7" t="n"/>
      <c r="K1907" s="7">
        <f>IF($A1907="","",S1907*N1907)</f>
        <v/>
      </c>
      <c r="L1907" s="7">
        <f>IF($A1907="","",N1907-K1907)</f>
        <v/>
      </c>
      <c r="M1907" s="7">
        <f>IF($A1907="","",L1907-F1907)</f>
        <v/>
      </c>
      <c r="N1907" s="7" t="n"/>
      <c r="Q1907" s="11" t="n"/>
      <c r="S1907">
        <f>IF($A1907="","",IF($W1907=1,Settings!$C$6,Settings!$C$7)*1)</f>
        <v/>
      </c>
      <c r="U1907">
        <f>IF($A1907="","",IF(COUNTIF($A$2:$A1907,$A1907)=1,1,0))</f>
        <v/>
      </c>
      <c r="V1907">
        <f>IF($U1907=1,SUMPRODUCT(--($X$2:$X$3001&lt;$X1907))+1,"")</f>
        <v/>
      </c>
      <c r="W1907">
        <f>IF($A1907="","",IF(OR($T1907=TRUE(),$T1907="TRUE"),1,0))</f>
        <v/>
      </c>
      <c r="X1907">
        <f>IF($U1907=1,IFERROR(IF(VALUE($A1907)&lt;100000000,VALUE($A1907),1000000000),IFERROR(IF(VALUE(MID($A1907,2,20))&lt;100000000,VALUE(MID($A1907,2,20)),1000000000),1000000000))+ROW()/100000,"")</f>
        <v/>
      </c>
    </row>
    <row r="1908">
      <c r="F1908" s="7">
        <f>IF($A1908="","",E1908*N1908/100)</f>
        <v/>
      </c>
      <c r="J1908" s="7" t="n"/>
      <c r="K1908" s="7">
        <f>IF($A1908="","",S1908*N1908)</f>
        <v/>
      </c>
      <c r="L1908" s="7">
        <f>IF($A1908="","",N1908-K1908)</f>
        <v/>
      </c>
      <c r="M1908" s="7">
        <f>IF($A1908="","",L1908-F1908)</f>
        <v/>
      </c>
      <c r="N1908" s="7" t="n"/>
      <c r="Q1908" s="11" t="n"/>
      <c r="S1908">
        <f>IF($A1908="","",IF($W1908=1,Settings!$C$6,Settings!$C$7)*1)</f>
        <v/>
      </c>
      <c r="U1908">
        <f>IF($A1908="","",IF(COUNTIF($A$2:$A1908,$A1908)=1,1,0))</f>
        <v/>
      </c>
      <c r="V1908">
        <f>IF($U1908=1,SUMPRODUCT(--($X$2:$X$3001&lt;$X1908))+1,"")</f>
        <v/>
      </c>
      <c r="W1908">
        <f>IF($A1908="","",IF(OR($T1908=TRUE(),$T1908="TRUE"),1,0))</f>
        <v/>
      </c>
      <c r="X1908">
        <f>IF($U1908=1,IFERROR(IF(VALUE($A1908)&lt;100000000,VALUE($A1908),1000000000),IFERROR(IF(VALUE(MID($A1908,2,20))&lt;100000000,VALUE(MID($A1908,2,20)),1000000000),1000000000))+ROW()/100000,"")</f>
        <v/>
      </c>
    </row>
    <row r="1909">
      <c r="F1909" s="7">
        <f>IF($A1909="","",E1909*N1909/100)</f>
        <v/>
      </c>
      <c r="J1909" s="7" t="n"/>
      <c r="K1909" s="7">
        <f>IF($A1909="","",S1909*N1909)</f>
        <v/>
      </c>
      <c r="L1909" s="7">
        <f>IF($A1909="","",N1909-K1909)</f>
        <v/>
      </c>
      <c r="M1909" s="7">
        <f>IF($A1909="","",L1909-F1909)</f>
        <v/>
      </c>
      <c r="N1909" s="7" t="n"/>
      <c r="Q1909" s="11" t="n"/>
      <c r="S1909">
        <f>IF($A1909="","",IF($W1909=1,Settings!$C$6,Settings!$C$7)*1)</f>
        <v/>
      </c>
      <c r="U1909">
        <f>IF($A1909="","",IF(COUNTIF($A$2:$A1909,$A1909)=1,1,0))</f>
        <v/>
      </c>
      <c r="V1909">
        <f>IF($U1909=1,SUMPRODUCT(--($X$2:$X$3001&lt;$X1909))+1,"")</f>
        <v/>
      </c>
      <c r="W1909">
        <f>IF($A1909="","",IF(OR($T1909=TRUE(),$T1909="TRUE"),1,0))</f>
        <v/>
      </c>
      <c r="X1909">
        <f>IF($U1909=1,IFERROR(IF(VALUE($A1909)&lt;100000000,VALUE($A1909),1000000000),IFERROR(IF(VALUE(MID($A1909,2,20))&lt;100000000,VALUE(MID($A1909,2,20)),1000000000),1000000000))+ROW()/100000,"")</f>
        <v/>
      </c>
    </row>
    <row r="1910">
      <c r="F1910" s="7">
        <f>IF($A1910="","",E1910*N1910/100)</f>
        <v/>
      </c>
      <c r="J1910" s="7" t="n"/>
      <c r="K1910" s="7">
        <f>IF($A1910="","",S1910*N1910)</f>
        <v/>
      </c>
      <c r="L1910" s="7">
        <f>IF($A1910="","",N1910-K1910)</f>
        <v/>
      </c>
      <c r="M1910" s="7">
        <f>IF($A1910="","",L1910-F1910)</f>
        <v/>
      </c>
      <c r="N1910" s="7" t="n"/>
      <c r="Q1910" s="11" t="n"/>
      <c r="S1910">
        <f>IF($A1910="","",IF($W1910=1,Settings!$C$6,Settings!$C$7)*1)</f>
        <v/>
      </c>
      <c r="U1910">
        <f>IF($A1910="","",IF(COUNTIF($A$2:$A1910,$A1910)=1,1,0))</f>
        <v/>
      </c>
      <c r="V1910">
        <f>IF($U1910=1,SUMPRODUCT(--($X$2:$X$3001&lt;$X1910))+1,"")</f>
        <v/>
      </c>
      <c r="W1910">
        <f>IF($A1910="","",IF(OR($T1910=TRUE(),$T1910="TRUE"),1,0))</f>
        <v/>
      </c>
      <c r="X1910">
        <f>IF($U1910=1,IFERROR(IF(VALUE($A1910)&lt;100000000,VALUE($A1910),1000000000),IFERROR(IF(VALUE(MID($A1910,2,20))&lt;100000000,VALUE(MID($A1910,2,20)),1000000000),1000000000))+ROW()/100000,"")</f>
        <v/>
      </c>
    </row>
    <row r="1911">
      <c r="F1911" s="7">
        <f>IF($A1911="","",E1911*N1911/100)</f>
        <v/>
      </c>
      <c r="J1911" s="7" t="n"/>
      <c r="K1911" s="7">
        <f>IF($A1911="","",S1911*N1911)</f>
        <v/>
      </c>
      <c r="L1911" s="7">
        <f>IF($A1911="","",N1911-K1911)</f>
        <v/>
      </c>
      <c r="M1911" s="7">
        <f>IF($A1911="","",L1911-F1911)</f>
        <v/>
      </c>
      <c r="N1911" s="7" t="n"/>
      <c r="Q1911" s="11" t="n"/>
      <c r="S1911">
        <f>IF($A1911="","",IF($W1911=1,Settings!$C$6,Settings!$C$7)*1)</f>
        <v/>
      </c>
      <c r="U1911">
        <f>IF($A1911="","",IF(COUNTIF($A$2:$A1911,$A1911)=1,1,0))</f>
        <v/>
      </c>
      <c r="V1911">
        <f>IF($U1911=1,SUMPRODUCT(--($X$2:$X$3001&lt;$X1911))+1,"")</f>
        <v/>
      </c>
      <c r="W1911">
        <f>IF($A1911="","",IF(OR($T1911=TRUE(),$T1911="TRUE"),1,0))</f>
        <v/>
      </c>
      <c r="X1911">
        <f>IF($U1911=1,IFERROR(IF(VALUE($A1911)&lt;100000000,VALUE($A1911),1000000000),IFERROR(IF(VALUE(MID($A1911,2,20))&lt;100000000,VALUE(MID($A1911,2,20)),1000000000),1000000000))+ROW()/100000,"")</f>
        <v/>
      </c>
    </row>
    <row r="1912">
      <c r="F1912" s="7">
        <f>IF($A1912="","",E1912*N1912/100)</f>
        <v/>
      </c>
      <c r="J1912" s="7" t="n"/>
      <c r="K1912" s="7">
        <f>IF($A1912="","",S1912*N1912)</f>
        <v/>
      </c>
      <c r="L1912" s="7">
        <f>IF($A1912="","",N1912-K1912)</f>
        <v/>
      </c>
      <c r="M1912" s="7">
        <f>IF($A1912="","",L1912-F1912)</f>
        <v/>
      </c>
      <c r="N1912" s="7" t="n"/>
      <c r="Q1912" s="11" t="n"/>
      <c r="S1912">
        <f>IF($A1912="","",IF($W1912=1,Settings!$C$6,Settings!$C$7)*1)</f>
        <v/>
      </c>
      <c r="U1912">
        <f>IF($A1912="","",IF(COUNTIF($A$2:$A1912,$A1912)=1,1,0))</f>
        <v/>
      </c>
      <c r="V1912">
        <f>IF($U1912=1,SUMPRODUCT(--($X$2:$X$3001&lt;$X1912))+1,"")</f>
        <v/>
      </c>
      <c r="W1912">
        <f>IF($A1912="","",IF(OR($T1912=TRUE(),$T1912="TRUE"),1,0))</f>
        <v/>
      </c>
      <c r="X1912">
        <f>IF($U1912=1,IFERROR(IF(VALUE($A1912)&lt;100000000,VALUE($A1912),1000000000),IFERROR(IF(VALUE(MID($A1912,2,20))&lt;100000000,VALUE(MID($A1912,2,20)),1000000000),1000000000))+ROW()/100000,"")</f>
        <v/>
      </c>
    </row>
    <row r="1913">
      <c r="F1913" s="7">
        <f>IF($A1913="","",E1913*N1913/100)</f>
        <v/>
      </c>
      <c r="J1913" s="7" t="n"/>
      <c r="K1913" s="7">
        <f>IF($A1913="","",S1913*N1913)</f>
        <v/>
      </c>
      <c r="L1913" s="7">
        <f>IF($A1913="","",N1913-K1913)</f>
        <v/>
      </c>
      <c r="M1913" s="7">
        <f>IF($A1913="","",L1913-F1913)</f>
        <v/>
      </c>
      <c r="N1913" s="7" t="n"/>
      <c r="Q1913" s="11" t="n"/>
      <c r="S1913">
        <f>IF($A1913="","",IF($W1913=1,Settings!$C$6,Settings!$C$7)*1)</f>
        <v/>
      </c>
      <c r="U1913">
        <f>IF($A1913="","",IF(COUNTIF($A$2:$A1913,$A1913)=1,1,0))</f>
        <v/>
      </c>
      <c r="V1913">
        <f>IF($U1913=1,SUMPRODUCT(--($X$2:$X$3001&lt;$X1913))+1,"")</f>
        <v/>
      </c>
      <c r="W1913">
        <f>IF($A1913="","",IF(OR($T1913=TRUE(),$T1913="TRUE"),1,0))</f>
        <v/>
      </c>
      <c r="X1913">
        <f>IF($U1913=1,IFERROR(IF(VALUE($A1913)&lt;100000000,VALUE($A1913),1000000000),IFERROR(IF(VALUE(MID($A1913,2,20))&lt;100000000,VALUE(MID($A1913,2,20)),1000000000),1000000000))+ROW()/100000,"")</f>
        <v/>
      </c>
    </row>
    <row r="1914">
      <c r="F1914" s="7">
        <f>IF($A1914="","",E1914*N1914/100)</f>
        <v/>
      </c>
      <c r="J1914" s="7" t="n"/>
      <c r="K1914" s="7">
        <f>IF($A1914="","",S1914*N1914)</f>
        <v/>
      </c>
      <c r="L1914" s="7">
        <f>IF($A1914="","",N1914-K1914)</f>
        <v/>
      </c>
      <c r="M1914" s="7">
        <f>IF($A1914="","",L1914-F1914)</f>
        <v/>
      </c>
      <c r="N1914" s="7" t="n"/>
      <c r="Q1914" s="11" t="n"/>
      <c r="S1914">
        <f>IF($A1914="","",IF($W1914=1,Settings!$C$6,Settings!$C$7)*1)</f>
        <v/>
      </c>
      <c r="U1914">
        <f>IF($A1914="","",IF(COUNTIF($A$2:$A1914,$A1914)=1,1,0))</f>
        <v/>
      </c>
      <c r="V1914">
        <f>IF($U1914=1,SUMPRODUCT(--($X$2:$X$3001&lt;$X1914))+1,"")</f>
        <v/>
      </c>
      <c r="W1914">
        <f>IF($A1914="","",IF(OR($T1914=TRUE(),$T1914="TRUE"),1,0))</f>
        <v/>
      </c>
      <c r="X1914">
        <f>IF($U1914=1,IFERROR(IF(VALUE($A1914)&lt;100000000,VALUE($A1914),1000000000),IFERROR(IF(VALUE(MID($A1914,2,20))&lt;100000000,VALUE(MID($A1914,2,20)),1000000000),1000000000))+ROW()/100000,"")</f>
        <v/>
      </c>
    </row>
    <row r="1915">
      <c r="F1915" s="7">
        <f>IF($A1915="","",E1915*N1915/100)</f>
        <v/>
      </c>
      <c r="J1915" s="7" t="n"/>
      <c r="K1915" s="7">
        <f>IF($A1915="","",S1915*N1915)</f>
        <v/>
      </c>
      <c r="L1915" s="7">
        <f>IF($A1915="","",N1915-K1915)</f>
        <v/>
      </c>
      <c r="M1915" s="7">
        <f>IF($A1915="","",L1915-F1915)</f>
        <v/>
      </c>
      <c r="N1915" s="7" t="n"/>
      <c r="Q1915" s="11" t="n"/>
      <c r="S1915">
        <f>IF($A1915="","",IF($W1915=1,Settings!$C$6,Settings!$C$7)*1)</f>
        <v/>
      </c>
      <c r="U1915">
        <f>IF($A1915="","",IF(COUNTIF($A$2:$A1915,$A1915)=1,1,0))</f>
        <v/>
      </c>
      <c r="V1915">
        <f>IF($U1915=1,SUMPRODUCT(--($X$2:$X$3001&lt;$X1915))+1,"")</f>
        <v/>
      </c>
      <c r="W1915">
        <f>IF($A1915="","",IF(OR($T1915=TRUE(),$T1915="TRUE"),1,0))</f>
        <v/>
      </c>
      <c r="X1915">
        <f>IF($U1915=1,IFERROR(IF(VALUE($A1915)&lt;100000000,VALUE($A1915),1000000000),IFERROR(IF(VALUE(MID($A1915,2,20))&lt;100000000,VALUE(MID($A1915,2,20)),1000000000),1000000000))+ROW()/100000,"")</f>
        <v/>
      </c>
    </row>
    <row r="1916">
      <c r="F1916" s="7">
        <f>IF($A1916="","",E1916*N1916/100)</f>
        <v/>
      </c>
      <c r="J1916" s="7" t="n"/>
      <c r="K1916" s="7">
        <f>IF($A1916="","",S1916*N1916)</f>
        <v/>
      </c>
      <c r="L1916" s="7">
        <f>IF($A1916="","",N1916-K1916)</f>
        <v/>
      </c>
      <c r="M1916" s="7">
        <f>IF($A1916="","",L1916-F1916)</f>
        <v/>
      </c>
      <c r="N1916" s="7" t="n"/>
      <c r="Q1916" s="11" t="n"/>
      <c r="S1916">
        <f>IF($A1916="","",IF($W1916=1,Settings!$C$6,Settings!$C$7)*1)</f>
        <v/>
      </c>
      <c r="U1916">
        <f>IF($A1916="","",IF(COUNTIF($A$2:$A1916,$A1916)=1,1,0))</f>
        <v/>
      </c>
      <c r="V1916">
        <f>IF($U1916=1,SUMPRODUCT(--($X$2:$X$3001&lt;$X1916))+1,"")</f>
        <v/>
      </c>
      <c r="W1916">
        <f>IF($A1916="","",IF(OR($T1916=TRUE(),$T1916="TRUE"),1,0))</f>
        <v/>
      </c>
      <c r="X1916">
        <f>IF($U1916=1,IFERROR(IF(VALUE($A1916)&lt;100000000,VALUE($A1916),1000000000),IFERROR(IF(VALUE(MID($A1916,2,20))&lt;100000000,VALUE(MID($A1916,2,20)),1000000000),1000000000))+ROW()/100000,"")</f>
        <v/>
      </c>
    </row>
    <row r="1917">
      <c r="F1917" s="7">
        <f>IF($A1917="","",E1917*N1917/100)</f>
        <v/>
      </c>
      <c r="J1917" s="7" t="n"/>
      <c r="K1917" s="7">
        <f>IF($A1917="","",S1917*N1917)</f>
        <v/>
      </c>
      <c r="L1917" s="7">
        <f>IF($A1917="","",N1917-K1917)</f>
        <v/>
      </c>
      <c r="M1917" s="7">
        <f>IF($A1917="","",L1917-F1917)</f>
        <v/>
      </c>
      <c r="N1917" s="7" t="n"/>
      <c r="Q1917" s="11" t="n"/>
      <c r="S1917">
        <f>IF($A1917="","",IF($W1917=1,Settings!$C$6,Settings!$C$7)*1)</f>
        <v/>
      </c>
      <c r="U1917">
        <f>IF($A1917="","",IF(COUNTIF($A$2:$A1917,$A1917)=1,1,0))</f>
        <v/>
      </c>
      <c r="V1917">
        <f>IF($U1917=1,SUMPRODUCT(--($X$2:$X$3001&lt;$X1917))+1,"")</f>
        <v/>
      </c>
      <c r="W1917">
        <f>IF($A1917="","",IF(OR($T1917=TRUE(),$T1917="TRUE"),1,0))</f>
        <v/>
      </c>
      <c r="X1917">
        <f>IF($U1917=1,IFERROR(IF(VALUE($A1917)&lt;100000000,VALUE($A1917),1000000000),IFERROR(IF(VALUE(MID($A1917,2,20))&lt;100000000,VALUE(MID($A1917,2,20)),1000000000),1000000000))+ROW()/100000,"")</f>
        <v/>
      </c>
    </row>
    <row r="1918">
      <c r="F1918" s="7">
        <f>IF($A1918="","",E1918*N1918/100)</f>
        <v/>
      </c>
      <c r="J1918" s="7" t="n"/>
      <c r="K1918" s="7">
        <f>IF($A1918="","",S1918*N1918)</f>
        <v/>
      </c>
      <c r="L1918" s="7">
        <f>IF($A1918="","",N1918-K1918)</f>
        <v/>
      </c>
      <c r="M1918" s="7">
        <f>IF($A1918="","",L1918-F1918)</f>
        <v/>
      </c>
      <c r="N1918" s="7" t="n"/>
      <c r="Q1918" s="11" t="n"/>
      <c r="S1918">
        <f>IF($A1918="","",IF($W1918=1,Settings!$C$6,Settings!$C$7)*1)</f>
        <v/>
      </c>
      <c r="U1918">
        <f>IF($A1918="","",IF(COUNTIF($A$2:$A1918,$A1918)=1,1,0))</f>
        <v/>
      </c>
      <c r="V1918">
        <f>IF($U1918=1,SUMPRODUCT(--($X$2:$X$3001&lt;$X1918))+1,"")</f>
        <v/>
      </c>
      <c r="W1918">
        <f>IF($A1918="","",IF(OR($T1918=TRUE(),$T1918="TRUE"),1,0))</f>
        <v/>
      </c>
      <c r="X1918">
        <f>IF($U1918=1,IFERROR(IF(VALUE($A1918)&lt;100000000,VALUE($A1918),1000000000),IFERROR(IF(VALUE(MID($A1918,2,20))&lt;100000000,VALUE(MID($A1918,2,20)),1000000000),1000000000))+ROW()/100000,"")</f>
        <v/>
      </c>
    </row>
    <row r="1919">
      <c r="F1919" s="7">
        <f>IF($A1919="","",E1919*N1919/100)</f>
        <v/>
      </c>
      <c r="J1919" s="7" t="n"/>
      <c r="K1919" s="7">
        <f>IF($A1919="","",S1919*N1919)</f>
        <v/>
      </c>
      <c r="L1919" s="7">
        <f>IF($A1919="","",N1919-K1919)</f>
        <v/>
      </c>
      <c r="M1919" s="7">
        <f>IF($A1919="","",L1919-F1919)</f>
        <v/>
      </c>
      <c r="N1919" s="7" t="n"/>
      <c r="Q1919" s="11" t="n"/>
      <c r="S1919">
        <f>IF($A1919="","",IF($W1919=1,Settings!$C$6,Settings!$C$7)*1)</f>
        <v/>
      </c>
      <c r="U1919">
        <f>IF($A1919="","",IF(COUNTIF($A$2:$A1919,$A1919)=1,1,0))</f>
        <v/>
      </c>
      <c r="V1919">
        <f>IF($U1919=1,SUMPRODUCT(--($X$2:$X$3001&lt;$X1919))+1,"")</f>
        <v/>
      </c>
      <c r="W1919">
        <f>IF($A1919="","",IF(OR($T1919=TRUE(),$T1919="TRUE"),1,0))</f>
        <v/>
      </c>
      <c r="X1919">
        <f>IF($U1919=1,IFERROR(IF(VALUE($A1919)&lt;100000000,VALUE($A1919),1000000000),IFERROR(IF(VALUE(MID($A1919,2,20))&lt;100000000,VALUE(MID($A1919,2,20)),1000000000),1000000000))+ROW()/100000,"")</f>
        <v/>
      </c>
    </row>
    <row r="1920">
      <c r="F1920" s="7">
        <f>IF($A1920="","",E1920*N1920/100)</f>
        <v/>
      </c>
      <c r="J1920" s="7" t="n"/>
      <c r="K1920" s="7">
        <f>IF($A1920="","",S1920*N1920)</f>
        <v/>
      </c>
      <c r="L1920" s="7">
        <f>IF($A1920="","",N1920-K1920)</f>
        <v/>
      </c>
      <c r="M1920" s="7">
        <f>IF($A1920="","",L1920-F1920)</f>
        <v/>
      </c>
      <c r="N1920" s="7" t="n"/>
      <c r="Q1920" s="11" t="n"/>
      <c r="S1920">
        <f>IF($A1920="","",IF($W1920=1,Settings!$C$6,Settings!$C$7)*1)</f>
        <v/>
      </c>
      <c r="U1920">
        <f>IF($A1920="","",IF(COUNTIF($A$2:$A1920,$A1920)=1,1,0))</f>
        <v/>
      </c>
      <c r="V1920">
        <f>IF($U1920=1,SUMPRODUCT(--($X$2:$X$3001&lt;$X1920))+1,"")</f>
        <v/>
      </c>
      <c r="W1920">
        <f>IF($A1920="","",IF(OR($T1920=TRUE(),$T1920="TRUE"),1,0))</f>
        <v/>
      </c>
      <c r="X1920">
        <f>IF($U1920=1,IFERROR(IF(VALUE($A1920)&lt;100000000,VALUE($A1920),1000000000),IFERROR(IF(VALUE(MID($A1920,2,20))&lt;100000000,VALUE(MID($A1920,2,20)),1000000000),1000000000))+ROW()/100000,"")</f>
        <v/>
      </c>
    </row>
    <row r="1921">
      <c r="F1921" s="7">
        <f>IF($A1921="","",E1921*N1921/100)</f>
        <v/>
      </c>
      <c r="J1921" s="7" t="n"/>
      <c r="K1921" s="7">
        <f>IF($A1921="","",S1921*N1921)</f>
        <v/>
      </c>
      <c r="L1921" s="7">
        <f>IF($A1921="","",N1921-K1921)</f>
        <v/>
      </c>
      <c r="M1921" s="7">
        <f>IF($A1921="","",L1921-F1921)</f>
        <v/>
      </c>
      <c r="N1921" s="7" t="n"/>
      <c r="Q1921" s="11" t="n"/>
      <c r="S1921">
        <f>IF($A1921="","",IF($W1921=1,Settings!$C$6,Settings!$C$7)*1)</f>
        <v/>
      </c>
      <c r="U1921">
        <f>IF($A1921="","",IF(COUNTIF($A$2:$A1921,$A1921)=1,1,0))</f>
        <v/>
      </c>
      <c r="V1921">
        <f>IF($U1921=1,SUMPRODUCT(--($X$2:$X$3001&lt;$X1921))+1,"")</f>
        <v/>
      </c>
      <c r="W1921">
        <f>IF($A1921="","",IF(OR($T1921=TRUE(),$T1921="TRUE"),1,0))</f>
        <v/>
      </c>
      <c r="X1921">
        <f>IF($U1921=1,IFERROR(IF(VALUE($A1921)&lt;100000000,VALUE($A1921),1000000000),IFERROR(IF(VALUE(MID($A1921,2,20))&lt;100000000,VALUE(MID($A1921,2,20)),1000000000),1000000000))+ROW()/100000,"")</f>
        <v/>
      </c>
    </row>
    <row r="1922">
      <c r="F1922" s="7">
        <f>IF($A1922="","",E1922*N1922/100)</f>
        <v/>
      </c>
      <c r="J1922" s="7" t="n"/>
      <c r="K1922" s="7">
        <f>IF($A1922="","",S1922*N1922)</f>
        <v/>
      </c>
      <c r="L1922" s="7">
        <f>IF($A1922="","",N1922-K1922)</f>
        <v/>
      </c>
      <c r="M1922" s="7">
        <f>IF($A1922="","",L1922-F1922)</f>
        <v/>
      </c>
      <c r="N1922" s="7" t="n"/>
      <c r="Q1922" s="11" t="n"/>
      <c r="S1922">
        <f>IF($A1922="","",IF($W1922=1,Settings!$C$6,Settings!$C$7)*1)</f>
        <v/>
      </c>
      <c r="U1922">
        <f>IF($A1922="","",IF(COUNTIF($A$2:$A1922,$A1922)=1,1,0))</f>
        <v/>
      </c>
      <c r="V1922">
        <f>IF($U1922=1,SUMPRODUCT(--($X$2:$X$3001&lt;$X1922))+1,"")</f>
        <v/>
      </c>
      <c r="W1922">
        <f>IF($A1922="","",IF(OR($T1922=TRUE(),$T1922="TRUE"),1,0))</f>
        <v/>
      </c>
      <c r="X1922">
        <f>IF($U1922=1,IFERROR(IF(VALUE($A1922)&lt;100000000,VALUE($A1922),1000000000),IFERROR(IF(VALUE(MID($A1922,2,20))&lt;100000000,VALUE(MID($A1922,2,20)),1000000000),1000000000))+ROW()/100000,"")</f>
        <v/>
      </c>
    </row>
    <row r="1923">
      <c r="F1923" s="7">
        <f>IF($A1923="","",E1923*N1923/100)</f>
        <v/>
      </c>
      <c r="J1923" s="7" t="n"/>
      <c r="K1923" s="7">
        <f>IF($A1923="","",S1923*N1923)</f>
        <v/>
      </c>
      <c r="L1923" s="7">
        <f>IF($A1923="","",N1923-K1923)</f>
        <v/>
      </c>
      <c r="M1923" s="7">
        <f>IF($A1923="","",L1923-F1923)</f>
        <v/>
      </c>
      <c r="N1923" s="7" t="n"/>
      <c r="Q1923" s="11" t="n"/>
      <c r="S1923">
        <f>IF($A1923="","",IF($W1923=1,Settings!$C$6,Settings!$C$7)*1)</f>
        <v/>
      </c>
      <c r="U1923">
        <f>IF($A1923="","",IF(COUNTIF($A$2:$A1923,$A1923)=1,1,0))</f>
        <v/>
      </c>
      <c r="V1923">
        <f>IF($U1923=1,SUMPRODUCT(--($X$2:$X$3001&lt;$X1923))+1,"")</f>
        <v/>
      </c>
      <c r="W1923">
        <f>IF($A1923="","",IF(OR($T1923=TRUE(),$T1923="TRUE"),1,0))</f>
        <v/>
      </c>
      <c r="X1923">
        <f>IF($U1923=1,IFERROR(IF(VALUE($A1923)&lt;100000000,VALUE($A1923),1000000000),IFERROR(IF(VALUE(MID($A1923,2,20))&lt;100000000,VALUE(MID($A1923,2,20)),1000000000),1000000000))+ROW()/100000,"")</f>
        <v/>
      </c>
    </row>
    <row r="1924">
      <c r="F1924" s="7">
        <f>IF($A1924="","",E1924*N1924/100)</f>
        <v/>
      </c>
      <c r="J1924" s="7" t="n"/>
      <c r="K1924" s="7">
        <f>IF($A1924="","",S1924*N1924)</f>
        <v/>
      </c>
      <c r="L1924" s="7">
        <f>IF($A1924="","",N1924-K1924)</f>
        <v/>
      </c>
      <c r="M1924" s="7">
        <f>IF($A1924="","",L1924-F1924)</f>
        <v/>
      </c>
      <c r="N1924" s="7" t="n"/>
      <c r="Q1924" s="11" t="n"/>
      <c r="S1924">
        <f>IF($A1924="","",IF($W1924=1,Settings!$C$6,Settings!$C$7)*1)</f>
        <v/>
      </c>
      <c r="U1924">
        <f>IF($A1924="","",IF(COUNTIF($A$2:$A1924,$A1924)=1,1,0))</f>
        <v/>
      </c>
      <c r="V1924">
        <f>IF($U1924=1,SUMPRODUCT(--($X$2:$X$3001&lt;$X1924))+1,"")</f>
        <v/>
      </c>
      <c r="W1924">
        <f>IF($A1924="","",IF(OR($T1924=TRUE(),$T1924="TRUE"),1,0))</f>
        <v/>
      </c>
      <c r="X1924">
        <f>IF($U1924=1,IFERROR(IF(VALUE($A1924)&lt;100000000,VALUE($A1924),1000000000),IFERROR(IF(VALUE(MID($A1924,2,20))&lt;100000000,VALUE(MID($A1924,2,20)),1000000000),1000000000))+ROW()/100000,"")</f>
        <v/>
      </c>
    </row>
    <row r="1925">
      <c r="F1925" s="7">
        <f>IF($A1925="","",E1925*N1925/100)</f>
        <v/>
      </c>
      <c r="J1925" s="7" t="n"/>
      <c r="K1925" s="7">
        <f>IF($A1925="","",S1925*N1925)</f>
        <v/>
      </c>
      <c r="L1925" s="7">
        <f>IF($A1925="","",N1925-K1925)</f>
        <v/>
      </c>
      <c r="M1925" s="7">
        <f>IF($A1925="","",L1925-F1925)</f>
        <v/>
      </c>
      <c r="N1925" s="7" t="n"/>
      <c r="Q1925" s="11" t="n"/>
      <c r="S1925">
        <f>IF($A1925="","",IF($W1925=1,Settings!$C$6,Settings!$C$7)*1)</f>
        <v/>
      </c>
      <c r="U1925">
        <f>IF($A1925="","",IF(COUNTIF($A$2:$A1925,$A1925)=1,1,0))</f>
        <v/>
      </c>
      <c r="V1925">
        <f>IF($U1925=1,SUMPRODUCT(--($X$2:$X$3001&lt;$X1925))+1,"")</f>
        <v/>
      </c>
      <c r="W1925">
        <f>IF($A1925="","",IF(OR($T1925=TRUE(),$T1925="TRUE"),1,0))</f>
        <v/>
      </c>
      <c r="X1925">
        <f>IF($U1925=1,IFERROR(IF(VALUE($A1925)&lt;100000000,VALUE($A1925),1000000000),IFERROR(IF(VALUE(MID($A1925,2,20))&lt;100000000,VALUE(MID($A1925,2,20)),1000000000),1000000000))+ROW()/100000,"")</f>
        <v/>
      </c>
    </row>
    <row r="1926">
      <c r="F1926" s="7">
        <f>IF($A1926="","",E1926*N1926/100)</f>
        <v/>
      </c>
      <c r="J1926" s="7" t="n"/>
      <c r="K1926" s="7">
        <f>IF($A1926="","",S1926*N1926)</f>
        <v/>
      </c>
      <c r="L1926" s="7">
        <f>IF($A1926="","",N1926-K1926)</f>
        <v/>
      </c>
      <c r="M1926" s="7">
        <f>IF($A1926="","",L1926-F1926)</f>
        <v/>
      </c>
      <c r="N1926" s="7" t="n"/>
      <c r="Q1926" s="11" t="n"/>
      <c r="S1926">
        <f>IF($A1926="","",IF($W1926=1,Settings!$C$6,Settings!$C$7)*1)</f>
        <v/>
      </c>
      <c r="U1926">
        <f>IF($A1926="","",IF(COUNTIF($A$2:$A1926,$A1926)=1,1,0))</f>
        <v/>
      </c>
      <c r="V1926">
        <f>IF($U1926=1,SUMPRODUCT(--($X$2:$X$3001&lt;$X1926))+1,"")</f>
        <v/>
      </c>
      <c r="W1926">
        <f>IF($A1926="","",IF(OR($T1926=TRUE(),$T1926="TRUE"),1,0))</f>
        <v/>
      </c>
      <c r="X1926">
        <f>IF($U1926=1,IFERROR(IF(VALUE($A1926)&lt;100000000,VALUE($A1926),1000000000),IFERROR(IF(VALUE(MID($A1926,2,20))&lt;100000000,VALUE(MID($A1926,2,20)),1000000000),1000000000))+ROW()/100000,"")</f>
        <v/>
      </c>
    </row>
    <row r="1927">
      <c r="F1927" s="7">
        <f>IF($A1927="","",E1927*N1927/100)</f>
        <v/>
      </c>
      <c r="J1927" s="7" t="n"/>
      <c r="K1927" s="7">
        <f>IF($A1927="","",S1927*N1927)</f>
        <v/>
      </c>
      <c r="L1927" s="7">
        <f>IF($A1927="","",N1927-K1927)</f>
        <v/>
      </c>
      <c r="M1927" s="7">
        <f>IF($A1927="","",L1927-F1927)</f>
        <v/>
      </c>
      <c r="N1927" s="7" t="n"/>
      <c r="Q1927" s="11" t="n"/>
      <c r="S1927">
        <f>IF($A1927="","",IF($W1927=1,Settings!$C$6,Settings!$C$7)*1)</f>
        <v/>
      </c>
      <c r="U1927">
        <f>IF($A1927="","",IF(COUNTIF($A$2:$A1927,$A1927)=1,1,0))</f>
        <v/>
      </c>
      <c r="V1927">
        <f>IF($U1927=1,SUMPRODUCT(--($X$2:$X$3001&lt;$X1927))+1,"")</f>
        <v/>
      </c>
      <c r="W1927">
        <f>IF($A1927="","",IF(OR($T1927=TRUE(),$T1927="TRUE"),1,0))</f>
        <v/>
      </c>
      <c r="X1927">
        <f>IF($U1927=1,IFERROR(IF(VALUE($A1927)&lt;100000000,VALUE($A1927),1000000000),IFERROR(IF(VALUE(MID($A1927,2,20))&lt;100000000,VALUE(MID($A1927,2,20)),1000000000),1000000000))+ROW()/100000,"")</f>
        <v/>
      </c>
    </row>
    <row r="1928">
      <c r="F1928" s="7">
        <f>IF($A1928="","",E1928*N1928/100)</f>
        <v/>
      </c>
      <c r="J1928" s="7" t="n"/>
      <c r="K1928" s="7">
        <f>IF($A1928="","",S1928*N1928)</f>
        <v/>
      </c>
      <c r="L1928" s="7">
        <f>IF($A1928="","",N1928-K1928)</f>
        <v/>
      </c>
      <c r="M1928" s="7">
        <f>IF($A1928="","",L1928-F1928)</f>
        <v/>
      </c>
      <c r="N1928" s="7" t="n"/>
      <c r="Q1928" s="11" t="n"/>
      <c r="S1928">
        <f>IF($A1928="","",IF($W1928=1,Settings!$C$6,Settings!$C$7)*1)</f>
        <v/>
      </c>
      <c r="U1928">
        <f>IF($A1928="","",IF(COUNTIF($A$2:$A1928,$A1928)=1,1,0))</f>
        <v/>
      </c>
      <c r="V1928">
        <f>IF($U1928=1,SUMPRODUCT(--($X$2:$X$3001&lt;$X1928))+1,"")</f>
        <v/>
      </c>
      <c r="W1928">
        <f>IF($A1928="","",IF(OR($T1928=TRUE(),$T1928="TRUE"),1,0))</f>
        <v/>
      </c>
      <c r="X1928">
        <f>IF($U1928=1,IFERROR(IF(VALUE($A1928)&lt;100000000,VALUE($A1928),1000000000),IFERROR(IF(VALUE(MID($A1928,2,20))&lt;100000000,VALUE(MID($A1928,2,20)),1000000000),1000000000))+ROW()/100000,"")</f>
        <v/>
      </c>
    </row>
    <row r="1929">
      <c r="F1929" s="7">
        <f>IF($A1929="","",E1929*N1929/100)</f>
        <v/>
      </c>
      <c r="J1929" s="7" t="n"/>
      <c r="K1929" s="7">
        <f>IF($A1929="","",S1929*N1929)</f>
        <v/>
      </c>
      <c r="L1929" s="7">
        <f>IF($A1929="","",N1929-K1929)</f>
        <v/>
      </c>
      <c r="M1929" s="7">
        <f>IF($A1929="","",L1929-F1929)</f>
        <v/>
      </c>
      <c r="N1929" s="7" t="n"/>
      <c r="Q1929" s="11" t="n"/>
      <c r="S1929">
        <f>IF($A1929="","",IF($W1929=1,Settings!$C$6,Settings!$C$7)*1)</f>
        <v/>
      </c>
      <c r="U1929">
        <f>IF($A1929="","",IF(COUNTIF($A$2:$A1929,$A1929)=1,1,0))</f>
        <v/>
      </c>
      <c r="V1929">
        <f>IF($U1929=1,SUMPRODUCT(--($X$2:$X$3001&lt;$X1929))+1,"")</f>
        <v/>
      </c>
      <c r="W1929">
        <f>IF($A1929="","",IF(OR($T1929=TRUE(),$T1929="TRUE"),1,0))</f>
        <v/>
      </c>
      <c r="X1929">
        <f>IF($U1929=1,IFERROR(IF(VALUE($A1929)&lt;100000000,VALUE($A1929),1000000000),IFERROR(IF(VALUE(MID($A1929,2,20))&lt;100000000,VALUE(MID($A1929,2,20)),1000000000),1000000000))+ROW()/100000,"")</f>
        <v/>
      </c>
    </row>
    <row r="1930">
      <c r="F1930" s="7">
        <f>IF($A1930="","",E1930*N1930/100)</f>
        <v/>
      </c>
      <c r="J1930" s="7" t="n"/>
      <c r="K1930" s="7">
        <f>IF($A1930="","",S1930*N1930)</f>
        <v/>
      </c>
      <c r="L1930" s="7">
        <f>IF($A1930="","",N1930-K1930)</f>
        <v/>
      </c>
      <c r="M1930" s="7">
        <f>IF($A1930="","",L1930-F1930)</f>
        <v/>
      </c>
      <c r="N1930" s="7" t="n"/>
      <c r="Q1930" s="11" t="n"/>
      <c r="S1930">
        <f>IF($A1930="","",IF($W1930=1,Settings!$C$6,Settings!$C$7)*1)</f>
        <v/>
      </c>
      <c r="U1930">
        <f>IF($A1930="","",IF(COUNTIF($A$2:$A1930,$A1930)=1,1,0))</f>
        <v/>
      </c>
      <c r="V1930">
        <f>IF($U1930=1,SUMPRODUCT(--($X$2:$X$3001&lt;$X1930))+1,"")</f>
        <v/>
      </c>
      <c r="W1930">
        <f>IF($A1930="","",IF(OR($T1930=TRUE(),$T1930="TRUE"),1,0))</f>
        <v/>
      </c>
      <c r="X1930">
        <f>IF($U1930=1,IFERROR(IF(VALUE($A1930)&lt;100000000,VALUE($A1930),1000000000),IFERROR(IF(VALUE(MID($A1930,2,20))&lt;100000000,VALUE(MID($A1930,2,20)),1000000000),1000000000))+ROW()/100000,"")</f>
        <v/>
      </c>
    </row>
    <row r="1931">
      <c r="F1931" s="7">
        <f>IF($A1931="","",E1931*N1931/100)</f>
        <v/>
      </c>
      <c r="J1931" s="7" t="n"/>
      <c r="K1931" s="7">
        <f>IF($A1931="","",S1931*N1931)</f>
        <v/>
      </c>
      <c r="L1931" s="7">
        <f>IF($A1931="","",N1931-K1931)</f>
        <v/>
      </c>
      <c r="M1931" s="7">
        <f>IF($A1931="","",L1931-F1931)</f>
        <v/>
      </c>
      <c r="N1931" s="7" t="n"/>
      <c r="Q1931" s="11" t="n"/>
      <c r="S1931">
        <f>IF($A1931="","",IF($W1931=1,Settings!$C$6,Settings!$C$7)*1)</f>
        <v/>
      </c>
      <c r="U1931">
        <f>IF($A1931="","",IF(COUNTIF($A$2:$A1931,$A1931)=1,1,0))</f>
        <v/>
      </c>
      <c r="V1931">
        <f>IF($U1931=1,SUMPRODUCT(--($X$2:$X$3001&lt;$X1931))+1,"")</f>
        <v/>
      </c>
      <c r="W1931">
        <f>IF($A1931="","",IF(OR($T1931=TRUE(),$T1931="TRUE"),1,0))</f>
        <v/>
      </c>
      <c r="X1931">
        <f>IF($U1931=1,IFERROR(IF(VALUE($A1931)&lt;100000000,VALUE($A1931),1000000000),IFERROR(IF(VALUE(MID($A1931,2,20))&lt;100000000,VALUE(MID($A1931,2,20)),1000000000),1000000000))+ROW()/100000,"")</f>
        <v/>
      </c>
    </row>
    <row r="1932">
      <c r="F1932" s="7">
        <f>IF($A1932="","",E1932*N1932/100)</f>
        <v/>
      </c>
      <c r="J1932" s="7" t="n"/>
      <c r="K1932" s="7">
        <f>IF($A1932="","",S1932*N1932)</f>
        <v/>
      </c>
      <c r="L1932" s="7">
        <f>IF($A1932="","",N1932-K1932)</f>
        <v/>
      </c>
      <c r="M1932" s="7">
        <f>IF($A1932="","",L1932-F1932)</f>
        <v/>
      </c>
      <c r="N1932" s="7" t="n"/>
      <c r="Q1932" s="11" t="n"/>
      <c r="S1932">
        <f>IF($A1932="","",IF($W1932=1,Settings!$C$6,Settings!$C$7)*1)</f>
        <v/>
      </c>
      <c r="U1932">
        <f>IF($A1932="","",IF(COUNTIF($A$2:$A1932,$A1932)=1,1,0))</f>
        <v/>
      </c>
      <c r="V1932">
        <f>IF($U1932=1,SUMPRODUCT(--($X$2:$X$3001&lt;$X1932))+1,"")</f>
        <v/>
      </c>
      <c r="W1932">
        <f>IF($A1932="","",IF(OR($T1932=TRUE(),$T1932="TRUE"),1,0))</f>
        <v/>
      </c>
      <c r="X1932">
        <f>IF($U1932=1,IFERROR(IF(VALUE($A1932)&lt;100000000,VALUE($A1932),1000000000),IFERROR(IF(VALUE(MID($A1932,2,20))&lt;100000000,VALUE(MID($A1932,2,20)),1000000000),1000000000))+ROW()/100000,"")</f>
        <v/>
      </c>
    </row>
    <row r="1933">
      <c r="F1933" s="7">
        <f>IF($A1933="","",E1933*N1933/100)</f>
        <v/>
      </c>
      <c r="J1933" s="7" t="n"/>
      <c r="K1933" s="7">
        <f>IF($A1933="","",S1933*N1933)</f>
        <v/>
      </c>
      <c r="L1933" s="7">
        <f>IF($A1933="","",N1933-K1933)</f>
        <v/>
      </c>
      <c r="M1933" s="7">
        <f>IF($A1933="","",L1933-F1933)</f>
        <v/>
      </c>
      <c r="N1933" s="7" t="n"/>
      <c r="Q1933" s="11" t="n"/>
      <c r="S1933">
        <f>IF($A1933="","",IF($W1933=1,Settings!$C$6,Settings!$C$7)*1)</f>
        <v/>
      </c>
      <c r="U1933">
        <f>IF($A1933="","",IF(COUNTIF($A$2:$A1933,$A1933)=1,1,0))</f>
        <v/>
      </c>
      <c r="V1933">
        <f>IF($U1933=1,SUMPRODUCT(--($X$2:$X$3001&lt;$X1933))+1,"")</f>
        <v/>
      </c>
      <c r="W1933">
        <f>IF($A1933="","",IF(OR($T1933=TRUE(),$T1933="TRUE"),1,0))</f>
        <v/>
      </c>
      <c r="X1933">
        <f>IF($U1933=1,IFERROR(IF(VALUE($A1933)&lt;100000000,VALUE($A1933),1000000000),IFERROR(IF(VALUE(MID($A1933,2,20))&lt;100000000,VALUE(MID($A1933,2,20)),1000000000),1000000000))+ROW()/100000,"")</f>
        <v/>
      </c>
    </row>
    <row r="1934">
      <c r="F1934" s="7">
        <f>IF($A1934="","",E1934*N1934/100)</f>
        <v/>
      </c>
      <c r="J1934" s="7" t="n"/>
      <c r="K1934" s="7">
        <f>IF($A1934="","",S1934*N1934)</f>
        <v/>
      </c>
      <c r="L1934" s="7">
        <f>IF($A1934="","",N1934-K1934)</f>
        <v/>
      </c>
      <c r="M1934" s="7">
        <f>IF($A1934="","",L1934-F1934)</f>
        <v/>
      </c>
      <c r="N1934" s="7" t="n"/>
      <c r="Q1934" s="11" t="n"/>
      <c r="S1934">
        <f>IF($A1934="","",IF($W1934=1,Settings!$C$6,Settings!$C$7)*1)</f>
        <v/>
      </c>
      <c r="U1934">
        <f>IF($A1934="","",IF(COUNTIF($A$2:$A1934,$A1934)=1,1,0))</f>
        <v/>
      </c>
      <c r="V1934">
        <f>IF($U1934=1,SUMPRODUCT(--($X$2:$X$3001&lt;$X1934))+1,"")</f>
        <v/>
      </c>
      <c r="W1934">
        <f>IF($A1934="","",IF(OR($T1934=TRUE(),$T1934="TRUE"),1,0))</f>
        <v/>
      </c>
      <c r="X1934">
        <f>IF($U1934=1,IFERROR(IF(VALUE($A1934)&lt;100000000,VALUE($A1934),1000000000),IFERROR(IF(VALUE(MID($A1934,2,20))&lt;100000000,VALUE(MID($A1934,2,20)),1000000000),1000000000))+ROW()/100000,"")</f>
        <v/>
      </c>
    </row>
    <row r="1935">
      <c r="F1935" s="7">
        <f>IF($A1935="","",E1935*N1935/100)</f>
        <v/>
      </c>
      <c r="J1935" s="7" t="n"/>
      <c r="K1935" s="7">
        <f>IF($A1935="","",S1935*N1935)</f>
        <v/>
      </c>
      <c r="L1935" s="7">
        <f>IF($A1935="","",N1935-K1935)</f>
        <v/>
      </c>
      <c r="M1935" s="7">
        <f>IF($A1935="","",L1935-F1935)</f>
        <v/>
      </c>
      <c r="N1935" s="7" t="n"/>
      <c r="Q1935" s="11" t="n"/>
      <c r="S1935">
        <f>IF($A1935="","",IF($W1935=1,Settings!$C$6,Settings!$C$7)*1)</f>
        <v/>
      </c>
      <c r="U1935">
        <f>IF($A1935="","",IF(COUNTIF($A$2:$A1935,$A1935)=1,1,0))</f>
        <v/>
      </c>
      <c r="V1935">
        <f>IF($U1935=1,SUMPRODUCT(--($X$2:$X$3001&lt;$X1935))+1,"")</f>
        <v/>
      </c>
      <c r="W1935">
        <f>IF($A1935="","",IF(OR($T1935=TRUE(),$T1935="TRUE"),1,0))</f>
        <v/>
      </c>
      <c r="X1935">
        <f>IF($U1935=1,IFERROR(IF(VALUE($A1935)&lt;100000000,VALUE($A1935),1000000000),IFERROR(IF(VALUE(MID($A1935,2,20))&lt;100000000,VALUE(MID($A1935,2,20)),1000000000),1000000000))+ROW()/100000,"")</f>
        <v/>
      </c>
    </row>
    <row r="1936">
      <c r="F1936" s="7">
        <f>IF($A1936="","",E1936*N1936/100)</f>
        <v/>
      </c>
      <c r="J1936" s="7" t="n"/>
      <c r="K1936" s="7">
        <f>IF($A1936="","",S1936*N1936)</f>
        <v/>
      </c>
      <c r="L1936" s="7">
        <f>IF($A1936="","",N1936-K1936)</f>
        <v/>
      </c>
      <c r="M1936" s="7">
        <f>IF($A1936="","",L1936-F1936)</f>
        <v/>
      </c>
      <c r="N1936" s="7" t="n"/>
      <c r="Q1936" s="11" t="n"/>
      <c r="S1936">
        <f>IF($A1936="","",IF($W1936=1,Settings!$C$6,Settings!$C$7)*1)</f>
        <v/>
      </c>
      <c r="U1936">
        <f>IF($A1936="","",IF(COUNTIF($A$2:$A1936,$A1936)=1,1,0))</f>
        <v/>
      </c>
      <c r="V1936">
        <f>IF($U1936=1,SUMPRODUCT(--($X$2:$X$3001&lt;$X1936))+1,"")</f>
        <v/>
      </c>
      <c r="W1936">
        <f>IF($A1936="","",IF(OR($T1936=TRUE(),$T1936="TRUE"),1,0))</f>
        <v/>
      </c>
      <c r="X1936">
        <f>IF($U1936=1,IFERROR(IF(VALUE($A1936)&lt;100000000,VALUE($A1936),1000000000),IFERROR(IF(VALUE(MID($A1936,2,20))&lt;100000000,VALUE(MID($A1936,2,20)),1000000000),1000000000))+ROW()/100000,"")</f>
        <v/>
      </c>
    </row>
    <row r="1937">
      <c r="F1937" s="7">
        <f>IF($A1937="","",E1937*N1937/100)</f>
        <v/>
      </c>
      <c r="J1937" s="7" t="n"/>
      <c r="K1937" s="7">
        <f>IF($A1937="","",S1937*N1937)</f>
        <v/>
      </c>
      <c r="L1937" s="7">
        <f>IF($A1937="","",N1937-K1937)</f>
        <v/>
      </c>
      <c r="M1937" s="7">
        <f>IF($A1937="","",L1937-F1937)</f>
        <v/>
      </c>
      <c r="N1937" s="7" t="n"/>
      <c r="Q1937" s="11" t="n"/>
      <c r="S1937">
        <f>IF($A1937="","",IF($W1937=1,Settings!$C$6,Settings!$C$7)*1)</f>
        <v/>
      </c>
      <c r="U1937">
        <f>IF($A1937="","",IF(COUNTIF($A$2:$A1937,$A1937)=1,1,0))</f>
        <v/>
      </c>
      <c r="V1937">
        <f>IF($U1937=1,SUMPRODUCT(--($X$2:$X$3001&lt;$X1937))+1,"")</f>
        <v/>
      </c>
      <c r="W1937">
        <f>IF($A1937="","",IF(OR($T1937=TRUE(),$T1937="TRUE"),1,0))</f>
        <v/>
      </c>
      <c r="X1937">
        <f>IF($U1937=1,IFERROR(IF(VALUE($A1937)&lt;100000000,VALUE($A1937),1000000000),IFERROR(IF(VALUE(MID($A1937,2,20))&lt;100000000,VALUE(MID($A1937,2,20)),1000000000),1000000000))+ROW()/100000,"")</f>
        <v/>
      </c>
    </row>
    <row r="1938">
      <c r="F1938" s="7">
        <f>IF($A1938="","",E1938*N1938/100)</f>
        <v/>
      </c>
      <c r="J1938" s="7" t="n"/>
      <c r="K1938" s="7">
        <f>IF($A1938="","",S1938*N1938)</f>
        <v/>
      </c>
      <c r="L1938" s="7">
        <f>IF($A1938="","",N1938-K1938)</f>
        <v/>
      </c>
      <c r="M1938" s="7">
        <f>IF($A1938="","",L1938-F1938)</f>
        <v/>
      </c>
      <c r="N1938" s="7" t="n"/>
      <c r="Q1938" s="11" t="n"/>
      <c r="S1938">
        <f>IF($A1938="","",IF($W1938=1,Settings!$C$6,Settings!$C$7)*1)</f>
        <v/>
      </c>
      <c r="U1938">
        <f>IF($A1938="","",IF(COUNTIF($A$2:$A1938,$A1938)=1,1,0))</f>
        <v/>
      </c>
      <c r="V1938">
        <f>IF($U1938=1,SUMPRODUCT(--($X$2:$X$3001&lt;$X1938))+1,"")</f>
        <v/>
      </c>
      <c r="W1938">
        <f>IF($A1938="","",IF(OR($T1938=TRUE(),$T1938="TRUE"),1,0))</f>
        <v/>
      </c>
      <c r="X1938">
        <f>IF($U1938=1,IFERROR(IF(VALUE($A1938)&lt;100000000,VALUE($A1938),1000000000),IFERROR(IF(VALUE(MID($A1938,2,20))&lt;100000000,VALUE(MID($A1938,2,20)),1000000000),1000000000))+ROW()/100000,"")</f>
        <v/>
      </c>
    </row>
    <row r="1939">
      <c r="F1939" s="7">
        <f>IF($A1939="","",E1939*N1939/100)</f>
        <v/>
      </c>
      <c r="J1939" s="7" t="n"/>
      <c r="K1939" s="7">
        <f>IF($A1939="","",S1939*N1939)</f>
        <v/>
      </c>
      <c r="L1939" s="7">
        <f>IF($A1939="","",N1939-K1939)</f>
        <v/>
      </c>
      <c r="M1939" s="7">
        <f>IF($A1939="","",L1939-F1939)</f>
        <v/>
      </c>
      <c r="N1939" s="7" t="n"/>
      <c r="Q1939" s="11" t="n"/>
      <c r="S1939">
        <f>IF($A1939="","",IF($W1939=1,Settings!$C$6,Settings!$C$7)*1)</f>
        <v/>
      </c>
      <c r="U1939">
        <f>IF($A1939="","",IF(COUNTIF($A$2:$A1939,$A1939)=1,1,0))</f>
        <v/>
      </c>
      <c r="V1939">
        <f>IF($U1939=1,SUMPRODUCT(--($X$2:$X$3001&lt;$X1939))+1,"")</f>
        <v/>
      </c>
      <c r="W1939">
        <f>IF($A1939="","",IF(OR($T1939=TRUE(),$T1939="TRUE"),1,0))</f>
        <v/>
      </c>
      <c r="X1939">
        <f>IF($U1939=1,IFERROR(IF(VALUE($A1939)&lt;100000000,VALUE($A1939),1000000000),IFERROR(IF(VALUE(MID($A1939,2,20))&lt;100000000,VALUE(MID($A1939,2,20)),1000000000),1000000000))+ROW()/100000,"")</f>
        <v/>
      </c>
    </row>
    <row r="1940">
      <c r="F1940" s="7">
        <f>IF($A1940="","",E1940*N1940/100)</f>
        <v/>
      </c>
      <c r="J1940" s="7" t="n"/>
      <c r="K1940" s="7">
        <f>IF($A1940="","",S1940*N1940)</f>
        <v/>
      </c>
      <c r="L1940" s="7">
        <f>IF($A1940="","",N1940-K1940)</f>
        <v/>
      </c>
      <c r="M1940" s="7">
        <f>IF($A1940="","",L1940-F1940)</f>
        <v/>
      </c>
      <c r="N1940" s="7" t="n"/>
      <c r="Q1940" s="11" t="n"/>
      <c r="S1940">
        <f>IF($A1940="","",IF($W1940=1,Settings!$C$6,Settings!$C$7)*1)</f>
        <v/>
      </c>
      <c r="U1940">
        <f>IF($A1940="","",IF(COUNTIF($A$2:$A1940,$A1940)=1,1,0))</f>
        <v/>
      </c>
      <c r="V1940">
        <f>IF($U1940=1,SUMPRODUCT(--($X$2:$X$3001&lt;$X1940))+1,"")</f>
        <v/>
      </c>
      <c r="W1940">
        <f>IF($A1940="","",IF(OR($T1940=TRUE(),$T1940="TRUE"),1,0))</f>
        <v/>
      </c>
      <c r="X1940">
        <f>IF($U1940=1,IFERROR(IF(VALUE($A1940)&lt;100000000,VALUE($A1940),1000000000),IFERROR(IF(VALUE(MID($A1940,2,20))&lt;100000000,VALUE(MID($A1940,2,20)),1000000000),1000000000))+ROW()/100000,"")</f>
        <v/>
      </c>
    </row>
    <row r="1941">
      <c r="F1941" s="7">
        <f>IF($A1941="","",E1941*N1941/100)</f>
        <v/>
      </c>
      <c r="J1941" s="7" t="n"/>
      <c r="K1941" s="7">
        <f>IF($A1941="","",S1941*N1941)</f>
        <v/>
      </c>
      <c r="L1941" s="7">
        <f>IF($A1941="","",N1941-K1941)</f>
        <v/>
      </c>
      <c r="M1941" s="7">
        <f>IF($A1941="","",L1941-F1941)</f>
        <v/>
      </c>
      <c r="N1941" s="7" t="n"/>
      <c r="Q1941" s="11" t="n"/>
      <c r="S1941">
        <f>IF($A1941="","",IF($W1941=1,Settings!$C$6,Settings!$C$7)*1)</f>
        <v/>
      </c>
      <c r="U1941">
        <f>IF($A1941="","",IF(COUNTIF($A$2:$A1941,$A1941)=1,1,0))</f>
        <v/>
      </c>
      <c r="V1941">
        <f>IF($U1941=1,SUMPRODUCT(--($X$2:$X$3001&lt;$X1941))+1,"")</f>
        <v/>
      </c>
      <c r="W1941">
        <f>IF($A1941="","",IF(OR($T1941=TRUE(),$T1941="TRUE"),1,0))</f>
        <v/>
      </c>
      <c r="X1941">
        <f>IF($U1941=1,IFERROR(IF(VALUE($A1941)&lt;100000000,VALUE($A1941),1000000000),IFERROR(IF(VALUE(MID($A1941,2,20))&lt;100000000,VALUE(MID($A1941,2,20)),1000000000),1000000000))+ROW()/100000,"")</f>
        <v/>
      </c>
    </row>
    <row r="1942">
      <c r="F1942" s="7">
        <f>IF($A1942="","",E1942*N1942/100)</f>
        <v/>
      </c>
      <c r="J1942" s="7" t="n"/>
      <c r="K1942" s="7">
        <f>IF($A1942="","",S1942*N1942)</f>
        <v/>
      </c>
      <c r="L1942" s="7">
        <f>IF($A1942="","",N1942-K1942)</f>
        <v/>
      </c>
      <c r="M1942" s="7">
        <f>IF($A1942="","",L1942-F1942)</f>
        <v/>
      </c>
      <c r="N1942" s="7" t="n"/>
      <c r="Q1942" s="11" t="n"/>
      <c r="S1942">
        <f>IF($A1942="","",IF($W1942=1,Settings!$C$6,Settings!$C$7)*1)</f>
        <v/>
      </c>
      <c r="U1942">
        <f>IF($A1942="","",IF(COUNTIF($A$2:$A1942,$A1942)=1,1,0))</f>
        <v/>
      </c>
      <c r="V1942">
        <f>IF($U1942=1,SUMPRODUCT(--($X$2:$X$3001&lt;$X1942))+1,"")</f>
        <v/>
      </c>
      <c r="W1942">
        <f>IF($A1942="","",IF(OR($T1942=TRUE(),$T1942="TRUE"),1,0))</f>
        <v/>
      </c>
      <c r="X1942">
        <f>IF($U1942=1,IFERROR(IF(VALUE($A1942)&lt;100000000,VALUE($A1942),1000000000),IFERROR(IF(VALUE(MID($A1942,2,20))&lt;100000000,VALUE(MID($A1942,2,20)),1000000000),1000000000))+ROW()/100000,"")</f>
        <v/>
      </c>
    </row>
    <row r="1943">
      <c r="F1943" s="7">
        <f>IF($A1943="","",E1943*N1943/100)</f>
        <v/>
      </c>
      <c r="J1943" s="7" t="n"/>
      <c r="K1943" s="7">
        <f>IF($A1943="","",S1943*N1943)</f>
        <v/>
      </c>
      <c r="L1943" s="7">
        <f>IF($A1943="","",N1943-K1943)</f>
        <v/>
      </c>
      <c r="M1943" s="7">
        <f>IF($A1943="","",L1943-F1943)</f>
        <v/>
      </c>
      <c r="N1943" s="7" t="n"/>
      <c r="Q1943" s="11" t="n"/>
      <c r="S1943">
        <f>IF($A1943="","",IF($W1943=1,Settings!$C$6,Settings!$C$7)*1)</f>
        <v/>
      </c>
      <c r="U1943">
        <f>IF($A1943="","",IF(COUNTIF($A$2:$A1943,$A1943)=1,1,0))</f>
        <v/>
      </c>
      <c r="V1943">
        <f>IF($U1943=1,SUMPRODUCT(--($X$2:$X$3001&lt;$X1943))+1,"")</f>
        <v/>
      </c>
      <c r="W1943">
        <f>IF($A1943="","",IF(OR($T1943=TRUE(),$T1943="TRUE"),1,0))</f>
        <v/>
      </c>
      <c r="X1943">
        <f>IF($U1943=1,IFERROR(IF(VALUE($A1943)&lt;100000000,VALUE($A1943),1000000000),IFERROR(IF(VALUE(MID($A1943,2,20))&lt;100000000,VALUE(MID($A1943,2,20)),1000000000),1000000000))+ROW()/100000,"")</f>
        <v/>
      </c>
    </row>
    <row r="1944">
      <c r="F1944" s="7">
        <f>IF($A1944="","",E1944*N1944/100)</f>
        <v/>
      </c>
      <c r="J1944" s="7" t="n"/>
      <c r="K1944" s="7">
        <f>IF($A1944="","",S1944*N1944)</f>
        <v/>
      </c>
      <c r="L1944" s="7">
        <f>IF($A1944="","",N1944-K1944)</f>
        <v/>
      </c>
      <c r="M1944" s="7">
        <f>IF($A1944="","",L1944-F1944)</f>
        <v/>
      </c>
      <c r="N1944" s="7" t="n"/>
      <c r="Q1944" s="11" t="n"/>
      <c r="S1944">
        <f>IF($A1944="","",IF($W1944=1,Settings!$C$6,Settings!$C$7)*1)</f>
        <v/>
      </c>
      <c r="U1944">
        <f>IF($A1944="","",IF(COUNTIF($A$2:$A1944,$A1944)=1,1,0))</f>
        <v/>
      </c>
      <c r="V1944">
        <f>IF($U1944=1,SUMPRODUCT(--($X$2:$X$3001&lt;$X1944))+1,"")</f>
        <v/>
      </c>
      <c r="W1944">
        <f>IF($A1944="","",IF(OR($T1944=TRUE(),$T1944="TRUE"),1,0))</f>
        <v/>
      </c>
      <c r="X1944">
        <f>IF($U1944=1,IFERROR(IF(VALUE($A1944)&lt;100000000,VALUE($A1944),1000000000),IFERROR(IF(VALUE(MID($A1944,2,20))&lt;100000000,VALUE(MID($A1944,2,20)),1000000000),1000000000))+ROW()/100000,"")</f>
        <v/>
      </c>
    </row>
    <row r="1945">
      <c r="F1945" s="7">
        <f>IF($A1945="","",E1945*N1945/100)</f>
        <v/>
      </c>
      <c r="J1945" s="7" t="n"/>
      <c r="K1945" s="7">
        <f>IF($A1945="","",S1945*N1945)</f>
        <v/>
      </c>
      <c r="L1945" s="7">
        <f>IF($A1945="","",N1945-K1945)</f>
        <v/>
      </c>
      <c r="M1945" s="7">
        <f>IF($A1945="","",L1945-F1945)</f>
        <v/>
      </c>
      <c r="N1945" s="7" t="n"/>
      <c r="Q1945" s="11" t="n"/>
      <c r="S1945">
        <f>IF($A1945="","",IF($W1945=1,Settings!$C$6,Settings!$C$7)*1)</f>
        <v/>
      </c>
      <c r="U1945">
        <f>IF($A1945="","",IF(COUNTIF($A$2:$A1945,$A1945)=1,1,0))</f>
        <v/>
      </c>
      <c r="V1945">
        <f>IF($U1945=1,SUMPRODUCT(--($X$2:$X$3001&lt;$X1945))+1,"")</f>
        <v/>
      </c>
      <c r="W1945">
        <f>IF($A1945="","",IF(OR($T1945=TRUE(),$T1945="TRUE"),1,0))</f>
        <v/>
      </c>
      <c r="X1945">
        <f>IF($U1945=1,IFERROR(IF(VALUE($A1945)&lt;100000000,VALUE($A1945),1000000000),IFERROR(IF(VALUE(MID($A1945,2,20))&lt;100000000,VALUE(MID($A1945,2,20)),1000000000),1000000000))+ROW()/100000,"")</f>
        <v/>
      </c>
    </row>
    <row r="1946">
      <c r="F1946" s="7">
        <f>IF($A1946="","",E1946*N1946/100)</f>
        <v/>
      </c>
      <c r="J1946" s="7" t="n"/>
      <c r="K1946" s="7">
        <f>IF($A1946="","",S1946*N1946)</f>
        <v/>
      </c>
      <c r="L1946" s="7">
        <f>IF($A1946="","",N1946-K1946)</f>
        <v/>
      </c>
      <c r="M1946" s="7">
        <f>IF($A1946="","",L1946-F1946)</f>
        <v/>
      </c>
      <c r="N1946" s="7" t="n"/>
      <c r="Q1946" s="11" t="n"/>
      <c r="S1946">
        <f>IF($A1946="","",IF($W1946=1,Settings!$C$6,Settings!$C$7)*1)</f>
        <v/>
      </c>
      <c r="U1946">
        <f>IF($A1946="","",IF(COUNTIF($A$2:$A1946,$A1946)=1,1,0))</f>
        <v/>
      </c>
      <c r="V1946">
        <f>IF($U1946=1,SUMPRODUCT(--($X$2:$X$3001&lt;$X1946))+1,"")</f>
        <v/>
      </c>
      <c r="W1946">
        <f>IF($A1946="","",IF(OR($T1946=TRUE(),$T1946="TRUE"),1,0))</f>
        <v/>
      </c>
      <c r="X1946">
        <f>IF($U1946=1,IFERROR(IF(VALUE($A1946)&lt;100000000,VALUE($A1946),1000000000),IFERROR(IF(VALUE(MID($A1946,2,20))&lt;100000000,VALUE(MID($A1946,2,20)),1000000000),1000000000))+ROW()/100000,"")</f>
        <v/>
      </c>
    </row>
    <row r="1947">
      <c r="F1947" s="7">
        <f>IF($A1947="","",E1947*N1947/100)</f>
        <v/>
      </c>
      <c r="J1947" s="7" t="n"/>
      <c r="K1947" s="7">
        <f>IF($A1947="","",S1947*N1947)</f>
        <v/>
      </c>
      <c r="L1947" s="7">
        <f>IF($A1947="","",N1947-K1947)</f>
        <v/>
      </c>
      <c r="M1947" s="7">
        <f>IF($A1947="","",L1947-F1947)</f>
        <v/>
      </c>
      <c r="N1947" s="7" t="n"/>
      <c r="Q1947" s="11" t="n"/>
      <c r="S1947">
        <f>IF($A1947="","",IF($W1947=1,Settings!$C$6,Settings!$C$7)*1)</f>
        <v/>
      </c>
      <c r="U1947">
        <f>IF($A1947="","",IF(COUNTIF($A$2:$A1947,$A1947)=1,1,0))</f>
        <v/>
      </c>
      <c r="V1947">
        <f>IF($U1947=1,SUMPRODUCT(--($X$2:$X$3001&lt;$X1947))+1,"")</f>
        <v/>
      </c>
      <c r="W1947">
        <f>IF($A1947="","",IF(OR($T1947=TRUE(),$T1947="TRUE"),1,0))</f>
        <v/>
      </c>
      <c r="X1947">
        <f>IF($U1947=1,IFERROR(IF(VALUE($A1947)&lt;100000000,VALUE($A1947),1000000000),IFERROR(IF(VALUE(MID($A1947,2,20))&lt;100000000,VALUE(MID($A1947,2,20)),1000000000),1000000000))+ROW()/100000,"")</f>
        <v/>
      </c>
    </row>
    <row r="1948">
      <c r="F1948" s="7">
        <f>IF($A1948="","",E1948*N1948/100)</f>
        <v/>
      </c>
      <c r="J1948" s="7" t="n"/>
      <c r="K1948" s="7">
        <f>IF($A1948="","",S1948*N1948)</f>
        <v/>
      </c>
      <c r="L1948" s="7">
        <f>IF($A1948="","",N1948-K1948)</f>
        <v/>
      </c>
      <c r="M1948" s="7">
        <f>IF($A1948="","",L1948-F1948)</f>
        <v/>
      </c>
      <c r="N1948" s="7" t="n"/>
      <c r="Q1948" s="11" t="n"/>
      <c r="S1948">
        <f>IF($A1948="","",IF($W1948=1,Settings!$C$6,Settings!$C$7)*1)</f>
        <v/>
      </c>
      <c r="U1948">
        <f>IF($A1948="","",IF(COUNTIF($A$2:$A1948,$A1948)=1,1,0))</f>
        <v/>
      </c>
      <c r="V1948">
        <f>IF($U1948=1,SUMPRODUCT(--($X$2:$X$3001&lt;$X1948))+1,"")</f>
        <v/>
      </c>
      <c r="W1948">
        <f>IF($A1948="","",IF(OR($T1948=TRUE(),$T1948="TRUE"),1,0))</f>
        <v/>
      </c>
      <c r="X1948">
        <f>IF($U1948=1,IFERROR(IF(VALUE($A1948)&lt;100000000,VALUE($A1948),1000000000),IFERROR(IF(VALUE(MID($A1948,2,20))&lt;100000000,VALUE(MID($A1948,2,20)),1000000000),1000000000))+ROW()/100000,"")</f>
        <v/>
      </c>
    </row>
    <row r="1949">
      <c r="F1949" s="7">
        <f>IF($A1949="","",E1949*N1949/100)</f>
        <v/>
      </c>
      <c r="J1949" s="7" t="n"/>
      <c r="K1949" s="7">
        <f>IF($A1949="","",S1949*N1949)</f>
        <v/>
      </c>
      <c r="L1949" s="7">
        <f>IF($A1949="","",N1949-K1949)</f>
        <v/>
      </c>
      <c r="M1949" s="7">
        <f>IF($A1949="","",L1949-F1949)</f>
        <v/>
      </c>
      <c r="N1949" s="7" t="n"/>
      <c r="Q1949" s="11" t="n"/>
      <c r="S1949">
        <f>IF($A1949="","",IF($W1949=1,Settings!$C$6,Settings!$C$7)*1)</f>
        <v/>
      </c>
      <c r="U1949">
        <f>IF($A1949="","",IF(COUNTIF($A$2:$A1949,$A1949)=1,1,0))</f>
        <v/>
      </c>
      <c r="V1949">
        <f>IF($U1949=1,SUMPRODUCT(--($X$2:$X$3001&lt;$X1949))+1,"")</f>
        <v/>
      </c>
      <c r="W1949">
        <f>IF($A1949="","",IF(OR($T1949=TRUE(),$T1949="TRUE"),1,0))</f>
        <v/>
      </c>
      <c r="X1949">
        <f>IF($U1949=1,IFERROR(IF(VALUE($A1949)&lt;100000000,VALUE($A1949),1000000000),IFERROR(IF(VALUE(MID($A1949,2,20))&lt;100000000,VALUE(MID($A1949,2,20)),1000000000),1000000000))+ROW()/100000,"")</f>
        <v/>
      </c>
    </row>
    <row r="1950">
      <c r="F1950" s="7">
        <f>IF($A1950="","",E1950*N1950/100)</f>
        <v/>
      </c>
      <c r="J1950" s="7" t="n"/>
      <c r="K1950" s="7">
        <f>IF($A1950="","",S1950*N1950)</f>
        <v/>
      </c>
      <c r="L1950" s="7">
        <f>IF($A1950="","",N1950-K1950)</f>
        <v/>
      </c>
      <c r="M1950" s="7">
        <f>IF($A1950="","",L1950-F1950)</f>
        <v/>
      </c>
      <c r="N1950" s="7" t="n"/>
      <c r="Q1950" s="11" t="n"/>
      <c r="S1950">
        <f>IF($A1950="","",IF($W1950=1,Settings!$C$6,Settings!$C$7)*1)</f>
        <v/>
      </c>
      <c r="U1950">
        <f>IF($A1950="","",IF(COUNTIF($A$2:$A1950,$A1950)=1,1,0))</f>
        <v/>
      </c>
      <c r="V1950">
        <f>IF($U1950=1,SUMPRODUCT(--($X$2:$X$3001&lt;$X1950))+1,"")</f>
        <v/>
      </c>
      <c r="W1950">
        <f>IF($A1950="","",IF(OR($T1950=TRUE(),$T1950="TRUE"),1,0))</f>
        <v/>
      </c>
      <c r="X1950">
        <f>IF($U1950=1,IFERROR(IF(VALUE($A1950)&lt;100000000,VALUE($A1950),1000000000),IFERROR(IF(VALUE(MID($A1950,2,20))&lt;100000000,VALUE(MID($A1950,2,20)),1000000000),1000000000))+ROW()/100000,"")</f>
        <v/>
      </c>
    </row>
    <row r="1951">
      <c r="F1951" s="7">
        <f>IF($A1951="","",E1951*N1951/100)</f>
        <v/>
      </c>
      <c r="J1951" s="7" t="n"/>
      <c r="K1951" s="7">
        <f>IF($A1951="","",S1951*N1951)</f>
        <v/>
      </c>
      <c r="L1951" s="7">
        <f>IF($A1951="","",N1951-K1951)</f>
        <v/>
      </c>
      <c r="M1951" s="7">
        <f>IF($A1951="","",L1951-F1951)</f>
        <v/>
      </c>
      <c r="N1951" s="7" t="n"/>
      <c r="Q1951" s="11" t="n"/>
      <c r="S1951">
        <f>IF($A1951="","",IF($W1951=1,Settings!$C$6,Settings!$C$7)*1)</f>
        <v/>
      </c>
      <c r="U1951">
        <f>IF($A1951="","",IF(COUNTIF($A$2:$A1951,$A1951)=1,1,0))</f>
        <v/>
      </c>
      <c r="V1951">
        <f>IF($U1951=1,SUMPRODUCT(--($X$2:$X$3001&lt;$X1951))+1,"")</f>
        <v/>
      </c>
      <c r="W1951">
        <f>IF($A1951="","",IF(OR($T1951=TRUE(),$T1951="TRUE"),1,0))</f>
        <v/>
      </c>
      <c r="X1951">
        <f>IF($U1951=1,IFERROR(IF(VALUE($A1951)&lt;100000000,VALUE($A1951),1000000000),IFERROR(IF(VALUE(MID($A1951,2,20))&lt;100000000,VALUE(MID($A1951,2,20)),1000000000),1000000000))+ROW()/100000,"")</f>
        <v/>
      </c>
    </row>
    <row r="1952">
      <c r="F1952" s="7">
        <f>IF($A1952="","",E1952*N1952/100)</f>
        <v/>
      </c>
      <c r="J1952" s="7" t="n"/>
      <c r="K1952" s="7">
        <f>IF($A1952="","",S1952*N1952)</f>
        <v/>
      </c>
      <c r="L1952" s="7">
        <f>IF($A1952="","",N1952-K1952)</f>
        <v/>
      </c>
      <c r="M1952" s="7">
        <f>IF($A1952="","",L1952-F1952)</f>
        <v/>
      </c>
      <c r="N1952" s="7" t="n"/>
      <c r="Q1952" s="11" t="n"/>
      <c r="S1952">
        <f>IF($A1952="","",IF($W1952=1,Settings!$C$6,Settings!$C$7)*1)</f>
        <v/>
      </c>
      <c r="U1952">
        <f>IF($A1952="","",IF(COUNTIF($A$2:$A1952,$A1952)=1,1,0))</f>
        <v/>
      </c>
      <c r="V1952">
        <f>IF($U1952=1,SUMPRODUCT(--($X$2:$X$3001&lt;$X1952))+1,"")</f>
        <v/>
      </c>
      <c r="W1952">
        <f>IF($A1952="","",IF(OR($T1952=TRUE(),$T1952="TRUE"),1,0))</f>
        <v/>
      </c>
      <c r="X1952">
        <f>IF($U1952=1,IFERROR(IF(VALUE($A1952)&lt;100000000,VALUE($A1952),1000000000),IFERROR(IF(VALUE(MID($A1952,2,20))&lt;100000000,VALUE(MID($A1952,2,20)),1000000000),1000000000))+ROW()/100000,"")</f>
        <v/>
      </c>
    </row>
    <row r="1953">
      <c r="F1953" s="7">
        <f>IF($A1953="","",E1953*N1953/100)</f>
        <v/>
      </c>
      <c r="J1953" s="7" t="n"/>
      <c r="K1953" s="7">
        <f>IF($A1953="","",S1953*N1953)</f>
        <v/>
      </c>
      <c r="L1953" s="7">
        <f>IF($A1953="","",N1953-K1953)</f>
        <v/>
      </c>
      <c r="M1953" s="7">
        <f>IF($A1953="","",L1953-F1953)</f>
        <v/>
      </c>
      <c r="N1953" s="7" t="n"/>
      <c r="Q1953" s="11" t="n"/>
      <c r="S1953">
        <f>IF($A1953="","",IF($W1953=1,Settings!$C$6,Settings!$C$7)*1)</f>
        <v/>
      </c>
      <c r="U1953">
        <f>IF($A1953="","",IF(COUNTIF($A$2:$A1953,$A1953)=1,1,0))</f>
        <v/>
      </c>
      <c r="V1953">
        <f>IF($U1953=1,SUMPRODUCT(--($X$2:$X$3001&lt;$X1953))+1,"")</f>
        <v/>
      </c>
      <c r="W1953">
        <f>IF($A1953="","",IF(OR($T1953=TRUE(),$T1953="TRUE"),1,0))</f>
        <v/>
      </c>
      <c r="X1953">
        <f>IF($U1953=1,IFERROR(IF(VALUE($A1953)&lt;100000000,VALUE($A1953),1000000000),IFERROR(IF(VALUE(MID($A1953,2,20))&lt;100000000,VALUE(MID($A1953,2,20)),1000000000),1000000000))+ROW()/100000,"")</f>
        <v/>
      </c>
    </row>
    <row r="1954">
      <c r="F1954" s="7">
        <f>IF($A1954="","",E1954*N1954/100)</f>
        <v/>
      </c>
      <c r="J1954" s="7" t="n"/>
      <c r="K1954" s="7">
        <f>IF($A1954="","",S1954*N1954)</f>
        <v/>
      </c>
      <c r="L1954" s="7">
        <f>IF($A1954="","",N1954-K1954)</f>
        <v/>
      </c>
      <c r="M1954" s="7">
        <f>IF($A1954="","",L1954-F1954)</f>
        <v/>
      </c>
      <c r="N1954" s="7" t="n"/>
      <c r="Q1954" s="11" t="n"/>
      <c r="S1954">
        <f>IF($A1954="","",IF($W1954=1,Settings!$C$6,Settings!$C$7)*1)</f>
        <v/>
      </c>
      <c r="U1954">
        <f>IF($A1954="","",IF(COUNTIF($A$2:$A1954,$A1954)=1,1,0))</f>
        <v/>
      </c>
      <c r="V1954">
        <f>IF($U1954=1,SUMPRODUCT(--($X$2:$X$3001&lt;$X1954))+1,"")</f>
        <v/>
      </c>
      <c r="W1954">
        <f>IF($A1954="","",IF(OR($T1954=TRUE(),$T1954="TRUE"),1,0))</f>
        <v/>
      </c>
      <c r="X1954">
        <f>IF($U1954=1,IFERROR(IF(VALUE($A1954)&lt;100000000,VALUE($A1954),1000000000),IFERROR(IF(VALUE(MID($A1954,2,20))&lt;100000000,VALUE(MID($A1954,2,20)),1000000000),1000000000))+ROW()/100000,"")</f>
        <v/>
      </c>
    </row>
    <row r="1955">
      <c r="F1955" s="7">
        <f>IF($A1955="","",E1955*N1955/100)</f>
        <v/>
      </c>
      <c r="J1955" s="7" t="n"/>
      <c r="K1955" s="7">
        <f>IF($A1955="","",S1955*N1955)</f>
        <v/>
      </c>
      <c r="L1955" s="7">
        <f>IF($A1955="","",N1955-K1955)</f>
        <v/>
      </c>
      <c r="M1955" s="7">
        <f>IF($A1955="","",L1955-F1955)</f>
        <v/>
      </c>
      <c r="N1955" s="7" t="n"/>
      <c r="Q1955" s="11" t="n"/>
      <c r="S1955">
        <f>IF($A1955="","",IF($W1955=1,Settings!$C$6,Settings!$C$7)*1)</f>
        <v/>
      </c>
      <c r="U1955">
        <f>IF($A1955="","",IF(COUNTIF($A$2:$A1955,$A1955)=1,1,0))</f>
        <v/>
      </c>
      <c r="V1955">
        <f>IF($U1955=1,SUMPRODUCT(--($X$2:$X$3001&lt;$X1955))+1,"")</f>
        <v/>
      </c>
      <c r="W1955">
        <f>IF($A1955="","",IF(OR($T1955=TRUE(),$T1955="TRUE"),1,0))</f>
        <v/>
      </c>
      <c r="X1955">
        <f>IF($U1955=1,IFERROR(IF(VALUE($A1955)&lt;100000000,VALUE($A1955),1000000000),IFERROR(IF(VALUE(MID($A1955,2,20))&lt;100000000,VALUE(MID($A1955,2,20)),1000000000),1000000000))+ROW()/100000,"")</f>
        <v/>
      </c>
    </row>
    <row r="1956">
      <c r="F1956" s="7">
        <f>IF($A1956="","",E1956*N1956/100)</f>
        <v/>
      </c>
      <c r="J1956" s="7" t="n"/>
      <c r="K1956" s="7">
        <f>IF($A1956="","",S1956*N1956)</f>
        <v/>
      </c>
      <c r="L1956" s="7">
        <f>IF($A1956="","",N1956-K1956)</f>
        <v/>
      </c>
      <c r="M1956" s="7">
        <f>IF($A1956="","",L1956-F1956)</f>
        <v/>
      </c>
      <c r="N1956" s="7" t="n"/>
      <c r="Q1956" s="11" t="n"/>
      <c r="S1956">
        <f>IF($A1956="","",IF($W1956=1,Settings!$C$6,Settings!$C$7)*1)</f>
        <v/>
      </c>
      <c r="U1956">
        <f>IF($A1956="","",IF(COUNTIF($A$2:$A1956,$A1956)=1,1,0))</f>
        <v/>
      </c>
      <c r="V1956">
        <f>IF($U1956=1,SUMPRODUCT(--($X$2:$X$3001&lt;$X1956))+1,"")</f>
        <v/>
      </c>
      <c r="W1956">
        <f>IF($A1956="","",IF(OR($T1956=TRUE(),$T1956="TRUE"),1,0))</f>
        <v/>
      </c>
      <c r="X1956">
        <f>IF($U1956=1,IFERROR(IF(VALUE($A1956)&lt;100000000,VALUE($A1956),1000000000),IFERROR(IF(VALUE(MID($A1956,2,20))&lt;100000000,VALUE(MID($A1956,2,20)),1000000000),1000000000))+ROW()/100000,"")</f>
        <v/>
      </c>
    </row>
    <row r="1957">
      <c r="F1957" s="7">
        <f>IF($A1957="","",E1957*N1957/100)</f>
        <v/>
      </c>
      <c r="J1957" s="7" t="n"/>
      <c r="K1957" s="7">
        <f>IF($A1957="","",S1957*N1957)</f>
        <v/>
      </c>
      <c r="L1957" s="7">
        <f>IF($A1957="","",N1957-K1957)</f>
        <v/>
      </c>
      <c r="M1957" s="7">
        <f>IF($A1957="","",L1957-F1957)</f>
        <v/>
      </c>
      <c r="N1957" s="7" t="n"/>
      <c r="Q1957" s="11" t="n"/>
      <c r="S1957">
        <f>IF($A1957="","",IF($W1957=1,Settings!$C$6,Settings!$C$7)*1)</f>
        <v/>
      </c>
      <c r="U1957">
        <f>IF($A1957="","",IF(COUNTIF($A$2:$A1957,$A1957)=1,1,0))</f>
        <v/>
      </c>
      <c r="V1957">
        <f>IF($U1957=1,SUMPRODUCT(--($X$2:$X$3001&lt;$X1957))+1,"")</f>
        <v/>
      </c>
      <c r="W1957">
        <f>IF($A1957="","",IF(OR($T1957=TRUE(),$T1957="TRUE"),1,0))</f>
        <v/>
      </c>
      <c r="X1957">
        <f>IF($U1957=1,IFERROR(IF(VALUE($A1957)&lt;100000000,VALUE($A1957),1000000000),IFERROR(IF(VALUE(MID($A1957,2,20))&lt;100000000,VALUE(MID($A1957,2,20)),1000000000),1000000000))+ROW()/100000,"")</f>
        <v/>
      </c>
    </row>
    <row r="1958">
      <c r="F1958" s="7">
        <f>IF($A1958="","",E1958*N1958/100)</f>
        <v/>
      </c>
      <c r="J1958" s="7" t="n"/>
      <c r="K1958" s="7">
        <f>IF($A1958="","",S1958*N1958)</f>
        <v/>
      </c>
      <c r="L1958" s="7">
        <f>IF($A1958="","",N1958-K1958)</f>
        <v/>
      </c>
      <c r="M1958" s="7">
        <f>IF($A1958="","",L1958-F1958)</f>
        <v/>
      </c>
      <c r="N1958" s="7" t="n"/>
      <c r="Q1958" s="11" t="n"/>
      <c r="S1958">
        <f>IF($A1958="","",IF($W1958=1,Settings!$C$6,Settings!$C$7)*1)</f>
        <v/>
      </c>
      <c r="U1958">
        <f>IF($A1958="","",IF(COUNTIF($A$2:$A1958,$A1958)=1,1,0))</f>
        <v/>
      </c>
      <c r="V1958">
        <f>IF($U1958=1,SUMPRODUCT(--($X$2:$X$3001&lt;$X1958))+1,"")</f>
        <v/>
      </c>
      <c r="W1958">
        <f>IF($A1958="","",IF(OR($T1958=TRUE(),$T1958="TRUE"),1,0))</f>
        <v/>
      </c>
      <c r="X1958">
        <f>IF($U1958=1,IFERROR(IF(VALUE($A1958)&lt;100000000,VALUE($A1958),1000000000),IFERROR(IF(VALUE(MID($A1958,2,20))&lt;100000000,VALUE(MID($A1958,2,20)),1000000000),1000000000))+ROW()/100000,"")</f>
        <v/>
      </c>
    </row>
    <row r="1959">
      <c r="F1959" s="7">
        <f>IF($A1959="","",E1959*N1959/100)</f>
        <v/>
      </c>
      <c r="J1959" s="7" t="n"/>
      <c r="K1959" s="7">
        <f>IF($A1959="","",S1959*N1959)</f>
        <v/>
      </c>
      <c r="L1959" s="7">
        <f>IF($A1959="","",N1959-K1959)</f>
        <v/>
      </c>
      <c r="M1959" s="7">
        <f>IF($A1959="","",L1959-F1959)</f>
        <v/>
      </c>
      <c r="N1959" s="7" t="n"/>
      <c r="Q1959" s="11" t="n"/>
      <c r="S1959">
        <f>IF($A1959="","",IF($W1959=1,Settings!$C$6,Settings!$C$7)*1)</f>
        <v/>
      </c>
      <c r="U1959">
        <f>IF($A1959="","",IF(COUNTIF($A$2:$A1959,$A1959)=1,1,0))</f>
        <v/>
      </c>
      <c r="V1959">
        <f>IF($U1959=1,SUMPRODUCT(--($X$2:$X$3001&lt;$X1959))+1,"")</f>
        <v/>
      </c>
      <c r="W1959">
        <f>IF($A1959="","",IF(OR($T1959=TRUE(),$T1959="TRUE"),1,0))</f>
        <v/>
      </c>
      <c r="X1959">
        <f>IF($U1959=1,IFERROR(IF(VALUE($A1959)&lt;100000000,VALUE($A1959),1000000000),IFERROR(IF(VALUE(MID($A1959,2,20))&lt;100000000,VALUE(MID($A1959,2,20)),1000000000),1000000000))+ROW()/100000,"")</f>
        <v/>
      </c>
    </row>
    <row r="1960">
      <c r="F1960" s="7">
        <f>IF($A1960="","",E1960*N1960/100)</f>
        <v/>
      </c>
      <c r="J1960" s="7" t="n"/>
      <c r="K1960" s="7">
        <f>IF($A1960="","",S1960*N1960)</f>
        <v/>
      </c>
      <c r="L1960" s="7">
        <f>IF($A1960="","",N1960-K1960)</f>
        <v/>
      </c>
      <c r="M1960" s="7">
        <f>IF($A1960="","",L1960-F1960)</f>
        <v/>
      </c>
      <c r="N1960" s="7" t="n"/>
      <c r="Q1960" s="11" t="n"/>
      <c r="S1960">
        <f>IF($A1960="","",IF($W1960=1,Settings!$C$6,Settings!$C$7)*1)</f>
        <v/>
      </c>
      <c r="U1960">
        <f>IF($A1960="","",IF(COUNTIF($A$2:$A1960,$A1960)=1,1,0))</f>
        <v/>
      </c>
      <c r="V1960">
        <f>IF($U1960=1,SUMPRODUCT(--($X$2:$X$3001&lt;$X1960))+1,"")</f>
        <v/>
      </c>
      <c r="W1960">
        <f>IF($A1960="","",IF(OR($T1960=TRUE(),$T1960="TRUE"),1,0))</f>
        <v/>
      </c>
      <c r="X1960">
        <f>IF($U1960=1,IFERROR(IF(VALUE($A1960)&lt;100000000,VALUE($A1960),1000000000),IFERROR(IF(VALUE(MID($A1960,2,20))&lt;100000000,VALUE(MID($A1960,2,20)),1000000000),1000000000))+ROW()/100000,"")</f>
        <v/>
      </c>
    </row>
    <row r="1961">
      <c r="F1961" s="7">
        <f>IF($A1961="","",E1961*N1961/100)</f>
        <v/>
      </c>
      <c r="J1961" s="7" t="n"/>
      <c r="K1961" s="7">
        <f>IF($A1961="","",S1961*N1961)</f>
        <v/>
      </c>
      <c r="L1961" s="7">
        <f>IF($A1961="","",N1961-K1961)</f>
        <v/>
      </c>
      <c r="M1961" s="7">
        <f>IF($A1961="","",L1961-F1961)</f>
        <v/>
      </c>
      <c r="N1961" s="7" t="n"/>
      <c r="Q1961" s="11" t="n"/>
      <c r="S1961">
        <f>IF($A1961="","",IF($W1961=1,Settings!$C$6,Settings!$C$7)*1)</f>
        <v/>
      </c>
      <c r="U1961">
        <f>IF($A1961="","",IF(COUNTIF($A$2:$A1961,$A1961)=1,1,0))</f>
        <v/>
      </c>
      <c r="V1961">
        <f>IF($U1961=1,SUMPRODUCT(--($X$2:$X$3001&lt;$X1961))+1,"")</f>
        <v/>
      </c>
      <c r="W1961">
        <f>IF($A1961="","",IF(OR($T1961=TRUE(),$T1961="TRUE"),1,0))</f>
        <v/>
      </c>
      <c r="X1961">
        <f>IF($U1961=1,IFERROR(IF(VALUE($A1961)&lt;100000000,VALUE($A1961),1000000000),IFERROR(IF(VALUE(MID($A1961,2,20))&lt;100000000,VALUE(MID($A1961,2,20)),1000000000),1000000000))+ROW()/100000,"")</f>
        <v/>
      </c>
    </row>
    <row r="1962">
      <c r="F1962" s="7">
        <f>IF($A1962="","",E1962*N1962/100)</f>
        <v/>
      </c>
      <c r="J1962" s="7" t="n"/>
      <c r="K1962" s="7">
        <f>IF($A1962="","",S1962*N1962)</f>
        <v/>
      </c>
      <c r="L1962" s="7">
        <f>IF($A1962="","",N1962-K1962)</f>
        <v/>
      </c>
      <c r="M1962" s="7">
        <f>IF($A1962="","",L1962-F1962)</f>
        <v/>
      </c>
      <c r="N1962" s="7" t="n"/>
      <c r="Q1962" s="11" t="n"/>
      <c r="S1962">
        <f>IF($A1962="","",IF($W1962=1,Settings!$C$6,Settings!$C$7)*1)</f>
        <v/>
      </c>
      <c r="U1962">
        <f>IF($A1962="","",IF(COUNTIF($A$2:$A1962,$A1962)=1,1,0))</f>
        <v/>
      </c>
      <c r="V1962">
        <f>IF($U1962=1,SUMPRODUCT(--($X$2:$X$3001&lt;$X1962))+1,"")</f>
        <v/>
      </c>
      <c r="W1962">
        <f>IF($A1962="","",IF(OR($T1962=TRUE(),$T1962="TRUE"),1,0))</f>
        <v/>
      </c>
      <c r="X1962">
        <f>IF($U1962=1,IFERROR(IF(VALUE($A1962)&lt;100000000,VALUE($A1962),1000000000),IFERROR(IF(VALUE(MID($A1962,2,20))&lt;100000000,VALUE(MID($A1962,2,20)),1000000000),1000000000))+ROW()/100000,"")</f>
        <v/>
      </c>
    </row>
    <row r="1963">
      <c r="F1963" s="7">
        <f>IF($A1963="","",E1963*N1963/100)</f>
        <v/>
      </c>
      <c r="J1963" s="7" t="n"/>
      <c r="K1963" s="7">
        <f>IF($A1963="","",S1963*N1963)</f>
        <v/>
      </c>
      <c r="L1963" s="7">
        <f>IF($A1963="","",N1963-K1963)</f>
        <v/>
      </c>
      <c r="M1963" s="7">
        <f>IF($A1963="","",L1963-F1963)</f>
        <v/>
      </c>
      <c r="N1963" s="7" t="n"/>
      <c r="Q1963" s="11" t="n"/>
      <c r="S1963">
        <f>IF($A1963="","",IF($W1963=1,Settings!$C$6,Settings!$C$7)*1)</f>
        <v/>
      </c>
      <c r="U1963">
        <f>IF($A1963="","",IF(COUNTIF($A$2:$A1963,$A1963)=1,1,0))</f>
        <v/>
      </c>
      <c r="V1963">
        <f>IF($U1963=1,SUMPRODUCT(--($X$2:$X$3001&lt;$X1963))+1,"")</f>
        <v/>
      </c>
      <c r="W1963">
        <f>IF($A1963="","",IF(OR($T1963=TRUE(),$T1963="TRUE"),1,0))</f>
        <v/>
      </c>
      <c r="X1963">
        <f>IF($U1963=1,IFERROR(IF(VALUE($A1963)&lt;100000000,VALUE($A1963),1000000000),IFERROR(IF(VALUE(MID($A1963,2,20))&lt;100000000,VALUE(MID($A1963,2,20)),1000000000),1000000000))+ROW()/100000,"")</f>
        <v/>
      </c>
    </row>
    <row r="1964">
      <c r="F1964" s="7">
        <f>IF($A1964="","",E1964*N1964/100)</f>
        <v/>
      </c>
      <c r="J1964" s="7" t="n"/>
      <c r="K1964" s="7">
        <f>IF($A1964="","",S1964*N1964)</f>
        <v/>
      </c>
      <c r="L1964" s="7">
        <f>IF($A1964="","",N1964-K1964)</f>
        <v/>
      </c>
      <c r="M1964" s="7">
        <f>IF($A1964="","",L1964-F1964)</f>
        <v/>
      </c>
      <c r="N1964" s="7" t="n"/>
      <c r="Q1964" s="11" t="n"/>
      <c r="S1964">
        <f>IF($A1964="","",IF($W1964=1,Settings!$C$6,Settings!$C$7)*1)</f>
        <v/>
      </c>
      <c r="U1964">
        <f>IF($A1964="","",IF(COUNTIF($A$2:$A1964,$A1964)=1,1,0))</f>
        <v/>
      </c>
      <c r="V1964">
        <f>IF($U1964=1,SUMPRODUCT(--($X$2:$X$3001&lt;$X1964))+1,"")</f>
        <v/>
      </c>
      <c r="W1964">
        <f>IF($A1964="","",IF(OR($T1964=TRUE(),$T1964="TRUE"),1,0))</f>
        <v/>
      </c>
      <c r="X1964">
        <f>IF($U1964=1,IFERROR(IF(VALUE($A1964)&lt;100000000,VALUE($A1964),1000000000),IFERROR(IF(VALUE(MID($A1964,2,20))&lt;100000000,VALUE(MID($A1964,2,20)),1000000000),1000000000))+ROW()/100000,"")</f>
        <v/>
      </c>
    </row>
    <row r="1965">
      <c r="F1965" s="7">
        <f>IF($A1965="","",E1965*N1965/100)</f>
        <v/>
      </c>
      <c r="J1965" s="7" t="n"/>
      <c r="K1965" s="7">
        <f>IF($A1965="","",S1965*N1965)</f>
        <v/>
      </c>
      <c r="L1965" s="7">
        <f>IF($A1965="","",N1965-K1965)</f>
        <v/>
      </c>
      <c r="M1965" s="7">
        <f>IF($A1965="","",L1965-F1965)</f>
        <v/>
      </c>
      <c r="N1965" s="7" t="n"/>
      <c r="Q1965" s="11" t="n"/>
      <c r="S1965">
        <f>IF($A1965="","",IF($W1965=1,Settings!$C$6,Settings!$C$7)*1)</f>
        <v/>
      </c>
      <c r="U1965">
        <f>IF($A1965="","",IF(COUNTIF($A$2:$A1965,$A1965)=1,1,0))</f>
        <v/>
      </c>
      <c r="V1965">
        <f>IF($U1965=1,SUMPRODUCT(--($X$2:$X$3001&lt;$X1965))+1,"")</f>
        <v/>
      </c>
      <c r="W1965">
        <f>IF($A1965="","",IF(OR($T1965=TRUE(),$T1965="TRUE"),1,0))</f>
        <v/>
      </c>
      <c r="X1965">
        <f>IF($U1965=1,IFERROR(IF(VALUE($A1965)&lt;100000000,VALUE($A1965),1000000000),IFERROR(IF(VALUE(MID($A1965,2,20))&lt;100000000,VALUE(MID($A1965,2,20)),1000000000),1000000000))+ROW()/100000,"")</f>
        <v/>
      </c>
    </row>
    <row r="1966">
      <c r="F1966" s="7">
        <f>IF($A1966="","",E1966*N1966/100)</f>
        <v/>
      </c>
      <c r="J1966" s="7" t="n"/>
      <c r="K1966" s="7">
        <f>IF($A1966="","",S1966*N1966)</f>
        <v/>
      </c>
      <c r="L1966" s="7">
        <f>IF($A1966="","",N1966-K1966)</f>
        <v/>
      </c>
      <c r="M1966" s="7">
        <f>IF($A1966="","",L1966-F1966)</f>
        <v/>
      </c>
      <c r="N1966" s="7" t="n"/>
      <c r="Q1966" s="11" t="n"/>
      <c r="S1966">
        <f>IF($A1966="","",IF($W1966=1,Settings!$C$6,Settings!$C$7)*1)</f>
        <v/>
      </c>
      <c r="U1966">
        <f>IF($A1966="","",IF(COUNTIF($A$2:$A1966,$A1966)=1,1,0))</f>
        <v/>
      </c>
      <c r="V1966">
        <f>IF($U1966=1,SUMPRODUCT(--($X$2:$X$3001&lt;$X1966))+1,"")</f>
        <v/>
      </c>
      <c r="W1966">
        <f>IF($A1966="","",IF(OR($T1966=TRUE(),$T1966="TRUE"),1,0))</f>
        <v/>
      </c>
      <c r="X1966">
        <f>IF($U1966=1,IFERROR(IF(VALUE($A1966)&lt;100000000,VALUE($A1966),1000000000),IFERROR(IF(VALUE(MID($A1966,2,20))&lt;100000000,VALUE(MID($A1966,2,20)),1000000000),1000000000))+ROW()/100000,"")</f>
        <v/>
      </c>
    </row>
    <row r="1967">
      <c r="F1967" s="7">
        <f>IF($A1967="","",E1967*N1967/100)</f>
        <v/>
      </c>
      <c r="J1967" s="7" t="n"/>
      <c r="K1967" s="7">
        <f>IF($A1967="","",S1967*N1967)</f>
        <v/>
      </c>
      <c r="L1967" s="7">
        <f>IF($A1967="","",N1967-K1967)</f>
        <v/>
      </c>
      <c r="M1967" s="7">
        <f>IF($A1967="","",L1967-F1967)</f>
        <v/>
      </c>
      <c r="N1967" s="7" t="n"/>
      <c r="Q1967" s="11" t="n"/>
      <c r="S1967">
        <f>IF($A1967="","",IF($W1967=1,Settings!$C$6,Settings!$C$7)*1)</f>
        <v/>
      </c>
      <c r="U1967">
        <f>IF($A1967="","",IF(COUNTIF($A$2:$A1967,$A1967)=1,1,0))</f>
        <v/>
      </c>
      <c r="V1967">
        <f>IF($U1967=1,SUMPRODUCT(--($X$2:$X$3001&lt;$X1967))+1,"")</f>
        <v/>
      </c>
      <c r="W1967">
        <f>IF($A1967="","",IF(OR($T1967=TRUE(),$T1967="TRUE"),1,0))</f>
        <v/>
      </c>
      <c r="X1967">
        <f>IF($U1967=1,IFERROR(IF(VALUE($A1967)&lt;100000000,VALUE($A1967),1000000000),IFERROR(IF(VALUE(MID($A1967,2,20))&lt;100000000,VALUE(MID($A1967,2,20)),1000000000),1000000000))+ROW()/100000,"")</f>
        <v/>
      </c>
    </row>
    <row r="1968">
      <c r="F1968" s="7">
        <f>IF($A1968="","",E1968*N1968/100)</f>
        <v/>
      </c>
      <c r="J1968" s="7" t="n"/>
      <c r="K1968" s="7">
        <f>IF($A1968="","",S1968*N1968)</f>
        <v/>
      </c>
      <c r="L1968" s="7">
        <f>IF($A1968="","",N1968-K1968)</f>
        <v/>
      </c>
      <c r="M1968" s="7">
        <f>IF($A1968="","",L1968-F1968)</f>
        <v/>
      </c>
      <c r="N1968" s="7" t="n"/>
      <c r="Q1968" s="11" t="n"/>
      <c r="S1968">
        <f>IF($A1968="","",IF($W1968=1,Settings!$C$6,Settings!$C$7)*1)</f>
        <v/>
      </c>
      <c r="U1968">
        <f>IF($A1968="","",IF(COUNTIF($A$2:$A1968,$A1968)=1,1,0))</f>
        <v/>
      </c>
      <c r="V1968">
        <f>IF($U1968=1,SUMPRODUCT(--($X$2:$X$3001&lt;$X1968))+1,"")</f>
        <v/>
      </c>
      <c r="W1968">
        <f>IF($A1968="","",IF(OR($T1968=TRUE(),$T1968="TRUE"),1,0))</f>
        <v/>
      </c>
      <c r="X1968">
        <f>IF($U1968=1,IFERROR(IF(VALUE($A1968)&lt;100000000,VALUE($A1968),1000000000),IFERROR(IF(VALUE(MID($A1968,2,20))&lt;100000000,VALUE(MID($A1968,2,20)),1000000000),1000000000))+ROW()/100000,"")</f>
        <v/>
      </c>
    </row>
    <row r="1969">
      <c r="F1969" s="7">
        <f>IF($A1969="","",E1969*N1969/100)</f>
        <v/>
      </c>
      <c r="J1969" s="7" t="n"/>
      <c r="K1969" s="7">
        <f>IF($A1969="","",S1969*N1969)</f>
        <v/>
      </c>
      <c r="L1969" s="7">
        <f>IF($A1969="","",N1969-K1969)</f>
        <v/>
      </c>
      <c r="M1969" s="7">
        <f>IF($A1969="","",L1969-F1969)</f>
        <v/>
      </c>
      <c r="N1969" s="7" t="n"/>
      <c r="Q1969" s="11" t="n"/>
      <c r="S1969">
        <f>IF($A1969="","",IF($W1969=1,Settings!$C$6,Settings!$C$7)*1)</f>
        <v/>
      </c>
      <c r="U1969">
        <f>IF($A1969="","",IF(COUNTIF($A$2:$A1969,$A1969)=1,1,0))</f>
        <v/>
      </c>
      <c r="V1969">
        <f>IF($U1969=1,SUMPRODUCT(--($X$2:$X$3001&lt;$X1969))+1,"")</f>
        <v/>
      </c>
      <c r="W1969">
        <f>IF($A1969="","",IF(OR($T1969=TRUE(),$T1969="TRUE"),1,0))</f>
        <v/>
      </c>
      <c r="X1969">
        <f>IF($U1969=1,IFERROR(IF(VALUE($A1969)&lt;100000000,VALUE($A1969),1000000000),IFERROR(IF(VALUE(MID($A1969,2,20))&lt;100000000,VALUE(MID($A1969,2,20)),1000000000),1000000000))+ROW()/100000,"")</f>
        <v/>
      </c>
    </row>
    <row r="1970">
      <c r="F1970" s="7">
        <f>IF($A1970="","",E1970*N1970/100)</f>
        <v/>
      </c>
      <c r="J1970" s="7" t="n"/>
      <c r="K1970" s="7">
        <f>IF($A1970="","",S1970*N1970)</f>
        <v/>
      </c>
      <c r="L1970" s="7">
        <f>IF($A1970="","",N1970-K1970)</f>
        <v/>
      </c>
      <c r="M1970" s="7">
        <f>IF($A1970="","",L1970-F1970)</f>
        <v/>
      </c>
      <c r="N1970" s="7" t="n"/>
      <c r="Q1970" s="11" t="n"/>
      <c r="S1970">
        <f>IF($A1970="","",IF($W1970=1,Settings!$C$6,Settings!$C$7)*1)</f>
        <v/>
      </c>
      <c r="U1970">
        <f>IF($A1970="","",IF(COUNTIF($A$2:$A1970,$A1970)=1,1,0))</f>
        <v/>
      </c>
      <c r="V1970">
        <f>IF($U1970=1,SUMPRODUCT(--($X$2:$X$3001&lt;$X1970))+1,"")</f>
        <v/>
      </c>
      <c r="W1970">
        <f>IF($A1970="","",IF(OR($T1970=TRUE(),$T1970="TRUE"),1,0))</f>
        <v/>
      </c>
      <c r="X1970">
        <f>IF($U1970=1,IFERROR(IF(VALUE($A1970)&lt;100000000,VALUE($A1970),1000000000),IFERROR(IF(VALUE(MID($A1970,2,20))&lt;100000000,VALUE(MID($A1970,2,20)),1000000000),1000000000))+ROW()/100000,"")</f>
        <v/>
      </c>
    </row>
    <row r="1971">
      <c r="F1971" s="7">
        <f>IF($A1971="","",E1971*N1971/100)</f>
        <v/>
      </c>
      <c r="J1971" s="7" t="n"/>
      <c r="K1971" s="7">
        <f>IF($A1971="","",S1971*N1971)</f>
        <v/>
      </c>
      <c r="L1971" s="7">
        <f>IF($A1971="","",N1971-K1971)</f>
        <v/>
      </c>
      <c r="M1971" s="7">
        <f>IF($A1971="","",L1971-F1971)</f>
        <v/>
      </c>
      <c r="N1971" s="7" t="n"/>
      <c r="Q1971" s="11" t="n"/>
      <c r="S1971">
        <f>IF($A1971="","",IF($W1971=1,Settings!$C$6,Settings!$C$7)*1)</f>
        <v/>
      </c>
      <c r="U1971">
        <f>IF($A1971="","",IF(COUNTIF($A$2:$A1971,$A1971)=1,1,0))</f>
        <v/>
      </c>
      <c r="V1971">
        <f>IF($U1971=1,SUMPRODUCT(--($X$2:$X$3001&lt;$X1971))+1,"")</f>
        <v/>
      </c>
      <c r="W1971">
        <f>IF($A1971="","",IF(OR($T1971=TRUE(),$T1971="TRUE"),1,0))</f>
        <v/>
      </c>
      <c r="X1971">
        <f>IF($U1971=1,IFERROR(IF(VALUE($A1971)&lt;100000000,VALUE($A1971),1000000000),IFERROR(IF(VALUE(MID($A1971,2,20))&lt;100000000,VALUE(MID($A1971,2,20)),1000000000),1000000000))+ROW()/100000,"")</f>
        <v/>
      </c>
    </row>
    <row r="1972">
      <c r="F1972" s="7">
        <f>IF($A1972="","",E1972*N1972/100)</f>
        <v/>
      </c>
      <c r="J1972" s="7" t="n"/>
      <c r="K1972" s="7">
        <f>IF($A1972="","",S1972*N1972)</f>
        <v/>
      </c>
      <c r="L1972" s="7">
        <f>IF($A1972="","",N1972-K1972)</f>
        <v/>
      </c>
      <c r="M1972" s="7">
        <f>IF($A1972="","",L1972-F1972)</f>
        <v/>
      </c>
      <c r="N1972" s="7" t="n"/>
      <c r="Q1972" s="11" t="n"/>
      <c r="S1972">
        <f>IF($A1972="","",IF($W1972=1,Settings!$C$6,Settings!$C$7)*1)</f>
        <v/>
      </c>
      <c r="U1972">
        <f>IF($A1972="","",IF(COUNTIF($A$2:$A1972,$A1972)=1,1,0))</f>
        <v/>
      </c>
      <c r="V1972">
        <f>IF($U1972=1,SUMPRODUCT(--($X$2:$X$3001&lt;$X1972))+1,"")</f>
        <v/>
      </c>
      <c r="W1972">
        <f>IF($A1972="","",IF(OR($T1972=TRUE(),$T1972="TRUE"),1,0))</f>
        <v/>
      </c>
      <c r="X1972">
        <f>IF($U1972=1,IFERROR(IF(VALUE($A1972)&lt;100000000,VALUE($A1972),1000000000),IFERROR(IF(VALUE(MID($A1972,2,20))&lt;100000000,VALUE(MID($A1972,2,20)),1000000000),1000000000))+ROW()/100000,"")</f>
        <v/>
      </c>
    </row>
    <row r="1973">
      <c r="F1973" s="7">
        <f>IF($A1973="","",E1973*N1973/100)</f>
        <v/>
      </c>
      <c r="J1973" s="7" t="n"/>
      <c r="K1973" s="7">
        <f>IF($A1973="","",S1973*N1973)</f>
        <v/>
      </c>
      <c r="L1973" s="7">
        <f>IF($A1973="","",N1973-K1973)</f>
        <v/>
      </c>
      <c r="M1973" s="7">
        <f>IF($A1973="","",L1973-F1973)</f>
        <v/>
      </c>
      <c r="N1973" s="7" t="n"/>
      <c r="Q1973" s="11" t="n"/>
      <c r="S1973">
        <f>IF($A1973="","",IF($W1973=1,Settings!$C$6,Settings!$C$7)*1)</f>
        <v/>
      </c>
      <c r="U1973">
        <f>IF($A1973="","",IF(COUNTIF($A$2:$A1973,$A1973)=1,1,0))</f>
        <v/>
      </c>
      <c r="V1973">
        <f>IF($U1973=1,SUMPRODUCT(--($X$2:$X$3001&lt;$X1973))+1,"")</f>
        <v/>
      </c>
      <c r="W1973">
        <f>IF($A1973="","",IF(OR($T1973=TRUE(),$T1973="TRUE"),1,0))</f>
        <v/>
      </c>
      <c r="X1973">
        <f>IF($U1973=1,IFERROR(IF(VALUE($A1973)&lt;100000000,VALUE($A1973),1000000000),IFERROR(IF(VALUE(MID($A1973,2,20))&lt;100000000,VALUE(MID($A1973,2,20)),1000000000),1000000000))+ROW()/100000,"")</f>
        <v/>
      </c>
    </row>
    <row r="1974">
      <c r="F1974" s="7">
        <f>IF($A1974="","",E1974*N1974/100)</f>
        <v/>
      </c>
      <c r="J1974" s="7" t="n"/>
      <c r="K1974" s="7">
        <f>IF($A1974="","",S1974*N1974)</f>
        <v/>
      </c>
      <c r="L1974" s="7">
        <f>IF($A1974="","",N1974-K1974)</f>
        <v/>
      </c>
      <c r="M1974" s="7">
        <f>IF($A1974="","",L1974-F1974)</f>
        <v/>
      </c>
      <c r="N1974" s="7" t="n"/>
      <c r="Q1974" s="11" t="n"/>
      <c r="S1974">
        <f>IF($A1974="","",IF($W1974=1,Settings!$C$6,Settings!$C$7)*1)</f>
        <v/>
      </c>
      <c r="U1974">
        <f>IF($A1974="","",IF(COUNTIF($A$2:$A1974,$A1974)=1,1,0))</f>
        <v/>
      </c>
      <c r="V1974">
        <f>IF($U1974=1,SUMPRODUCT(--($X$2:$X$3001&lt;$X1974))+1,"")</f>
        <v/>
      </c>
      <c r="W1974">
        <f>IF($A1974="","",IF(OR($T1974=TRUE(),$T1974="TRUE"),1,0))</f>
        <v/>
      </c>
      <c r="X1974">
        <f>IF($U1974=1,IFERROR(IF(VALUE($A1974)&lt;100000000,VALUE($A1974),1000000000),IFERROR(IF(VALUE(MID($A1974,2,20))&lt;100000000,VALUE(MID($A1974,2,20)),1000000000),1000000000))+ROW()/100000,"")</f>
        <v/>
      </c>
    </row>
    <row r="1975">
      <c r="F1975" s="7">
        <f>IF($A1975="","",E1975*N1975/100)</f>
        <v/>
      </c>
      <c r="J1975" s="7" t="n"/>
      <c r="K1975" s="7">
        <f>IF($A1975="","",S1975*N1975)</f>
        <v/>
      </c>
      <c r="L1975" s="7">
        <f>IF($A1975="","",N1975-K1975)</f>
        <v/>
      </c>
      <c r="M1975" s="7">
        <f>IF($A1975="","",L1975-F1975)</f>
        <v/>
      </c>
      <c r="N1975" s="7" t="n"/>
      <c r="Q1975" s="11" t="n"/>
      <c r="S1975">
        <f>IF($A1975="","",IF($W1975=1,Settings!$C$6,Settings!$C$7)*1)</f>
        <v/>
      </c>
      <c r="U1975">
        <f>IF($A1975="","",IF(COUNTIF($A$2:$A1975,$A1975)=1,1,0))</f>
        <v/>
      </c>
      <c r="V1975">
        <f>IF($U1975=1,SUMPRODUCT(--($X$2:$X$3001&lt;$X1975))+1,"")</f>
        <v/>
      </c>
      <c r="W1975">
        <f>IF($A1975="","",IF(OR($T1975=TRUE(),$T1975="TRUE"),1,0))</f>
        <v/>
      </c>
      <c r="X1975">
        <f>IF($U1975=1,IFERROR(IF(VALUE($A1975)&lt;100000000,VALUE($A1975),1000000000),IFERROR(IF(VALUE(MID($A1975,2,20))&lt;100000000,VALUE(MID($A1975,2,20)),1000000000),1000000000))+ROW()/100000,"")</f>
        <v/>
      </c>
    </row>
    <row r="1976">
      <c r="F1976" s="7">
        <f>IF($A1976="","",E1976*N1976/100)</f>
        <v/>
      </c>
      <c r="J1976" s="7" t="n"/>
      <c r="K1976" s="7">
        <f>IF($A1976="","",S1976*N1976)</f>
        <v/>
      </c>
      <c r="L1976" s="7">
        <f>IF($A1976="","",N1976-K1976)</f>
        <v/>
      </c>
      <c r="M1976" s="7">
        <f>IF($A1976="","",L1976-F1976)</f>
        <v/>
      </c>
      <c r="N1976" s="7" t="n"/>
      <c r="Q1976" s="11" t="n"/>
      <c r="S1976">
        <f>IF($A1976="","",IF($W1976=1,Settings!$C$6,Settings!$C$7)*1)</f>
        <v/>
      </c>
      <c r="U1976">
        <f>IF($A1976="","",IF(COUNTIF($A$2:$A1976,$A1976)=1,1,0))</f>
        <v/>
      </c>
      <c r="V1976">
        <f>IF($U1976=1,SUMPRODUCT(--($X$2:$X$3001&lt;$X1976))+1,"")</f>
        <v/>
      </c>
      <c r="W1976">
        <f>IF($A1976="","",IF(OR($T1976=TRUE(),$T1976="TRUE"),1,0))</f>
        <v/>
      </c>
      <c r="X1976">
        <f>IF($U1976=1,IFERROR(IF(VALUE($A1976)&lt;100000000,VALUE($A1976),1000000000),IFERROR(IF(VALUE(MID($A1976,2,20))&lt;100000000,VALUE(MID($A1976,2,20)),1000000000),1000000000))+ROW()/100000,"")</f>
        <v/>
      </c>
    </row>
    <row r="1977">
      <c r="F1977" s="7">
        <f>IF($A1977="","",E1977*N1977/100)</f>
        <v/>
      </c>
      <c r="J1977" s="7" t="n"/>
      <c r="K1977" s="7">
        <f>IF($A1977="","",S1977*N1977)</f>
        <v/>
      </c>
      <c r="L1977" s="7">
        <f>IF($A1977="","",N1977-K1977)</f>
        <v/>
      </c>
      <c r="M1977" s="7">
        <f>IF($A1977="","",L1977-F1977)</f>
        <v/>
      </c>
      <c r="N1977" s="7" t="n"/>
      <c r="Q1977" s="11" t="n"/>
      <c r="S1977">
        <f>IF($A1977="","",IF($W1977=1,Settings!$C$6,Settings!$C$7)*1)</f>
        <v/>
      </c>
      <c r="U1977">
        <f>IF($A1977="","",IF(COUNTIF($A$2:$A1977,$A1977)=1,1,0))</f>
        <v/>
      </c>
      <c r="V1977">
        <f>IF($U1977=1,SUMPRODUCT(--($X$2:$X$3001&lt;$X1977))+1,"")</f>
        <v/>
      </c>
      <c r="W1977">
        <f>IF($A1977="","",IF(OR($T1977=TRUE(),$T1977="TRUE"),1,0))</f>
        <v/>
      </c>
      <c r="X1977">
        <f>IF($U1977=1,IFERROR(IF(VALUE($A1977)&lt;100000000,VALUE($A1977),1000000000),IFERROR(IF(VALUE(MID($A1977,2,20))&lt;100000000,VALUE(MID($A1977,2,20)),1000000000),1000000000))+ROW()/100000,"")</f>
        <v/>
      </c>
    </row>
    <row r="1978">
      <c r="F1978" s="7">
        <f>IF($A1978="","",E1978*N1978/100)</f>
        <v/>
      </c>
      <c r="J1978" s="7" t="n"/>
      <c r="K1978" s="7">
        <f>IF($A1978="","",S1978*N1978)</f>
        <v/>
      </c>
      <c r="L1978" s="7">
        <f>IF($A1978="","",N1978-K1978)</f>
        <v/>
      </c>
      <c r="M1978" s="7">
        <f>IF($A1978="","",L1978-F1978)</f>
        <v/>
      </c>
      <c r="N1978" s="7" t="n"/>
      <c r="Q1978" s="11" t="n"/>
      <c r="S1978">
        <f>IF($A1978="","",IF($W1978=1,Settings!$C$6,Settings!$C$7)*1)</f>
        <v/>
      </c>
      <c r="U1978">
        <f>IF($A1978="","",IF(COUNTIF($A$2:$A1978,$A1978)=1,1,0))</f>
        <v/>
      </c>
      <c r="V1978">
        <f>IF($U1978=1,SUMPRODUCT(--($X$2:$X$3001&lt;$X1978))+1,"")</f>
        <v/>
      </c>
      <c r="W1978">
        <f>IF($A1978="","",IF(OR($T1978=TRUE(),$T1978="TRUE"),1,0))</f>
        <v/>
      </c>
      <c r="X1978">
        <f>IF($U1978=1,IFERROR(IF(VALUE($A1978)&lt;100000000,VALUE($A1978),1000000000),IFERROR(IF(VALUE(MID($A1978,2,20))&lt;100000000,VALUE(MID($A1978,2,20)),1000000000),1000000000))+ROW()/100000,"")</f>
        <v/>
      </c>
    </row>
    <row r="1979">
      <c r="F1979" s="7">
        <f>IF($A1979="","",E1979*N1979/100)</f>
        <v/>
      </c>
      <c r="J1979" s="7" t="n"/>
      <c r="K1979" s="7">
        <f>IF($A1979="","",S1979*N1979)</f>
        <v/>
      </c>
      <c r="L1979" s="7">
        <f>IF($A1979="","",N1979-K1979)</f>
        <v/>
      </c>
      <c r="M1979" s="7">
        <f>IF($A1979="","",L1979-F1979)</f>
        <v/>
      </c>
      <c r="N1979" s="7" t="n"/>
      <c r="Q1979" s="11" t="n"/>
      <c r="S1979">
        <f>IF($A1979="","",IF($W1979=1,Settings!$C$6,Settings!$C$7)*1)</f>
        <v/>
      </c>
      <c r="U1979">
        <f>IF($A1979="","",IF(COUNTIF($A$2:$A1979,$A1979)=1,1,0))</f>
        <v/>
      </c>
      <c r="V1979">
        <f>IF($U1979=1,SUMPRODUCT(--($X$2:$X$3001&lt;$X1979))+1,"")</f>
        <v/>
      </c>
      <c r="W1979">
        <f>IF($A1979="","",IF(OR($T1979=TRUE(),$T1979="TRUE"),1,0))</f>
        <v/>
      </c>
      <c r="X1979">
        <f>IF($U1979=1,IFERROR(IF(VALUE($A1979)&lt;100000000,VALUE($A1979),1000000000),IFERROR(IF(VALUE(MID($A1979,2,20))&lt;100000000,VALUE(MID($A1979,2,20)),1000000000),1000000000))+ROW()/100000,"")</f>
        <v/>
      </c>
    </row>
    <row r="1980">
      <c r="F1980" s="7">
        <f>IF($A1980="","",E1980*N1980/100)</f>
        <v/>
      </c>
      <c r="J1980" s="7" t="n"/>
      <c r="K1980" s="7">
        <f>IF($A1980="","",S1980*N1980)</f>
        <v/>
      </c>
      <c r="L1980" s="7">
        <f>IF($A1980="","",N1980-K1980)</f>
        <v/>
      </c>
      <c r="M1980" s="7">
        <f>IF($A1980="","",L1980-F1980)</f>
        <v/>
      </c>
      <c r="N1980" s="7" t="n"/>
      <c r="Q1980" s="11" t="n"/>
      <c r="S1980">
        <f>IF($A1980="","",IF($W1980=1,Settings!$C$6,Settings!$C$7)*1)</f>
        <v/>
      </c>
      <c r="U1980">
        <f>IF($A1980="","",IF(COUNTIF($A$2:$A1980,$A1980)=1,1,0))</f>
        <v/>
      </c>
      <c r="V1980">
        <f>IF($U1980=1,SUMPRODUCT(--($X$2:$X$3001&lt;$X1980))+1,"")</f>
        <v/>
      </c>
      <c r="W1980">
        <f>IF($A1980="","",IF(OR($T1980=TRUE(),$T1980="TRUE"),1,0))</f>
        <v/>
      </c>
      <c r="X1980">
        <f>IF($U1980=1,IFERROR(IF(VALUE($A1980)&lt;100000000,VALUE($A1980),1000000000),IFERROR(IF(VALUE(MID($A1980,2,20))&lt;100000000,VALUE(MID($A1980,2,20)),1000000000),1000000000))+ROW()/100000,"")</f>
        <v/>
      </c>
    </row>
    <row r="1981">
      <c r="F1981" s="7">
        <f>IF($A1981="","",E1981*N1981/100)</f>
        <v/>
      </c>
      <c r="J1981" s="7" t="n"/>
      <c r="K1981" s="7">
        <f>IF($A1981="","",S1981*N1981)</f>
        <v/>
      </c>
      <c r="L1981" s="7">
        <f>IF($A1981="","",N1981-K1981)</f>
        <v/>
      </c>
      <c r="M1981" s="7">
        <f>IF($A1981="","",L1981-F1981)</f>
        <v/>
      </c>
      <c r="N1981" s="7" t="n"/>
      <c r="Q1981" s="11" t="n"/>
      <c r="S1981">
        <f>IF($A1981="","",IF($W1981=1,Settings!$C$6,Settings!$C$7)*1)</f>
        <v/>
      </c>
      <c r="U1981">
        <f>IF($A1981="","",IF(COUNTIF($A$2:$A1981,$A1981)=1,1,0))</f>
        <v/>
      </c>
      <c r="V1981">
        <f>IF($U1981=1,SUMPRODUCT(--($X$2:$X$3001&lt;$X1981))+1,"")</f>
        <v/>
      </c>
      <c r="W1981">
        <f>IF($A1981="","",IF(OR($T1981=TRUE(),$T1981="TRUE"),1,0))</f>
        <v/>
      </c>
      <c r="X1981">
        <f>IF($U1981=1,IFERROR(IF(VALUE($A1981)&lt;100000000,VALUE($A1981),1000000000),IFERROR(IF(VALUE(MID($A1981,2,20))&lt;100000000,VALUE(MID($A1981,2,20)),1000000000),1000000000))+ROW()/100000,"")</f>
        <v/>
      </c>
    </row>
    <row r="1982">
      <c r="F1982" s="7">
        <f>IF($A1982="","",E1982*N1982/100)</f>
        <v/>
      </c>
      <c r="J1982" s="7" t="n"/>
      <c r="K1982" s="7">
        <f>IF($A1982="","",S1982*N1982)</f>
        <v/>
      </c>
      <c r="L1982" s="7">
        <f>IF($A1982="","",N1982-K1982)</f>
        <v/>
      </c>
      <c r="M1982" s="7">
        <f>IF($A1982="","",L1982-F1982)</f>
        <v/>
      </c>
      <c r="N1982" s="7" t="n"/>
      <c r="Q1982" s="11" t="n"/>
      <c r="S1982">
        <f>IF($A1982="","",IF($W1982=1,Settings!$C$6,Settings!$C$7)*1)</f>
        <v/>
      </c>
      <c r="U1982">
        <f>IF($A1982="","",IF(COUNTIF($A$2:$A1982,$A1982)=1,1,0))</f>
        <v/>
      </c>
      <c r="V1982">
        <f>IF($U1982=1,SUMPRODUCT(--($X$2:$X$3001&lt;$X1982))+1,"")</f>
        <v/>
      </c>
      <c r="W1982">
        <f>IF($A1982="","",IF(OR($T1982=TRUE(),$T1982="TRUE"),1,0))</f>
        <v/>
      </c>
      <c r="X1982">
        <f>IF($U1982=1,IFERROR(IF(VALUE($A1982)&lt;100000000,VALUE($A1982),1000000000),IFERROR(IF(VALUE(MID($A1982,2,20))&lt;100000000,VALUE(MID($A1982,2,20)),1000000000),1000000000))+ROW()/100000,"")</f>
        <v/>
      </c>
    </row>
    <row r="1983">
      <c r="F1983" s="7">
        <f>IF($A1983="","",E1983*N1983/100)</f>
        <v/>
      </c>
      <c r="J1983" s="7" t="n"/>
      <c r="K1983" s="7">
        <f>IF($A1983="","",S1983*N1983)</f>
        <v/>
      </c>
      <c r="L1983" s="7">
        <f>IF($A1983="","",N1983-K1983)</f>
        <v/>
      </c>
      <c r="M1983" s="7">
        <f>IF($A1983="","",L1983-F1983)</f>
        <v/>
      </c>
      <c r="N1983" s="7" t="n"/>
      <c r="Q1983" s="11" t="n"/>
      <c r="S1983">
        <f>IF($A1983="","",IF($W1983=1,Settings!$C$6,Settings!$C$7)*1)</f>
        <v/>
      </c>
      <c r="U1983">
        <f>IF($A1983="","",IF(COUNTIF($A$2:$A1983,$A1983)=1,1,0))</f>
        <v/>
      </c>
      <c r="V1983">
        <f>IF($U1983=1,SUMPRODUCT(--($X$2:$X$3001&lt;$X1983))+1,"")</f>
        <v/>
      </c>
      <c r="W1983">
        <f>IF($A1983="","",IF(OR($T1983=TRUE(),$T1983="TRUE"),1,0))</f>
        <v/>
      </c>
      <c r="X1983">
        <f>IF($U1983=1,IFERROR(IF(VALUE($A1983)&lt;100000000,VALUE($A1983),1000000000),IFERROR(IF(VALUE(MID($A1983,2,20))&lt;100000000,VALUE(MID($A1983,2,20)),1000000000),1000000000))+ROW()/100000,"")</f>
        <v/>
      </c>
    </row>
    <row r="1984">
      <c r="F1984" s="7">
        <f>IF($A1984="","",E1984*N1984/100)</f>
        <v/>
      </c>
      <c r="J1984" s="7" t="n"/>
      <c r="K1984" s="7">
        <f>IF($A1984="","",S1984*N1984)</f>
        <v/>
      </c>
      <c r="L1984" s="7">
        <f>IF($A1984="","",N1984-K1984)</f>
        <v/>
      </c>
      <c r="M1984" s="7">
        <f>IF($A1984="","",L1984-F1984)</f>
        <v/>
      </c>
      <c r="N1984" s="7" t="n"/>
      <c r="Q1984" s="11" t="n"/>
      <c r="S1984">
        <f>IF($A1984="","",IF($W1984=1,Settings!$C$6,Settings!$C$7)*1)</f>
        <v/>
      </c>
      <c r="U1984">
        <f>IF($A1984="","",IF(COUNTIF($A$2:$A1984,$A1984)=1,1,0))</f>
        <v/>
      </c>
      <c r="V1984">
        <f>IF($U1984=1,SUMPRODUCT(--($X$2:$X$3001&lt;$X1984))+1,"")</f>
        <v/>
      </c>
      <c r="W1984">
        <f>IF($A1984="","",IF(OR($T1984=TRUE(),$T1984="TRUE"),1,0))</f>
        <v/>
      </c>
      <c r="X1984">
        <f>IF($U1984=1,IFERROR(IF(VALUE($A1984)&lt;100000000,VALUE($A1984),1000000000),IFERROR(IF(VALUE(MID($A1984,2,20))&lt;100000000,VALUE(MID($A1984,2,20)),1000000000),1000000000))+ROW()/100000,"")</f>
        <v/>
      </c>
    </row>
    <row r="1985">
      <c r="F1985" s="7">
        <f>IF($A1985="","",E1985*N1985/100)</f>
        <v/>
      </c>
      <c r="J1985" s="7" t="n"/>
      <c r="K1985" s="7">
        <f>IF($A1985="","",S1985*N1985)</f>
        <v/>
      </c>
      <c r="L1985" s="7">
        <f>IF($A1985="","",N1985-K1985)</f>
        <v/>
      </c>
      <c r="M1985" s="7">
        <f>IF($A1985="","",L1985-F1985)</f>
        <v/>
      </c>
      <c r="N1985" s="7" t="n"/>
      <c r="Q1985" s="11" t="n"/>
      <c r="S1985">
        <f>IF($A1985="","",IF($W1985=1,Settings!$C$6,Settings!$C$7)*1)</f>
        <v/>
      </c>
      <c r="U1985">
        <f>IF($A1985="","",IF(COUNTIF($A$2:$A1985,$A1985)=1,1,0))</f>
        <v/>
      </c>
      <c r="V1985">
        <f>IF($U1985=1,SUMPRODUCT(--($X$2:$X$3001&lt;$X1985))+1,"")</f>
        <v/>
      </c>
      <c r="W1985">
        <f>IF($A1985="","",IF(OR($T1985=TRUE(),$T1985="TRUE"),1,0))</f>
        <v/>
      </c>
      <c r="X1985">
        <f>IF($U1985=1,IFERROR(IF(VALUE($A1985)&lt;100000000,VALUE($A1985),1000000000),IFERROR(IF(VALUE(MID($A1985,2,20))&lt;100000000,VALUE(MID($A1985,2,20)),1000000000),1000000000))+ROW()/100000,"")</f>
        <v/>
      </c>
    </row>
    <row r="1986">
      <c r="F1986" s="7">
        <f>IF($A1986="","",E1986*N1986/100)</f>
        <v/>
      </c>
      <c r="J1986" s="7" t="n"/>
      <c r="K1986" s="7">
        <f>IF($A1986="","",S1986*N1986)</f>
        <v/>
      </c>
      <c r="L1986" s="7">
        <f>IF($A1986="","",N1986-K1986)</f>
        <v/>
      </c>
      <c r="M1986" s="7">
        <f>IF($A1986="","",L1986-F1986)</f>
        <v/>
      </c>
      <c r="N1986" s="7" t="n"/>
      <c r="Q1986" s="11" t="n"/>
      <c r="S1986">
        <f>IF($A1986="","",IF($W1986=1,Settings!$C$6,Settings!$C$7)*1)</f>
        <v/>
      </c>
      <c r="U1986">
        <f>IF($A1986="","",IF(COUNTIF($A$2:$A1986,$A1986)=1,1,0))</f>
        <v/>
      </c>
      <c r="V1986">
        <f>IF($U1986=1,SUMPRODUCT(--($X$2:$X$3001&lt;$X1986))+1,"")</f>
        <v/>
      </c>
      <c r="W1986">
        <f>IF($A1986="","",IF(OR($T1986=TRUE(),$T1986="TRUE"),1,0))</f>
        <v/>
      </c>
      <c r="X1986">
        <f>IF($U1986=1,IFERROR(IF(VALUE($A1986)&lt;100000000,VALUE($A1986),1000000000),IFERROR(IF(VALUE(MID($A1986,2,20))&lt;100000000,VALUE(MID($A1986,2,20)),1000000000),1000000000))+ROW()/100000,"")</f>
        <v/>
      </c>
    </row>
    <row r="1987">
      <c r="F1987" s="7">
        <f>IF($A1987="","",E1987*N1987/100)</f>
        <v/>
      </c>
      <c r="J1987" s="7" t="n"/>
      <c r="K1987" s="7">
        <f>IF($A1987="","",S1987*N1987)</f>
        <v/>
      </c>
      <c r="L1987" s="7">
        <f>IF($A1987="","",N1987-K1987)</f>
        <v/>
      </c>
      <c r="M1987" s="7">
        <f>IF($A1987="","",L1987-F1987)</f>
        <v/>
      </c>
      <c r="N1987" s="7" t="n"/>
      <c r="Q1987" s="11" t="n"/>
      <c r="S1987">
        <f>IF($A1987="","",IF($W1987=1,Settings!$C$6,Settings!$C$7)*1)</f>
        <v/>
      </c>
      <c r="U1987">
        <f>IF($A1987="","",IF(COUNTIF($A$2:$A1987,$A1987)=1,1,0))</f>
        <v/>
      </c>
      <c r="V1987">
        <f>IF($U1987=1,SUMPRODUCT(--($X$2:$X$3001&lt;$X1987))+1,"")</f>
        <v/>
      </c>
      <c r="W1987">
        <f>IF($A1987="","",IF(OR($T1987=TRUE(),$T1987="TRUE"),1,0))</f>
        <v/>
      </c>
      <c r="X1987">
        <f>IF($U1987=1,IFERROR(IF(VALUE($A1987)&lt;100000000,VALUE($A1987),1000000000),IFERROR(IF(VALUE(MID($A1987,2,20))&lt;100000000,VALUE(MID($A1987,2,20)),1000000000),1000000000))+ROW()/100000,"")</f>
        <v/>
      </c>
    </row>
    <row r="1988">
      <c r="F1988" s="7">
        <f>IF($A1988="","",E1988*N1988/100)</f>
        <v/>
      </c>
      <c r="J1988" s="7" t="n"/>
      <c r="K1988" s="7">
        <f>IF($A1988="","",S1988*N1988)</f>
        <v/>
      </c>
      <c r="L1988" s="7">
        <f>IF($A1988="","",N1988-K1988)</f>
        <v/>
      </c>
      <c r="M1988" s="7">
        <f>IF($A1988="","",L1988-F1988)</f>
        <v/>
      </c>
      <c r="N1988" s="7" t="n"/>
      <c r="Q1988" s="11" t="n"/>
      <c r="S1988">
        <f>IF($A1988="","",IF($W1988=1,Settings!$C$6,Settings!$C$7)*1)</f>
        <v/>
      </c>
      <c r="U1988">
        <f>IF($A1988="","",IF(COUNTIF($A$2:$A1988,$A1988)=1,1,0))</f>
        <v/>
      </c>
      <c r="V1988">
        <f>IF($U1988=1,SUMPRODUCT(--($X$2:$X$3001&lt;$X1988))+1,"")</f>
        <v/>
      </c>
      <c r="W1988">
        <f>IF($A1988="","",IF(OR($T1988=TRUE(),$T1988="TRUE"),1,0))</f>
        <v/>
      </c>
      <c r="X1988">
        <f>IF($U1988=1,IFERROR(IF(VALUE($A1988)&lt;100000000,VALUE($A1988),1000000000),IFERROR(IF(VALUE(MID($A1988,2,20))&lt;100000000,VALUE(MID($A1988,2,20)),1000000000),1000000000))+ROW()/100000,"")</f>
        <v/>
      </c>
    </row>
    <row r="1989">
      <c r="F1989" s="7">
        <f>IF($A1989="","",E1989*N1989/100)</f>
        <v/>
      </c>
      <c r="J1989" s="7" t="n"/>
      <c r="K1989" s="7">
        <f>IF($A1989="","",S1989*N1989)</f>
        <v/>
      </c>
      <c r="L1989" s="7">
        <f>IF($A1989="","",N1989-K1989)</f>
        <v/>
      </c>
      <c r="M1989" s="7">
        <f>IF($A1989="","",L1989-F1989)</f>
        <v/>
      </c>
      <c r="N1989" s="7" t="n"/>
      <c r="Q1989" s="11" t="n"/>
      <c r="S1989">
        <f>IF($A1989="","",IF($W1989=1,Settings!$C$6,Settings!$C$7)*1)</f>
        <v/>
      </c>
      <c r="U1989">
        <f>IF($A1989="","",IF(COUNTIF($A$2:$A1989,$A1989)=1,1,0))</f>
        <v/>
      </c>
      <c r="V1989">
        <f>IF($U1989=1,SUMPRODUCT(--($X$2:$X$3001&lt;$X1989))+1,"")</f>
        <v/>
      </c>
      <c r="W1989">
        <f>IF($A1989="","",IF(OR($T1989=TRUE(),$T1989="TRUE"),1,0))</f>
        <v/>
      </c>
      <c r="X1989">
        <f>IF($U1989=1,IFERROR(IF(VALUE($A1989)&lt;100000000,VALUE($A1989),1000000000),IFERROR(IF(VALUE(MID($A1989,2,20))&lt;100000000,VALUE(MID($A1989,2,20)),1000000000),1000000000))+ROW()/100000,"")</f>
        <v/>
      </c>
    </row>
    <row r="1990">
      <c r="F1990" s="7">
        <f>IF($A1990="","",E1990*N1990/100)</f>
        <v/>
      </c>
      <c r="J1990" s="7" t="n"/>
      <c r="K1990" s="7">
        <f>IF($A1990="","",S1990*N1990)</f>
        <v/>
      </c>
      <c r="L1990" s="7">
        <f>IF($A1990="","",N1990-K1990)</f>
        <v/>
      </c>
      <c r="M1990" s="7">
        <f>IF($A1990="","",L1990-F1990)</f>
        <v/>
      </c>
      <c r="N1990" s="7" t="n"/>
      <c r="Q1990" s="11" t="n"/>
      <c r="S1990">
        <f>IF($A1990="","",IF($W1990=1,Settings!$C$6,Settings!$C$7)*1)</f>
        <v/>
      </c>
      <c r="U1990">
        <f>IF($A1990="","",IF(COUNTIF($A$2:$A1990,$A1990)=1,1,0))</f>
        <v/>
      </c>
      <c r="V1990">
        <f>IF($U1990=1,SUMPRODUCT(--($X$2:$X$3001&lt;$X1990))+1,"")</f>
        <v/>
      </c>
      <c r="W1990">
        <f>IF($A1990="","",IF(OR($T1990=TRUE(),$T1990="TRUE"),1,0))</f>
        <v/>
      </c>
      <c r="X1990">
        <f>IF($U1990=1,IFERROR(IF(VALUE($A1990)&lt;100000000,VALUE($A1990),1000000000),IFERROR(IF(VALUE(MID($A1990,2,20))&lt;100000000,VALUE(MID($A1990,2,20)),1000000000),1000000000))+ROW()/100000,"")</f>
        <v/>
      </c>
    </row>
    <row r="1991">
      <c r="F1991" s="7">
        <f>IF($A1991="","",E1991*N1991/100)</f>
        <v/>
      </c>
      <c r="J1991" s="7" t="n"/>
      <c r="K1991" s="7">
        <f>IF($A1991="","",S1991*N1991)</f>
        <v/>
      </c>
      <c r="L1991" s="7">
        <f>IF($A1991="","",N1991-K1991)</f>
        <v/>
      </c>
      <c r="M1991" s="7">
        <f>IF($A1991="","",L1991-F1991)</f>
        <v/>
      </c>
      <c r="N1991" s="7" t="n"/>
      <c r="Q1991" s="11" t="n"/>
      <c r="S1991">
        <f>IF($A1991="","",IF($W1991=1,Settings!$C$6,Settings!$C$7)*1)</f>
        <v/>
      </c>
      <c r="U1991">
        <f>IF($A1991="","",IF(COUNTIF($A$2:$A1991,$A1991)=1,1,0))</f>
        <v/>
      </c>
      <c r="V1991">
        <f>IF($U1991=1,SUMPRODUCT(--($X$2:$X$3001&lt;$X1991))+1,"")</f>
        <v/>
      </c>
      <c r="W1991">
        <f>IF($A1991="","",IF(OR($T1991=TRUE(),$T1991="TRUE"),1,0))</f>
        <v/>
      </c>
      <c r="X1991">
        <f>IF($U1991=1,IFERROR(IF(VALUE($A1991)&lt;100000000,VALUE($A1991),1000000000),IFERROR(IF(VALUE(MID($A1991,2,20))&lt;100000000,VALUE(MID($A1991,2,20)),1000000000),1000000000))+ROW()/100000,"")</f>
        <v/>
      </c>
    </row>
    <row r="1992">
      <c r="F1992" s="7">
        <f>IF($A1992="","",E1992*N1992/100)</f>
        <v/>
      </c>
      <c r="J1992" s="7" t="n"/>
      <c r="K1992" s="7">
        <f>IF($A1992="","",S1992*N1992)</f>
        <v/>
      </c>
      <c r="L1992" s="7">
        <f>IF($A1992="","",N1992-K1992)</f>
        <v/>
      </c>
      <c r="M1992" s="7">
        <f>IF($A1992="","",L1992-F1992)</f>
        <v/>
      </c>
      <c r="N1992" s="7" t="n"/>
      <c r="Q1992" s="11" t="n"/>
      <c r="S1992">
        <f>IF($A1992="","",IF($W1992=1,Settings!$C$6,Settings!$C$7)*1)</f>
        <v/>
      </c>
      <c r="U1992">
        <f>IF($A1992="","",IF(COUNTIF($A$2:$A1992,$A1992)=1,1,0))</f>
        <v/>
      </c>
      <c r="V1992">
        <f>IF($U1992=1,SUMPRODUCT(--($X$2:$X$3001&lt;$X1992))+1,"")</f>
        <v/>
      </c>
      <c r="W1992">
        <f>IF($A1992="","",IF(OR($T1992=TRUE(),$T1992="TRUE"),1,0))</f>
        <v/>
      </c>
      <c r="X1992">
        <f>IF($U1992=1,IFERROR(IF(VALUE($A1992)&lt;100000000,VALUE($A1992),1000000000),IFERROR(IF(VALUE(MID($A1992,2,20))&lt;100000000,VALUE(MID($A1992,2,20)),1000000000),1000000000))+ROW()/100000,"")</f>
        <v/>
      </c>
    </row>
    <row r="1993">
      <c r="F1993" s="7">
        <f>IF($A1993="","",E1993*N1993/100)</f>
        <v/>
      </c>
      <c r="J1993" s="7" t="n"/>
      <c r="K1993" s="7">
        <f>IF($A1993="","",S1993*N1993)</f>
        <v/>
      </c>
      <c r="L1993" s="7">
        <f>IF($A1993="","",N1993-K1993)</f>
        <v/>
      </c>
      <c r="M1993" s="7">
        <f>IF($A1993="","",L1993-F1993)</f>
        <v/>
      </c>
      <c r="N1993" s="7" t="n"/>
      <c r="Q1993" s="11" t="n"/>
      <c r="S1993">
        <f>IF($A1993="","",IF($W1993=1,Settings!$C$6,Settings!$C$7)*1)</f>
        <v/>
      </c>
      <c r="U1993">
        <f>IF($A1993="","",IF(COUNTIF($A$2:$A1993,$A1993)=1,1,0))</f>
        <v/>
      </c>
      <c r="V1993">
        <f>IF($U1993=1,SUMPRODUCT(--($X$2:$X$3001&lt;$X1993))+1,"")</f>
        <v/>
      </c>
      <c r="W1993">
        <f>IF($A1993="","",IF(OR($T1993=TRUE(),$T1993="TRUE"),1,0))</f>
        <v/>
      </c>
      <c r="X1993">
        <f>IF($U1993=1,IFERROR(IF(VALUE($A1993)&lt;100000000,VALUE($A1993),1000000000),IFERROR(IF(VALUE(MID($A1993,2,20))&lt;100000000,VALUE(MID($A1993,2,20)),1000000000),1000000000))+ROW()/100000,"")</f>
        <v/>
      </c>
    </row>
    <row r="1994">
      <c r="F1994" s="7">
        <f>IF($A1994="","",E1994*N1994/100)</f>
        <v/>
      </c>
      <c r="J1994" s="7" t="n"/>
      <c r="K1994" s="7">
        <f>IF($A1994="","",S1994*N1994)</f>
        <v/>
      </c>
      <c r="L1994" s="7">
        <f>IF($A1994="","",N1994-K1994)</f>
        <v/>
      </c>
      <c r="M1994" s="7">
        <f>IF($A1994="","",L1994-F1994)</f>
        <v/>
      </c>
      <c r="N1994" s="7" t="n"/>
      <c r="Q1994" s="11" t="n"/>
      <c r="S1994">
        <f>IF($A1994="","",IF($W1994=1,Settings!$C$6,Settings!$C$7)*1)</f>
        <v/>
      </c>
      <c r="U1994">
        <f>IF($A1994="","",IF(COUNTIF($A$2:$A1994,$A1994)=1,1,0))</f>
        <v/>
      </c>
      <c r="V1994">
        <f>IF($U1994=1,SUMPRODUCT(--($X$2:$X$3001&lt;$X1994))+1,"")</f>
        <v/>
      </c>
      <c r="W1994">
        <f>IF($A1994="","",IF(OR($T1994=TRUE(),$T1994="TRUE"),1,0))</f>
        <v/>
      </c>
      <c r="X1994">
        <f>IF($U1994=1,IFERROR(IF(VALUE($A1994)&lt;100000000,VALUE($A1994),1000000000),IFERROR(IF(VALUE(MID($A1994,2,20))&lt;100000000,VALUE(MID($A1994,2,20)),1000000000),1000000000))+ROW()/100000,"")</f>
        <v/>
      </c>
    </row>
    <row r="1995">
      <c r="F1995" s="7">
        <f>IF($A1995="","",E1995*N1995/100)</f>
        <v/>
      </c>
      <c r="J1995" s="7" t="n"/>
      <c r="K1995" s="7">
        <f>IF($A1995="","",S1995*N1995)</f>
        <v/>
      </c>
      <c r="L1995" s="7">
        <f>IF($A1995="","",N1995-K1995)</f>
        <v/>
      </c>
      <c r="M1995" s="7">
        <f>IF($A1995="","",L1995-F1995)</f>
        <v/>
      </c>
      <c r="N1995" s="7" t="n"/>
      <c r="Q1995" s="11" t="n"/>
      <c r="S1995">
        <f>IF($A1995="","",IF($W1995=1,Settings!$C$6,Settings!$C$7)*1)</f>
        <v/>
      </c>
      <c r="U1995">
        <f>IF($A1995="","",IF(COUNTIF($A$2:$A1995,$A1995)=1,1,0))</f>
        <v/>
      </c>
      <c r="V1995">
        <f>IF($U1995=1,SUMPRODUCT(--($X$2:$X$3001&lt;$X1995))+1,"")</f>
        <v/>
      </c>
      <c r="W1995">
        <f>IF($A1995="","",IF(OR($T1995=TRUE(),$T1995="TRUE"),1,0))</f>
        <v/>
      </c>
      <c r="X1995">
        <f>IF($U1995=1,IFERROR(IF(VALUE($A1995)&lt;100000000,VALUE($A1995),1000000000),IFERROR(IF(VALUE(MID($A1995,2,20))&lt;100000000,VALUE(MID($A1995,2,20)),1000000000),1000000000))+ROW()/100000,"")</f>
        <v/>
      </c>
    </row>
    <row r="1996">
      <c r="F1996" s="7">
        <f>IF($A1996="","",E1996*N1996/100)</f>
        <v/>
      </c>
      <c r="J1996" s="7" t="n"/>
      <c r="K1996" s="7">
        <f>IF($A1996="","",S1996*N1996)</f>
        <v/>
      </c>
      <c r="L1996" s="7">
        <f>IF($A1996="","",N1996-K1996)</f>
        <v/>
      </c>
      <c r="M1996" s="7">
        <f>IF($A1996="","",L1996-F1996)</f>
        <v/>
      </c>
      <c r="N1996" s="7" t="n"/>
      <c r="Q1996" s="11" t="n"/>
      <c r="S1996">
        <f>IF($A1996="","",IF($W1996=1,Settings!$C$6,Settings!$C$7)*1)</f>
        <v/>
      </c>
      <c r="U1996">
        <f>IF($A1996="","",IF(COUNTIF($A$2:$A1996,$A1996)=1,1,0))</f>
        <v/>
      </c>
      <c r="V1996">
        <f>IF($U1996=1,SUMPRODUCT(--($X$2:$X$3001&lt;$X1996))+1,"")</f>
        <v/>
      </c>
      <c r="W1996">
        <f>IF($A1996="","",IF(OR($T1996=TRUE(),$T1996="TRUE"),1,0))</f>
        <v/>
      </c>
      <c r="X1996">
        <f>IF($U1996=1,IFERROR(IF(VALUE($A1996)&lt;100000000,VALUE($A1996),1000000000),IFERROR(IF(VALUE(MID($A1996,2,20))&lt;100000000,VALUE(MID($A1996,2,20)),1000000000),1000000000))+ROW()/100000,"")</f>
        <v/>
      </c>
    </row>
    <row r="1997">
      <c r="F1997" s="7">
        <f>IF($A1997="","",E1997*N1997/100)</f>
        <v/>
      </c>
      <c r="J1997" s="7" t="n"/>
      <c r="K1997" s="7">
        <f>IF($A1997="","",S1997*N1997)</f>
        <v/>
      </c>
      <c r="L1997" s="7">
        <f>IF($A1997="","",N1997-K1997)</f>
        <v/>
      </c>
      <c r="M1997" s="7">
        <f>IF($A1997="","",L1997-F1997)</f>
        <v/>
      </c>
      <c r="N1997" s="7" t="n"/>
      <c r="Q1997" s="11" t="n"/>
      <c r="S1997">
        <f>IF($A1997="","",IF($W1997=1,Settings!$C$6,Settings!$C$7)*1)</f>
        <v/>
      </c>
      <c r="U1997">
        <f>IF($A1997="","",IF(COUNTIF($A$2:$A1997,$A1997)=1,1,0))</f>
        <v/>
      </c>
      <c r="V1997">
        <f>IF($U1997=1,SUMPRODUCT(--($X$2:$X$3001&lt;$X1997))+1,"")</f>
        <v/>
      </c>
      <c r="W1997">
        <f>IF($A1997="","",IF(OR($T1997=TRUE(),$T1997="TRUE"),1,0))</f>
        <v/>
      </c>
      <c r="X1997">
        <f>IF($U1997=1,IFERROR(IF(VALUE($A1997)&lt;100000000,VALUE($A1997),1000000000),IFERROR(IF(VALUE(MID($A1997,2,20))&lt;100000000,VALUE(MID($A1997,2,20)),1000000000),1000000000))+ROW()/100000,"")</f>
        <v/>
      </c>
    </row>
    <row r="1998">
      <c r="F1998" s="7">
        <f>IF($A1998="","",E1998*N1998/100)</f>
        <v/>
      </c>
      <c r="J1998" s="7" t="n"/>
      <c r="K1998" s="7">
        <f>IF($A1998="","",S1998*N1998)</f>
        <v/>
      </c>
      <c r="L1998" s="7">
        <f>IF($A1998="","",N1998-K1998)</f>
        <v/>
      </c>
      <c r="M1998" s="7">
        <f>IF($A1998="","",L1998-F1998)</f>
        <v/>
      </c>
      <c r="N1998" s="7" t="n"/>
      <c r="Q1998" s="11" t="n"/>
      <c r="S1998">
        <f>IF($A1998="","",IF($W1998=1,Settings!$C$6,Settings!$C$7)*1)</f>
        <v/>
      </c>
      <c r="U1998">
        <f>IF($A1998="","",IF(COUNTIF($A$2:$A1998,$A1998)=1,1,0))</f>
        <v/>
      </c>
      <c r="V1998">
        <f>IF($U1998=1,SUMPRODUCT(--($X$2:$X$3001&lt;$X1998))+1,"")</f>
        <v/>
      </c>
      <c r="W1998">
        <f>IF($A1998="","",IF(OR($T1998=TRUE(),$T1998="TRUE"),1,0))</f>
        <v/>
      </c>
      <c r="X1998">
        <f>IF($U1998=1,IFERROR(IF(VALUE($A1998)&lt;100000000,VALUE($A1998),1000000000),IFERROR(IF(VALUE(MID($A1998,2,20))&lt;100000000,VALUE(MID($A1998,2,20)),1000000000),1000000000))+ROW()/100000,"")</f>
        <v/>
      </c>
    </row>
    <row r="1999">
      <c r="F1999" s="7">
        <f>IF($A1999="","",E1999*N1999/100)</f>
        <v/>
      </c>
      <c r="J1999" s="7" t="n"/>
      <c r="K1999" s="7">
        <f>IF($A1999="","",S1999*N1999)</f>
        <v/>
      </c>
      <c r="L1999" s="7">
        <f>IF($A1999="","",N1999-K1999)</f>
        <v/>
      </c>
      <c r="M1999" s="7">
        <f>IF($A1999="","",L1999-F1999)</f>
        <v/>
      </c>
      <c r="N1999" s="7" t="n"/>
      <c r="Q1999" s="11" t="n"/>
      <c r="S1999">
        <f>IF($A1999="","",IF($W1999=1,Settings!$C$6,Settings!$C$7)*1)</f>
        <v/>
      </c>
      <c r="U1999">
        <f>IF($A1999="","",IF(COUNTIF($A$2:$A1999,$A1999)=1,1,0))</f>
        <v/>
      </c>
      <c r="V1999">
        <f>IF($U1999=1,SUMPRODUCT(--($X$2:$X$3001&lt;$X1999))+1,"")</f>
        <v/>
      </c>
      <c r="W1999">
        <f>IF($A1999="","",IF(OR($T1999=TRUE(),$T1999="TRUE"),1,0))</f>
        <v/>
      </c>
      <c r="X1999">
        <f>IF($U1999=1,IFERROR(IF(VALUE($A1999)&lt;100000000,VALUE($A1999),1000000000),IFERROR(IF(VALUE(MID($A1999,2,20))&lt;100000000,VALUE(MID($A1999,2,20)),1000000000),1000000000))+ROW()/100000,"")</f>
        <v/>
      </c>
    </row>
    <row r="2000">
      <c r="F2000" s="7">
        <f>IF($A2000="","",E2000*N2000/100)</f>
        <v/>
      </c>
      <c r="J2000" s="7" t="n"/>
      <c r="K2000" s="7">
        <f>IF($A2000="","",S2000*N2000)</f>
        <v/>
      </c>
      <c r="L2000" s="7">
        <f>IF($A2000="","",N2000-K2000)</f>
        <v/>
      </c>
      <c r="M2000" s="7">
        <f>IF($A2000="","",L2000-F2000)</f>
        <v/>
      </c>
      <c r="N2000" s="7" t="n"/>
      <c r="Q2000" s="11" t="n"/>
      <c r="S2000">
        <f>IF($A2000="","",IF($W2000=1,Settings!$C$6,Settings!$C$7)*1)</f>
        <v/>
      </c>
      <c r="U2000">
        <f>IF($A2000="","",IF(COUNTIF($A$2:$A2000,$A2000)=1,1,0))</f>
        <v/>
      </c>
      <c r="V2000">
        <f>IF($U2000=1,SUMPRODUCT(--($X$2:$X$3001&lt;$X2000))+1,"")</f>
        <v/>
      </c>
      <c r="W2000">
        <f>IF($A2000="","",IF(OR($T2000=TRUE(),$T2000="TRUE"),1,0))</f>
        <v/>
      </c>
      <c r="X2000">
        <f>IF($U2000=1,IFERROR(IF(VALUE($A2000)&lt;100000000,VALUE($A2000),1000000000),IFERROR(IF(VALUE(MID($A2000,2,20))&lt;100000000,VALUE(MID($A2000,2,20)),1000000000),1000000000))+ROW()/100000,"")</f>
        <v/>
      </c>
    </row>
    <row r="2001">
      <c r="F2001" s="7">
        <f>IF($A2001="","",E2001*N2001/100)</f>
        <v/>
      </c>
      <c r="J2001" s="7" t="n"/>
      <c r="K2001" s="7">
        <f>IF($A2001="","",S2001*N2001)</f>
        <v/>
      </c>
      <c r="L2001" s="7">
        <f>IF($A2001="","",N2001-K2001)</f>
        <v/>
      </c>
      <c r="M2001" s="7">
        <f>IF($A2001="","",L2001-F2001)</f>
        <v/>
      </c>
      <c r="N2001" s="7" t="n"/>
      <c r="Q2001" s="11" t="n"/>
      <c r="S2001">
        <f>IF($A2001="","",IF($W2001=1,Settings!$C$6,Settings!$C$7)*1)</f>
        <v/>
      </c>
      <c r="U2001">
        <f>IF($A2001="","",IF(COUNTIF($A$2:$A2001,$A2001)=1,1,0))</f>
        <v/>
      </c>
      <c r="V2001">
        <f>IF($U2001=1,SUMPRODUCT(--($X$2:$X$3001&lt;$X2001))+1,"")</f>
        <v/>
      </c>
      <c r="W2001">
        <f>IF($A2001="","",IF(OR($T2001=TRUE(),$T2001="TRUE"),1,0))</f>
        <v/>
      </c>
      <c r="X2001">
        <f>IF($U2001=1,IFERROR(IF(VALUE($A2001)&lt;100000000,VALUE($A2001),1000000000),IFERROR(IF(VALUE(MID($A2001,2,20))&lt;100000000,VALUE(MID($A2001,2,20)),1000000000),1000000000))+ROW()/100000,"")</f>
        <v/>
      </c>
    </row>
    <row r="2002">
      <c r="F2002" s="7">
        <f>IF($A2002="","",E2002*N2002/100)</f>
        <v/>
      </c>
      <c r="J2002" s="7" t="n"/>
      <c r="K2002" s="7">
        <f>IF($A2002="","",S2002*N2002)</f>
        <v/>
      </c>
      <c r="L2002" s="7">
        <f>IF($A2002="","",N2002-K2002)</f>
        <v/>
      </c>
      <c r="M2002" s="7">
        <f>IF($A2002="","",L2002-F2002)</f>
        <v/>
      </c>
      <c r="N2002" s="7" t="n"/>
      <c r="Q2002" s="11" t="n"/>
      <c r="S2002">
        <f>IF($A2002="","",IF($W2002=1,Settings!$C$6,Settings!$C$7)*1)</f>
        <v/>
      </c>
      <c r="U2002">
        <f>IF($A2002="","",IF(COUNTIF($A$2:$A2002,$A2002)=1,1,0))</f>
        <v/>
      </c>
      <c r="V2002">
        <f>IF($U2002=1,SUMPRODUCT(--($X$2:$X$3001&lt;$X2002))+1,"")</f>
        <v/>
      </c>
      <c r="W2002">
        <f>IF($A2002="","",IF(OR($T2002=TRUE(),$T2002="TRUE"),1,0))</f>
        <v/>
      </c>
      <c r="X2002">
        <f>IF($U2002=1,IFERROR(IF(VALUE($A2002)&lt;100000000,VALUE($A2002),1000000000),IFERROR(IF(VALUE(MID($A2002,2,20))&lt;100000000,VALUE(MID($A2002,2,20)),1000000000),1000000000))+ROW()/100000,"")</f>
        <v/>
      </c>
    </row>
    <row r="2003">
      <c r="F2003" s="7">
        <f>IF($A2003="","",E2003*N2003/100)</f>
        <v/>
      </c>
      <c r="J2003" s="7" t="n"/>
      <c r="K2003" s="7">
        <f>IF($A2003="","",S2003*N2003)</f>
        <v/>
      </c>
      <c r="L2003" s="7">
        <f>IF($A2003="","",N2003-K2003)</f>
        <v/>
      </c>
      <c r="M2003" s="7">
        <f>IF($A2003="","",L2003-F2003)</f>
        <v/>
      </c>
      <c r="N2003" s="7" t="n"/>
      <c r="Q2003" s="11" t="n"/>
      <c r="S2003">
        <f>IF($A2003="","",IF($W2003=1,Settings!$C$6,Settings!$C$7)*1)</f>
        <v/>
      </c>
      <c r="U2003">
        <f>IF($A2003="","",IF(COUNTIF($A$2:$A2003,$A2003)=1,1,0))</f>
        <v/>
      </c>
      <c r="V2003">
        <f>IF($U2003=1,SUMPRODUCT(--($X$2:$X$3001&lt;$X2003))+1,"")</f>
        <v/>
      </c>
      <c r="W2003">
        <f>IF($A2003="","",IF(OR($T2003=TRUE(),$T2003="TRUE"),1,0))</f>
        <v/>
      </c>
      <c r="X2003">
        <f>IF($U2003=1,IFERROR(IF(VALUE($A2003)&lt;100000000,VALUE($A2003),1000000000),IFERROR(IF(VALUE(MID($A2003,2,20))&lt;100000000,VALUE(MID($A2003,2,20)),1000000000),1000000000))+ROW()/100000,"")</f>
        <v/>
      </c>
    </row>
    <row r="2004">
      <c r="F2004" s="7">
        <f>IF($A2004="","",E2004*N2004/100)</f>
        <v/>
      </c>
      <c r="J2004" s="7" t="n"/>
      <c r="K2004" s="7">
        <f>IF($A2004="","",S2004*N2004)</f>
        <v/>
      </c>
      <c r="L2004" s="7">
        <f>IF($A2004="","",N2004-K2004)</f>
        <v/>
      </c>
      <c r="M2004" s="7">
        <f>IF($A2004="","",L2004-F2004)</f>
        <v/>
      </c>
      <c r="N2004" s="7" t="n"/>
      <c r="Q2004" s="11" t="n"/>
      <c r="S2004">
        <f>IF($A2004="","",IF($W2004=1,Settings!$C$6,Settings!$C$7)*1)</f>
        <v/>
      </c>
      <c r="U2004">
        <f>IF($A2004="","",IF(COUNTIF($A$2:$A2004,$A2004)=1,1,0))</f>
        <v/>
      </c>
      <c r="V2004">
        <f>IF($U2004=1,SUMPRODUCT(--($X$2:$X$3001&lt;$X2004))+1,"")</f>
        <v/>
      </c>
      <c r="W2004">
        <f>IF($A2004="","",IF(OR($T2004=TRUE(),$T2004="TRUE"),1,0))</f>
        <v/>
      </c>
      <c r="X2004">
        <f>IF($U2004=1,IFERROR(IF(VALUE($A2004)&lt;100000000,VALUE($A2004),1000000000),IFERROR(IF(VALUE(MID($A2004,2,20))&lt;100000000,VALUE(MID($A2004,2,20)),1000000000),1000000000))+ROW()/100000,"")</f>
        <v/>
      </c>
    </row>
    <row r="2005">
      <c r="F2005" s="7">
        <f>IF($A2005="","",E2005*N2005/100)</f>
        <v/>
      </c>
      <c r="J2005" s="7" t="n"/>
      <c r="K2005" s="7">
        <f>IF($A2005="","",S2005*N2005)</f>
        <v/>
      </c>
      <c r="L2005" s="7">
        <f>IF($A2005="","",N2005-K2005)</f>
        <v/>
      </c>
      <c r="M2005" s="7">
        <f>IF($A2005="","",L2005-F2005)</f>
        <v/>
      </c>
      <c r="N2005" s="7" t="n"/>
      <c r="Q2005" s="11" t="n"/>
      <c r="S2005">
        <f>IF($A2005="","",IF($W2005=1,Settings!$C$6,Settings!$C$7)*1)</f>
        <v/>
      </c>
      <c r="U2005">
        <f>IF($A2005="","",IF(COUNTIF($A$2:$A2005,$A2005)=1,1,0))</f>
        <v/>
      </c>
      <c r="V2005">
        <f>IF($U2005=1,SUMPRODUCT(--($X$2:$X$3001&lt;$X2005))+1,"")</f>
        <v/>
      </c>
      <c r="W2005">
        <f>IF($A2005="","",IF(OR($T2005=TRUE(),$T2005="TRUE"),1,0))</f>
        <v/>
      </c>
      <c r="X2005">
        <f>IF($U2005=1,IFERROR(IF(VALUE($A2005)&lt;100000000,VALUE($A2005),1000000000),IFERROR(IF(VALUE(MID($A2005,2,20))&lt;100000000,VALUE(MID($A2005,2,20)),1000000000),1000000000))+ROW()/100000,"")</f>
        <v/>
      </c>
    </row>
    <row r="2006">
      <c r="F2006" s="7">
        <f>IF($A2006="","",E2006*N2006/100)</f>
        <v/>
      </c>
      <c r="J2006" s="7" t="n"/>
      <c r="K2006" s="7">
        <f>IF($A2006="","",S2006*N2006)</f>
        <v/>
      </c>
      <c r="L2006" s="7">
        <f>IF($A2006="","",N2006-K2006)</f>
        <v/>
      </c>
      <c r="M2006" s="7">
        <f>IF($A2006="","",L2006-F2006)</f>
        <v/>
      </c>
      <c r="N2006" s="7" t="n"/>
      <c r="Q2006" s="11" t="n"/>
      <c r="S2006">
        <f>IF($A2006="","",IF($W2006=1,Settings!$C$6,Settings!$C$7)*1)</f>
        <v/>
      </c>
      <c r="U2006">
        <f>IF($A2006="","",IF(COUNTIF($A$2:$A2006,$A2006)=1,1,0))</f>
        <v/>
      </c>
      <c r="V2006">
        <f>IF($U2006=1,SUMPRODUCT(--($X$2:$X$3001&lt;$X2006))+1,"")</f>
        <v/>
      </c>
      <c r="W2006">
        <f>IF($A2006="","",IF(OR($T2006=TRUE(),$T2006="TRUE"),1,0))</f>
        <v/>
      </c>
      <c r="X2006">
        <f>IF($U2006=1,IFERROR(IF(VALUE($A2006)&lt;100000000,VALUE($A2006),1000000000),IFERROR(IF(VALUE(MID($A2006,2,20))&lt;100000000,VALUE(MID($A2006,2,20)),1000000000),1000000000))+ROW()/100000,"")</f>
        <v/>
      </c>
    </row>
    <row r="2007">
      <c r="F2007" s="7">
        <f>IF($A2007="","",E2007*N2007/100)</f>
        <v/>
      </c>
      <c r="J2007" s="7" t="n"/>
      <c r="K2007" s="7">
        <f>IF($A2007="","",S2007*N2007)</f>
        <v/>
      </c>
      <c r="L2007" s="7">
        <f>IF($A2007="","",N2007-K2007)</f>
        <v/>
      </c>
      <c r="M2007" s="7">
        <f>IF($A2007="","",L2007-F2007)</f>
        <v/>
      </c>
      <c r="N2007" s="7" t="n"/>
      <c r="Q2007" s="11" t="n"/>
      <c r="S2007">
        <f>IF($A2007="","",IF($W2007=1,Settings!$C$6,Settings!$C$7)*1)</f>
        <v/>
      </c>
      <c r="U2007">
        <f>IF($A2007="","",IF(COUNTIF($A$2:$A2007,$A2007)=1,1,0))</f>
        <v/>
      </c>
      <c r="V2007">
        <f>IF($U2007=1,SUMPRODUCT(--($X$2:$X$3001&lt;$X2007))+1,"")</f>
        <v/>
      </c>
      <c r="W2007">
        <f>IF($A2007="","",IF(OR($T2007=TRUE(),$T2007="TRUE"),1,0))</f>
        <v/>
      </c>
      <c r="X2007">
        <f>IF($U2007=1,IFERROR(IF(VALUE($A2007)&lt;100000000,VALUE($A2007),1000000000),IFERROR(IF(VALUE(MID($A2007,2,20))&lt;100000000,VALUE(MID($A2007,2,20)),1000000000),1000000000))+ROW()/100000,"")</f>
        <v/>
      </c>
    </row>
    <row r="2008">
      <c r="F2008" s="7">
        <f>IF($A2008="","",E2008*N2008/100)</f>
        <v/>
      </c>
      <c r="J2008" s="7" t="n"/>
      <c r="K2008" s="7">
        <f>IF($A2008="","",S2008*N2008)</f>
        <v/>
      </c>
      <c r="L2008" s="7">
        <f>IF($A2008="","",N2008-K2008)</f>
        <v/>
      </c>
      <c r="M2008" s="7">
        <f>IF($A2008="","",L2008-F2008)</f>
        <v/>
      </c>
      <c r="N2008" s="7" t="n"/>
      <c r="Q2008" s="11" t="n"/>
      <c r="S2008">
        <f>IF($A2008="","",IF($W2008=1,Settings!$C$6,Settings!$C$7)*1)</f>
        <v/>
      </c>
      <c r="U2008">
        <f>IF($A2008="","",IF(COUNTIF($A$2:$A2008,$A2008)=1,1,0))</f>
        <v/>
      </c>
      <c r="V2008">
        <f>IF($U2008=1,SUMPRODUCT(--($X$2:$X$3001&lt;$X2008))+1,"")</f>
        <v/>
      </c>
      <c r="W2008">
        <f>IF($A2008="","",IF(OR($T2008=TRUE(),$T2008="TRUE"),1,0))</f>
        <v/>
      </c>
      <c r="X2008">
        <f>IF($U2008=1,IFERROR(IF(VALUE($A2008)&lt;100000000,VALUE($A2008),1000000000),IFERROR(IF(VALUE(MID($A2008,2,20))&lt;100000000,VALUE(MID($A2008,2,20)),1000000000),1000000000))+ROW()/100000,"")</f>
        <v/>
      </c>
    </row>
    <row r="2009">
      <c r="F2009" s="7">
        <f>IF($A2009="","",E2009*N2009/100)</f>
        <v/>
      </c>
      <c r="J2009" s="7" t="n"/>
      <c r="K2009" s="7">
        <f>IF($A2009="","",S2009*N2009)</f>
        <v/>
      </c>
      <c r="L2009" s="7">
        <f>IF($A2009="","",N2009-K2009)</f>
        <v/>
      </c>
      <c r="M2009" s="7">
        <f>IF($A2009="","",L2009-F2009)</f>
        <v/>
      </c>
      <c r="N2009" s="7" t="n"/>
      <c r="Q2009" s="11" t="n"/>
      <c r="S2009">
        <f>IF($A2009="","",IF($W2009=1,Settings!$C$6,Settings!$C$7)*1)</f>
        <v/>
      </c>
      <c r="U2009">
        <f>IF($A2009="","",IF(COUNTIF($A$2:$A2009,$A2009)=1,1,0))</f>
        <v/>
      </c>
      <c r="V2009">
        <f>IF($U2009=1,SUMPRODUCT(--($X$2:$X$3001&lt;$X2009))+1,"")</f>
        <v/>
      </c>
      <c r="W2009">
        <f>IF($A2009="","",IF(OR($T2009=TRUE(),$T2009="TRUE"),1,0))</f>
        <v/>
      </c>
      <c r="X2009">
        <f>IF($U2009=1,IFERROR(IF(VALUE($A2009)&lt;100000000,VALUE($A2009),1000000000),IFERROR(IF(VALUE(MID($A2009,2,20))&lt;100000000,VALUE(MID($A2009,2,20)),1000000000),1000000000))+ROW()/100000,"")</f>
        <v/>
      </c>
    </row>
    <row r="2010">
      <c r="F2010" s="7">
        <f>IF($A2010="","",E2010*N2010/100)</f>
        <v/>
      </c>
      <c r="J2010" s="7" t="n"/>
      <c r="K2010" s="7">
        <f>IF($A2010="","",S2010*N2010)</f>
        <v/>
      </c>
      <c r="L2010" s="7">
        <f>IF($A2010="","",N2010-K2010)</f>
        <v/>
      </c>
      <c r="M2010" s="7">
        <f>IF($A2010="","",L2010-F2010)</f>
        <v/>
      </c>
      <c r="N2010" s="7" t="n"/>
      <c r="Q2010" s="11" t="n"/>
      <c r="S2010">
        <f>IF($A2010="","",IF($W2010=1,Settings!$C$6,Settings!$C$7)*1)</f>
        <v/>
      </c>
      <c r="U2010">
        <f>IF($A2010="","",IF(COUNTIF($A$2:$A2010,$A2010)=1,1,0))</f>
        <v/>
      </c>
      <c r="V2010">
        <f>IF($U2010=1,SUMPRODUCT(--($X$2:$X$3001&lt;$X2010))+1,"")</f>
        <v/>
      </c>
      <c r="W2010">
        <f>IF($A2010="","",IF(OR($T2010=TRUE(),$T2010="TRUE"),1,0))</f>
        <v/>
      </c>
      <c r="X2010">
        <f>IF($U2010=1,IFERROR(IF(VALUE($A2010)&lt;100000000,VALUE($A2010),1000000000),IFERROR(IF(VALUE(MID($A2010,2,20))&lt;100000000,VALUE(MID($A2010,2,20)),1000000000),1000000000))+ROW()/100000,"")</f>
        <v/>
      </c>
    </row>
    <row r="2011">
      <c r="F2011" s="7">
        <f>IF($A2011="","",E2011*N2011/100)</f>
        <v/>
      </c>
      <c r="J2011" s="7" t="n"/>
      <c r="K2011" s="7">
        <f>IF($A2011="","",S2011*N2011)</f>
        <v/>
      </c>
      <c r="L2011" s="7">
        <f>IF($A2011="","",N2011-K2011)</f>
        <v/>
      </c>
      <c r="M2011" s="7">
        <f>IF($A2011="","",L2011-F2011)</f>
        <v/>
      </c>
      <c r="N2011" s="7" t="n"/>
      <c r="Q2011" s="11" t="n"/>
      <c r="S2011">
        <f>IF($A2011="","",IF($W2011=1,Settings!$C$6,Settings!$C$7)*1)</f>
        <v/>
      </c>
      <c r="U2011">
        <f>IF($A2011="","",IF(COUNTIF($A$2:$A2011,$A2011)=1,1,0))</f>
        <v/>
      </c>
      <c r="V2011">
        <f>IF($U2011=1,SUMPRODUCT(--($X$2:$X$3001&lt;$X2011))+1,"")</f>
        <v/>
      </c>
      <c r="W2011">
        <f>IF($A2011="","",IF(OR($T2011=TRUE(),$T2011="TRUE"),1,0))</f>
        <v/>
      </c>
      <c r="X2011">
        <f>IF($U2011=1,IFERROR(IF(VALUE($A2011)&lt;100000000,VALUE($A2011),1000000000),IFERROR(IF(VALUE(MID($A2011,2,20))&lt;100000000,VALUE(MID($A2011,2,20)),1000000000),1000000000))+ROW()/100000,"")</f>
        <v/>
      </c>
    </row>
    <row r="2012">
      <c r="F2012" s="7">
        <f>IF($A2012="","",E2012*N2012/100)</f>
        <v/>
      </c>
      <c r="J2012" s="7" t="n"/>
      <c r="K2012" s="7">
        <f>IF($A2012="","",S2012*N2012)</f>
        <v/>
      </c>
      <c r="L2012" s="7">
        <f>IF($A2012="","",N2012-K2012)</f>
        <v/>
      </c>
      <c r="M2012" s="7">
        <f>IF($A2012="","",L2012-F2012)</f>
        <v/>
      </c>
      <c r="N2012" s="7" t="n"/>
      <c r="Q2012" s="11" t="n"/>
      <c r="S2012">
        <f>IF($A2012="","",IF($W2012=1,Settings!$C$6,Settings!$C$7)*1)</f>
        <v/>
      </c>
      <c r="U2012">
        <f>IF($A2012="","",IF(COUNTIF($A$2:$A2012,$A2012)=1,1,0))</f>
        <v/>
      </c>
      <c r="V2012">
        <f>IF($U2012=1,SUMPRODUCT(--($X$2:$X$3001&lt;$X2012))+1,"")</f>
        <v/>
      </c>
      <c r="W2012">
        <f>IF($A2012="","",IF(OR($T2012=TRUE(),$T2012="TRUE"),1,0))</f>
        <v/>
      </c>
      <c r="X2012">
        <f>IF($U2012=1,IFERROR(IF(VALUE($A2012)&lt;100000000,VALUE($A2012),1000000000),IFERROR(IF(VALUE(MID($A2012,2,20))&lt;100000000,VALUE(MID($A2012,2,20)),1000000000),1000000000))+ROW()/100000,"")</f>
        <v/>
      </c>
    </row>
    <row r="2013">
      <c r="F2013" s="7">
        <f>IF($A2013="","",E2013*N2013/100)</f>
        <v/>
      </c>
      <c r="J2013" s="7" t="n"/>
      <c r="K2013" s="7">
        <f>IF($A2013="","",S2013*N2013)</f>
        <v/>
      </c>
      <c r="L2013" s="7">
        <f>IF($A2013="","",N2013-K2013)</f>
        <v/>
      </c>
      <c r="M2013" s="7">
        <f>IF($A2013="","",L2013-F2013)</f>
        <v/>
      </c>
      <c r="N2013" s="7" t="n"/>
      <c r="Q2013" s="11" t="n"/>
      <c r="S2013">
        <f>IF($A2013="","",IF($W2013=1,Settings!$C$6,Settings!$C$7)*1)</f>
        <v/>
      </c>
      <c r="U2013">
        <f>IF($A2013="","",IF(COUNTIF($A$2:$A2013,$A2013)=1,1,0))</f>
        <v/>
      </c>
      <c r="V2013">
        <f>IF($U2013=1,SUMPRODUCT(--($X$2:$X$3001&lt;$X2013))+1,"")</f>
        <v/>
      </c>
      <c r="W2013">
        <f>IF($A2013="","",IF(OR($T2013=TRUE(),$T2013="TRUE"),1,0))</f>
        <v/>
      </c>
      <c r="X2013">
        <f>IF($U2013=1,IFERROR(IF(VALUE($A2013)&lt;100000000,VALUE($A2013),1000000000),IFERROR(IF(VALUE(MID($A2013,2,20))&lt;100000000,VALUE(MID($A2013,2,20)),1000000000),1000000000))+ROW()/100000,"")</f>
        <v/>
      </c>
    </row>
    <row r="2014">
      <c r="F2014" s="7">
        <f>IF($A2014="","",E2014*N2014/100)</f>
        <v/>
      </c>
      <c r="J2014" s="7" t="n"/>
      <c r="K2014" s="7">
        <f>IF($A2014="","",S2014*N2014)</f>
        <v/>
      </c>
      <c r="L2014" s="7">
        <f>IF($A2014="","",N2014-K2014)</f>
        <v/>
      </c>
      <c r="M2014" s="7">
        <f>IF($A2014="","",L2014-F2014)</f>
        <v/>
      </c>
      <c r="N2014" s="7" t="n"/>
      <c r="Q2014" s="11" t="n"/>
      <c r="S2014">
        <f>IF($A2014="","",IF($W2014=1,Settings!$C$6,Settings!$C$7)*1)</f>
        <v/>
      </c>
      <c r="U2014">
        <f>IF($A2014="","",IF(COUNTIF($A$2:$A2014,$A2014)=1,1,0))</f>
        <v/>
      </c>
      <c r="V2014">
        <f>IF($U2014=1,SUMPRODUCT(--($X$2:$X$3001&lt;$X2014))+1,"")</f>
        <v/>
      </c>
      <c r="W2014">
        <f>IF($A2014="","",IF(OR($T2014=TRUE(),$T2014="TRUE"),1,0))</f>
        <v/>
      </c>
      <c r="X2014">
        <f>IF($U2014=1,IFERROR(IF(VALUE($A2014)&lt;100000000,VALUE($A2014),1000000000),IFERROR(IF(VALUE(MID($A2014,2,20))&lt;100000000,VALUE(MID($A2014,2,20)),1000000000),1000000000))+ROW()/100000,"")</f>
        <v/>
      </c>
    </row>
    <row r="2015">
      <c r="F2015" s="7">
        <f>IF($A2015="","",E2015*N2015/100)</f>
        <v/>
      </c>
      <c r="J2015" s="7" t="n"/>
      <c r="K2015" s="7">
        <f>IF($A2015="","",S2015*N2015)</f>
        <v/>
      </c>
      <c r="L2015" s="7">
        <f>IF($A2015="","",N2015-K2015)</f>
        <v/>
      </c>
      <c r="M2015" s="7">
        <f>IF($A2015="","",L2015-F2015)</f>
        <v/>
      </c>
      <c r="N2015" s="7" t="n"/>
      <c r="Q2015" s="11" t="n"/>
      <c r="S2015">
        <f>IF($A2015="","",IF($W2015=1,Settings!$C$6,Settings!$C$7)*1)</f>
        <v/>
      </c>
      <c r="U2015">
        <f>IF($A2015="","",IF(COUNTIF($A$2:$A2015,$A2015)=1,1,0))</f>
        <v/>
      </c>
      <c r="V2015">
        <f>IF($U2015=1,SUMPRODUCT(--($X$2:$X$3001&lt;$X2015))+1,"")</f>
        <v/>
      </c>
      <c r="W2015">
        <f>IF($A2015="","",IF(OR($T2015=TRUE(),$T2015="TRUE"),1,0))</f>
        <v/>
      </c>
      <c r="X2015">
        <f>IF($U2015=1,IFERROR(IF(VALUE($A2015)&lt;100000000,VALUE($A2015),1000000000),IFERROR(IF(VALUE(MID($A2015,2,20))&lt;100000000,VALUE(MID($A2015,2,20)),1000000000),1000000000))+ROW()/100000,"")</f>
        <v/>
      </c>
    </row>
    <row r="2016">
      <c r="F2016" s="7">
        <f>IF($A2016="","",E2016*N2016/100)</f>
        <v/>
      </c>
      <c r="J2016" s="7" t="n"/>
      <c r="K2016" s="7">
        <f>IF($A2016="","",S2016*N2016)</f>
        <v/>
      </c>
      <c r="L2016" s="7">
        <f>IF($A2016="","",N2016-K2016)</f>
        <v/>
      </c>
      <c r="M2016" s="7">
        <f>IF($A2016="","",L2016-F2016)</f>
        <v/>
      </c>
      <c r="N2016" s="7" t="n"/>
      <c r="Q2016" s="11" t="n"/>
      <c r="S2016">
        <f>IF($A2016="","",IF($W2016=1,Settings!$C$6,Settings!$C$7)*1)</f>
        <v/>
      </c>
      <c r="U2016">
        <f>IF($A2016="","",IF(COUNTIF($A$2:$A2016,$A2016)=1,1,0))</f>
        <v/>
      </c>
      <c r="V2016">
        <f>IF($U2016=1,SUMPRODUCT(--($X$2:$X$3001&lt;$X2016))+1,"")</f>
        <v/>
      </c>
      <c r="W2016">
        <f>IF($A2016="","",IF(OR($T2016=TRUE(),$T2016="TRUE"),1,0))</f>
        <v/>
      </c>
      <c r="X2016">
        <f>IF($U2016=1,IFERROR(IF(VALUE($A2016)&lt;100000000,VALUE($A2016),1000000000),IFERROR(IF(VALUE(MID($A2016,2,20))&lt;100000000,VALUE(MID($A2016,2,20)),1000000000),1000000000))+ROW()/100000,"")</f>
        <v/>
      </c>
    </row>
    <row r="2017">
      <c r="F2017" s="7">
        <f>IF($A2017="","",E2017*N2017/100)</f>
        <v/>
      </c>
      <c r="J2017" s="7" t="n"/>
      <c r="K2017" s="7">
        <f>IF($A2017="","",S2017*N2017)</f>
        <v/>
      </c>
      <c r="L2017" s="7">
        <f>IF($A2017="","",N2017-K2017)</f>
        <v/>
      </c>
      <c r="M2017" s="7">
        <f>IF($A2017="","",L2017-F2017)</f>
        <v/>
      </c>
      <c r="N2017" s="7" t="n"/>
      <c r="Q2017" s="11" t="n"/>
      <c r="S2017">
        <f>IF($A2017="","",IF($W2017=1,Settings!$C$6,Settings!$C$7)*1)</f>
        <v/>
      </c>
      <c r="U2017">
        <f>IF($A2017="","",IF(COUNTIF($A$2:$A2017,$A2017)=1,1,0))</f>
        <v/>
      </c>
      <c r="V2017">
        <f>IF($U2017=1,SUMPRODUCT(--($X$2:$X$3001&lt;$X2017))+1,"")</f>
        <v/>
      </c>
      <c r="W2017">
        <f>IF($A2017="","",IF(OR($T2017=TRUE(),$T2017="TRUE"),1,0))</f>
        <v/>
      </c>
      <c r="X2017">
        <f>IF($U2017=1,IFERROR(IF(VALUE($A2017)&lt;100000000,VALUE($A2017),1000000000),IFERROR(IF(VALUE(MID($A2017,2,20))&lt;100000000,VALUE(MID($A2017,2,20)),1000000000),1000000000))+ROW()/100000,"")</f>
        <v/>
      </c>
    </row>
    <row r="2018">
      <c r="F2018" s="7">
        <f>IF($A2018="","",E2018*N2018/100)</f>
        <v/>
      </c>
      <c r="J2018" s="7" t="n"/>
      <c r="K2018" s="7">
        <f>IF($A2018="","",S2018*N2018)</f>
        <v/>
      </c>
      <c r="L2018" s="7">
        <f>IF($A2018="","",N2018-K2018)</f>
        <v/>
      </c>
      <c r="M2018" s="7">
        <f>IF($A2018="","",L2018-F2018)</f>
        <v/>
      </c>
      <c r="N2018" s="7" t="n"/>
      <c r="Q2018" s="11" t="n"/>
      <c r="S2018">
        <f>IF($A2018="","",IF($W2018=1,Settings!$C$6,Settings!$C$7)*1)</f>
        <v/>
      </c>
      <c r="U2018">
        <f>IF($A2018="","",IF(COUNTIF($A$2:$A2018,$A2018)=1,1,0))</f>
        <v/>
      </c>
      <c r="V2018">
        <f>IF($U2018=1,SUMPRODUCT(--($X$2:$X$3001&lt;$X2018))+1,"")</f>
        <v/>
      </c>
      <c r="W2018">
        <f>IF($A2018="","",IF(OR($T2018=TRUE(),$T2018="TRUE"),1,0))</f>
        <v/>
      </c>
      <c r="X2018">
        <f>IF($U2018=1,IFERROR(IF(VALUE($A2018)&lt;100000000,VALUE($A2018),1000000000),IFERROR(IF(VALUE(MID($A2018,2,20))&lt;100000000,VALUE(MID($A2018,2,20)),1000000000),1000000000))+ROW()/100000,"")</f>
        <v/>
      </c>
    </row>
    <row r="2019">
      <c r="F2019" s="7">
        <f>IF($A2019="","",E2019*N2019/100)</f>
        <v/>
      </c>
      <c r="J2019" s="7" t="n"/>
      <c r="K2019" s="7">
        <f>IF($A2019="","",S2019*N2019)</f>
        <v/>
      </c>
      <c r="L2019" s="7">
        <f>IF($A2019="","",N2019-K2019)</f>
        <v/>
      </c>
      <c r="M2019" s="7">
        <f>IF($A2019="","",L2019-F2019)</f>
        <v/>
      </c>
      <c r="N2019" s="7" t="n"/>
      <c r="Q2019" s="11" t="n"/>
      <c r="S2019">
        <f>IF($A2019="","",IF($W2019=1,Settings!$C$6,Settings!$C$7)*1)</f>
        <v/>
      </c>
      <c r="U2019">
        <f>IF($A2019="","",IF(COUNTIF($A$2:$A2019,$A2019)=1,1,0))</f>
        <v/>
      </c>
      <c r="V2019">
        <f>IF($U2019=1,SUMPRODUCT(--($X$2:$X$3001&lt;$X2019))+1,"")</f>
        <v/>
      </c>
      <c r="W2019">
        <f>IF($A2019="","",IF(OR($T2019=TRUE(),$T2019="TRUE"),1,0))</f>
        <v/>
      </c>
      <c r="X2019">
        <f>IF($U2019=1,IFERROR(IF(VALUE($A2019)&lt;100000000,VALUE($A2019),1000000000),IFERROR(IF(VALUE(MID($A2019,2,20))&lt;100000000,VALUE(MID($A2019,2,20)),1000000000),1000000000))+ROW()/100000,"")</f>
        <v/>
      </c>
    </row>
    <row r="2020">
      <c r="F2020" s="7">
        <f>IF($A2020="","",E2020*N2020/100)</f>
        <v/>
      </c>
      <c r="J2020" s="7" t="n"/>
      <c r="K2020" s="7">
        <f>IF($A2020="","",S2020*N2020)</f>
        <v/>
      </c>
      <c r="L2020" s="7">
        <f>IF($A2020="","",N2020-K2020)</f>
        <v/>
      </c>
      <c r="M2020" s="7">
        <f>IF($A2020="","",L2020-F2020)</f>
        <v/>
      </c>
      <c r="N2020" s="7" t="n"/>
      <c r="Q2020" s="11" t="n"/>
      <c r="S2020">
        <f>IF($A2020="","",IF($W2020=1,Settings!$C$6,Settings!$C$7)*1)</f>
        <v/>
      </c>
      <c r="U2020">
        <f>IF($A2020="","",IF(COUNTIF($A$2:$A2020,$A2020)=1,1,0))</f>
        <v/>
      </c>
      <c r="V2020">
        <f>IF($U2020=1,SUMPRODUCT(--($X$2:$X$3001&lt;$X2020))+1,"")</f>
        <v/>
      </c>
      <c r="W2020">
        <f>IF($A2020="","",IF(OR($T2020=TRUE(),$T2020="TRUE"),1,0))</f>
        <v/>
      </c>
      <c r="X2020">
        <f>IF($U2020=1,IFERROR(IF(VALUE($A2020)&lt;100000000,VALUE($A2020),1000000000),IFERROR(IF(VALUE(MID($A2020,2,20))&lt;100000000,VALUE(MID($A2020,2,20)),1000000000),1000000000))+ROW()/100000,"")</f>
        <v/>
      </c>
    </row>
    <row r="2021">
      <c r="F2021" s="7">
        <f>IF($A2021="","",E2021*N2021/100)</f>
        <v/>
      </c>
      <c r="J2021" s="7" t="n"/>
      <c r="K2021" s="7">
        <f>IF($A2021="","",S2021*N2021)</f>
        <v/>
      </c>
      <c r="L2021" s="7">
        <f>IF($A2021="","",N2021-K2021)</f>
        <v/>
      </c>
      <c r="M2021" s="7">
        <f>IF($A2021="","",L2021-F2021)</f>
        <v/>
      </c>
      <c r="N2021" s="7" t="n"/>
      <c r="Q2021" s="11" t="n"/>
      <c r="S2021">
        <f>IF($A2021="","",IF($W2021=1,Settings!$C$6,Settings!$C$7)*1)</f>
        <v/>
      </c>
      <c r="U2021">
        <f>IF($A2021="","",IF(COUNTIF($A$2:$A2021,$A2021)=1,1,0))</f>
        <v/>
      </c>
      <c r="V2021">
        <f>IF($U2021=1,SUMPRODUCT(--($X$2:$X$3001&lt;$X2021))+1,"")</f>
        <v/>
      </c>
      <c r="W2021">
        <f>IF($A2021="","",IF(OR($T2021=TRUE(),$T2021="TRUE"),1,0))</f>
        <v/>
      </c>
      <c r="X2021">
        <f>IF($U2021=1,IFERROR(IF(VALUE($A2021)&lt;100000000,VALUE($A2021),1000000000),IFERROR(IF(VALUE(MID($A2021,2,20))&lt;100000000,VALUE(MID($A2021,2,20)),1000000000),1000000000))+ROW()/100000,"")</f>
        <v/>
      </c>
    </row>
    <row r="2022">
      <c r="F2022" s="7">
        <f>IF($A2022="","",E2022*N2022/100)</f>
        <v/>
      </c>
      <c r="J2022" s="7" t="n"/>
      <c r="K2022" s="7">
        <f>IF($A2022="","",S2022*N2022)</f>
        <v/>
      </c>
      <c r="L2022" s="7">
        <f>IF($A2022="","",N2022-K2022)</f>
        <v/>
      </c>
      <c r="M2022" s="7">
        <f>IF($A2022="","",L2022-F2022)</f>
        <v/>
      </c>
      <c r="N2022" s="7" t="n"/>
      <c r="Q2022" s="11" t="n"/>
      <c r="S2022">
        <f>IF($A2022="","",IF($W2022=1,Settings!$C$6,Settings!$C$7)*1)</f>
        <v/>
      </c>
      <c r="U2022">
        <f>IF($A2022="","",IF(COUNTIF($A$2:$A2022,$A2022)=1,1,0))</f>
        <v/>
      </c>
      <c r="V2022">
        <f>IF($U2022=1,SUMPRODUCT(--($X$2:$X$3001&lt;$X2022))+1,"")</f>
        <v/>
      </c>
      <c r="W2022">
        <f>IF($A2022="","",IF(OR($T2022=TRUE(),$T2022="TRUE"),1,0))</f>
        <v/>
      </c>
      <c r="X2022">
        <f>IF($U2022=1,IFERROR(IF(VALUE($A2022)&lt;100000000,VALUE($A2022),1000000000),IFERROR(IF(VALUE(MID($A2022,2,20))&lt;100000000,VALUE(MID($A2022,2,20)),1000000000),1000000000))+ROW()/100000,"")</f>
        <v/>
      </c>
    </row>
    <row r="2023">
      <c r="F2023" s="7">
        <f>IF($A2023="","",E2023*N2023/100)</f>
        <v/>
      </c>
      <c r="J2023" s="7" t="n"/>
      <c r="K2023" s="7">
        <f>IF($A2023="","",S2023*N2023)</f>
        <v/>
      </c>
      <c r="L2023" s="7">
        <f>IF($A2023="","",N2023-K2023)</f>
        <v/>
      </c>
      <c r="M2023" s="7">
        <f>IF($A2023="","",L2023-F2023)</f>
        <v/>
      </c>
      <c r="N2023" s="7" t="n"/>
      <c r="Q2023" s="11" t="n"/>
      <c r="S2023">
        <f>IF($A2023="","",IF($W2023=1,Settings!$C$6,Settings!$C$7)*1)</f>
        <v/>
      </c>
      <c r="U2023">
        <f>IF($A2023="","",IF(COUNTIF($A$2:$A2023,$A2023)=1,1,0))</f>
        <v/>
      </c>
      <c r="V2023">
        <f>IF($U2023=1,SUMPRODUCT(--($X$2:$X$3001&lt;$X2023))+1,"")</f>
        <v/>
      </c>
      <c r="W2023">
        <f>IF($A2023="","",IF(OR($T2023=TRUE(),$T2023="TRUE"),1,0))</f>
        <v/>
      </c>
      <c r="X2023">
        <f>IF($U2023=1,IFERROR(IF(VALUE($A2023)&lt;100000000,VALUE($A2023),1000000000),IFERROR(IF(VALUE(MID($A2023,2,20))&lt;100000000,VALUE(MID($A2023,2,20)),1000000000),1000000000))+ROW()/100000,"")</f>
        <v/>
      </c>
    </row>
    <row r="2024">
      <c r="F2024" s="7">
        <f>IF($A2024="","",E2024*N2024/100)</f>
        <v/>
      </c>
      <c r="J2024" s="7" t="n"/>
      <c r="K2024" s="7">
        <f>IF($A2024="","",S2024*N2024)</f>
        <v/>
      </c>
      <c r="L2024" s="7">
        <f>IF($A2024="","",N2024-K2024)</f>
        <v/>
      </c>
      <c r="M2024" s="7">
        <f>IF($A2024="","",L2024-F2024)</f>
        <v/>
      </c>
      <c r="N2024" s="7" t="n"/>
      <c r="Q2024" s="11" t="n"/>
      <c r="S2024">
        <f>IF($A2024="","",IF($W2024=1,Settings!$C$6,Settings!$C$7)*1)</f>
        <v/>
      </c>
      <c r="U2024">
        <f>IF($A2024="","",IF(COUNTIF($A$2:$A2024,$A2024)=1,1,0))</f>
        <v/>
      </c>
      <c r="V2024">
        <f>IF($U2024=1,SUMPRODUCT(--($X$2:$X$3001&lt;$X2024))+1,"")</f>
        <v/>
      </c>
      <c r="W2024">
        <f>IF($A2024="","",IF(OR($T2024=TRUE(),$T2024="TRUE"),1,0))</f>
        <v/>
      </c>
      <c r="X2024">
        <f>IF($U2024=1,IFERROR(IF(VALUE($A2024)&lt;100000000,VALUE($A2024),1000000000),IFERROR(IF(VALUE(MID($A2024,2,20))&lt;100000000,VALUE(MID($A2024,2,20)),1000000000),1000000000))+ROW()/100000,"")</f>
        <v/>
      </c>
    </row>
    <row r="2025">
      <c r="F2025" s="7">
        <f>IF($A2025="","",E2025*N2025/100)</f>
        <v/>
      </c>
      <c r="J2025" s="7" t="n"/>
      <c r="K2025" s="7">
        <f>IF($A2025="","",S2025*N2025)</f>
        <v/>
      </c>
      <c r="L2025" s="7">
        <f>IF($A2025="","",N2025-K2025)</f>
        <v/>
      </c>
      <c r="M2025" s="7">
        <f>IF($A2025="","",L2025-F2025)</f>
        <v/>
      </c>
      <c r="N2025" s="7" t="n"/>
      <c r="Q2025" s="11" t="n"/>
      <c r="S2025">
        <f>IF($A2025="","",IF($W2025=1,Settings!$C$6,Settings!$C$7)*1)</f>
        <v/>
      </c>
      <c r="U2025">
        <f>IF($A2025="","",IF(COUNTIF($A$2:$A2025,$A2025)=1,1,0))</f>
        <v/>
      </c>
      <c r="V2025">
        <f>IF($U2025=1,SUMPRODUCT(--($X$2:$X$3001&lt;$X2025))+1,"")</f>
        <v/>
      </c>
      <c r="W2025">
        <f>IF($A2025="","",IF(OR($T2025=TRUE(),$T2025="TRUE"),1,0))</f>
        <v/>
      </c>
      <c r="X2025">
        <f>IF($U2025=1,IFERROR(IF(VALUE($A2025)&lt;100000000,VALUE($A2025),1000000000),IFERROR(IF(VALUE(MID($A2025,2,20))&lt;100000000,VALUE(MID($A2025,2,20)),1000000000),1000000000))+ROW()/100000,"")</f>
        <v/>
      </c>
    </row>
    <row r="2026">
      <c r="F2026" s="7">
        <f>IF($A2026="","",E2026*N2026/100)</f>
        <v/>
      </c>
      <c r="J2026" s="7" t="n"/>
      <c r="K2026" s="7">
        <f>IF($A2026="","",S2026*N2026)</f>
        <v/>
      </c>
      <c r="L2026" s="7">
        <f>IF($A2026="","",N2026-K2026)</f>
        <v/>
      </c>
      <c r="M2026" s="7">
        <f>IF($A2026="","",L2026-F2026)</f>
        <v/>
      </c>
      <c r="N2026" s="7" t="n"/>
      <c r="Q2026" s="11" t="n"/>
      <c r="S2026">
        <f>IF($A2026="","",IF($W2026=1,Settings!$C$6,Settings!$C$7)*1)</f>
        <v/>
      </c>
      <c r="U2026">
        <f>IF($A2026="","",IF(COUNTIF($A$2:$A2026,$A2026)=1,1,0))</f>
        <v/>
      </c>
      <c r="V2026">
        <f>IF($U2026=1,SUMPRODUCT(--($X$2:$X$3001&lt;$X2026))+1,"")</f>
        <v/>
      </c>
      <c r="W2026">
        <f>IF($A2026="","",IF(OR($T2026=TRUE(),$T2026="TRUE"),1,0))</f>
        <v/>
      </c>
      <c r="X2026">
        <f>IF($U2026=1,IFERROR(IF(VALUE($A2026)&lt;100000000,VALUE($A2026),1000000000),IFERROR(IF(VALUE(MID($A2026,2,20))&lt;100000000,VALUE(MID($A2026,2,20)),1000000000),1000000000))+ROW()/100000,"")</f>
        <v/>
      </c>
    </row>
    <row r="2027">
      <c r="F2027" s="7">
        <f>IF($A2027="","",E2027*N2027/100)</f>
        <v/>
      </c>
      <c r="J2027" s="7" t="n"/>
      <c r="K2027" s="7">
        <f>IF($A2027="","",S2027*N2027)</f>
        <v/>
      </c>
      <c r="L2027" s="7">
        <f>IF($A2027="","",N2027-K2027)</f>
        <v/>
      </c>
      <c r="M2027" s="7">
        <f>IF($A2027="","",L2027-F2027)</f>
        <v/>
      </c>
      <c r="N2027" s="7" t="n"/>
      <c r="Q2027" s="11" t="n"/>
      <c r="S2027">
        <f>IF($A2027="","",IF($W2027=1,Settings!$C$6,Settings!$C$7)*1)</f>
        <v/>
      </c>
      <c r="U2027">
        <f>IF($A2027="","",IF(COUNTIF($A$2:$A2027,$A2027)=1,1,0))</f>
        <v/>
      </c>
      <c r="V2027">
        <f>IF($U2027=1,SUMPRODUCT(--($X$2:$X$3001&lt;$X2027))+1,"")</f>
        <v/>
      </c>
      <c r="W2027">
        <f>IF($A2027="","",IF(OR($T2027=TRUE(),$T2027="TRUE"),1,0))</f>
        <v/>
      </c>
      <c r="X2027">
        <f>IF($U2027=1,IFERROR(IF(VALUE($A2027)&lt;100000000,VALUE($A2027),1000000000),IFERROR(IF(VALUE(MID($A2027,2,20))&lt;100000000,VALUE(MID($A2027,2,20)),1000000000),1000000000))+ROW()/100000,"")</f>
        <v/>
      </c>
    </row>
    <row r="2028">
      <c r="F2028" s="7">
        <f>IF($A2028="","",E2028*N2028/100)</f>
        <v/>
      </c>
      <c r="J2028" s="7" t="n"/>
      <c r="K2028" s="7">
        <f>IF($A2028="","",S2028*N2028)</f>
        <v/>
      </c>
      <c r="L2028" s="7">
        <f>IF($A2028="","",N2028-K2028)</f>
        <v/>
      </c>
      <c r="M2028" s="7">
        <f>IF($A2028="","",L2028-F2028)</f>
        <v/>
      </c>
      <c r="N2028" s="7" t="n"/>
      <c r="Q2028" s="11" t="n"/>
      <c r="S2028">
        <f>IF($A2028="","",IF($W2028=1,Settings!$C$6,Settings!$C$7)*1)</f>
        <v/>
      </c>
      <c r="U2028">
        <f>IF($A2028="","",IF(COUNTIF($A$2:$A2028,$A2028)=1,1,0))</f>
        <v/>
      </c>
      <c r="V2028">
        <f>IF($U2028=1,SUMPRODUCT(--($X$2:$X$3001&lt;$X2028))+1,"")</f>
        <v/>
      </c>
      <c r="W2028">
        <f>IF($A2028="","",IF(OR($T2028=TRUE(),$T2028="TRUE"),1,0))</f>
        <v/>
      </c>
      <c r="X2028">
        <f>IF($U2028=1,IFERROR(IF(VALUE($A2028)&lt;100000000,VALUE($A2028),1000000000),IFERROR(IF(VALUE(MID($A2028,2,20))&lt;100000000,VALUE(MID($A2028,2,20)),1000000000),1000000000))+ROW()/100000,"")</f>
        <v/>
      </c>
    </row>
    <row r="2029">
      <c r="F2029" s="7">
        <f>IF($A2029="","",E2029*N2029/100)</f>
        <v/>
      </c>
      <c r="J2029" s="7" t="n"/>
      <c r="K2029" s="7">
        <f>IF($A2029="","",S2029*N2029)</f>
        <v/>
      </c>
      <c r="L2029" s="7">
        <f>IF($A2029="","",N2029-K2029)</f>
        <v/>
      </c>
      <c r="M2029" s="7">
        <f>IF($A2029="","",L2029-F2029)</f>
        <v/>
      </c>
      <c r="N2029" s="7" t="n"/>
      <c r="Q2029" s="11" t="n"/>
      <c r="S2029">
        <f>IF($A2029="","",IF($W2029=1,Settings!$C$6,Settings!$C$7)*1)</f>
        <v/>
      </c>
      <c r="U2029">
        <f>IF($A2029="","",IF(COUNTIF($A$2:$A2029,$A2029)=1,1,0))</f>
        <v/>
      </c>
      <c r="V2029">
        <f>IF($U2029=1,SUMPRODUCT(--($X$2:$X$3001&lt;$X2029))+1,"")</f>
        <v/>
      </c>
      <c r="W2029">
        <f>IF($A2029="","",IF(OR($T2029=TRUE(),$T2029="TRUE"),1,0))</f>
        <v/>
      </c>
      <c r="X2029">
        <f>IF($U2029=1,IFERROR(IF(VALUE($A2029)&lt;100000000,VALUE($A2029),1000000000),IFERROR(IF(VALUE(MID($A2029,2,20))&lt;100000000,VALUE(MID($A2029,2,20)),1000000000),1000000000))+ROW()/100000,"")</f>
        <v/>
      </c>
    </row>
    <row r="2030">
      <c r="F2030" s="7">
        <f>IF($A2030="","",E2030*N2030/100)</f>
        <v/>
      </c>
      <c r="J2030" s="7" t="n"/>
      <c r="K2030" s="7">
        <f>IF($A2030="","",S2030*N2030)</f>
        <v/>
      </c>
      <c r="L2030" s="7">
        <f>IF($A2030="","",N2030-K2030)</f>
        <v/>
      </c>
      <c r="M2030" s="7">
        <f>IF($A2030="","",L2030-F2030)</f>
        <v/>
      </c>
      <c r="N2030" s="7" t="n"/>
      <c r="Q2030" s="11" t="n"/>
      <c r="S2030">
        <f>IF($A2030="","",IF($W2030=1,Settings!$C$6,Settings!$C$7)*1)</f>
        <v/>
      </c>
      <c r="U2030">
        <f>IF($A2030="","",IF(COUNTIF($A$2:$A2030,$A2030)=1,1,0))</f>
        <v/>
      </c>
      <c r="V2030">
        <f>IF($U2030=1,SUMPRODUCT(--($X$2:$X$3001&lt;$X2030))+1,"")</f>
        <v/>
      </c>
      <c r="W2030">
        <f>IF($A2030="","",IF(OR($T2030=TRUE(),$T2030="TRUE"),1,0))</f>
        <v/>
      </c>
      <c r="X2030">
        <f>IF($U2030=1,IFERROR(IF(VALUE($A2030)&lt;100000000,VALUE($A2030),1000000000),IFERROR(IF(VALUE(MID($A2030,2,20))&lt;100000000,VALUE(MID($A2030,2,20)),1000000000),1000000000))+ROW()/100000,"")</f>
        <v/>
      </c>
    </row>
    <row r="2031">
      <c r="F2031" s="7">
        <f>IF($A2031="","",E2031*N2031/100)</f>
        <v/>
      </c>
      <c r="J2031" s="7" t="n"/>
      <c r="K2031" s="7">
        <f>IF($A2031="","",S2031*N2031)</f>
        <v/>
      </c>
      <c r="L2031" s="7">
        <f>IF($A2031="","",N2031-K2031)</f>
        <v/>
      </c>
      <c r="M2031" s="7">
        <f>IF($A2031="","",L2031-F2031)</f>
        <v/>
      </c>
      <c r="N2031" s="7" t="n"/>
      <c r="Q2031" s="11" t="n"/>
      <c r="S2031">
        <f>IF($A2031="","",IF($W2031=1,Settings!$C$6,Settings!$C$7)*1)</f>
        <v/>
      </c>
      <c r="U2031">
        <f>IF($A2031="","",IF(COUNTIF($A$2:$A2031,$A2031)=1,1,0))</f>
        <v/>
      </c>
      <c r="V2031">
        <f>IF($U2031=1,SUMPRODUCT(--($X$2:$X$3001&lt;$X2031))+1,"")</f>
        <v/>
      </c>
      <c r="W2031">
        <f>IF($A2031="","",IF(OR($T2031=TRUE(),$T2031="TRUE"),1,0))</f>
        <v/>
      </c>
      <c r="X2031">
        <f>IF($U2031=1,IFERROR(IF(VALUE($A2031)&lt;100000000,VALUE($A2031),1000000000),IFERROR(IF(VALUE(MID($A2031,2,20))&lt;100000000,VALUE(MID($A2031,2,20)),1000000000),1000000000))+ROW()/100000,"")</f>
        <v/>
      </c>
    </row>
    <row r="2032">
      <c r="F2032" s="7">
        <f>IF($A2032="","",E2032*N2032/100)</f>
        <v/>
      </c>
      <c r="J2032" s="7" t="n"/>
      <c r="K2032" s="7">
        <f>IF($A2032="","",S2032*N2032)</f>
        <v/>
      </c>
      <c r="L2032" s="7">
        <f>IF($A2032="","",N2032-K2032)</f>
        <v/>
      </c>
      <c r="M2032" s="7">
        <f>IF($A2032="","",L2032-F2032)</f>
        <v/>
      </c>
      <c r="N2032" s="7" t="n"/>
      <c r="Q2032" s="11" t="n"/>
      <c r="S2032">
        <f>IF($A2032="","",IF($W2032=1,Settings!$C$6,Settings!$C$7)*1)</f>
        <v/>
      </c>
      <c r="U2032">
        <f>IF($A2032="","",IF(COUNTIF($A$2:$A2032,$A2032)=1,1,0))</f>
        <v/>
      </c>
      <c r="V2032">
        <f>IF($U2032=1,SUMPRODUCT(--($X$2:$X$3001&lt;$X2032))+1,"")</f>
        <v/>
      </c>
      <c r="W2032">
        <f>IF($A2032="","",IF(OR($T2032=TRUE(),$T2032="TRUE"),1,0))</f>
        <v/>
      </c>
      <c r="X2032">
        <f>IF($U2032=1,IFERROR(IF(VALUE($A2032)&lt;100000000,VALUE($A2032),1000000000),IFERROR(IF(VALUE(MID($A2032,2,20))&lt;100000000,VALUE(MID($A2032,2,20)),1000000000),1000000000))+ROW()/100000,"")</f>
        <v/>
      </c>
    </row>
    <row r="2033">
      <c r="F2033" s="7">
        <f>IF($A2033="","",E2033*N2033/100)</f>
        <v/>
      </c>
      <c r="J2033" s="7" t="n"/>
      <c r="K2033" s="7">
        <f>IF($A2033="","",S2033*N2033)</f>
        <v/>
      </c>
      <c r="L2033" s="7">
        <f>IF($A2033="","",N2033-K2033)</f>
        <v/>
      </c>
      <c r="M2033" s="7">
        <f>IF($A2033="","",L2033-F2033)</f>
        <v/>
      </c>
      <c r="N2033" s="7" t="n"/>
      <c r="Q2033" s="11" t="n"/>
      <c r="S2033">
        <f>IF($A2033="","",IF($W2033=1,Settings!$C$6,Settings!$C$7)*1)</f>
        <v/>
      </c>
      <c r="U2033">
        <f>IF($A2033="","",IF(COUNTIF($A$2:$A2033,$A2033)=1,1,0))</f>
        <v/>
      </c>
      <c r="V2033">
        <f>IF($U2033=1,SUMPRODUCT(--($X$2:$X$3001&lt;$X2033))+1,"")</f>
        <v/>
      </c>
      <c r="W2033">
        <f>IF($A2033="","",IF(OR($T2033=TRUE(),$T2033="TRUE"),1,0))</f>
        <v/>
      </c>
      <c r="X2033">
        <f>IF($U2033=1,IFERROR(IF(VALUE($A2033)&lt;100000000,VALUE($A2033),1000000000),IFERROR(IF(VALUE(MID($A2033,2,20))&lt;100000000,VALUE(MID($A2033,2,20)),1000000000),1000000000))+ROW()/100000,"")</f>
        <v/>
      </c>
    </row>
    <row r="2034">
      <c r="F2034" s="7">
        <f>IF($A2034="","",E2034*N2034/100)</f>
        <v/>
      </c>
      <c r="J2034" s="7" t="n"/>
      <c r="K2034" s="7">
        <f>IF($A2034="","",S2034*N2034)</f>
        <v/>
      </c>
      <c r="L2034" s="7">
        <f>IF($A2034="","",N2034-K2034)</f>
        <v/>
      </c>
      <c r="M2034" s="7">
        <f>IF($A2034="","",L2034-F2034)</f>
        <v/>
      </c>
      <c r="N2034" s="7" t="n"/>
      <c r="Q2034" s="11" t="n"/>
      <c r="S2034">
        <f>IF($A2034="","",IF($W2034=1,Settings!$C$6,Settings!$C$7)*1)</f>
        <v/>
      </c>
      <c r="U2034">
        <f>IF($A2034="","",IF(COUNTIF($A$2:$A2034,$A2034)=1,1,0))</f>
        <v/>
      </c>
      <c r="V2034">
        <f>IF($U2034=1,SUMPRODUCT(--($X$2:$X$3001&lt;$X2034))+1,"")</f>
        <v/>
      </c>
      <c r="W2034">
        <f>IF($A2034="","",IF(OR($T2034=TRUE(),$T2034="TRUE"),1,0))</f>
        <v/>
      </c>
      <c r="X2034">
        <f>IF($U2034=1,IFERROR(IF(VALUE($A2034)&lt;100000000,VALUE($A2034),1000000000),IFERROR(IF(VALUE(MID($A2034,2,20))&lt;100000000,VALUE(MID($A2034,2,20)),1000000000),1000000000))+ROW()/100000,"")</f>
        <v/>
      </c>
    </row>
    <row r="2035">
      <c r="F2035" s="7">
        <f>IF($A2035="","",E2035*N2035/100)</f>
        <v/>
      </c>
      <c r="J2035" s="7" t="n"/>
      <c r="K2035" s="7">
        <f>IF($A2035="","",S2035*N2035)</f>
        <v/>
      </c>
      <c r="L2035" s="7">
        <f>IF($A2035="","",N2035-K2035)</f>
        <v/>
      </c>
      <c r="M2035" s="7">
        <f>IF($A2035="","",L2035-F2035)</f>
        <v/>
      </c>
      <c r="N2035" s="7" t="n"/>
      <c r="Q2035" s="11" t="n"/>
      <c r="S2035">
        <f>IF($A2035="","",IF($W2035=1,Settings!$C$6,Settings!$C$7)*1)</f>
        <v/>
      </c>
      <c r="U2035">
        <f>IF($A2035="","",IF(COUNTIF($A$2:$A2035,$A2035)=1,1,0))</f>
        <v/>
      </c>
      <c r="V2035">
        <f>IF($U2035=1,SUMPRODUCT(--($X$2:$X$3001&lt;$X2035))+1,"")</f>
        <v/>
      </c>
      <c r="W2035">
        <f>IF($A2035="","",IF(OR($T2035=TRUE(),$T2035="TRUE"),1,0))</f>
        <v/>
      </c>
      <c r="X2035">
        <f>IF($U2035=1,IFERROR(IF(VALUE($A2035)&lt;100000000,VALUE($A2035),1000000000),IFERROR(IF(VALUE(MID($A2035,2,20))&lt;100000000,VALUE(MID($A2035,2,20)),1000000000),1000000000))+ROW()/100000,"")</f>
        <v/>
      </c>
    </row>
    <row r="2036">
      <c r="F2036" s="7">
        <f>IF($A2036="","",E2036*N2036/100)</f>
        <v/>
      </c>
      <c r="J2036" s="7" t="n"/>
      <c r="K2036" s="7">
        <f>IF($A2036="","",S2036*N2036)</f>
        <v/>
      </c>
      <c r="L2036" s="7">
        <f>IF($A2036="","",N2036-K2036)</f>
        <v/>
      </c>
      <c r="M2036" s="7">
        <f>IF($A2036="","",L2036-F2036)</f>
        <v/>
      </c>
      <c r="N2036" s="7" t="n"/>
      <c r="Q2036" s="11" t="n"/>
      <c r="S2036">
        <f>IF($A2036="","",IF($W2036=1,Settings!$C$6,Settings!$C$7)*1)</f>
        <v/>
      </c>
      <c r="U2036">
        <f>IF($A2036="","",IF(COUNTIF($A$2:$A2036,$A2036)=1,1,0))</f>
        <v/>
      </c>
      <c r="V2036">
        <f>IF($U2036=1,SUMPRODUCT(--($X$2:$X$3001&lt;$X2036))+1,"")</f>
        <v/>
      </c>
      <c r="W2036">
        <f>IF($A2036="","",IF(OR($T2036=TRUE(),$T2036="TRUE"),1,0))</f>
        <v/>
      </c>
      <c r="X2036">
        <f>IF($U2036=1,IFERROR(IF(VALUE($A2036)&lt;100000000,VALUE($A2036),1000000000),IFERROR(IF(VALUE(MID($A2036,2,20))&lt;100000000,VALUE(MID($A2036,2,20)),1000000000),1000000000))+ROW()/100000,"")</f>
        <v/>
      </c>
    </row>
    <row r="2037">
      <c r="F2037" s="7">
        <f>IF($A2037="","",E2037*N2037/100)</f>
        <v/>
      </c>
      <c r="J2037" s="7" t="n"/>
      <c r="K2037" s="7">
        <f>IF($A2037="","",S2037*N2037)</f>
        <v/>
      </c>
      <c r="L2037" s="7">
        <f>IF($A2037="","",N2037-K2037)</f>
        <v/>
      </c>
      <c r="M2037" s="7">
        <f>IF($A2037="","",L2037-F2037)</f>
        <v/>
      </c>
      <c r="N2037" s="7" t="n"/>
      <c r="Q2037" s="11" t="n"/>
      <c r="S2037">
        <f>IF($A2037="","",IF($W2037=1,Settings!$C$6,Settings!$C$7)*1)</f>
        <v/>
      </c>
      <c r="U2037">
        <f>IF($A2037="","",IF(COUNTIF($A$2:$A2037,$A2037)=1,1,0))</f>
        <v/>
      </c>
      <c r="V2037">
        <f>IF($U2037=1,SUMPRODUCT(--($X$2:$X$3001&lt;$X2037))+1,"")</f>
        <v/>
      </c>
      <c r="W2037">
        <f>IF($A2037="","",IF(OR($T2037=TRUE(),$T2037="TRUE"),1,0))</f>
        <v/>
      </c>
      <c r="X2037">
        <f>IF($U2037=1,IFERROR(IF(VALUE($A2037)&lt;100000000,VALUE($A2037),1000000000),IFERROR(IF(VALUE(MID($A2037,2,20))&lt;100000000,VALUE(MID($A2037,2,20)),1000000000),1000000000))+ROW()/100000,"")</f>
        <v/>
      </c>
    </row>
    <row r="2038">
      <c r="F2038" s="7">
        <f>IF($A2038="","",E2038*N2038/100)</f>
        <v/>
      </c>
      <c r="J2038" s="7" t="n"/>
      <c r="K2038" s="7">
        <f>IF($A2038="","",S2038*N2038)</f>
        <v/>
      </c>
      <c r="L2038" s="7">
        <f>IF($A2038="","",N2038-K2038)</f>
        <v/>
      </c>
      <c r="M2038" s="7">
        <f>IF($A2038="","",L2038-F2038)</f>
        <v/>
      </c>
      <c r="N2038" s="7" t="n"/>
      <c r="Q2038" s="11" t="n"/>
      <c r="S2038">
        <f>IF($A2038="","",IF($W2038=1,Settings!$C$6,Settings!$C$7)*1)</f>
        <v/>
      </c>
      <c r="U2038">
        <f>IF($A2038="","",IF(COUNTIF($A$2:$A2038,$A2038)=1,1,0))</f>
        <v/>
      </c>
      <c r="V2038">
        <f>IF($U2038=1,SUMPRODUCT(--($X$2:$X$3001&lt;$X2038))+1,"")</f>
        <v/>
      </c>
      <c r="W2038">
        <f>IF($A2038="","",IF(OR($T2038=TRUE(),$T2038="TRUE"),1,0))</f>
        <v/>
      </c>
      <c r="X2038">
        <f>IF($U2038=1,IFERROR(IF(VALUE($A2038)&lt;100000000,VALUE($A2038),1000000000),IFERROR(IF(VALUE(MID($A2038,2,20))&lt;100000000,VALUE(MID($A2038,2,20)),1000000000),1000000000))+ROW()/100000,"")</f>
        <v/>
      </c>
    </row>
    <row r="2039">
      <c r="F2039" s="7">
        <f>IF($A2039="","",E2039*N2039/100)</f>
        <v/>
      </c>
      <c r="J2039" s="7" t="n"/>
      <c r="K2039" s="7">
        <f>IF($A2039="","",S2039*N2039)</f>
        <v/>
      </c>
      <c r="L2039" s="7">
        <f>IF($A2039="","",N2039-K2039)</f>
        <v/>
      </c>
      <c r="M2039" s="7">
        <f>IF($A2039="","",L2039-F2039)</f>
        <v/>
      </c>
      <c r="N2039" s="7" t="n"/>
      <c r="Q2039" s="11" t="n"/>
      <c r="S2039">
        <f>IF($A2039="","",IF($W2039=1,Settings!$C$6,Settings!$C$7)*1)</f>
        <v/>
      </c>
      <c r="U2039">
        <f>IF($A2039="","",IF(COUNTIF($A$2:$A2039,$A2039)=1,1,0))</f>
        <v/>
      </c>
      <c r="V2039">
        <f>IF($U2039=1,SUMPRODUCT(--($X$2:$X$3001&lt;$X2039))+1,"")</f>
        <v/>
      </c>
      <c r="W2039">
        <f>IF($A2039="","",IF(OR($T2039=TRUE(),$T2039="TRUE"),1,0))</f>
        <v/>
      </c>
      <c r="X2039">
        <f>IF($U2039=1,IFERROR(IF(VALUE($A2039)&lt;100000000,VALUE($A2039),1000000000),IFERROR(IF(VALUE(MID($A2039,2,20))&lt;100000000,VALUE(MID($A2039,2,20)),1000000000),1000000000))+ROW()/100000,"")</f>
        <v/>
      </c>
    </row>
    <row r="2040">
      <c r="F2040" s="7">
        <f>IF($A2040="","",E2040*N2040/100)</f>
        <v/>
      </c>
      <c r="J2040" s="7" t="n"/>
      <c r="K2040" s="7">
        <f>IF($A2040="","",S2040*N2040)</f>
        <v/>
      </c>
      <c r="L2040" s="7">
        <f>IF($A2040="","",N2040-K2040)</f>
        <v/>
      </c>
      <c r="M2040" s="7">
        <f>IF($A2040="","",L2040-F2040)</f>
        <v/>
      </c>
      <c r="N2040" s="7" t="n"/>
      <c r="Q2040" s="11" t="n"/>
      <c r="S2040">
        <f>IF($A2040="","",IF($W2040=1,Settings!$C$6,Settings!$C$7)*1)</f>
        <v/>
      </c>
      <c r="U2040">
        <f>IF($A2040="","",IF(COUNTIF($A$2:$A2040,$A2040)=1,1,0))</f>
        <v/>
      </c>
      <c r="V2040">
        <f>IF($U2040=1,SUMPRODUCT(--($X$2:$X$3001&lt;$X2040))+1,"")</f>
        <v/>
      </c>
      <c r="W2040">
        <f>IF($A2040="","",IF(OR($T2040=TRUE(),$T2040="TRUE"),1,0))</f>
        <v/>
      </c>
      <c r="X2040">
        <f>IF($U2040=1,IFERROR(IF(VALUE($A2040)&lt;100000000,VALUE($A2040),1000000000),IFERROR(IF(VALUE(MID($A2040,2,20))&lt;100000000,VALUE(MID($A2040,2,20)),1000000000),1000000000))+ROW()/100000,"")</f>
        <v/>
      </c>
    </row>
    <row r="2041">
      <c r="F2041" s="7">
        <f>IF($A2041="","",E2041*N2041/100)</f>
        <v/>
      </c>
      <c r="J2041" s="7" t="n"/>
      <c r="K2041" s="7">
        <f>IF($A2041="","",S2041*N2041)</f>
        <v/>
      </c>
      <c r="L2041" s="7">
        <f>IF($A2041="","",N2041-K2041)</f>
        <v/>
      </c>
      <c r="M2041" s="7">
        <f>IF($A2041="","",L2041-F2041)</f>
        <v/>
      </c>
      <c r="N2041" s="7" t="n"/>
      <c r="Q2041" s="11" t="n"/>
      <c r="S2041">
        <f>IF($A2041="","",IF($W2041=1,Settings!$C$6,Settings!$C$7)*1)</f>
        <v/>
      </c>
      <c r="U2041">
        <f>IF($A2041="","",IF(COUNTIF($A$2:$A2041,$A2041)=1,1,0))</f>
        <v/>
      </c>
      <c r="V2041">
        <f>IF($U2041=1,SUMPRODUCT(--($X$2:$X$3001&lt;$X2041))+1,"")</f>
        <v/>
      </c>
      <c r="W2041">
        <f>IF($A2041="","",IF(OR($T2041=TRUE(),$T2041="TRUE"),1,0))</f>
        <v/>
      </c>
      <c r="X2041">
        <f>IF($U2041=1,IFERROR(IF(VALUE($A2041)&lt;100000000,VALUE($A2041),1000000000),IFERROR(IF(VALUE(MID($A2041,2,20))&lt;100000000,VALUE(MID($A2041,2,20)),1000000000),1000000000))+ROW()/100000,"")</f>
        <v/>
      </c>
    </row>
    <row r="2042">
      <c r="F2042" s="7">
        <f>IF($A2042="","",E2042*N2042/100)</f>
        <v/>
      </c>
      <c r="J2042" s="7" t="n"/>
      <c r="K2042" s="7">
        <f>IF($A2042="","",S2042*N2042)</f>
        <v/>
      </c>
      <c r="L2042" s="7">
        <f>IF($A2042="","",N2042-K2042)</f>
        <v/>
      </c>
      <c r="M2042" s="7">
        <f>IF($A2042="","",L2042-F2042)</f>
        <v/>
      </c>
      <c r="N2042" s="7" t="n"/>
      <c r="Q2042" s="11" t="n"/>
      <c r="S2042">
        <f>IF($A2042="","",IF($W2042=1,Settings!$C$6,Settings!$C$7)*1)</f>
        <v/>
      </c>
      <c r="U2042">
        <f>IF($A2042="","",IF(COUNTIF($A$2:$A2042,$A2042)=1,1,0))</f>
        <v/>
      </c>
      <c r="V2042">
        <f>IF($U2042=1,SUMPRODUCT(--($X$2:$X$3001&lt;$X2042))+1,"")</f>
        <v/>
      </c>
      <c r="W2042">
        <f>IF($A2042="","",IF(OR($T2042=TRUE(),$T2042="TRUE"),1,0))</f>
        <v/>
      </c>
      <c r="X2042">
        <f>IF($U2042=1,IFERROR(IF(VALUE($A2042)&lt;100000000,VALUE($A2042),1000000000),IFERROR(IF(VALUE(MID($A2042,2,20))&lt;100000000,VALUE(MID($A2042,2,20)),1000000000),1000000000))+ROW()/100000,"")</f>
        <v/>
      </c>
    </row>
    <row r="2043">
      <c r="F2043" s="7">
        <f>IF($A2043="","",E2043*N2043/100)</f>
        <v/>
      </c>
      <c r="J2043" s="7" t="n"/>
      <c r="K2043" s="7">
        <f>IF($A2043="","",S2043*N2043)</f>
        <v/>
      </c>
      <c r="L2043" s="7">
        <f>IF($A2043="","",N2043-K2043)</f>
        <v/>
      </c>
      <c r="M2043" s="7">
        <f>IF($A2043="","",L2043-F2043)</f>
        <v/>
      </c>
      <c r="N2043" s="7" t="n"/>
      <c r="Q2043" s="11" t="n"/>
      <c r="S2043">
        <f>IF($A2043="","",IF($W2043=1,Settings!$C$6,Settings!$C$7)*1)</f>
        <v/>
      </c>
      <c r="U2043">
        <f>IF($A2043="","",IF(COUNTIF($A$2:$A2043,$A2043)=1,1,0))</f>
        <v/>
      </c>
      <c r="V2043">
        <f>IF($U2043=1,SUMPRODUCT(--($X$2:$X$3001&lt;$X2043))+1,"")</f>
        <v/>
      </c>
      <c r="W2043">
        <f>IF($A2043="","",IF(OR($T2043=TRUE(),$T2043="TRUE"),1,0))</f>
        <v/>
      </c>
      <c r="X2043">
        <f>IF($U2043=1,IFERROR(IF(VALUE($A2043)&lt;100000000,VALUE($A2043),1000000000),IFERROR(IF(VALUE(MID($A2043,2,20))&lt;100000000,VALUE(MID($A2043,2,20)),1000000000),1000000000))+ROW()/100000,"")</f>
        <v/>
      </c>
    </row>
    <row r="2044">
      <c r="F2044" s="7">
        <f>IF($A2044="","",E2044*N2044/100)</f>
        <v/>
      </c>
      <c r="J2044" s="7" t="n"/>
      <c r="K2044" s="7">
        <f>IF($A2044="","",S2044*N2044)</f>
        <v/>
      </c>
      <c r="L2044" s="7">
        <f>IF($A2044="","",N2044-K2044)</f>
        <v/>
      </c>
      <c r="M2044" s="7">
        <f>IF($A2044="","",L2044-F2044)</f>
        <v/>
      </c>
      <c r="N2044" s="7" t="n"/>
      <c r="Q2044" s="11" t="n"/>
      <c r="S2044">
        <f>IF($A2044="","",IF($W2044=1,Settings!$C$6,Settings!$C$7)*1)</f>
        <v/>
      </c>
      <c r="U2044">
        <f>IF($A2044="","",IF(COUNTIF($A$2:$A2044,$A2044)=1,1,0))</f>
        <v/>
      </c>
      <c r="V2044">
        <f>IF($U2044=1,SUMPRODUCT(--($X$2:$X$3001&lt;$X2044))+1,"")</f>
        <v/>
      </c>
      <c r="W2044">
        <f>IF($A2044="","",IF(OR($T2044=TRUE(),$T2044="TRUE"),1,0))</f>
        <v/>
      </c>
      <c r="X2044">
        <f>IF($U2044=1,IFERROR(IF(VALUE($A2044)&lt;100000000,VALUE($A2044),1000000000),IFERROR(IF(VALUE(MID($A2044,2,20))&lt;100000000,VALUE(MID($A2044,2,20)),1000000000),1000000000))+ROW()/100000,"")</f>
        <v/>
      </c>
    </row>
    <row r="2045">
      <c r="F2045" s="7">
        <f>IF($A2045="","",E2045*N2045/100)</f>
        <v/>
      </c>
      <c r="J2045" s="7" t="n"/>
      <c r="K2045" s="7">
        <f>IF($A2045="","",S2045*N2045)</f>
        <v/>
      </c>
      <c r="L2045" s="7">
        <f>IF($A2045="","",N2045-K2045)</f>
        <v/>
      </c>
      <c r="M2045" s="7">
        <f>IF($A2045="","",L2045-F2045)</f>
        <v/>
      </c>
      <c r="N2045" s="7" t="n"/>
      <c r="Q2045" s="11" t="n"/>
      <c r="S2045">
        <f>IF($A2045="","",IF($W2045=1,Settings!$C$6,Settings!$C$7)*1)</f>
        <v/>
      </c>
      <c r="U2045">
        <f>IF($A2045="","",IF(COUNTIF($A$2:$A2045,$A2045)=1,1,0))</f>
        <v/>
      </c>
      <c r="V2045">
        <f>IF($U2045=1,SUMPRODUCT(--($X$2:$X$3001&lt;$X2045))+1,"")</f>
        <v/>
      </c>
      <c r="W2045">
        <f>IF($A2045="","",IF(OR($T2045=TRUE(),$T2045="TRUE"),1,0))</f>
        <v/>
      </c>
      <c r="X2045">
        <f>IF($U2045=1,IFERROR(IF(VALUE($A2045)&lt;100000000,VALUE($A2045),1000000000),IFERROR(IF(VALUE(MID($A2045,2,20))&lt;100000000,VALUE(MID($A2045,2,20)),1000000000),1000000000))+ROW()/100000,"")</f>
        <v/>
      </c>
    </row>
    <row r="2046">
      <c r="F2046" s="7">
        <f>IF($A2046="","",E2046*N2046/100)</f>
        <v/>
      </c>
      <c r="J2046" s="7" t="n"/>
      <c r="K2046" s="7">
        <f>IF($A2046="","",S2046*N2046)</f>
        <v/>
      </c>
      <c r="L2046" s="7">
        <f>IF($A2046="","",N2046-K2046)</f>
        <v/>
      </c>
      <c r="M2046" s="7">
        <f>IF($A2046="","",L2046-F2046)</f>
        <v/>
      </c>
      <c r="N2046" s="7" t="n"/>
      <c r="Q2046" s="11" t="n"/>
      <c r="S2046">
        <f>IF($A2046="","",IF($W2046=1,Settings!$C$6,Settings!$C$7)*1)</f>
        <v/>
      </c>
      <c r="U2046">
        <f>IF($A2046="","",IF(COUNTIF($A$2:$A2046,$A2046)=1,1,0))</f>
        <v/>
      </c>
      <c r="V2046">
        <f>IF($U2046=1,SUMPRODUCT(--($X$2:$X$3001&lt;$X2046))+1,"")</f>
        <v/>
      </c>
      <c r="W2046">
        <f>IF($A2046="","",IF(OR($T2046=TRUE(),$T2046="TRUE"),1,0))</f>
        <v/>
      </c>
      <c r="X2046">
        <f>IF($U2046=1,IFERROR(IF(VALUE($A2046)&lt;100000000,VALUE($A2046),1000000000),IFERROR(IF(VALUE(MID($A2046,2,20))&lt;100000000,VALUE(MID($A2046,2,20)),1000000000),1000000000))+ROW()/100000,"")</f>
        <v/>
      </c>
    </row>
    <row r="2047">
      <c r="F2047" s="7">
        <f>IF($A2047="","",E2047*N2047/100)</f>
        <v/>
      </c>
      <c r="J2047" s="7" t="n"/>
      <c r="K2047" s="7">
        <f>IF($A2047="","",S2047*N2047)</f>
        <v/>
      </c>
      <c r="L2047" s="7">
        <f>IF($A2047="","",N2047-K2047)</f>
        <v/>
      </c>
      <c r="M2047" s="7">
        <f>IF($A2047="","",L2047-F2047)</f>
        <v/>
      </c>
      <c r="N2047" s="7" t="n"/>
      <c r="Q2047" s="11" t="n"/>
      <c r="S2047">
        <f>IF($A2047="","",IF($W2047=1,Settings!$C$6,Settings!$C$7)*1)</f>
        <v/>
      </c>
      <c r="U2047">
        <f>IF($A2047="","",IF(COUNTIF($A$2:$A2047,$A2047)=1,1,0))</f>
        <v/>
      </c>
      <c r="V2047">
        <f>IF($U2047=1,SUMPRODUCT(--($X$2:$X$3001&lt;$X2047))+1,"")</f>
        <v/>
      </c>
      <c r="W2047">
        <f>IF($A2047="","",IF(OR($T2047=TRUE(),$T2047="TRUE"),1,0))</f>
        <v/>
      </c>
      <c r="X2047">
        <f>IF($U2047=1,IFERROR(IF(VALUE($A2047)&lt;100000000,VALUE($A2047),1000000000),IFERROR(IF(VALUE(MID($A2047,2,20))&lt;100000000,VALUE(MID($A2047,2,20)),1000000000),1000000000))+ROW()/100000,"")</f>
        <v/>
      </c>
    </row>
    <row r="2048">
      <c r="F2048" s="7">
        <f>IF($A2048="","",E2048*N2048/100)</f>
        <v/>
      </c>
      <c r="J2048" s="7" t="n"/>
      <c r="K2048" s="7">
        <f>IF($A2048="","",S2048*N2048)</f>
        <v/>
      </c>
      <c r="L2048" s="7">
        <f>IF($A2048="","",N2048-K2048)</f>
        <v/>
      </c>
      <c r="M2048" s="7">
        <f>IF($A2048="","",L2048-F2048)</f>
        <v/>
      </c>
      <c r="N2048" s="7" t="n"/>
      <c r="Q2048" s="11" t="n"/>
      <c r="S2048">
        <f>IF($A2048="","",IF($W2048=1,Settings!$C$6,Settings!$C$7)*1)</f>
        <v/>
      </c>
      <c r="U2048">
        <f>IF($A2048="","",IF(COUNTIF($A$2:$A2048,$A2048)=1,1,0))</f>
        <v/>
      </c>
      <c r="V2048">
        <f>IF($U2048=1,SUMPRODUCT(--($X$2:$X$3001&lt;$X2048))+1,"")</f>
        <v/>
      </c>
      <c r="W2048">
        <f>IF($A2048="","",IF(OR($T2048=TRUE(),$T2048="TRUE"),1,0))</f>
        <v/>
      </c>
      <c r="X2048">
        <f>IF($U2048=1,IFERROR(IF(VALUE($A2048)&lt;100000000,VALUE($A2048),1000000000),IFERROR(IF(VALUE(MID($A2048,2,20))&lt;100000000,VALUE(MID($A2048,2,20)),1000000000),1000000000))+ROW()/100000,"")</f>
        <v/>
      </c>
    </row>
    <row r="2049">
      <c r="F2049" s="7">
        <f>IF($A2049="","",E2049*N2049/100)</f>
        <v/>
      </c>
      <c r="J2049" s="7" t="n"/>
      <c r="K2049" s="7">
        <f>IF($A2049="","",S2049*N2049)</f>
        <v/>
      </c>
      <c r="L2049" s="7">
        <f>IF($A2049="","",N2049-K2049)</f>
        <v/>
      </c>
      <c r="M2049" s="7">
        <f>IF($A2049="","",L2049-F2049)</f>
        <v/>
      </c>
      <c r="N2049" s="7" t="n"/>
      <c r="Q2049" s="11" t="n"/>
      <c r="S2049">
        <f>IF($A2049="","",IF($W2049=1,Settings!$C$6,Settings!$C$7)*1)</f>
        <v/>
      </c>
      <c r="U2049">
        <f>IF($A2049="","",IF(COUNTIF($A$2:$A2049,$A2049)=1,1,0))</f>
        <v/>
      </c>
      <c r="V2049">
        <f>IF($U2049=1,SUMPRODUCT(--($X$2:$X$3001&lt;$X2049))+1,"")</f>
        <v/>
      </c>
      <c r="W2049">
        <f>IF($A2049="","",IF(OR($T2049=TRUE(),$T2049="TRUE"),1,0))</f>
        <v/>
      </c>
      <c r="X2049">
        <f>IF($U2049=1,IFERROR(IF(VALUE($A2049)&lt;100000000,VALUE($A2049),1000000000),IFERROR(IF(VALUE(MID($A2049,2,20))&lt;100000000,VALUE(MID($A2049,2,20)),1000000000),1000000000))+ROW()/100000,"")</f>
        <v/>
      </c>
    </row>
    <row r="2050">
      <c r="F2050" s="7">
        <f>IF($A2050="","",E2050*N2050/100)</f>
        <v/>
      </c>
      <c r="J2050" s="7" t="n"/>
      <c r="K2050" s="7">
        <f>IF($A2050="","",S2050*N2050)</f>
        <v/>
      </c>
      <c r="L2050" s="7">
        <f>IF($A2050="","",N2050-K2050)</f>
        <v/>
      </c>
      <c r="M2050" s="7">
        <f>IF($A2050="","",L2050-F2050)</f>
        <v/>
      </c>
      <c r="N2050" s="7" t="n"/>
      <c r="Q2050" s="11" t="n"/>
      <c r="S2050">
        <f>IF($A2050="","",IF($W2050=1,Settings!$C$6,Settings!$C$7)*1)</f>
        <v/>
      </c>
      <c r="U2050">
        <f>IF($A2050="","",IF(COUNTIF($A$2:$A2050,$A2050)=1,1,0))</f>
        <v/>
      </c>
      <c r="V2050">
        <f>IF($U2050=1,SUMPRODUCT(--($X$2:$X$3001&lt;$X2050))+1,"")</f>
        <v/>
      </c>
      <c r="W2050">
        <f>IF($A2050="","",IF(OR($T2050=TRUE(),$T2050="TRUE"),1,0))</f>
        <v/>
      </c>
      <c r="X2050">
        <f>IF($U2050=1,IFERROR(IF(VALUE($A2050)&lt;100000000,VALUE($A2050),1000000000),IFERROR(IF(VALUE(MID($A2050,2,20))&lt;100000000,VALUE(MID($A2050,2,20)),1000000000),1000000000))+ROW()/100000,"")</f>
        <v/>
      </c>
    </row>
    <row r="2051">
      <c r="F2051" s="7">
        <f>IF($A2051="","",E2051*N2051/100)</f>
        <v/>
      </c>
      <c r="J2051" s="7" t="n"/>
      <c r="K2051" s="7">
        <f>IF($A2051="","",S2051*N2051)</f>
        <v/>
      </c>
      <c r="L2051" s="7">
        <f>IF($A2051="","",N2051-K2051)</f>
        <v/>
      </c>
      <c r="M2051" s="7">
        <f>IF($A2051="","",L2051-F2051)</f>
        <v/>
      </c>
      <c r="N2051" s="7" t="n"/>
      <c r="Q2051" s="11" t="n"/>
      <c r="S2051">
        <f>IF($A2051="","",IF($W2051=1,Settings!$C$6,Settings!$C$7)*1)</f>
        <v/>
      </c>
      <c r="U2051">
        <f>IF($A2051="","",IF(COUNTIF($A$2:$A2051,$A2051)=1,1,0))</f>
        <v/>
      </c>
      <c r="V2051">
        <f>IF($U2051=1,SUMPRODUCT(--($X$2:$X$3001&lt;$X2051))+1,"")</f>
        <v/>
      </c>
      <c r="W2051">
        <f>IF($A2051="","",IF(OR($T2051=TRUE(),$T2051="TRUE"),1,0))</f>
        <v/>
      </c>
      <c r="X2051">
        <f>IF($U2051=1,IFERROR(IF(VALUE($A2051)&lt;100000000,VALUE($A2051),1000000000),IFERROR(IF(VALUE(MID($A2051,2,20))&lt;100000000,VALUE(MID($A2051,2,20)),1000000000),1000000000))+ROW()/100000,"")</f>
        <v/>
      </c>
    </row>
    <row r="2052">
      <c r="F2052" s="7">
        <f>IF($A2052="","",E2052*N2052/100)</f>
        <v/>
      </c>
      <c r="J2052" s="7" t="n"/>
      <c r="K2052" s="7">
        <f>IF($A2052="","",S2052*N2052)</f>
        <v/>
      </c>
      <c r="L2052" s="7">
        <f>IF($A2052="","",N2052-K2052)</f>
        <v/>
      </c>
      <c r="M2052" s="7">
        <f>IF($A2052="","",L2052-F2052)</f>
        <v/>
      </c>
      <c r="N2052" s="7" t="n"/>
      <c r="Q2052" s="11" t="n"/>
      <c r="S2052">
        <f>IF($A2052="","",IF($W2052=1,Settings!$C$6,Settings!$C$7)*1)</f>
        <v/>
      </c>
      <c r="U2052">
        <f>IF($A2052="","",IF(COUNTIF($A$2:$A2052,$A2052)=1,1,0))</f>
        <v/>
      </c>
      <c r="V2052">
        <f>IF($U2052=1,SUMPRODUCT(--($X$2:$X$3001&lt;$X2052))+1,"")</f>
        <v/>
      </c>
      <c r="W2052">
        <f>IF($A2052="","",IF(OR($T2052=TRUE(),$T2052="TRUE"),1,0))</f>
        <v/>
      </c>
      <c r="X2052">
        <f>IF($U2052=1,IFERROR(IF(VALUE($A2052)&lt;100000000,VALUE($A2052),1000000000),IFERROR(IF(VALUE(MID($A2052,2,20))&lt;100000000,VALUE(MID($A2052,2,20)),1000000000),1000000000))+ROW()/100000,"")</f>
        <v/>
      </c>
    </row>
    <row r="2053">
      <c r="F2053" s="7">
        <f>IF($A2053="","",E2053*N2053/100)</f>
        <v/>
      </c>
      <c r="J2053" s="7" t="n"/>
      <c r="K2053" s="7">
        <f>IF($A2053="","",S2053*N2053)</f>
        <v/>
      </c>
      <c r="L2053" s="7">
        <f>IF($A2053="","",N2053-K2053)</f>
        <v/>
      </c>
      <c r="M2053" s="7">
        <f>IF($A2053="","",L2053-F2053)</f>
        <v/>
      </c>
      <c r="N2053" s="7" t="n"/>
      <c r="Q2053" s="11" t="n"/>
      <c r="S2053">
        <f>IF($A2053="","",IF($W2053=1,Settings!$C$6,Settings!$C$7)*1)</f>
        <v/>
      </c>
      <c r="U2053">
        <f>IF($A2053="","",IF(COUNTIF($A$2:$A2053,$A2053)=1,1,0))</f>
        <v/>
      </c>
      <c r="V2053">
        <f>IF($U2053=1,SUMPRODUCT(--($X$2:$X$3001&lt;$X2053))+1,"")</f>
        <v/>
      </c>
      <c r="W2053">
        <f>IF($A2053="","",IF(OR($T2053=TRUE(),$T2053="TRUE"),1,0))</f>
        <v/>
      </c>
      <c r="X2053">
        <f>IF($U2053=1,IFERROR(IF(VALUE($A2053)&lt;100000000,VALUE($A2053),1000000000),IFERROR(IF(VALUE(MID($A2053,2,20))&lt;100000000,VALUE(MID($A2053,2,20)),1000000000),1000000000))+ROW()/100000,"")</f>
        <v/>
      </c>
    </row>
    <row r="2054">
      <c r="F2054" s="7">
        <f>IF($A2054="","",E2054*N2054/100)</f>
        <v/>
      </c>
      <c r="J2054" s="7" t="n"/>
      <c r="K2054" s="7">
        <f>IF($A2054="","",S2054*N2054)</f>
        <v/>
      </c>
      <c r="L2054" s="7">
        <f>IF($A2054="","",N2054-K2054)</f>
        <v/>
      </c>
      <c r="M2054" s="7">
        <f>IF($A2054="","",L2054-F2054)</f>
        <v/>
      </c>
      <c r="N2054" s="7" t="n"/>
      <c r="Q2054" s="11" t="n"/>
      <c r="S2054">
        <f>IF($A2054="","",IF($W2054=1,Settings!$C$6,Settings!$C$7)*1)</f>
        <v/>
      </c>
      <c r="U2054">
        <f>IF($A2054="","",IF(COUNTIF($A$2:$A2054,$A2054)=1,1,0))</f>
        <v/>
      </c>
      <c r="V2054">
        <f>IF($U2054=1,SUMPRODUCT(--($X$2:$X$3001&lt;$X2054))+1,"")</f>
        <v/>
      </c>
      <c r="W2054">
        <f>IF($A2054="","",IF(OR($T2054=TRUE(),$T2054="TRUE"),1,0))</f>
        <v/>
      </c>
      <c r="X2054">
        <f>IF($U2054=1,IFERROR(IF(VALUE($A2054)&lt;100000000,VALUE($A2054),1000000000),IFERROR(IF(VALUE(MID($A2054,2,20))&lt;100000000,VALUE(MID($A2054,2,20)),1000000000),1000000000))+ROW()/100000,"")</f>
        <v/>
      </c>
    </row>
    <row r="2055">
      <c r="F2055" s="7">
        <f>IF($A2055="","",E2055*N2055/100)</f>
        <v/>
      </c>
      <c r="J2055" s="7" t="n"/>
      <c r="K2055" s="7">
        <f>IF($A2055="","",S2055*N2055)</f>
        <v/>
      </c>
      <c r="L2055" s="7">
        <f>IF($A2055="","",N2055-K2055)</f>
        <v/>
      </c>
      <c r="M2055" s="7">
        <f>IF($A2055="","",L2055-F2055)</f>
        <v/>
      </c>
      <c r="N2055" s="7" t="n"/>
      <c r="Q2055" s="11" t="n"/>
      <c r="S2055">
        <f>IF($A2055="","",IF($W2055=1,Settings!$C$6,Settings!$C$7)*1)</f>
        <v/>
      </c>
      <c r="U2055">
        <f>IF($A2055="","",IF(COUNTIF($A$2:$A2055,$A2055)=1,1,0))</f>
        <v/>
      </c>
      <c r="V2055">
        <f>IF($U2055=1,SUMPRODUCT(--($X$2:$X$3001&lt;$X2055))+1,"")</f>
        <v/>
      </c>
      <c r="W2055">
        <f>IF($A2055="","",IF(OR($T2055=TRUE(),$T2055="TRUE"),1,0))</f>
        <v/>
      </c>
      <c r="X2055">
        <f>IF($U2055=1,IFERROR(IF(VALUE($A2055)&lt;100000000,VALUE($A2055),1000000000),IFERROR(IF(VALUE(MID($A2055,2,20))&lt;100000000,VALUE(MID($A2055,2,20)),1000000000),1000000000))+ROW()/100000,"")</f>
        <v/>
      </c>
    </row>
    <row r="2056">
      <c r="F2056" s="7">
        <f>IF($A2056="","",E2056*N2056/100)</f>
        <v/>
      </c>
      <c r="J2056" s="7" t="n"/>
      <c r="K2056" s="7">
        <f>IF($A2056="","",S2056*N2056)</f>
        <v/>
      </c>
      <c r="L2056" s="7">
        <f>IF($A2056="","",N2056-K2056)</f>
        <v/>
      </c>
      <c r="M2056" s="7">
        <f>IF($A2056="","",L2056-F2056)</f>
        <v/>
      </c>
      <c r="N2056" s="7" t="n"/>
      <c r="Q2056" s="11" t="n"/>
      <c r="S2056">
        <f>IF($A2056="","",IF($W2056=1,Settings!$C$6,Settings!$C$7)*1)</f>
        <v/>
      </c>
      <c r="U2056">
        <f>IF($A2056="","",IF(COUNTIF($A$2:$A2056,$A2056)=1,1,0))</f>
        <v/>
      </c>
      <c r="V2056">
        <f>IF($U2056=1,SUMPRODUCT(--($X$2:$X$3001&lt;$X2056))+1,"")</f>
        <v/>
      </c>
      <c r="W2056">
        <f>IF($A2056="","",IF(OR($T2056=TRUE(),$T2056="TRUE"),1,0))</f>
        <v/>
      </c>
      <c r="X2056">
        <f>IF($U2056=1,IFERROR(IF(VALUE($A2056)&lt;100000000,VALUE($A2056),1000000000),IFERROR(IF(VALUE(MID($A2056,2,20))&lt;100000000,VALUE(MID($A2056,2,20)),1000000000),1000000000))+ROW()/100000,"")</f>
        <v/>
      </c>
    </row>
    <row r="2057">
      <c r="F2057" s="7">
        <f>IF($A2057="","",E2057*N2057/100)</f>
        <v/>
      </c>
      <c r="J2057" s="7" t="n"/>
      <c r="K2057" s="7">
        <f>IF($A2057="","",S2057*N2057)</f>
        <v/>
      </c>
      <c r="L2057" s="7">
        <f>IF($A2057="","",N2057-K2057)</f>
        <v/>
      </c>
      <c r="M2057" s="7">
        <f>IF($A2057="","",L2057-F2057)</f>
        <v/>
      </c>
      <c r="N2057" s="7" t="n"/>
      <c r="Q2057" s="11" t="n"/>
      <c r="S2057">
        <f>IF($A2057="","",IF($W2057=1,Settings!$C$6,Settings!$C$7)*1)</f>
        <v/>
      </c>
      <c r="U2057">
        <f>IF($A2057="","",IF(COUNTIF($A$2:$A2057,$A2057)=1,1,0))</f>
        <v/>
      </c>
      <c r="V2057">
        <f>IF($U2057=1,SUMPRODUCT(--($X$2:$X$3001&lt;$X2057))+1,"")</f>
        <v/>
      </c>
      <c r="W2057">
        <f>IF($A2057="","",IF(OR($T2057=TRUE(),$T2057="TRUE"),1,0))</f>
        <v/>
      </c>
      <c r="X2057">
        <f>IF($U2057=1,IFERROR(IF(VALUE($A2057)&lt;100000000,VALUE($A2057),1000000000),IFERROR(IF(VALUE(MID($A2057,2,20))&lt;100000000,VALUE(MID($A2057,2,20)),1000000000),1000000000))+ROW()/100000,"")</f>
        <v/>
      </c>
    </row>
    <row r="2058">
      <c r="F2058" s="7">
        <f>IF($A2058="","",E2058*N2058/100)</f>
        <v/>
      </c>
      <c r="J2058" s="7" t="n"/>
      <c r="K2058" s="7">
        <f>IF($A2058="","",S2058*N2058)</f>
        <v/>
      </c>
      <c r="L2058" s="7">
        <f>IF($A2058="","",N2058-K2058)</f>
        <v/>
      </c>
      <c r="M2058" s="7">
        <f>IF($A2058="","",L2058-F2058)</f>
        <v/>
      </c>
      <c r="N2058" s="7" t="n"/>
      <c r="Q2058" s="11" t="n"/>
      <c r="S2058">
        <f>IF($A2058="","",IF($W2058=1,Settings!$C$6,Settings!$C$7)*1)</f>
        <v/>
      </c>
      <c r="U2058">
        <f>IF($A2058="","",IF(COUNTIF($A$2:$A2058,$A2058)=1,1,0))</f>
        <v/>
      </c>
      <c r="V2058">
        <f>IF($U2058=1,SUMPRODUCT(--($X$2:$X$3001&lt;$X2058))+1,"")</f>
        <v/>
      </c>
      <c r="W2058">
        <f>IF($A2058="","",IF(OR($T2058=TRUE(),$T2058="TRUE"),1,0))</f>
        <v/>
      </c>
      <c r="X2058">
        <f>IF($U2058=1,IFERROR(IF(VALUE($A2058)&lt;100000000,VALUE($A2058),1000000000),IFERROR(IF(VALUE(MID($A2058,2,20))&lt;100000000,VALUE(MID($A2058,2,20)),1000000000),1000000000))+ROW()/100000,"")</f>
        <v/>
      </c>
    </row>
    <row r="2059">
      <c r="F2059" s="7">
        <f>IF($A2059="","",E2059*N2059/100)</f>
        <v/>
      </c>
      <c r="J2059" s="7" t="n"/>
      <c r="K2059" s="7">
        <f>IF($A2059="","",S2059*N2059)</f>
        <v/>
      </c>
      <c r="L2059" s="7">
        <f>IF($A2059="","",N2059-K2059)</f>
        <v/>
      </c>
      <c r="M2059" s="7">
        <f>IF($A2059="","",L2059-F2059)</f>
        <v/>
      </c>
      <c r="N2059" s="7" t="n"/>
      <c r="Q2059" s="11" t="n"/>
      <c r="S2059">
        <f>IF($A2059="","",IF($W2059=1,Settings!$C$6,Settings!$C$7)*1)</f>
        <v/>
      </c>
      <c r="U2059">
        <f>IF($A2059="","",IF(COUNTIF($A$2:$A2059,$A2059)=1,1,0))</f>
        <v/>
      </c>
      <c r="V2059">
        <f>IF($U2059=1,SUMPRODUCT(--($X$2:$X$3001&lt;$X2059))+1,"")</f>
        <v/>
      </c>
      <c r="W2059">
        <f>IF($A2059="","",IF(OR($T2059=TRUE(),$T2059="TRUE"),1,0))</f>
        <v/>
      </c>
      <c r="X2059">
        <f>IF($U2059=1,IFERROR(IF(VALUE($A2059)&lt;100000000,VALUE($A2059),1000000000),IFERROR(IF(VALUE(MID($A2059,2,20))&lt;100000000,VALUE(MID($A2059,2,20)),1000000000),1000000000))+ROW()/100000,"")</f>
        <v/>
      </c>
    </row>
    <row r="2060">
      <c r="F2060" s="7">
        <f>IF($A2060="","",E2060*N2060/100)</f>
        <v/>
      </c>
      <c r="J2060" s="7" t="n"/>
      <c r="K2060" s="7">
        <f>IF($A2060="","",S2060*N2060)</f>
        <v/>
      </c>
      <c r="L2060" s="7">
        <f>IF($A2060="","",N2060-K2060)</f>
        <v/>
      </c>
      <c r="M2060" s="7">
        <f>IF($A2060="","",L2060-F2060)</f>
        <v/>
      </c>
      <c r="N2060" s="7" t="n"/>
      <c r="Q2060" s="11" t="n"/>
      <c r="S2060">
        <f>IF($A2060="","",IF($W2060=1,Settings!$C$6,Settings!$C$7)*1)</f>
        <v/>
      </c>
      <c r="U2060">
        <f>IF($A2060="","",IF(COUNTIF($A$2:$A2060,$A2060)=1,1,0))</f>
        <v/>
      </c>
      <c r="V2060">
        <f>IF($U2060=1,SUMPRODUCT(--($X$2:$X$3001&lt;$X2060))+1,"")</f>
        <v/>
      </c>
      <c r="W2060">
        <f>IF($A2060="","",IF(OR($T2060=TRUE(),$T2060="TRUE"),1,0))</f>
        <v/>
      </c>
      <c r="X2060">
        <f>IF($U2060=1,IFERROR(IF(VALUE($A2060)&lt;100000000,VALUE($A2060),1000000000),IFERROR(IF(VALUE(MID($A2060,2,20))&lt;100000000,VALUE(MID($A2060,2,20)),1000000000),1000000000))+ROW()/100000,"")</f>
        <v/>
      </c>
    </row>
    <row r="2061">
      <c r="F2061" s="7">
        <f>IF($A2061="","",E2061*N2061/100)</f>
        <v/>
      </c>
      <c r="J2061" s="7" t="n"/>
      <c r="K2061" s="7">
        <f>IF($A2061="","",S2061*N2061)</f>
        <v/>
      </c>
      <c r="L2061" s="7">
        <f>IF($A2061="","",N2061-K2061)</f>
        <v/>
      </c>
      <c r="M2061" s="7">
        <f>IF($A2061="","",L2061-F2061)</f>
        <v/>
      </c>
      <c r="N2061" s="7" t="n"/>
      <c r="Q2061" s="11" t="n"/>
      <c r="S2061">
        <f>IF($A2061="","",IF($W2061=1,Settings!$C$6,Settings!$C$7)*1)</f>
        <v/>
      </c>
      <c r="U2061">
        <f>IF($A2061="","",IF(COUNTIF($A$2:$A2061,$A2061)=1,1,0))</f>
        <v/>
      </c>
      <c r="V2061">
        <f>IF($U2061=1,SUMPRODUCT(--($X$2:$X$3001&lt;$X2061))+1,"")</f>
        <v/>
      </c>
      <c r="W2061">
        <f>IF($A2061="","",IF(OR($T2061=TRUE(),$T2061="TRUE"),1,0))</f>
        <v/>
      </c>
      <c r="X2061">
        <f>IF($U2061=1,IFERROR(IF(VALUE($A2061)&lt;100000000,VALUE($A2061),1000000000),IFERROR(IF(VALUE(MID($A2061,2,20))&lt;100000000,VALUE(MID($A2061,2,20)),1000000000),1000000000))+ROW()/100000,"")</f>
        <v/>
      </c>
    </row>
    <row r="2062">
      <c r="F2062" s="7">
        <f>IF($A2062="","",E2062*N2062/100)</f>
        <v/>
      </c>
      <c r="J2062" s="7" t="n"/>
      <c r="K2062" s="7">
        <f>IF($A2062="","",S2062*N2062)</f>
        <v/>
      </c>
      <c r="L2062" s="7">
        <f>IF($A2062="","",N2062-K2062)</f>
        <v/>
      </c>
      <c r="M2062" s="7">
        <f>IF($A2062="","",L2062-F2062)</f>
        <v/>
      </c>
      <c r="N2062" s="7" t="n"/>
      <c r="Q2062" s="11" t="n"/>
      <c r="S2062">
        <f>IF($A2062="","",IF($W2062=1,Settings!$C$6,Settings!$C$7)*1)</f>
        <v/>
      </c>
      <c r="U2062">
        <f>IF($A2062="","",IF(COUNTIF($A$2:$A2062,$A2062)=1,1,0))</f>
        <v/>
      </c>
      <c r="V2062">
        <f>IF($U2062=1,SUMPRODUCT(--($X$2:$X$3001&lt;$X2062))+1,"")</f>
        <v/>
      </c>
      <c r="W2062">
        <f>IF($A2062="","",IF(OR($T2062=TRUE(),$T2062="TRUE"),1,0))</f>
        <v/>
      </c>
      <c r="X2062">
        <f>IF($U2062=1,IFERROR(IF(VALUE($A2062)&lt;100000000,VALUE($A2062),1000000000),IFERROR(IF(VALUE(MID($A2062,2,20))&lt;100000000,VALUE(MID($A2062,2,20)),1000000000),1000000000))+ROW()/100000,"")</f>
        <v/>
      </c>
    </row>
    <row r="2063">
      <c r="F2063" s="7">
        <f>IF($A2063="","",E2063*N2063/100)</f>
        <v/>
      </c>
      <c r="J2063" s="7" t="n"/>
      <c r="K2063" s="7">
        <f>IF($A2063="","",S2063*N2063)</f>
        <v/>
      </c>
      <c r="L2063" s="7">
        <f>IF($A2063="","",N2063-K2063)</f>
        <v/>
      </c>
      <c r="M2063" s="7">
        <f>IF($A2063="","",L2063-F2063)</f>
        <v/>
      </c>
      <c r="N2063" s="7" t="n"/>
      <c r="Q2063" s="11" t="n"/>
      <c r="S2063">
        <f>IF($A2063="","",IF($W2063=1,Settings!$C$6,Settings!$C$7)*1)</f>
        <v/>
      </c>
      <c r="U2063">
        <f>IF($A2063="","",IF(COUNTIF($A$2:$A2063,$A2063)=1,1,0))</f>
        <v/>
      </c>
      <c r="V2063">
        <f>IF($U2063=1,SUMPRODUCT(--($X$2:$X$3001&lt;$X2063))+1,"")</f>
        <v/>
      </c>
      <c r="W2063">
        <f>IF($A2063="","",IF(OR($T2063=TRUE(),$T2063="TRUE"),1,0))</f>
        <v/>
      </c>
      <c r="X2063">
        <f>IF($U2063=1,IFERROR(IF(VALUE($A2063)&lt;100000000,VALUE($A2063),1000000000),IFERROR(IF(VALUE(MID($A2063,2,20))&lt;100000000,VALUE(MID($A2063,2,20)),1000000000),1000000000))+ROW()/100000,"")</f>
        <v/>
      </c>
    </row>
    <row r="2064">
      <c r="F2064" s="7">
        <f>IF($A2064="","",E2064*N2064/100)</f>
        <v/>
      </c>
      <c r="J2064" s="7" t="n"/>
      <c r="K2064" s="7">
        <f>IF($A2064="","",S2064*N2064)</f>
        <v/>
      </c>
      <c r="L2064" s="7">
        <f>IF($A2064="","",N2064-K2064)</f>
        <v/>
      </c>
      <c r="M2064" s="7">
        <f>IF($A2064="","",L2064-F2064)</f>
        <v/>
      </c>
      <c r="N2064" s="7" t="n"/>
      <c r="Q2064" s="11" t="n"/>
      <c r="S2064">
        <f>IF($A2064="","",IF($W2064=1,Settings!$C$6,Settings!$C$7)*1)</f>
        <v/>
      </c>
      <c r="U2064">
        <f>IF($A2064="","",IF(COUNTIF($A$2:$A2064,$A2064)=1,1,0))</f>
        <v/>
      </c>
      <c r="V2064">
        <f>IF($U2064=1,SUMPRODUCT(--($X$2:$X$3001&lt;$X2064))+1,"")</f>
        <v/>
      </c>
      <c r="W2064">
        <f>IF($A2064="","",IF(OR($T2064=TRUE(),$T2064="TRUE"),1,0))</f>
        <v/>
      </c>
      <c r="X2064">
        <f>IF($U2064=1,IFERROR(IF(VALUE($A2064)&lt;100000000,VALUE($A2064),1000000000),IFERROR(IF(VALUE(MID($A2064,2,20))&lt;100000000,VALUE(MID($A2064,2,20)),1000000000),1000000000))+ROW()/100000,"")</f>
        <v/>
      </c>
    </row>
    <row r="2065">
      <c r="F2065" s="7">
        <f>IF($A2065="","",E2065*N2065/100)</f>
        <v/>
      </c>
      <c r="J2065" s="7" t="n"/>
      <c r="K2065" s="7">
        <f>IF($A2065="","",S2065*N2065)</f>
        <v/>
      </c>
      <c r="L2065" s="7">
        <f>IF($A2065="","",N2065-K2065)</f>
        <v/>
      </c>
      <c r="M2065" s="7">
        <f>IF($A2065="","",L2065-F2065)</f>
        <v/>
      </c>
      <c r="N2065" s="7" t="n"/>
      <c r="Q2065" s="11" t="n"/>
      <c r="S2065">
        <f>IF($A2065="","",IF($W2065=1,Settings!$C$6,Settings!$C$7)*1)</f>
        <v/>
      </c>
      <c r="U2065">
        <f>IF($A2065="","",IF(COUNTIF($A$2:$A2065,$A2065)=1,1,0))</f>
        <v/>
      </c>
      <c r="V2065">
        <f>IF($U2065=1,SUMPRODUCT(--($X$2:$X$3001&lt;$X2065))+1,"")</f>
        <v/>
      </c>
      <c r="W2065">
        <f>IF($A2065="","",IF(OR($T2065=TRUE(),$T2065="TRUE"),1,0))</f>
        <v/>
      </c>
      <c r="X2065">
        <f>IF($U2065=1,IFERROR(IF(VALUE($A2065)&lt;100000000,VALUE($A2065),1000000000),IFERROR(IF(VALUE(MID($A2065,2,20))&lt;100000000,VALUE(MID($A2065,2,20)),1000000000),1000000000))+ROW()/100000,"")</f>
        <v/>
      </c>
    </row>
    <row r="2066">
      <c r="F2066" s="7">
        <f>IF($A2066="","",E2066*N2066/100)</f>
        <v/>
      </c>
      <c r="J2066" s="7" t="n"/>
      <c r="K2066" s="7">
        <f>IF($A2066="","",S2066*N2066)</f>
        <v/>
      </c>
      <c r="L2066" s="7">
        <f>IF($A2066="","",N2066-K2066)</f>
        <v/>
      </c>
      <c r="M2066" s="7">
        <f>IF($A2066="","",L2066-F2066)</f>
        <v/>
      </c>
      <c r="N2066" s="7" t="n"/>
      <c r="Q2066" s="11" t="n"/>
      <c r="S2066">
        <f>IF($A2066="","",IF($W2066=1,Settings!$C$6,Settings!$C$7)*1)</f>
        <v/>
      </c>
      <c r="U2066">
        <f>IF($A2066="","",IF(COUNTIF($A$2:$A2066,$A2066)=1,1,0))</f>
        <v/>
      </c>
      <c r="V2066">
        <f>IF($U2066=1,SUMPRODUCT(--($X$2:$X$3001&lt;$X2066))+1,"")</f>
        <v/>
      </c>
      <c r="W2066">
        <f>IF($A2066="","",IF(OR($T2066=TRUE(),$T2066="TRUE"),1,0))</f>
        <v/>
      </c>
      <c r="X2066">
        <f>IF($U2066=1,IFERROR(IF(VALUE($A2066)&lt;100000000,VALUE($A2066),1000000000),IFERROR(IF(VALUE(MID($A2066,2,20))&lt;100000000,VALUE(MID($A2066,2,20)),1000000000),1000000000))+ROW()/100000,"")</f>
        <v/>
      </c>
    </row>
    <row r="2067">
      <c r="F2067" s="7">
        <f>IF($A2067="","",E2067*N2067/100)</f>
        <v/>
      </c>
      <c r="J2067" s="7" t="n"/>
      <c r="K2067" s="7">
        <f>IF($A2067="","",S2067*N2067)</f>
        <v/>
      </c>
      <c r="L2067" s="7">
        <f>IF($A2067="","",N2067-K2067)</f>
        <v/>
      </c>
      <c r="M2067" s="7">
        <f>IF($A2067="","",L2067-F2067)</f>
        <v/>
      </c>
      <c r="N2067" s="7" t="n"/>
      <c r="Q2067" s="11" t="n"/>
      <c r="S2067">
        <f>IF($A2067="","",IF($W2067=1,Settings!$C$6,Settings!$C$7)*1)</f>
        <v/>
      </c>
      <c r="U2067">
        <f>IF($A2067="","",IF(COUNTIF($A$2:$A2067,$A2067)=1,1,0))</f>
        <v/>
      </c>
      <c r="V2067">
        <f>IF($U2067=1,SUMPRODUCT(--($X$2:$X$3001&lt;$X2067))+1,"")</f>
        <v/>
      </c>
      <c r="W2067">
        <f>IF($A2067="","",IF(OR($T2067=TRUE(),$T2067="TRUE"),1,0))</f>
        <v/>
      </c>
      <c r="X2067">
        <f>IF($U2067=1,IFERROR(IF(VALUE($A2067)&lt;100000000,VALUE($A2067),1000000000),IFERROR(IF(VALUE(MID($A2067,2,20))&lt;100000000,VALUE(MID($A2067,2,20)),1000000000),1000000000))+ROW()/100000,"")</f>
        <v/>
      </c>
    </row>
    <row r="2068">
      <c r="F2068" s="7">
        <f>IF($A2068="","",E2068*N2068/100)</f>
        <v/>
      </c>
      <c r="J2068" s="7" t="n"/>
      <c r="K2068" s="7">
        <f>IF($A2068="","",S2068*N2068)</f>
        <v/>
      </c>
      <c r="L2068" s="7">
        <f>IF($A2068="","",N2068-K2068)</f>
        <v/>
      </c>
      <c r="M2068" s="7">
        <f>IF($A2068="","",L2068-F2068)</f>
        <v/>
      </c>
      <c r="N2068" s="7" t="n"/>
      <c r="Q2068" s="11" t="n"/>
      <c r="S2068">
        <f>IF($A2068="","",IF($W2068=1,Settings!$C$6,Settings!$C$7)*1)</f>
        <v/>
      </c>
      <c r="U2068">
        <f>IF($A2068="","",IF(COUNTIF($A$2:$A2068,$A2068)=1,1,0))</f>
        <v/>
      </c>
      <c r="V2068">
        <f>IF($U2068=1,SUMPRODUCT(--($X$2:$X$3001&lt;$X2068))+1,"")</f>
        <v/>
      </c>
      <c r="W2068">
        <f>IF($A2068="","",IF(OR($T2068=TRUE(),$T2068="TRUE"),1,0))</f>
        <v/>
      </c>
      <c r="X2068">
        <f>IF($U2068=1,IFERROR(IF(VALUE($A2068)&lt;100000000,VALUE($A2068),1000000000),IFERROR(IF(VALUE(MID($A2068,2,20))&lt;100000000,VALUE(MID($A2068,2,20)),1000000000),1000000000))+ROW()/100000,"")</f>
        <v/>
      </c>
    </row>
    <row r="2069">
      <c r="F2069" s="7">
        <f>IF($A2069="","",E2069*N2069/100)</f>
        <v/>
      </c>
      <c r="J2069" s="7" t="n"/>
      <c r="K2069" s="7">
        <f>IF($A2069="","",S2069*N2069)</f>
        <v/>
      </c>
      <c r="L2069" s="7">
        <f>IF($A2069="","",N2069-K2069)</f>
        <v/>
      </c>
      <c r="M2069" s="7">
        <f>IF($A2069="","",L2069-F2069)</f>
        <v/>
      </c>
      <c r="N2069" s="7" t="n"/>
      <c r="Q2069" s="11" t="n"/>
      <c r="S2069">
        <f>IF($A2069="","",IF($W2069=1,Settings!$C$6,Settings!$C$7)*1)</f>
        <v/>
      </c>
      <c r="U2069">
        <f>IF($A2069="","",IF(COUNTIF($A$2:$A2069,$A2069)=1,1,0))</f>
        <v/>
      </c>
      <c r="V2069">
        <f>IF($U2069=1,SUMPRODUCT(--($X$2:$X$3001&lt;$X2069))+1,"")</f>
        <v/>
      </c>
      <c r="W2069">
        <f>IF($A2069="","",IF(OR($T2069=TRUE(),$T2069="TRUE"),1,0))</f>
        <v/>
      </c>
      <c r="X2069">
        <f>IF($U2069=1,IFERROR(IF(VALUE($A2069)&lt;100000000,VALUE($A2069),1000000000),IFERROR(IF(VALUE(MID($A2069,2,20))&lt;100000000,VALUE(MID($A2069,2,20)),1000000000),1000000000))+ROW()/100000,"")</f>
        <v/>
      </c>
    </row>
    <row r="2070">
      <c r="F2070" s="7">
        <f>IF($A2070="","",E2070*N2070/100)</f>
        <v/>
      </c>
      <c r="J2070" s="7" t="n"/>
      <c r="K2070" s="7">
        <f>IF($A2070="","",S2070*N2070)</f>
        <v/>
      </c>
      <c r="L2070" s="7">
        <f>IF($A2070="","",N2070-K2070)</f>
        <v/>
      </c>
      <c r="M2070" s="7">
        <f>IF($A2070="","",L2070-F2070)</f>
        <v/>
      </c>
      <c r="N2070" s="7" t="n"/>
      <c r="Q2070" s="11" t="n"/>
      <c r="S2070">
        <f>IF($A2070="","",IF($W2070=1,Settings!$C$6,Settings!$C$7)*1)</f>
        <v/>
      </c>
      <c r="U2070">
        <f>IF($A2070="","",IF(COUNTIF($A$2:$A2070,$A2070)=1,1,0))</f>
        <v/>
      </c>
      <c r="V2070">
        <f>IF($U2070=1,SUMPRODUCT(--($X$2:$X$3001&lt;$X2070))+1,"")</f>
        <v/>
      </c>
      <c r="W2070">
        <f>IF($A2070="","",IF(OR($T2070=TRUE(),$T2070="TRUE"),1,0))</f>
        <v/>
      </c>
      <c r="X2070">
        <f>IF($U2070=1,IFERROR(IF(VALUE($A2070)&lt;100000000,VALUE($A2070),1000000000),IFERROR(IF(VALUE(MID($A2070,2,20))&lt;100000000,VALUE(MID($A2070,2,20)),1000000000),1000000000))+ROW()/100000,"")</f>
        <v/>
      </c>
    </row>
    <row r="2071">
      <c r="F2071" s="7">
        <f>IF($A2071="","",E2071*N2071/100)</f>
        <v/>
      </c>
      <c r="J2071" s="7" t="n"/>
      <c r="K2071" s="7">
        <f>IF($A2071="","",S2071*N2071)</f>
        <v/>
      </c>
      <c r="L2071" s="7">
        <f>IF($A2071="","",N2071-K2071)</f>
        <v/>
      </c>
      <c r="M2071" s="7">
        <f>IF($A2071="","",L2071-F2071)</f>
        <v/>
      </c>
      <c r="N2071" s="7" t="n"/>
      <c r="Q2071" s="11" t="n"/>
      <c r="S2071">
        <f>IF($A2071="","",IF($W2071=1,Settings!$C$6,Settings!$C$7)*1)</f>
        <v/>
      </c>
      <c r="U2071">
        <f>IF($A2071="","",IF(COUNTIF($A$2:$A2071,$A2071)=1,1,0))</f>
        <v/>
      </c>
      <c r="V2071">
        <f>IF($U2071=1,SUMPRODUCT(--($X$2:$X$3001&lt;$X2071))+1,"")</f>
        <v/>
      </c>
      <c r="W2071">
        <f>IF($A2071="","",IF(OR($T2071=TRUE(),$T2071="TRUE"),1,0))</f>
        <v/>
      </c>
      <c r="X2071">
        <f>IF($U2071=1,IFERROR(IF(VALUE($A2071)&lt;100000000,VALUE($A2071),1000000000),IFERROR(IF(VALUE(MID($A2071,2,20))&lt;100000000,VALUE(MID($A2071,2,20)),1000000000),1000000000))+ROW()/100000,"")</f>
        <v/>
      </c>
    </row>
    <row r="2072">
      <c r="F2072" s="7">
        <f>IF($A2072="","",E2072*N2072/100)</f>
        <v/>
      </c>
      <c r="J2072" s="7" t="n"/>
      <c r="K2072" s="7">
        <f>IF($A2072="","",S2072*N2072)</f>
        <v/>
      </c>
      <c r="L2072" s="7">
        <f>IF($A2072="","",N2072-K2072)</f>
        <v/>
      </c>
      <c r="M2072" s="7">
        <f>IF($A2072="","",L2072-F2072)</f>
        <v/>
      </c>
      <c r="N2072" s="7" t="n"/>
      <c r="Q2072" s="11" t="n"/>
      <c r="S2072">
        <f>IF($A2072="","",IF($W2072=1,Settings!$C$6,Settings!$C$7)*1)</f>
        <v/>
      </c>
      <c r="U2072">
        <f>IF($A2072="","",IF(COUNTIF($A$2:$A2072,$A2072)=1,1,0))</f>
        <v/>
      </c>
      <c r="V2072">
        <f>IF($U2072=1,SUMPRODUCT(--($X$2:$X$3001&lt;$X2072))+1,"")</f>
        <v/>
      </c>
      <c r="W2072">
        <f>IF($A2072="","",IF(OR($T2072=TRUE(),$T2072="TRUE"),1,0))</f>
        <v/>
      </c>
      <c r="X2072">
        <f>IF($U2072=1,IFERROR(IF(VALUE($A2072)&lt;100000000,VALUE($A2072),1000000000),IFERROR(IF(VALUE(MID($A2072,2,20))&lt;100000000,VALUE(MID($A2072,2,20)),1000000000),1000000000))+ROW()/100000,"")</f>
        <v/>
      </c>
    </row>
    <row r="2073">
      <c r="F2073" s="7">
        <f>IF($A2073="","",E2073*N2073/100)</f>
        <v/>
      </c>
      <c r="J2073" s="7" t="n"/>
      <c r="K2073" s="7">
        <f>IF($A2073="","",S2073*N2073)</f>
        <v/>
      </c>
      <c r="L2073" s="7">
        <f>IF($A2073="","",N2073-K2073)</f>
        <v/>
      </c>
      <c r="M2073" s="7">
        <f>IF($A2073="","",L2073-F2073)</f>
        <v/>
      </c>
      <c r="N2073" s="7" t="n"/>
      <c r="Q2073" s="11" t="n"/>
      <c r="S2073">
        <f>IF($A2073="","",IF($W2073=1,Settings!$C$6,Settings!$C$7)*1)</f>
        <v/>
      </c>
      <c r="U2073">
        <f>IF($A2073="","",IF(COUNTIF($A$2:$A2073,$A2073)=1,1,0))</f>
        <v/>
      </c>
      <c r="V2073">
        <f>IF($U2073=1,SUMPRODUCT(--($X$2:$X$3001&lt;$X2073))+1,"")</f>
        <v/>
      </c>
      <c r="W2073">
        <f>IF($A2073="","",IF(OR($T2073=TRUE(),$T2073="TRUE"),1,0))</f>
        <v/>
      </c>
      <c r="X2073">
        <f>IF($U2073=1,IFERROR(IF(VALUE($A2073)&lt;100000000,VALUE($A2073),1000000000),IFERROR(IF(VALUE(MID($A2073,2,20))&lt;100000000,VALUE(MID($A2073,2,20)),1000000000),1000000000))+ROW()/100000,"")</f>
        <v/>
      </c>
    </row>
    <row r="2074">
      <c r="F2074" s="7">
        <f>IF($A2074="","",E2074*N2074/100)</f>
        <v/>
      </c>
      <c r="J2074" s="7" t="n"/>
      <c r="K2074" s="7">
        <f>IF($A2074="","",S2074*N2074)</f>
        <v/>
      </c>
      <c r="L2074" s="7">
        <f>IF($A2074="","",N2074-K2074)</f>
        <v/>
      </c>
      <c r="M2074" s="7">
        <f>IF($A2074="","",L2074-F2074)</f>
        <v/>
      </c>
      <c r="N2074" s="7" t="n"/>
      <c r="Q2074" s="11" t="n"/>
      <c r="S2074">
        <f>IF($A2074="","",IF($W2074=1,Settings!$C$6,Settings!$C$7)*1)</f>
        <v/>
      </c>
      <c r="U2074">
        <f>IF($A2074="","",IF(COUNTIF($A$2:$A2074,$A2074)=1,1,0))</f>
        <v/>
      </c>
      <c r="V2074">
        <f>IF($U2074=1,SUMPRODUCT(--($X$2:$X$3001&lt;$X2074))+1,"")</f>
        <v/>
      </c>
      <c r="W2074">
        <f>IF($A2074="","",IF(OR($T2074=TRUE(),$T2074="TRUE"),1,0))</f>
        <v/>
      </c>
      <c r="X2074">
        <f>IF($U2074=1,IFERROR(IF(VALUE($A2074)&lt;100000000,VALUE($A2074),1000000000),IFERROR(IF(VALUE(MID($A2074,2,20))&lt;100000000,VALUE(MID($A2074,2,20)),1000000000),1000000000))+ROW()/100000,"")</f>
        <v/>
      </c>
    </row>
    <row r="2075">
      <c r="F2075" s="7">
        <f>IF($A2075="","",E2075*N2075/100)</f>
        <v/>
      </c>
      <c r="J2075" s="7" t="n"/>
      <c r="K2075" s="7">
        <f>IF($A2075="","",S2075*N2075)</f>
        <v/>
      </c>
      <c r="L2075" s="7">
        <f>IF($A2075="","",N2075-K2075)</f>
        <v/>
      </c>
      <c r="M2075" s="7">
        <f>IF($A2075="","",L2075-F2075)</f>
        <v/>
      </c>
      <c r="N2075" s="7" t="n"/>
      <c r="Q2075" s="11" t="n"/>
      <c r="S2075">
        <f>IF($A2075="","",IF($W2075=1,Settings!$C$6,Settings!$C$7)*1)</f>
        <v/>
      </c>
      <c r="U2075">
        <f>IF($A2075="","",IF(COUNTIF($A$2:$A2075,$A2075)=1,1,0))</f>
        <v/>
      </c>
      <c r="V2075">
        <f>IF($U2075=1,SUMPRODUCT(--($X$2:$X$3001&lt;$X2075))+1,"")</f>
        <v/>
      </c>
      <c r="W2075">
        <f>IF($A2075="","",IF(OR($T2075=TRUE(),$T2075="TRUE"),1,0))</f>
        <v/>
      </c>
      <c r="X2075">
        <f>IF($U2075=1,IFERROR(IF(VALUE($A2075)&lt;100000000,VALUE($A2075),1000000000),IFERROR(IF(VALUE(MID($A2075,2,20))&lt;100000000,VALUE(MID($A2075,2,20)),1000000000),1000000000))+ROW()/100000,"")</f>
        <v/>
      </c>
    </row>
    <row r="2076">
      <c r="F2076" s="7">
        <f>IF($A2076="","",E2076*N2076/100)</f>
        <v/>
      </c>
      <c r="J2076" s="7" t="n"/>
      <c r="K2076" s="7">
        <f>IF($A2076="","",S2076*N2076)</f>
        <v/>
      </c>
      <c r="L2076" s="7">
        <f>IF($A2076="","",N2076-K2076)</f>
        <v/>
      </c>
      <c r="M2076" s="7">
        <f>IF($A2076="","",L2076-F2076)</f>
        <v/>
      </c>
      <c r="N2076" s="7" t="n"/>
      <c r="Q2076" s="11" t="n"/>
      <c r="S2076">
        <f>IF($A2076="","",IF($W2076=1,Settings!$C$6,Settings!$C$7)*1)</f>
        <v/>
      </c>
      <c r="U2076">
        <f>IF($A2076="","",IF(COUNTIF($A$2:$A2076,$A2076)=1,1,0))</f>
        <v/>
      </c>
      <c r="V2076">
        <f>IF($U2076=1,SUMPRODUCT(--($X$2:$X$3001&lt;$X2076))+1,"")</f>
        <v/>
      </c>
      <c r="W2076">
        <f>IF($A2076="","",IF(OR($T2076=TRUE(),$T2076="TRUE"),1,0))</f>
        <v/>
      </c>
      <c r="X2076">
        <f>IF($U2076=1,IFERROR(IF(VALUE($A2076)&lt;100000000,VALUE($A2076),1000000000),IFERROR(IF(VALUE(MID($A2076,2,20))&lt;100000000,VALUE(MID($A2076,2,20)),1000000000),1000000000))+ROW()/100000,"")</f>
        <v/>
      </c>
    </row>
    <row r="2077">
      <c r="F2077" s="7">
        <f>IF($A2077="","",E2077*N2077/100)</f>
        <v/>
      </c>
      <c r="J2077" s="7" t="n"/>
      <c r="K2077" s="7">
        <f>IF($A2077="","",S2077*N2077)</f>
        <v/>
      </c>
      <c r="L2077" s="7">
        <f>IF($A2077="","",N2077-K2077)</f>
        <v/>
      </c>
      <c r="M2077" s="7">
        <f>IF($A2077="","",L2077-F2077)</f>
        <v/>
      </c>
      <c r="N2077" s="7" t="n"/>
      <c r="Q2077" s="11" t="n"/>
      <c r="S2077">
        <f>IF($A2077="","",IF($W2077=1,Settings!$C$6,Settings!$C$7)*1)</f>
        <v/>
      </c>
      <c r="U2077">
        <f>IF($A2077="","",IF(COUNTIF($A$2:$A2077,$A2077)=1,1,0))</f>
        <v/>
      </c>
      <c r="V2077">
        <f>IF($U2077=1,SUMPRODUCT(--($X$2:$X$3001&lt;$X2077))+1,"")</f>
        <v/>
      </c>
      <c r="W2077">
        <f>IF($A2077="","",IF(OR($T2077=TRUE(),$T2077="TRUE"),1,0))</f>
        <v/>
      </c>
      <c r="X2077">
        <f>IF($U2077=1,IFERROR(IF(VALUE($A2077)&lt;100000000,VALUE($A2077),1000000000),IFERROR(IF(VALUE(MID($A2077,2,20))&lt;100000000,VALUE(MID($A2077,2,20)),1000000000),1000000000))+ROW()/100000,"")</f>
        <v/>
      </c>
    </row>
    <row r="2078">
      <c r="F2078" s="7">
        <f>IF($A2078="","",E2078*N2078/100)</f>
        <v/>
      </c>
      <c r="J2078" s="7" t="n"/>
      <c r="K2078" s="7">
        <f>IF($A2078="","",S2078*N2078)</f>
        <v/>
      </c>
      <c r="L2078" s="7">
        <f>IF($A2078="","",N2078-K2078)</f>
        <v/>
      </c>
      <c r="M2078" s="7">
        <f>IF($A2078="","",L2078-F2078)</f>
        <v/>
      </c>
      <c r="N2078" s="7" t="n"/>
      <c r="Q2078" s="11" t="n"/>
      <c r="S2078">
        <f>IF($A2078="","",IF($W2078=1,Settings!$C$6,Settings!$C$7)*1)</f>
        <v/>
      </c>
      <c r="U2078">
        <f>IF($A2078="","",IF(COUNTIF($A$2:$A2078,$A2078)=1,1,0))</f>
        <v/>
      </c>
      <c r="V2078">
        <f>IF($U2078=1,SUMPRODUCT(--($X$2:$X$3001&lt;$X2078))+1,"")</f>
        <v/>
      </c>
      <c r="W2078">
        <f>IF($A2078="","",IF(OR($T2078=TRUE(),$T2078="TRUE"),1,0))</f>
        <v/>
      </c>
      <c r="X2078">
        <f>IF($U2078=1,IFERROR(IF(VALUE($A2078)&lt;100000000,VALUE($A2078),1000000000),IFERROR(IF(VALUE(MID($A2078,2,20))&lt;100000000,VALUE(MID($A2078,2,20)),1000000000),1000000000))+ROW()/100000,"")</f>
        <v/>
      </c>
    </row>
    <row r="2079">
      <c r="F2079" s="7">
        <f>IF($A2079="","",E2079*N2079/100)</f>
        <v/>
      </c>
      <c r="J2079" s="7" t="n"/>
      <c r="K2079" s="7">
        <f>IF($A2079="","",S2079*N2079)</f>
        <v/>
      </c>
      <c r="L2079" s="7">
        <f>IF($A2079="","",N2079-K2079)</f>
        <v/>
      </c>
      <c r="M2079" s="7">
        <f>IF($A2079="","",L2079-F2079)</f>
        <v/>
      </c>
      <c r="N2079" s="7" t="n"/>
      <c r="Q2079" s="11" t="n"/>
      <c r="S2079">
        <f>IF($A2079="","",IF($W2079=1,Settings!$C$6,Settings!$C$7)*1)</f>
        <v/>
      </c>
      <c r="U2079">
        <f>IF($A2079="","",IF(COUNTIF($A$2:$A2079,$A2079)=1,1,0))</f>
        <v/>
      </c>
      <c r="V2079">
        <f>IF($U2079=1,SUMPRODUCT(--($X$2:$X$3001&lt;$X2079))+1,"")</f>
        <v/>
      </c>
      <c r="W2079">
        <f>IF($A2079="","",IF(OR($T2079=TRUE(),$T2079="TRUE"),1,0))</f>
        <v/>
      </c>
      <c r="X2079">
        <f>IF($U2079=1,IFERROR(IF(VALUE($A2079)&lt;100000000,VALUE($A2079),1000000000),IFERROR(IF(VALUE(MID($A2079,2,20))&lt;100000000,VALUE(MID($A2079,2,20)),1000000000),1000000000))+ROW()/100000,"")</f>
        <v/>
      </c>
    </row>
    <row r="2080">
      <c r="F2080" s="7">
        <f>IF($A2080="","",E2080*N2080/100)</f>
        <v/>
      </c>
      <c r="J2080" s="7" t="n"/>
      <c r="K2080" s="7">
        <f>IF($A2080="","",S2080*N2080)</f>
        <v/>
      </c>
      <c r="L2080" s="7">
        <f>IF($A2080="","",N2080-K2080)</f>
        <v/>
      </c>
      <c r="M2080" s="7">
        <f>IF($A2080="","",L2080-F2080)</f>
        <v/>
      </c>
      <c r="N2080" s="7" t="n"/>
      <c r="Q2080" s="11" t="n"/>
      <c r="S2080">
        <f>IF($A2080="","",IF($W2080=1,Settings!$C$6,Settings!$C$7)*1)</f>
        <v/>
      </c>
      <c r="U2080">
        <f>IF($A2080="","",IF(COUNTIF($A$2:$A2080,$A2080)=1,1,0))</f>
        <v/>
      </c>
      <c r="V2080">
        <f>IF($U2080=1,SUMPRODUCT(--($X$2:$X$3001&lt;$X2080))+1,"")</f>
        <v/>
      </c>
      <c r="W2080">
        <f>IF($A2080="","",IF(OR($T2080=TRUE(),$T2080="TRUE"),1,0))</f>
        <v/>
      </c>
      <c r="X2080">
        <f>IF($U2080=1,IFERROR(IF(VALUE($A2080)&lt;100000000,VALUE($A2080),1000000000),IFERROR(IF(VALUE(MID($A2080,2,20))&lt;100000000,VALUE(MID($A2080,2,20)),1000000000),1000000000))+ROW()/100000,"")</f>
        <v/>
      </c>
    </row>
    <row r="2081">
      <c r="F2081" s="7">
        <f>IF($A2081="","",E2081*N2081/100)</f>
        <v/>
      </c>
      <c r="J2081" s="7" t="n"/>
      <c r="K2081" s="7">
        <f>IF($A2081="","",S2081*N2081)</f>
        <v/>
      </c>
      <c r="L2081" s="7">
        <f>IF($A2081="","",N2081-K2081)</f>
        <v/>
      </c>
      <c r="M2081" s="7">
        <f>IF($A2081="","",L2081-F2081)</f>
        <v/>
      </c>
      <c r="N2081" s="7" t="n"/>
      <c r="Q2081" s="11" t="n"/>
      <c r="S2081">
        <f>IF($A2081="","",IF($W2081=1,Settings!$C$6,Settings!$C$7)*1)</f>
        <v/>
      </c>
      <c r="U2081">
        <f>IF($A2081="","",IF(COUNTIF($A$2:$A2081,$A2081)=1,1,0))</f>
        <v/>
      </c>
      <c r="V2081">
        <f>IF($U2081=1,SUMPRODUCT(--($X$2:$X$3001&lt;$X2081))+1,"")</f>
        <v/>
      </c>
      <c r="W2081">
        <f>IF($A2081="","",IF(OR($T2081=TRUE(),$T2081="TRUE"),1,0))</f>
        <v/>
      </c>
      <c r="X2081">
        <f>IF($U2081=1,IFERROR(IF(VALUE($A2081)&lt;100000000,VALUE($A2081),1000000000),IFERROR(IF(VALUE(MID($A2081,2,20))&lt;100000000,VALUE(MID($A2081,2,20)),1000000000),1000000000))+ROW()/100000,"")</f>
        <v/>
      </c>
    </row>
    <row r="2082">
      <c r="F2082" s="7">
        <f>IF($A2082="","",E2082*N2082/100)</f>
        <v/>
      </c>
      <c r="J2082" s="7" t="n"/>
      <c r="K2082" s="7">
        <f>IF($A2082="","",S2082*N2082)</f>
        <v/>
      </c>
      <c r="L2082" s="7">
        <f>IF($A2082="","",N2082-K2082)</f>
        <v/>
      </c>
      <c r="M2082" s="7">
        <f>IF($A2082="","",L2082-F2082)</f>
        <v/>
      </c>
      <c r="N2082" s="7" t="n"/>
      <c r="Q2082" s="11" t="n"/>
      <c r="S2082">
        <f>IF($A2082="","",IF($W2082=1,Settings!$C$6,Settings!$C$7)*1)</f>
        <v/>
      </c>
      <c r="U2082">
        <f>IF($A2082="","",IF(COUNTIF($A$2:$A2082,$A2082)=1,1,0))</f>
        <v/>
      </c>
      <c r="V2082">
        <f>IF($U2082=1,SUMPRODUCT(--($X$2:$X$3001&lt;$X2082))+1,"")</f>
        <v/>
      </c>
      <c r="W2082">
        <f>IF($A2082="","",IF(OR($T2082=TRUE(),$T2082="TRUE"),1,0))</f>
        <v/>
      </c>
      <c r="X2082">
        <f>IF($U2082=1,IFERROR(IF(VALUE($A2082)&lt;100000000,VALUE($A2082),1000000000),IFERROR(IF(VALUE(MID($A2082,2,20))&lt;100000000,VALUE(MID($A2082,2,20)),1000000000),1000000000))+ROW()/100000,"")</f>
        <v/>
      </c>
    </row>
    <row r="2083">
      <c r="F2083" s="7">
        <f>IF($A2083="","",E2083*N2083/100)</f>
        <v/>
      </c>
      <c r="J2083" s="7" t="n"/>
      <c r="K2083" s="7">
        <f>IF($A2083="","",S2083*N2083)</f>
        <v/>
      </c>
      <c r="L2083" s="7">
        <f>IF($A2083="","",N2083-K2083)</f>
        <v/>
      </c>
      <c r="M2083" s="7">
        <f>IF($A2083="","",L2083-F2083)</f>
        <v/>
      </c>
      <c r="N2083" s="7" t="n"/>
      <c r="Q2083" s="11" t="n"/>
      <c r="S2083">
        <f>IF($A2083="","",IF($W2083=1,Settings!$C$6,Settings!$C$7)*1)</f>
        <v/>
      </c>
      <c r="U2083">
        <f>IF($A2083="","",IF(COUNTIF($A$2:$A2083,$A2083)=1,1,0))</f>
        <v/>
      </c>
      <c r="V2083">
        <f>IF($U2083=1,SUMPRODUCT(--($X$2:$X$3001&lt;$X2083))+1,"")</f>
        <v/>
      </c>
      <c r="W2083">
        <f>IF($A2083="","",IF(OR($T2083=TRUE(),$T2083="TRUE"),1,0))</f>
        <v/>
      </c>
      <c r="X2083">
        <f>IF($U2083=1,IFERROR(IF(VALUE($A2083)&lt;100000000,VALUE($A2083),1000000000),IFERROR(IF(VALUE(MID($A2083,2,20))&lt;100000000,VALUE(MID($A2083,2,20)),1000000000),1000000000))+ROW()/100000,"")</f>
        <v/>
      </c>
    </row>
    <row r="2084">
      <c r="F2084" s="7">
        <f>IF($A2084="","",E2084*N2084/100)</f>
        <v/>
      </c>
      <c r="J2084" s="7" t="n"/>
      <c r="K2084" s="7">
        <f>IF($A2084="","",S2084*N2084)</f>
        <v/>
      </c>
      <c r="L2084" s="7">
        <f>IF($A2084="","",N2084-K2084)</f>
        <v/>
      </c>
      <c r="M2084" s="7">
        <f>IF($A2084="","",L2084-F2084)</f>
        <v/>
      </c>
      <c r="N2084" s="7" t="n"/>
      <c r="Q2084" s="11" t="n"/>
      <c r="S2084">
        <f>IF($A2084="","",IF($W2084=1,Settings!$C$6,Settings!$C$7)*1)</f>
        <v/>
      </c>
      <c r="U2084">
        <f>IF($A2084="","",IF(COUNTIF($A$2:$A2084,$A2084)=1,1,0))</f>
        <v/>
      </c>
      <c r="V2084">
        <f>IF($U2084=1,SUMPRODUCT(--($X$2:$X$3001&lt;$X2084))+1,"")</f>
        <v/>
      </c>
      <c r="W2084">
        <f>IF($A2084="","",IF(OR($T2084=TRUE(),$T2084="TRUE"),1,0))</f>
        <v/>
      </c>
      <c r="X2084">
        <f>IF($U2084=1,IFERROR(IF(VALUE($A2084)&lt;100000000,VALUE($A2084),1000000000),IFERROR(IF(VALUE(MID($A2084,2,20))&lt;100000000,VALUE(MID($A2084,2,20)),1000000000),1000000000))+ROW()/100000,"")</f>
        <v/>
      </c>
    </row>
    <row r="2085">
      <c r="F2085" s="7">
        <f>IF($A2085="","",E2085*N2085/100)</f>
        <v/>
      </c>
      <c r="J2085" s="7" t="n"/>
      <c r="K2085" s="7">
        <f>IF($A2085="","",S2085*N2085)</f>
        <v/>
      </c>
      <c r="L2085" s="7">
        <f>IF($A2085="","",N2085-K2085)</f>
        <v/>
      </c>
      <c r="M2085" s="7">
        <f>IF($A2085="","",L2085-F2085)</f>
        <v/>
      </c>
      <c r="N2085" s="7" t="n"/>
      <c r="Q2085" s="11" t="n"/>
      <c r="S2085">
        <f>IF($A2085="","",IF($W2085=1,Settings!$C$6,Settings!$C$7)*1)</f>
        <v/>
      </c>
      <c r="U2085">
        <f>IF($A2085="","",IF(COUNTIF($A$2:$A2085,$A2085)=1,1,0))</f>
        <v/>
      </c>
      <c r="V2085">
        <f>IF($U2085=1,SUMPRODUCT(--($X$2:$X$3001&lt;$X2085))+1,"")</f>
        <v/>
      </c>
      <c r="W2085">
        <f>IF($A2085="","",IF(OR($T2085=TRUE(),$T2085="TRUE"),1,0))</f>
        <v/>
      </c>
      <c r="X2085">
        <f>IF($U2085=1,IFERROR(IF(VALUE($A2085)&lt;100000000,VALUE($A2085),1000000000),IFERROR(IF(VALUE(MID($A2085,2,20))&lt;100000000,VALUE(MID($A2085,2,20)),1000000000),1000000000))+ROW()/100000,"")</f>
        <v/>
      </c>
    </row>
    <row r="2086">
      <c r="F2086" s="7">
        <f>IF($A2086="","",E2086*N2086/100)</f>
        <v/>
      </c>
      <c r="J2086" s="7" t="n"/>
      <c r="K2086" s="7">
        <f>IF($A2086="","",S2086*N2086)</f>
        <v/>
      </c>
      <c r="L2086" s="7">
        <f>IF($A2086="","",N2086-K2086)</f>
        <v/>
      </c>
      <c r="M2086" s="7">
        <f>IF($A2086="","",L2086-F2086)</f>
        <v/>
      </c>
      <c r="N2086" s="7" t="n"/>
      <c r="Q2086" s="11" t="n"/>
      <c r="S2086">
        <f>IF($A2086="","",IF($W2086=1,Settings!$C$6,Settings!$C$7)*1)</f>
        <v/>
      </c>
      <c r="U2086">
        <f>IF($A2086="","",IF(COUNTIF($A$2:$A2086,$A2086)=1,1,0))</f>
        <v/>
      </c>
      <c r="V2086">
        <f>IF($U2086=1,SUMPRODUCT(--($X$2:$X$3001&lt;$X2086))+1,"")</f>
        <v/>
      </c>
      <c r="W2086">
        <f>IF($A2086="","",IF(OR($T2086=TRUE(),$T2086="TRUE"),1,0))</f>
        <v/>
      </c>
      <c r="X2086">
        <f>IF($U2086=1,IFERROR(IF(VALUE($A2086)&lt;100000000,VALUE($A2086),1000000000),IFERROR(IF(VALUE(MID($A2086,2,20))&lt;100000000,VALUE(MID($A2086,2,20)),1000000000),1000000000))+ROW()/100000,"")</f>
        <v/>
      </c>
    </row>
    <row r="2087">
      <c r="F2087" s="7">
        <f>IF($A2087="","",E2087*N2087/100)</f>
        <v/>
      </c>
      <c r="J2087" s="7" t="n"/>
      <c r="K2087" s="7">
        <f>IF($A2087="","",S2087*N2087)</f>
        <v/>
      </c>
      <c r="L2087" s="7">
        <f>IF($A2087="","",N2087-K2087)</f>
        <v/>
      </c>
      <c r="M2087" s="7">
        <f>IF($A2087="","",L2087-F2087)</f>
        <v/>
      </c>
      <c r="N2087" s="7" t="n"/>
      <c r="Q2087" s="11" t="n"/>
      <c r="S2087">
        <f>IF($A2087="","",IF($W2087=1,Settings!$C$6,Settings!$C$7)*1)</f>
        <v/>
      </c>
      <c r="U2087">
        <f>IF($A2087="","",IF(COUNTIF($A$2:$A2087,$A2087)=1,1,0))</f>
        <v/>
      </c>
      <c r="V2087">
        <f>IF($U2087=1,SUMPRODUCT(--($X$2:$X$3001&lt;$X2087))+1,"")</f>
        <v/>
      </c>
      <c r="W2087">
        <f>IF($A2087="","",IF(OR($T2087=TRUE(),$T2087="TRUE"),1,0))</f>
        <v/>
      </c>
      <c r="X2087">
        <f>IF($U2087=1,IFERROR(IF(VALUE($A2087)&lt;100000000,VALUE($A2087),1000000000),IFERROR(IF(VALUE(MID($A2087,2,20))&lt;100000000,VALUE(MID($A2087,2,20)),1000000000),1000000000))+ROW()/100000,"")</f>
        <v/>
      </c>
    </row>
    <row r="2088">
      <c r="F2088" s="7">
        <f>IF($A2088="","",E2088*N2088/100)</f>
        <v/>
      </c>
      <c r="J2088" s="7" t="n"/>
      <c r="K2088" s="7">
        <f>IF($A2088="","",S2088*N2088)</f>
        <v/>
      </c>
      <c r="L2088" s="7">
        <f>IF($A2088="","",N2088-K2088)</f>
        <v/>
      </c>
      <c r="M2088" s="7">
        <f>IF($A2088="","",L2088-F2088)</f>
        <v/>
      </c>
      <c r="N2088" s="7" t="n"/>
      <c r="Q2088" s="11" t="n"/>
      <c r="S2088">
        <f>IF($A2088="","",IF($W2088=1,Settings!$C$6,Settings!$C$7)*1)</f>
        <v/>
      </c>
      <c r="U2088">
        <f>IF($A2088="","",IF(COUNTIF($A$2:$A2088,$A2088)=1,1,0))</f>
        <v/>
      </c>
      <c r="V2088">
        <f>IF($U2088=1,SUMPRODUCT(--($X$2:$X$3001&lt;$X2088))+1,"")</f>
        <v/>
      </c>
      <c r="W2088">
        <f>IF($A2088="","",IF(OR($T2088=TRUE(),$T2088="TRUE"),1,0))</f>
        <v/>
      </c>
      <c r="X2088">
        <f>IF($U2088=1,IFERROR(IF(VALUE($A2088)&lt;100000000,VALUE($A2088),1000000000),IFERROR(IF(VALUE(MID($A2088,2,20))&lt;100000000,VALUE(MID($A2088,2,20)),1000000000),1000000000))+ROW()/100000,"")</f>
        <v/>
      </c>
    </row>
    <row r="2089">
      <c r="F2089" s="7">
        <f>IF($A2089="","",E2089*N2089/100)</f>
        <v/>
      </c>
      <c r="J2089" s="7" t="n"/>
      <c r="K2089" s="7">
        <f>IF($A2089="","",S2089*N2089)</f>
        <v/>
      </c>
      <c r="L2089" s="7">
        <f>IF($A2089="","",N2089-K2089)</f>
        <v/>
      </c>
      <c r="M2089" s="7">
        <f>IF($A2089="","",L2089-F2089)</f>
        <v/>
      </c>
      <c r="N2089" s="7" t="n"/>
      <c r="Q2089" s="11" t="n"/>
      <c r="S2089">
        <f>IF($A2089="","",IF($W2089=1,Settings!$C$6,Settings!$C$7)*1)</f>
        <v/>
      </c>
      <c r="U2089">
        <f>IF($A2089="","",IF(COUNTIF($A$2:$A2089,$A2089)=1,1,0))</f>
        <v/>
      </c>
      <c r="V2089">
        <f>IF($U2089=1,SUMPRODUCT(--($X$2:$X$3001&lt;$X2089))+1,"")</f>
        <v/>
      </c>
      <c r="W2089">
        <f>IF($A2089="","",IF(OR($T2089=TRUE(),$T2089="TRUE"),1,0))</f>
        <v/>
      </c>
      <c r="X2089">
        <f>IF($U2089=1,IFERROR(IF(VALUE($A2089)&lt;100000000,VALUE($A2089),1000000000),IFERROR(IF(VALUE(MID($A2089,2,20))&lt;100000000,VALUE(MID($A2089,2,20)),1000000000),1000000000))+ROW()/100000,"")</f>
        <v/>
      </c>
    </row>
    <row r="2090">
      <c r="F2090" s="7">
        <f>IF($A2090="","",E2090*N2090/100)</f>
        <v/>
      </c>
      <c r="J2090" s="7" t="n"/>
      <c r="K2090" s="7">
        <f>IF($A2090="","",S2090*N2090)</f>
        <v/>
      </c>
      <c r="L2090" s="7">
        <f>IF($A2090="","",N2090-K2090)</f>
        <v/>
      </c>
      <c r="M2090" s="7">
        <f>IF($A2090="","",L2090-F2090)</f>
        <v/>
      </c>
      <c r="N2090" s="7" t="n"/>
      <c r="Q2090" s="11" t="n"/>
      <c r="S2090">
        <f>IF($A2090="","",IF($W2090=1,Settings!$C$6,Settings!$C$7)*1)</f>
        <v/>
      </c>
      <c r="U2090">
        <f>IF($A2090="","",IF(COUNTIF($A$2:$A2090,$A2090)=1,1,0))</f>
        <v/>
      </c>
      <c r="V2090">
        <f>IF($U2090=1,SUMPRODUCT(--($X$2:$X$3001&lt;$X2090))+1,"")</f>
        <v/>
      </c>
      <c r="W2090">
        <f>IF($A2090="","",IF(OR($T2090=TRUE(),$T2090="TRUE"),1,0))</f>
        <v/>
      </c>
      <c r="X2090">
        <f>IF($U2090=1,IFERROR(IF(VALUE($A2090)&lt;100000000,VALUE($A2090),1000000000),IFERROR(IF(VALUE(MID($A2090,2,20))&lt;100000000,VALUE(MID($A2090,2,20)),1000000000),1000000000))+ROW()/100000,"")</f>
        <v/>
      </c>
    </row>
    <row r="2091">
      <c r="F2091" s="7">
        <f>IF($A2091="","",E2091*N2091/100)</f>
        <v/>
      </c>
      <c r="J2091" s="7" t="n"/>
      <c r="K2091" s="7">
        <f>IF($A2091="","",S2091*N2091)</f>
        <v/>
      </c>
      <c r="L2091" s="7">
        <f>IF($A2091="","",N2091-K2091)</f>
        <v/>
      </c>
      <c r="M2091" s="7">
        <f>IF($A2091="","",L2091-F2091)</f>
        <v/>
      </c>
      <c r="N2091" s="7" t="n"/>
      <c r="Q2091" s="11" t="n"/>
      <c r="S2091">
        <f>IF($A2091="","",IF($W2091=1,Settings!$C$6,Settings!$C$7)*1)</f>
        <v/>
      </c>
      <c r="U2091">
        <f>IF($A2091="","",IF(COUNTIF($A$2:$A2091,$A2091)=1,1,0))</f>
        <v/>
      </c>
      <c r="V2091">
        <f>IF($U2091=1,SUMPRODUCT(--($X$2:$X$3001&lt;$X2091))+1,"")</f>
        <v/>
      </c>
      <c r="W2091">
        <f>IF($A2091="","",IF(OR($T2091=TRUE(),$T2091="TRUE"),1,0))</f>
        <v/>
      </c>
      <c r="X2091">
        <f>IF($U2091=1,IFERROR(IF(VALUE($A2091)&lt;100000000,VALUE($A2091),1000000000),IFERROR(IF(VALUE(MID($A2091,2,20))&lt;100000000,VALUE(MID($A2091,2,20)),1000000000),1000000000))+ROW()/100000,"")</f>
        <v/>
      </c>
    </row>
    <row r="2092">
      <c r="F2092" s="7">
        <f>IF($A2092="","",E2092*N2092/100)</f>
        <v/>
      </c>
      <c r="J2092" s="7" t="n"/>
      <c r="K2092" s="7">
        <f>IF($A2092="","",S2092*N2092)</f>
        <v/>
      </c>
      <c r="L2092" s="7">
        <f>IF($A2092="","",N2092-K2092)</f>
        <v/>
      </c>
      <c r="M2092" s="7">
        <f>IF($A2092="","",L2092-F2092)</f>
        <v/>
      </c>
      <c r="N2092" s="7" t="n"/>
      <c r="Q2092" s="11" t="n"/>
      <c r="S2092">
        <f>IF($A2092="","",IF($W2092=1,Settings!$C$6,Settings!$C$7)*1)</f>
        <v/>
      </c>
      <c r="U2092">
        <f>IF($A2092="","",IF(COUNTIF($A$2:$A2092,$A2092)=1,1,0))</f>
        <v/>
      </c>
      <c r="V2092">
        <f>IF($U2092=1,SUMPRODUCT(--($X$2:$X$3001&lt;$X2092))+1,"")</f>
        <v/>
      </c>
      <c r="W2092">
        <f>IF($A2092="","",IF(OR($T2092=TRUE(),$T2092="TRUE"),1,0))</f>
        <v/>
      </c>
      <c r="X2092">
        <f>IF($U2092=1,IFERROR(IF(VALUE($A2092)&lt;100000000,VALUE($A2092),1000000000),IFERROR(IF(VALUE(MID($A2092,2,20))&lt;100000000,VALUE(MID($A2092,2,20)),1000000000),1000000000))+ROW()/100000,"")</f>
        <v/>
      </c>
    </row>
    <row r="2093">
      <c r="F2093" s="7">
        <f>IF($A2093="","",E2093*N2093/100)</f>
        <v/>
      </c>
      <c r="J2093" s="7" t="n"/>
      <c r="K2093" s="7">
        <f>IF($A2093="","",S2093*N2093)</f>
        <v/>
      </c>
      <c r="L2093" s="7">
        <f>IF($A2093="","",N2093-K2093)</f>
        <v/>
      </c>
      <c r="M2093" s="7">
        <f>IF($A2093="","",L2093-F2093)</f>
        <v/>
      </c>
      <c r="N2093" s="7" t="n"/>
      <c r="Q2093" s="11" t="n"/>
      <c r="S2093">
        <f>IF($A2093="","",IF($W2093=1,Settings!$C$6,Settings!$C$7)*1)</f>
        <v/>
      </c>
      <c r="U2093">
        <f>IF($A2093="","",IF(COUNTIF($A$2:$A2093,$A2093)=1,1,0))</f>
        <v/>
      </c>
      <c r="V2093">
        <f>IF($U2093=1,SUMPRODUCT(--($X$2:$X$3001&lt;$X2093))+1,"")</f>
        <v/>
      </c>
      <c r="W2093">
        <f>IF($A2093="","",IF(OR($T2093=TRUE(),$T2093="TRUE"),1,0))</f>
        <v/>
      </c>
      <c r="X2093">
        <f>IF($U2093=1,IFERROR(IF(VALUE($A2093)&lt;100000000,VALUE($A2093),1000000000),IFERROR(IF(VALUE(MID($A2093,2,20))&lt;100000000,VALUE(MID($A2093,2,20)),1000000000),1000000000))+ROW()/100000,"")</f>
        <v/>
      </c>
    </row>
    <row r="2094">
      <c r="F2094" s="7">
        <f>IF($A2094="","",E2094*N2094/100)</f>
        <v/>
      </c>
      <c r="J2094" s="7" t="n"/>
      <c r="K2094" s="7">
        <f>IF($A2094="","",S2094*N2094)</f>
        <v/>
      </c>
      <c r="L2094" s="7">
        <f>IF($A2094="","",N2094-K2094)</f>
        <v/>
      </c>
      <c r="M2094" s="7">
        <f>IF($A2094="","",L2094-F2094)</f>
        <v/>
      </c>
      <c r="N2094" s="7" t="n"/>
      <c r="Q2094" s="11" t="n"/>
      <c r="S2094">
        <f>IF($A2094="","",IF($W2094=1,Settings!$C$6,Settings!$C$7)*1)</f>
        <v/>
      </c>
      <c r="U2094">
        <f>IF($A2094="","",IF(COUNTIF($A$2:$A2094,$A2094)=1,1,0))</f>
        <v/>
      </c>
      <c r="V2094">
        <f>IF($U2094=1,SUMPRODUCT(--($X$2:$X$3001&lt;$X2094))+1,"")</f>
        <v/>
      </c>
      <c r="W2094">
        <f>IF($A2094="","",IF(OR($T2094=TRUE(),$T2094="TRUE"),1,0))</f>
        <v/>
      </c>
      <c r="X2094">
        <f>IF($U2094=1,IFERROR(IF(VALUE($A2094)&lt;100000000,VALUE($A2094),1000000000),IFERROR(IF(VALUE(MID($A2094,2,20))&lt;100000000,VALUE(MID($A2094,2,20)),1000000000),1000000000))+ROW()/100000,"")</f>
        <v/>
      </c>
    </row>
    <row r="2095">
      <c r="F2095" s="7">
        <f>IF($A2095="","",E2095*N2095/100)</f>
        <v/>
      </c>
      <c r="J2095" s="7" t="n"/>
      <c r="K2095" s="7">
        <f>IF($A2095="","",S2095*N2095)</f>
        <v/>
      </c>
      <c r="L2095" s="7">
        <f>IF($A2095="","",N2095-K2095)</f>
        <v/>
      </c>
      <c r="M2095" s="7">
        <f>IF($A2095="","",L2095-F2095)</f>
        <v/>
      </c>
      <c r="N2095" s="7" t="n"/>
      <c r="Q2095" s="11" t="n"/>
      <c r="S2095">
        <f>IF($A2095="","",IF($W2095=1,Settings!$C$6,Settings!$C$7)*1)</f>
        <v/>
      </c>
      <c r="U2095">
        <f>IF($A2095="","",IF(COUNTIF($A$2:$A2095,$A2095)=1,1,0))</f>
        <v/>
      </c>
      <c r="V2095">
        <f>IF($U2095=1,SUMPRODUCT(--($X$2:$X$3001&lt;$X2095))+1,"")</f>
        <v/>
      </c>
      <c r="W2095">
        <f>IF($A2095="","",IF(OR($T2095=TRUE(),$T2095="TRUE"),1,0))</f>
        <v/>
      </c>
      <c r="X2095">
        <f>IF($U2095=1,IFERROR(IF(VALUE($A2095)&lt;100000000,VALUE($A2095),1000000000),IFERROR(IF(VALUE(MID($A2095,2,20))&lt;100000000,VALUE(MID($A2095,2,20)),1000000000),1000000000))+ROW()/100000,"")</f>
        <v/>
      </c>
    </row>
    <row r="2096">
      <c r="F2096" s="7">
        <f>IF($A2096="","",E2096*N2096/100)</f>
        <v/>
      </c>
      <c r="J2096" s="7" t="n"/>
      <c r="K2096" s="7">
        <f>IF($A2096="","",S2096*N2096)</f>
        <v/>
      </c>
      <c r="L2096" s="7">
        <f>IF($A2096="","",N2096-K2096)</f>
        <v/>
      </c>
      <c r="M2096" s="7">
        <f>IF($A2096="","",L2096-F2096)</f>
        <v/>
      </c>
      <c r="N2096" s="7" t="n"/>
      <c r="Q2096" s="11" t="n"/>
      <c r="S2096">
        <f>IF($A2096="","",IF($W2096=1,Settings!$C$6,Settings!$C$7)*1)</f>
        <v/>
      </c>
      <c r="U2096">
        <f>IF($A2096="","",IF(COUNTIF($A$2:$A2096,$A2096)=1,1,0))</f>
        <v/>
      </c>
      <c r="V2096">
        <f>IF($U2096=1,SUMPRODUCT(--($X$2:$X$3001&lt;$X2096))+1,"")</f>
        <v/>
      </c>
      <c r="W2096">
        <f>IF($A2096="","",IF(OR($T2096=TRUE(),$T2096="TRUE"),1,0))</f>
        <v/>
      </c>
      <c r="X2096">
        <f>IF($U2096=1,IFERROR(IF(VALUE($A2096)&lt;100000000,VALUE($A2096),1000000000),IFERROR(IF(VALUE(MID($A2096,2,20))&lt;100000000,VALUE(MID($A2096,2,20)),1000000000),1000000000))+ROW()/100000,"")</f>
        <v/>
      </c>
    </row>
    <row r="2097">
      <c r="F2097" s="7">
        <f>IF($A2097="","",E2097*N2097/100)</f>
        <v/>
      </c>
      <c r="J2097" s="7" t="n"/>
      <c r="K2097" s="7">
        <f>IF($A2097="","",S2097*N2097)</f>
        <v/>
      </c>
      <c r="L2097" s="7">
        <f>IF($A2097="","",N2097-K2097)</f>
        <v/>
      </c>
      <c r="M2097" s="7">
        <f>IF($A2097="","",L2097-F2097)</f>
        <v/>
      </c>
      <c r="N2097" s="7" t="n"/>
      <c r="Q2097" s="11" t="n"/>
      <c r="S2097">
        <f>IF($A2097="","",IF($W2097=1,Settings!$C$6,Settings!$C$7)*1)</f>
        <v/>
      </c>
      <c r="U2097">
        <f>IF($A2097="","",IF(COUNTIF($A$2:$A2097,$A2097)=1,1,0))</f>
        <v/>
      </c>
      <c r="V2097">
        <f>IF($U2097=1,SUMPRODUCT(--($X$2:$X$3001&lt;$X2097))+1,"")</f>
        <v/>
      </c>
      <c r="W2097">
        <f>IF($A2097="","",IF(OR($T2097=TRUE(),$T2097="TRUE"),1,0))</f>
        <v/>
      </c>
      <c r="X2097">
        <f>IF($U2097=1,IFERROR(IF(VALUE($A2097)&lt;100000000,VALUE($A2097),1000000000),IFERROR(IF(VALUE(MID($A2097,2,20))&lt;100000000,VALUE(MID($A2097,2,20)),1000000000),1000000000))+ROW()/100000,"")</f>
        <v/>
      </c>
    </row>
    <row r="2098">
      <c r="F2098" s="7">
        <f>IF($A2098="","",E2098*N2098/100)</f>
        <v/>
      </c>
      <c r="J2098" s="7" t="n"/>
      <c r="K2098" s="7">
        <f>IF($A2098="","",S2098*N2098)</f>
        <v/>
      </c>
      <c r="L2098" s="7">
        <f>IF($A2098="","",N2098-K2098)</f>
        <v/>
      </c>
      <c r="M2098" s="7">
        <f>IF($A2098="","",L2098-F2098)</f>
        <v/>
      </c>
      <c r="N2098" s="7" t="n"/>
      <c r="Q2098" s="11" t="n"/>
      <c r="S2098">
        <f>IF($A2098="","",IF($W2098=1,Settings!$C$6,Settings!$C$7)*1)</f>
        <v/>
      </c>
      <c r="U2098">
        <f>IF($A2098="","",IF(COUNTIF($A$2:$A2098,$A2098)=1,1,0))</f>
        <v/>
      </c>
      <c r="V2098">
        <f>IF($U2098=1,SUMPRODUCT(--($X$2:$X$3001&lt;$X2098))+1,"")</f>
        <v/>
      </c>
      <c r="W2098">
        <f>IF($A2098="","",IF(OR($T2098=TRUE(),$T2098="TRUE"),1,0))</f>
        <v/>
      </c>
      <c r="X2098">
        <f>IF($U2098=1,IFERROR(IF(VALUE($A2098)&lt;100000000,VALUE($A2098),1000000000),IFERROR(IF(VALUE(MID($A2098,2,20))&lt;100000000,VALUE(MID($A2098,2,20)),1000000000),1000000000))+ROW()/100000,"")</f>
        <v/>
      </c>
    </row>
    <row r="2099">
      <c r="F2099" s="7">
        <f>IF($A2099="","",E2099*N2099/100)</f>
        <v/>
      </c>
      <c r="J2099" s="7" t="n"/>
      <c r="K2099" s="7">
        <f>IF($A2099="","",S2099*N2099)</f>
        <v/>
      </c>
      <c r="L2099" s="7">
        <f>IF($A2099="","",N2099-K2099)</f>
        <v/>
      </c>
      <c r="M2099" s="7">
        <f>IF($A2099="","",L2099-F2099)</f>
        <v/>
      </c>
      <c r="N2099" s="7" t="n"/>
      <c r="Q2099" s="11" t="n"/>
      <c r="S2099">
        <f>IF($A2099="","",IF($W2099=1,Settings!$C$6,Settings!$C$7)*1)</f>
        <v/>
      </c>
      <c r="U2099">
        <f>IF($A2099="","",IF(COUNTIF($A$2:$A2099,$A2099)=1,1,0))</f>
        <v/>
      </c>
      <c r="V2099">
        <f>IF($U2099=1,SUMPRODUCT(--($X$2:$X$3001&lt;$X2099))+1,"")</f>
        <v/>
      </c>
      <c r="W2099">
        <f>IF($A2099="","",IF(OR($T2099=TRUE(),$T2099="TRUE"),1,0))</f>
        <v/>
      </c>
      <c r="X2099">
        <f>IF($U2099=1,IFERROR(IF(VALUE($A2099)&lt;100000000,VALUE($A2099),1000000000),IFERROR(IF(VALUE(MID($A2099,2,20))&lt;100000000,VALUE(MID($A2099,2,20)),1000000000),1000000000))+ROW()/100000,"")</f>
        <v/>
      </c>
    </row>
    <row r="2100">
      <c r="F2100" s="7">
        <f>IF($A2100="","",E2100*N2100/100)</f>
        <v/>
      </c>
      <c r="J2100" s="7" t="n"/>
      <c r="K2100" s="7">
        <f>IF($A2100="","",S2100*N2100)</f>
        <v/>
      </c>
      <c r="L2100" s="7">
        <f>IF($A2100="","",N2100-K2100)</f>
        <v/>
      </c>
      <c r="M2100" s="7">
        <f>IF($A2100="","",L2100-F2100)</f>
        <v/>
      </c>
      <c r="N2100" s="7" t="n"/>
      <c r="Q2100" s="11" t="n"/>
      <c r="S2100">
        <f>IF($A2100="","",IF($W2100=1,Settings!$C$6,Settings!$C$7)*1)</f>
        <v/>
      </c>
      <c r="U2100">
        <f>IF($A2100="","",IF(COUNTIF($A$2:$A2100,$A2100)=1,1,0))</f>
        <v/>
      </c>
      <c r="V2100">
        <f>IF($U2100=1,SUMPRODUCT(--($X$2:$X$3001&lt;$X2100))+1,"")</f>
        <v/>
      </c>
      <c r="W2100">
        <f>IF($A2100="","",IF(OR($T2100=TRUE(),$T2100="TRUE"),1,0))</f>
        <v/>
      </c>
      <c r="X2100">
        <f>IF($U2100=1,IFERROR(IF(VALUE($A2100)&lt;100000000,VALUE($A2100),1000000000),IFERROR(IF(VALUE(MID($A2100,2,20))&lt;100000000,VALUE(MID($A2100,2,20)),1000000000),1000000000))+ROW()/100000,"")</f>
        <v/>
      </c>
    </row>
    <row r="2101">
      <c r="F2101" s="7">
        <f>IF($A2101="","",E2101*N2101/100)</f>
        <v/>
      </c>
      <c r="J2101" s="7" t="n"/>
      <c r="K2101" s="7">
        <f>IF($A2101="","",S2101*N2101)</f>
        <v/>
      </c>
      <c r="L2101" s="7">
        <f>IF($A2101="","",N2101-K2101)</f>
        <v/>
      </c>
      <c r="M2101" s="7">
        <f>IF($A2101="","",L2101-F2101)</f>
        <v/>
      </c>
      <c r="N2101" s="7" t="n"/>
      <c r="Q2101" s="11" t="n"/>
      <c r="S2101">
        <f>IF($A2101="","",IF($W2101=1,Settings!$C$6,Settings!$C$7)*1)</f>
        <v/>
      </c>
      <c r="U2101">
        <f>IF($A2101="","",IF(COUNTIF($A$2:$A2101,$A2101)=1,1,0))</f>
        <v/>
      </c>
      <c r="V2101">
        <f>IF($U2101=1,SUMPRODUCT(--($X$2:$X$3001&lt;$X2101))+1,"")</f>
        <v/>
      </c>
      <c r="W2101">
        <f>IF($A2101="","",IF(OR($T2101=TRUE(),$T2101="TRUE"),1,0))</f>
        <v/>
      </c>
      <c r="X2101">
        <f>IF($U2101=1,IFERROR(IF(VALUE($A2101)&lt;100000000,VALUE($A2101),1000000000),IFERROR(IF(VALUE(MID($A2101,2,20))&lt;100000000,VALUE(MID($A2101,2,20)),1000000000),1000000000))+ROW()/100000,"")</f>
        <v/>
      </c>
    </row>
    <row r="2102">
      <c r="F2102" s="7">
        <f>IF($A2102="","",E2102*N2102/100)</f>
        <v/>
      </c>
      <c r="J2102" s="7" t="n"/>
      <c r="K2102" s="7">
        <f>IF($A2102="","",S2102*N2102)</f>
        <v/>
      </c>
      <c r="L2102" s="7">
        <f>IF($A2102="","",N2102-K2102)</f>
        <v/>
      </c>
      <c r="M2102" s="7">
        <f>IF($A2102="","",L2102-F2102)</f>
        <v/>
      </c>
      <c r="N2102" s="7" t="n"/>
      <c r="Q2102" s="11" t="n"/>
      <c r="S2102">
        <f>IF($A2102="","",IF($W2102=1,Settings!$C$6,Settings!$C$7)*1)</f>
        <v/>
      </c>
      <c r="U2102">
        <f>IF($A2102="","",IF(COUNTIF($A$2:$A2102,$A2102)=1,1,0))</f>
        <v/>
      </c>
      <c r="V2102">
        <f>IF($U2102=1,SUMPRODUCT(--($X$2:$X$3001&lt;$X2102))+1,"")</f>
        <v/>
      </c>
      <c r="W2102">
        <f>IF($A2102="","",IF(OR($T2102=TRUE(),$T2102="TRUE"),1,0))</f>
        <v/>
      </c>
      <c r="X2102">
        <f>IF($U2102=1,IFERROR(IF(VALUE($A2102)&lt;100000000,VALUE($A2102),1000000000),IFERROR(IF(VALUE(MID($A2102,2,20))&lt;100000000,VALUE(MID($A2102,2,20)),1000000000),1000000000))+ROW()/100000,"")</f>
        <v/>
      </c>
    </row>
    <row r="2103">
      <c r="F2103" s="7">
        <f>IF($A2103="","",E2103*N2103/100)</f>
        <v/>
      </c>
      <c r="J2103" s="7" t="n"/>
      <c r="K2103" s="7">
        <f>IF($A2103="","",S2103*N2103)</f>
        <v/>
      </c>
      <c r="L2103" s="7">
        <f>IF($A2103="","",N2103-K2103)</f>
        <v/>
      </c>
      <c r="M2103" s="7">
        <f>IF($A2103="","",L2103-F2103)</f>
        <v/>
      </c>
      <c r="N2103" s="7" t="n"/>
      <c r="Q2103" s="11" t="n"/>
      <c r="S2103">
        <f>IF($A2103="","",IF($W2103=1,Settings!$C$6,Settings!$C$7)*1)</f>
        <v/>
      </c>
      <c r="U2103">
        <f>IF($A2103="","",IF(COUNTIF($A$2:$A2103,$A2103)=1,1,0))</f>
        <v/>
      </c>
      <c r="V2103">
        <f>IF($U2103=1,SUMPRODUCT(--($X$2:$X$3001&lt;$X2103))+1,"")</f>
        <v/>
      </c>
      <c r="W2103">
        <f>IF($A2103="","",IF(OR($T2103=TRUE(),$T2103="TRUE"),1,0))</f>
        <v/>
      </c>
      <c r="X2103">
        <f>IF($U2103=1,IFERROR(IF(VALUE($A2103)&lt;100000000,VALUE($A2103),1000000000),IFERROR(IF(VALUE(MID($A2103,2,20))&lt;100000000,VALUE(MID($A2103,2,20)),1000000000),1000000000))+ROW()/100000,"")</f>
        <v/>
      </c>
    </row>
    <row r="2104">
      <c r="F2104" s="7">
        <f>IF($A2104="","",E2104*N2104/100)</f>
        <v/>
      </c>
      <c r="J2104" s="7" t="n"/>
      <c r="K2104" s="7">
        <f>IF($A2104="","",S2104*N2104)</f>
        <v/>
      </c>
      <c r="L2104" s="7">
        <f>IF($A2104="","",N2104-K2104)</f>
        <v/>
      </c>
      <c r="M2104" s="7">
        <f>IF($A2104="","",L2104-F2104)</f>
        <v/>
      </c>
      <c r="N2104" s="7" t="n"/>
      <c r="Q2104" s="11" t="n"/>
      <c r="S2104">
        <f>IF($A2104="","",IF($W2104=1,Settings!$C$6,Settings!$C$7)*1)</f>
        <v/>
      </c>
      <c r="U2104">
        <f>IF($A2104="","",IF(COUNTIF($A$2:$A2104,$A2104)=1,1,0))</f>
        <v/>
      </c>
      <c r="V2104">
        <f>IF($U2104=1,SUMPRODUCT(--($X$2:$X$3001&lt;$X2104))+1,"")</f>
        <v/>
      </c>
      <c r="W2104">
        <f>IF($A2104="","",IF(OR($T2104=TRUE(),$T2104="TRUE"),1,0))</f>
        <v/>
      </c>
      <c r="X2104">
        <f>IF($U2104=1,IFERROR(IF(VALUE($A2104)&lt;100000000,VALUE($A2104),1000000000),IFERROR(IF(VALUE(MID($A2104,2,20))&lt;100000000,VALUE(MID($A2104,2,20)),1000000000),1000000000))+ROW()/100000,"")</f>
        <v/>
      </c>
    </row>
    <row r="2105">
      <c r="F2105" s="7">
        <f>IF($A2105="","",E2105*N2105/100)</f>
        <v/>
      </c>
      <c r="J2105" s="7" t="n"/>
      <c r="K2105" s="7">
        <f>IF($A2105="","",S2105*N2105)</f>
        <v/>
      </c>
      <c r="L2105" s="7">
        <f>IF($A2105="","",N2105-K2105)</f>
        <v/>
      </c>
      <c r="M2105" s="7">
        <f>IF($A2105="","",L2105-F2105)</f>
        <v/>
      </c>
      <c r="N2105" s="7" t="n"/>
      <c r="Q2105" s="11" t="n"/>
      <c r="S2105">
        <f>IF($A2105="","",IF($W2105=1,Settings!$C$6,Settings!$C$7)*1)</f>
        <v/>
      </c>
      <c r="U2105">
        <f>IF($A2105="","",IF(COUNTIF($A$2:$A2105,$A2105)=1,1,0))</f>
        <v/>
      </c>
      <c r="V2105">
        <f>IF($U2105=1,SUMPRODUCT(--($X$2:$X$3001&lt;$X2105))+1,"")</f>
        <v/>
      </c>
      <c r="W2105">
        <f>IF($A2105="","",IF(OR($T2105=TRUE(),$T2105="TRUE"),1,0))</f>
        <v/>
      </c>
      <c r="X2105">
        <f>IF($U2105=1,IFERROR(IF(VALUE($A2105)&lt;100000000,VALUE($A2105),1000000000),IFERROR(IF(VALUE(MID($A2105,2,20))&lt;100000000,VALUE(MID($A2105,2,20)),1000000000),1000000000))+ROW()/100000,"")</f>
        <v/>
      </c>
    </row>
    <row r="2106">
      <c r="F2106" s="7">
        <f>IF($A2106="","",E2106*N2106/100)</f>
        <v/>
      </c>
      <c r="J2106" s="7" t="n"/>
      <c r="K2106" s="7">
        <f>IF($A2106="","",S2106*N2106)</f>
        <v/>
      </c>
      <c r="L2106" s="7">
        <f>IF($A2106="","",N2106-K2106)</f>
        <v/>
      </c>
      <c r="M2106" s="7">
        <f>IF($A2106="","",L2106-F2106)</f>
        <v/>
      </c>
      <c r="N2106" s="7" t="n"/>
      <c r="Q2106" s="11" t="n"/>
      <c r="S2106">
        <f>IF($A2106="","",IF($W2106=1,Settings!$C$6,Settings!$C$7)*1)</f>
        <v/>
      </c>
      <c r="U2106">
        <f>IF($A2106="","",IF(COUNTIF($A$2:$A2106,$A2106)=1,1,0))</f>
        <v/>
      </c>
      <c r="V2106">
        <f>IF($U2106=1,SUMPRODUCT(--($X$2:$X$3001&lt;$X2106))+1,"")</f>
        <v/>
      </c>
      <c r="W2106">
        <f>IF($A2106="","",IF(OR($T2106=TRUE(),$T2106="TRUE"),1,0))</f>
        <v/>
      </c>
      <c r="X2106">
        <f>IF($U2106=1,IFERROR(IF(VALUE($A2106)&lt;100000000,VALUE($A2106),1000000000),IFERROR(IF(VALUE(MID($A2106,2,20))&lt;100000000,VALUE(MID($A2106,2,20)),1000000000),1000000000))+ROW()/100000,"")</f>
        <v/>
      </c>
    </row>
    <row r="2107">
      <c r="F2107" s="7">
        <f>IF($A2107="","",E2107*N2107/100)</f>
        <v/>
      </c>
      <c r="J2107" s="7" t="n"/>
      <c r="K2107" s="7">
        <f>IF($A2107="","",S2107*N2107)</f>
        <v/>
      </c>
      <c r="L2107" s="7">
        <f>IF($A2107="","",N2107-K2107)</f>
        <v/>
      </c>
      <c r="M2107" s="7">
        <f>IF($A2107="","",L2107-F2107)</f>
        <v/>
      </c>
      <c r="N2107" s="7" t="n"/>
      <c r="Q2107" s="11" t="n"/>
      <c r="S2107">
        <f>IF($A2107="","",IF($W2107=1,Settings!$C$6,Settings!$C$7)*1)</f>
        <v/>
      </c>
      <c r="U2107">
        <f>IF($A2107="","",IF(COUNTIF($A$2:$A2107,$A2107)=1,1,0))</f>
        <v/>
      </c>
      <c r="V2107">
        <f>IF($U2107=1,SUMPRODUCT(--($X$2:$X$3001&lt;$X2107))+1,"")</f>
        <v/>
      </c>
      <c r="W2107">
        <f>IF($A2107="","",IF(OR($T2107=TRUE(),$T2107="TRUE"),1,0))</f>
        <v/>
      </c>
      <c r="X2107">
        <f>IF($U2107=1,IFERROR(IF(VALUE($A2107)&lt;100000000,VALUE($A2107),1000000000),IFERROR(IF(VALUE(MID($A2107,2,20))&lt;100000000,VALUE(MID($A2107,2,20)),1000000000),1000000000))+ROW()/100000,"")</f>
        <v/>
      </c>
    </row>
    <row r="2108">
      <c r="F2108" s="7">
        <f>IF($A2108="","",E2108*N2108/100)</f>
        <v/>
      </c>
      <c r="J2108" s="7" t="n"/>
      <c r="K2108" s="7">
        <f>IF($A2108="","",S2108*N2108)</f>
        <v/>
      </c>
      <c r="L2108" s="7">
        <f>IF($A2108="","",N2108-K2108)</f>
        <v/>
      </c>
      <c r="M2108" s="7">
        <f>IF($A2108="","",L2108-F2108)</f>
        <v/>
      </c>
      <c r="N2108" s="7" t="n"/>
      <c r="Q2108" s="11" t="n"/>
      <c r="S2108">
        <f>IF($A2108="","",IF($W2108=1,Settings!$C$6,Settings!$C$7)*1)</f>
        <v/>
      </c>
      <c r="U2108">
        <f>IF($A2108="","",IF(COUNTIF($A$2:$A2108,$A2108)=1,1,0))</f>
        <v/>
      </c>
      <c r="V2108">
        <f>IF($U2108=1,SUMPRODUCT(--($X$2:$X$3001&lt;$X2108))+1,"")</f>
        <v/>
      </c>
      <c r="W2108">
        <f>IF($A2108="","",IF(OR($T2108=TRUE(),$T2108="TRUE"),1,0))</f>
        <v/>
      </c>
      <c r="X2108">
        <f>IF($U2108=1,IFERROR(IF(VALUE($A2108)&lt;100000000,VALUE($A2108),1000000000),IFERROR(IF(VALUE(MID($A2108,2,20))&lt;100000000,VALUE(MID($A2108,2,20)),1000000000),1000000000))+ROW()/100000,"")</f>
        <v/>
      </c>
    </row>
    <row r="2109">
      <c r="F2109" s="7">
        <f>IF($A2109="","",E2109*N2109/100)</f>
        <v/>
      </c>
      <c r="J2109" s="7" t="n"/>
      <c r="K2109" s="7">
        <f>IF($A2109="","",S2109*N2109)</f>
        <v/>
      </c>
      <c r="L2109" s="7">
        <f>IF($A2109="","",N2109-K2109)</f>
        <v/>
      </c>
      <c r="M2109" s="7">
        <f>IF($A2109="","",L2109-F2109)</f>
        <v/>
      </c>
      <c r="N2109" s="7" t="n"/>
      <c r="Q2109" s="11" t="n"/>
      <c r="S2109">
        <f>IF($A2109="","",IF($W2109=1,Settings!$C$6,Settings!$C$7)*1)</f>
        <v/>
      </c>
      <c r="U2109">
        <f>IF($A2109="","",IF(COUNTIF($A$2:$A2109,$A2109)=1,1,0))</f>
        <v/>
      </c>
      <c r="V2109">
        <f>IF($U2109=1,SUMPRODUCT(--($X$2:$X$3001&lt;$X2109))+1,"")</f>
        <v/>
      </c>
      <c r="W2109">
        <f>IF($A2109="","",IF(OR($T2109=TRUE(),$T2109="TRUE"),1,0))</f>
        <v/>
      </c>
      <c r="X2109">
        <f>IF($U2109=1,IFERROR(IF(VALUE($A2109)&lt;100000000,VALUE($A2109),1000000000),IFERROR(IF(VALUE(MID($A2109,2,20))&lt;100000000,VALUE(MID($A2109,2,20)),1000000000),1000000000))+ROW()/100000,"")</f>
        <v/>
      </c>
    </row>
    <row r="2110">
      <c r="F2110" s="7">
        <f>IF($A2110="","",E2110*N2110/100)</f>
        <v/>
      </c>
      <c r="J2110" s="7" t="n"/>
      <c r="K2110" s="7">
        <f>IF($A2110="","",S2110*N2110)</f>
        <v/>
      </c>
      <c r="L2110" s="7">
        <f>IF($A2110="","",N2110-K2110)</f>
        <v/>
      </c>
      <c r="M2110" s="7">
        <f>IF($A2110="","",L2110-F2110)</f>
        <v/>
      </c>
      <c r="N2110" s="7" t="n"/>
      <c r="Q2110" s="11" t="n"/>
      <c r="S2110">
        <f>IF($A2110="","",IF($W2110=1,Settings!$C$6,Settings!$C$7)*1)</f>
        <v/>
      </c>
      <c r="U2110">
        <f>IF($A2110="","",IF(COUNTIF($A$2:$A2110,$A2110)=1,1,0))</f>
        <v/>
      </c>
      <c r="V2110">
        <f>IF($U2110=1,SUMPRODUCT(--($X$2:$X$3001&lt;$X2110))+1,"")</f>
        <v/>
      </c>
      <c r="W2110">
        <f>IF($A2110="","",IF(OR($T2110=TRUE(),$T2110="TRUE"),1,0))</f>
        <v/>
      </c>
      <c r="X2110">
        <f>IF($U2110=1,IFERROR(IF(VALUE($A2110)&lt;100000000,VALUE($A2110),1000000000),IFERROR(IF(VALUE(MID($A2110,2,20))&lt;100000000,VALUE(MID($A2110,2,20)),1000000000),1000000000))+ROW()/100000,"")</f>
        <v/>
      </c>
    </row>
    <row r="2111">
      <c r="F2111" s="7">
        <f>IF($A2111="","",E2111*N2111/100)</f>
        <v/>
      </c>
      <c r="J2111" s="7" t="n"/>
      <c r="K2111" s="7">
        <f>IF($A2111="","",S2111*N2111)</f>
        <v/>
      </c>
      <c r="L2111" s="7">
        <f>IF($A2111="","",N2111-K2111)</f>
        <v/>
      </c>
      <c r="M2111" s="7">
        <f>IF($A2111="","",L2111-F2111)</f>
        <v/>
      </c>
      <c r="N2111" s="7" t="n"/>
      <c r="Q2111" s="11" t="n"/>
      <c r="S2111">
        <f>IF($A2111="","",IF($W2111=1,Settings!$C$6,Settings!$C$7)*1)</f>
        <v/>
      </c>
      <c r="U2111">
        <f>IF($A2111="","",IF(COUNTIF($A$2:$A2111,$A2111)=1,1,0))</f>
        <v/>
      </c>
      <c r="V2111">
        <f>IF($U2111=1,SUMPRODUCT(--($X$2:$X$3001&lt;$X2111))+1,"")</f>
        <v/>
      </c>
      <c r="W2111">
        <f>IF($A2111="","",IF(OR($T2111=TRUE(),$T2111="TRUE"),1,0))</f>
        <v/>
      </c>
      <c r="X2111">
        <f>IF($U2111=1,IFERROR(IF(VALUE($A2111)&lt;100000000,VALUE($A2111),1000000000),IFERROR(IF(VALUE(MID($A2111,2,20))&lt;100000000,VALUE(MID($A2111,2,20)),1000000000),1000000000))+ROW()/100000,"")</f>
        <v/>
      </c>
    </row>
    <row r="2112">
      <c r="F2112" s="7">
        <f>IF($A2112="","",E2112*N2112/100)</f>
        <v/>
      </c>
      <c r="J2112" s="7" t="n"/>
      <c r="K2112" s="7">
        <f>IF($A2112="","",S2112*N2112)</f>
        <v/>
      </c>
      <c r="L2112" s="7">
        <f>IF($A2112="","",N2112-K2112)</f>
        <v/>
      </c>
      <c r="M2112" s="7">
        <f>IF($A2112="","",L2112-F2112)</f>
        <v/>
      </c>
      <c r="N2112" s="7" t="n"/>
      <c r="Q2112" s="11" t="n"/>
      <c r="S2112">
        <f>IF($A2112="","",IF($W2112=1,Settings!$C$6,Settings!$C$7)*1)</f>
        <v/>
      </c>
      <c r="U2112">
        <f>IF($A2112="","",IF(COUNTIF($A$2:$A2112,$A2112)=1,1,0))</f>
        <v/>
      </c>
      <c r="V2112">
        <f>IF($U2112=1,SUMPRODUCT(--($X$2:$X$3001&lt;$X2112))+1,"")</f>
        <v/>
      </c>
      <c r="W2112">
        <f>IF($A2112="","",IF(OR($T2112=TRUE(),$T2112="TRUE"),1,0))</f>
        <v/>
      </c>
      <c r="X2112">
        <f>IF($U2112=1,IFERROR(IF(VALUE($A2112)&lt;100000000,VALUE($A2112),1000000000),IFERROR(IF(VALUE(MID($A2112,2,20))&lt;100000000,VALUE(MID($A2112,2,20)),1000000000),1000000000))+ROW()/100000,"")</f>
        <v/>
      </c>
    </row>
    <row r="2113">
      <c r="F2113" s="7">
        <f>IF($A2113="","",E2113*N2113/100)</f>
        <v/>
      </c>
      <c r="J2113" s="7" t="n"/>
      <c r="K2113" s="7">
        <f>IF($A2113="","",S2113*N2113)</f>
        <v/>
      </c>
      <c r="L2113" s="7">
        <f>IF($A2113="","",N2113-K2113)</f>
        <v/>
      </c>
      <c r="M2113" s="7">
        <f>IF($A2113="","",L2113-F2113)</f>
        <v/>
      </c>
      <c r="N2113" s="7" t="n"/>
      <c r="Q2113" s="11" t="n"/>
      <c r="S2113">
        <f>IF($A2113="","",IF($W2113=1,Settings!$C$6,Settings!$C$7)*1)</f>
        <v/>
      </c>
      <c r="U2113">
        <f>IF($A2113="","",IF(COUNTIF($A$2:$A2113,$A2113)=1,1,0))</f>
        <v/>
      </c>
      <c r="V2113">
        <f>IF($U2113=1,SUMPRODUCT(--($X$2:$X$3001&lt;$X2113))+1,"")</f>
        <v/>
      </c>
      <c r="W2113">
        <f>IF($A2113="","",IF(OR($T2113=TRUE(),$T2113="TRUE"),1,0))</f>
        <v/>
      </c>
      <c r="X2113">
        <f>IF($U2113=1,IFERROR(IF(VALUE($A2113)&lt;100000000,VALUE($A2113),1000000000),IFERROR(IF(VALUE(MID($A2113,2,20))&lt;100000000,VALUE(MID($A2113,2,20)),1000000000),1000000000))+ROW()/100000,"")</f>
        <v/>
      </c>
    </row>
    <row r="2114">
      <c r="F2114" s="7">
        <f>IF($A2114="","",E2114*N2114/100)</f>
        <v/>
      </c>
      <c r="J2114" s="7" t="n"/>
      <c r="K2114" s="7">
        <f>IF($A2114="","",S2114*N2114)</f>
        <v/>
      </c>
      <c r="L2114" s="7">
        <f>IF($A2114="","",N2114-K2114)</f>
        <v/>
      </c>
      <c r="M2114" s="7">
        <f>IF($A2114="","",L2114-F2114)</f>
        <v/>
      </c>
      <c r="N2114" s="7" t="n"/>
      <c r="Q2114" s="11" t="n"/>
      <c r="S2114">
        <f>IF($A2114="","",IF($W2114=1,Settings!$C$6,Settings!$C$7)*1)</f>
        <v/>
      </c>
      <c r="U2114">
        <f>IF($A2114="","",IF(COUNTIF($A$2:$A2114,$A2114)=1,1,0))</f>
        <v/>
      </c>
      <c r="V2114">
        <f>IF($U2114=1,SUMPRODUCT(--($X$2:$X$3001&lt;$X2114))+1,"")</f>
        <v/>
      </c>
      <c r="W2114">
        <f>IF($A2114="","",IF(OR($T2114=TRUE(),$T2114="TRUE"),1,0))</f>
        <v/>
      </c>
      <c r="X2114">
        <f>IF($U2114=1,IFERROR(IF(VALUE($A2114)&lt;100000000,VALUE($A2114),1000000000),IFERROR(IF(VALUE(MID($A2114,2,20))&lt;100000000,VALUE(MID($A2114,2,20)),1000000000),1000000000))+ROW()/100000,"")</f>
        <v/>
      </c>
    </row>
    <row r="2115">
      <c r="F2115" s="7">
        <f>IF($A2115="","",E2115*N2115/100)</f>
        <v/>
      </c>
      <c r="J2115" s="7" t="n"/>
      <c r="K2115" s="7">
        <f>IF($A2115="","",S2115*N2115)</f>
        <v/>
      </c>
      <c r="L2115" s="7">
        <f>IF($A2115="","",N2115-K2115)</f>
        <v/>
      </c>
      <c r="M2115" s="7">
        <f>IF($A2115="","",L2115-F2115)</f>
        <v/>
      </c>
      <c r="N2115" s="7" t="n"/>
      <c r="Q2115" s="11" t="n"/>
      <c r="S2115">
        <f>IF($A2115="","",IF($W2115=1,Settings!$C$6,Settings!$C$7)*1)</f>
        <v/>
      </c>
      <c r="U2115">
        <f>IF($A2115="","",IF(COUNTIF($A$2:$A2115,$A2115)=1,1,0))</f>
        <v/>
      </c>
      <c r="V2115">
        <f>IF($U2115=1,SUMPRODUCT(--($X$2:$X$3001&lt;$X2115))+1,"")</f>
        <v/>
      </c>
      <c r="W2115">
        <f>IF($A2115="","",IF(OR($T2115=TRUE(),$T2115="TRUE"),1,0))</f>
        <v/>
      </c>
      <c r="X2115">
        <f>IF($U2115=1,IFERROR(IF(VALUE($A2115)&lt;100000000,VALUE($A2115),1000000000),IFERROR(IF(VALUE(MID($A2115,2,20))&lt;100000000,VALUE(MID($A2115,2,20)),1000000000),1000000000))+ROW()/100000,"")</f>
        <v/>
      </c>
    </row>
    <row r="2116">
      <c r="F2116" s="7">
        <f>IF($A2116="","",E2116*N2116/100)</f>
        <v/>
      </c>
      <c r="J2116" s="7" t="n"/>
      <c r="K2116" s="7">
        <f>IF($A2116="","",S2116*N2116)</f>
        <v/>
      </c>
      <c r="L2116" s="7">
        <f>IF($A2116="","",N2116-K2116)</f>
        <v/>
      </c>
      <c r="M2116" s="7">
        <f>IF($A2116="","",L2116-F2116)</f>
        <v/>
      </c>
      <c r="N2116" s="7" t="n"/>
      <c r="Q2116" s="11" t="n"/>
      <c r="S2116">
        <f>IF($A2116="","",IF($W2116=1,Settings!$C$6,Settings!$C$7)*1)</f>
        <v/>
      </c>
      <c r="U2116">
        <f>IF($A2116="","",IF(COUNTIF($A$2:$A2116,$A2116)=1,1,0))</f>
        <v/>
      </c>
      <c r="V2116">
        <f>IF($U2116=1,SUMPRODUCT(--($X$2:$X$3001&lt;$X2116))+1,"")</f>
        <v/>
      </c>
      <c r="W2116">
        <f>IF($A2116="","",IF(OR($T2116=TRUE(),$T2116="TRUE"),1,0))</f>
        <v/>
      </c>
      <c r="X2116">
        <f>IF($U2116=1,IFERROR(IF(VALUE($A2116)&lt;100000000,VALUE($A2116),1000000000),IFERROR(IF(VALUE(MID($A2116,2,20))&lt;100000000,VALUE(MID($A2116,2,20)),1000000000),1000000000))+ROW()/100000,"")</f>
        <v/>
      </c>
    </row>
    <row r="2117">
      <c r="F2117" s="7">
        <f>IF($A2117="","",E2117*N2117/100)</f>
        <v/>
      </c>
      <c r="J2117" s="7" t="n"/>
      <c r="K2117" s="7">
        <f>IF($A2117="","",S2117*N2117)</f>
        <v/>
      </c>
      <c r="L2117" s="7">
        <f>IF($A2117="","",N2117-K2117)</f>
        <v/>
      </c>
      <c r="M2117" s="7">
        <f>IF($A2117="","",L2117-F2117)</f>
        <v/>
      </c>
      <c r="N2117" s="7" t="n"/>
      <c r="Q2117" s="11" t="n"/>
      <c r="S2117">
        <f>IF($A2117="","",IF($W2117=1,Settings!$C$6,Settings!$C$7)*1)</f>
        <v/>
      </c>
      <c r="U2117">
        <f>IF($A2117="","",IF(COUNTIF($A$2:$A2117,$A2117)=1,1,0))</f>
        <v/>
      </c>
      <c r="V2117">
        <f>IF($U2117=1,SUMPRODUCT(--($X$2:$X$3001&lt;$X2117))+1,"")</f>
        <v/>
      </c>
      <c r="W2117">
        <f>IF($A2117="","",IF(OR($T2117=TRUE(),$T2117="TRUE"),1,0))</f>
        <v/>
      </c>
      <c r="X2117">
        <f>IF($U2117=1,IFERROR(IF(VALUE($A2117)&lt;100000000,VALUE($A2117),1000000000),IFERROR(IF(VALUE(MID($A2117,2,20))&lt;100000000,VALUE(MID($A2117,2,20)),1000000000),1000000000))+ROW()/100000,"")</f>
        <v/>
      </c>
    </row>
    <row r="2118">
      <c r="F2118" s="7">
        <f>IF($A2118="","",E2118*N2118/100)</f>
        <v/>
      </c>
      <c r="J2118" s="7" t="n"/>
      <c r="K2118" s="7">
        <f>IF($A2118="","",S2118*N2118)</f>
        <v/>
      </c>
      <c r="L2118" s="7">
        <f>IF($A2118="","",N2118-K2118)</f>
        <v/>
      </c>
      <c r="M2118" s="7">
        <f>IF($A2118="","",L2118-F2118)</f>
        <v/>
      </c>
      <c r="N2118" s="7" t="n"/>
      <c r="Q2118" s="11" t="n"/>
      <c r="S2118">
        <f>IF($A2118="","",IF($W2118=1,Settings!$C$6,Settings!$C$7)*1)</f>
        <v/>
      </c>
      <c r="U2118">
        <f>IF($A2118="","",IF(COUNTIF($A$2:$A2118,$A2118)=1,1,0))</f>
        <v/>
      </c>
      <c r="V2118">
        <f>IF($U2118=1,SUMPRODUCT(--($X$2:$X$3001&lt;$X2118))+1,"")</f>
        <v/>
      </c>
      <c r="W2118">
        <f>IF($A2118="","",IF(OR($T2118=TRUE(),$T2118="TRUE"),1,0))</f>
        <v/>
      </c>
      <c r="X2118">
        <f>IF($U2118=1,IFERROR(IF(VALUE($A2118)&lt;100000000,VALUE($A2118),1000000000),IFERROR(IF(VALUE(MID($A2118,2,20))&lt;100000000,VALUE(MID($A2118,2,20)),1000000000),1000000000))+ROW()/100000,"")</f>
        <v/>
      </c>
    </row>
    <row r="2119">
      <c r="F2119" s="7">
        <f>IF($A2119="","",E2119*N2119/100)</f>
        <v/>
      </c>
      <c r="J2119" s="7" t="n"/>
      <c r="K2119" s="7">
        <f>IF($A2119="","",S2119*N2119)</f>
        <v/>
      </c>
      <c r="L2119" s="7">
        <f>IF($A2119="","",N2119-K2119)</f>
        <v/>
      </c>
      <c r="M2119" s="7">
        <f>IF($A2119="","",L2119-F2119)</f>
        <v/>
      </c>
      <c r="N2119" s="7" t="n"/>
      <c r="Q2119" s="11" t="n"/>
      <c r="S2119">
        <f>IF($A2119="","",IF($W2119=1,Settings!$C$6,Settings!$C$7)*1)</f>
        <v/>
      </c>
      <c r="U2119">
        <f>IF($A2119="","",IF(COUNTIF($A$2:$A2119,$A2119)=1,1,0))</f>
        <v/>
      </c>
      <c r="V2119">
        <f>IF($U2119=1,SUMPRODUCT(--($X$2:$X$3001&lt;$X2119))+1,"")</f>
        <v/>
      </c>
      <c r="W2119">
        <f>IF($A2119="","",IF(OR($T2119=TRUE(),$T2119="TRUE"),1,0))</f>
        <v/>
      </c>
      <c r="X2119">
        <f>IF($U2119=1,IFERROR(IF(VALUE($A2119)&lt;100000000,VALUE($A2119),1000000000),IFERROR(IF(VALUE(MID($A2119,2,20))&lt;100000000,VALUE(MID($A2119,2,20)),1000000000),1000000000))+ROW()/100000,"")</f>
        <v/>
      </c>
    </row>
    <row r="2120">
      <c r="F2120" s="7">
        <f>IF($A2120="","",E2120*N2120/100)</f>
        <v/>
      </c>
      <c r="J2120" s="7" t="n"/>
      <c r="K2120" s="7">
        <f>IF($A2120="","",S2120*N2120)</f>
        <v/>
      </c>
      <c r="L2120" s="7">
        <f>IF($A2120="","",N2120-K2120)</f>
        <v/>
      </c>
      <c r="M2120" s="7">
        <f>IF($A2120="","",L2120-F2120)</f>
        <v/>
      </c>
      <c r="N2120" s="7" t="n"/>
      <c r="Q2120" s="11" t="n"/>
      <c r="S2120">
        <f>IF($A2120="","",IF($W2120=1,Settings!$C$6,Settings!$C$7)*1)</f>
        <v/>
      </c>
      <c r="U2120">
        <f>IF($A2120="","",IF(COUNTIF($A$2:$A2120,$A2120)=1,1,0))</f>
        <v/>
      </c>
      <c r="V2120">
        <f>IF($U2120=1,SUMPRODUCT(--($X$2:$X$3001&lt;$X2120))+1,"")</f>
        <v/>
      </c>
      <c r="W2120">
        <f>IF($A2120="","",IF(OR($T2120=TRUE(),$T2120="TRUE"),1,0))</f>
        <v/>
      </c>
      <c r="X2120">
        <f>IF($U2120=1,IFERROR(IF(VALUE($A2120)&lt;100000000,VALUE($A2120),1000000000),IFERROR(IF(VALUE(MID($A2120,2,20))&lt;100000000,VALUE(MID($A2120,2,20)),1000000000),1000000000))+ROW()/100000,"")</f>
        <v/>
      </c>
    </row>
    <row r="2121">
      <c r="F2121" s="7">
        <f>IF($A2121="","",E2121*N2121/100)</f>
        <v/>
      </c>
      <c r="J2121" s="7" t="n"/>
      <c r="K2121" s="7">
        <f>IF($A2121="","",S2121*N2121)</f>
        <v/>
      </c>
      <c r="L2121" s="7">
        <f>IF($A2121="","",N2121-K2121)</f>
        <v/>
      </c>
      <c r="M2121" s="7">
        <f>IF($A2121="","",L2121-F2121)</f>
        <v/>
      </c>
      <c r="N2121" s="7" t="n"/>
      <c r="Q2121" s="11" t="n"/>
      <c r="S2121">
        <f>IF($A2121="","",IF($W2121=1,Settings!$C$6,Settings!$C$7)*1)</f>
        <v/>
      </c>
      <c r="U2121">
        <f>IF($A2121="","",IF(COUNTIF($A$2:$A2121,$A2121)=1,1,0))</f>
        <v/>
      </c>
      <c r="V2121">
        <f>IF($U2121=1,SUMPRODUCT(--($X$2:$X$3001&lt;$X2121))+1,"")</f>
        <v/>
      </c>
      <c r="W2121">
        <f>IF($A2121="","",IF(OR($T2121=TRUE(),$T2121="TRUE"),1,0))</f>
        <v/>
      </c>
      <c r="X2121">
        <f>IF($U2121=1,IFERROR(IF(VALUE($A2121)&lt;100000000,VALUE($A2121),1000000000),IFERROR(IF(VALUE(MID($A2121,2,20))&lt;100000000,VALUE(MID($A2121,2,20)),1000000000),1000000000))+ROW()/100000,"")</f>
        <v/>
      </c>
    </row>
    <row r="2122">
      <c r="F2122" s="7">
        <f>IF($A2122="","",E2122*N2122/100)</f>
        <v/>
      </c>
      <c r="J2122" s="7" t="n"/>
      <c r="K2122" s="7">
        <f>IF($A2122="","",S2122*N2122)</f>
        <v/>
      </c>
      <c r="L2122" s="7">
        <f>IF($A2122="","",N2122-K2122)</f>
        <v/>
      </c>
      <c r="M2122" s="7">
        <f>IF($A2122="","",L2122-F2122)</f>
        <v/>
      </c>
      <c r="N2122" s="7" t="n"/>
      <c r="Q2122" s="11" t="n"/>
      <c r="S2122">
        <f>IF($A2122="","",IF($W2122=1,Settings!$C$6,Settings!$C$7)*1)</f>
        <v/>
      </c>
      <c r="U2122">
        <f>IF($A2122="","",IF(COUNTIF($A$2:$A2122,$A2122)=1,1,0))</f>
        <v/>
      </c>
      <c r="V2122">
        <f>IF($U2122=1,SUMPRODUCT(--($X$2:$X$3001&lt;$X2122))+1,"")</f>
        <v/>
      </c>
      <c r="W2122">
        <f>IF($A2122="","",IF(OR($T2122=TRUE(),$T2122="TRUE"),1,0))</f>
        <v/>
      </c>
      <c r="X2122">
        <f>IF($U2122=1,IFERROR(IF(VALUE($A2122)&lt;100000000,VALUE($A2122),1000000000),IFERROR(IF(VALUE(MID($A2122,2,20))&lt;100000000,VALUE(MID($A2122,2,20)),1000000000),1000000000))+ROW()/100000,"")</f>
        <v/>
      </c>
    </row>
    <row r="2123">
      <c r="F2123" s="7">
        <f>IF($A2123="","",E2123*N2123/100)</f>
        <v/>
      </c>
      <c r="J2123" s="7" t="n"/>
      <c r="K2123" s="7">
        <f>IF($A2123="","",S2123*N2123)</f>
        <v/>
      </c>
      <c r="L2123" s="7">
        <f>IF($A2123="","",N2123-K2123)</f>
        <v/>
      </c>
      <c r="M2123" s="7">
        <f>IF($A2123="","",L2123-F2123)</f>
        <v/>
      </c>
      <c r="N2123" s="7" t="n"/>
      <c r="Q2123" s="11" t="n"/>
      <c r="S2123">
        <f>IF($A2123="","",IF($W2123=1,Settings!$C$6,Settings!$C$7)*1)</f>
        <v/>
      </c>
      <c r="U2123">
        <f>IF($A2123="","",IF(COUNTIF($A$2:$A2123,$A2123)=1,1,0))</f>
        <v/>
      </c>
      <c r="V2123">
        <f>IF($U2123=1,SUMPRODUCT(--($X$2:$X$3001&lt;$X2123))+1,"")</f>
        <v/>
      </c>
      <c r="W2123">
        <f>IF($A2123="","",IF(OR($T2123=TRUE(),$T2123="TRUE"),1,0))</f>
        <v/>
      </c>
      <c r="X2123">
        <f>IF($U2123=1,IFERROR(IF(VALUE($A2123)&lt;100000000,VALUE($A2123),1000000000),IFERROR(IF(VALUE(MID($A2123,2,20))&lt;100000000,VALUE(MID($A2123,2,20)),1000000000),1000000000))+ROW()/100000,"")</f>
        <v/>
      </c>
    </row>
    <row r="2124">
      <c r="F2124" s="7">
        <f>IF($A2124="","",E2124*N2124/100)</f>
        <v/>
      </c>
      <c r="J2124" s="7" t="n"/>
      <c r="K2124" s="7">
        <f>IF($A2124="","",S2124*N2124)</f>
        <v/>
      </c>
      <c r="L2124" s="7">
        <f>IF($A2124="","",N2124-K2124)</f>
        <v/>
      </c>
      <c r="M2124" s="7">
        <f>IF($A2124="","",L2124-F2124)</f>
        <v/>
      </c>
      <c r="N2124" s="7" t="n"/>
      <c r="Q2124" s="11" t="n"/>
      <c r="S2124">
        <f>IF($A2124="","",IF($W2124=1,Settings!$C$6,Settings!$C$7)*1)</f>
        <v/>
      </c>
      <c r="U2124">
        <f>IF($A2124="","",IF(COUNTIF($A$2:$A2124,$A2124)=1,1,0))</f>
        <v/>
      </c>
      <c r="V2124">
        <f>IF($U2124=1,SUMPRODUCT(--($X$2:$X$3001&lt;$X2124))+1,"")</f>
        <v/>
      </c>
      <c r="W2124">
        <f>IF($A2124="","",IF(OR($T2124=TRUE(),$T2124="TRUE"),1,0))</f>
        <v/>
      </c>
      <c r="X2124">
        <f>IF($U2124=1,IFERROR(IF(VALUE($A2124)&lt;100000000,VALUE($A2124),1000000000),IFERROR(IF(VALUE(MID($A2124,2,20))&lt;100000000,VALUE(MID($A2124,2,20)),1000000000),1000000000))+ROW()/100000,"")</f>
        <v/>
      </c>
    </row>
    <row r="2125">
      <c r="F2125" s="7">
        <f>IF($A2125="","",E2125*N2125/100)</f>
        <v/>
      </c>
      <c r="J2125" s="7" t="n"/>
      <c r="K2125" s="7">
        <f>IF($A2125="","",S2125*N2125)</f>
        <v/>
      </c>
      <c r="L2125" s="7">
        <f>IF($A2125="","",N2125-K2125)</f>
        <v/>
      </c>
      <c r="M2125" s="7">
        <f>IF($A2125="","",L2125-F2125)</f>
        <v/>
      </c>
      <c r="N2125" s="7" t="n"/>
      <c r="Q2125" s="11" t="n"/>
      <c r="S2125">
        <f>IF($A2125="","",IF($W2125=1,Settings!$C$6,Settings!$C$7)*1)</f>
        <v/>
      </c>
      <c r="U2125">
        <f>IF($A2125="","",IF(COUNTIF($A$2:$A2125,$A2125)=1,1,0))</f>
        <v/>
      </c>
      <c r="V2125">
        <f>IF($U2125=1,SUMPRODUCT(--($X$2:$X$3001&lt;$X2125))+1,"")</f>
        <v/>
      </c>
      <c r="W2125">
        <f>IF($A2125="","",IF(OR($T2125=TRUE(),$T2125="TRUE"),1,0))</f>
        <v/>
      </c>
      <c r="X2125">
        <f>IF($U2125=1,IFERROR(IF(VALUE($A2125)&lt;100000000,VALUE($A2125),1000000000),IFERROR(IF(VALUE(MID($A2125,2,20))&lt;100000000,VALUE(MID($A2125,2,20)),1000000000),1000000000))+ROW()/100000,"")</f>
        <v/>
      </c>
    </row>
    <row r="2126">
      <c r="F2126" s="7">
        <f>IF($A2126="","",E2126*N2126/100)</f>
        <v/>
      </c>
      <c r="J2126" s="7" t="n"/>
      <c r="K2126" s="7">
        <f>IF($A2126="","",S2126*N2126)</f>
        <v/>
      </c>
      <c r="L2126" s="7">
        <f>IF($A2126="","",N2126-K2126)</f>
        <v/>
      </c>
      <c r="M2126" s="7">
        <f>IF($A2126="","",L2126-F2126)</f>
        <v/>
      </c>
      <c r="N2126" s="7" t="n"/>
      <c r="Q2126" s="11" t="n"/>
      <c r="S2126">
        <f>IF($A2126="","",IF($W2126=1,Settings!$C$6,Settings!$C$7)*1)</f>
        <v/>
      </c>
      <c r="U2126">
        <f>IF($A2126="","",IF(COUNTIF($A$2:$A2126,$A2126)=1,1,0))</f>
        <v/>
      </c>
      <c r="V2126">
        <f>IF($U2126=1,SUMPRODUCT(--($X$2:$X$3001&lt;$X2126))+1,"")</f>
        <v/>
      </c>
      <c r="W2126">
        <f>IF($A2126="","",IF(OR($T2126=TRUE(),$T2126="TRUE"),1,0))</f>
        <v/>
      </c>
      <c r="X2126">
        <f>IF($U2126=1,IFERROR(IF(VALUE($A2126)&lt;100000000,VALUE($A2126),1000000000),IFERROR(IF(VALUE(MID($A2126,2,20))&lt;100000000,VALUE(MID($A2126,2,20)),1000000000),1000000000))+ROW()/100000,"")</f>
        <v/>
      </c>
    </row>
    <row r="2127">
      <c r="F2127" s="7">
        <f>IF($A2127="","",E2127*N2127/100)</f>
        <v/>
      </c>
      <c r="J2127" s="7" t="n"/>
      <c r="K2127" s="7">
        <f>IF($A2127="","",S2127*N2127)</f>
        <v/>
      </c>
      <c r="L2127" s="7">
        <f>IF($A2127="","",N2127-K2127)</f>
        <v/>
      </c>
      <c r="M2127" s="7">
        <f>IF($A2127="","",L2127-F2127)</f>
        <v/>
      </c>
      <c r="N2127" s="7" t="n"/>
      <c r="Q2127" s="11" t="n"/>
      <c r="S2127">
        <f>IF($A2127="","",IF($W2127=1,Settings!$C$6,Settings!$C$7)*1)</f>
        <v/>
      </c>
      <c r="U2127">
        <f>IF($A2127="","",IF(COUNTIF($A$2:$A2127,$A2127)=1,1,0))</f>
        <v/>
      </c>
      <c r="V2127">
        <f>IF($U2127=1,SUMPRODUCT(--($X$2:$X$3001&lt;$X2127))+1,"")</f>
        <v/>
      </c>
      <c r="W2127">
        <f>IF($A2127="","",IF(OR($T2127=TRUE(),$T2127="TRUE"),1,0))</f>
        <v/>
      </c>
      <c r="X2127">
        <f>IF($U2127=1,IFERROR(IF(VALUE($A2127)&lt;100000000,VALUE($A2127),1000000000),IFERROR(IF(VALUE(MID($A2127,2,20))&lt;100000000,VALUE(MID($A2127,2,20)),1000000000),1000000000))+ROW()/100000,"")</f>
        <v/>
      </c>
    </row>
    <row r="2128">
      <c r="F2128" s="7">
        <f>IF($A2128="","",E2128*N2128/100)</f>
        <v/>
      </c>
      <c r="J2128" s="7" t="n"/>
      <c r="K2128" s="7">
        <f>IF($A2128="","",S2128*N2128)</f>
        <v/>
      </c>
      <c r="L2128" s="7">
        <f>IF($A2128="","",N2128-K2128)</f>
        <v/>
      </c>
      <c r="M2128" s="7">
        <f>IF($A2128="","",L2128-F2128)</f>
        <v/>
      </c>
      <c r="N2128" s="7" t="n"/>
      <c r="Q2128" s="11" t="n"/>
      <c r="S2128">
        <f>IF($A2128="","",IF($W2128=1,Settings!$C$6,Settings!$C$7)*1)</f>
        <v/>
      </c>
      <c r="U2128">
        <f>IF($A2128="","",IF(COUNTIF($A$2:$A2128,$A2128)=1,1,0))</f>
        <v/>
      </c>
      <c r="V2128">
        <f>IF($U2128=1,SUMPRODUCT(--($X$2:$X$3001&lt;$X2128))+1,"")</f>
        <v/>
      </c>
      <c r="W2128">
        <f>IF($A2128="","",IF(OR($T2128=TRUE(),$T2128="TRUE"),1,0))</f>
        <v/>
      </c>
      <c r="X2128">
        <f>IF($U2128=1,IFERROR(IF(VALUE($A2128)&lt;100000000,VALUE($A2128),1000000000),IFERROR(IF(VALUE(MID($A2128,2,20))&lt;100000000,VALUE(MID($A2128,2,20)),1000000000),1000000000))+ROW()/100000,"")</f>
        <v/>
      </c>
    </row>
    <row r="2129">
      <c r="F2129" s="7">
        <f>IF($A2129="","",E2129*N2129/100)</f>
        <v/>
      </c>
      <c r="J2129" s="7" t="n"/>
      <c r="K2129" s="7">
        <f>IF($A2129="","",S2129*N2129)</f>
        <v/>
      </c>
      <c r="L2129" s="7">
        <f>IF($A2129="","",N2129-K2129)</f>
        <v/>
      </c>
      <c r="M2129" s="7">
        <f>IF($A2129="","",L2129-F2129)</f>
        <v/>
      </c>
      <c r="N2129" s="7" t="n"/>
      <c r="Q2129" s="11" t="n"/>
      <c r="S2129">
        <f>IF($A2129="","",IF($W2129=1,Settings!$C$6,Settings!$C$7)*1)</f>
        <v/>
      </c>
      <c r="U2129">
        <f>IF($A2129="","",IF(COUNTIF($A$2:$A2129,$A2129)=1,1,0))</f>
        <v/>
      </c>
      <c r="V2129">
        <f>IF($U2129=1,SUMPRODUCT(--($X$2:$X$3001&lt;$X2129))+1,"")</f>
        <v/>
      </c>
      <c r="W2129">
        <f>IF($A2129="","",IF(OR($T2129=TRUE(),$T2129="TRUE"),1,0))</f>
        <v/>
      </c>
      <c r="X2129">
        <f>IF($U2129=1,IFERROR(IF(VALUE($A2129)&lt;100000000,VALUE($A2129),1000000000),IFERROR(IF(VALUE(MID($A2129,2,20))&lt;100000000,VALUE(MID($A2129,2,20)),1000000000),1000000000))+ROW()/100000,"")</f>
        <v/>
      </c>
    </row>
    <row r="2130">
      <c r="F2130" s="7">
        <f>IF($A2130="","",E2130*N2130/100)</f>
        <v/>
      </c>
      <c r="J2130" s="7" t="n"/>
      <c r="K2130" s="7">
        <f>IF($A2130="","",S2130*N2130)</f>
        <v/>
      </c>
      <c r="L2130" s="7">
        <f>IF($A2130="","",N2130-K2130)</f>
        <v/>
      </c>
      <c r="M2130" s="7">
        <f>IF($A2130="","",L2130-F2130)</f>
        <v/>
      </c>
      <c r="N2130" s="7" t="n"/>
      <c r="Q2130" s="11" t="n"/>
      <c r="S2130">
        <f>IF($A2130="","",IF($W2130=1,Settings!$C$6,Settings!$C$7)*1)</f>
        <v/>
      </c>
      <c r="U2130">
        <f>IF($A2130="","",IF(COUNTIF($A$2:$A2130,$A2130)=1,1,0))</f>
        <v/>
      </c>
      <c r="V2130">
        <f>IF($U2130=1,SUMPRODUCT(--($X$2:$X$3001&lt;$X2130))+1,"")</f>
        <v/>
      </c>
      <c r="W2130">
        <f>IF($A2130="","",IF(OR($T2130=TRUE(),$T2130="TRUE"),1,0))</f>
        <v/>
      </c>
      <c r="X2130">
        <f>IF($U2130=1,IFERROR(IF(VALUE($A2130)&lt;100000000,VALUE($A2130),1000000000),IFERROR(IF(VALUE(MID($A2130,2,20))&lt;100000000,VALUE(MID($A2130,2,20)),1000000000),1000000000))+ROW()/100000,"")</f>
        <v/>
      </c>
    </row>
    <row r="2131">
      <c r="F2131" s="7">
        <f>IF($A2131="","",E2131*N2131/100)</f>
        <v/>
      </c>
      <c r="J2131" s="7" t="n"/>
      <c r="K2131" s="7">
        <f>IF($A2131="","",S2131*N2131)</f>
        <v/>
      </c>
      <c r="L2131" s="7">
        <f>IF($A2131="","",N2131-K2131)</f>
        <v/>
      </c>
      <c r="M2131" s="7">
        <f>IF($A2131="","",L2131-F2131)</f>
        <v/>
      </c>
      <c r="N2131" s="7" t="n"/>
      <c r="Q2131" s="11" t="n"/>
      <c r="S2131">
        <f>IF($A2131="","",IF($W2131=1,Settings!$C$6,Settings!$C$7)*1)</f>
        <v/>
      </c>
      <c r="U2131">
        <f>IF($A2131="","",IF(COUNTIF($A$2:$A2131,$A2131)=1,1,0))</f>
        <v/>
      </c>
      <c r="V2131">
        <f>IF($U2131=1,SUMPRODUCT(--($X$2:$X$3001&lt;$X2131))+1,"")</f>
        <v/>
      </c>
      <c r="W2131">
        <f>IF($A2131="","",IF(OR($T2131=TRUE(),$T2131="TRUE"),1,0))</f>
        <v/>
      </c>
      <c r="X2131">
        <f>IF($U2131=1,IFERROR(IF(VALUE($A2131)&lt;100000000,VALUE($A2131),1000000000),IFERROR(IF(VALUE(MID($A2131,2,20))&lt;100000000,VALUE(MID($A2131,2,20)),1000000000),1000000000))+ROW()/100000,"")</f>
        <v/>
      </c>
    </row>
    <row r="2132">
      <c r="F2132" s="7">
        <f>IF($A2132="","",E2132*N2132/100)</f>
        <v/>
      </c>
      <c r="J2132" s="7" t="n"/>
      <c r="K2132" s="7">
        <f>IF($A2132="","",S2132*N2132)</f>
        <v/>
      </c>
      <c r="L2132" s="7">
        <f>IF($A2132="","",N2132-K2132)</f>
        <v/>
      </c>
      <c r="M2132" s="7">
        <f>IF($A2132="","",L2132-F2132)</f>
        <v/>
      </c>
      <c r="N2132" s="7" t="n"/>
      <c r="Q2132" s="11" t="n"/>
      <c r="S2132">
        <f>IF($A2132="","",IF($W2132=1,Settings!$C$6,Settings!$C$7)*1)</f>
        <v/>
      </c>
      <c r="U2132">
        <f>IF($A2132="","",IF(COUNTIF($A$2:$A2132,$A2132)=1,1,0))</f>
        <v/>
      </c>
      <c r="V2132">
        <f>IF($U2132=1,SUMPRODUCT(--($X$2:$X$3001&lt;$X2132))+1,"")</f>
        <v/>
      </c>
      <c r="W2132">
        <f>IF($A2132="","",IF(OR($T2132=TRUE(),$T2132="TRUE"),1,0))</f>
        <v/>
      </c>
      <c r="X2132">
        <f>IF($U2132=1,IFERROR(IF(VALUE($A2132)&lt;100000000,VALUE($A2132),1000000000),IFERROR(IF(VALUE(MID($A2132,2,20))&lt;100000000,VALUE(MID($A2132,2,20)),1000000000),1000000000))+ROW()/100000,"")</f>
        <v/>
      </c>
    </row>
    <row r="2133">
      <c r="F2133" s="7">
        <f>IF($A2133="","",E2133*N2133/100)</f>
        <v/>
      </c>
      <c r="J2133" s="7" t="n"/>
      <c r="K2133" s="7">
        <f>IF($A2133="","",S2133*N2133)</f>
        <v/>
      </c>
      <c r="L2133" s="7">
        <f>IF($A2133="","",N2133-K2133)</f>
        <v/>
      </c>
      <c r="M2133" s="7">
        <f>IF($A2133="","",L2133-F2133)</f>
        <v/>
      </c>
      <c r="N2133" s="7" t="n"/>
      <c r="Q2133" s="11" t="n"/>
      <c r="S2133">
        <f>IF($A2133="","",IF($W2133=1,Settings!$C$6,Settings!$C$7)*1)</f>
        <v/>
      </c>
      <c r="U2133">
        <f>IF($A2133="","",IF(COUNTIF($A$2:$A2133,$A2133)=1,1,0))</f>
        <v/>
      </c>
      <c r="V2133">
        <f>IF($U2133=1,SUMPRODUCT(--($X$2:$X$3001&lt;$X2133))+1,"")</f>
        <v/>
      </c>
      <c r="W2133">
        <f>IF($A2133="","",IF(OR($T2133=TRUE(),$T2133="TRUE"),1,0))</f>
        <v/>
      </c>
      <c r="X2133">
        <f>IF($U2133=1,IFERROR(IF(VALUE($A2133)&lt;100000000,VALUE($A2133),1000000000),IFERROR(IF(VALUE(MID($A2133,2,20))&lt;100000000,VALUE(MID($A2133,2,20)),1000000000),1000000000))+ROW()/100000,"")</f>
        <v/>
      </c>
    </row>
    <row r="2134">
      <c r="F2134" s="7">
        <f>IF($A2134="","",E2134*N2134/100)</f>
        <v/>
      </c>
      <c r="J2134" s="7" t="n"/>
      <c r="K2134" s="7">
        <f>IF($A2134="","",S2134*N2134)</f>
        <v/>
      </c>
      <c r="L2134" s="7">
        <f>IF($A2134="","",N2134-K2134)</f>
        <v/>
      </c>
      <c r="M2134" s="7">
        <f>IF($A2134="","",L2134-F2134)</f>
        <v/>
      </c>
      <c r="N2134" s="7" t="n"/>
      <c r="Q2134" s="11" t="n"/>
      <c r="S2134">
        <f>IF($A2134="","",IF($W2134=1,Settings!$C$6,Settings!$C$7)*1)</f>
        <v/>
      </c>
      <c r="U2134">
        <f>IF($A2134="","",IF(COUNTIF($A$2:$A2134,$A2134)=1,1,0))</f>
        <v/>
      </c>
      <c r="V2134">
        <f>IF($U2134=1,SUMPRODUCT(--($X$2:$X$3001&lt;$X2134))+1,"")</f>
        <v/>
      </c>
      <c r="W2134">
        <f>IF($A2134="","",IF(OR($T2134=TRUE(),$T2134="TRUE"),1,0))</f>
        <v/>
      </c>
      <c r="X2134">
        <f>IF($U2134=1,IFERROR(IF(VALUE($A2134)&lt;100000000,VALUE($A2134),1000000000),IFERROR(IF(VALUE(MID($A2134,2,20))&lt;100000000,VALUE(MID($A2134,2,20)),1000000000),1000000000))+ROW()/100000,"")</f>
        <v/>
      </c>
    </row>
    <row r="2135">
      <c r="F2135" s="7">
        <f>IF($A2135="","",E2135*N2135/100)</f>
        <v/>
      </c>
      <c r="J2135" s="7" t="n"/>
      <c r="K2135" s="7">
        <f>IF($A2135="","",S2135*N2135)</f>
        <v/>
      </c>
      <c r="L2135" s="7">
        <f>IF($A2135="","",N2135-K2135)</f>
        <v/>
      </c>
      <c r="M2135" s="7">
        <f>IF($A2135="","",L2135-F2135)</f>
        <v/>
      </c>
      <c r="N2135" s="7" t="n"/>
      <c r="Q2135" s="11" t="n"/>
      <c r="S2135">
        <f>IF($A2135="","",IF($W2135=1,Settings!$C$6,Settings!$C$7)*1)</f>
        <v/>
      </c>
      <c r="U2135">
        <f>IF($A2135="","",IF(COUNTIF($A$2:$A2135,$A2135)=1,1,0))</f>
        <v/>
      </c>
      <c r="V2135">
        <f>IF($U2135=1,SUMPRODUCT(--($X$2:$X$3001&lt;$X2135))+1,"")</f>
        <v/>
      </c>
      <c r="W2135">
        <f>IF($A2135="","",IF(OR($T2135=TRUE(),$T2135="TRUE"),1,0))</f>
        <v/>
      </c>
      <c r="X2135">
        <f>IF($U2135=1,IFERROR(IF(VALUE($A2135)&lt;100000000,VALUE($A2135),1000000000),IFERROR(IF(VALUE(MID($A2135,2,20))&lt;100000000,VALUE(MID($A2135,2,20)),1000000000),1000000000))+ROW()/100000,"")</f>
        <v/>
      </c>
    </row>
    <row r="2136">
      <c r="F2136" s="7">
        <f>IF($A2136="","",E2136*N2136/100)</f>
        <v/>
      </c>
      <c r="J2136" s="7" t="n"/>
      <c r="K2136" s="7">
        <f>IF($A2136="","",S2136*N2136)</f>
        <v/>
      </c>
      <c r="L2136" s="7">
        <f>IF($A2136="","",N2136-K2136)</f>
        <v/>
      </c>
      <c r="M2136" s="7">
        <f>IF($A2136="","",L2136-F2136)</f>
        <v/>
      </c>
      <c r="N2136" s="7" t="n"/>
      <c r="Q2136" s="11" t="n"/>
      <c r="S2136">
        <f>IF($A2136="","",IF($W2136=1,Settings!$C$6,Settings!$C$7)*1)</f>
        <v/>
      </c>
      <c r="U2136">
        <f>IF($A2136="","",IF(COUNTIF($A$2:$A2136,$A2136)=1,1,0))</f>
        <v/>
      </c>
      <c r="V2136">
        <f>IF($U2136=1,SUMPRODUCT(--($X$2:$X$3001&lt;$X2136))+1,"")</f>
        <v/>
      </c>
      <c r="W2136">
        <f>IF($A2136="","",IF(OR($T2136=TRUE(),$T2136="TRUE"),1,0))</f>
        <v/>
      </c>
      <c r="X2136">
        <f>IF($U2136=1,IFERROR(IF(VALUE($A2136)&lt;100000000,VALUE($A2136),1000000000),IFERROR(IF(VALUE(MID($A2136,2,20))&lt;100000000,VALUE(MID($A2136,2,20)),1000000000),1000000000))+ROW()/100000,"")</f>
        <v/>
      </c>
    </row>
    <row r="2137">
      <c r="F2137" s="7">
        <f>IF($A2137="","",E2137*N2137/100)</f>
        <v/>
      </c>
      <c r="J2137" s="7" t="n"/>
      <c r="K2137" s="7">
        <f>IF($A2137="","",S2137*N2137)</f>
        <v/>
      </c>
      <c r="L2137" s="7">
        <f>IF($A2137="","",N2137-K2137)</f>
        <v/>
      </c>
      <c r="M2137" s="7">
        <f>IF($A2137="","",L2137-F2137)</f>
        <v/>
      </c>
      <c r="N2137" s="7" t="n"/>
      <c r="Q2137" s="11" t="n"/>
      <c r="S2137">
        <f>IF($A2137="","",IF($W2137=1,Settings!$C$6,Settings!$C$7)*1)</f>
        <v/>
      </c>
      <c r="U2137">
        <f>IF($A2137="","",IF(COUNTIF($A$2:$A2137,$A2137)=1,1,0))</f>
        <v/>
      </c>
      <c r="V2137">
        <f>IF($U2137=1,SUMPRODUCT(--($X$2:$X$3001&lt;$X2137))+1,"")</f>
        <v/>
      </c>
      <c r="W2137">
        <f>IF($A2137="","",IF(OR($T2137=TRUE(),$T2137="TRUE"),1,0))</f>
        <v/>
      </c>
      <c r="X2137">
        <f>IF($U2137=1,IFERROR(IF(VALUE($A2137)&lt;100000000,VALUE($A2137),1000000000),IFERROR(IF(VALUE(MID($A2137,2,20))&lt;100000000,VALUE(MID($A2137,2,20)),1000000000),1000000000))+ROW()/100000,"")</f>
        <v/>
      </c>
    </row>
    <row r="2138">
      <c r="F2138" s="7">
        <f>IF($A2138="","",E2138*N2138/100)</f>
        <v/>
      </c>
      <c r="J2138" s="7" t="n"/>
      <c r="K2138" s="7">
        <f>IF($A2138="","",S2138*N2138)</f>
        <v/>
      </c>
      <c r="L2138" s="7">
        <f>IF($A2138="","",N2138-K2138)</f>
        <v/>
      </c>
      <c r="M2138" s="7">
        <f>IF($A2138="","",L2138-F2138)</f>
        <v/>
      </c>
      <c r="N2138" s="7" t="n"/>
      <c r="Q2138" s="11" t="n"/>
      <c r="S2138">
        <f>IF($A2138="","",IF($W2138=1,Settings!$C$6,Settings!$C$7)*1)</f>
        <v/>
      </c>
      <c r="U2138">
        <f>IF($A2138="","",IF(COUNTIF($A$2:$A2138,$A2138)=1,1,0))</f>
        <v/>
      </c>
      <c r="V2138">
        <f>IF($U2138=1,SUMPRODUCT(--($X$2:$X$3001&lt;$X2138))+1,"")</f>
        <v/>
      </c>
      <c r="W2138">
        <f>IF($A2138="","",IF(OR($T2138=TRUE(),$T2138="TRUE"),1,0))</f>
        <v/>
      </c>
      <c r="X2138">
        <f>IF($U2138=1,IFERROR(IF(VALUE($A2138)&lt;100000000,VALUE($A2138),1000000000),IFERROR(IF(VALUE(MID($A2138,2,20))&lt;100000000,VALUE(MID($A2138,2,20)),1000000000),1000000000))+ROW()/100000,"")</f>
        <v/>
      </c>
    </row>
    <row r="2139">
      <c r="F2139" s="7">
        <f>IF($A2139="","",E2139*N2139/100)</f>
        <v/>
      </c>
      <c r="J2139" s="7" t="n"/>
      <c r="K2139" s="7">
        <f>IF($A2139="","",S2139*N2139)</f>
        <v/>
      </c>
      <c r="L2139" s="7">
        <f>IF($A2139="","",N2139-K2139)</f>
        <v/>
      </c>
      <c r="M2139" s="7">
        <f>IF($A2139="","",L2139-F2139)</f>
        <v/>
      </c>
      <c r="N2139" s="7" t="n"/>
      <c r="Q2139" s="11" t="n"/>
      <c r="S2139">
        <f>IF($A2139="","",IF($W2139=1,Settings!$C$6,Settings!$C$7)*1)</f>
        <v/>
      </c>
      <c r="U2139">
        <f>IF($A2139="","",IF(COUNTIF($A$2:$A2139,$A2139)=1,1,0))</f>
        <v/>
      </c>
      <c r="V2139">
        <f>IF($U2139=1,SUMPRODUCT(--($X$2:$X$3001&lt;$X2139))+1,"")</f>
        <v/>
      </c>
      <c r="W2139">
        <f>IF($A2139="","",IF(OR($T2139=TRUE(),$T2139="TRUE"),1,0))</f>
        <v/>
      </c>
      <c r="X2139">
        <f>IF($U2139=1,IFERROR(IF(VALUE($A2139)&lt;100000000,VALUE($A2139),1000000000),IFERROR(IF(VALUE(MID($A2139,2,20))&lt;100000000,VALUE(MID($A2139,2,20)),1000000000),1000000000))+ROW()/100000,"")</f>
        <v/>
      </c>
    </row>
    <row r="2140">
      <c r="F2140" s="7">
        <f>IF($A2140="","",E2140*N2140/100)</f>
        <v/>
      </c>
      <c r="J2140" s="7" t="n"/>
      <c r="K2140" s="7">
        <f>IF($A2140="","",S2140*N2140)</f>
        <v/>
      </c>
      <c r="L2140" s="7">
        <f>IF($A2140="","",N2140-K2140)</f>
        <v/>
      </c>
      <c r="M2140" s="7">
        <f>IF($A2140="","",L2140-F2140)</f>
        <v/>
      </c>
      <c r="N2140" s="7" t="n"/>
      <c r="Q2140" s="11" t="n"/>
      <c r="S2140">
        <f>IF($A2140="","",IF($W2140=1,Settings!$C$6,Settings!$C$7)*1)</f>
        <v/>
      </c>
      <c r="U2140">
        <f>IF($A2140="","",IF(COUNTIF($A$2:$A2140,$A2140)=1,1,0))</f>
        <v/>
      </c>
      <c r="V2140">
        <f>IF($U2140=1,SUMPRODUCT(--($X$2:$X$3001&lt;$X2140))+1,"")</f>
        <v/>
      </c>
      <c r="W2140">
        <f>IF($A2140="","",IF(OR($T2140=TRUE(),$T2140="TRUE"),1,0))</f>
        <v/>
      </c>
      <c r="X2140">
        <f>IF($U2140=1,IFERROR(IF(VALUE($A2140)&lt;100000000,VALUE($A2140),1000000000),IFERROR(IF(VALUE(MID($A2140,2,20))&lt;100000000,VALUE(MID($A2140,2,20)),1000000000),1000000000))+ROW()/100000,"")</f>
        <v/>
      </c>
    </row>
    <row r="2141">
      <c r="F2141" s="7">
        <f>IF($A2141="","",E2141*N2141/100)</f>
        <v/>
      </c>
      <c r="J2141" s="7" t="n"/>
      <c r="K2141" s="7">
        <f>IF($A2141="","",S2141*N2141)</f>
        <v/>
      </c>
      <c r="L2141" s="7">
        <f>IF($A2141="","",N2141-K2141)</f>
        <v/>
      </c>
      <c r="M2141" s="7">
        <f>IF($A2141="","",L2141-F2141)</f>
        <v/>
      </c>
      <c r="N2141" s="7" t="n"/>
      <c r="Q2141" s="11" t="n"/>
      <c r="S2141">
        <f>IF($A2141="","",IF($W2141=1,Settings!$C$6,Settings!$C$7)*1)</f>
        <v/>
      </c>
      <c r="U2141">
        <f>IF($A2141="","",IF(COUNTIF($A$2:$A2141,$A2141)=1,1,0))</f>
        <v/>
      </c>
      <c r="V2141">
        <f>IF($U2141=1,SUMPRODUCT(--($X$2:$X$3001&lt;$X2141))+1,"")</f>
        <v/>
      </c>
      <c r="W2141">
        <f>IF($A2141="","",IF(OR($T2141=TRUE(),$T2141="TRUE"),1,0))</f>
        <v/>
      </c>
      <c r="X2141">
        <f>IF($U2141=1,IFERROR(IF(VALUE($A2141)&lt;100000000,VALUE($A2141),1000000000),IFERROR(IF(VALUE(MID($A2141,2,20))&lt;100000000,VALUE(MID($A2141,2,20)),1000000000),1000000000))+ROW()/100000,"")</f>
        <v/>
      </c>
    </row>
    <row r="2142">
      <c r="F2142" s="7">
        <f>IF($A2142="","",E2142*N2142/100)</f>
        <v/>
      </c>
      <c r="J2142" s="7" t="n"/>
      <c r="K2142" s="7">
        <f>IF($A2142="","",S2142*N2142)</f>
        <v/>
      </c>
      <c r="L2142" s="7">
        <f>IF($A2142="","",N2142-K2142)</f>
        <v/>
      </c>
      <c r="M2142" s="7">
        <f>IF($A2142="","",L2142-F2142)</f>
        <v/>
      </c>
      <c r="N2142" s="7" t="n"/>
      <c r="Q2142" s="11" t="n"/>
      <c r="S2142">
        <f>IF($A2142="","",IF($W2142=1,Settings!$C$6,Settings!$C$7)*1)</f>
        <v/>
      </c>
      <c r="U2142">
        <f>IF($A2142="","",IF(COUNTIF($A$2:$A2142,$A2142)=1,1,0))</f>
        <v/>
      </c>
      <c r="V2142">
        <f>IF($U2142=1,SUMPRODUCT(--($X$2:$X$3001&lt;$X2142))+1,"")</f>
        <v/>
      </c>
      <c r="W2142">
        <f>IF($A2142="","",IF(OR($T2142=TRUE(),$T2142="TRUE"),1,0))</f>
        <v/>
      </c>
      <c r="X2142">
        <f>IF($U2142=1,IFERROR(IF(VALUE($A2142)&lt;100000000,VALUE($A2142),1000000000),IFERROR(IF(VALUE(MID($A2142,2,20))&lt;100000000,VALUE(MID($A2142,2,20)),1000000000),1000000000))+ROW()/100000,"")</f>
        <v/>
      </c>
    </row>
    <row r="2143">
      <c r="F2143" s="7">
        <f>IF($A2143="","",E2143*N2143/100)</f>
        <v/>
      </c>
      <c r="J2143" s="7" t="n"/>
      <c r="K2143" s="7">
        <f>IF($A2143="","",S2143*N2143)</f>
        <v/>
      </c>
      <c r="L2143" s="7">
        <f>IF($A2143="","",N2143-K2143)</f>
        <v/>
      </c>
      <c r="M2143" s="7">
        <f>IF($A2143="","",L2143-F2143)</f>
        <v/>
      </c>
      <c r="N2143" s="7" t="n"/>
      <c r="Q2143" s="11" t="n"/>
      <c r="S2143">
        <f>IF($A2143="","",IF($W2143=1,Settings!$C$6,Settings!$C$7)*1)</f>
        <v/>
      </c>
      <c r="U2143">
        <f>IF($A2143="","",IF(COUNTIF($A$2:$A2143,$A2143)=1,1,0))</f>
        <v/>
      </c>
      <c r="V2143">
        <f>IF($U2143=1,SUMPRODUCT(--($X$2:$X$3001&lt;$X2143))+1,"")</f>
        <v/>
      </c>
      <c r="W2143">
        <f>IF($A2143="","",IF(OR($T2143=TRUE(),$T2143="TRUE"),1,0))</f>
        <v/>
      </c>
      <c r="X2143">
        <f>IF($U2143=1,IFERROR(IF(VALUE($A2143)&lt;100000000,VALUE($A2143),1000000000),IFERROR(IF(VALUE(MID($A2143,2,20))&lt;100000000,VALUE(MID($A2143,2,20)),1000000000),1000000000))+ROW()/100000,"")</f>
        <v/>
      </c>
    </row>
    <row r="2144">
      <c r="F2144" s="7">
        <f>IF($A2144="","",E2144*N2144/100)</f>
        <v/>
      </c>
      <c r="J2144" s="7" t="n"/>
      <c r="K2144" s="7">
        <f>IF($A2144="","",S2144*N2144)</f>
        <v/>
      </c>
      <c r="L2144" s="7">
        <f>IF($A2144="","",N2144-K2144)</f>
        <v/>
      </c>
      <c r="M2144" s="7">
        <f>IF($A2144="","",L2144-F2144)</f>
        <v/>
      </c>
      <c r="N2144" s="7" t="n"/>
      <c r="Q2144" s="11" t="n"/>
      <c r="S2144">
        <f>IF($A2144="","",IF($W2144=1,Settings!$C$6,Settings!$C$7)*1)</f>
        <v/>
      </c>
      <c r="U2144">
        <f>IF($A2144="","",IF(COUNTIF($A$2:$A2144,$A2144)=1,1,0))</f>
        <v/>
      </c>
      <c r="V2144">
        <f>IF($U2144=1,SUMPRODUCT(--($X$2:$X$3001&lt;$X2144))+1,"")</f>
        <v/>
      </c>
      <c r="W2144">
        <f>IF($A2144="","",IF(OR($T2144=TRUE(),$T2144="TRUE"),1,0))</f>
        <v/>
      </c>
      <c r="X2144">
        <f>IF($U2144=1,IFERROR(IF(VALUE($A2144)&lt;100000000,VALUE($A2144),1000000000),IFERROR(IF(VALUE(MID($A2144,2,20))&lt;100000000,VALUE(MID($A2144,2,20)),1000000000),1000000000))+ROW()/100000,"")</f>
        <v/>
      </c>
    </row>
    <row r="2145">
      <c r="F2145" s="7">
        <f>IF($A2145="","",E2145*N2145/100)</f>
        <v/>
      </c>
      <c r="J2145" s="7" t="n"/>
      <c r="K2145" s="7">
        <f>IF($A2145="","",S2145*N2145)</f>
        <v/>
      </c>
      <c r="L2145" s="7">
        <f>IF($A2145="","",N2145-K2145)</f>
        <v/>
      </c>
      <c r="M2145" s="7">
        <f>IF($A2145="","",L2145-F2145)</f>
        <v/>
      </c>
      <c r="N2145" s="7" t="n"/>
      <c r="Q2145" s="11" t="n"/>
      <c r="S2145">
        <f>IF($A2145="","",IF($W2145=1,Settings!$C$6,Settings!$C$7)*1)</f>
        <v/>
      </c>
      <c r="U2145">
        <f>IF($A2145="","",IF(COUNTIF($A$2:$A2145,$A2145)=1,1,0))</f>
        <v/>
      </c>
      <c r="V2145">
        <f>IF($U2145=1,SUMPRODUCT(--($X$2:$X$3001&lt;$X2145))+1,"")</f>
        <v/>
      </c>
      <c r="W2145">
        <f>IF($A2145="","",IF(OR($T2145=TRUE(),$T2145="TRUE"),1,0))</f>
        <v/>
      </c>
      <c r="X2145">
        <f>IF($U2145=1,IFERROR(IF(VALUE($A2145)&lt;100000000,VALUE($A2145),1000000000),IFERROR(IF(VALUE(MID($A2145,2,20))&lt;100000000,VALUE(MID($A2145,2,20)),1000000000),1000000000))+ROW()/100000,"")</f>
        <v/>
      </c>
    </row>
    <row r="2146">
      <c r="F2146" s="7">
        <f>IF($A2146="","",E2146*N2146/100)</f>
        <v/>
      </c>
      <c r="J2146" s="7" t="n"/>
      <c r="K2146" s="7">
        <f>IF($A2146="","",S2146*N2146)</f>
        <v/>
      </c>
      <c r="L2146" s="7">
        <f>IF($A2146="","",N2146-K2146)</f>
        <v/>
      </c>
      <c r="M2146" s="7">
        <f>IF($A2146="","",L2146-F2146)</f>
        <v/>
      </c>
      <c r="N2146" s="7" t="n"/>
      <c r="Q2146" s="11" t="n"/>
      <c r="S2146">
        <f>IF($A2146="","",IF($W2146=1,Settings!$C$6,Settings!$C$7)*1)</f>
        <v/>
      </c>
      <c r="U2146">
        <f>IF($A2146="","",IF(COUNTIF($A$2:$A2146,$A2146)=1,1,0))</f>
        <v/>
      </c>
      <c r="V2146">
        <f>IF($U2146=1,SUMPRODUCT(--($X$2:$X$3001&lt;$X2146))+1,"")</f>
        <v/>
      </c>
      <c r="W2146">
        <f>IF($A2146="","",IF(OR($T2146=TRUE(),$T2146="TRUE"),1,0))</f>
        <v/>
      </c>
      <c r="X2146">
        <f>IF($U2146=1,IFERROR(IF(VALUE($A2146)&lt;100000000,VALUE($A2146),1000000000),IFERROR(IF(VALUE(MID($A2146,2,20))&lt;100000000,VALUE(MID($A2146,2,20)),1000000000),1000000000))+ROW()/100000,"")</f>
        <v/>
      </c>
    </row>
    <row r="2147">
      <c r="F2147" s="7">
        <f>IF($A2147="","",E2147*N2147/100)</f>
        <v/>
      </c>
      <c r="J2147" s="7" t="n"/>
      <c r="K2147" s="7">
        <f>IF($A2147="","",S2147*N2147)</f>
        <v/>
      </c>
      <c r="L2147" s="7">
        <f>IF($A2147="","",N2147-K2147)</f>
        <v/>
      </c>
      <c r="M2147" s="7">
        <f>IF($A2147="","",L2147-F2147)</f>
        <v/>
      </c>
      <c r="N2147" s="7" t="n"/>
      <c r="Q2147" s="11" t="n"/>
      <c r="S2147">
        <f>IF($A2147="","",IF($W2147=1,Settings!$C$6,Settings!$C$7)*1)</f>
        <v/>
      </c>
      <c r="U2147">
        <f>IF($A2147="","",IF(COUNTIF($A$2:$A2147,$A2147)=1,1,0))</f>
        <v/>
      </c>
      <c r="V2147">
        <f>IF($U2147=1,SUMPRODUCT(--($X$2:$X$3001&lt;$X2147))+1,"")</f>
        <v/>
      </c>
      <c r="W2147">
        <f>IF($A2147="","",IF(OR($T2147=TRUE(),$T2147="TRUE"),1,0))</f>
        <v/>
      </c>
      <c r="X2147">
        <f>IF($U2147=1,IFERROR(IF(VALUE($A2147)&lt;100000000,VALUE($A2147),1000000000),IFERROR(IF(VALUE(MID($A2147,2,20))&lt;100000000,VALUE(MID($A2147,2,20)),1000000000),1000000000))+ROW()/100000,"")</f>
        <v/>
      </c>
    </row>
    <row r="2148">
      <c r="F2148" s="7">
        <f>IF($A2148="","",E2148*N2148/100)</f>
        <v/>
      </c>
      <c r="J2148" s="7" t="n"/>
      <c r="K2148" s="7">
        <f>IF($A2148="","",S2148*N2148)</f>
        <v/>
      </c>
      <c r="L2148" s="7">
        <f>IF($A2148="","",N2148-K2148)</f>
        <v/>
      </c>
      <c r="M2148" s="7">
        <f>IF($A2148="","",L2148-F2148)</f>
        <v/>
      </c>
      <c r="N2148" s="7" t="n"/>
      <c r="Q2148" s="11" t="n"/>
      <c r="S2148">
        <f>IF($A2148="","",IF($W2148=1,Settings!$C$6,Settings!$C$7)*1)</f>
        <v/>
      </c>
      <c r="U2148">
        <f>IF($A2148="","",IF(COUNTIF($A$2:$A2148,$A2148)=1,1,0))</f>
        <v/>
      </c>
      <c r="V2148">
        <f>IF($U2148=1,SUMPRODUCT(--($X$2:$X$3001&lt;$X2148))+1,"")</f>
        <v/>
      </c>
      <c r="W2148">
        <f>IF($A2148="","",IF(OR($T2148=TRUE(),$T2148="TRUE"),1,0))</f>
        <v/>
      </c>
      <c r="X2148">
        <f>IF($U2148=1,IFERROR(IF(VALUE($A2148)&lt;100000000,VALUE($A2148),1000000000),IFERROR(IF(VALUE(MID($A2148,2,20))&lt;100000000,VALUE(MID($A2148,2,20)),1000000000),1000000000))+ROW()/100000,"")</f>
        <v/>
      </c>
    </row>
    <row r="2149">
      <c r="F2149" s="7">
        <f>IF($A2149="","",E2149*N2149/100)</f>
        <v/>
      </c>
      <c r="J2149" s="7" t="n"/>
      <c r="K2149" s="7">
        <f>IF($A2149="","",S2149*N2149)</f>
        <v/>
      </c>
      <c r="L2149" s="7">
        <f>IF($A2149="","",N2149-K2149)</f>
        <v/>
      </c>
      <c r="M2149" s="7">
        <f>IF($A2149="","",L2149-F2149)</f>
        <v/>
      </c>
      <c r="N2149" s="7" t="n"/>
      <c r="Q2149" s="11" t="n"/>
      <c r="S2149">
        <f>IF($A2149="","",IF($W2149=1,Settings!$C$6,Settings!$C$7)*1)</f>
        <v/>
      </c>
      <c r="U2149">
        <f>IF($A2149="","",IF(COUNTIF($A$2:$A2149,$A2149)=1,1,0))</f>
        <v/>
      </c>
      <c r="V2149">
        <f>IF($U2149=1,SUMPRODUCT(--($X$2:$X$3001&lt;$X2149))+1,"")</f>
        <v/>
      </c>
      <c r="W2149">
        <f>IF($A2149="","",IF(OR($T2149=TRUE(),$T2149="TRUE"),1,0))</f>
        <v/>
      </c>
      <c r="X2149">
        <f>IF($U2149=1,IFERROR(IF(VALUE($A2149)&lt;100000000,VALUE($A2149),1000000000),IFERROR(IF(VALUE(MID($A2149,2,20))&lt;100000000,VALUE(MID($A2149,2,20)),1000000000),1000000000))+ROW()/100000,"")</f>
        <v/>
      </c>
    </row>
    <row r="2150">
      <c r="F2150" s="7">
        <f>IF($A2150="","",E2150*N2150/100)</f>
        <v/>
      </c>
      <c r="J2150" s="7" t="n"/>
      <c r="K2150" s="7">
        <f>IF($A2150="","",S2150*N2150)</f>
        <v/>
      </c>
      <c r="L2150" s="7">
        <f>IF($A2150="","",N2150-K2150)</f>
        <v/>
      </c>
      <c r="M2150" s="7">
        <f>IF($A2150="","",L2150-F2150)</f>
        <v/>
      </c>
      <c r="N2150" s="7" t="n"/>
      <c r="Q2150" s="11" t="n"/>
      <c r="S2150">
        <f>IF($A2150="","",IF($W2150=1,Settings!$C$6,Settings!$C$7)*1)</f>
        <v/>
      </c>
      <c r="U2150">
        <f>IF($A2150="","",IF(COUNTIF($A$2:$A2150,$A2150)=1,1,0))</f>
        <v/>
      </c>
      <c r="V2150">
        <f>IF($U2150=1,SUMPRODUCT(--($X$2:$X$3001&lt;$X2150))+1,"")</f>
        <v/>
      </c>
      <c r="W2150">
        <f>IF($A2150="","",IF(OR($T2150=TRUE(),$T2150="TRUE"),1,0))</f>
        <v/>
      </c>
      <c r="X2150">
        <f>IF($U2150=1,IFERROR(IF(VALUE($A2150)&lt;100000000,VALUE($A2150),1000000000),IFERROR(IF(VALUE(MID($A2150,2,20))&lt;100000000,VALUE(MID($A2150,2,20)),1000000000),1000000000))+ROW()/100000,"")</f>
        <v/>
      </c>
    </row>
    <row r="2151">
      <c r="F2151" s="7">
        <f>IF($A2151="","",E2151*N2151/100)</f>
        <v/>
      </c>
      <c r="J2151" s="7" t="n"/>
      <c r="K2151" s="7">
        <f>IF($A2151="","",S2151*N2151)</f>
        <v/>
      </c>
      <c r="L2151" s="7">
        <f>IF($A2151="","",N2151-K2151)</f>
        <v/>
      </c>
      <c r="M2151" s="7">
        <f>IF($A2151="","",L2151-F2151)</f>
        <v/>
      </c>
      <c r="N2151" s="7" t="n"/>
      <c r="Q2151" s="11" t="n"/>
      <c r="S2151">
        <f>IF($A2151="","",IF($W2151=1,Settings!$C$6,Settings!$C$7)*1)</f>
        <v/>
      </c>
      <c r="U2151">
        <f>IF($A2151="","",IF(COUNTIF($A$2:$A2151,$A2151)=1,1,0))</f>
        <v/>
      </c>
      <c r="V2151">
        <f>IF($U2151=1,SUMPRODUCT(--($X$2:$X$3001&lt;$X2151))+1,"")</f>
        <v/>
      </c>
      <c r="W2151">
        <f>IF($A2151="","",IF(OR($T2151=TRUE(),$T2151="TRUE"),1,0))</f>
        <v/>
      </c>
      <c r="X2151">
        <f>IF($U2151=1,IFERROR(IF(VALUE($A2151)&lt;100000000,VALUE($A2151),1000000000),IFERROR(IF(VALUE(MID($A2151,2,20))&lt;100000000,VALUE(MID($A2151,2,20)),1000000000),1000000000))+ROW()/100000,"")</f>
        <v/>
      </c>
    </row>
    <row r="2152">
      <c r="F2152" s="7">
        <f>IF($A2152="","",E2152*N2152/100)</f>
        <v/>
      </c>
      <c r="J2152" s="7" t="n"/>
      <c r="K2152" s="7">
        <f>IF($A2152="","",S2152*N2152)</f>
        <v/>
      </c>
      <c r="L2152" s="7">
        <f>IF($A2152="","",N2152-K2152)</f>
        <v/>
      </c>
      <c r="M2152" s="7">
        <f>IF($A2152="","",L2152-F2152)</f>
        <v/>
      </c>
      <c r="N2152" s="7" t="n"/>
      <c r="Q2152" s="11" t="n"/>
      <c r="S2152">
        <f>IF($A2152="","",IF($W2152=1,Settings!$C$6,Settings!$C$7)*1)</f>
        <v/>
      </c>
      <c r="U2152">
        <f>IF($A2152="","",IF(COUNTIF($A$2:$A2152,$A2152)=1,1,0))</f>
        <v/>
      </c>
      <c r="V2152">
        <f>IF($U2152=1,SUMPRODUCT(--($X$2:$X$3001&lt;$X2152))+1,"")</f>
        <v/>
      </c>
      <c r="W2152">
        <f>IF($A2152="","",IF(OR($T2152=TRUE(),$T2152="TRUE"),1,0))</f>
        <v/>
      </c>
      <c r="X2152">
        <f>IF($U2152=1,IFERROR(IF(VALUE($A2152)&lt;100000000,VALUE($A2152),1000000000),IFERROR(IF(VALUE(MID($A2152,2,20))&lt;100000000,VALUE(MID($A2152,2,20)),1000000000),1000000000))+ROW()/100000,"")</f>
        <v/>
      </c>
    </row>
    <row r="2153">
      <c r="F2153" s="7">
        <f>IF($A2153="","",E2153*N2153/100)</f>
        <v/>
      </c>
      <c r="J2153" s="7" t="n"/>
      <c r="K2153" s="7">
        <f>IF($A2153="","",S2153*N2153)</f>
        <v/>
      </c>
      <c r="L2153" s="7">
        <f>IF($A2153="","",N2153-K2153)</f>
        <v/>
      </c>
      <c r="M2153" s="7">
        <f>IF($A2153="","",L2153-F2153)</f>
        <v/>
      </c>
      <c r="N2153" s="7" t="n"/>
      <c r="Q2153" s="11" t="n"/>
      <c r="S2153">
        <f>IF($A2153="","",IF($W2153=1,Settings!$C$6,Settings!$C$7)*1)</f>
        <v/>
      </c>
      <c r="U2153">
        <f>IF($A2153="","",IF(COUNTIF($A$2:$A2153,$A2153)=1,1,0))</f>
        <v/>
      </c>
      <c r="V2153">
        <f>IF($U2153=1,SUMPRODUCT(--($X$2:$X$3001&lt;$X2153))+1,"")</f>
        <v/>
      </c>
      <c r="W2153">
        <f>IF($A2153="","",IF(OR($T2153=TRUE(),$T2153="TRUE"),1,0))</f>
        <v/>
      </c>
      <c r="X2153">
        <f>IF($U2153=1,IFERROR(IF(VALUE($A2153)&lt;100000000,VALUE($A2153),1000000000),IFERROR(IF(VALUE(MID($A2153,2,20))&lt;100000000,VALUE(MID($A2153,2,20)),1000000000),1000000000))+ROW()/100000,"")</f>
        <v/>
      </c>
    </row>
    <row r="2154">
      <c r="F2154" s="7">
        <f>IF($A2154="","",E2154*N2154/100)</f>
        <v/>
      </c>
      <c r="J2154" s="7" t="n"/>
      <c r="K2154" s="7">
        <f>IF($A2154="","",S2154*N2154)</f>
        <v/>
      </c>
      <c r="L2154" s="7">
        <f>IF($A2154="","",N2154-K2154)</f>
        <v/>
      </c>
      <c r="M2154" s="7">
        <f>IF($A2154="","",L2154-F2154)</f>
        <v/>
      </c>
      <c r="N2154" s="7" t="n"/>
      <c r="Q2154" s="11" t="n"/>
      <c r="S2154">
        <f>IF($A2154="","",IF($W2154=1,Settings!$C$6,Settings!$C$7)*1)</f>
        <v/>
      </c>
      <c r="U2154">
        <f>IF($A2154="","",IF(COUNTIF($A$2:$A2154,$A2154)=1,1,0))</f>
        <v/>
      </c>
      <c r="V2154">
        <f>IF($U2154=1,SUMPRODUCT(--($X$2:$X$3001&lt;$X2154))+1,"")</f>
        <v/>
      </c>
      <c r="W2154">
        <f>IF($A2154="","",IF(OR($T2154=TRUE(),$T2154="TRUE"),1,0))</f>
        <v/>
      </c>
      <c r="X2154">
        <f>IF($U2154=1,IFERROR(IF(VALUE($A2154)&lt;100000000,VALUE($A2154),1000000000),IFERROR(IF(VALUE(MID($A2154,2,20))&lt;100000000,VALUE(MID($A2154,2,20)),1000000000),1000000000))+ROW()/100000,"")</f>
        <v/>
      </c>
    </row>
    <row r="2155">
      <c r="F2155" s="7">
        <f>IF($A2155="","",E2155*N2155/100)</f>
        <v/>
      </c>
      <c r="J2155" s="7" t="n"/>
      <c r="K2155" s="7">
        <f>IF($A2155="","",S2155*N2155)</f>
        <v/>
      </c>
      <c r="L2155" s="7">
        <f>IF($A2155="","",N2155-K2155)</f>
        <v/>
      </c>
      <c r="M2155" s="7">
        <f>IF($A2155="","",L2155-F2155)</f>
        <v/>
      </c>
      <c r="N2155" s="7" t="n"/>
      <c r="Q2155" s="11" t="n"/>
      <c r="S2155">
        <f>IF($A2155="","",IF($W2155=1,Settings!$C$6,Settings!$C$7)*1)</f>
        <v/>
      </c>
      <c r="U2155">
        <f>IF($A2155="","",IF(COUNTIF($A$2:$A2155,$A2155)=1,1,0))</f>
        <v/>
      </c>
      <c r="V2155">
        <f>IF($U2155=1,SUMPRODUCT(--($X$2:$X$3001&lt;$X2155))+1,"")</f>
        <v/>
      </c>
      <c r="W2155">
        <f>IF($A2155="","",IF(OR($T2155=TRUE(),$T2155="TRUE"),1,0))</f>
        <v/>
      </c>
      <c r="X2155">
        <f>IF($U2155=1,IFERROR(IF(VALUE($A2155)&lt;100000000,VALUE($A2155),1000000000),IFERROR(IF(VALUE(MID($A2155,2,20))&lt;100000000,VALUE(MID($A2155,2,20)),1000000000),1000000000))+ROW()/100000,"")</f>
        <v/>
      </c>
    </row>
    <row r="2156">
      <c r="F2156" s="7">
        <f>IF($A2156="","",E2156*N2156/100)</f>
        <v/>
      </c>
      <c r="J2156" s="7" t="n"/>
      <c r="K2156" s="7">
        <f>IF($A2156="","",S2156*N2156)</f>
        <v/>
      </c>
      <c r="L2156" s="7">
        <f>IF($A2156="","",N2156-K2156)</f>
        <v/>
      </c>
      <c r="M2156" s="7">
        <f>IF($A2156="","",L2156-F2156)</f>
        <v/>
      </c>
      <c r="N2156" s="7" t="n"/>
      <c r="Q2156" s="11" t="n"/>
      <c r="S2156">
        <f>IF($A2156="","",IF($W2156=1,Settings!$C$6,Settings!$C$7)*1)</f>
        <v/>
      </c>
      <c r="U2156">
        <f>IF($A2156="","",IF(COUNTIF($A$2:$A2156,$A2156)=1,1,0))</f>
        <v/>
      </c>
      <c r="V2156">
        <f>IF($U2156=1,SUMPRODUCT(--($X$2:$X$3001&lt;$X2156))+1,"")</f>
        <v/>
      </c>
      <c r="W2156">
        <f>IF($A2156="","",IF(OR($T2156=TRUE(),$T2156="TRUE"),1,0))</f>
        <v/>
      </c>
      <c r="X2156">
        <f>IF($U2156=1,IFERROR(IF(VALUE($A2156)&lt;100000000,VALUE($A2156),1000000000),IFERROR(IF(VALUE(MID($A2156,2,20))&lt;100000000,VALUE(MID($A2156,2,20)),1000000000),1000000000))+ROW()/100000,"")</f>
        <v/>
      </c>
    </row>
    <row r="2157">
      <c r="F2157" s="7">
        <f>IF($A2157="","",E2157*N2157/100)</f>
        <v/>
      </c>
      <c r="J2157" s="7" t="n"/>
      <c r="K2157" s="7">
        <f>IF($A2157="","",S2157*N2157)</f>
        <v/>
      </c>
      <c r="L2157" s="7">
        <f>IF($A2157="","",N2157-K2157)</f>
        <v/>
      </c>
      <c r="M2157" s="7">
        <f>IF($A2157="","",L2157-F2157)</f>
        <v/>
      </c>
      <c r="N2157" s="7" t="n"/>
      <c r="Q2157" s="11" t="n"/>
      <c r="S2157">
        <f>IF($A2157="","",IF($W2157=1,Settings!$C$6,Settings!$C$7)*1)</f>
        <v/>
      </c>
      <c r="U2157">
        <f>IF($A2157="","",IF(COUNTIF($A$2:$A2157,$A2157)=1,1,0))</f>
        <v/>
      </c>
      <c r="V2157">
        <f>IF($U2157=1,SUMPRODUCT(--($X$2:$X$3001&lt;$X2157))+1,"")</f>
        <v/>
      </c>
      <c r="W2157">
        <f>IF($A2157="","",IF(OR($T2157=TRUE(),$T2157="TRUE"),1,0))</f>
        <v/>
      </c>
      <c r="X2157">
        <f>IF($U2157=1,IFERROR(IF(VALUE($A2157)&lt;100000000,VALUE($A2157),1000000000),IFERROR(IF(VALUE(MID($A2157,2,20))&lt;100000000,VALUE(MID($A2157,2,20)),1000000000),1000000000))+ROW()/100000,"")</f>
        <v/>
      </c>
    </row>
    <row r="2158">
      <c r="F2158" s="7">
        <f>IF($A2158="","",E2158*N2158/100)</f>
        <v/>
      </c>
      <c r="J2158" s="7" t="n"/>
      <c r="K2158" s="7">
        <f>IF($A2158="","",S2158*N2158)</f>
        <v/>
      </c>
      <c r="L2158" s="7">
        <f>IF($A2158="","",N2158-K2158)</f>
        <v/>
      </c>
      <c r="M2158" s="7">
        <f>IF($A2158="","",L2158-F2158)</f>
        <v/>
      </c>
      <c r="N2158" s="7" t="n"/>
      <c r="Q2158" s="11" t="n"/>
      <c r="S2158">
        <f>IF($A2158="","",IF($W2158=1,Settings!$C$6,Settings!$C$7)*1)</f>
        <v/>
      </c>
      <c r="U2158">
        <f>IF($A2158="","",IF(COUNTIF($A$2:$A2158,$A2158)=1,1,0))</f>
        <v/>
      </c>
      <c r="V2158">
        <f>IF($U2158=1,SUMPRODUCT(--($X$2:$X$3001&lt;$X2158))+1,"")</f>
        <v/>
      </c>
      <c r="W2158">
        <f>IF($A2158="","",IF(OR($T2158=TRUE(),$T2158="TRUE"),1,0))</f>
        <v/>
      </c>
      <c r="X2158">
        <f>IF($U2158=1,IFERROR(IF(VALUE($A2158)&lt;100000000,VALUE($A2158),1000000000),IFERROR(IF(VALUE(MID($A2158,2,20))&lt;100000000,VALUE(MID($A2158,2,20)),1000000000),1000000000))+ROW()/100000,"")</f>
        <v/>
      </c>
    </row>
    <row r="2159">
      <c r="F2159" s="7">
        <f>IF($A2159="","",E2159*N2159/100)</f>
        <v/>
      </c>
      <c r="J2159" s="7" t="n"/>
      <c r="K2159" s="7">
        <f>IF($A2159="","",S2159*N2159)</f>
        <v/>
      </c>
      <c r="L2159" s="7">
        <f>IF($A2159="","",N2159-K2159)</f>
        <v/>
      </c>
      <c r="M2159" s="7">
        <f>IF($A2159="","",L2159-F2159)</f>
        <v/>
      </c>
      <c r="N2159" s="7" t="n"/>
      <c r="Q2159" s="11" t="n"/>
      <c r="S2159">
        <f>IF($A2159="","",IF($W2159=1,Settings!$C$6,Settings!$C$7)*1)</f>
        <v/>
      </c>
      <c r="U2159">
        <f>IF($A2159="","",IF(COUNTIF($A$2:$A2159,$A2159)=1,1,0))</f>
        <v/>
      </c>
      <c r="V2159">
        <f>IF($U2159=1,SUMPRODUCT(--($X$2:$X$3001&lt;$X2159))+1,"")</f>
        <v/>
      </c>
      <c r="W2159">
        <f>IF($A2159="","",IF(OR($T2159=TRUE(),$T2159="TRUE"),1,0))</f>
        <v/>
      </c>
      <c r="X2159">
        <f>IF($U2159=1,IFERROR(IF(VALUE($A2159)&lt;100000000,VALUE($A2159),1000000000),IFERROR(IF(VALUE(MID($A2159,2,20))&lt;100000000,VALUE(MID($A2159,2,20)),1000000000),1000000000))+ROW()/100000,"")</f>
        <v/>
      </c>
    </row>
    <row r="2160">
      <c r="F2160" s="7">
        <f>IF($A2160="","",E2160*N2160/100)</f>
        <v/>
      </c>
      <c r="J2160" s="7" t="n"/>
      <c r="K2160" s="7">
        <f>IF($A2160="","",S2160*N2160)</f>
        <v/>
      </c>
      <c r="L2160" s="7">
        <f>IF($A2160="","",N2160-K2160)</f>
        <v/>
      </c>
      <c r="M2160" s="7">
        <f>IF($A2160="","",L2160-F2160)</f>
        <v/>
      </c>
      <c r="N2160" s="7" t="n"/>
      <c r="Q2160" s="11" t="n"/>
      <c r="S2160">
        <f>IF($A2160="","",IF($W2160=1,Settings!$C$6,Settings!$C$7)*1)</f>
        <v/>
      </c>
      <c r="U2160">
        <f>IF($A2160="","",IF(COUNTIF($A$2:$A2160,$A2160)=1,1,0))</f>
        <v/>
      </c>
      <c r="V2160">
        <f>IF($U2160=1,SUMPRODUCT(--($X$2:$X$3001&lt;$X2160))+1,"")</f>
        <v/>
      </c>
      <c r="W2160">
        <f>IF($A2160="","",IF(OR($T2160=TRUE(),$T2160="TRUE"),1,0))</f>
        <v/>
      </c>
      <c r="X2160">
        <f>IF($U2160=1,IFERROR(IF(VALUE($A2160)&lt;100000000,VALUE($A2160),1000000000),IFERROR(IF(VALUE(MID($A2160,2,20))&lt;100000000,VALUE(MID($A2160,2,20)),1000000000),1000000000))+ROW()/100000,"")</f>
        <v/>
      </c>
    </row>
    <row r="2161">
      <c r="F2161" s="7">
        <f>IF($A2161="","",E2161*N2161/100)</f>
        <v/>
      </c>
      <c r="J2161" s="7" t="n"/>
      <c r="K2161" s="7">
        <f>IF($A2161="","",S2161*N2161)</f>
        <v/>
      </c>
      <c r="L2161" s="7">
        <f>IF($A2161="","",N2161-K2161)</f>
        <v/>
      </c>
      <c r="M2161" s="7">
        <f>IF($A2161="","",L2161-F2161)</f>
        <v/>
      </c>
      <c r="N2161" s="7" t="n"/>
      <c r="Q2161" s="11" t="n"/>
      <c r="S2161">
        <f>IF($A2161="","",IF($W2161=1,Settings!$C$6,Settings!$C$7)*1)</f>
        <v/>
      </c>
      <c r="U2161">
        <f>IF($A2161="","",IF(COUNTIF($A$2:$A2161,$A2161)=1,1,0))</f>
        <v/>
      </c>
      <c r="V2161">
        <f>IF($U2161=1,SUMPRODUCT(--($X$2:$X$3001&lt;$X2161))+1,"")</f>
        <v/>
      </c>
      <c r="W2161">
        <f>IF($A2161="","",IF(OR($T2161=TRUE(),$T2161="TRUE"),1,0))</f>
        <v/>
      </c>
      <c r="X2161">
        <f>IF($U2161=1,IFERROR(IF(VALUE($A2161)&lt;100000000,VALUE($A2161),1000000000),IFERROR(IF(VALUE(MID($A2161,2,20))&lt;100000000,VALUE(MID($A2161,2,20)),1000000000),1000000000))+ROW()/100000,"")</f>
        <v/>
      </c>
    </row>
    <row r="2162">
      <c r="F2162" s="7">
        <f>IF($A2162="","",E2162*N2162/100)</f>
        <v/>
      </c>
      <c r="J2162" s="7" t="n"/>
      <c r="K2162" s="7">
        <f>IF($A2162="","",S2162*N2162)</f>
        <v/>
      </c>
      <c r="L2162" s="7">
        <f>IF($A2162="","",N2162-K2162)</f>
        <v/>
      </c>
      <c r="M2162" s="7">
        <f>IF($A2162="","",L2162-F2162)</f>
        <v/>
      </c>
      <c r="N2162" s="7" t="n"/>
      <c r="Q2162" s="11" t="n"/>
      <c r="S2162">
        <f>IF($A2162="","",IF($W2162=1,Settings!$C$6,Settings!$C$7)*1)</f>
        <v/>
      </c>
      <c r="U2162">
        <f>IF($A2162="","",IF(COUNTIF($A$2:$A2162,$A2162)=1,1,0))</f>
        <v/>
      </c>
      <c r="V2162">
        <f>IF($U2162=1,SUMPRODUCT(--($X$2:$X$3001&lt;$X2162))+1,"")</f>
        <v/>
      </c>
      <c r="W2162">
        <f>IF($A2162="","",IF(OR($T2162=TRUE(),$T2162="TRUE"),1,0))</f>
        <v/>
      </c>
      <c r="X2162">
        <f>IF($U2162=1,IFERROR(IF(VALUE($A2162)&lt;100000000,VALUE($A2162),1000000000),IFERROR(IF(VALUE(MID($A2162,2,20))&lt;100000000,VALUE(MID($A2162,2,20)),1000000000),1000000000))+ROW()/100000,"")</f>
        <v/>
      </c>
    </row>
    <row r="2163">
      <c r="F2163" s="7">
        <f>IF($A2163="","",E2163*N2163/100)</f>
        <v/>
      </c>
      <c r="J2163" s="7" t="n"/>
      <c r="K2163" s="7">
        <f>IF($A2163="","",S2163*N2163)</f>
        <v/>
      </c>
      <c r="L2163" s="7">
        <f>IF($A2163="","",N2163-K2163)</f>
        <v/>
      </c>
      <c r="M2163" s="7">
        <f>IF($A2163="","",L2163-F2163)</f>
        <v/>
      </c>
      <c r="N2163" s="7" t="n"/>
      <c r="Q2163" s="11" t="n"/>
      <c r="S2163">
        <f>IF($A2163="","",IF($W2163=1,Settings!$C$6,Settings!$C$7)*1)</f>
        <v/>
      </c>
      <c r="U2163">
        <f>IF($A2163="","",IF(COUNTIF($A$2:$A2163,$A2163)=1,1,0))</f>
        <v/>
      </c>
      <c r="V2163">
        <f>IF($U2163=1,SUMPRODUCT(--($X$2:$X$3001&lt;$X2163))+1,"")</f>
        <v/>
      </c>
      <c r="W2163">
        <f>IF($A2163="","",IF(OR($T2163=TRUE(),$T2163="TRUE"),1,0))</f>
        <v/>
      </c>
      <c r="X2163">
        <f>IF($U2163=1,IFERROR(IF(VALUE($A2163)&lt;100000000,VALUE($A2163),1000000000),IFERROR(IF(VALUE(MID($A2163,2,20))&lt;100000000,VALUE(MID($A2163,2,20)),1000000000),1000000000))+ROW()/100000,"")</f>
        <v/>
      </c>
    </row>
    <row r="2164">
      <c r="F2164" s="7">
        <f>IF($A2164="","",E2164*N2164/100)</f>
        <v/>
      </c>
      <c r="J2164" s="7" t="n"/>
      <c r="K2164" s="7">
        <f>IF($A2164="","",S2164*N2164)</f>
        <v/>
      </c>
      <c r="L2164" s="7">
        <f>IF($A2164="","",N2164-K2164)</f>
        <v/>
      </c>
      <c r="M2164" s="7">
        <f>IF($A2164="","",L2164-F2164)</f>
        <v/>
      </c>
      <c r="N2164" s="7" t="n"/>
      <c r="Q2164" s="11" t="n"/>
      <c r="S2164">
        <f>IF($A2164="","",IF($W2164=1,Settings!$C$6,Settings!$C$7)*1)</f>
        <v/>
      </c>
      <c r="U2164">
        <f>IF($A2164="","",IF(COUNTIF($A$2:$A2164,$A2164)=1,1,0))</f>
        <v/>
      </c>
      <c r="V2164">
        <f>IF($U2164=1,SUMPRODUCT(--($X$2:$X$3001&lt;$X2164))+1,"")</f>
        <v/>
      </c>
      <c r="W2164">
        <f>IF($A2164="","",IF(OR($T2164=TRUE(),$T2164="TRUE"),1,0))</f>
        <v/>
      </c>
      <c r="X2164">
        <f>IF($U2164=1,IFERROR(IF(VALUE($A2164)&lt;100000000,VALUE($A2164),1000000000),IFERROR(IF(VALUE(MID($A2164,2,20))&lt;100000000,VALUE(MID($A2164,2,20)),1000000000),1000000000))+ROW()/100000,"")</f>
        <v/>
      </c>
    </row>
    <row r="2165">
      <c r="F2165" s="7">
        <f>IF($A2165="","",E2165*N2165/100)</f>
        <v/>
      </c>
      <c r="J2165" s="7" t="n"/>
      <c r="K2165" s="7">
        <f>IF($A2165="","",S2165*N2165)</f>
        <v/>
      </c>
      <c r="L2165" s="7">
        <f>IF($A2165="","",N2165-K2165)</f>
        <v/>
      </c>
      <c r="M2165" s="7">
        <f>IF($A2165="","",L2165-F2165)</f>
        <v/>
      </c>
      <c r="N2165" s="7" t="n"/>
      <c r="Q2165" s="11" t="n"/>
      <c r="S2165">
        <f>IF($A2165="","",IF($W2165=1,Settings!$C$6,Settings!$C$7)*1)</f>
        <v/>
      </c>
      <c r="U2165">
        <f>IF($A2165="","",IF(COUNTIF($A$2:$A2165,$A2165)=1,1,0))</f>
        <v/>
      </c>
      <c r="V2165">
        <f>IF($U2165=1,SUMPRODUCT(--($X$2:$X$3001&lt;$X2165))+1,"")</f>
        <v/>
      </c>
      <c r="W2165">
        <f>IF($A2165="","",IF(OR($T2165=TRUE(),$T2165="TRUE"),1,0))</f>
        <v/>
      </c>
      <c r="X2165">
        <f>IF($U2165=1,IFERROR(IF(VALUE($A2165)&lt;100000000,VALUE($A2165),1000000000),IFERROR(IF(VALUE(MID($A2165,2,20))&lt;100000000,VALUE(MID($A2165,2,20)),1000000000),1000000000))+ROW()/100000,"")</f>
        <v/>
      </c>
    </row>
    <row r="2166">
      <c r="F2166" s="7">
        <f>IF($A2166="","",E2166*N2166/100)</f>
        <v/>
      </c>
      <c r="J2166" s="7" t="n"/>
      <c r="K2166" s="7">
        <f>IF($A2166="","",S2166*N2166)</f>
        <v/>
      </c>
      <c r="L2166" s="7">
        <f>IF($A2166="","",N2166-K2166)</f>
        <v/>
      </c>
      <c r="M2166" s="7">
        <f>IF($A2166="","",L2166-F2166)</f>
        <v/>
      </c>
      <c r="N2166" s="7" t="n"/>
      <c r="Q2166" s="11" t="n"/>
      <c r="S2166">
        <f>IF($A2166="","",IF($W2166=1,Settings!$C$6,Settings!$C$7)*1)</f>
        <v/>
      </c>
      <c r="U2166">
        <f>IF($A2166="","",IF(COUNTIF($A$2:$A2166,$A2166)=1,1,0))</f>
        <v/>
      </c>
      <c r="V2166">
        <f>IF($U2166=1,SUMPRODUCT(--($X$2:$X$3001&lt;$X2166))+1,"")</f>
        <v/>
      </c>
      <c r="W2166">
        <f>IF($A2166="","",IF(OR($T2166=TRUE(),$T2166="TRUE"),1,0))</f>
        <v/>
      </c>
      <c r="X2166">
        <f>IF($U2166=1,IFERROR(IF(VALUE($A2166)&lt;100000000,VALUE($A2166),1000000000),IFERROR(IF(VALUE(MID($A2166,2,20))&lt;100000000,VALUE(MID($A2166,2,20)),1000000000),1000000000))+ROW()/100000,"")</f>
        <v/>
      </c>
    </row>
    <row r="2167">
      <c r="F2167" s="7">
        <f>IF($A2167="","",E2167*N2167/100)</f>
        <v/>
      </c>
      <c r="J2167" s="7" t="n"/>
      <c r="K2167" s="7">
        <f>IF($A2167="","",S2167*N2167)</f>
        <v/>
      </c>
      <c r="L2167" s="7">
        <f>IF($A2167="","",N2167-K2167)</f>
        <v/>
      </c>
      <c r="M2167" s="7">
        <f>IF($A2167="","",L2167-F2167)</f>
        <v/>
      </c>
      <c r="N2167" s="7" t="n"/>
      <c r="Q2167" s="11" t="n"/>
      <c r="S2167">
        <f>IF($A2167="","",IF($W2167=1,Settings!$C$6,Settings!$C$7)*1)</f>
        <v/>
      </c>
      <c r="U2167">
        <f>IF($A2167="","",IF(COUNTIF($A$2:$A2167,$A2167)=1,1,0))</f>
        <v/>
      </c>
      <c r="V2167">
        <f>IF($U2167=1,SUMPRODUCT(--($X$2:$X$3001&lt;$X2167))+1,"")</f>
        <v/>
      </c>
      <c r="W2167">
        <f>IF($A2167="","",IF(OR($T2167=TRUE(),$T2167="TRUE"),1,0))</f>
        <v/>
      </c>
      <c r="X2167">
        <f>IF($U2167=1,IFERROR(IF(VALUE($A2167)&lt;100000000,VALUE($A2167),1000000000),IFERROR(IF(VALUE(MID($A2167,2,20))&lt;100000000,VALUE(MID($A2167,2,20)),1000000000),1000000000))+ROW()/100000,"")</f>
        <v/>
      </c>
    </row>
    <row r="2168">
      <c r="F2168" s="7">
        <f>IF($A2168="","",E2168*N2168/100)</f>
        <v/>
      </c>
      <c r="J2168" s="7" t="n"/>
      <c r="K2168" s="7">
        <f>IF($A2168="","",S2168*N2168)</f>
        <v/>
      </c>
      <c r="L2168" s="7">
        <f>IF($A2168="","",N2168-K2168)</f>
        <v/>
      </c>
      <c r="M2168" s="7">
        <f>IF($A2168="","",L2168-F2168)</f>
        <v/>
      </c>
      <c r="N2168" s="7" t="n"/>
      <c r="Q2168" s="11" t="n"/>
      <c r="S2168">
        <f>IF($A2168="","",IF($W2168=1,Settings!$C$6,Settings!$C$7)*1)</f>
        <v/>
      </c>
      <c r="U2168">
        <f>IF($A2168="","",IF(COUNTIF($A$2:$A2168,$A2168)=1,1,0))</f>
        <v/>
      </c>
      <c r="V2168">
        <f>IF($U2168=1,SUMPRODUCT(--($X$2:$X$3001&lt;$X2168))+1,"")</f>
        <v/>
      </c>
      <c r="W2168">
        <f>IF($A2168="","",IF(OR($T2168=TRUE(),$T2168="TRUE"),1,0))</f>
        <v/>
      </c>
      <c r="X2168">
        <f>IF($U2168=1,IFERROR(IF(VALUE($A2168)&lt;100000000,VALUE($A2168),1000000000),IFERROR(IF(VALUE(MID($A2168,2,20))&lt;100000000,VALUE(MID($A2168,2,20)),1000000000),1000000000))+ROW()/100000,"")</f>
        <v/>
      </c>
    </row>
    <row r="2169">
      <c r="F2169" s="7">
        <f>IF($A2169="","",E2169*N2169/100)</f>
        <v/>
      </c>
      <c r="J2169" s="7" t="n"/>
      <c r="K2169" s="7">
        <f>IF($A2169="","",S2169*N2169)</f>
        <v/>
      </c>
      <c r="L2169" s="7">
        <f>IF($A2169="","",N2169-K2169)</f>
        <v/>
      </c>
      <c r="M2169" s="7">
        <f>IF($A2169="","",L2169-F2169)</f>
        <v/>
      </c>
      <c r="N2169" s="7" t="n"/>
      <c r="Q2169" s="11" t="n"/>
      <c r="S2169">
        <f>IF($A2169="","",IF($W2169=1,Settings!$C$6,Settings!$C$7)*1)</f>
        <v/>
      </c>
      <c r="U2169">
        <f>IF($A2169="","",IF(COUNTIF($A$2:$A2169,$A2169)=1,1,0))</f>
        <v/>
      </c>
      <c r="V2169">
        <f>IF($U2169=1,SUMPRODUCT(--($X$2:$X$3001&lt;$X2169))+1,"")</f>
        <v/>
      </c>
      <c r="W2169">
        <f>IF($A2169="","",IF(OR($T2169=TRUE(),$T2169="TRUE"),1,0))</f>
        <v/>
      </c>
      <c r="X2169">
        <f>IF($U2169=1,IFERROR(IF(VALUE($A2169)&lt;100000000,VALUE($A2169),1000000000),IFERROR(IF(VALUE(MID($A2169,2,20))&lt;100000000,VALUE(MID($A2169,2,20)),1000000000),1000000000))+ROW()/100000,"")</f>
        <v/>
      </c>
    </row>
    <row r="2170">
      <c r="F2170" s="7">
        <f>IF($A2170="","",E2170*N2170/100)</f>
        <v/>
      </c>
      <c r="J2170" s="7" t="n"/>
      <c r="K2170" s="7">
        <f>IF($A2170="","",S2170*N2170)</f>
        <v/>
      </c>
      <c r="L2170" s="7">
        <f>IF($A2170="","",N2170-K2170)</f>
        <v/>
      </c>
      <c r="M2170" s="7">
        <f>IF($A2170="","",L2170-F2170)</f>
        <v/>
      </c>
      <c r="N2170" s="7" t="n"/>
      <c r="Q2170" s="11" t="n"/>
      <c r="S2170">
        <f>IF($A2170="","",IF($W2170=1,Settings!$C$6,Settings!$C$7)*1)</f>
        <v/>
      </c>
      <c r="U2170">
        <f>IF($A2170="","",IF(COUNTIF($A$2:$A2170,$A2170)=1,1,0))</f>
        <v/>
      </c>
      <c r="V2170">
        <f>IF($U2170=1,SUMPRODUCT(--($X$2:$X$3001&lt;$X2170))+1,"")</f>
        <v/>
      </c>
      <c r="W2170">
        <f>IF($A2170="","",IF(OR($T2170=TRUE(),$T2170="TRUE"),1,0))</f>
        <v/>
      </c>
      <c r="X2170">
        <f>IF($U2170=1,IFERROR(IF(VALUE($A2170)&lt;100000000,VALUE($A2170),1000000000),IFERROR(IF(VALUE(MID($A2170,2,20))&lt;100000000,VALUE(MID($A2170,2,20)),1000000000),1000000000))+ROW()/100000,"")</f>
        <v/>
      </c>
    </row>
    <row r="2171">
      <c r="F2171" s="7">
        <f>IF($A2171="","",E2171*N2171/100)</f>
        <v/>
      </c>
      <c r="J2171" s="7" t="n"/>
      <c r="K2171" s="7">
        <f>IF($A2171="","",S2171*N2171)</f>
        <v/>
      </c>
      <c r="L2171" s="7">
        <f>IF($A2171="","",N2171-K2171)</f>
        <v/>
      </c>
      <c r="M2171" s="7">
        <f>IF($A2171="","",L2171-F2171)</f>
        <v/>
      </c>
      <c r="N2171" s="7" t="n"/>
      <c r="Q2171" s="11" t="n"/>
      <c r="S2171">
        <f>IF($A2171="","",IF($W2171=1,Settings!$C$6,Settings!$C$7)*1)</f>
        <v/>
      </c>
      <c r="U2171">
        <f>IF($A2171="","",IF(COUNTIF($A$2:$A2171,$A2171)=1,1,0))</f>
        <v/>
      </c>
      <c r="V2171">
        <f>IF($U2171=1,SUMPRODUCT(--($X$2:$X$3001&lt;$X2171))+1,"")</f>
        <v/>
      </c>
      <c r="W2171">
        <f>IF($A2171="","",IF(OR($T2171=TRUE(),$T2171="TRUE"),1,0))</f>
        <v/>
      </c>
      <c r="X2171">
        <f>IF($U2171=1,IFERROR(IF(VALUE($A2171)&lt;100000000,VALUE($A2171),1000000000),IFERROR(IF(VALUE(MID($A2171,2,20))&lt;100000000,VALUE(MID($A2171,2,20)),1000000000),1000000000))+ROW()/100000,"")</f>
        <v/>
      </c>
    </row>
    <row r="2172">
      <c r="F2172" s="7">
        <f>IF($A2172="","",E2172*N2172/100)</f>
        <v/>
      </c>
      <c r="J2172" s="7" t="n"/>
      <c r="K2172" s="7">
        <f>IF($A2172="","",S2172*N2172)</f>
        <v/>
      </c>
      <c r="L2172" s="7">
        <f>IF($A2172="","",N2172-K2172)</f>
        <v/>
      </c>
      <c r="M2172" s="7">
        <f>IF($A2172="","",L2172-F2172)</f>
        <v/>
      </c>
      <c r="N2172" s="7" t="n"/>
      <c r="Q2172" s="11" t="n"/>
      <c r="S2172">
        <f>IF($A2172="","",IF($W2172=1,Settings!$C$6,Settings!$C$7)*1)</f>
        <v/>
      </c>
      <c r="U2172">
        <f>IF($A2172="","",IF(COUNTIF($A$2:$A2172,$A2172)=1,1,0))</f>
        <v/>
      </c>
      <c r="V2172">
        <f>IF($U2172=1,SUMPRODUCT(--($X$2:$X$3001&lt;$X2172))+1,"")</f>
        <v/>
      </c>
      <c r="W2172">
        <f>IF($A2172="","",IF(OR($T2172=TRUE(),$T2172="TRUE"),1,0))</f>
        <v/>
      </c>
      <c r="X2172">
        <f>IF($U2172=1,IFERROR(IF(VALUE($A2172)&lt;100000000,VALUE($A2172),1000000000),IFERROR(IF(VALUE(MID($A2172,2,20))&lt;100000000,VALUE(MID($A2172,2,20)),1000000000),1000000000))+ROW()/100000,"")</f>
        <v/>
      </c>
    </row>
    <row r="2173">
      <c r="F2173" s="7">
        <f>IF($A2173="","",E2173*N2173/100)</f>
        <v/>
      </c>
      <c r="J2173" s="7" t="n"/>
      <c r="K2173" s="7">
        <f>IF($A2173="","",S2173*N2173)</f>
        <v/>
      </c>
      <c r="L2173" s="7">
        <f>IF($A2173="","",N2173-K2173)</f>
        <v/>
      </c>
      <c r="M2173" s="7">
        <f>IF($A2173="","",L2173-F2173)</f>
        <v/>
      </c>
      <c r="N2173" s="7" t="n"/>
      <c r="Q2173" s="11" t="n"/>
      <c r="S2173">
        <f>IF($A2173="","",IF($W2173=1,Settings!$C$6,Settings!$C$7)*1)</f>
        <v/>
      </c>
      <c r="U2173">
        <f>IF($A2173="","",IF(COUNTIF($A$2:$A2173,$A2173)=1,1,0))</f>
        <v/>
      </c>
      <c r="V2173">
        <f>IF($U2173=1,SUMPRODUCT(--($X$2:$X$3001&lt;$X2173))+1,"")</f>
        <v/>
      </c>
      <c r="W2173">
        <f>IF($A2173="","",IF(OR($T2173=TRUE(),$T2173="TRUE"),1,0))</f>
        <v/>
      </c>
      <c r="X2173">
        <f>IF($U2173=1,IFERROR(IF(VALUE($A2173)&lt;100000000,VALUE($A2173),1000000000),IFERROR(IF(VALUE(MID($A2173,2,20))&lt;100000000,VALUE(MID($A2173,2,20)),1000000000),1000000000))+ROW()/100000,"")</f>
        <v/>
      </c>
    </row>
    <row r="2174">
      <c r="F2174" s="7">
        <f>IF($A2174="","",E2174*N2174/100)</f>
        <v/>
      </c>
      <c r="J2174" s="7" t="n"/>
      <c r="K2174" s="7">
        <f>IF($A2174="","",S2174*N2174)</f>
        <v/>
      </c>
      <c r="L2174" s="7">
        <f>IF($A2174="","",N2174-K2174)</f>
        <v/>
      </c>
      <c r="M2174" s="7">
        <f>IF($A2174="","",L2174-F2174)</f>
        <v/>
      </c>
      <c r="N2174" s="7" t="n"/>
      <c r="Q2174" s="11" t="n"/>
      <c r="S2174">
        <f>IF($A2174="","",IF($W2174=1,Settings!$C$6,Settings!$C$7)*1)</f>
        <v/>
      </c>
      <c r="U2174">
        <f>IF($A2174="","",IF(COUNTIF($A$2:$A2174,$A2174)=1,1,0))</f>
        <v/>
      </c>
      <c r="V2174">
        <f>IF($U2174=1,SUMPRODUCT(--($X$2:$X$3001&lt;$X2174))+1,"")</f>
        <v/>
      </c>
      <c r="W2174">
        <f>IF($A2174="","",IF(OR($T2174=TRUE(),$T2174="TRUE"),1,0))</f>
        <v/>
      </c>
      <c r="X2174">
        <f>IF($U2174=1,IFERROR(IF(VALUE($A2174)&lt;100000000,VALUE($A2174),1000000000),IFERROR(IF(VALUE(MID($A2174,2,20))&lt;100000000,VALUE(MID($A2174,2,20)),1000000000),1000000000))+ROW()/100000,"")</f>
        <v/>
      </c>
    </row>
    <row r="2175">
      <c r="F2175" s="7">
        <f>IF($A2175="","",E2175*N2175/100)</f>
        <v/>
      </c>
      <c r="J2175" s="7" t="n"/>
      <c r="K2175" s="7">
        <f>IF($A2175="","",S2175*N2175)</f>
        <v/>
      </c>
      <c r="L2175" s="7">
        <f>IF($A2175="","",N2175-K2175)</f>
        <v/>
      </c>
      <c r="M2175" s="7">
        <f>IF($A2175="","",L2175-F2175)</f>
        <v/>
      </c>
      <c r="N2175" s="7" t="n"/>
      <c r="Q2175" s="11" t="n"/>
      <c r="S2175">
        <f>IF($A2175="","",IF($W2175=1,Settings!$C$6,Settings!$C$7)*1)</f>
        <v/>
      </c>
      <c r="U2175">
        <f>IF($A2175="","",IF(COUNTIF($A$2:$A2175,$A2175)=1,1,0))</f>
        <v/>
      </c>
      <c r="V2175">
        <f>IF($U2175=1,SUMPRODUCT(--($X$2:$X$3001&lt;$X2175))+1,"")</f>
        <v/>
      </c>
      <c r="W2175">
        <f>IF($A2175="","",IF(OR($T2175=TRUE(),$T2175="TRUE"),1,0))</f>
        <v/>
      </c>
      <c r="X2175">
        <f>IF($U2175=1,IFERROR(IF(VALUE($A2175)&lt;100000000,VALUE($A2175),1000000000),IFERROR(IF(VALUE(MID($A2175,2,20))&lt;100000000,VALUE(MID($A2175,2,20)),1000000000),1000000000))+ROW()/100000,"")</f>
        <v/>
      </c>
    </row>
    <row r="2176">
      <c r="F2176" s="7">
        <f>IF($A2176="","",E2176*N2176/100)</f>
        <v/>
      </c>
      <c r="J2176" s="7" t="n"/>
      <c r="K2176" s="7">
        <f>IF($A2176="","",S2176*N2176)</f>
        <v/>
      </c>
      <c r="L2176" s="7">
        <f>IF($A2176="","",N2176-K2176)</f>
        <v/>
      </c>
      <c r="M2176" s="7">
        <f>IF($A2176="","",L2176-F2176)</f>
        <v/>
      </c>
      <c r="N2176" s="7" t="n"/>
      <c r="Q2176" s="11" t="n"/>
      <c r="S2176">
        <f>IF($A2176="","",IF($W2176=1,Settings!$C$6,Settings!$C$7)*1)</f>
        <v/>
      </c>
      <c r="U2176">
        <f>IF($A2176="","",IF(COUNTIF($A$2:$A2176,$A2176)=1,1,0))</f>
        <v/>
      </c>
      <c r="V2176">
        <f>IF($U2176=1,SUMPRODUCT(--($X$2:$X$3001&lt;$X2176))+1,"")</f>
        <v/>
      </c>
      <c r="W2176">
        <f>IF($A2176="","",IF(OR($T2176=TRUE(),$T2176="TRUE"),1,0))</f>
        <v/>
      </c>
      <c r="X2176">
        <f>IF($U2176=1,IFERROR(IF(VALUE($A2176)&lt;100000000,VALUE($A2176),1000000000),IFERROR(IF(VALUE(MID($A2176,2,20))&lt;100000000,VALUE(MID($A2176,2,20)),1000000000),1000000000))+ROW()/100000,"")</f>
        <v/>
      </c>
    </row>
    <row r="2177">
      <c r="F2177" s="7">
        <f>IF($A2177="","",E2177*N2177/100)</f>
        <v/>
      </c>
      <c r="J2177" s="7" t="n"/>
      <c r="K2177" s="7">
        <f>IF($A2177="","",S2177*N2177)</f>
        <v/>
      </c>
      <c r="L2177" s="7">
        <f>IF($A2177="","",N2177-K2177)</f>
        <v/>
      </c>
      <c r="M2177" s="7">
        <f>IF($A2177="","",L2177-F2177)</f>
        <v/>
      </c>
      <c r="N2177" s="7" t="n"/>
      <c r="Q2177" s="11" t="n"/>
      <c r="S2177">
        <f>IF($A2177="","",IF($W2177=1,Settings!$C$6,Settings!$C$7)*1)</f>
        <v/>
      </c>
      <c r="U2177">
        <f>IF($A2177="","",IF(COUNTIF($A$2:$A2177,$A2177)=1,1,0))</f>
        <v/>
      </c>
      <c r="V2177">
        <f>IF($U2177=1,SUMPRODUCT(--($X$2:$X$3001&lt;$X2177))+1,"")</f>
        <v/>
      </c>
      <c r="W2177">
        <f>IF($A2177="","",IF(OR($T2177=TRUE(),$T2177="TRUE"),1,0))</f>
        <v/>
      </c>
      <c r="X2177">
        <f>IF($U2177=1,IFERROR(IF(VALUE($A2177)&lt;100000000,VALUE($A2177),1000000000),IFERROR(IF(VALUE(MID($A2177,2,20))&lt;100000000,VALUE(MID($A2177,2,20)),1000000000),1000000000))+ROW()/100000,"")</f>
        <v/>
      </c>
    </row>
    <row r="2178">
      <c r="F2178" s="7">
        <f>IF($A2178="","",E2178*N2178/100)</f>
        <v/>
      </c>
      <c r="J2178" s="7" t="n"/>
      <c r="K2178" s="7">
        <f>IF($A2178="","",S2178*N2178)</f>
        <v/>
      </c>
      <c r="L2178" s="7">
        <f>IF($A2178="","",N2178-K2178)</f>
        <v/>
      </c>
      <c r="M2178" s="7">
        <f>IF($A2178="","",L2178-F2178)</f>
        <v/>
      </c>
      <c r="N2178" s="7" t="n"/>
      <c r="Q2178" s="11" t="n"/>
      <c r="S2178">
        <f>IF($A2178="","",IF($W2178=1,Settings!$C$6,Settings!$C$7)*1)</f>
        <v/>
      </c>
      <c r="U2178">
        <f>IF($A2178="","",IF(COUNTIF($A$2:$A2178,$A2178)=1,1,0))</f>
        <v/>
      </c>
      <c r="V2178">
        <f>IF($U2178=1,SUMPRODUCT(--($X$2:$X$3001&lt;$X2178))+1,"")</f>
        <v/>
      </c>
      <c r="W2178">
        <f>IF($A2178="","",IF(OR($T2178=TRUE(),$T2178="TRUE"),1,0))</f>
        <v/>
      </c>
      <c r="X2178">
        <f>IF($U2178=1,IFERROR(IF(VALUE($A2178)&lt;100000000,VALUE($A2178),1000000000),IFERROR(IF(VALUE(MID($A2178,2,20))&lt;100000000,VALUE(MID($A2178,2,20)),1000000000),1000000000))+ROW()/100000,"")</f>
        <v/>
      </c>
    </row>
    <row r="2179">
      <c r="F2179" s="7">
        <f>IF($A2179="","",E2179*N2179/100)</f>
        <v/>
      </c>
      <c r="J2179" s="7" t="n"/>
      <c r="K2179" s="7">
        <f>IF($A2179="","",S2179*N2179)</f>
        <v/>
      </c>
      <c r="L2179" s="7">
        <f>IF($A2179="","",N2179-K2179)</f>
        <v/>
      </c>
      <c r="M2179" s="7">
        <f>IF($A2179="","",L2179-F2179)</f>
        <v/>
      </c>
      <c r="N2179" s="7" t="n"/>
      <c r="Q2179" s="11" t="n"/>
      <c r="S2179">
        <f>IF($A2179="","",IF($W2179=1,Settings!$C$6,Settings!$C$7)*1)</f>
        <v/>
      </c>
      <c r="U2179">
        <f>IF($A2179="","",IF(COUNTIF($A$2:$A2179,$A2179)=1,1,0))</f>
        <v/>
      </c>
      <c r="V2179">
        <f>IF($U2179=1,SUMPRODUCT(--($X$2:$X$3001&lt;$X2179))+1,"")</f>
        <v/>
      </c>
      <c r="W2179">
        <f>IF($A2179="","",IF(OR($T2179=TRUE(),$T2179="TRUE"),1,0))</f>
        <v/>
      </c>
      <c r="X2179">
        <f>IF($U2179=1,IFERROR(IF(VALUE($A2179)&lt;100000000,VALUE($A2179),1000000000),IFERROR(IF(VALUE(MID($A2179,2,20))&lt;100000000,VALUE(MID($A2179,2,20)),1000000000),1000000000))+ROW()/100000,"")</f>
        <v/>
      </c>
    </row>
    <row r="2180">
      <c r="F2180" s="7">
        <f>IF($A2180="","",E2180*N2180/100)</f>
        <v/>
      </c>
      <c r="J2180" s="7" t="n"/>
      <c r="K2180" s="7">
        <f>IF($A2180="","",S2180*N2180)</f>
        <v/>
      </c>
      <c r="L2180" s="7">
        <f>IF($A2180="","",N2180-K2180)</f>
        <v/>
      </c>
      <c r="M2180" s="7">
        <f>IF($A2180="","",L2180-F2180)</f>
        <v/>
      </c>
      <c r="N2180" s="7" t="n"/>
      <c r="Q2180" s="11" t="n"/>
      <c r="S2180">
        <f>IF($A2180="","",IF($W2180=1,Settings!$C$6,Settings!$C$7)*1)</f>
        <v/>
      </c>
      <c r="U2180">
        <f>IF($A2180="","",IF(COUNTIF($A$2:$A2180,$A2180)=1,1,0))</f>
        <v/>
      </c>
      <c r="V2180">
        <f>IF($U2180=1,SUMPRODUCT(--($X$2:$X$3001&lt;$X2180))+1,"")</f>
        <v/>
      </c>
      <c r="W2180">
        <f>IF($A2180="","",IF(OR($T2180=TRUE(),$T2180="TRUE"),1,0))</f>
        <v/>
      </c>
      <c r="X2180">
        <f>IF($U2180=1,IFERROR(IF(VALUE($A2180)&lt;100000000,VALUE($A2180),1000000000),IFERROR(IF(VALUE(MID($A2180,2,20))&lt;100000000,VALUE(MID($A2180,2,20)),1000000000),1000000000))+ROW()/100000,"")</f>
        <v/>
      </c>
    </row>
    <row r="2181">
      <c r="F2181" s="7">
        <f>IF($A2181="","",E2181*N2181/100)</f>
        <v/>
      </c>
      <c r="J2181" s="7" t="n"/>
      <c r="K2181" s="7">
        <f>IF($A2181="","",S2181*N2181)</f>
        <v/>
      </c>
      <c r="L2181" s="7">
        <f>IF($A2181="","",N2181-K2181)</f>
        <v/>
      </c>
      <c r="M2181" s="7">
        <f>IF($A2181="","",L2181-F2181)</f>
        <v/>
      </c>
      <c r="N2181" s="7" t="n"/>
      <c r="Q2181" s="11" t="n"/>
      <c r="S2181">
        <f>IF($A2181="","",IF($W2181=1,Settings!$C$6,Settings!$C$7)*1)</f>
        <v/>
      </c>
      <c r="U2181">
        <f>IF($A2181="","",IF(COUNTIF($A$2:$A2181,$A2181)=1,1,0))</f>
        <v/>
      </c>
      <c r="V2181">
        <f>IF($U2181=1,SUMPRODUCT(--($X$2:$X$3001&lt;$X2181))+1,"")</f>
        <v/>
      </c>
      <c r="W2181">
        <f>IF($A2181="","",IF(OR($T2181=TRUE(),$T2181="TRUE"),1,0))</f>
        <v/>
      </c>
      <c r="X2181">
        <f>IF($U2181=1,IFERROR(IF(VALUE($A2181)&lt;100000000,VALUE($A2181),1000000000),IFERROR(IF(VALUE(MID($A2181,2,20))&lt;100000000,VALUE(MID($A2181,2,20)),1000000000),1000000000))+ROW()/100000,"")</f>
        <v/>
      </c>
    </row>
    <row r="2182">
      <c r="F2182" s="7">
        <f>IF($A2182="","",E2182*N2182/100)</f>
        <v/>
      </c>
      <c r="J2182" s="7" t="n"/>
      <c r="K2182" s="7">
        <f>IF($A2182="","",S2182*N2182)</f>
        <v/>
      </c>
      <c r="L2182" s="7">
        <f>IF($A2182="","",N2182-K2182)</f>
        <v/>
      </c>
      <c r="M2182" s="7">
        <f>IF($A2182="","",L2182-F2182)</f>
        <v/>
      </c>
      <c r="N2182" s="7" t="n"/>
      <c r="Q2182" s="11" t="n"/>
      <c r="S2182">
        <f>IF($A2182="","",IF($W2182=1,Settings!$C$6,Settings!$C$7)*1)</f>
        <v/>
      </c>
      <c r="U2182">
        <f>IF($A2182="","",IF(COUNTIF($A$2:$A2182,$A2182)=1,1,0))</f>
        <v/>
      </c>
      <c r="V2182">
        <f>IF($U2182=1,SUMPRODUCT(--($X$2:$X$3001&lt;$X2182))+1,"")</f>
        <v/>
      </c>
      <c r="W2182">
        <f>IF($A2182="","",IF(OR($T2182=TRUE(),$T2182="TRUE"),1,0))</f>
        <v/>
      </c>
      <c r="X2182">
        <f>IF($U2182=1,IFERROR(IF(VALUE($A2182)&lt;100000000,VALUE($A2182),1000000000),IFERROR(IF(VALUE(MID($A2182,2,20))&lt;100000000,VALUE(MID($A2182,2,20)),1000000000),1000000000))+ROW()/100000,"")</f>
        <v/>
      </c>
    </row>
    <row r="2183">
      <c r="F2183" s="7">
        <f>IF($A2183="","",E2183*N2183/100)</f>
        <v/>
      </c>
      <c r="J2183" s="7" t="n"/>
      <c r="K2183" s="7">
        <f>IF($A2183="","",S2183*N2183)</f>
        <v/>
      </c>
      <c r="L2183" s="7">
        <f>IF($A2183="","",N2183-K2183)</f>
        <v/>
      </c>
      <c r="M2183" s="7">
        <f>IF($A2183="","",L2183-F2183)</f>
        <v/>
      </c>
      <c r="N2183" s="7" t="n"/>
      <c r="Q2183" s="11" t="n"/>
      <c r="S2183">
        <f>IF($A2183="","",IF($W2183=1,Settings!$C$6,Settings!$C$7)*1)</f>
        <v/>
      </c>
      <c r="U2183">
        <f>IF($A2183="","",IF(COUNTIF($A$2:$A2183,$A2183)=1,1,0))</f>
        <v/>
      </c>
      <c r="V2183">
        <f>IF($U2183=1,SUMPRODUCT(--($X$2:$X$3001&lt;$X2183))+1,"")</f>
        <v/>
      </c>
      <c r="W2183">
        <f>IF($A2183="","",IF(OR($T2183=TRUE(),$T2183="TRUE"),1,0))</f>
        <v/>
      </c>
      <c r="X2183">
        <f>IF($U2183=1,IFERROR(IF(VALUE($A2183)&lt;100000000,VALUE($A2183),1000000000),IFERROR(IF(VALUE(MID($A2183,2,20))&lt;100000000,VALUE(MID($A2183,2,20)),1000000000),1000000000))+ROW()/100000,"")</f>
        <v/>
      </c>
    </row>
    <row r="2184">
      <c r="F2184" s="7">
        <f>IF($A2184="","",E2184*N2184/100)</f>
        <v/>
      </c>
      <c r="J2184" s="7" t="n"/>
      <c r="K2184" s="7">
        <f>IF($A2184="","",S2184*N2184)</f>
        <v/>
      </c>
      <c r="L2184" s="7">
        <f>IF($A2184="","",N2184-K2184)</f>
        <v/>
      </c>
      <c r="M2184" s="7">
        <f>IF($A2184="","",L2184-F2184)</f>
        <v/>
      </c>
      <c r="N2184" s="7" t="n"/>
      <c r="Q2184" s="11" t="n"/>
      <c r="S2184">
        <f>IF($A2184="","",IF($W2184=1,Settings!$C$6,Settings!$C$7)*1)</f>
        <v/>
      </c>
      <c r="U2184">
        <f>IF($A2184="","",IF(COUNTIF($A$2:$A2184,$A2184)=1,1,0))</f>
        <v/>
      </c>
      <c r="V2184">
        <f>IF($U2184=1,SUMPRODUCT(--($X$2:$X$3001&lt;$X2184))+1,"")</f>
        <v/>
      </c>
      <c r="W2184">
        <f>IF($A2184="","",IF(OR($T2184=TRUE(),$T2184="TRUE"),1,0))</f>
        <v/>
      </c>
      <c r="X2184">
        <f>IF($U2184=1,IFERROR(IF(VALUE($A2184)&lt;100000000,VALUE($A2184),1000000000),IFERROR(IF(VALUE(MID($A2184,2,20))&lt;100000000,VALUE(MID($A2184,2,20)),1000000000),1000000000))+ROW()/100000,"")</f>
        <v/>
      </c>
    </row>
    <row r="2185">
      <c r="F2185" s="7">
        <f>IF($A2185="","",E2185*N2185/100)</f>
        <v/>
      </c>
      <c r="J2185" s="7" t="n"/>
      <c r="K2185" s="7">
        <f>IF($A2185="","",S2185*N2185)</f>
        <v/>
      </c>
      <c r="L2185" s="7">
        <f>IF($A2185="","",N2185-K2185)</f>
        <v/>
      </c>
      <c r="M2185" s="7">
        <f>IF($A2185="","",L2185-F2185)</f>
        <v/>
      </c>
      <c r="N2185" s="7" t="n"/>
      <c r="Q2185" s="11" t="n"/>
      <c r="S2185">
        <f>IF($A2185="","",IF($W2185=1,Settings!$C$6,Settings!$C$7)*1)</f>
        <v/>
      </c>
      <c r="U2185">
        <f>IF($A2185="","",IF(COUNTIF($A$2:$A2185,$A2185)=1,1,0))</f>
        <v/>
      </c>
      <c r="V2185">
        <f>IF($U2185=1,SUMPRODUCT(--($X$2:$X$3001&lt;$X2185))+1,"")</f>
        <v/>
      </c>
      <c r="W2185">
        <f>IF($A2185="","",IF(OR($T2185=TRUE(),$T2185="TRUE"),1,0))</f>
        <v/>
      </c>
      <c r="X2185">
        <f>IF($U2185=1,IFERROR(IF(VALUE($A2185)&lt;100000000,VALUE($A2185),1000000000),IFERROR(IF(VALUE(MID($A2185,2,20))&lt;100000000,VALUE(MID($A2185,2,20)),1000000000),1000000000))+ROW()/100000,"")</f>
        <v/>
      </c>
    </row>
    <row r="2186">
      <c r="F2186" s="7">
        <f>IF($A2186="","",E2186*N2186/100)</f>
        <v/>
      </c>
      <c r="J2186" s="7" t="n"/>
      <c r="K2186" s="7">
        <f>IF($A2186="","",S2186*N2186)</f>
        <v/>
      </c>
      <c r="L2186" s="7">
        <f>IF($A2186="","",N2186-K2186)</f>
        <v/>
      </c>
      <c r="M2186" s="7">
        <f>IF($A2186="","",L2186-F2186)</f>
        <v/>
      </c>
      <c r="N2186" s="7" t="n"/>
      <c r="Q2186" s="11" t="n"/>
      <c r="S2186">
        <f>IF($A2186="","",IF($W2186=1,Settings!$C$6,Settings!$C$7)*1)</f>
        <v/>
      </c>
      <c r="U2186">
        <f>IF($A2186="","",IF(COUNTIF($A$2:$A2186,$A2186)=1,1,0))</f>
        <v/>
      </c>
      <c r="V2186">
        <f>IF($U2186=1,SUMPRODUCT(--($X$2:$X$3001&lt;$X2186))+1,"")</f>
        <v/>
      </c>
      <c r="W2186">
        <f>IF($A2186="","",IF(OR($T2186=TRUE(),$T2186="TRUE"),1,0))</f>
        <v/>
      </c>
      <c r="X2186">
        <f>IF($U2186=1,IFERROR(IF(VALUE($A2186)&lt;100000000,VALUE($A2186),1000000000),IFERROR(IF(VALUE(MID($A2186,2,20))&lt;100000000,VALUE(MID($A2186,2,20)),1000000000),1000000000))+ROW()/100000,"")</f>
        <v/>
      </c>
    </row>
    <row r="2187">
      <c r="F2187" s="7">
        <f>IF($A2187="","",E2187*N2187/100)</f>
        <v/>
      </c>
      <c r="J2187" s="7" t="n"/>
      <c r="K2187" s="7">
        <f>IF($A2187="","",S2187*N2187)</f>
        <v/>
      </c>
      <c r="L2187" s="7">
        <f>IF($A2187="","",N2187-K2187)</f>
        <v/>
      </c>
      <c r="M2187" s="7">
        <f>IF($A2187="","",L2187-F2187)</f>
        <v/>
      </c>
      <c r="N2187" s="7" t="n"/>
      <c r="Q2187" s="11" t="n"/>
      <c r="S2187">
        <f>IF($A2187="","",IF($W2187=1,Settings!$C$6,Settings!$C$7)*1)</f>
        <v/>
      </c>
      <c r="U2187">
        <f>IF($A2187="","",IF(COUNTIF($A$2:$A2187,$A2187)=1,1,0))</f>
        <v/>
      </c>
      <c r="V2187">
        <f>IF($U2187=1,SUMPRODUCT(--($X$2:$X$3001&lt;$X2187))+1,"")</f>
        <v/>
      </c>
      <c r="W2187">
        <f>IF($A2187="","",IF(OR($T2187=TRUE(),$T2187="TRUE"),1,0))</f>
        <v/>
      </c>
      <c r="X2187">
        <f>IF($U2187=1,IFERROR(IF(VALUE($A2187)&lt;100000000,VALUE($A2187),1000000000),IFERROR(IF(VALUE(MID($A2187,2,20))&lt;100000000,VALUE(MID($A2187,2,20)),1000000000),1000000000))+ROW()/100000,"")</f>
        <v/>
      </c>
    </row>
    <row r="2188">
      <c r="F2188" s="7">
        <f>IF($A2188="","",E2188*N2188/100)</f>
        <v/>
      </c>
      <c r="J2188" s="7" t="n"/>
      <c r="K2188" s="7">
        <f>IF($A2188="","",S2188*N2188)</f>
        <v/>
      </c>
      <c r="L2188" s="7">
        <f>IF($A2188="","",N2188-K2188)</f>
        <v/>
      </c>
      <c r="M2188" s="7">
        <f>IF($A2188="","",L2188-F2188)</f>
        <v/>
      </c>
      <c r="N2188" s="7" t="n"/>
      <c r="Q2188" s="11" t="n"/>
      <c r="S2188">
        <f>IF($A2188="","",IF($W2188=1,Settings!$C$6,Settings!$C$7)*1)</f>
        <v/>
      </c>
      <c r="U2188">
        <f>IF($A2188="","",IF(COUNTIF($A$2:$A2188,$A2188)=1,1,0))</f>
        <v/>
      </c>
      <c r="V2188">
        <f>IF($U2188=1,SUMPRODUCT(--($X$2:$X$3001&lt;$X2188))+1,"")</f>
        <v/>
      </c>
      <c r="W2188">
        <f>IF($A2188="","",IF(OR($T2188=TRUE(),$T2188="TRUE"),1,0))</f>
        <v/>
      </c>
      <c r="X2188">
        <f>IF($U2188=1,IFERROR(IF(VALUE($A2188)&lt;100000000,VALUE($A2188),1000000000),IFERROR(IF(VALUE(MID($A2188,2,20))&lt;100000000,VALUE(MID($A2188,2,20)),1000000000),1000000000))+ROW()/100000,"")</f>
        <v/>
      </c>
    </row>
    <row r="2189">
      <c r="F2189" s="7">
        <f>IF($A2189="","",E2189*N2189/100)</f>
        <v/>
      </c>
      <c r="J2189" s="7" t="n"/>
      <c r="K2189" s="7">
        <f>IF($A2189="","",S2189*N2189)</f>
        <v/>
      </c>
      <c r="L2189" s="7">
        <f>IF($A2189="","",N2189-K2189)</f>
        <v/>
      </c>
      <c r="M2189" s="7">
        <f>IF($A2189="","",L2189-F2189)</f>
        <v/>
      </c>
      <c r="N2189" s="7" t="n"/>
      <c r="Q2189" s="11" t="n"/>
      <c r="S2189">
        <f>IF($A2189="","",IF($W2189=1,Settings!$C$6,Settings!$C$7)*1)</f>
        <v/>
      </c>
      <c r="U2189">
        <f>IF($A2189="","",IF(COUNTIF($A$2:$A2189,$A2189)=1,1,0))</f>
        <v/>
      </c>
      <c r="V2189">
        <f>IF($U2189=1,SUMPRODUCT(--($X$2:$X$3001&lt;$X2189))+1,"")</f>
        <v/>
      </c>
      <c r="W2189">
        <f>IF($A2189="","",IF(OR($T2189=TRUE(),$T2189="TRUE"),1,0))</f>
        <v/>
      </c>
      <c r="X2189">
        <f>IF($U2189=1,IFERROR(IF(VALUE($A2189)&lt;100000000,VALUE($A2189),1000000000),IFERROR(IF(VALUE(MID($A2189,2,20))&lt;100000000,VALUE(MID($A2189,2,20)),1000000000),1000000000))+ROW()/100000,"")</f>
        <v/>
      </c>
    </row>
    <row r="2190">
      <c r="F2190" s="7">
        <f>IF($A2190="","",E2190*N2190/100)</f>
        <v/>
      </c>
      <c r="J2190" s="7" t="n"/>
      <c r="K2190" s="7">
        <f>IF($A2190="","",S2190*N2190)</f>
        <v/>
      </c>
      <c r="L2190" s="7">
        <f>IF($A2190="","",N2190-K2190)</f>
        <v/>
      </c>
      <c r="M2190" s="7">
        <f>IF($A2190="","",L2190-F2190)</f>
        <v/>
      </c>
      <c r="N2190" s="7" t="n"/>
      <c r="Q2190" s="11" t="n"/>
      <c r="S2190">
        <f>IF($A2190="","",IF($W2190=1,Settings!$C$6,Settings!$C$7)*1)</f>
        <v/>
      </c>
      <c r="U2190">
        <f>IF($A2190="","",IF(COUNTIF($A$2:$A2190,$A2190)=1,1,0))</f>
        <v/>
      </c>
      <c r="V2190">
        <f>IF($U2190=1,SUMPRODUCT(--($X$2:$X$3001&lt;$X2190))+1,"")</f>
        <v/>
      </c>
      <c r="W2190">
        <f>IF($A2190="","",IF(OR($T2190=TRUE(),$T2190="TRUE"),1,0))</f>
        <v/>
      </c>
      <c r="X2190">
        <f>IF($U2190=1,IFERROR(IF(VALUE($A2190)&lt;100000000,VALUE($A2190),1000000000),IFERROR(IF(VALUE(MID($A2190,2,20))&lt;100000000,VALUE(MID($A2190,2,20)),1000000000),1000000000))+ROW()/100000,"")</f>
        <v/>
      </c>
    </row>
    <row r="2191">
      <c r="F2191" s="7">
        <f>IF($A2191="","",E2191*N2191/100)</f>
        <v/>
      </c>
      <c r="J2191" s="7" t="n"/>
      <c r="K2191" s="7">
        <f>IF($A2191="","",S2191*N2191)</f>
        <v/>
      </c>
      <c r="L2191" s="7">
        <f>IF($A2191="","",N2191-K2191)</f>
        <v/>
      </c>
      <c r="M2191" s="7">
        <f>IF($A2191="","",L2191-F2191)</f>
        <v/>
      </c>
      <c r="N2191" s="7" t="n"/>
      <c r="Q2191" s="11" t="n"/>
      <c r="S2191">
        <f>IF($A2191="","",IF($W2191=1,Settings!$C$6,Settings!$C$7)*1)</f>
        <v/>
      </c>
      <c r="U2191">
        <f>IF($A2191="","",IF(COUNTIF($A$2:$A2191,$A2191)=1,1,0))</f>
        <v/>
      </c>
      <c r="V2191">
        <f>IF($U2191=1,SUMPRODUCT(--($X$2:$X$3001&lt;$X2191))+1,"")</f>
        <v/>
      </c>
      <c r="W2191">
        <f>IF($A2191="","",IF(OR($T2191=TRUE(),$T2191="TRUE"),1,0))</f>
        <v/>
      </c>
      <c r="X2191">
        <f>IF($U2191=1,IFERROR(IF(VALUE($A2191)&lt;100000000,VALUE($A2191),1000000000),IFERROR(IF(VALUE(MID($A2191,2,20))&lt;100000000,VALUE(MID($A2191,2,20)),1000000000),1000000000))+ROW()/100000,"")</f>
        <v/>
      </c>
    </row>
    <row r="2192">
      <c r="F2192" s="7">
        <f>IF($A2192="","",E2192*N2192/100)</f>
        <v/>
      </c>
      <c r="J2192" s="7" t="n"/>
      <c r="K2192" s="7">
        <f>IF($A2192="","",S2192*N2192)</f>
        <v/>
      </c>
      <c r="L2192" s="7">
        <f>IF($A2192="","",N2192-K2192)</f>
        <v/>
      </c>
      <c r="M2192" s="7">
        <f>IF($A2192="","",L2192-F2192)</f>
        <v/>
      </c>
      <c r="N2192" s="7" t="n"/>
      <c r="Q2192" s="11" t="n"/>
      <c r="S2192">
        <f>IF($A2192="","",IF($W2192=1,Settings!$C$6,Settings!$C$7)*1)</f>
        <v/>
      </c>
      <c r="U2192">
        <f>IF($A2192="","",IF(COUNTIF($A$2:$A2192,$A2192)=1,1,0))</f>
        <v/>
      </c>
      <c r="V2192">
        <f>IF($U2192=1,SUMPRODUCT(--($X$2:$X$3001&lt;$X2192))+1,"")</f>
        <v/>
      </c>
      <c r="W2192">
        <f>IF($A2192="","",IF(OR($T2192=TRUE(),$T2192="TRUE"),1,0))</f>
        <v/>
      </c>
      <c r="X2192">
        <f>IF($U2192=1,IFERROR(IF(VALUE($A2192)&lt;100000000,VALUE($A2192),1000000000),IFERROR(IF(VALUE(MID($A2192,2,20))&lt;100000000,VALUE(MID($A2192,2,20)),1000000000),1000000000))+ROW()/100000,"")</f>
        <v/>
      </c>
    </row>
    <row r="2193">
      <c r="F2193" s="7">
        <f>IF($A2193="","",E2193*N2193/100)</f>
        <v/>
      </c>
      <c r="J2193" s="7" t="n"/>
      <c r="K2193" s="7">
        <f>IF($A2193="","",S2193*N2193)</f>
        <v/>
      </c>
      <c r="L2193" s="7">
        <f>IF($A2193="","",N2193-K2193)</f>
        <v/>
      </c>
      <c r="M2193" s="7">
        <f>IF($A2193="","",L2193-F2193)</f>
        <v/>
      </c>
      <c r="N2193" s="7" t="n"/>
      <c r="Q2193" s="11" t="n"/>
      <c r="S2193">
        <f>IF($A2193="","",IF($W2193=1,Settings!$C$6,Settings!$C$7)*1)</f>
        <v/>
      </c>
      <c r="U2193">
        <f>IF($A2193="","",IF(COUNTIF($A$2:$A2193,$A2193)=1,1,0))</f>
        <v/>
      </c>
      <c r="V2193">
        <f>IF($U2193=1,SUMPRODUCT(--($X$2:$X$3001&lt;$X2193))+1,"")</f>
        <v/>
      </c>
      <c r="W2193">
        <f>IF($A2193="","",IF(OR($T2193=TRUE(),$T2193="TRUE"),1,0))</f>
        <v/>
      </c>
      <c r="X2193">
        <f>IF($U2193=1,IFERROR(IF(VALUE($A2193)&lt;100000000,VALUE($A2193),1000000000),IFERROR(IF(VALUE(MID($A2193,2,20))&lt;100000000,VALUE(MID($A2193,2,20)),1000000000),1000000000))+ROW()/100000,"")</f>
        <v/>
      </c>
    </row>
    <row r="2194">
      <c r="F2194" s="7">
        <f>IF($A2194="","",E2194*N2194/100)</f>
        <v/>
      </c>
      <c r="J2194" s="7" t="n"/>
      <c r="K2194" s="7">
        <f>IF($A2194="","",S2194*N2194)</f>
        <v/>
      </c>
      <c r="L2194" s="7">
        <f>IF($A2194="","",N2194-K2194)</f>
        <v/>
      </c>
      <c r="M2194" s="7">
        <f>IF($A2194="","",L2194-F2194)</f>
        <v/>
      </c>
      <c r="N2194" s="7" t="n"/>
      <c r="Q2194" s="11" t="n"/>
      <c r="S2194">
        <f>IF($A2194="","",IF($W2194=1,Settings!$C$6,Settings!$C$7)*1)</f>
        <v/>
      </c>
      <c r="U2194">
        <f>IF($A2194="","",IF(COUNTIF($A$2:$A2194,$A2194)=1,1,0))</f>
        <v/>
      </c>
      <c r="V2194">
        <f>IF($U2194=1,SUMPRODUCT(--($X$2:$X$3001&lt;$X2194))+1,"")</f>
        <v/>
      </c>
      <c r="W2194">
        <f>IF($A2194="","",IF(OR($T2194=TRUE(),$T2194="TRUE"),1,0))</f>
        <v/>
      </c>
      <c r="X2194">
        <f>IF($U2194=1,IFERROR(IF(VALUE($A2194)&lt;100000000,VALUE($A2194),1000000000),IFERROR(IF(VALUE(MID($A2194,2,20))&lt;100000000,VALUE(MID($A2194,2,20)),1000000000),1000000000))+ROW()/100000,"")</f>
        <v/>
      </c>
    </row>
    <row r="2195">
      <c r="F2195" s="7">
        <f>IF($A2195="","",E2195*N2195/100)</f>
        <v/>
      </c>
      <c r="J2195" s="7" t="n"/>
      <c r="K2195" s="7">
        <f>IF($A2195="","",S2195*N2195)</f>
        <v/>
      </c>
      <c r="L2195" s="7">
        <f>IF($A2195="","",N2195-K2195)</f>
        <v/>
      </c>
      <c r="M2195" s="7">
        <f>IF($A2195="","",L2195-F2195)</f>
        <v/>
      </c>
      <c r="N2195" s="7" t="n"/>
      <c r="Q2195" s="11" t="n"/>
      <c r="S2195">
        <f>IF($A2195="","",IF($W2195=1,Settings!$C$6,Settings!$C$7)*1)</f>
        <v/>
      </c>
      <c r="U2195">
        <f>IF($A2195="","",IF(COUNTIF($A$2:$A2195,$A2195)=1,1,0))</f>
        <v/>
      </c>
      <c r="V2195">
        <f>IF($U2195=1,SUMPRODUCT(--($X$2:$X$3001&lt;$X2195))+1,"")</f>
        <v/>
      </c>
      <c r="W2195">
        <f>IF($A2195="","",IF(OR($T2195=TRUE(),$T2195="TRUE"),1,0))</f>
        <v/>
      </c>
      <c r="X2195">
        <f>IF($U2195=1,IFERROR(IF(VALUE($A2195)&lt;100000000,VALUE($A2195),1000000000),IFERROR(IF(VALUE(MID($A2195,2,20))&lt;100000000,VALUE(MID($A2195,2,20)),1000000000),1000000000))+ROW()/100000,"")</f>
        <v/>
      </c>
    </row>
    <row r="2196">
      <c r="F2196" s="7">
        <f>IF($A2196="","",E2196*N2196/100)</f>
        <v/>
      </c>
      <c r="J2196" s="7" t="n"/>
      <c r="K2196" s="7">
        <f>IF($A2196="","",S2196*N2196)</f>
        <v/>
      </c>
      <c r="L2196" s="7">
        <f>IF($A2196="","",N2196-K2196)</f>
        <v/>
      </c>
      <c r="M2196" s="7">
        <f>IF($A2196="","",L2196-F2196)</f>
        <v/>
      </c>
      <c r="N2196" s="7" t="n"/>
      <c r="Q2196" s="11" t="n"/>
      <c r="S2196">
        <f>IF($A2196="","",IF($W2196=1,Settings!$C$6,Settings!$C$7)*1)</f>
        <v/>
      </c>
      <c r="U2196">
        <f>IF($A2196="","",IF(COUNTIF($A$2:$A2196,$A2196)=1,1,0))</f>
        <v/>
      </c>
      <c r="V2196">
        <f>IF($U2196=1,SUMPRODUCT(--($X$2:$X$3001&lt;$X2196))+1,"")</f>
        <v/>
      </c>
      <c r="W2196">
        <f>IF($A2196="","",IF(OR($T2196=TRUE(),$T2196="TRUE"),1,0))</f>
        <v/>
      </c>
      <c r="X2196">
        <f>IF($U2196=1,IFERROR(IF(VALUE($A2196)&lt;100000000,VALUE($A2196),1000000000),IFERROR(IF(VALUE(MID($A2196,2,20))&lt;100000000,VALUE(MID($A2196,2,20)),1000000000),1000000000))+ROW()/100000,"")</f>
        <v/>
      </c>
    </row>
    <row r="2197">
      <c r="F2197" s="7">
        <f>IF($A2197="","",E2197*N2197/100)</f>
        <v/>
      </c>
      <c r="J2197" s="7" t="n"/>
      <c r="K2197" s="7">
        <f>IF($A2197="","",S2197*N2197)</f>
        <v/>
      </c>
      <c r="L2197" s="7">
        <f>IF($A2197="","",N2197-K2197)</f>
        <v/>
      </c>
      <c r="M2197" s="7">
        <f>IF($A2197="","",L2197-F2197)</f>
        <v/>
      </c>
      <c r="N2197" s="7" t="n"/>
      <c r="Q2197" s="11" t="n"/>
      <c r="S2197">
        <f>IF($A2197="","",IF($W2197=1,Settings!$C$6,Settings!$C$7)*1)</f>
        <v/>
      </c>
      <c r="U2197">
        <f>IF($A2197="","",IF(COUNTIF($A$2:$A2197,$A2197)=1,1,0))</f>
        <v/>
      </c>
      <c r="V2197">
        <f>IF($U2197=1,SUMPRODUCT(--($X$2:$X$3001&lt;$X2197))+1,"")</f>
        <v/>
      </c>
      <c r="W2197">
        <f>IF($A2197="","",IF(OR($T2197=TRUE(),$T2197="TRUE"),1,0))</f>
        <v/>
      </c>
      <c r="X2197">
        <f>IF($U2197=1,IFERROR(IF(VALUE($A2197)&lt;100000000,VALUE($A2197),1000000000),IFERROR(IF(VALUE(MID($A2197,2,20))&lt;100000000,VALUE(MID($A2197,2,20)),1000000000),1000000000))+ROW()/100000,"")</f>
        <v/>
      </c>
    </row>
    <row r="2198">
      <c r="F2198" s="7">
        <f>IF($A2198="","",E2198*N2198/100)</f>
        <v/>
      </c>
      <c r="J2198" s="7" t="n"/>
      <c r="K2198" s="7">
        <f>IF($A2198="","",S2198*N2198)</f>
        <v/>
      </c>
      <c r="L2198" s="7">
        <f>IF($A2198="","",N2198-K2198)</f>
        <v/>
      </c>
      <c r="M2198" s="7">
        <f>IF($A2198="","",L2198-F2198)</f>
        <v/>
      </c>
      <c r="N2198" s="7" t="n"/>
      <c r="Q2198" s="11" t="n"/>
      <c r="S2198">
        <f>IF($A2198="","",IF($W2198=1,Settings!$C$6,Settings!$C$7)*1)</f>
        <v/>
      </c>
      <c r="U2198">
        <f>IF($A2198="","",IF(COUNTIF($A$2:$A2198,$A2198)=1,1,0))</f>
        <v/>
      </c>
      <c r="V2198">
        <f>IF($U2198=1,SUMPRODUCT(--($X$2:$X$3001&lt;$X2198))+1,"")</f>
        <v/>
      </c>
      <c r="W2198">
        <f>IF($A2198="","",IF(OR($T2198=TRUE(),$T2198="TRUE"),1,0))</f>
        <v/>
      </c>
      <c r="X2198">
        <f>IF($U2198=1,IFERROR(IF(VALUE($A2198)&lt;100000000,VALUE($A2198),1000000000),IFERROR(IF(VALUE(MID($A2198,2,20))&lt;100000000,VALUE(MID($A2198,2,20)),1000000000),1000000000))+ROW()/100000,"")</f>
        <v/>
      </c>
    </row>
    <row r="2199">
      <c r="F2199" s="7">
        <f>IF($A2199="","",E2199*N2199/100)</f>
        <v/>
      </c>
      <c r="J2199" s="7" t="n"/>
      <c r="K2199" s="7">
        <f>IF($A2199="","",S2199*N2199)</f>
        <v/>
      </c>
      <c r="L2199" s="7">
        <f>IF($A2199="","",N2199-K2199)</f>
        <v/>
      </c>
      <c r="M2199" s="7">
        <f>IF($A2199="","",L2199-F2199)</f>
        <v/>
      </c>
      <c r="N2199" s="7" t="n"/>
      <c r="Q2199" s="11" t="n"/>
      <c r="S2199">
        <f>IF($A2199="","",IF($W2199=1,Settings!$C$6,Settings!$C$7)*1)</f>
        <v/>
      </c>
      <c r="U2199">
        <f>IF($A2199="","",IF(COUNTIF($A$2:$A2199,$A2199)=1,1,0))</f>
        <v/>
      </c>
      <c r="V2199">
        <f>IF($U2199=1,SUMPRODUCT(--($X$2:$X$3001&lt;$X2199))+1,"")</f>
        <v/>
      </c>
      <c r="W2199">
        <f>IF($A2199="","",IF(OR($T2199=TRUE(),$T2199="TRUE"),1,0))</f>
        <v/>
      </c>
      <c r="X2199">
        <f>IF($U2199=1,IFERROR(IF(VALUE($A2199)&lt;100000000,VALUE($A2199),1000000000),IFERROR(IF(VALUE(MID($A2199,2,20))&lt;100000000,VALUE(MID($A2199,2,20)),1000000000),1000000000))+ROW()/100000,"")</f>
        <v/>
      </c>
    </row>
    <row r="2200">
      <c r="F2200" s="7">
        <f>IF($A2200="","",E2200*N2200/100)</f>
        <v/>
      </c>
      <c r="J2200" s="7" t="n"/>
      <c r="K2200" s="7">
        <f>IF($A2200="","",S2200*N2200)</f>
        <v/>
      </c>
      <c r="L2200" s="7">
        <f>IF($A2200="","",N2200-K2200)</f>
        <v/>
      </c>
      <c r="M2200" s="7">
        <f>IF($A2200="","",L2200-F2200)</f>
        <v/>
      </c>
      <c r="N2200" s="7" t="n"/>
      <c r="Q2200" s="11" t="n"/>
      <c r="S2200">
        <f>IF($A2200="","",IF($W2200=1,Settings!$C$6,Settings!$C$7)*1)</f>
        <v/>
      </c>
      <c r="U2200">
        <f>IF($A2200="","",IF(COUNTIF($A$2:$A2200,$A2200)=1,1,0))</f>
        <v/>
      </c>
      <c r="V2200">
        <f>IF($U2200=1,SUMPRODUCT(--($X$2:$X$3001&lt;$X2200))+1,"")</f>
        <v/>
      </c>
      <c r="W2200">
        <f>IF($A2200="","",IF(OR($T2200=TRUE(),$T2200="TRUE"),1,0))</f>
        <v/>
      </c>
      <c r="X2200">
        <f>IF($U2200=1,IFERROR(IF(VALUE($A2200)&lt;100000000,VALUE($A2200),1000000000),IFERROR(IF(VALUE(MID($A2200,2,20))&lt;100000000,VALUE(MID($A2200,2,20)),1000000000),1000000000))+ROW()/100000,"")</f>
        <v/>
      </c>
    </row>
    <row r="2201">
      <c r="F2201" s="7">
        <f>IF($A2201="","",E2201*N2201/100)</f>
        <v/>
      </c>
      <c r="J2201" s="7" t="n"/>
      <c r="K2201" s="7">
        <f>IF($A2201="","",S2201*N2201)</f>
        <v/>
      </c>
      <c r="L2201" s="7">
        <f>IF($A2201="","",N2201-K2201)</f>
        <v/>
      </c>
      <c r="M2201" s="7">
        <f>IF($A2201="","",L2201-F2201)</f>
        <v/>
      </c>
      <c r="N2201" s="7" t="n"/>
      <c r="Q2201" s="11" t="n"/>
      <c r="S2201">
        <f>IF($A2201="","",IF($W2201=1,Settings!$C$6,Settings!$C$7)*1)</f>
        <v/>
      </c>
      <c r="U2201">
        <f>IF($A2201="","",IF(COUNTIF($A$2:$A2201,$A2201)=1,1,0))</f>
        <v/>
      </c>
      <c r="V2201">
        <f>IF($U2201=1,SUMPRODUCT(--($X$2:$X$3001&lt;$X2201))+1,"")</f>
        <v/>
      </c>
      <c r="W2201">
        <f>IF($A2201="","",IF(OR($T2201=TRUE(),$T2201="TRUE"),1,0))</f>
        <v/>
      </c>
      <c r="X2201">
        <f>IF($U2201=1,IFERROR(IF(VALUE($A2201)&lt;100000000,VALUE($A2201),1000000000),IFERROR(IF(VALUE(MID($A2201,2,20))&lt;100000000,VALUE(MID($A2201,2,20)),1000000000),1000000000))+ROW()/100000,"")</f>
        <v/>
      </c>
    </row>
    <row r="2202">
      <c r="F2202" s="7">
        <f>IF($A2202="","",E2202*N2202/100)</f>
        <v/>
      </c>
      <c r="J2202" s="7" t="n"/>
      <c r="K2202" s="7">
        <f>IF($A2202="","",S2202*N2202)</f>
        <v/>
      </c>
      <c r="L2202" s="7">
        <f>IF($A2202="","",N2202-K2202)</f>
        <v/>
      </c>
      <c r="M2202" s="7">
        <f>IF($A2202="","",L2202-F2202)</f>
        <v/>
      </c>
      <c r="N2202" s="7" t="n"/>
      <c r="Q2202" s="11" t="n"/>
      <c r="S2202">
        <f>IF($A2202="","",IF($W2202=1,Settings!$C$6,Settings!$C$7)*1)</f>
        <v/>
      </c>
      <c r="U2202">
        <f>IF($A2202="","",IF(COUNTIF($A$2:$A2202,$A2202)=1,1,0))</f>
        <v/>
      </c>
      <c r="V2202">
        <f>IF($U2202=1,SUMPRODUCT(--($X$2:$X$3001&lt;$X2202))+1,"")</f>
        <v/>
      </c>
      <c r="W2202">
        <f>IF($A2202="","",IF(OR($T2202=TRUE(),$T2202="TRUE"),1,0))</f>
        <v/>
      </c>
      <c r="X2202">
        <f>IF($U2202=1,IFERROR(IF(VALUE($A2202)&lt;100000000,VALUE($A2202),1000000000),IFERROR(IF(VALUE(MID($A2202,2,20))&lt;100000000,VALUE(MID($A2202,2,20)),1000000000),1000000000))+ROW()/100000,"")</f>
        <v/>
      </c>
    </row>
    <row r="2203">
      <c r="F2203" s="7">
        <f>IF($A2203="","",E2203*N2203/100)</f>
        <v/>
      </c>
      <c r="J2203" s="7" t="n"/>
      <c r="K2203" s="7">
        <f>IF($A2203="","",S2203*N2203)</f>
        <v/>
      </c>
      <c r="L2203" s="7">
        <f>IF($A2203="","",N2203-K2203)</f>
        <v/>
      </c>
      <c r="M2203" s="7">
        <f>IF($A2203="","",L2203-F2203)</f>
        <v/>
      </c>
      <c r="N2203" s="7" t="n"/>
      <c r="Q2203" s="11" t="n"/>
      <c r="S2203">
        <f>IF($A2203="","",IF($W2203=1,Settings!$C$6,Settings!$C$7)*1)</f>
        <v/>
      </c>
      <c r="U2203">
        <f>IF($A2203="","",IF(COUNTIF($A$2:$A2203,$A2203)=1,1,0))</f>
        <v/>
      </c>
      <c r="V2203">
        <f>IF($U2203=1,SUMPRODUCT(--($X$2:$X$3001&lt;$X2203))+1,"")</f>
        <v/>
      </c>
      <c r="W2203">
        <f>IF($A2203="","",IF(OR($T2203=TRUE(),$T2203="TRUE"),1,0))</f>
        <v/>
      </c>
      <c r="X2203">
        <f>IF($U2203=1,IFERROR(IF(VALUE($A2203)&lt;100000000,VALUE($A2203),1000000000),IFERROR(IF(VALUE(MID($A2203,2,20))&lt;100000000,VALUE(MID($A2203,2,20)),1000000000),1000000000))+ROW()/100000,"")</f>
        <v/>
      </c>
    </row>
    <row r="2204">
      <c r="F2204" s="7">
        <f>IF($A2204="","",E2204*N2204/100)</f>
        <v/>
      </c>
      <c r="J2204" s="7" t="n"/>
      <c r="K2204" s="7">
        <f>IF($A2204="","",S2204*N2204)</f>
        <v/>
      </c>
      <c r="L2204" s="7">
        <f>IF($A2204="","",N2204-K2204)</f>
        <v/>
      </c>
      <c r="M2204" s="7">
        <f>IF($A2204="","",L2204-F2204)</f>
        <v/>
      </c>
      <c r="N2204" s="7" t="n"/>
      <c r="Q2204" s="11" t="n"/>
      <c r="S2204">
        <f>IF($A2204="","",IF($W2204=1,Settings!$C$6,Settings!$C$7)*1)</f>
        <v/>
      </c>
      <c r="U2204">
        <f>IF($A2204="","",IF(COUNTIF($A$2:$A2204,$A2204)=1,1,0))</f>
        <v/>
      </c>
      <c r="V2204">
        <f>IF($U2204=1,SUMPRODUCT(--($X$2:$X$3001&lt;$X2204))+1,"")</f>
        <v/>
      </c>
      <c r="W2204">
        <f>IF($A2204="","",IF(OR($T2204=TRUE(),$T2204="TRUE"),1,0))</f>
        <v/>
      </c>
      <c r="X2204">
        <f>IF($U2204=1,IFERROR(IF(VALUE($A2204)&lt;100000000,VALUE($A2204),1000000000),IFERROR(IF(VALUE(MID($A2204,2,20))&lt;100000000,VALUE(MID($A2204,2,20)),1000000000),1000000000))+ROW()/100000,"")</f>
        <v/>
      </c>
    </row>
    <row r="2205">
      <c r="F2205" s="7">
        <f>IF($A2205="","",E2205*N2205/100)</f>
        <v/>
      </c>
      <c r="J2205" s="7" t="n"/>
      <c r="K2205" s="7">
        <f>IF($A2205="","",S2205*N2205)</f>
        <v/>
      </c>
      <c r="L2205" s="7">
        <f>IF($A2205="","",N2205-K2205)</f>
        <v/>
      </c>
      <c r="M2205" s="7">
        <f>IF($A2205="","",L2205-F2205)</f>
        <v/>
      </c>
      <c r="N2205" s="7" t="n"/>
      <c r="Q2205" s="11" t="n"/>
      <c r="S2205">
        <f>IF($A2205="","",IF($W2205=1,Settings!$C$6,Settings!$C$7)*1)</f>
        <v/>
      </c>
      <c r="U2205">
        <f>IF($A2205="","",IF(COUNTIF($A$2:$A2205,$A2205)=1,1,0))</f>
        <v/>
      </c>
      <c r="V2205">
        <f>IF($U2205=1,SUMPRODUCT(--($X$2:$X$3001&lt;$X2205))+1,"")</f>
        <v/>
      </c>
      <c r="W2205">
        <f>IF($A2205="","",IF(OR($T2205=TRUE(),$T2205="TRUE"),1,0))</f>
        <v/>
      </c>
      <c r="X2205">
        <f>IF($U2205=1,IFERROR(IF(VALUE($A2205)&lt;100000000,VALUE($A2205),1000000000),IFERROR(IF(VALUE(MID($A2205,2,20))&lt;100000000,VALUE(MID($A2205,2,20)),1000000000),1000000000))+ROW()/100000,"")</f>
        <v/>
      </c>
    </row>
    <row r="2206">
      <c r="F2206" s="7">
        <f>IF($A2206="","",E2206*N2206/100)</f>
        <v/>
      </c>
      <c r="J2206" s="7" t="n"/>
      <c r="K2206" s="7">
        <f>IF($A2206="","",S2206*N2206)</f>
        <v/>
      </c>
      <c r="L2206" s="7">
        <f>IF($A2206="","",N2206-K2206)</f>
        <v/>
      </c>
      <c r="M2206" s="7">
        <f>IF($A2206="","",L2206-F2206)</f>
        <v/>
      </c>
      <c r="N2206" s="7" t="n"/>
      <c r="Q2206" s="11" t="n"/>
      <c r="S2206">
        <f>IF($A2206="","",IF($W2206=1,Settings!$C$6,Settings!$C$7)*1)</f>
        <v/>
      </c>
      <c r="U2206">
        <f>IF($A2206="","",IF(COUNTIF($A$2:$A2206,$A2206)=1,1,0))</f>
        <v/>
      </c>
      <c r="V2206">
        <f>IF($U2206=1,SUMPRODUCT(--($X$2:$X$3001&lt;$X2206))+1,"")</f>
        <v/>
      </c>
      <c r="W2206">
        <f>IF($A2206="","",IF(OR($T2206=TRUE(),$T2206="TRUE"),1,0))</f>
        <v/>
      </c>
      <c r="X2206">
        <f>IF($U2206=1,IFERROR(IF(VALUE($A2206)&lt;100000000,VALUE($A2206),1000000000),IFERROR(IF(VALUE(MID($A2206,2,20))&lt;100000000,VALUE(MID($A2206,2,20)),1000000000),1000000000))+ROW()/100000,"")</f>
        <v/>
      </c>
    </row>
    <row r="2207">
      <c r="F2207" s="7">
        <f>IF($A2207="","",E2207*N2207/100)</f>
        <v/>
      </c>
      <c r="J2207" s="7" t="n"/>
      <c r="K2207" s="7">
        <f>IF($A2207="","",S2207*N2207)</f>
        <v/>
      </c>
      <c r="L2207" s="7">
        <f>IF($A2207="","",N2207-K2207)</f>
        <v/>
      </c>
      <c r="M2207" s="7">
        <f>IF($A2207="","",L2207-F2207)</f>
        <v/>
      </c>
      <c r="N2207" s="7" t="n"/>
      <c r="Q2207" s="11" t="n"/>
      <c r="S2207">
        <f>IF($A2207="","",IF($W2207=1,Settings!$C$6,Settings!$C$7)*1)</f>
        <v/>
      </c>
      <c r="U2207">
        <f>IF($A2207="","",IF(COUNTIF($A$2:$A2207,$A2207)=1,1,0))</f>
        <v/>
      </c>
      <c r="V2207">
        <f>IF($U2207=1,SUMPRODUCT(--($X$2:$X$3001&lt;$X2207))+1,"")</f>
        <v/>
      </c>
      <c r="W2207">
        <f>IF($A2207="","",IF(OR($T2207=TRUE(),$T2207="TRUE"),1,0))</f>
        <v/>
      </c>
      <c r="X2207">
        <f>IF($U2207=1,IFERROR(IF(VALUE($A2207)&lt;100000000,VALUE($A2207),1000000000),IFERROR(IF(VALUE(MID($A2207,2,20))&lt;100000000,VALUE(MID($A2207,2,20)),1000000000),1000000000))+ROW()/100000,"")</f>
        <v/>
      </c>
    </row>
    <row r="2208">
      <c r="F2208" s="7">
        <f>IF($A2208="","",E2208*N2208/100)</f>
        <v/>
      </c>
      <c r="J2208" s="7" t="n"/>
      <c r="K2208" s="7">
        <f>IF($A2208="","",S2208*N2208)</f>
        <v/>
      </c>
      <c r="L2208" s="7">
        <f>IF($A2208="","",N2208-K2208)</f>
        <v/>
      </c>
      <c r="M2208" s="7">
        <f>IF($A2208="","",L2208-F2208)</f>
        <v/>
      </c>
      <c r="N2208" s="7" t="n"/>
      <c r="Q2208" s="11" t="n"/>
      <c r="S2208">
        <f>IF($A2208="","",IF($W2208=1,Settings!$C$6,Settings!$C$7)*1)</f>
        <v/>
      </c>
      <c r="U2208">
        <f>IF($A2208="","",IF(COUNTIF($A$2:$A2208,$A2208)=1,1,0))</f>
        <v/>
      </c>
      <c r="V2208">
        <f>IF($U2208=1,SUMPRODUCT(--($X$2:$X$3001&lt;$X2208))+1,"")</f>
        <v/>
      </c>
      <c r="W2208">
        <f>IF($A2208="","",IF(OR($T2208=TRUE(),$T2208="TRUE"),1,0))</f>
        <v/>
      </c>
      <c r="X2208">
        <f>IF($U2208=1,IFERROR(IF(VALUE($A2208)&lt;100000000,VALUE($A2208),1000000000),IFERROR(IF(VALUE(MID($A2208,2,20))&lt;100000000,VALUE(MID($A2208,2,20)),1000000000),1000000000))+ROW()/100000,"")</f>
        <v/>
      </c>
    </row>
    <row r="2209">
      <c r="F2209" s="7">
        <f>IF($A2209="","",E2209*N2209/100)</f>
        <v/>
      </c>
      <c r="J2209" s="7" t="n"/>
      <c r="K2209" s="7">
        <f>IF($A2209="","",S2209*N2209)</f>
        <v/>
      </c>
      <c r="L2209" s="7">
        <f>IF($A2209="","",N2209-K2209)</f>
        <v/>
      </c>
      <c r="M2209" s="7">
        <f>IF($A2209="","",L2209-F2209)</f>
        <v/>
      </c>
      <c r="N2209" s="7" t="n"/>
      <c r="Q2209" s="11" t="n"/>
      <c r="S2209">
        <f>IF($A2209="","",IF($W2209=1,Settings!$C$6,Settings!$C$7)*1)</f>
        <v/>
      </c>
      <c r="U2209">
        <f>IF($A2209="","",IF(COUNTIF($A$2:$A2209,$A2209)=1,1,0))</f>
        <v/>
      </c>
      <c r="V2209">
        <f>IF($U2209=1,SUMPRODUCT(--($X$2:$X$3001&lt;$X2209))+1,"")</f>
        <v/>
      </c>
      <c r="W2209">
        <f>IF($A2209="","",IF(OR($T2209=TRUE(),$T2209="TRUE"),1,0))</f>
        <v/>
      </c>
      <c r="X2209">
        <f>IF($U2209=1,IFERROR(IF(VALUE($A2209)&lt;100000000,VALUE($A2209),1000000000),IFERROR(IF(VALUE(MID($A2209,2,20))&lt;100000000,VALUE(MID($A2209,2,20)),1000000000),1000000000))+ROW()/100000,"")</f>
        <v/>
      </c>
    </row>
    <row r="2210">
      <c r="F2210" s="7">
        <f>IF($A2210="","",E2210*N2210/100)</f>
        <v/>
      </c>
      <c r="J2210" s="7" t="n"/>
      <c r="K2210" s="7">
        <f>IF($A2210="","",S2210*N2210)</f>
        <v/>
      </c>
      <c r="L2210" s="7">
        <f>IF($A2210="","",N2210-K2210)</f>
        <v/>
      </c>
      <c r="M2210" s="7">
        <f>IF($A2210="","",L2210-F2210)</f>
        <v/>
      </c>
      <c r="N2210" s="7" t="n"/>
      <c r="Q2210" s="11" t="n"/>
      <c r="S2210">
        <f>IF($A2210="","",IF($W2210=1,Settings!$C$6,Settings!$C$7)*1)</f>
        <v/>
      </c>
      <c r="U2210">
        <f>IF($A2210="","",IF(COUNTIF($A$2:$A2210,$A2210)=1,1,0))</f>
        <v/>
      </c>
      <c r="V2210">
        <f>IF($U2210=1,SUMPRODUCT(--($X$2:$X$3001&lt;$X2210))+1,"")</f>
        <v/>
      </c>
      <c r="W2210">
        <f>IF($A2210="","",IF(OR($T2210=TRUE(),$T2210="TRUE"),1,0))</f>
        <v/>
      </c>
      <c r="X2210">
        <f>IF($U2210=1,IFERROR(IF(VALUE($A2210)&lt;100000000,VALUE($A2210),1000000000),IFERROR(IF(VALUE(MID($A2210,2,20))&lt;100000000,VALUE(MID($A2210,2,20)),1000000000),1000000000))+ROW()/100000,"")</f>
        <v/>
      </c>
    </row>
    <row r="2211">
      <c r="F2211" s="7">
        <f>IF($A2211="","",E2211*N2211/100)</f>
        <v/>
      </c>
      <c r="J2211" s="7" t="n"/>
      <c r="K2211" s="7">
        <f>IF($A2211="","",S2211*N2211)</f>
        <v/>
      </c>
      <c r="L2211" s="7">
        <f>IF($A2211="","",N2211-K2211)</f>
        <v/>
      </c>
      <c r="M2211" s="7">
        <f>IF($A2211="","",L2211-F2211)</f>
        <v/>
      </c>
      <c r="N2211" s="7" t="n"/>
      <c r="Q2211" s="11" t="n"/>
      <c r="S2211">
        <f>IF($A2211="","",IF($W2211=1,Settings!$C$6,Settings!$C$7)*1)</f>
        <v/>
      </c>
      <c r="U2211">
        <f>IF($A2211="","",IF(COUNTIF($A$2:$A2211,$A2211)=1,1,0))</f>
        <v/>
      </c>
      <c r="V2211">
        <f>IF($U2211=1,SUMPRODUCT(--($X$2:$X$3001&lt;$X2211))+1,"")</f>
        <v/>
      </c>
      <c r="W2211">
        <f>IF($A2211="","",IF(OR($T2211=TRUE(),$T2211="TRUE"),1,0))</f>
        <v/>
      </c>
      <c r="X2211">
        <f>IF($U2211=1,IFERROR(IF(VALUE($A2211)&lt;100000000,VALUE($A2211),1000000000),IFERROR(IF(VALUE(MID($A2211,2,20))&lt;100000000,VALUE(MID($A2211,2,20)),1000000000),1000000000))+ROW()/100000,"")</f>
        <v/>
      </c>
    </row>
    <row r="2212">
      <c r="F2212" s="7">
        <f>IF($A2212="","",E2212*N2212/100)</f>
        <v/>
      </c>
      <c r="J2212" s="7" t="n"/>
      <c r="K2212" s="7">
        <f>IF($A2212="","",S2212*N2212)</f>
        <v/>
      </c>
      <c r="L2212" s="7">
        <f>IF($A2212="","",N2212-K2212)</f>
        <v/>
      </c>
      <c r="M2212" s="7">
        <f>IF($A2212="","",L2212-F2212)</f>
        <v/>
      </c>
      <c r="N2212" s="7" t="n"/>
      <c r="Q2212" s="11" t="n"/>
      <c r="S2212">
        <f>IF($A2212="","",IF($W2212=1,Settings!$C$6,Settings!$C$7)*1)</f>
        <v/>
      </c>
      <c r="U2212">
        <f>IF($A2212="","",IF(COUNTIF($A$2:$A2212,$A2212)=1,1,0))</f>
        <v/>
      </c>
      <c r="V2212">
        <f>IF($U2212=1,SUMPRODUCT(--($X$2:$X$3001&lt;$X2212))+1,"")</f>
        <v/>
      </c>
      <c r="W2212">
        <f>IF($A2212="","",IF(OR($T2212=TRUE(),$T2212="TRUE"),1,0))</f>
        <v/>
      </c>
      <c r="X2212">
        <f>IF($U2212=1,IFERROR(IF(VALUE($A2212)&lt;100000000,VALUE($A2212),1000000000),IFERROR(IF(VALUE(MID($A2212,2,20))&lt;100000000,VALUE(MID($A2212,2,20)),1000000000),1000000000))+ROW()/100000,"")</f>
        <v/>
      </c>
    </row>
    <row r="2213">
      <c r="F2213" s="7">
        <f>IF($A2213="","",E2213*N2213/100)</f>
        <v/>
      </c>
      <c r="J2213" s="7" t="n"/>
      <c r="K2213" s="7">
        <f>IF($A2213="","",S2213*N2213)</f>
        <v/>
      </c>
      <c r="L2213" s="7">
        <f>IF($A2213="","",N2213-K2213)</f>
        <v/>
      </c>
      <c r="M2213" s="7">
        <f>IF($A2213="","",L2213-F2213)</f>
        <v/>
      </c>
      <c r="N2213" s="7" t="n"/>
      <c r="Q2213" s="11" t="n"/>
      <c r="S2213">
        <f>IF($A2213="","",IF($W2213=1,Settings!$C$6,Settings!$C$7)*1)</f>
        <v/>
      </c>
      <c r="U2213">
        <f>IF($A2213="","",IF(COUNTIF($A$2:$A2213,$A2213)=1,1,0))</f>
        <v/>
      </c>
      <c r="V2213">
        <f>IF($U2213=1,SUMPRODUCT(--($X$2:$X$3001&lt;$X2213))+1,"")</f>
        <v/>
      </c>
      <c r="W2213">
        <f>IF($A2213="","",IF(OR($T2213=TRUE(),$T2213="TRUE"),1,0))</f>
        <v/>
      </c>
      <c r="X2213">
        <f>IF($U2213=1,IFERROR(IF(VALUE($A2213)&lt;100000000,VALUE($A2213),1000000000),IFERROR(IF(VALUE(MID($A2213,2,20))&lt;100000000,VALUE(MID($A2213,2,20)),1000000000),1000000000))+ROW()/100000,"")</f>
        <v/>
      </c>
    </row>
    <row r="2214">
      <c r="F2214" s="7">
        <f>IF($A2214="","",E2214*N2214/100)</f>
        <v/>
      </c>
      <c r="J2214" s="7" t="n"/>
      <c r="K2214" s="7">
        <f>IF($A2214="","",S2214*N2214)</f>
        <v/>
      </c>
      <c r="L2214" s="7">
        <f>IF($A2214="","",N2214-K2214)</f>
        <v/>
      </c>
      <c r="M2214" s="7">
        <f>IF($A2214="","",L2214-F2214)</f>
        <v/>
      </c>
      <c r="N2214" s="7" t="n"/>
      <c r="Q2214" s="11" t="n"/>
      <c r="S2214">
        <f>IF($A2214="","",IF($W2214=1,Settings!$C$6,Settings!$C$7)*1)</f>
        <v/>
      </c>
      <c r="U2214">
        <f>IF($A2214="","",IF(COUNTIF($A$2:$A2214,$A2214)=1,1,0))</f>
        <v/>
      </c>
      <c r="V2214">
        <f>IF($U2214=1,SUMPRODUCT(--($X$2:$X$3001&lt;$X2214))+1,"")</f>
        <v/>
      </c>
      <c r="W2214">
        <f>IF($A2214="","",IF(OR($T2214=TRUE(),$T2214="TRUE"),1,0))</f>
        <v/>
      </c>
      <c r="X2214">
        <f>IF($U2214=1,IFERROR(IF(VALUE($A2214)&lt;100000000,VALUE($A2214),1000000000),IFERROR(IF(VALUE(MID($A2214,2,20))&lt;100000000,VALUE(MID($A2214,2,20)),1000000000),1000000000))+ROW()/100000,"")</f>
        <v/>
      </c>
    </row>
    <row r="2215">
      <c r="F2215" s="7">
        <f>IF($A2215="","",E2215*N2215/100)</f>
        <v/>
      </c>
      <c r="J2215" s="7" t="n"/>
      <c r="K2215" s="7">
        <f>IF($A2215="","",S2215*N2215)</f>
        <v/>
      </c>
      <c r="L2215" s="7">
        <f>IF($A2215="","",N2215-K2215)</f>
        <v/>
      </c>
      <c r="M2215" s="7">
        <f>IF($A2215="","",L2215-F2215)</f>
        <v/>
      </c>
      <c r="N2215" s="7" t="n"/>
      <c r="Q2215" s="11" t="n"/>
      <c r="S2215">
        <f>IF($A2215="","",IF($W2215=1,Settings!$C$6,Settings!$C$7)*1)</f>
        <v/>
      </c>
      <c r="U2215">
        <f>IF($A2215="","",IF(COUNTIF($A$2:$A2215,$A2215)=1,1,0))</f>
        <v/>
      </c>
      <c r="V2215">
        <f>IF($U2215=1,SUMPRODUCT(--($X$2:$X$3001&lt;$X2215))+1,"")</f>
        <v/>
      </c>
      <c r="W2215">
        <f>IF($A2215="","",IF(OR($T2215=TRUE(),$T2215="TRUE"),1,0))</f>
        <v/>
      </c>
      <c r="X2215">
        <f>IF($U2215=1,IFERROR(IF(VALUE($A2215)&lt;100000000,VALUE($A2215),1000000000),IFERROR(IF(VALUE(MID($A2215,2,20))&lt;100000000,VALUE(MID($A2215,2,20)),1000000000),1000000000))+ROW()/100000,"")</f>
        <v/>
      </c>
    </row>
    <row r="2216">
      <c r="F2216" s="7">
        <f>IF($A2216="","",E2216*N2216/100)</f>
        <v/>
      </c>
      <c r="J2216" s="7" t="n"/>
      <c r="K2216" s="7">
        <f>IF($A2216="","",S2216*N2216)</f>
        <v/>
      </c>
      <c r="L2216" s="7">
        <f>IF($A2216="","",N2216-K2216)</f>
        <v/>
      </c>
      <c r="M2216" s="7">
        <f>IF($A2216="","",L2216-F2216)</f>
        <v/>
      </c>
      <c r="N2216" s="7" t="n"/>
      <c r="Q2216" s="11" t="n"/>
      <c r="S2216">
        <f>IF($A2216="","",IF($W2216=1,Settings!$C$6,Settings!$C$7)*1)</f>
        <v/>
      </c>
      <c r="U2216">
        <f>IF($A2216="","",IF(COUNTIF($A$2:$A2216,$A2216)=1,1,0))</f>
        <v/>
      </c>
      <c r="V2216">
        <f>IF($U2216=1,SUMPRODUCT(--($X$2:$X$3001&lt;$X2216))+1,"")</f>
        <v/>
      </c>
      <c r="W2216">
        <f>IF($A2216="","",IF(OR($T2216=TRUE(),$T2216="TRUE"),1,0))</f>
        <v/>
      </c>
      <c r="X2216">
        <f>IF($U2216=1,IFERROR(IF(VALUE($A2216)&lt;100000000,VALUE($A2216),1000000000),IFERROR(IF(VALUE(MID($A2216,2,20))&lt;100000000,VALUE(MID($A2216,2,20)),1000000000),1000000000))+ROW()/100000,"")</f>
        <v/>
      </c>
    </row>
    <row r="2217">
      <c r="F2217" s="7">
        <f>IF($A2217="","",E2217*N2217/100)</f>
        <v/>
      </c>
      <c r="J2217" s="7" t="n"/>
      <c r="K2217" s="7">
        <f>IF($A2217="","",S2217*N2217)</f>
        <v/>
      </c>
      <c r="L2217" s="7">
        <f>IF($A2217="","",N2217-K2217)</f>
        <v/>
      </c>
      <c r="M2217" s="7">
        <f>IF($A2217="","",L2217-F2217)</f>
        <v/>
      </c>
      <c r="N2217" s="7" t="n"/>
      <c r="Q2217" s="11" t="n"/>
      <c r="S2217">
        <f>IF($A2217="","",IF($W2217=1,Settings!$C$6,Settings!$C$7)*1)</f>
        <v/>
      </c>
      <c r="U2217">
        <f>IF($A2217="","",IF(COUNTIF($A$2:$A2217,$A2217)=1,1,0))</f>
        <v/>
      </c>
      <c r="V2217">
        <f>IF($U2217=1,SUMPRODUCT(--($X$2:$X$3001&lt;$X2217))+1,"")</f>
        <v/>
      </c>
      <c r="W2217">
        <f>IF($A2217="","",IF(OR($T2217=TRUE(),$T2217="TRUE"),1,0))</f>
        <v/>
      </c>
      <c r="X2217">
        <f>IF($U2217=1,IFERROR(IF(VALUE($A2217)&lt;100000000,VALUE($A2217),1000000000),IFERROR(IF(VALUE(MID($A2217,2,20))&lt;100000000,VALUE(MID($A2217,2,20)),1000000000),1000000000))+ROW()/100000,"")</f>
        <v/>
      </c>
    </row>
    <row r="2218">
      <c r="F2218" s="7">
        <f>IF($A2218="","",E2218*N2218/100)</f>
        <v/>
      </c>
      <c r="J2218" s="7" t="n"/>
      <c r="K2218" s="7">
        <f>IF($A2218="","",S2218*N2218)</f>
        <v/>
      </c>
      <c r="L2218" s="7">
        <f>IF($A2218="","",N2218-K2218)</f>
        <v/>
      </c>
      <c r="M2218" s="7">
        <f>IF($A2218="","",L2218-F2218)</f>
        <v/>
      </c>
      <c r="N2218" s="7" t="n"/>
      <c r="Q2218" s="11" t="n"/>
      <c r="S2218">
        <f>IF($A2218="","",IF($W2218=1,Settings!$C$6,Settings!$C$7)*1)</f>
        <v/>
      </c>
      <c r="U2218">
        <f>IF($A2218="","",IF(COUNTIF($A$2:$A2218,$A2218)=1,1,0))</f>
        <v/>
      </c>
      <c r="V2218">
        <f>IF($U2218=1,SUMPRODUCT(--($X$2:$X$3001&lt;$X2218))+1,"")</f>
        <v/>
      </c>
      <c r="W2218">
        <f>IF($A2218="","",IF(OR($T2218=TRUE(),$T2218="TRUE"),1,0))</f>
        <v/>
      </c>
      <c r="X2218">
        <f>IF($U2218=1,IFERROR(IF(VALUE($A2218)&lt;100000000,VALUE($A2218),1000000000),IFERROR(IF(VALUE(MID($A2218,2,20))&lt;100000000,VALUE(MID($A2218,2,20)),1000000000),1000000000))+ROW()/100000,"")</f>
        <v/>
      </c>
    </row>
    <row r="2219">
      <c r="F2219" s="7">
        <f>IF($A2219="","",E2219*N2219/100)</f>
        <v/>
      </c>
      <c r="J2219" s="7" t="n"/>
      <c r="K2219" s="7">
        <f>IF($A2219="","",S2219*N2219)</f>
        <v/>
      </c>
      <c r="L2219" s="7">
        <f>IF($A2219="","",N2219-K2219)</f>
        <v/>
      </c>
      <c r="M2219" s="7">
        <f>IF($A2219="","",L2219-F2219)</f>
        <v/>
      </c>
      <c r="N2219" s="7" t="n"/>
      <c r="Q2219" s="11" t="n"/>
      <c r="S2219">
        <f>IF($A2219="","",IF($W2219=1,Settings!$C$6,Settings!$C$7)*1)</f>
        <v/>
      </c>
      <c r="U2219">
        <f>IF($A2219="","",IF(COUNTIF($A$2:$A2219,$A2219)=1,1,0))</f>
        <v/>
      </c>
      <c r="V2219">
        <f>IF($U2219=1,SUMPRODUCT(--($X$2:$X$3001&lt;$X2219))+1,"")</f>
        <v/>
      </c>
      <c r="W2219">
        <f>IF($A2219="","",IF(OR($T2219=TRUE(),$T2219="TRUE"),1,0))</f>
        <v/>
      </c>
      <c r="X2219">
        <f>IF($U2219=1,IFERROR(IF(VALUE($A2219)&lt;100000000,VALUE($A2219),1000000000),IFERROR(IF(VALUE(MID($A2219,2,20))&lt;100000000,VALUE(MID($A2219,2,20)),1000000000),1000000000))+ROW()/100000,"")</f>
        <v/>
      </c>
    </row>
    <row r="2220">
      <c r="F2220" s="7">
        <f>IF($A2220="","",E2220*N2220/100)</f>
        <v/>
      </c>
      <c r="J2220" s="7" t="n"/>
      <c r="K2220" s="7">
        <f>IF($A2220="","",S2220*N2220)</f>
        <v/>
      </c>
      <c r="L2220" s="7">
        <f>IF($A2220="","",N2220-K2220)</f>
        <v/>
      </c>
      <c r="M2220" s="7">
        <f>IF($A2220="","",L2220-F2220)</f>
        <v/>
      </c>
      <c r="N2220" s="7" t="n"/>
      <c r="Q2220" s="11" t="n"/>
      <c r="S2220">
        <f>IF($A2220="","",IF($W2220=1,Settings!$C$6,Settings!$C$7)*1)</f>
        <v/>
      </c>
      <c r="U2220">
        <f>IF($A2220="","",IF(COUNTIF($A$2:$A2220,$A2220)=1,1,0))</f>
        <v/>
      </c>
      <c r="V2220">
        <f>IF($U2220=1,SUMPRODUCT(--($X$2:$X$3001&lt;$X2220))+1,"")</f>
        <v/>
      </c>
      <c r="W2220">
        <f>IF($A2220="","",IF(OR($T2220=TRUE(),$T2220="TRUE"),1,0))</f>
        <v/>
      </c>
      <c r="X2220">
        <f>IF($U2220=1,IFERROR(IF(VALUE($A2220)&lt;100000000,VALUE($A2220),1000000000),IFERROR(IF(VALUE(MID($A2220,2,20))&lt;100000000,VALUE(MID($A2220,2,20)),1000000000),1000000000))+ROW()/100000,"")</f>
        <v/>
      </c>
    </row>
    <row r="2221">
      <c r="F2221" s="7">
        <f>IF($A2221="","",E2221*N2221/100)</f>
        <v/>
      </c>
      <c r="J2221" s="7" t="n"/>
      <c r="K2221" s="7">
        <f>IF($A2221="","",S2221*N2221)</f>
        <v/>
      </c>
      <c r="L2221" s="7">
        <f>IF($A2221="","",N2221-K2221)</f>
        <v/>
      </c>
      <c r="M2221" s="7">
        <f>IF($A2221="","",L2221-F2221)</f>
        <v/>
      </c>
      <c r="N2221" s="7" t="n"/>
      <c r="Q2221" s="11" t="n"/>
      <c r="S2221">
        <f>IF($A2221="","",IF($W2221=1,Settings!$C$6,Settings!$C$7)*1)</f>
        <v/>
      </c>
      <c r="U2221">
        <f>IF($A2221="","",IF(COUNTIF($A$2:$A2221,$A2221)=1,1,0))</f>
        <v/>
      </c>
      <c r="V2221">
        <f>IF($U2221=1,SUMPRODUCT(--($X$2:$X$3001&lt;$X2221))+1,"")</f>
        <v/>
      </c>
      <c r="W2221">
        <f>IF($A2221="","",IF(OR($T2221=TRUE(),$T2221="TRUE"),1,0))</f>
        <v/>
      </c>
      <c r="X2221">
        <f>IF($U2221=1,IFERROR(IF(VALUE($A2221)&lt;100000000,VALUE($A2221),1000000000),IFERROR(IF(VALUE(MID($A2221,2,20))&lt;100000000,VALUE(MID($A2221,2,20)),1000000000),1000000000))+ROW()/100000,"")</f>
        <v/>
      </c>
    </row>
    <row r="2222">
      <c r="F2222" s="7">
        <f>IF($A2222="","",E2222*N2222/100)</f>
        <v/>
      </c>
      <c r="J2222" s="7" t="n"/>
      <c r="K2222" s="7">
        <f>IF($A2222="","",S2222*N2222)</f>
        <v/>
      </c>
      <c r="L2222" s="7">
        <f>IF($A2222="","",N2222-K2222)</f>
        <v/>
      </c>
      <c r="M2222" s="7">
        <f>IF($A2222="","",L2222-F2222)</f>
        <v/>
      </c>
      <c r="N2222" s="7" t="n"/>
      <c r="Q2222" s="11" t="n"/>
      <c r="S2222">
        <f>IF($A2222="","",IF($W2222=1,Settings!$C$6,Settings!$C$7)*1)</f>
        <v/>
      </c>
      <c r="U2222">
        <f>IF($A2222="","",IF(COUNTIF($A$2:$A2222,$A2222)=1,1,0))</f>
        <v/>
      </c>
      <c r="V2222">
        <f>IF($U2222=1,SUMPRODUCT(--($X$2:$X$3001&lt;$X2222))+1,"")</f>
        <v/>
      </c>
      <c r="W2222">
        <f>IF($A2222="","",IF(OR($T2222=TRUE(),$T2222="TRUE"),1,0))</f>
        <v/>
      </c>
      <c r="X2222">
        <f>IF($U2222=1,IFERROR(IF(VALUE($A2222)&lt;100000000,VALUE($A2222),1000000000),IFERROR(IF(VALUE(MID($A2222,2,20))&lt;100000000,VALUE(MID($A2222,2,20)),1000000000),1000000000))+ROW()/100000,"")</f>
        <v/>
      </c>
    </row>
    <row r="2223">
      <c r="F2223" s="7">
        <f>IF($A2223="","",E2223*N2223/100)</f>
        <v/>
      </c>
      <c r="J2223" s="7" t="n"/>
      <c r="K2223" s="7">
        <f>IF($A2223="","",S2223*N2223)</f>
        <v/>
      </c>
      <c r="L2223" s="7">
        <f>IF($A2223="","",N2223-K2223)</f>
        <v/>
      </c>
      <c r="M2223" s="7">
        <f>IF($A2223="","",L2223-F2223)</f>
        <v/>
      </c>
      <c r="N2223" s="7" t="n"/>
      <c r="Q2223" s="11" t="n"/>
      <c r="S2223">
        <f>IF($A2223="","",IF($W2223=1,Settings!$C$6,Settings!$C$7)*1)</f>
        <v/>
      </c>
      <c r="U2223">
        <f>IF($A2223="","",IF(COUNTIF($A$2:$A2223,$A2223)=1,1,0))</f>
        <v/>
      </c>
      <c r="V2223">
        <f>IF($U2223=1,SUMPRODUCT(--($X$2:$X$3001&lt;$X2223))+1,"")</f>
        <v/>
      </c>
      <c r="W2223">
        <f>IF($A2223="","",IF(OR($T2223=TRUE(),$T2223="TRUE"),1,0))</f>
        <v/>
      </c>
      <c r="X2223">
        <f>IF($U2223=1,IFERROR(IF(VALUE($A2223)&lt;100000000,VALUE($A2223),1000000000),IFERROR(IF(VALUE(MID($A2223,2,20))&lt;100000000,VALUE(MID($A2223,2,20)),1000000000),1000000000))+ROW()/100000,"")</f>
        <v/>
      </c>
    </row>
    <row r="2224">
      <c r="F2224" s="7">
        <f>IF($A2224="","",E2224*N2224/100)</f>
        <v/>
      </c>
      <c r="J2224" s="7" t="n"/>
      <c r="K2224" s="7">
        <f>IF($A2224="","",S2224*N2224)</f>
        <v/>
      </c>
      <c r="L2224" s="7">
        <f>IF($A2224="","",N2224-K2224)</f>
        <v/>
      </c>
      <c r="M2224" s="7">
        <f>IF($A2224="","",L2224-F2224)</f>
        <v/>
      </c>
      <c r="N2224" s="7" t="n"/>
      <c r="Q2224" s="11" t="n"/>
      <c r="S2224">
        <f>IF($A2224="","",IF($W2224=1,Settings!$C$6,Settings!$C$7)*1)</f>
        <v/>
      </c>
      <c r="U2224">
        <f>IF($A2224="","",IF(COUNTIF($A$2:$A2224,$A2224)=1,1,0))</f>
        <v/>
      </c>
      <c r="V2224">
        <f>IF($U2224=1,SUMPRODUCT(--($X$2:$X$3001&lt;$X2224))+1,"")</f>
        <v/>
      </c>
      <c r="W2224">
        <f>IF($A2224="","",IF(OR($T2224=TRUE(),$T2224="TRUE"),1,0))</f>
        <v/>
      </c>
      <c r="X2224">
        <f>IF($U2224=1,IFERROR(IF(VALUE($A2224)&lt;100000000,VALUE($A2224),1000000000),IFERROR(IF(VALUE(MID($A2224,2,20))&lt;100000000,VALUE(MID($A2224,2,20)),1000000000),1000000000))+ROW()/100000,"")</f>
        <v/>
      </c>
    </row>
    <row r="2225">
      <c r="F2225" s="7">
        <f>IF($A2225="","",E2225*N2225/100)</f>
        <v/>
      </c>
      <c r="J2225" s="7" t="n"/>
      <c r="K2225" s="7">
        <f>IF($A2225="","",S2225*N2225)</f>
        <v/>
      </c>
      <c r="L2225" s="7">
        <f>IF($A2225="","",N2225-K2225)</f>
        <v/>
      </c>
      <c r="M2225" s="7">
        <f>IF($A2225="","",L2225-F2225)</f>
        <v/>
      </c>
      <c r="N2225" s="7" t="n"/>
      <c r="Q2225" s="11" t="n"/>
      <c r="S2225">
        <f>IF($A2225="","",IF($W2225=1,Settings!$C$6,Settings!$C$7)*1)</f>
        <v/>
      </c>
      <c r="U2225">
        <f>IF($A2225="","",IF(COUNTIF($A$2:$A2225,$A2225)=1,1,0))</f>
        <v/>
      </c>
      <c r="V2225">
        <f>IF($U2225=1,SUMPRODUCT(--($X$2:$X$3001&lt;$X2225))+1,"")</f>
        <v/>
      </c>
      <c r="W2225">
        <f>IF($A2225="","",IF(OR($T2225=TRUE(),$T2225="TRUE"),1,0))</f>
        <v/>
      </c>
      <c r="X2225">
        <f>IF($U2225=1,IFERROR(IF(VALUE($A2225)&lt;100000000,VALUE($A2225),1000000000),IFERROR(IF(VALUE(MID($A2225,2,20))&lt;100000000,VALUE(MID($A2225,2,20)),1000000000),1000000000))+ROW()/100000,"")</f>
        <v/>
      </c>
    </row>
    <row r="2226">
      <c r="F2226" s="7">
        <f>IF($A2226="","",E2226*N2226/100)</f>
        <v/>
      </c>
      <c r="J2226" s="7" t="n"/>
      <c r="K2226" s="7">
        <f>IF($A2226="","",S2226*N2226)</f>
        <v/>
      </c>
      <c r="L2226" s="7">
        <f>IF($A2226="","",N2226-K2226)</f>
        <v/>
      </c>
      <c r="M2226" s="7">
        <f>IF($A2226="","",L2226-F2226)</f>
        <v/>
      </c>
      <c r="N2226" s="7" t="n"/>
      <c r="Q2226" s="11" t="n"/>
      <c r="S2226">
        <f>IF($A2226="","",IF($W2226=1,Settings!$C$6,Settings!$C$7)*1)</f>
        <v/>
      </c>
      <c r="U2226">
        <f>IF($A2226="","",IF(COUNTIF($A$2:$A2226,$A2226)=1,1,0))</f>
        <v/>
      </c>
      <c r="V2226">
        <f>IF($U2226=1,SUMPRODUCT(--($X$2:$X$3001&lt;$X2226))+1,"")</f>
        <v/>
      </c>
      <c r="W2226">
        <f>IF($A2226="","",IF(OR($T2226=TRUE(),$T2226="TRUE"),1,0))</f>
        <v/>
      </c>
      <c r="X2226">
        <f>IF($U2226=1,IFERROR(IF(VALUE($A2226)&lt;100000000,VALUE($A2226),1000000000),IFERROR(IF(VALUE(MID($A2226,2,20))&lt;100000000,VALUE(MID($A2226,2,20)),1000000000),1000000000))+ROW()/100000,"")</f>
        <v/>
      </c>
    </row>
    <row r="2227">
      <c r="F2227" s="7">
        <f>IF($A2227="","",E2227*N2227/100)</f>
        <v/>
      </c>
      <c r="J2227" s="7" t="n"/>
      <c r="K2227" s="7">
        <f>IF($A2227="","",S2227*N2227)</f>
        <v/>
      </c>
      <c r="L2227" s="7">
        <f>IF($A2227="","",N2227-K2227)</f>
        <v/>
      </c>
      <c r="M2227" s="7">
        <f>IF($A2227="","",L2227-F2227)</f>
        <v/>
      </c>
      <c r="N2227" s="7" t="n"/>
      <c r="Q2227" s="11" t="n"/>
      <c r="S2227">
        <f>IF($A2227="","",IF($W2227=1,Settings!$C$6,Settings!$C$7)*1)</f>
        <v/>
      </c>
      <c r="U2227">
        <f>IF($A2227="","",IF(COUNTIF($A$2:$A2227,$A2227)=1,1,0))</f>
        <v/>
      </c>
      <c r="V2227">
        <f>IF($U2227=1,SUMPRODUCT(--($X$2:$X$3001&lt;$X2227))+1,"")</f>
        <v/>
      </c>
      <c r="W2227">
        <f>IF($A2227="","",IF(OR($T2227=TRUE(),$T2227="TRUE"),1,0))</f>
        <v/>
      </c>
      <c r="X2227">
        <f>IF($U2227=1,IFERROR(IF(VALUE($A2227)&lt;100000000,VALUE($A2227),1000000000),IFERROR(IF(VALUE(MID($A2227,2,20))&lt;100000000,VALUE(MID($A2227,2,20)),1000000000),1000000000))+ROW()/100000,"")</f>
        <v/>
      </c>
    </row>
    <row r="2228">
      <c r="F2228" s="7">
        <f>IF($A2228="","",E2228*N2228/100)</f>
        <v/>
      </c>
      <c r="J2228" s="7" t="n"/>
      <c r="K2228" s="7">
        <f>IF($A2228="","",S2228*N2228)</f>
        <v/>
      </c>
      <c r="L2228" s="7">
        <f>IF($A2228="","",N2228-K2228)</f>
        <v/>
      </c>
      <c r="M2228" s="7">
        <f>IF($A2228="","",L2228-F2228)</f>
        <v/>
      </c>
      <c r="N2228" s="7" t="n"/>
      <c r="Q2228" s="11" t="n"/>
      <c r="S2228">
        <f>IF($A2228="","",IF($W2228=1,Settings!$C$6,Settings!$C$7)*1)</f>
        <v/>
      </c>
      <c r="U2228">
        <f>IF($A2228="","",IF(COUNTIF($A$2:$A2228,$A2228)=1,1,0))</f>
        <v/>
      </c>
      <c r="V2228">
        <f>IF($U2228=1,SUMPRODUCT(--($X$2:$X$3001&lt;$X2228))+1,"")</f>
        <v/>
      </c>
      <c r="W2228">
        <f>IF($A2228="","",IF(OR($T2228=TRUE(),$T2228="TRUE"),1,0))</f>
        <v/>
      </c>
      <c r="X2228">
        <f>IF($U2228=1,IFERROR(IF(VALUE($A2228)&lt;100000000,VALUE($A2228),1000000000),IFERROR(IF(VALUE(MID($A2228,2,20))&lt;100000000,VALUE(MID($A2228,2,20)),1000000000),1000000000))+ROW()/100000,"")</f>
        <v/>
      </c>
    </row>
    <row r="2229">
      <c r="F2229" s="7">
        <f>IF($A2229="","",E2229*N2229/100)</f>
        <v/>
      </c>
      <c r="J2229" s="7" t="n"/>
      <c r="K2229" s="7">
        <f>IF($A2229="","",S2229*N2229)</f>
        <v/>
      </c>
      <c r="L2229" s="7">
        <f>IF($A2229="","",N2229-K2229)</f>
        <v/>
      </c>
      <c r="M2229" s="7">
        <f>IF($A2229="","",L2229-F2229)</f>
        <v/>
      </c>
      <c r="N2229" s="7" t="n"/>
      <c r="Q2229" s="11" t="n"/>
      <c r="S2229">
        <f>IF($A2229="","",IF($W2229=1,Settings!$C$6,Settings!$C$7)*1)</f>
        <v/>
      </c>
      <c r="U2229">
        <f>IF($A2229="","",IF(COUNTIF($A$2:$A2229,$A2229)=1,1,0))</f>
        <v/>
      </c>
      <c r="V2229">
        <f>IF($U2229=1,SUMPRODUCT(--($X$2:$X$3001&lt;$X2229))+1,"")</f>
        <v/>
      </c>
      <c r="W2229">
        <f>IF($A2229="","",IF(OR($T2229=TRUE(),$T2229="TRUE"),1,0))</f>
        <v/>
      </c>
      <c r="X2229">
        <f>IF($U2229=1,IFERROR(IF(VALUE($A2229)&lt;100000000,VALUE($A2229),1000000000),IFERROR(IF(VALUE(MID($A2229,2,20))&lt;100000000,VALUE(MID($A2229,2,20)),1000000000),1000000000))+ROW()/100000,"")</f>
        <v/>
      </c>
    </row>
    <row r="2230">
      <c r="F2230" s="7">
        <f>IF($A2230="","",E2230*N2230/100)</f>
        <v/>
      </c>
      <c r="J2230" s="7" t="n"/>
      <c r="K2230" s="7">
        <f>IF($A2230="","",S2230*N2230)</f>
        <v/>
      </c>
      <c r="L2230" s="7">
        <f>IF($A2230="","",N2230-K2230)</f>
        <v/>
      </c>
      <c r="M2230" s="7">
        <f>IF($A2230="","",L2230-F2230)</f>
        <v/>
      </c>
      <c r="N2230" s="7" t="n"/>
      <c r="Q2230" s="11" t="n"/>
      <c r="S2230">
        <f>IF($A2230="","",IF($W2230=1,Settings!$C$6,Settings!$C$7)*1)</f>
        <v/>
      </c>
      <c r="U2230">
        <f>IF($A2230="","",IF(COUNTIF($A$2:$A2230,$A2230)=1,1,0))</f>
        <v/>
      </c>
      <c r="V2230">
        <f>IF($U2230=1,SUMPRODUCT(--($X$2:$X$3001&lt;$X2230))+1,"")</f>
        <v/>
      </c>
      <c r="W2230">
        <f>IF($A2230="","",IF(OR($T2230=TRUE(),$T2230="TRUE"),1,0))</f>
        <v/>
      </c>
      <c r="X2230">
        <f>IF($U2230=1,IFERROR(IF(VALUE($A2230)&lt;100000000,VALUE($A2230),1000000000),IFERROR(IF(VALUE(MID($A2230,2,20))&lt;100000000,VALUE(MID($A2230,2,20)),1000000000),1000000000))+ROW()/100000,"")</f>
        <v/>
      </c>
    </row>
    <row r="2231">
      <c r="F2231" s="7">
        <f>IF($A2231="","",E2231*N2231/100)</f>
        <v/>
      </c>
      <c r="J2231" s="7" t="n"/>
      <c r="K2231" s="7">
        <f>IF($A2231="","",S2231*N2231)</f>
        <v/>
      </c>
      <c r="L2231" s="7">
        <f>IF($A2231="","",N2231-K2231)</f>
        <v/>
      </c>
      <c r="M2231" s="7">
        <f>IF($A2231="","",L2231-F2231)</f>
        <v/>
      </c>
      <c r="N2231" s="7" t="n"/>
      <c r="Q2231" s="11" t="n"/>
      <c r="S2231">
        <f>IF($A2231="","",IF($W2231=1,Settings!$C$6,Settings!$C$7)*1)</f>
        <v/>
      </c>
      <c r="U2231">
        <f>IF($A2231="","",IF(COUNTIF($A$2:$A2231,$A2231)=1,1,0))</f>
        <v/>
      </c>
      <c r="V2231">
        <f>IF($U2231=1,SUMPRODUCT(--($X$2:$X$3001&lt;$X2231))+1,"")</f>
        <v/>
      </c>
      <c r="W2231">
        <f>IF($A2231="","",IF(OR($T2231=TRUE(),$T2231="TRUE"),1,0))</f>
        <v/>
      </c>
      <c r="X2231">
        <f>IF($U2231=1,IFERROR(IF(VALUE($A2231)&lt;100000000,VALUE($A2231),1000000000),IFERROR(IF(VALUE(MID($A2231,2,20))&lt;100000000,VALUE(MID($A2231,2,20)),1000000000),1000000000))+ROW()/100000,"")</f>
        <v/>
      </c>
    </row>
    <row r="2232">
      <c r="F2232" s="7">
        <f>IF($A2232="","",E2232*N2232/100)</f>
        <v/>
      </c>
      <c r="J2232" s="7" t="n"/>
      <c r="K2232" s="7">
        <f>IF($A2232="","",S2232*N2232)</f>
        <v/>
      </c>
      <c r="L2232" s="7">
        <f>IF($A2232="","",N2232-K2232)</f>
        <v/>
      </c>
      <c r="M2232" s="7">
        <f>IF($A2232="","",L2232-F2232)</f>
        <v/>
      </c>
      <c r="N2232" s="7" t="n"/>
      <c r="Q2232" s="11" t="n"/>
      <c r="S2232">
        <f>IF($A2232="","",IF($W2232=1,Settings!$C$6,Settings!$C$7)*1)</f>
        <v/>
      </c>
      <c r="U2232">
        <f>IF($A2232="","",IF(COUNTIF($A$2:$A2232,$A2232)=1,1,0))</f>
        <v/>
      </c>
      <c r="V2232">
        <f>IF($U2232=1,SUMPRODUCT(--($X$2:$X$3001&lt;$X2232))+1,"")</f>
        <v/>
      </c>
      <c r="W2232">
        <f>IF($A2232="","",IF(OR($T2232=TRUE(),$T2232="TRUE"),1,0))</f>
        <v/>
      </c>
      <c r="X2232">
        <f>IF($U2232=1,IFERROR(IF(VALUE($A2232)&lt;100000000,VALUE($A2232),1000000000),IFERROR(IF(VALUE(MID($A2232,2,20))&lt;100000000,VALUE(MID($A2232,2,20)),1000000000),1000000000))+ROW()/100000,"")</f>
        <v/>
      </c>
    </row>
    <row r="2233">
      <c r="F2233" s="7">
        <f>IF($A2233="","",E2233*N2233/100)</f>
        <v/>
      </c>
      <c r="J2233" s="7" t="n"/>
      <c r="K2233" s="7">
        <f>IF($A2233="","",S2233*N2233)</f>
        <v/>
      </c>
      <c r="L2233" s="7">
        <f>IF($A2233="","",N2233-K2233)</f>
        <v/>
      </c>
      <c r="M2233" s="7">
        <f>IF($A2233="","",L2233-F2233)</f>
        <v/>
      </c>
      <c r="N2233" s="7" t="n"/>
      <c r="Q2233" s="11" t="n"/>
      <c r="S2233">
        <f>IF($A2233="","",IF($W2233=1,Settings!$C$6,Settings!$C$7)*1)</f>
        <v/>
      </c>
      <c r="U2233">
        <f>IF($A2233="","",IF(COUNTIF($A$2:$A2233,$A2233)=1,1,0))</f>
        <v/>
      </c>
      <c r="V2233">
        <f>IF($U2233=1,SUMPRODUCT(--($X$2:$X$3001&lt;$X2233))+1,"")</f>
        <v/>
      </c>
      <c r="W2233">
        <f>IF($A2233="","",IF(OR($T2233=TRUE(),$T2233="TRUE"),1,0))</f>
        <v/>
      </c>
      <c r="X2233">
        <f>IF($U2233=1,IFERROR(IF(VALUE($A2233)&lt;100000000,VALUE($A2233),1000000000),IFERROR(IF(VALUE(MID($A2233,2,20))&lt;100000000,VALUE(MID($A2233,2,20)),1000000000),1000000000))+ROW()/100000,"")</f>
        <v/>
      </c>
    </row>
    <row r="2234">
      <c r="F2234" s="7">
        <f>IF($A2234="","",E2234*N2234/100)</f>
        <v/>
      </c>
      <c r="J2234" s="7" t="n"/>
      <c r="K2234" s="7">
        <f>IF($A2234="","",S2234*N2234)</f>
        <v/>
      </c>
      <c r="L2234" s="7">
        <f>IF($A2234="","",N2234-K2234)</f>
        <v/>
      </c>
      <c r="M2234" s="7">
        <f>IF($A2234="","",L2234-F2234)</f>
        <v/>
      </c>
      <c r="N2234" s="7" t="n"/>
      <c r="Q2234" s="11" t="n"/>
      <c r="S2234">
        <f>IF($A2234="","",IF($W2234=1,Settings!$C$6,Settings!$C$7)*1)</f>
        <v/>
      </c>
      <c r="U2234">
        <f>IF($A2234="","",IF(COUNTIF($A$2:$A2234,$A2234)=1,1,0))</f>
        <v/>
      </c>
      <c r="V2234">
        <f>IF($U2234=1,SUMPRODUCT(--($X$2:$X$3001&lt;$X2234))+1,"")</f>
        <v/>
      </c>
      <c r="W2234">
        <f>IF($A2234="","",IF(OR($T2234=TRUE(),$T2234="TRUE"),1,0))</f>
        <v/>
      </c>
      <c r="X2234">
        <f>IF($U2234=1,IFERROR(IF(VALUE($A2234)&lt;100000000,VALUE($A2234),1000000000),IFERROR(IF(VALUE(MID($A2234,2,20))&lt;100000000,VALUE(MID($A2234,2,20)),1000000000),1000000000))+ROW()/100000,"")</f>
        <v/>
      </c>
    </row>
    <row r="2235">
      <c r="F2235" s="7">
        <f>IF($A2235="","",E2235*N2235/100)</f>
        <v/>
      </c>
      <c r="J2235" s="7" t="n"/>
      <c r="K2235" s="7">
        <f>IF($A2235="","",S2235*N2235)</f>
        <v/>
      </c>
      <c r="L2235" s="7">
        <f>IF($A2235="","",N2235-K2235)</f>
        <v/>
      </c>
      <c r="M2235" s="7">
        <f>IF($A2235="","",L2235-F2235)</f>
        <v/>
      </c>
      <c r="N2235" s="7" t="n"/>
      <c r="Q2235" s="11" t="n"/>
      <c r="S2235">
        <f>IF($A2235="","",IF($W2235=1,Settings!$C$6,Settings!$C$7)*1)</f>
        <v/>
      </c>
      <c r="U2235">
        <f>IF($A2235="","",IF(COUNTIF($A$2:$A2235,$A2235)=1,1,0))</f>
        <v/>
      </c>
      <c r="V2235">
        <f>IF($U2235=1,SUMPRODUCT(--($X$2:$X$3001&lt;$X2235))+1,"")</f>
        <v/>
      </c>
      <c r="W2235">
        <f>IF($A2235="","",IF(OR($T2235=TRUE(),$T2235="TRUE"),1,0))</f>
        <v/>
      </c>
      <c r="X2235">
        <f>IF($U2235=1,IFERROR(IF(VALUE($A2235)&lt;100000000,VALUE($A2235),1000000000),IFERROR(IF(VALUE(MID($A2235,2,20))&lt;100000000,VALUE(MID($A2235,2,20)),1000000000),1000000000))+ROW()/100000,"")</f>
        <v/>
      </c>
    </row>
    <row r="2236">
      <c r="F2236" s="7">
        <f>IF($A2236="","",E2236*N2236/100)</f>
        <v/>
      </c>
      <c r="J2236" s="7" t="n"/>
      <c r="K2236" s="7">
        <f>IF($A2236="","",S2236*N2236)</f>
        <v/>
      </c>
      <c r="L2236" s="7">
        <f>IF($A2236="","",N2236-K2236)</f>
        <v/>
      </c>
      <c r="M2236" s="7">
        <f>IF($A2236="","",L2236-F2236)</f>
        <v/>
      </c>
      <c r="N2236" s="7" t="n"/>
      <c r="Q2236" s="11" t="n"/>
      <c r="S2236">
        <f>IF($A2236="","",IF($W2236=1,Settings!$C$6,Settings!$C$7)*1)</f>
        <v/>
      </c>
      <c r="U2236">
        <f>IF($A2236="","",IF(COUNTIF($A$2:$A2236,$A2236)=1,1,0))</f>
        <v/>
      </c>
      <c r="V2236">
        <f>IF($U2236=1,SUMPRODUCT(--($X$2:$X$3001&lt;$X2236))+1,"")</f>
        <v/>
      </c>
      <c r="W2236">
        <f>IF($A2236="","",IF(OR($T2236=TRUE(),$T2236="TRUE"),1,0))</f>
        <v/>
      </c>
      <c r="X2236">
        <f>IF($U2236=1,IFERROR(IF(VALUE($A2236)&lt;100000000,VALUE($A2236),1000000000),IFERROR(IF(VALUE(MID($A2236,2,20))&lt;100000000,VALUE(MID($A2236,2,20)),1000000000),1000000000))+ROW()/100000,"")</f>
        <v/>
      </c>
    </row>
    <row r="2237">
      <c r="F2237" s="7">
        <f>IF($A2237="","",E2237*N2237/100)</f>
        <v/>
      </c>
      <c r="J2237" s="7" t="n"/>
      <c r="K2237" s="7">
        <f>IF($A2237="","",S2237*N2237)</f>
        <v/>
      </c>
      <c r="L2237" s="7">
        <f>IF($A2237="","",N2237-K2237)</f>
        <v/>
      </c>
      <c r="M2237" s="7">
        <f>IF($A2237="","",L2237-F2237)</f>
        <v/>
      </c>
      <c r="N2237" s="7" t="n"/>
      <c r="Q2237" s="11" t="n"/>
      <c r="S2237">
        <f>IF($A2237="","",IF($W2237=1,Settings!$C$6,Settings!$C$7)*1)</f>
        <v/>
      </c>
      <c r="U2237">
        <f>IF($A2237="","",IF(COUNTIF($A$2:$A2237,$A2237)=1,1,0))</f>
        <v/>
      </c>
      <c r="V2237">
        <f>IF($U2237=1,SUMPRODUCT(--($X$2:$X$3001&lt;$X2237))+1,"")</f>
        <v/>
      </c>
      <c r="W2237">
        <f>IF($A2237="","",IF(OR($T2237=TRUE(),$T2237="TRUE"),1,0))</f>
        <v/>
      </c>
      <c r="X2237">
        <f>IF($U2237=1,IFERROR(IF(VALUE($A2237)&lt;100000000,VALUE($A2237),1000000000),IFERROR(IF(VALUE(MID($A2237,2,20))&lt;100000000,VALUE(MID($A2237,2,20)),1000000000),1000000000))+ROW()/100000,"")</f>
        <v/>
      </c>
    </row>
    <row r="2238">
      <c r="F2238" s="7">
        <f>IF($A2238="","",E2238*N2238/100)</f>
        <v/>
      </c>
      <c r="J2238" s="7" t="n"/>
      <c r="K2238" s="7">
        <f>IF($A2238="","",S2238*N2238)</f>
        <v/>
      </c>
      <c r="L2238" s="7">
        <f>IF($A2238="","",N2238-K2238)</f>
        <v/>
      </c>
      <c r="M2238" s="7">
        <f>IF($A2238="","",L2238-F2238)</f>
        <v/>
      </c>
      <c r="N2238" s="7" t="n"/>
      <c r="Q2238" s="11" t="n"/>
      <c r="S2238">
        <f>IF($A2238="","",IF($W2238=1,Settings!$C$6,Settings!$C$7)*1)</f>
        <v/>
      </c>
      <c r="U2238">
        <f>IF($A2238="","",IF(COUNTIF($A$2:$A2238,$A2238)=1,1,0))</f>
        <v/>
      </c>
      <c r="V2238">
        <f>IF($U2238=1,SUMPRODUCT(--($X$2:$X$3001&lt;$X2238))+1,"")</f>
        <v/>
      </c>
      <c r="W2238">
        <f>IF($A2238="","",IF(OR($T2238=TRUE(),$T2238="TRUE"),1,0))</f>
        <v/>
      </c>
      <c r="X2238">
        <f>IF($U2238=1,IFERROR(IF(VALUE($A2238)&lt;100000000,VALUE($A2238),1000000000),IFERROR(IF(VALUE(MID($A2238,2,20))&lt;100000000,VALUE(MID($A2238,2,20)),1000000000),1000000000))+ROW()/100000,"")</f>
        <v/>
      </c>
    </row>
    <row r="2239">
      <c r="F2239" s="7">
        <f>IF($A2239="","",E2239*N2239/100)</f>
        <v/>
      </c>
      <c r="J2239" s="7" t="n"/>
      <c r="K2239" s="7">
        <f>IF($A2239="","",S2239*N2239)</f>
        <v/>
      </c>
      <c r="L2239" s="7">
        <f>IF($A2239="","",N2239-K2239)</f>
        <v/>
      </c>
      <c r="M2239" s="7">
        <f>IF($A2239="","",L2239-F2239)</f>
        <v/>
      </c>
      <c r="N2239" s="7" t="n"/>
      <c r="Q2239" s="11" t="n"/>
      <c r="S2239">
        <f>IF($A2239="","",IF($W2239=1,Settings!$C$6,Settings!$C$7)*1)</f>
        <v/>
      </c>
      <c r="U2239">
        <f>IF($A2239="","",IF(COUNTIF($A$2:$A2239,$A2239)=1,1,0))</f>
        <v/>
      </c>
      <c r="V2239">
        <f>IF($U2239=1,SUMPRODUCT(--($X$2:$X$3001&lt;$X2239))+1,"")</f>
        <v/>
      </c>
      <c r="W2239">
        <f>IF($A2239="","",IF(OR($T2239=TRUE(),$T2239="TRUE"),1,0))</f>
        <v/>
      </c>
      <c r="X2239">
        <f>IF($U2239=1,IFERROR(IF(VALUE($A2239)&lt;100000000,VALUE($A2239),1000000000),IFERROR(IF(VALUE(MID($A2239,2,20))&lt;100000000,VALUE(MID($A2239,2,20)),1000000000),1000000000))+ROW()/100000,"")</f>
        <v/>
      </c>
    </row>
    <row r="2240">
      <c r="F2240" s="7">
        <f>IF($A2240="","",E2240*N2240/100)</f>
        <v/>
      </c>
      <c r="J2240" s="7" t="n"/>
      <c r="K2240" s="7">
        <f>IF($A2240="","",S2240*N2240)</f>
        <v/>
      </c>
      <c r="L2240" s="7">
        <f>IF($A2240="","",N2240-K2240)</f>
        <v/>
      </c>
      <c r="M2240" s="7">
        <f>IF($A2240="","",L2240-F2240)</f>
        <v/>
      </c>
      <c r="N2240" s="7" t="n"/>
      <c r="Q2240" s="11" t="n"/>
      <c r="S2240">
        <f>IF($A2240="","",IF($W2240=1,Settings!$C$6,Settings!$C$7)*1)</f>
        <v/>
      </c>
      <c r="U2240">
        <f>IF($A2240="","",IF(COUNTIF($A$2:$A2240,$A2240)=1,1,0))</f>
        <v/>
      </c>
      <c r="V2240">
        <f>IF($U2240=1,SUMPRODUCT(--($X$2:$X$3001&lt;$X2240))+1,"")</f>
        <v/>
      </c>
      <c r="W2240">
        <f>IF($A2240="","",IF(OR($T2240=TRUE(),$T2240="TRUE"),1,0))</f>
        <v/>
      </c>
      <c r="X2240">
        <f>IF($U2240=1,IFERROR(IF(VALUE($A2240)&lt;100000000,VALUE($A2240),1000000000),IFERROR(IF(VALUE(MID($A2240,2,20))&lt;100000000,VALUE(MID($A2240,2,20)),1000000000),1000000000))+ROW()/100000,"")</f>
        <v/>
      </c>
    </row>
    <row r="2241">
      <c r="F2241" s="7">
        <f>IF($A2241="","",E2241*N2241/100)</f>
        <v/>
      </c>
      <c r="J2241" s="7" t="n"/>
      <c r="K2241" s="7">
        <f>IF($A2241="","",S2241*N2241)</f>
        <v/>
      </c>
      <c r="L2241" s="7">
        <f>IF($A2241="","",N2241-K2241)</f>
        <v/>
      </c>
      <c r="M2241" s="7">
        <f>IF($A2241="","",L2241-F2241)</f>
        <v/>
      </c>
      <c r="N2241" s="7" t="n"/>
      <c r="Q2241" s="11" t="n"/>
      <c r="S2241">
        <f>IF($A2241="","",IF($W2241=1,Settings!$C$6,Settings!$C$7)*1)</f>
        <v/>
      </c>
      <c r="U2241">
        <f>IF($A2241="","",IF(COUNTIF($A$2:$A2241,$A2241)=1,1,0))</f>
        <v/>
      </c>
      <c r="V2241">
        <f>IF($U2241=1,SUMPRODUCT(--($X$2:$X$3001&lt;$X2241))+1,"")</f>
        <v/>
      </c>
      <c r="W2241">
        <f>IF($A2241="","",IF(OR($T2241=TRUE(),$T2241="TRUE"),1,0))</f>
        <v/>
      </c>
      <c r="X2241">
        <f>IF($U2241=1,IFERROR(IF(VALUE($A2241)&lt;100000000,VALUE($A2241),1000000000),IFERROR(IF(VALUE(MID($A2241,2,20))&lt;100000000,VALUE(MID($A2241,2,20)),1000000000),1000000000))+ROW()/100000,"")</f>
        <v/>
      </c>
    </row>
    <row r="2242">
      <c r="F2242" s="7">
        <f>IF($A2242="","",E2242*N2242/100)</f>
        <v/>
      </c>
      <c r="J2242" s="7" t="n"/>
      <c r="K2242" s="7">
        <f>IF($A2242="","",S2242*N2242)</f>
        <v/>
      </c>
      <c r="L2242" s="7">
        <f>IF($A2242="","",N2242-K2242)</f>
        <v/>
      </c>
      <c r="M2242" s="7">
        <f>IF($A2242="","",L2242-F2242)</f>
        <v/>
      </c>
      <c r="N2242" s="7" t="n"/>
      <c r="Q2242" s="11" t="n"/>
      <c r="S2242">
        <f>IF($A2242="","",IF($W2242=1,Settings!$C$6,Settings!$C$7)*1)</f>
        <v/>
      </c>
      <c r="U2242">
        <f>IF($A2242="","",IF(COUNTIF($A$2:$A2242,$A2242)=1,1,0))</f>
        <v/>
      </c>
      <c r="V2242">
        <f>IF($U2242=1,SUMPRODUCT(--($X$2:$X$3001&lt;$X2242))+1,"")</f>
        <v/>
      </c>
      <c r="W2242">
        <f>IF($A2242="","",IF(OR($T2242=TRUE(),$T2242="TRUE"),1,0))</f>
        <v/>
      </c>
      <c r="X2242">
        <f>IF($U2242=1,IFERROR(IF(VALUE($A2242)&lt;100000000,VALUE($A2242),1000000000),IFERROR(IF(VALUE(MID($A2242,2,20))&lt;100000000,VALUE(MID($A2242,2,20)),1000000000),1000000000))+ROW()/100000,"")</f>
        <v/>
      </c>
    </row>
    <row r="2243">
      <c r="F2243" s="7">
        <f>IF($A2243="","",E2243*N2243/100)</f>
        <v/>
      </c>
      <c r="J2243" s="7" t="n"/>
      <c r="K2243" s="7">
        <f>IF($A2243="","",S2243*N2243)</f>
        <v/>
      </c>
      <c r="L2243" s="7">
        <f>IF($A2243="","",N2243-K2243)</f>
        <v/>
      </c>
      <c r="M2243" s="7">
        <f>IF($A2243="","",L2243-F2243)</f>
        <v/>
      </c>
      <c r="N2243" s="7" t="n"/>
      <c r="Q2243" s="11" t="n"/>
      <c r="S2243">
        <f>IF($A2243="","",IF($W2243=1,Settings!$C$6,Settings!$C$7)*1)</f>
        <v/>
      </c>
      <c r="U2243">
        <f>IF($A2243="","",IF(COUNTIF($A$2:$A2243,$A2243)=1,1,0))</f>
        <v/>
      </c>
      <c r="V2243">
        <f>IF($U2243=1,SUMPRODUCT(--($X$2:$X$3001&lt;$X2243))+1,"")</f>
        <v/>
      </c>
      <c r="W2243">
        <f>IF($A2243="","",IF(OR($T2243=TRUE(),$T2243="TRUE"),1,0))</f>
        <v/>
      </c>
      <c r="X2243">
        <f>IF($U2243=1,IFERROR(IF(VALUE($A2243)&lt;100000000,VALUE($A2243),1000000000),IFERROR(IF(VALUE(MID($A2243,2,20))&lt;100000000,VALUE(MID($A2243,2,20)),1000000000),1000000000))+ROW()/100000,"")</f>
        <v/>
      </c>
    </row>
    <row r="2244">
      <c r="F2244" s="7">
        <f>IF($A2244="","",E2244*N2244/100)</f>
        <v/>
      </c>
      <c r="J2244" s="7" t="n"/>
      <c r="K2244" s="7">
        <f>IF($A2244="","",S2244*N2244)</f>
        <v/>
      </c>
      <c r="L2244" s="7">
        <f>IF($A2244="","",N2244-K2244)</f>
        <v/>
      </c>
      <c r="M2244" s="7">
        <f>IF($A2244="","",L2244-F2244)</f>
        <v/>
      </c>
      <c r="N2244" s="7" t="n"/>
      <c r="Q2244" s="11" t="n"/>
      <c r="S2244">
        <f>IF($A2244="","",IF($W2244=1,Settings!$C$6,Settings!$C$7)*1)</f>
        <v/>
      </c>
      <c r="U2244">
        <f>IF($A2244="","",IF(COUNTIF($A$2:$A2244,$A2244)=1,1,0))</f>
        <v/>
      </c>
      <c r="V2244">
        <f>IF($U2244=1,SUMPRODUCT(--($X$2:$X$3001&lt;$X2244))+1,"")</f>
        <v/>
      </c>
      <c r="W2244">
        <f>IF($A2244="","",IF(OR($T2244=TRUE(),$T2244="TRUE"),1,0))</f>
        <v/>
      </c>
      <c r="X2244">
        <f>IF($U2244=1,IFERROR(IF(VALUE($A2244)&lt;100000000,VALUE($A2244),1000000000),IFERROR(IF(VALUE(MID($A2244,2,20))&lt;100000000,VALUE(MID($A2244,2,20)),1000000000),1000000000))+ROW()/100000,"")</f>
        <v/>
      </c>
    </row>
    <row r="2245">
      <c r="F2245" s="7">
        <f>IF($A2245="","",E2245*N2245/100)</f>
        <v/>
      </c>
      <c r="J2245" s="7" t="n"/>
      <c r="K2245" s="7">
        <f>IF($A2245="","",S2245*N2245)</f>
        <v/>
      </c>
      <c r="L2245" s="7">
        <f>IF($A2245="","",N2245-K2245)</f>
        <v/>
      </c>
      <c r="M2245" s="7">
        <f>IF($A2245="","",L2245-F2245)</f>
        <v/>
      </c>
      <c r="N2245" s="7" t="n"/>
      <c r="Q2245" s="11" t="n"/>
      <c r="S2245">
        <f>IF($A2245="","",IF($W2245=1,Settings!$C$6,Settings!$C$7)*1)</f>
        <v/>
      </c>
      <c r="U2245">
        <f>IF($A2245="","",IF(COUNTIF($A$2:$A2245,$A2245)=1,1,0))</f>
        <v/>
      </c>
      <c r="V2245">
        <f>IF($U2245=1,SUMPRODUCT(--($X$2:$X$3001&lt;$X2245))+1,"")</f>
        <v/>
      </c>
      <c r="W2245">
        <f>IF($A2245="","",IF(OR($T2245=TRUE(),$T2245="TRUE"),1,0))</f>
        <v/>
      </c>
      <c r="X2245">
        <f>IF($U2245=1,IFERROR(IF(VALUE($A2245)&lt;100000000,VALUE($A2245),1000000000),IFERROR(IF(VALUE(MID($A2245,2,20))&lt;100000000,VALUE(MID($A2245,2,20)),1000000000),1000000000))+ROW()/100000,"")</f>
        <v/>
      </c>
    </row>
    <row r="2246">
      <c r="F2246" s="7">
        <f>IF($A2246="","",E2246*N2246/100)</f>
        <v/>
      </c>
      <c r="J2246" s="7" t="n"/>
      <c r="K2246" s="7">
        <f>IF($A2246="","",S2246*N2246)</f>
        <v/>
      </c>
      <c r="L2246" s="7">
        <f>IF($A2246="","",N2246-K2246)</f>
        <v/>
      </c>
      <c r="M2246" s="7">
        <f>IF($A2246="","",L2246-F2246)</f>
        <v/>
      </c>
      <c r="N2246" s="7" t="n"/>
      <c r="Q2246" s="11" t="n"/>
      <c r="S2246">
        <f>IF($A2246="","",IF($W2246=1,Settings!$C$6,Settings!$C$7)*1)</f>
        <v/>
      </c>
      <c r="U2246">
        <f>IF($A2246="","",IF(COUNTIF($A$2:$A2246,$A2246)=1,1,0))</f>
        <v/>
      </c>
      <c r="V2246">
        <f>IF($U2246=1,SUMPRODUCT(--($X$2:$X$3001&lt;$X2246))+1,"")</f>
        <v/>
      </c>
      <c r="W2246">
        <f>IF($A2246="","",IF(OR($T2246=TRUE(),$T2246="TRUE"),1,0))</f>
        <v/>
      </c>
      <c r="X2246">
        <f>IF($U2246=1,IFERROR(IF(VALUE($A2246)&lt;100000000,VALUE($A2246),1000000000),IFERROR(IF(VALUE(MID($A2246,2,20))&lt;100000000,VALUE(MID($A2246,2,20)),1000000000),1000000000))+ROW()/100000,"")</f>
        <v/>
      </c>
    </row>
    <row r="2247">
      <c r="F2247" s="7">
        <f>IF($A2247="","",E2247*N2247/100)</f>
        <v/>
      </c>
      <c r="J2247" s="7" t="n"/>
      <c r="K2247" s="7">
        <f>IF($A2247="","",S2247*N2247)</f>
        <v/>
      </c>
      <c r="L2247" s="7">
        <f>IF($A2247="","",N2247-K2247)</f>
        <v/>
      </c>
      <c r="M2247" s="7">
        <f>IF($A2247="","",L2247-F2247)</f>
        <v/>
      </c>
      <c r="N2247" s="7" t="n"/>
      <c r="Q2247" s="11" t="n"/>
      <c r="S2247">
        <f>IF($A2247="","",IF($W2247=1,Settings!$C$6,Settings!$C$7)*1)</f>
        <v/>
      </c>
      <c r="U2247">
        <f>IF($A2247="","",IF(COUNTIF($A$2:$A2247,$A2247)=1,1,0))</f>
        <v/>
      </c>
      <c r="V2247">
        <f>IF($U2247=1,SUMPRODUCT(--($X$2:$X$3001&lt;$X2247))+1,"")</f>
        <v/>
      </c>
      <c r="W2247">
        <f>IF($A2247="","",IF(OR($T2247=TRUE(),$T2247="TRUE"),1,0))</f>
        <v/>
      </c>
      <c r="X2247">
        <f>IF($U2247=1,IFERROR(IF(VALUE($A2247)&lt;100000000,VALUE($A2247),1000000000),IFERROR(IF(VALUE(MID($A2247,2,20))&lt;100000000,VALUE(MID($A2247,2,20)),1000000000),1000000000))+ROW()/100000,"")</f>
        <v/>
      </c>
    </row>
    <row r="2248">
      <c r="F2248" s="7">
        <f>IF($A2248="","",E2248*N2248/100)</f>
        <v/>
      </c>
      <c r="J2248" s="7" t="n"/>
      <c r="K2248" s="7">
        <f>IF($A2248="","",S2248*N2248)</f>
        <v/>
      </c>
      <c r="L2248" s="7">
        <f>IF($A2248="","",N2248-K2248)</f>
        <v/>
      </c>
      <c r="M2248" s="7">
        <f>IF($A2248="","",L2248-F2248)</f>
        <v/>
      </c>
      <c r="N2248" s="7" t="n"/>
      <c r="Q2248" s="11" t="n"/>
      <c r="S2248">
        <f>IF($A2248="","",IF($W2248=1,Settings!$C$6,Settings!$C$7)*1)</f>
        <v/>
      </c>
      <c r="U2248">
        <f>IF($A2248="","",IF(COUNTIF($A$2:$A2248,$A2248)=1,1,0))</f>
        <v/>
      </c>
      <c r="V2248">
        <f>IF($U2248=1,SUMPRODUCT(--($X$2:$X$3001&lt;$X2248))+1,"")</f>
        <v/>
      </c>
      <c r="W2248">
        <f>IF($A2248="","",IF(OR($T2248=TRUE(),$T2248="TRUE"),1,0))</f>
        <v/>
      </c>
      <c r="X2248">
        <f>IF($U2248=1,IFERROR(IF(VALUE($A2248)&lt;100000000,VALUE($A2248),1000000000),IFERROR(IF(VALUE(MID($A2248,2,20))&lt;100000000,VALUE(MID($A2248,2,20)),1000000000),1000000000))+ROW()/100000,"")</f>
        <v/>
      </c>
    </row>
    <row r="2249">
      <c r="F2249" s="7">
        <f>IF($A2249="","",E2249*N2249/100)</f>
        <v/>
      </c>
      <c r="J2249" s="7" t="n"/>
      <c r="K2249" s="7">
        <f>IF($A2249="","",S2249*N2249)</f>
        <v/>
      </c>
      <c r="L2249" s="7">
        <f>IF($A2249="","",N2249-K2249)</f>
        <v/>
      </c>
      <c r="M2249" s="7">
        <f>IF($A2249="","",L2249-F2249)</f>
        <v/>
      </c>
      <c r="N2249" s="7" t="n"/>
      <c r="Q2249" s="11" t="n"/>
      <c r="S2249">
        <f>IF($A2249="","",IF($W2249=1,Settings!$C$6,Settings!$C$7)*1)</f>
        <v/>
      </c>
      <c r="U2249">
        <f>IF($A2249="","",IF(COUNTIF($A$2:$A2249,$A2249)=1,1,0))</f>
        <v/>
      </c>
      <c r="V2249">
        <f>IF($U2249=1,SUMPRODUCT(--($X$2:$X$3001&lt;$X2249))+1,"")</f>
        <v/>
      </c>
      <c r="W2249">
        <f>IF($A2249="","",IF(OR($T2249=TRUE(),$T2249="TRUE"),1,0))</f>
        <v/>
      </c>
      <c r="X2249">
        <f>IF($U2249=1,IFERROR(IF(VALUE($A2249)&lt;100000000,VALUE($A2249),1000000000),IFERROR(IF(VALUE(MID($A2249,2,20))&lt;100000000,VALUE(MID($A2249,2,20)),1000000000),1000000000))+ROW()/100000,"")</f>
        <v/>
      </c>
    </row>
    <row r="2250">
      <c r="F2250" s="7">
        <f>IF($A2250="","",E2250*N2250/100)</f>
        <v/>
      </c>
      <c r="J2250" s="7" t="n"/>
      <c r="K2250" s="7">
        <f>IF($A2250="","",S2250*N2250)</f>
        <v/>
      </c>
      <c r="L2250" s="7">
        <f>IF($A2250="","",N2250-K2250)</f>
        <v/>
      </c>
      <c r="M2250" s="7">
        <f>IF($A2250="","",L2250-F2250)</f>
        <v/>
      </c>
      <c r="N2250" s="7" t="n"/>
      <c r="Q2250" s="11" t="n"/>
      <c r="S2250">
        <f>IF($A2250="","",IF($W2250=1,Settings!$C$6,Settings!$C$7)*1)</f>
        <v/>
      </c>
      <c r="U2250">
        <f>IF($A2250="","",IF(COUNTIF($A$2:$A2250,$A2250)=1,1,0))</f>
        <v/>
      </c>
      <c r="V2250">
        <f>IF($U2250=1,SUMPRODUCT(--($X$2:$X$3001&lt;$X2250))+1,"")</f>
        <v/>
      </c>
      <c r="W2250">
        <f>IF($A2250="","",IF(OR($T2250=TRUE(),$T2250="TRUE"),1,0))</f>
        <v/>
      </c>
      <c r="X2250">
        <f>IF($U2250=1,IFERROR(IF(VALUE($A2250)&lt;100000000,VALUE($A2250),1000000000),IFERROR(IF(VALUE(MID($A2250,2,20))&lt;100000000,VALUE(MID($A2250,2,20)),1000000000),1000000000))+ROW()/100000,"")</f>
        <v/>
      </c>
    </row>
    <row r="2251">
      <c r="F2251" s="7">
        <f>IF($A2251="","",E2251*N2251/100)</f>
        <v/>
      </c>
      <c r="J2251" s="7" t="n"/>
      <c r="K2251" s="7">
        <f>IF($A2251="","",S2251*N2251)</f>
        <v/>
      </c>
      <c r="L2251" s="7">
        <f>IF($A2251="","",N2251-K2251)</f>
        <v/>
      </c>
      <c r="M2251" s="7">
        <f>IF($A2251="","",L2251-F2251)</f>
        <v/>
      </c>
      <c r="N2251" s="7" t="n"/>
      <c r="Q2251" s="11" t="n"/>
      <c r="S2251">
        <f>IF($A2251="","",IF($W2251=1,Settings!$C$6,Settings!$C$7)*1)</f>
        <v/>
      </c>
      <c r="U2251">
        <f>IF($A2251="","",IF(COUNTIF($A$2:$A2251,$A2251)=1,1,0))</f>
        <v/>
      </c>
      <c r="V2251">
        <f>IF($U2251=1,SUMPRODUCT(--($X$2:$X$3001&lt;$X2251))+1,"")</f>
        <v/>
      </c>
      <c r="W2251">
        <f>IF($A2251="","",IF(OR($T2251=TRUE(),$T2251="TRUE"),1,0))</f>
        <v/>
      </c>
      <c r="X2251">
        <f>IF($U2251=1,IFERROR(IF(VALUE($A2251)&lt;100000000,VALUE($A2251),1000000000),IFERROR(IF(VALUE(MID($A2251,2,20))&lt;100000000,VALUE(MID($A2251,2,20)),1000000000),1000000000))+ROW()/100000,"")</f>
        <v/>
      </c>
    </row>
    <row r="2252">
      <c r="F2252" s="7">
        <f>IF($A2252="","",E2252*N2252/100)</f>
        <v/>
      </c>
      <c r="J2252" s="7" t="n"/>
      <c r="K2252" s="7">
        <f>IF($A2252="","",S2252*N2252)</f>
        <v/>
      </c>
      <c r="L2252" s="7">
        <f>IF($A2252="","",N2252-K2252)</f>
        <v/>
      </c>
      <c r="M2252" s="7">
        <f>IF($A2252="","",L2252-F2252)</f>
        <v/>
      </c>
      <c r="N2252" s="7" t="n"/>
      <c r="Q2252" s="11" t="n"/>
      <c r="S2252">
        <f>IF($A2252="","",IF($W2252=1,Settings!$C$6,Settings!$C$7)*1)</f>
        <v/>
      </c>
      <c r="U2252">
        <f>IF($A2252="","",IF(COUNTIF($A$2:$A2252,$A2252)=1,1,0))</f>
        <v/>
      </c>
      <c r="V2252">
        <f>IF($U2252=1,SUMPRODUCT(--($X$2:$X$3001&lt;$X2252))+1,"")</f>
        <v/>
      </c>
      <c r="W2252">
        <f>IF($A2252="","",IF(OR($T2252=TRUE(),$T2252="TRUE"),1,0))</f>
        <v/>
      </c>
      <c r="X2252">
        <f>IF($U2252=1,IFERROR(IF(VALUE($A2252)&lt;100000000,VALUE($A2252),1000000000),IFERROR(IF(VALUE(MID($A2252,2,20))&lt;100000000,VALUE(MID($A2252,2,20)),1000000000),1000000000))+ROW()/100000,"")</f>
        <v/>
      </c>
    </row>
    <row r="2253">
      <c r="F2253" s="7">
        <f>IF($A2253="","",E2253*N2253/100)</f>
        <v/>
      </c>
      <c r="J2253" s="7" t="n"/>
      <c r="K2253" s="7">
        <f>IF($A2253="","",S2253*N2253)</f>
        <v/>
      </c>
      <c r="L2253" s="7">
        <f>IF($A2253="","",N2253-K2253)</f>
        <v/>
      </c>
      <c r="M2253" s="7">
        <f>IF($A2253="","",L2253-F2253)</f>
        <v/>
      </c>
      <c r="N2253" s="7" t="n"/>
      <c r="Q2253" s="11" t="n"/>
      <c r="S2253">
        <f>IF($A2253="","",IF($W2253=1,Settings!$C$6,Settings!$C$7)*1)</f>
        <v/>
      </c>
      <c r="U2253">
        <f>IF($A2253="","",IF(COUNTIF($A$2:$A2253,$A2253)=1,1,0))</f>
        <v/>
      </c>
      <c r="V2253">
        <f>IF($U2253=1,SUMPRODUCT(--($X$2:$X$3001&lt;$X2253))+1,"")</f>
        <v/>
      </c>
      <c r="W2253">
        <f>IF($A2253="","",IF(OR($T2253=TRUE(),$T2253="TRUE"),1,0))</f>
        <v/>
      </c>
      <c r="X2253">
        <f>IF($U2253=1,IFERROR(IF(VALUE($A2253)&lt;100000000,VALUE($A2253),1000000000),IFERROR(IF(VALUE(MID($A2253,2,20))&lt;100000000,VALUE(MID($A2253,2,20)),1000000000),1000000000))+ROW()/100000,"")</f>
        <v/>
      </c>
    </row>
    <row r="2254">
      <c r="F2254" s="7">
        <f>IF($A2254="","",E2254*N2254/100)</f>
        <v/>
      </c>
      <c r="J2254" s="7" t="n"/>
      <c r="K2254" s="7">
        <f>IF($A2254="","",S2254*N2254)</f>
        <v/>
      </c>
      <c r="L2254" s="7">
        <f>IF($A2254="","",N2254-K2254)</f>
        <v/>
      </c>
      <c r="M2254" s="7">
        <f>IF($A2254="","",L2254-F2254)</f>
        <v/>
      </c>
      <c r="N2254" s="7" t="n"/>
      <c r="Q2254" s="11" t="n"/>
      <c r="S2254">
        <f>IF($A2254="","",IF($W2254=1,Settings!$C$6,Settings!$C$7)*1)</f>
        <v/>
      </c>
      <c r="U2254">
        <f>IF($A2254="","",IF(COUNTIF($A$2:$A2254,$A2254)=1,1,0))</f>
        <v/>
      </c>
      <c r="V2254">
        <f>IF($U2254=1,SUMPRODUCT(--($X$2:$X$3001&lt;$X2254))+1,"")</f>
        <v/>
      </c>
      <c r="W2254">
        <f>IF($A2254="","",IF(OR($T2254=TRUE(),$T2254="TRUE"),1,0))</f>
        <v/>
      </c>
      <c r="X2254">
        <f>IF($U2254=1,IFERROR(IF(VALUE($A2254)&lt;100000000,VALUE($A2254),1000000000),IFERROR(IF(VALUE(MID($A2254,2,20))&lt;100000000,VALUE(MID($A2254,2,20)),1000000000),1000000000))+ROW()/100000,"")</f>
        <v/>
      </c>
    </row>
    <row r="2255">
      <c r="F2255" s="7">
        <f>IF($A2255="","",E2255*N2255/100)</f>
        <v/>
      </c>
      <c r="J2255" s="7" t="n"/>
      <c r="K2255" s="7">
        <f>IF($A2255="","",S2255*N2255)</f>
        <v/>
      </c>
      <c r="L2255" s="7">
        <f>IF($A2255="","",N2255-K2255)</f>
        <v/>
      </c>
      <c r="M2255" s="7">
        <f>IF($A2255="","",L2255-F2255)</f>
        <v/>
      </c>
      <c r="N2255" s="7" t="n"/>
      <c r="Q2255" s="11" t="n"/>
      <c r="S2255">
        <f>IF($A2255="","",IF($W2255=1,Settings!$C$6,Settings!$C$7)*1)</f>
        <v/>
      </c>
      <c r="U2255">
        <f>IF($A2255="","",IF(COUNTIF($A$2:$A2255,$A2255)=1,1,0))</f>
        <v/>
      </c>
      <c r="V2255">
        <f>IF($U2255=1,SUMPRODUCT(--($X$2:$X$3001&lt;$X2255))+1,"")</f>
        <v/>
      </c>
      <c r="W2255">
        <f>IF($A2255="","",IF(OR($T2255=TRUE(),$T2255="TRUE"),1,0))</f>
        <v/>
      </c>
      <c r="X2255">
        <f>IF($U2255=1,IFERROR(IF(VALUE($A2255)&lt;100000000,VALUE($A2255),1000000000),IFERROR(IF(VALUE(MID($A2255,2,20))&lt;100000000,VALUE(MID($A2255,2,20)),1000000000),1000000000))+ROW()/100000,"")</f>
        <v/>
      </c>
    </row>
    <row r="2256">
      <c r="F2256" s="7">
        <f>IF($A2256="","",E2256*N2256/100)</f>
        <v/>
      </c>
      <c r="J2256" s="7" t="n"/>
      <c r="K2256" s="7">
        <f>IF($A2256="","",S2256*N2256)</f>
        <v/>
      </c>
      <c r="L2256" s="7">
        <f>IF($A2256="","",N2256-K2256)</f>
        <v/>
      </c>
      <c r="M2256" s="7">
        <f>IF($A2256="","",L2256-F2256)</f>
        <v/>
      </c>
      <c r="N2256" s="7" t="n"/>
      <c r="Q2256" s="11" t="n"/>
      <c r="S2256">
        <f>IF($A2256="","",IF($W2256=1,Settings!$C$6,Settings!$C$7)*1)</f>
        <v/>
      </c>
      <c r="U2256">
        <f>IF($A2256="","",IF(COUNTIF($A$2:$A2256,$A2256)=1,1,0))</f>
        <v/>
      </c>
      <c r="V2256">
        <f>IF($U2256=1,SUMPRODUCT(--($X$2:$X$3001&lt;$X2256))+1,"")</f>
        <v/>
      </c>
      <c r="W2256">
        <f>IF($A2256="","",IF(OR($T2256=TRUE(),$T2256="TRUE"),1,0))</f>
        <v/>
      </c>
      <c r="X2256">
        <f>IF($U2256=1,IFERROR(IF(VALUE($A2256)&lt;100000000,VALUE($A2256),1000000000),IFERROR(IF(VALUE(MID($A2256,2,20))&lt;100000000,VALUE(MID($A2256,2,20)),1000000000),1000000000))+ROW()/100000,"")</f>
        <v/>
      </c>
    </row>
    <row r="2257">
      <c r="F2257" s="7">
        <f>IF($A2257="","",E2257*N2257/100)</f>
        <v/>
      </c>
      <c r="J2257" s="7" t="n"/>
      <c r="K2257" s="7">
        <f>IF($A2257="","",S2257*N2257)</f>
        <v/>
      </c>
      <c r="L2257" s="7">
        <f>IF($A2257="","",N2257-K2257)</f>
        <v/>
      </c>
      <c r="M2257" s="7">
        <f>IF($A2257="","",L2257-F2257)</f>
        <v/>
      </c>
      <c r="N2257" s="7" t="n"/>
      <c r="Q2257" s="11" t="n"/>
      <c r="S2257">
        <f>IF($A2257="","",IF($W2257=1,Settings!$C$6,Settings!$C$7)*1)</f>
        <v/>
      </c>
      <c r="U2257">
        <f>IF($A2257="","",IF(COUNTIF($A$2:$A2257,$A2257)=1,1,0))</f>
        <v/>
      </c>
      <c r="V2257">
        <f>IF($U2257=1,SUMPRODUCT(--($X$2:$X$3001&lt;$X2257))+1,"")</f>
        <v/>
      </c>
      <c r="W2257">
        <f>IF($A2257="","",IF(OR($T2257=TRUE(),$T2257="TRUE"),1,0))</f>
        <v/>
      </c>
      <c r="X2257">
        <f>IF($U2257=1,IFERROR(IF(VALUE($A2257)&lt;100000000,VALUE($A2257),1000000000),IFERROR(IF(VALUE(MID($A2257,2,20))&lt;100000000,VALUE(MID($A2257,2,20)),1000000000),1000000000))+ROW()/100000,"")</f>
        <v/>
      </c>
    </row>
    <row r="2258">
      <c r="F2258" s="7">
        <f>IF($A2258="","",E2258*N2258/100)</f>
        <v/>
      </c>
      <c r="J2258" s="7" t="n"/>
      <c r="K2258" s="7">
        <f>IF($A2258="","",S2258*N2258)</f>
        <v/>
      </c>
      <c r="L2258" s="7">
        <f>IF($A2258="","",N2258-K2258)</f>
        <v/>
      </c>
      <c r="M2258" s="7">
        <f>IF($A2258="","",L2258-F2258)</f>
        <v/>
      </c>
      <c r="N2258" s="7" t="n"/>
      <c r="Q2258" s="11" t="n"/>
      <c r="S2258">
        <f>IF($A2258="","",IF($W2258=1,Settings!$C$6,Settings!$C$7)*1)</f>
        <v/>
      </c>
      <c r="U2258">
        <f>IF($A2258="","",IF(COUNTIF($A$2:$A2258,$A2258)=1,1,0))</f>
        <v/>
      </c>
      <c r="V2258">
        <f>IF($U2258=1,SUMPRODUCT(--($X$2:$X$3001&lt;$X2258))+1,"")</f>
        <v/>
      </c>
      <c r="W2258">
        <f>IF($A2258="","",IF(OR($T2258=TRUE(),$T2258="TRUE"),1,0))</f>
        <v/>
      </c>
      <c r="X2258">
        <f>IF($U2258=1,IFERROR(IF(VALUE($A2258)&lt;100000000,VALUE($A2258),1000000000),IFERROR(IF(VALUE(MID($A2258,2,20))&lt;100000000,VALUE(MID($A2258,2,20)),1000000000),1000000000))+ROW()/100000,"")</f>
        <v/>
      </c>
    </row>
    <row r="2259">
      <c r="F2259" s="7">
        <f>IF($A2259="","",E2259*N2259/100)</f>
        <v/>
      </c>
      <c r="J2259" s="7" t="n"/>
      <c r="K2259" s="7">
        <f>IF($A2259="","",S2259*N2259)</f>
        <v/>
      </c>
      <c r="L2259" s="7">
        <f>IF($A2259="","",N2259-K2259)</f>
        <v/>
      </c>
      <c r="M2259" s="7">
        <f>IF($A2259="","",L2259-F2259)</f>
        <v/>
      </c>
      <c r="N2259" s="7" t="n"/>
      <c r="Q2259" s="11" t="n"/>
      <c r="S2259">
        <f>IF($A2259="","",IF($W2259=1,Settings!$C$6,Settings!$C$7)*1)</f>
        <v/>
      </c>
      <c r="U2259">
        <f>IF($A2259="","",IF(COUNTIF($A$2:$A2259,$A2259)=1,1,0))</f>
        <v/>
      </c>
      <c r="V2259">
        <f>IF($U2259=1,SUMPRODUCT(--($X$2:$X$3001&lt;$X2259))+1,"")</f>
        <v/>
      </c>
      <c r="W2259">
        <f>IF($A2259="","",IF(OR($T2259=TRUE(),$T2259="TRUE"),1,0))</f>
        <v/>
      </c>
      <c r="X2259">
        <f>IF($U2259=1,IFERROR(IF(VALUE($A2259)&lt;100000000,VALUE($A2259),1000000000),IFERROR(IF(VALUE(MID($A2259,2,20))&lt;100000000,VALUE(MID($A2259,2,20)),1000000000),1000000000))+ROW()/100000,"")</f>
        <v/>
      </c>
    </row>
    <row r="2260">
      <c r="F2260" s="7">
        <f>IF($A2260="","",E2260*N2260/100)</f>
        <v/>
      </c>
      <c r="J2260" s="7" t="n"/>
      <c r="K2260" s="7">
        <f>IF($A2260="","",S2260*N2260)</f>
        <v/>
      </c>
      <c r="L2260" s="7">
        <f>IF($A2260="","",N2260-K2260)</f>
        <v/>
      </c>
      <c r="M2260" s="7">
        <f>IF($A2260="","",L2260-F2260)</f>
        <v/>
      </c>
      <c r="N2260" s="7" t="n"/>
      <c r="Q2260" s="11" t="n"/>
      <c r="S2260">
        <f>IF($A2260="","",IF($W2260=1,Settings!$C$6,Settings!$C$7)*1)</f>
        <v/>
      </c>
      <c r="U2260">
        <f>IF($A2260="","",IF(COUNTIF($A$2:$A2260,$A2260)=1,1,0))</f>
        <v/>
      </c>
      <c r="V2260">
        <f>IF($U2260=1,SUMPRODUCT(--($X$2:$X$3001&lt;$X2260))+1,"")</f>
        <v/>
      </c>
      <c r="W2260">
        <f>IF($A2260="","",IF(OR($T2260=TRUE(),$T2260="TRUE"),1,0))</f>
        <v/>
      </c>
      <c r="X2260">
        <f>IF($U2260=1,IFERROR(IF(VALUE($A2260)&lt;100000000,VALUE($A2260),1000000000),IFERROR(IF(VALUE(MID($A2260,2,20))&lt;100000000,VALUE(MID($A2260,2,20)),1000000000),1000000000))+ROW()/100000,"")</f>
        <v/>
      </c>
    </row>
    <row r="2261">
      <c r="F2261" s="7">
        <f>IF($A2261="","",E2261*N2261/100)</f>
        <v/>
      </c>
      <c r="J2261" s="7" t="n"/>
      <c r="K2261" s="7">
        <f>IF($A2261="","",S2261*N2261)</f>
        <v/>
      </c>
      <c r="L2261" s="7">
        <f>IF($A2261="","",N2261-K2261)</f>
        <v/>
      </c>
      <c r="M2261" s="7">
        <f>IF($A2261="","",L2261-F2261)</f>
        <v/>
      </c>
      <c r="N2261" s="7" t="n"/>
      <c r="Q2261" s="11" t="n"/>
      <c r="S2261">
        <f>IF($A2261="","",IF($W2261=1,Settings!$C$6,Settings!$C$7)*1)</f>
        <v/>
      </c>
      <c r="U2261">
        <f>IF($A2261="","",IF(COUNTIF($A$2:$A2261,$A2261)=1,1,0))</f>
        <v/>
      </c>
      <c r="V2261">
        <f>IF($U2261=1,SUMPRODUCT(--($X$2:$X$3001&lt;$X2261))+1,"")</f>
        <v/>
      </c>
      <c r="W2261">
        <f>IF($A2261="","",IF(OR($T2261=TRUE(),$T2261="TRUE"),1,0))</f>
        <v/>
      </c>
      <c r="X2261">
        <f>IF($U2261=1,IFERROR(IF(VALUE($A2261)&lt;100000000,VALUE($A2261),1000000000),IFERROR(IF(VALUE(MID($A2261,2,20))&lt;100000000,VALUE(MID($A2261,2,20)),1000000000),1000000000))+ROW()/100000,"")</f>
        <v/>
      </c>
    </row>
    <row r="2262">
      <c r="F2262" s="7">
        <f>IF($A2262="","",E2262*N2262/100)</f>
        <v/>
      </c>
      <c r="J2262" s="7" t="n"/>
      <c r="K2262" s="7">
        <f>IF($A2262="","",S2262*N2262)</f>
        <v/>
      </c>
      <c r="L2262" s="7">
        <f>IF($A2262="","",N2262-K2262)</f>
        <v/>
      </c>
      <c r="M2262" s="7">
        <f>IF($A2262="","",L2262-F2262)</f>
        <v/>
      </c>
      <c r="N2262" s="7" t="n"/>
      <c r="Q2262" s="11" t="n"/>
      <c r="S2262">
        <f>IF($A2262="","",IF($W2262=1,Settings!$C$6,Settings!$C$7)*1)</f>
        <v/>
      </c>
      <c r="U2262">
        <f>IF($A2262="","",IF(COUNTIF($A$2:$A2262,$A2262)=1,1,0))</f>
        <v/>
      </c>
      <c r="V2262">
        <f>IF($U2262=1,SUMPRODUCT(--($X$2:$X$3001&lt;$X2262))+1,"")</f>
        <v/>
      </c>
      <c r="W2262">
        <f>IF($A2262="","",IF(OR($T2262=TRUE(),$T2262="TRUE"),1,0))</f>
        <v/>
      </c>
      <c r="X2262">
        <f>IF($U2262=1,IFERROR(IF(VALUE($A2262)&lt;100000000,VALUE($A2262),1000000000),IFERROR(IF(VALUE(MID($A2262,2,20))&lt;100000000,VALUE(MID($A2262,2,20)),1000000000),1000000000))+ROW()/100000,"")</f>
        <v/>
      </c>
    </row>
    <row r="2263">
      <c r="F2263" s="7">
        <f>IF($A2263="","",E2263*N2263/100)</f>
        <v/>
      </c>
      <c r="J2263" s="7" t="n"/>
      <c r="K2263" s="7">
        <f>IF($A2263="","",S2263*N2263)</f>
        <v/>
      </c>
      <c r="L2263" s="7">
        <f>IF($A2263="","",N2263-K2263)</f>
        <v/>
      </c>
      <c r="M2263" s="7">
        <f>IF($A2263="","",L2263-F2263)</f>
        <v/>
      </c>
      <c r="N2263" s="7" t="n"/>
      <c r="Q2263" s="11" t="n"/>
      <c r="S2263">
        <f>IF($A2263="","",IF($W2263=1,Settings!$C$6,Settings!$C$7)*1)</f>
        <v/>
      </c>
      <c r="U2263">
        <f>IF($A2263="","",IF(COUNTIF($A$2:$A2263,$A2263)=1,1,0))</f>
        <v/>
      </c>
      <c r="V2263">
        <f>IF($U2263=1,SUMPRODUCT(--($X$2:$X$3001&lt;$X2263))+1,"")</f>
        <v/>
      </c>
      <c r="W2263">
        <f>IF($A2263="","",IF(OR($T2263=TRUE(),$T2263="TRUE"),1,0))</f>
        <v/>
      </c>
      <c r="X2263">
        <f>IF($U2263=1,IFERROR(IF(VALUE($A2263)&lt;100000000,VALUE($A2263),1000000000),IFERROR(IF(VALUE(MID($A2263,2,20))&lt;100000000,VALUE(MID($A2263,2,20)),1000000000),1000000000))+ROW()/100000,"")</f>
        <v/>
      </c>
    </row>
    <row r="2264">
      <c r="F2264" s="7">
        <f>IF($A2264="","",E2264*N2264/100)</f>
        <v/>
      </c>
      <c r="J2264" s="7" t="n"/>
      <c r="K2264" s="7">
        <f>IF($A2264="","",S2264*N2264)</f>
        <v/>
      </c>
      <c r="L2264" s="7">
        <f>IF($A2264="","",N2264-K2264)</f>
        <v/>
      </c>
      <c r="M2264" s="7">
        <f>IF($A2264="","",L2264-F2264)</f>
        <v/>
      </c>
      <c r="N2264" s="7" t="n"/>
      <c r="Q2264" s="11" t="n"/>
      <c r="S2264">
        <f>IF($A2264="","",IF($W2264=1,Settings!$C$6,Settings!$C$7)*1)</f>
        <v/>
      </c>
      <c r="U2264">
        <f>IF($A2264="","",IF(COUNTIF($A$2:$A2264,$A2264)=1,1,0))</f>
        <v/>
      </c>
      <c r="V2264">
        <f>IF($U2264=1,SUMPRODUCT(--($X$2:$X$3001&lt;$X2264))+1,"")</f>
        <v/>
      </c>
      <c r="W2264">
        <f>IF($A2264="","",IF(OR($T2264=TRUE(),$T2264="TRUE"),1,0))</f>
        <v/>
      </c>
      <c r="X2264">
        <f>IF($U2264=1,IFERROR(IF(VALUE($A2264)&lt;100000000,VALUE($A2264),1000000000),IFERROR(IF(VALUE(MID($A2264,2,20))&lt;100000000,VALUE(MID($A2264,2,20)),1000000000),1000000000))+ROW()/100000,"")</f>
        <v/>
      </c>
    </row>
    <row r="2265">
      <c r="F2265" s="7">
        <f>IF($A2265="","",E2265*N2265/100)</f>
        <v/>
      </c>
      <c r="J2265" s="7" t="n"/>
      <c r="K2265" s="7">
        <f>IF($A2265="","",S2265*N2265)</f>
        <v/>
      </c>
      <c r="L2265" s="7">
        <f>IF($A2265="","",N2265-K2265)</f>
        <v/>
      </c>
      <c r="M2265" s="7">
        <f>IF($A2265="","",L2265-F2265)</f>
        <v/>
      </c>
      <c r="N2265" s="7" t="n"/>
      <c r="Q2265" s="11" t="n"/>
      <c r="S2265">
        <f>IF($A2265="","",IF($W2265=1,Settings!$C$6,Settings!$C$7)*1)</f>
        <v/>
      </c>
      <c r="U2265">
        <f>IF($A2265="","",IF(COUNTIF($A$2:$A2265,$A2265)=1,1,0))</f>
        <v/>
      </c>
      <c r="V2265">
        <f>IF($U2265=1,SUMPRODUCT(--($X$2:$X$3001&lt;$X2265))+1,"")</f>
        <v/>
      </c>
      <c r="W2265">
        <f>IF($A2265="","",IF(OR($T2265=TRUE(),$T2265="TRUE"),1,0))</f>
        <v/>
      </c>
      <c r="X2265">
        <f>IF($U2265=1,IFERROR(IF(VALUE($A2265)&lt;100000000,VALUE($A2265),1000000000),IFERROR(IF(VALUE(MID($A2265,2,20))&lt;100000000,VALUE(MID($A2265,2,20)),1000000000),1000000000))+ROW()/100000,"")</f>
        <v/>
      </c>
    </row>
    <row r="2266">
      <c r="F2266" s="7">
        <f>IF($A2266="","",E2266*N2266/100)</f>
        <v/>
      </c>
      <c r="J2266" s="7" t="n"/>
      <c r="K2266" s="7">
        <f>IF($A2266="","",S2266*N2266)</f>
        <v/>
      </c>
      <c r="L2266" s="7">
        <f>IF($A2266="","",N2266-K2266)</f>
        <v/>
      </c>
      <c r="M2266" s="7">
        <f>IF($A2266="","",L2266-F2266)</f>
        <v/>
      </c>
      <c r="N2266" s="7" t="n"/>
      <c r="Q2266" s="11" t="n"/>
      <c r="S2266">
        <f>IF($A2266="","",IF($W2266=1,Settings!$C$6,Settings!$C$7)*1)</f>
        <v/>
      </c>
      <c r="U2266">
        <f>IF($A2266="","",IF(COUNTIF($A$2:$A2266,$A2266)=1,1,0))</f>
        <v/>
      </c>
      <c r="V2266">
        <f>IF($U2266=1,SUMPRODUCT(--($X$2:$X$3001&lt;$X2266))+1,"")</f>
        <v/>
      </c>
      <c r="W2266">
        <f>IF($A2266="","",IF(OR($T2266=TRUE(),$T2266="TRUE"),1,0))</f>
        <v/>
      </c>
      <c r="X2266">
        <f>IF($U2266=1,IFERROR(IF(VALUE($A2266)&lt;100000000,VALUE($A2266),1000000000),IFERROR(IF(VALUE(MID($A2266,2,20))&lt;100000000,VALUE(MID($A2266,2,20)),1000000000),1000000000))+ROW()/100000,"")</f>
        <v/>
      </c>
    </row>
    <row r="2267">
      <c r="F2267" s="7">
        <f>IF($A2267="","",E2267*N2267/100)</f>
        <v/>
      </c>
      <c r="J2267" s="7" t="n"/>
      <c r="K2267" s="7">
        <f>IF($A2267="","",S2267*N2267)</f>
        <v/>
      </c>
      <c r="L2267" s="7">
        <f>IF($A2267="","",N2267-K2267)</f>
        <v/>
      </c>
      <c r="M2267" s="7">
        <f>IF($A2267="","",L2267-F2267)</f>
        <v/>
      </c>
      <c r="N2267" s="7" t="n"/>
      <c r="Q2267" s="11" t="n"/>
      <c r="S2267">
        <f>IF($A2267="","",IF($W2267=1,Settings!$C$6,Settings!$C$7)*1)</f>
        <v/>
      </c>
      <c r="U2267">
        <f>IF($A2267="","",IF(COUNTIF($A$2:$A2267,$A2267)=1,1,0))</f>
        <v/>
      </c>
      <c r="V2267">
        <f>IF($U2267=1,SUMPRODUCT(--($X$2:$X$3001&lt;$X2267))+1,"")</f>
        <v/>
      </c>
      <c r="W2267">
        <f>IF($A2267="","",IF(OR($T2267=TRUE(),$T2267="TRUE"),1,0))</f>
        <v/>
      </c>
      <c r="X2267">
        <f>IF($U2267=1,IFERROR(IF(VALUE($A2267)&lt;100000000,VALUE($A2267),1000000000),IFERROR(IF(VALUE(MID($A2267,2,20))&lt;100000000,VALUE(MID($A2267,2,20)),1000000000),1000000000))+ROW()/100000,"")</f>
        <v/>
      </c>
    </row>
    <row r="2268">
      <c r="F2268" s="7">
        <f>IF($A2268="","",E2268*N2268/100)</f>
        <v/>
      </c>
      <c r="J2268" s="7" t="n"/>
      <c r="K2268" s="7">
        <f>IF($A2268="","",S2268*N2268)</f>
        <v/>
      </c>
      <c r="L2268" s="7">
        <f>IF($A2268="","",N2268-K2268)</f>
        <v/>
      </c>
      <c r="M2268" s="7">
        <f>IF($A2268="","",L2268-F2268)</f>
        <v/>
      </c>
      <c r="N2268" s="7" t="n"/>
      <c r="Q2268" s="11" t="n"/>
      <c r="S2268">
        <f>IF($A2268="","",IF($W2268=1,Settings!$C$6,Settings!$C$7)*1)</f>
        <v/>
      </c>
      <c r="U2268">
        <f>IF($A2268="","",IF(COUNTIF($A$2:$A2268,$A2268)=1,1,0))</f>
        <v/>
      </c>
      <c r="V2268">
        <f>IF($U2268=1,SUMPRODUCT(--($X$2:$X$3001&lt;$X2268))+1,"")</f>
        <v/>
      </c>
      <c r="W2268">
        <f>IF($A2268="","",IF(OR($T2268=TRUE(),$T2268="TRUE"),1,0))</f>
        <v/>
      </c>
      <c r="X2268">
        <f>IF($U2268=1,IFERROR(IF(VALUE($A2268)&lt;100000000,VALUE($A2268),1000000000),IFERROR(IF(VALUE(MID($A2268,2,20))&lt;100000000,VALUE(MID($A2268,2,20)),1000000000),1000000000))+ROW()/100000,"")</f>
        <v/>
      </c>
    </row>
    <row r="2269">
      <c r="F2269" s="7">
        <f>IF($A2269="","",E2269*N2269/100)</f>
        <v/>
      </c>
      <c r="J2269" s="7" t="n"/>
      <c r="K2269" s="7">
        <f>IF($A2269="","",S2269*N2269)</f>
        <v/>
      </c>
      <c r="L2269" s="7">
        <f>IF($A2269="","",N2269-K2269)</f>
        <v/>
      </c>
      <c r="M2269" s="7">
        <f>IF($A2269="","",L2269-F2269)</f>
        <v/>
      </c>
      <c r="N2269" s="7" t="n"/>
      <c r="Q2269" s="11" t="n"/>
      <c r="S2269">
        <f>IF($A2269="","",IF($W2269=1,Settings!$C$6,Settings!$C$7)*1)</f>
        <v/>
      </c>
      <c r="U2269">
        <f>IF($A2269="","",IF(COUNTIF($A$2:$A2269,$A2269)=1,1,0))</f>
        <v/>
      </c>
      <c r="V2269">
        <f>IF($U2269=1,SUMPRODUCT(--($X$2:$X$3001&lt;$X2269))+1,"")</f>
        <v/>
      </c>
      <c r="W2269">
        <f>IF($A2269="","",IF(OR($T2269=TRUE(),$T2269="TRUE"),1,0))</f>
        <v/>
      </c>
      <c r="X2269">
        <f>IF($U2269=1,IFERROR(IF(VALUE($A2269)&lt;100000000,VALUE($A2269),1000000000),IFERROR(IF(VALUE(MID($A2269,2,20))&lt;100000000,VALUE(MID($A2269,2,20)),1000000000),1000000000))+ROW()/100000,"")</f>
        <v/>
      </c>
    </row>
    <row r="2270">
      <c r="F2270" s="7">
        <f>IF($A2270="","",E2270*N2270/100)</f>
        <v/>
      </c>
      <c r="J2270" s="7" t="n"/>
      <c r="K2270" s="7">
        <f>IF($A2270="","",S2270*N2270)</f>
        <v/>
      </c>
      <c r="L2270" s="7">
        <f>IF($A2270="","",N2270-K2270)</f>
        <v/>
      </c>
      <c r="M2270" s="7">
        <f>IF($A2270="","",L2270-F2270)</f>
        <v/>
      </c>
      <c r="N2270" s="7" t="n"/>
      <c r="Q2270" s="11" t="n"/>
      <c r="S2270">
        <f>IF($A2270="","",IF($W2270=1,Settings!$C$6,Settings!$C$7)*1)</f>
        <v/>
      </c>
      <c r="U2270">
        <f>IF($A2270="","",IF(COUNTIF($A$2:$A2270,$A2270)=1,1,0))</f>
        <v/>
      </c>
      <c r="V2270">
        <f>IF($U2270=1,SUMPRODUCT(--($X$2:$X$3001&lt;$X2270))+1,"")</f>
        <v/>
      </c>
      <c r="W2270">
        <f>IF($A2270="","",IF(OR($T2270=TRUE(),$T2270="TRUE"),1,0))</f>
        <v/>
      </c>
      <c r="X2270">
        <f>IF($U2270=1,IFERROR(IF(VALUE($A2270)&lt;100000000,VALUE($A2270),1000000000),IFERROR(IF(VALUE(MID($A2270,2,20))&lt;100000000,VALUE(MID($A2270,2,20)),1000000000),1000000000))+ROW()/100000,"")</f>
        <v/>
      </c>
    </row>
    <row r="2271">
      <c r="F2271" s="7">
        <f>IF($A2271="","",E2271*N2271/100)</f>
        <v/>
      </c>
      <c r="J2271" s="7" t="n"/>
      <c r="K2271" s="7">
        <f>IF($A2271="","",S2271*N2271)</f>
        <v/>
      </c>
      <c r="L2271" s="7">
        <f>IF($A2271="","",N2271-K2271)</f>
        <v/>
      </c>
      <c r="M2271" s="7">
        <f>IF($A2271="","",L2271-F2271)</f>
        <v/>
      </c>
      <c r="N2271" s="7" t="n"/>
      <c r="Q2271" s="11" t="n"/>
      <c r="S2271">
        <f>IF($A2271="","",IF($W2271=1,Settings!$C$6,Settings!$C$7)*1)</f>
        <v/>
      </c>
      <c r="U2271">
        <f>IF($A2271="","",IF(COUNTIF($A$2:$A2271,$A2271)=1,1,0))</f>
        <v/>
      </c>
      <c r="V2271">
        <f>IF($U2271=1,SUMPRODUCT(--($X$2:$X$3001&lt;$X2271))+1,"")</f>
        <v/>
      </c>
      <c r="W2271">
        <f>IF($A2271="","",IF(OR($T2271=TRUE(),$T2271="TRUE"),1,0))</f>
        <v/>
      </c>
      <c r="X2271">
        <f>IF($U2271=1,IFERROR(IF(VALUE($A2271)&lt;100000000,VALUE($A2271),1000000000),IFERROR(IF(VALUE(MID($A2271,2,20))&lt;100000000,VALUE(MID($A2271,2,20)),1000000000),1000000000))+ROW()/100000,"")</f>
        <v/>
      </c>
    </row>
    <row r="2272">
      <c r="F2272" s="7">
        <f>IF($A2272="","",E2272*N2272/100)</f>
        <v/>
      </c>
      <c r="J2272" s="7" t="n"/>
      <c r="K2272" s="7">
        <f>IF($A2272="","",S2272*N2272)</f>
        <v/>
      </c>
      <c r="L2272" s="7">
        <f>IF($A2272="","",N2272-K2272)</f>
        <v/>
      </c>
      <c r="M2272" s="7">
        <f>IF($A2272="","",L2272-F2272)</f>
        <v/>
      </c>
      <c r="N2272" s="7" t="n"/>
      <c r="Q2272" s="11" t="n"/>
      <c r="S2272">
        <f>IF($A2272="","",IF($W2272=1,Settings!$C$6,Settings!$C$7)*1)</f>
        <v/>
      </c>
      <c r="U2272">
        <f>IF($A2272="","",IF(COUNTIF($A$2:$A2272,$A2272)=1,1,0))</f>
        <v/>
      </c>
      <c r="V2272">
        <f>IF($U2272=1,SUMPRODUCT(--($X$2:$X$3001&lt;$X2272))+1,"")</f>
        <v/>
      </c>
      <c r="W2272">
        <f>IF($A2272="","",IF(OR($T2272=TRUE(),$T2272="TRUE"),1,0))</f>
        <v/>
      </c>
      <c r="X2272">
        <f>IF($U2272=1,IFERROR(IF(VALUE($A2272)&lt;100000000,VALUE($A2272),1000000000),IFERROR(IF(VALUE(MID($A2272,2,20))&lt;100000000,VALUE(MID($A2272,2,20)),1000000000),1000000000))+ROW()/100000,"")</f>
        <v/>
      </c>
    </row>
    <row r="2273">
      <c r="F2273" s="7">
        <f>IF($A2273="","",E2273*N2273/100)</f>
        <v/>
      </c>
      <c r="J2273" s="7" t="n"/>
      <c r="K2273" s="7">
        <f>IF($A2273="","",S2273*N2273)</f>
        <v/>
      </c>
      <c r="L2273" s="7">
        <f>IF($A2273="","",N2273-K2273)</f>
        <v/>
      </c>
      <c r="M2273" s="7">
        <f>IF($A2273="","",L2273-F2273)</f>
        <v/>
      </c>
      <c r="N2273" s="7" t="n"/>
      <c r="Q2273" s="11" t="n"/>
      <c r="S2273">
        <f>IF($A2273="","",IF($W2273=1,Settings!$C$6,Settings!$C$7)*1)</f>
        <v/>
      </c>
      <c r="U2273">
        <f>IF($A2273="","",IF(COUNTIF($A$2:$A2273,$A2273)=1,1,0))</f>
        <v/>
      </c>
      <c r="V2273">
        <f>IF($U2273=1,SUMPRODUCT(--($X$2:$X$3001&lt;$X2273))+1,"")</f>
        <v/>
      </c>
      <c r="W2273">
        <f>IF($A2273="","",IF(OR($T2273=TRUE(),$T2273="TRUE"),1,0))</f>
        <v/>
      </c>
      <c r="X2273">
        <f>IF($U2273=1,IFERROR(IF(VALUE($A2273)&lt;100000000,VALUE($A2273),1000000000),IFERROR(IF(VALUE(MID($A2273,2,20))&lt;100000000,VALUE(MID($A2273,2,20)),1000000000),1000000000))+ROW()/100000,"")</f>
        <v/>
      </c>
    </row>
    <row r="2274">
      <c r="F2274" s="7">
        <f>IF($A2274="","",E2274*N2274/100)</f>
        <v/>
      </c>
      <c r="J2274" s="7" t="n"/>
      <c r="K2274" s="7">
        <f>IF($A2274="","",S2274*N2274)</f>
        <v/>
      </c>
      <c r="L2274" s="7">
        <f>IF($A2274="","",N2274-K2274)</f>
        <v/>
      </c>
      <c r="M2274" s="7">
        <f>IF($A2274="","",L2274-F2274)</f>
        <v/>
      </c>
      <c r="N2274" s="7" t="n"/>
      <c r="Q2274" s="11" t="n"/>
      <c r="S2274">
        <f>IF($A2274="","",IF($W2274=1,Settings!$C$6,Settings!$C$7)*1)</f>
        <v/>
      </c>
      <c r="U2274">
        <f>IF($A2274="","",IF(COUNTIF($A$2:$A2274,$A2274)=1,1,0))</f>
        <v/>
      </c>
      <c r="V2274">
        <f>IF($U2274=1,SUMPRODUCT(--($X$2:$X$3001&lt;$X2274))+1,"")</f>
        <v/>
      </c>
      <c r="W2274">
        <f>IF($A2274="","",IF(OR($T2274=TRUE(),$T2274="TRUE"),1,0))</f>
        <v/>
      </c>
      <c r="X2274">
        <f>IF($U2274=1,IFERROR(IF(VALUE($A2274)&lt;100000000,VALUE($A2274),1000000000),IFERROR(IF(VALUE(MID($A2274,2,20))&lt;100000000,VALUE(MID($A2274,2,20)),1000000000),1000000000))+ROW()/100000,"")</f>
        <v/>
      </c>
    </row>
    <row r="2275">
      <c r="F2275" s="7">
        <f>IF($A2275="","",E2275*N2275/100)</f>
        <v/>
      </c>
      <c r="J2275" s="7" t="n"/>
      <c r="K2275" s="7">
        <f>IF($A2275="","",S2275*N2275)</f>
        <v/>
      </c>
      <c r="L2275" s="7">
        <f>IF($A2275="","",N2275-K2275)</f>
        <v/>
      </c>
      <c r="M2275" s="7">
        <f>IF($A2275="","",L2275-F2275)</f>
        <v/>
      </c>
      <c r="N2275" s="7" t="n"/>
      <c r="Q2275" s="11" t="n"/>
      <c r="S2275">
        <f>IF($A2275="","",IF($W2275=1,Settings!$C$6,Settings!$C$7)*1)</f>
        <v/>
      </c>
      <c r="U2275">
        <f>IF($A2275="","",IF(COUNTIF($A$2:$A2275,$A2275)=1,1,0))</f>
        <v/>
      </c>
      <c r="V2275">
        <f>IF($U2275=1,SUMPRODUCT(--($X$2:$X$3001&lt;$X2275))+1,"")</f>
        <v/>
      </c>
      <c r="W2275">
        <f>IF($A2275="","",IF(OR($T2275=TRUE(),$T2275="TRUE"),1,0))</f>
        <v/>
      </c>
      <c r="X2275">
        <f>IF($U2275=1,IFERROR(IF(VALUE($A2275)&lt;100000000,VALUE($A2275),1000000000),IFERROR(IF(VALUE(MID($A2275,2,20))&lt;100000000,VALUE(MID($A2275,2,20)),1000000000),1000000000))+ROW()/100000,"")</f>
        <v/>
      </c>
    </row>
    <row r="2276">
      <c r="F2276" s="7">
        <f>IF($A2276="","",E2276*N2276/100)</f>
        <v/>
      </c>
      <c r="J2276" s="7" t="n"/>
      <c r="K2276" s="7">
        <f>IF($A2276="","",S2276*N2276)</f>
        <v/>
      </c>
      <c r="L2276" s="7">
        <f>IF($A2276="","",N2276-K2276)</f>
        <v/>
      </c>
      <c r="M2276" s="7">
        <f>IF($A2276="","",L2276-F2276)</f>
        <v/>
      </c>
      <c r="N2276" s="7" t="n"/>
      <c r="Q2276" s="11" t="n"/>
      <c r="S2276">
        <f>IF($A2276="","",IF($W2276=1,Settings!$C$6,Settings!$C$7)*1)</f>
        <v/>
      </c>
      <c r="U2276">
        <f>IF($A2276="","",IF(COUNTIF($A$2:$A2276,$A2276)=1,1,0))</f>
        <v/>
      </c>
      <c r="V2276">
        <f>IF($U2276=1,SUMPRODUCT(--($X$2:$X$3001&lt;$X2276))+1,"")</f>
        <v/>
      </c>
      <c r="W2276">
        <f>IF($A2276="","",IF(OR($T2276=TRUE(),$T2276="TRUE"),1,0))</f>
        <v/>
      </c>
      <c r="X2276">
        <f>IF($U2276=1,IFERROR(IF(VALUE($A2276)&lt;100000000,VALUE($A2276),1000000000),IFERROR(IF(VALUE(MID($A2276,2,20))&lt;100000000,VALUE(MID($A2276,2,20)),1000000000),1000000000))+ROW()/100000,"")</f>
        <v/>
      </c>
    </row>
    <row r="2277">
      <c r="F2277" s="7">
        <f>IF($A2277="","",E2277*N2277/100)</f>
        <v/>
      </c>
      <c r="J2277" s="7" t="n"/>
      <c r="K2277" s="7">
        <f>IF($A2277="","",S2277*N2277)</f>
        <v/>
      </c>
      <c r="L2277" s="7">
        <f>IF($A2277="","",N2277-K2277)</f>
        <v/>
      </c>
      <c r="M2277" s="7">
        <f>IF($A2277="","",L2277-F2277)</f>
        <v/>
      </c>
      <c r="N2277" s="7" t="n"/>
      <c r="Q2277" s="11" t="n"/>
      <c r="S2277">
        <f>IF($A2277="","",IF($W2277=1,Settings!$C$6,Settings!$C$7)*1)</f>
        <v/>
      </c>
      <c r="U2277">
        <f>IF($A2277="","",IF(COUNTIF($A$2:$A2277,$A2277)=1,1,0))</f>
        <v/>
      </c>
      <c r="V2277">
        <f>IF($U2277=1,SUMPRODUCT(--($X$2:$X$3001&lt;$X2277))+1,"")</f>
        <v/>
      </c>
      <c r="W2277">
        <f>IF($A2277="","",IF(OR($T2277=TRUE(),$T2277="TRUE"),1,0))</f>
        <v/>
      </c>
      <c r="X2277">
        <f>IF($U2277=1,IFERROR(IF(VALUE($A2277)&lt;100000000,VALUE($A2277),1000000000),IFERROR(IF(VALUE(MID($A2277,2,20))&lt;100000000,VALUE(MID($A2277,2,20)),1000000000),1000000000))+ROW()/100000,"")</f>
        <v/>
      </c>
    </row>
    <row r="2278">
      <c r="F2278" s="7">
        <f>IF($A2278="","",E2278*N2278/100)</f>
        <v/>
      </c>
      <c r="J2278" s="7" t="n"/>
      <c r="K2278" s="7">
        <f>IF($A2278="","",S2278*N2278)</f>
        <v/>
      </c>
      <c r="L2278" s="7">
        <f>IF($A2278="","",N2278-K2278)</f>
        <v/>
      </c>
      <c r="M2278" s="7">
        <f>IF($A2278="","",L2278-F2278)</f>
        <v/>
      </c>
      <c r="N2278" s="7" t="n"/>
      <c r="Q2278" s="11" t="n"/>
      <c r="S2278">
        <f>IF($A2278="","",IF($W2278=1,Settings!$C$6,Settings!$C$7)*1)</f>
        <v/>
      </c>
      <c r="U2278">
        <f>IF($A2278="","",IF(COUNTIF($A$2:$A2278,$A2278)=1,1,0))</f>
        <v/>
      </c>
      <c r="V2278">
        <f>IF($U2278=1,SUMPRODUCT(--($X$2:$X$3001&lt;$X2278))+1,"")</f>
        <v/>
      </c>
      <c r="W2278">
        <f>IF($A2278="","",IF(OR($T2278=TRUE(),$T2278="TRUE"),1,0))</f>
        <v/>
      </c>
      <c r="X2278">
        <f>IF($U2278=1,IFERROR(IF(VALUE($A2278)&lt;100000000,VALUE($A2278),1000000000),IFERROR(IF(VALUE(MID($A2278,2,20))&lt;100000000,VALUE(MID($A2278,2,20)),1000000000),1000000000))+ROW()/100000,"")</f>
        <v/>
      </c>
    </row>
    <row r="2279">
      <c r="F2279" s="7">
        <f>IF($A2279="","",E2279*N2279/100)</f>
        <v/>
      </c>
      <c r="J2279" s="7" t="n"/>
      <c r="K2279" s="7">
        <f>IF($A2279="","",S2279*N2279)</f>
        <v/>
      </c>
      <c r="L2279" s="7">
        <f>IF($A2279="","",N2279-K2279)</f>
        <v/>
      </c>
      <c r="M2279" s="7">
        <f>IF($A2279="","",L2279-F2279)</f>
        <v/>
      </c>
      <c r="N2279" s="7" t="n"/>
      <c r="Q2279" s="11" t="n"/>
      <c r="S2279">
        <f>IF($A2279="","",IF($W2279=1,Settings!$C$6,Settings!$C$7)*1)</f>
        <v/>
      </c>
      <c r="U2279">
        <f>IF($A2279="","",IF(COUNTIF($A$2:$A2279,$A2279)=1,1,0))</f>
        <v/>
      </c>
      <c r="V2279">
        <f>IF($U2279=1,SUMPRODUCT(--($X$2:$X$3001&lt;$X2279))+1,"")</f>
        <v/>
      </c>
      <c r="W2279">
        <f>IF($A2279="","",IF(OR($T2279=TRUE(),$T2279="TRUE"),1,0))</f>
        <v/>
      </c>
      <c r="X2279">
        <f>IF($U2279=1,IFERROR(IF(VALUE($A2279)&lt;100000000,VALUE($A2279),1000000000),IFERROR(IF(VALUE(MID($A2279,2,20))&lt;100000000,VALUE(MID($A2279,2,20)),1000000000),1000000000))+ROW()/100000,"")</f>
        <v/>
      </c>
    </row>
    <row r="2280">
      <c r="F2280" s="7">
        <f>IF($A2280="","",E2280*N2280/100)</f>
        <v/>
      </c>
      <c r="J2280" s="7" t="n"/>
      <c r="K2280" s="7">
        <f>IF($A2280="","",S2280*N2280)</f>
        <v/>
      </c>
      <c r="L2280" s="7">
        <f>IF($A2280="","",N2280-K2280)</f>
        <v/>
      </c>
      <c r="M2280" s="7">
        <f>IF($A2280="","",L2280-F2280)</f>
        <v/>
      </c>
      <c r="N2280" s="7" t="n"/>
      <c r="Q2280" s="11" t="n"/>
      <c r="S2280">
        <f>IF($A2280="","",IF($W2280=1,Settings!$C$6,Settings!$C$7)*1)</f>
        <v/>
      </c>
      <c r="U2280">
        <f>IF($A2280="","",IF(COUNTIF($A$2:$A2280,$A2280)=1,1,0))</f>
        <v/>
      </c>
      <c r="V2280">
        <f>IF($U2280=1,SUMPRODUCT(--($X$2:$X$3001&lt;$X2280))+1,"")</f>
        <v/>
      </c>
      <c r="W2280">
        <f>IF($A2280="","",IF(OR($T2280=TRUE(),$T2280="TRUE"),1,0))</f>
        <v/>
      </c>
      <c r="X2280">
        <f>IF($U2280=1,IFERROR(IF(VALUE($A2280)&lt;100000000,VALUE($A2280),1000000000),IFERROR(IF(VALUE(MID($A2280,2,20))&lt;100000000,VALUE(MID($A2280,2,20)),1000000000),1000000000))+ROW()/100000,"")</f>
        <v/>
      </c>
    </row>
    <row r="2281">
      <c r="F2281" s="7">
        <f>IF($A2281="","",E2281*N2281/100)</f>
        <v/>
      </c>
      <c r="J2281" s="7" t="n"/>
      <c r="K2281" s="7">
        <f>IF($A2281="","",S2281*N2281)</f>
        <v/>
      </c>
      <c r="L2281" s="7">
        <f>IF($A2281="","",N2281-K2281)</f>
        <v/>
      </c>
      <c r="M2281" s="7">
        <f>IF($A2281="","",L2281-F2281)</f>
        <v/>
      </c>
      <c r="N2281" s="7" t="n"/>
      <c r="Q2281" s="11" t="n"/>
      <c r="S2281">
        <f>IF($A2281="","",IF($W2281=1,Settings!$C$6,Settings!$C$7)*1)</f>
        <v/>
      </c>
      <c r="U2281">
        <f>IF($A2281="","",IF(COUNTIF($A$2:$A2281,$A2281)=1,1,0))</f>
        <v/>
      </c>
      <c r="V2281">
        <f>IF($U2281=1,SUMPRODUCT(--($X$2:$X$3001&lt;$X2281))+1,"")</f>
        <v/>
      </c>
      <c r="W2281">
        <f>IF($A2281="","",IF(OR($T2281=TRUE(),$T2281="TRUE"),1,0))</f>
        <v/>
      </c>
      <c r="X2281">
        <f>IF($U2281=1,IFERROR(IF(VALUE($A2281)&lt;100000000,VALUE($A2281),1000000000),IFERROR(IF(VALUE(MID($A2281,2,20))&lt;100000000,VALUE(MID($A2281,2,20)),1000000000),1000000000))+ROW()/100000,"")</f>
        <v/>
      </c>
    </row>
    <row r="2282">
      <c r="F2282" s="7">
        <f>IF($A2282="","",E2282*N2282/100)</f>
        <v/>
      </c>
      <c r="J2282" s="7" t="n"/>
      <c r="K2282" s="7">
        <f>IF($A2282="","",S2282*N2282)</f>
        <v/>
      </c>
      <c r="L2282" s="7">
        <f>IF($A2282="","",N2282-K2282)</f>
        <v/>
      </c>
      <c r="M2282" s="7">
        <f>IF($A2282="","",L2282-F2282)</f>
        <v/>
      </c>
      <c r="N2282" s="7" t="n"/>
      <c r="Q2282" s="11" t="n"/>
      <c r="S2282">
        <f>IF($A2282="","",IF($W2282=1,Settings!$C$6,Settings!$C$7)*1)</f>
        <v/>
      </c>
      <c r="U2282">
        <f>IF($A2282="","",IF(COUNTIF($A$2:$A2282,$A2282)=1,1,0))</f>
        <v/>
      </c>
      <c r="V2282">
        <f>IF($U2282=1,SUMPRODUCT(--($X$2:$X$3001&lt;$X2282))+1,"")</f>
        <v/>
      </c>
      <c r="W2282">
        <f>IF($A2282="","",IF(OR($T2282=TRUE(),$T2282="TRUE"),1,0))</f>
        <v/>
      </c>
      <c r="X2282">
        <f>IF($U2282=1,IFERROR(IF(VALUE($A2282)&lt;100000000,VALUE($A2282),1000000000),IFERROR(IF(VALUE(MID($A2282,2,20))&lt;100000000,VALUE(MID($A2282,2,20)),1000000000),1000000000))+ROW()/100000,"")</f>
        <v/>
      </c>
    </row>
    <row r="2283">
      <c r="F2283" s="7">
        <f>IF($A2283="","",E2283*N2283/100)</f>
        <v/>
      </c>
      <c r="J2283" s="7" t="n"/>
      <c r="K2283" s="7">
        <f>IF($A2283="","",S2283*N2283)</f>
        <v/>
      </c>
      <c r="L2283" s="7">
        <f>IF($A2283="","",N2283-K2283)</f>
        <v/>
      </c>
      <c r="M2283" s="7">
        <f>IF($A2283="","",L2283-F2283)</f>
        <v/>
      </c>
      <c r="N2283" s="7" t="n"/>
      <c r="Q2283" s="11" t="n"/>
      <c r="S2283">
        <f>IF($A2283="","",IF($W2283=1,Settings!$C$6,Settings!$C$7)*1)</f>
        <v/>
      </c>
      <c r="U2283">
        <f>IF($A2283="","",IF(COUNTIF($A$2:$A2283,$A2283)=1,1,0))</f>
        <v/>
      </c>
      <c r="V2283">
        <f>IF($U2283=1,SUMPRODUCT(--($X$2:$X$3001&lt;$X2283))+1,"")</f>
        <v/>
      </c>
      <c r="W2283">
        <f>IF($A2283="","",IF(OR($T2283=TRUE(),$T2283="TRUE"),1,0))</f>
        <v/>
      </c>
      <c r="X2283">
        <f>IF($U2283=1,IFERROR(IF(VALUE($A2283)&lt;100000000,VALUE($A2283),1000000000),IFERROR(IF(VALUE(MID($A2283,2,20))&lt;100000000,VALUE(MID($A2283,2,20)),1000000000),1000000000))+ROW()/100000,"")</f>
        <v/>
      </c>
    </row>
    <row r="2284">
      <c r="F2284" s="7">
        <f>IF($A2284="","",E2284*N2284/100)</f>
        <v/>
      </c>
      <c r="J2284" s="7" t="n"/>
      <c r="K2284" s="7">
        <f>IF($A2284="","",S2284*N2284)</f>
        <v/>
      </c>
      <c r="L2284" s="7">
        <f>IF($A2284="","",N2284-K2284)</f>
        <v/>
      </c>
      <c r="M2284" s="7">
        <f>IF($A2284="","",L2284-F2284)</f>
        <v/>
      </c>
      <c r="N2284" s="7" t="n"/>
      <c r="Q2284" s="11" t="n"/>
      <c r="S2284">
        <f>IF($A2284="","",IF($W2284=1,Settings!$C$6,Settings!$C$7)*1)</f>
        <v/>
      </c>
      <c r="U2284">
        <f>IF($A2284="","",IF(COUNTIF($A$2:$A2284,$A2284)=1,1,0))</f>
        <v/>
      </c>
      <c r="V2284">
        <f>IF($U2284=1,SUMPRODUCT(--($X$2:$X$3001&lt;$X2284))+1,"")</f>
        <v/>
      </c>
      <c r="W2284">
        <f>IF($A2284="","",IF(OR($T2284=TRUE(),$T2284="TRUE"),1,0))</f>
        <v/>
      </c>
      <c r="X2284">
        <f>IF($U2284=1,IFERROR(IF(VALUE($A2284)&lt;100000000,VALUE($A2284),1000000000),IFERROR(IF(VALUE(MID($A2284,2,20))&lt;100000000,VALUE(MID($A2284,2,20)),1000000000),1000000000))+ROW()/100000,"")</f>
        <v/>
      </c>
    </row>
    <row r="2285">
      <c r="F2285" s="7">
        <f>IF($A2285="","",E2285*N2285/100)</f>
        <v/>
      </c>
      <c r="J2285" s="7" t="n"/>
      <c r="K2285" s="7">
        <f>IF($A2285="","",S2285*N2285)</f>
        <v/>
      </c>
      <c r="L2285" s="7">
        <f>IF($A2285="","",N2285-K2285)</f>
        <v/>
      </c>
      <c r="M2285" s="7">
        <f>IF($A2285="","",L2285-F2285)</f>
        <v/>
      </c>
      <c r="N2285" s="7" t="n"/>
      <c r="Q2285" s="11" t="n"/>
      <c r="S2285">
        <f>IF($A2285="","",IF($W2285=1,Settings!$C$6,Settings!$C$7)*1)</f>
        <v/>
      </c>
      <c r="U2285">
        <f>IF($A2285="","",IF(COUNTIF($A$2:$A2285,$A2285)=1,1,0))</f>
        <v/>
      </c>
      <c r="V2285">
        <f>IF($U2285=1,SUMPRODUCT(--($X$2:$X$3001&lt;$X2285))+1,"")</f>
        <v/>
      </c>
      <c r="W2285">
        <f>IF($A2285="","",IF(OR($T2285=TRUE(),$T2285="TRUE"),1,0))</f>
        <v/>
      </c>
      <c r="X2285">
        <f>IF($U2285=1,IFERROR(IF(VALUE($A2285)&lt;100000000,VALUE($A2285),1000000000),IFERROR(IF(VALUE(MID($A2285,2,20))&lt;100000000,VALUE(MID($A2285,2,20)),1000000000),1000000000))+ROW()/100000,"")</f>
        <v/>
      </c>
    </row>
    <row r="2286">
      <c r="F2286" s="7">
        <f>IF($A2286="","",E2286*N2286/100)</f>
        <v/>
      </c>
      <c r="J2286" s="7" t="n"/>
      <c r="K2286" s="7">
        <f>IF($A2286="","",S2286*N2286)</f>
        <v/>
      </c>
      <c r="L2286" s="7">
        <f>IF($A2286="","",N2286-K2286)</f>
        <v/>
      </c>
      <c r="M2286" s="7">
        <f>IF($A2286="","",L2286-F2286)</f>
        <v/>
      </c>
      <c r="N2286" s="7" t="n"/>
      <c r="Q2286" s="11" t="n"/>
      <c r="S2286">
        <f>IF($A2286="","",IF($W2286=1,Settings!$C$6,Settings!$C$7)*1)</f>
        <v/>
      </c>
      <c r="U2286">
        <f>IF($A2286="","",IF(COUNTIF($A$2:$A2286,$A2286)=1,1,0))</f>
        <v/>
      </c>
      <c r="V2286">
        <f>IF($U2286=1,SUMPRODUCT(--($X$2:$X$3001&lt;$X2286))+1,"")</f>
        <v/>
      </c>
      <c r="W2286">
        <f>IF($A2286="","",IF(OR($T2286=TRUE(),$T2286="TRUE"),1,0))</f>
        <v/>
      </c>
      <c r="X2286">
        <f>IF($U2286=1,IFERROR(IF(VALUE($A2286)&lt;100000000,VALUE($A2286),1000000000),IFERROR(IF(VALUE(MID($A2286,2,20))&lt;100000000,VALUE(MID($A2286,2,20)),1000000000),1000000000))+ROW()/100000,"")</f>
        <v/>
      </c>
    </row>
    <row r="2287">
      <c r="F2287" s="7">
        <f>IF($A2287="","",E2287*N2287/100)</f>
        <v/>
      </c>
      <c r="J2287" s="7" t="n"/>
      <c r="K2287" s="7">
        <f>IF($A2287="","",S2287*N2287)</f>
        <v/>
      </c>
      <c r="L2287" s="7">
        <f>IF($A2287="","",N2287-K2287)</f>
        <v/>
      </c>
      <c r="M2287" s="7">
        <f>IF($A2287="","",L2287-F2287)</f>
        <v/>
      </c>
      <c r="N2287" s="7" t="n"/>
      <c r="Q2287" s="11" t="n"/>
      <c r="S2287">
        <f>IF($A2287="","",IF($W2287=1,Settings!$C$6,Settings!$C$7)*1)</f>
        <v/>
      </c>
      <c r="U2287">
        <f>IF($A2287="","",IF(COUNTIF($A$2:$A2287,$A2287)=1,1,0))</f>
        <v/>
      </c>
      <c r="V2287">
        <f>IF($U2287=1,SUMPRODUCT(--($X$2:$X$3001&lt;$X2287))+1,"")</f>
        <v/>
      </c>
      <c r="W2287">
        <f>IF($A2287="","",IF(OR($T2287=TRUE(),$T2287="TRUE"),1,0))</f>
        <v/>
      </c>
      <c r="X2287">
        <f>IF($U2287=1,IFERROR(IF(VALUE($A2287)&lt;100000000,VALUE($A2287),1000000000),IFERROR(IF(VALUE(MID($A2287,2,20))&lt;100000000,VALUE(MID($A2287,2,20)),1000000000),1000000000))+ROW()/100000,"")</f>
        <v/>
      </c>
    </row>
    <row r="2288">
      <c r="F2288" s="7">
        <f>IF($A2288="","",E2288*N2288/100)</f>
        <v/>
      </c>
      <c r="J2288" s="7" t="n"/>
      <c r="K2288" s="7">
        <f>IF($A2288="","",S2288*N2288)</f>
        <v/>
      </c>
      <c r="L2288" s="7">
        <f>IF($A2288="","",N2288-K2288)</f>
        <v/>
      </c>
      <c r="M2288" s="7">
        <f>IF($A2288="","",L2288-F2288)</f>
        <v/>
      </c>
      <c r="N2288" s="7" t="n"/>
      <c r="Q2288" s="11" t="n"/>
      <c r="S2288">
        <f>IF($A2288="","",IF($W2288=1,Settings!$C$6,Settings!$C$7)*1)</f>
        <v/>
      </c>
      <c r="U2288">
        <f>IF($A2288="","",IF(COUNTIF($A$2:$A2288,$A2288)=1,1,0))</f>
        <v/>
      </c>
      <c r="V2288">
        <f>IF($U2288=1,SUMPRODUCT(--($X$2:$X$3001&lt;$X2288))+1,"")</f>
        <v/>
      </c>
      <c r="W2288">
        <f>IF($A2288="","",IF(OR($T2288=TRUE(),$T2288="TRUE"),1,0))</f>
        <v/>
      </c>
      <c r="X2288">
        <f>IF($U2288=1,IFERROR(IF(VALUE($A2288)&lt;100000000,VALUE($A2288),1000000000),IFERROR(IF(VALUE(MID($A2288,2,20))&lt;100000000,VALUE(MID($A2288,2,20)),1000000000),1000000000))+ROW()/100000,"")</f>
        <v/>
      </c>
    </row>
    <row r="2289">
      <c r="F2289" s="7">
        <f>IF($A2289="","",E2289*N2289/100)</f>
        <v/>
      </c>
      <c r="J2289" s="7" t="n"/>
      <c r="K2289" s="7">
        <f>IF($A2289="","",S2289*N2289)</f>
        <v/>
      </c>
      <c r="L2289" s="7">
        <f>IF($A2289="","",N2289-K2289)</f>
        <v/>
      </c>
      <c r="M2289" s="7">
        <f>IF($A2289="","",L2289-F2289)</f>
        <v/>
      </c>
      <c r="N2289" s="7" t="n"/>
      <c r="Q2289" s="11" t="n"/>
      <c r="S2289">
        <f>IF($A2289="","",IF($W2289=1,Settings!$C$6,Settings!$C$7)*1)</f>
        <v/>
      </c>
      <c r="U2289">
        <f>IF($A2289="","",IF(COUNTIF($A$2:$A2289,$A2289)=1,1,0))</f>
        <v/>
      </c>
      <c r="V2289">
        <f>IF($U2289=1,SUMPRODUCT(--($X$2:$X$3001&lt;$X2289))+1,"")</f>
        <v/>
      </c>
      <c r="W2289">
        <f>IF($A2289="","",IF(OR($T2289=TRUE(),$T2289="TRUE"),1,0))</f>
        <v/>
      </c>
      <c r="X2289">
        <f>IF($U2289=1,IFERROR(IF(VALUE($A2289)&lt;100000000,VALUE($A2289),1000000000),IFERROR(IF(VALUE(MID($A2289,2,20))&lt;100000000,VALUE(MID($A2289,2,20)),1000000000),1000000000))+ROW()/100000,"")</f>
        <v/>
      </c>
    </row>
    <row r="2290">
      <c r="F2290" s="7">
        <f>IF($A2290="","",E2290*N2290/100)</f>
        <v/>
      </c>
      <c r="J2290" s="7" t="n"/>
      <c r="K2290" s="7">
        <f>IF($A2290="","",S2290*N2290)</f>
        <v/>
      </c>
      <c r="L2290" s="7">
        <f>IF($A2290="","",N2290-K2290)</f>
        <v/>
      </c>
      <c r="M2290" s="7">
        <f>IF($A2290="","",L2290-F2290)</f>
        <v/>
      </c>
      <c r="N2290" s="7" t="n"/>
      <c r="Q2290" s="11" t="n"/>
      <c r="S2290">
        <f>IF($A2290="","",IF($W2290=1,Settings!$C$6,Settings!$C$7)*1)</f>
        <v/>
      </c>
      <c r="U2290">
        <f>IF($A2290="","",IF(COUNTIF($A$2:$A2290,$A2290)=1,1,0))</f>
        <v/>
      </c>
      <c r="V2290">
        <f>IF($U2290=1,SUMPRODUCT(--($X$2:$X$3001&lt;$X2290))+1,"")</f>
        <v/>
      </c>
      <c r="W2290">
        <f>IF($A2290="","",IF(OR($T2290=TRUE(),$T2290="TRUE"),1,0))</f>
        <v/>
      </c>
      <c r="X2290">
        <f>IF($U2290=1,IFERROR(IF(VALUE($A2290)&lt;100000000,VALUE($A2290),1000000000),IFERROR(IF(VALUE(MID($A2290,2,20))&lt;100000000,VALUE(MID($A2290,2,20)),1000000000),1000000000))+ROW()/100000,"")</f>
        <v/>
      </c>
    </row>
    <row r="2291">
      <c r="F2291" s="7">
        <f>IF($A2291="","",E2291*N2291/100)</f>
        <v/>
      </c>
      <c r="J2291" s="7" t="n"/>
      <c r="K2291" s="7">
        <f>IF($A2291="","",S2291*N2291)</f>
        <v/>
      </c>
      <c r="L2291" s="7">
        <f>IF($A2291="","",N2291-K2291)</f>
        <v/>
      </c>
      <c r="M2291" s="7">
        <f>IF($A2291="","",L2291-F2291)</f>
        <v/>
      </c>
      <c r="N2291" s="7" t="n"/>
      <c r="Q2291" s="11" t="n"/>
      <c r="S2291">
        <f>IF($A2291="","",IF($W2291=1,Settings!$C$6,Settings!$C$7)*1)</f>
        <v/>
      </c>
      <c r="U2291">
        <f>IF($A2291="","",IF(COUNTIF($A$2:$A2291,$A2291)=1,1,0))</f>
        <v/>
      </c>
      <c r="V2291">
        <f>IF($U2291=1,SUMPRODUCT(--($X$2:$X$3001&lt;$X2291))+1,"")</f>
        <v/>
      </c>
      <c r="W2291">
        <f>IF($A2291="","",IF(OR($T2291=TRUE(),$T2291="TRUE"),1,0))</f>
        <v/>
      </c>
      <c r="X2291">
        <f>IF($U2291=1,IFERROR(IF(VALUE($A2291)&lt;100000000,VALUE($A2291),1000000000),IFERROR(IF(VALUE(MID($A2291,2,20))&lt;100000000,VALUE(MID($A2291,2,20)),1000000000),1000000000))+ROW()/100000,"")</f>
        <v/>
      </c>
    </row>
    <row r="2292">
      <c r="F2292" s="7">
        <f>IF($A2292="","",E2292*N2292/100)</f>
        <v/>
      </c>
      <c r="J2292" s="7" t="n"/>
      <c r="K2292" s="7">
        <f>IF($A2292="","",S2292*N2292)</f>
        <v/>
      </c>
      <c r="L2292" s="7">
        <f>IF($A2292="","",N2292-K2292)</f>
        <v/>
      </c>
      <c r="M2292" s="7">
        <f>IF($A2292="","",L2292-F2292)</f>
        <v/>
      </c>
      <c r="N2292" s="7" t="n"/>
      <c r="Q2292" s="11" t="n"/>
      <c r="S2292">
        <f>IF($A2292="","",IF($W2292=1,Settings!$C$6,Settings!$C$7)*1)</f>
        <v/>
      </c>
      <c r="U2292">
        <f>IF($A2292="","",IF(COUNTIF($A$2:$A2292,$A2292)=1,1,0))</f>
        <v/>
      </c>
      <c r="V2292">
        <f>IF($U2292=1,SUMPRODUCT(--($X$2:$X$3001&lt;$X2292))+1,"")</f>
        <v/>
      </c>
      <c r="W2292">
        <f>IF($A2292="","",IF(OR($T2292=TRUE(),$T2292="TRUE"),1,0))</f>
        <v/>
      </c>
      <c r="X2292">
        <f>IF($U2292=1,IFERROR(IF(VALUE($A2292)&lt;100000000,VALUE($A2292),1000000000),IFERROR(IF(VALUE(MID($A2292,2,20))&lt;100000000,VALUE(MID($A2292,2,20)),1000000000),1000000000))+ROW()/100000,"")</f>
        <v/>
      </c>
    </row>
    <row r="2293">
      <c r="F2293" s="7">
        <f>IF($A2293="","",E2293*N2293/100)</f>
        <v/>
      </c>
      <c r="J2293" s="7" t="n"/>
      <c r="K2293" s="7">
        <f>IF($A2293="","",S2293*N2293)</f>
        <v/>
      </c>
      <c r="L2293" s="7">
        <f>IF($A2293="","",N2293-K2293)</f>
        <v/>
      </c>
      <c r="M2293" s="7">
        <f>IF($A2293="","",L2293-F2293)</f>
        <v/>
      </c>
      <c r="N2293" s="7" t="n"/>
      <c r="Q2293" s="11" t="n"/>
      <c r="S2293">
        <f>IF($A2293="","",IF($W2293=1,Settings!$C$6,Settings!$C$7)*1)</f>
        <v/>
      </c>
      <c r="U2293">
        <f>IF($A2293="","",IF(COUNTIF($A$2:$A2293,$A2293)=1,1,0))</f>
        <v/>
      </c>
      <c r="V2293">
        <f>IF($U2293=1,SUMPRODUCT(--($X$2:$X$3001&lt;$X2293))+1,"")</f>
        <v/>
      </c>
      <c r="W2293">
        <f>IF($A2293="","",IF(OR($T2293=TRUE(),$T2293="TRUE"),1,0))</f>
        <v/>
      </c>
      <c r="X2293">
        <f>IF($U2293=1,IFERROR(IF(VALUE($A2293)&lt;100000000,VALUE($A2293),1000000000),IFERROR(IF(VALUE(MID($A2293,2,20))&lt;100000000,VALUE(MID($A2293,2,20)),1000000000),1000000000))+ROW()/100000,"")</f>
        <v/>
      </c>
    </row>
    <row r="2294">
      <c r="F2294" s="7">
        <f>IF($A2294="","",E2294*N2294/100)</f>
        <v/>
      </c>
      <c r="J2294" s="7" t="n"/>
      <c r="K2294" s="7">
        <f>IF($A2294="","",S2294*N2294)</f>
        <v/>
      </c>
      <c r="L2294" s="7">
        <f>IF($A2294="","",N2294-K2294)</f>
        <v/>
      </c>
      <c r="M2294" s="7">
        <f>IF($A2294="","",L2294-F2294)</f>
        <v/>
      </c>
      <c r="N2294" s="7" t="n"/>
      <c r="Q2294" s="11" t="n"/>
      <c r="S2294">
        <f>IF($A2294="","",IF($W2294=1,Settings!$C$6,Settings!$C$7)*1)</f>
        <v/>
      </c>
      <c r="U2294">
        <f>IF($A2294="","",IF(COUNTIF($A$2:$A2294,$A2294)=1,1,0))</f>
        <v/>
      </c>
      <c r="V2294">
        <f>IF($U2294=1,SUMPRODUCT(--($X$2:$X$3001&lt;$X2294))+1,"")</f>
        <v/>
      </c>
      <c r="W2294">
        <f>IF($A2294="","",IF(OR($T2294=TRUE(),$T2294="TRUE"),1,0))</f>
        <v/>
      </c>
      <c r="X2294">
        <f>IF($U2294=1,IFERROR(IF(VALUE($A2294)&lt;100000000,VALUE($A2294),1000000000),IFERROR(IF(VALUE(MID($A2294,2,20))&lt;100000000,VALUE(MID($A2294,2,20)),1000000000),1000000000))+ROW()/100000,"")</f>
        <v/>
      </c>
    </row>
    <row r="2295">
      <c r="F2295" s="7">
        <f>IF($A2295="","",E2295*N2295/100)</f>
        <v/>
      </c>
      <c r="J2295" s="7" t="n"/>
      <c r="K2295" s="7">
        <f>IF($A2295="","",S2295*N2295)</f>
        <v/>
      </c>
      <c r="L2295" s="7">
        <f>IF($A2295="","",N2295-K2295)</f>
        <v/>
      </c>
      <c r="M2295" s="7">
        <f>IF($A2295="","",L2295-F2295)</f>
        <v/>
      </c>
      <c r="N2295" s="7" t="n"/>
      <c r="Q2295" s="11" t="n"/>
      <c r="S2295">
        <f>IF($A2295="","",IF($W2295=1,Settings!$C$6,Settings!$C$7)*1)</f>
        <v/>
      </c>
      <c r="U2295">
        <f>IF($A2295="","",IF(COUNTIF($A$2:$A2295,$A2295)=1,1,0))</f>
        <v/>
      </c>
      <c r="V2295">
        <f>IF($U2295=1,SUMPRODUCT(--($X$2:$X$3001&lt;$X2295))+1,"")</f>
        <v/>
      </c>
      <c r="W2295">
        <f>IF($A2295="","",IF(OR($T2295=TRUE(),$T2295="TRUE"),1,0))</f>
        <v/>
      </c>
      <c r="X2295">
        <f>IF($U2295=1,IFERROR(IF(VALUE($A2295)&lt;100000000,VALUE($A2295),1000000000),IFERROR(IF(VALUE(MID($A2295,2,20))&lt;100000000,VALUE(MID($A2295,2,20)),1000000000),1000000000))+ROW()/100000,"")</f>
        <v/>
      </c>
    </row>
    <row r="2296">
      <c r="F2296" s="7">
        <f>IF($A2296="","",E2296*N2296/100)</f>
        <v/>
      </c>
      <c r="J2296" s="7" t="n"/>
      <c r="K2296" s="7">
        <f>IF($A2296="","",S2296*N2296)</f>
        <v/>
      </c>
      <c r="L2296" s="7">
        <f>IF($A2296="","",N2296-K2296)</f>
        <v/>
      </c>
      <c r="M2296" s="7">
        <f>IF($A2296="","",L2296-F2296)</f>
        <v/>
      </c>
      <c r="N2296" s="7" t="n"/>
      <c r="Q2296" s="11" t="n"/>
      <c r="S2296">
        <f>IF($A2296="","",IF($W2296=1,Settings!$C$6,Settings!$C$7)*1)</f>
        <v/>
      </c>
      <c r="U2296">
        <f>IF($A2296="","",IF(COUNTIF($A$2:$A2296,$A2296)=1,1,0))</f>
        <v/>
      </c>
      <c r="V2296">
        <f>IF($U2296=1,SUMPRODUCT(--($X$2:$X$3001&lt;$X2296))+1,"")</f>
        <v/>
      </c>
      <c r="W2296">
        <f>IF($A2296="","",IF(OR($T2296=TRUE(),$T2296="TRUE"),1,0))</f>
        <v/>
      </c>
      <c r="X2296">
        <f>IF($U2296=1,IFERROR(IF(VALUE($A2296)&lt;100000000,VALUE($A2296),1000000000),IFERROR(IF(VALUE(MID($A2296,2,20))&lt;100000000,VALUE(MID($A2296,2,20)),1000000000),1000000000))+ROW()/100000,"")</f>
        <v/>
      </c>
    </row>
    <row r="2297">
      <c r="F2297" s="7">
        <f>IF($A2297="","",E2297*N2297/100)</f>
        <v/>
      </c>
      <c r="J2297" s="7" t="n"/>
      <c r="K2297" s="7">
        <f>IF($A2297="","",S2297*N2297)</f>
        <v/>
      </c>
      <c r="L2297" s="7">
        <f>IF($A2297="","",N2297-K2297)</f>
        <v/>
      </c>
      <c r="M2297" s="7">
        <f>IF($A2297="","",L2297-F2297)</f>
        <v/>
      </c>
      <c r="N2297" s="7" t="n"/>
      <c r="Q2297" s="11" t="n"/>
      <c r="S2297">
        <f>IF($A2297="","",IF($W2297=1,Settings!$C$6,Settings!$C$7)*1)</f>
        <v/>
      </c>
      <c r="U2297">
        <f>IF($A2297="","",IF(COUNTIF($A$2:$A2297,$A2297)=1,1,0))</f>
        <v/>
      </c>
      <c r="V2297">
        <f>IF($U2297=1,SUMPRODUCT(--($X$2:$X$3001&lt;$X2297))+1,"")</f>
        <v/>
      </c>
      <c r="W2297">
        <f>IF($A2297="","",IF(OR($T2297=TRUE(),$T2297="TRUE"),1,0))</f>
        <v/>
      </c>
      <c r="X2297">
        <f>IF($U2297=1,IFERROR(IF(VALUE($A2297)&lt;100000000,VALUE($A2297),1000000000),IFERROR(IF(VALUE(MID($A2297,2,20))&lt;100000000,VALUE(MID($A2297,2,20)),1000000000),1000000000))+ROW()/100000,"")</f>
        <v/>
      </c>
    </row>
    <row r="2298">
      <c r="F2298" s="7">
        <f>IF($A2298="","",E2298*N2298/100)</f>
        <v/>
      </c>
      <c r="J2298" s="7" t="n"/>
      <c r="K2298" s="7">
        <f>IF($A2298="","",S2298*N2298)</f>
        <v/>
      </c>
      <c r="L2298" s="7">
        <f>IF($A2298="","",N2298-K2298)</f>
        <v/>
      </c>
      <c r="M2298" s="7">
        <f>IF($A2298="","",L2298-F2298)</f>
        <v/>
      </c>
      <c r="N2298" s="7" t="n"/>
      <c r="Q2298" s="11" t="n"/>
      <c r="S2298">
        <f>IF($A2298="","",IF($W2298=1,Settings!$C$6,Settings!$C$7)*1)</f>
        <v/>
      </c>
      <c r="U2298">
        <f>IF($A2298="","",IF(COUNTIF($A$2:$A2298,$A2298)=1,1,0))</f>
        <v/>
      </c>
      <c r="V2298">
        <f>IF($U2298=1,SUMPRODUCT(--($X$2:$X$3001&lt;$X2298))+1,"")</f>
        <v/>
      </c>
      <c r="W2298">
        <f>IF($A2298="","",IF(OR($T2298=TRUE(),$T2298="TRUE"),1,0))</f>
        <v/>
      </c>
      <c r="X2298">
        <f>IF($U2298=1,IFERROR(IF(VALUE($A2298)&lt;100000000,VALUE($A2298),1000000000),IFERROR(IF(VALUE(MID($A2298,2,20))&lt;100000000,VALUE(MID($A2298,2,20)),1000000000),1000000000))+ROW()/100000,"")</f>
        <v/>
      </c>
    </row>
    <row r="2299">
      <c r="F2299" s="7">
        <f>IF($A2299="","",E2299*N2299/100)</f>
        <v/>
      </c>
      <c r="J2299" s="7" t="n"/>
      <c r="K2299" s="7">
        <f>IF($A2299="","",S2299*N2299)</f>
        <v/>
      </c>
      <c r="L2299" s="7">
        <f>IF($A2299="","",N2299-K2299)</f>
        <v/>
      </c>
      <c r="M2299" s="7">
        <f>IF($A2299="","",L2299-F2299)</f>
        <v/>
      </c>
      <c r="N2299" s="7" t="n"/>
      <c r="Q2299" s="11" t="n"/>
      <c r="S2299">
        <f>IF($A2299="","",IF($W2299=1,Settings!$C$6,Settings!$C$7)*1)</f>
        <v/>
      </c>
      <c r="U2299">
        <f>IF($A2299="","",IF(COUNTIF($A$2:$A2299,$A2299)=1,1,0))</f>
        <v/>
      </c>
      <c r="V2299">
        <f>IF($U2299=1,SUMPRODUCT(--($X$2:$X$3001&lt;$X2299))+1,"")</f>
        <v/>
      </c>
      <c r="W2299">
        <f>IF($A2299="","",IF(OR($T2299=TRUE(),$T2299="TRUE"),1,0))</f>
        <v/>
      </c>
      <c r="X2299">
        <f>IF($U2299=1,IFERROR(IF(VALUE($A2299)&lt;100000000,VALUE($A2299),1000000000),IFERROR(IF(VALUE(MID($A2299,2,20))&lt;100000000,VALUE(MID($A2299,2,20)),1000000000),1000000000))+ROW()/100000,"")</f>
        <v/>
      </c>
    </row>
    <row r="2300">
      <c r="F2300" s="7">
        <f>IF($A2300="","",E2300*N2300/100)</f>
        <v/>
      </c>
      <c r="J2300" s="7" t="n"/>
      <c r="K2300" s="7">
        <f>IF($A2300="","",S2300*N2300)</f>
        <v/>
      </c>
      <c r="L2300" s="7">
        <f>IF($A2300="","",N2300-K2300)</f>
        <v/>
      </c>
      <c r="M2300" s="7">
        <f>IF($A2300="","",L2300-F2300)</f>
        <v/>
      </c>
      <c r="N2300" s="7" t="n"/>
      <c r="Q2300" s="11" t="n"/>
      <c r="S2300">
        <f>IF($A2300="","",IF($W2300=1,Settings!$C$6,Settings!$C$7)*1)</f>
        <v/>
      </c>
      <c r="U2300">
        <f>IF($A2300="","",IF(COUNTIF($A$2:$A2300,$A2300)=1,1,0))</f>
        <v/>
      </c>
      <c r="V2300">
        <f>IF($U2300=1,SUMPRODUCT(--($X$2:$X$3001&lt;$X2300))+1,"")</f>
        <v/>
      </c>
      <c r="W2300">
        <f>IF($A2300="","",IF(OR($T2300=TRUE(),$T2300="TRUE"),1,0))</f>
        <v/>
      </c>
      <c r="X2300">
        <f>IF($U2300=1,IFERROR(IF(VALUE($A2300)&lt;100000000,VALUE($A2300),1000000000),IFERROR(IF(VALUE(MID($A2300,2,20))&lt;100000000,VALUE(MID($A2300,2,20)),1000000000),1000000000))+ROW()/100000,"")</f>
        <v/>
      </c>
    </row>
    <row r="2301">
      <c r="F2301" s="7">
        <f>IF($A2301="","",E2301*N2301/100)</f>
        <v/>
      </c>
      <c r="J2301" s="7" t="n"/>
      <c r="K2301" s="7">
        <f>IF($A2301="","",S2301*N2301)</f>
        <v/>
      </c>
      <c r="L2301" s="7">
        <f>IF($A2301="","",N2301-K2301)</f>
        <v/>
      </c>
      <c r="M2301" s="7">
        <f>IF($A2301="","",L2301-F2301)</f>
        <v/>
      </c>
      <c r="N2301" s="7" t="n"/>
      <c r="Q2301" s="11" t="n"/>
      <c r="S2301">
        <f>IF($A2301="","",IF($W2301=1,Settings!$C$6,Settings!$C$7)*1)</f>
        <v/>
      </c>
      <c r="U2301">
        <f>IF($A2301="","",IF(COUNTIF($A$2:$A2301,$A2301)=1,1,0))</f>
        <v/>
      </c>
      <c r="V2301">
        <f>IF($U2301=1,SUMPRODUCT(--($X$2:$X$3001&lt;$X2301))+1,"")</f>
        <v/>
      </c>
      <c r="W2301">
        <f>IF($A2301="","",IF(OR($T2301=TRUE(),$T2301="TRUE"),1,0))</f>
        <v/>
      </c>
      <c r="X2301">
        <f>IF($U2301=1,IFERROR(IF(VALUE($A2301)&lt;100000000,VALUE($A2301),1000000000),IFERROR(IF(VALUE(MID($A2301,2,20))&lt;100000000,VALUE(MID($A2301,2,20)),1000000000),1000000000))+ROW()/100000,"")</f>
        <v/>
      </c>
    </row>
    <row r="2302">
      <c r="F2302" s="7">
        <f>IF($A2302="","",E2302*N2302/100)</f>
        <v/>
      </c>
      <c r="J2302" s="7" t="n"/>
      <c r="K2302" s="7">
        <f>IF($A2302="","",S2302*N2302)</f>
        <v/>
      </c>
      <c r="L2302" s="7">
        <f>IF($A2302="","",N2302-K2302)</f>
        <v/>
      </c>
      <c r="M2302" s="7">
        <f>IF($A2302="","",L2302-F2302)</f>
        <v/>
      </c>
      <c r="N2302" s="7" t="n"/>
      <c r="Q2302" s="11" t="n"/>
      <c r="S2302">
        <f>IF($A2302="","",IF($W2302=1,Settings!$C$6,Settings!$C$7)*1)</f>
        <v/>
      </c>
      <c r="U2302">
        <f>IF($A2302="","",IF(COUNTIF($A$2:$A2302,$A2302)=1,1,0))</f>
        <v/>
      </c>
      <c r="V2302">
        <f>IF($U2302=1,SUMPRODUCT(--($X$2:$X$3001&lt;$X2302))+1,"")</f>
        <v/>
      </c>
      <c r="W2302">
        <f>IF($A2302="","",IF(OR($T2302=TRUE(),$T2302="TRUE"),1,0))</f>
        <v/>
      </c>
      <c r="X2302">
        <f>IF($U2302=1,IFERROR(IF(VALUE($A2302)&lt;100000000,VALUE($A2302),1000000000),IFERROR(IF(VALUE(MID($A2302,2,20))&lt;100000000,VALUE(MID($A2302,2,20)),1000000000),1000000000))+ROW()/100000,"")</f>
        <v/>
      </c>
    </row>
    <row r="2303">
      <c r="F2303" s="7">
        <f>IF($A2303="","",E2303*N2303/100)</f>
        <v/>
      </c>
      <c r="J2303" s="7" t="n"/>
      <c r="K2303" s="7">
        <f>IF($A2303="","",S2303*N2303)</f>
        <v/>
      </c>
      <c r="L2303" s="7">
        <f>IF($A2303="","",N2303-K2303)</f>
        <v/>
      </c>
      <c r="M2303" s="7">
        <f>IF($A2303="","",L2303-F2303)</f>
        <v/>
      </c>
      <c r="N2303" s="7" t="n"/>
      <c r="Q2303" s="11" t="n"/>
      <c r="S2303">
        <f>IF($A2303="","",IF($W2303=1,Settings!$C$6,Settings!$C$7)*1)</f>
        <v/>
      </c>
      <c r="U2303">
        <f>IF($A2303="","",IF(COUNTIF($A$2:$A2303,$A2303)=1,1,0))</f>
        <v/>
      </c>
      <c r="V2303">
        <f>IF($U2303=1,SUMPRODUCT(--($X$2:$X$3001&lt;$X2303))+1,"")</f>
        <v/>
      </c>
      <c r="W2303">
        <f>IF($A2303="","",IF(OR($T2303=TRUE(),$T2303="TRUE"),1,0))</f>
        <v/>
      </c>
      <c r="X2303">
        <f>IF($U2303=1,IFERROR(IF(VALUE($A2303)&lt;100000000,VALUE($A2303),1000000000),IFERROR(IF(VALUE(MID($A2303,2,20))&lt;100000000,VALUE(MID($A2303,2,20)),1000000000),1000000000))+ROW()/100000,"")</f>
        <v/>
      </c>
    </row>
    <row r="2304">
      <c r="F2304" s="7">
        <f>IF($A2304="","",E2304*N2304/100)</f>
        <v/>
      </c>
      <c r="J2304" s="7" t="n"/>
      <c r="K2304" s="7">
        <f>IF($A2304="","",S2304*N2304)</f>
        <v/>
      </c>
      <c r="L2304" s="7">
        <f>IF($A2304="","",N2304-K2304)</f>
        <v/>
      </c>
      <c r="M2304" s="7">
        <f>IF($A2304="","",L2304-F2304)</f>
        <v/>
      </c>
      <c r="N2304" s="7" t="n"/>
      <c r="Q2304" s="11" t="n"/>
      <c r="S2304">
        <f>IF($A2304="","",IF($W2304=1,Settings!$C$6,Settings!$C$7)*1)</f>
        <v/>
      </c>
      <c r="U2304">
        <f>IF($A2304="","",IF(COUNTIF($A$2:$A2304,$A2304)=1,1,0))</f>
        <v/>
      </c>
      <c r="V2304">
        <f>IF($U2304=1,SUMPRODUCT(--($X$2:$X$3001&lt;$X2304))+1,"")</f>
        <v/>
      </c>
      <c r="W2304">
        <f>IF($A2304="","",IF(OR($T2304=TRUE(),$T2304="TRUE"),1,0))</f>
        <v/>
      </c>
      <c r="X2304">
        <f>IF($U2304=1,IFERROR(IF(VALUE($A2304)&lt;100000000,VALUE($A2304),1000000000),IFERROR(IF(VALUE(MID($A2304,2,20))&lt;100000000,VALUE(MID($A2304,2,20)),1000000000),1000000000))+ROW()/100000,"")</f>
        <v/>
      </c>
    </row>
    <row r="2305">
      <c r="F2305" s="7">
        <f>IF($A2305="","",E2305*N2305/100)</f>
        <v/>
      </c>
      <c r="J2305" s="7" t="n"/>
      <c r="K2305" s="7">
        <f>IF($A2305="","",S2305*N2305)</f>
        <v/>
      </c>
      <c r="L2305" s="7">
        <f>IF($A2305="","",N2305-K2305)</f>
        <v/>
      </c>
      <c r="M2305" s="7">
        <f>IF($A2305="","",L2305-F2305)</f>
        <v/>
      </c>
      <c r="N2305" s="7" t="n"/>
      <c r="Q2305" s="11" t="n"/>
      <c r="S2305">
        <f>IF($A2305="","",IF($W2305=1,Settings!$C$6,Settings!$C$7)*1)</f>
        <v/>
      </c>
      <c r="U2305">
        <f>IF($A2305="","",IF(COUNTIF($A$2:$A2305,$A2305)=1,1,0))</f>
        <v/>
      </c>
      <c r="V2305">
        <f>IF($U2305=1,SUMPRODUCT(--($X$2:$X$3001&lt;$X2305))+1,"")</f>
        <v/>
      </c>
      <c r="W2305">
        <f>IF($A2305="","",IF(OR($T2305=TRUE(),$T2305="TRUE"),1,0))</f>
        <v/>
      </c>
      <c r="X2305">
        <f>IF($U2305=1,IFERROR(IF(VALUE($A2305)&lt;100000000,VALUE($A2305),1000000000),IFERROR(IF(VALUE(MID($A2305,2,20))&lt;100000000,VALUE(MID($A2305,2,20)),1000000000),1000000000))+ROW()/100000,"")</f>
        <v/>
      </c>
    </row>
    <row r="2306">
      <c r="F2306" s="7">
        <f>IF($A2306="","",E2306*N2306/100)</f>
        <v/>
      </c>
      <c r="J2306" s="7" t="n"/>
      <c r="K2306" s="7">
        <f>IF($A2306="","",S2306*N2306)</f>
        <v/>
      </c>
      <c r="L2306" s="7">
        <f>IF($A2306="","",N2306-K2306)</f>
        <v/>
      </c>
      <c r="M2306" s="7">
        <f>IF($A2306="","",L2306-F2306)</f>
        <v/>
      </c>
      <c r="N2306" s="7" t="n"/>
      <c r="Q2306" s="11" t="n"/>
      <c r="S2306">
        <f>IF($A2306="","",IF($W2306=1,Settings!$C$6,Settings!$C$7)*1)</f>
        <v/>
      </c>
      <c r="U2306">
        <f>IF($A2306="","",IF(COUNTIF($A$2:$A2306,$A2306)=1,1,0))</f>
        <v/>
      </c>
      <c r="V2306">
        <f>IF($U2306=1,SUMPRODUCT(--($X$2:$X$3001&lt;$X2306))+1,"")</f>
        <v/>
      </c>
      <c r="W2306">
        <f>IF($A2306="","",IF(OR($T2306=TRUE(),$T2306="TRUE"),1,0))</f>
        <v/>
      </c>
      <c r="X2306">
        <f>IF($U2306=1,IFERROR(IF(VALUE($A2306)&lt;100000000,VALUE($A2306),1000000000),IFERROR(IF(VALUE(MID($A2306,2,20))&lt;100000000,VALUE(MID($A2306,2,20)),1000000000),1000000000))+ROW()/100000,"")</f>
        <v/>
      </c>
    </row>
    <row r="2307">
      <c r="F2307" s="7">
        <f>IF($A2307="","",E2307*N2307/100)</f>
        <v/>
      </c>
      <c r="J2307" s="7" t="n"/>
      <c r="K2307" s="7">
        <f>IF($A2307="","",S2307*N2307)</f>
        <v/>
      </c>
      <c r="L2307" s="7">
        <f>IF($A2307="","",N2307-K2307)</f>
        <v/>
      </c>
      <c r="M2307" s="7">
        <f>IF($A2307="","",L2307-F2307)</f>
        <v/>
      </c>
      <c r="N2307" s="7" t="n"/>
      <c r="Q2307" s="11" t="n"/>
      <c r="S2307">
        <f>IF($A2307="","",IF($W2307=1,Settings!$C$6,Settings!$C$7)*1)</f>
        <v/>
      </c>
      <c r="U2307">
        <f>IF($A2307="","",IF(COUNTIF($A$2:$A2307,$A2307)=1,1,0))</f>
        <v/>
      </c>
      <c r="V2307">
        <f>IF($U2307=1,SUMPRODUCT(--($X$2:$X$3001&lt;$X2307))+1,"")</f>
        <v/>
      </c>
      <c r="W2307">
        <f>IF($A2307="","",IF(OR($T2307=TRUE(),$T2307="TRUE"),1,0))</f>
        <v/>
      </c>
      <c r="X2307">
        <f>IF($U2307=1,IFERROR(IF(VALUE($A2307)&lt;100000000,VALUE($A2307),1000000000),IFERROR(IF(VALUE(MID($A2307,2,20))&lt;100000000,VALUE(MID($A2307,2,20)),1000000000),1000000000))+ROW()/100000,"")</f>
        <v/>
      </c>
    </row>
    <row r="2308">
      <c r="F2308" s="7">
        <f>IF($A2308="","",E2308*N2308/100)</f>
        <v/>
      </c>
      <c r="J2308" s="7" t="n"/>
      <c r="K2308" s="7">
        <f>IF($A2308="","",S2308*N2308)</f>
        <v/>
      </c>
      <c r="L2308" s="7">
        <f>IF($A2308="","",N2308-K2308)</f>
        <v/>
      </c>
      <c r="M2308" s="7">
        <f>IF($A2308="","",L2308-F2308)</f>
        <v/>
      </c>
      <c r="N2308" s="7" t="n"/>
      <c r="Q2308" s="11" t="n"/>
      <c r="S2308">
        <f>IF($A2308="","",IF($W2308=1,Settings!$C$6,Settings!$C$7)*1)</f>
        <v/>
      </c>
      <c r="U2308">
        <f>IF($A2308="","",IF(COUNTIF($A$2:$A2308,$A2308)=1,1,0))</f>
        <v/>
      </c>
      <c r="V2308">
        <f>IF($U2308=1,SUMPRODUCT(--($X$2:$X$3001&lt;$X2308))+1,"")</f>
        <v/>
      </c>
      <c r="W2308">
        <f>IF($A2308="","",IF(OR($T2308=TRUE(),$T2308="TRUE"),1,0))</f>
        <v/>
      </c>
      <c r="X2308">
        <f>IF($U2308=1,IFERROR(IF(VALUE($A2308)&lt;100000000,VALUE($A2308),1000000000),IFERROR(IF(VALUE(MID($A2308,2,20))&lt;100000000,VALUE(MID($A2308,2,20)),1000000000),1000000000))+ROW()/100000,"")</f>
        <v/>
      </c>
    </row>
    <row r="2309">
      <c r="F2309" s="7">
        <f>IF($A2309="","",E2309*N2309/100)</f>
        <v/>
      </c>
      <c r="J2309" s="7" t="n"/>
      <c r="K2309" s="7">
        <f>IF($A2309="","",S2309*N2309)</f>
        <v/>
      </c>
      <c r="L2309" s="7">
        <f>IF($A2309="","",N2309-K2309)</f>
        <v/>
      </c>
      <c r="M2309" s="7">
        <f>IF($A2309="","",L2309-F2309)</f>
        <v/>
      </c>
      <c r="N2309" s="7" t="n"/>
      <c r="Q2309" s="11" t="n"/>
      <c r="S2309">
        <f>IF($A2309="","",IF($W2309=1,Settings!$C$6,Settings!$C$7)*1)</f>
        <v/>
      </c>
      <c r="U2309">
        <f>IF($A2309="","",IF(COUNTIF($A$2:$A2309,$A2309)=1,1,0))</f>
        <v/>
      </c>
      <c r="V2309">
        <f>IF($U2309=1,SUMPRODUCT(--($X$2:$X$3001&lt;$X2309))+1,"")</f>
        <v/>
      </c>
      <c r="W2309">
        <f>IF($A2309="","",IF(OR($T2309=TRUE(),$T2309="TRUE"),1,0))</f>
        <v/>
      </c>
      <c r="X2309">
        <f>IF($U2309=1,IFERROR(IF(VALUE($A2309)&lt;100000000,VALUE($A2309),1000000000),IFERROR(IF(VALUE(MID($A2309,2,20))&lt;100000000,VALUE(MID($A2309,2,20)),1000000000),1000000000))+ROW()/100000,"")</f>
        <v/>
      </c>
    </row>
    <row r="2310">
      <c r="F2310" s="7">
        <f>IF($A2310="","",E2310*N2310/100)</f>
        <v/>
      </c>
      <c r="J2310" s="7" t="n"/>
      <c r="K2310" s="7">
        <f>IF($A2310="","",S2310*N2310)</f>
        <v/>
      </c>
      <c r="L2310" s="7">
        <f>IF($A2310="","",N2310-K2310)</f>
        <v/>
      </c>
      <c r="M2310" s="7">
        <f>IF($A2310="","",L2310-F2310)</f>
        <v/>
      </c>
      <c r="N2310" s="7" t="n"/>
      <c r="Q2310" s="11" t="n"/>
      <c r="S2310">
        <f>IF($A2310="","",IF($W2310=1,Settings!$C$6,Settings!$C$7)*1)</f>
        <v/>
      </c>
      <c r="U2310">
        <f>IF($A2310="","",IF(COUNTIF($A$2:$A2310,$A2310)=1,1,0))</f>
        <v/>
      </c>
      <c r="V2310">
        <f>IF($U2310=1,SUMPRODUCT(--($X$2:$X$3001&lt;$X2310))+1,"")</f>
        <v/>
      </c>
      <c r="W2310">
        <f>IF($A2310="","",IF(OR($T2310=TRUE(),$T2310="TRUE"),1,0))</f>
        <v/>
      </c>
      <c r="X2310">
        <f>IF($U2310=1,IFERROR(IF(VALUE($A2310)&lt;100000000,VALUE($A2310),1000000000),IFERROR(IF(VALUE(MID($A2310,2,20))&lt;100000000,VALUE(MID($A2310,2,20)),1000000000),1000000000))+ROW()/100000,"")</f>
        <v/>
      </c>
    </row>
    <row r="2311">
      <c r="F2311" s="7">
        <f>IF($A2311="","",E2311*N2311/100)</f>
        <v/>
      </c>
      <c r="J2311" s="7" t="n"/>
      <c r="K2311" s="7">
        <f>IF($A2311="","",S2311*N2311)</f>
        <v/>
      </c>
      <c r="L2311" s="7">
        <f>IF($A2311="","",N2311-K2311)</f>
        <v/>
      </c>
      <c r="M2311" s="7">
        <f>IF($A2311="","",L2311-F2311)</f>
        <v/>
      </c>
      <c r="N2311" s="7" t="n"/>
      <c r="Q2311" s="11" t="n"/>
      <c r="S2311">
        <f>IF($A2311="","",IF($W2311=1,Settings!$C$6,Settings!$C$7)*1)</f>
        <v/>
      </c>
      <c r="U2311">
        <f>IF($A2311="","",IF(COUNTIF($A$2:$A2311,$A2311)=1,1,0))</f>
        <v/>
      </c>
      <c r="V2311">
        <f>IF($U2311=1,SUMPRODUCT(--($X$2:$X$3001&lt;$X2311))+1,"")</f>
        <v/>
      </c>
      <c r="W2311">
        <f>IF($A2311="","",IF(OR($T2311=TRUE(),$T2311="TRUE"),1,0))</f>
        <v/>
      </c>
      <c r="X2311">
        <f>IF($U2311=1,IFERROR(IF(VALUE($A2311)&lt;100000000,VALUE($A2311),1000000000),IFERROR(IF(VALUE(MID($A2311,2,20))&lt;100000000,VALUE(MID($A2311,2,20)),1000000000),1000000000))+ROW()/100000,"")</f>
        <v/>
      </c>
    </row>
    <row r="2312">
      <c r="F2312" s="7">
        <f>IF($A2312="","",E2312*N2312/100)</f>
        <v/>
      </c>
      <c r="J2312" s="7" t="n"/>
      <c r="K2312" s="7">
        <f>IF($A2312="","",S2312*N2312)</f>
        <v/>
      </c>
      <c r="L2312" s="7">
        <f>IF($A2312="","",N2312-K2312)</f>
        <v/>
      </c>
      <c r="M2312" s="7">
        <f>IF($A2312="","",L2312-F2312)</f>
        <v/>
      </c>
      <c r="N2312" s="7" t="n"/>
      <c r="Q2312" s="11" t="n"/>
      <c r="S2312">
        <f>IF($A2312="","",IF($W2312=1,Settings!$C$6,Settings!$C$7)*1)</f>
        <v/>
      </c>
      <c r="U2312">
        <f>IF($A2312="","",IF(COUNTIF($A$2:$A2312,$A2312)=1,1,0))</f>
        <v/>
      </c>
      <c r="V2312">
        <f>IF($U2312=1,SUMPRODUCT(--($X$2:$X$3001&lt;$X2312))+1,"")</f>
        <v/>
      </c>
      <c r="W2312">
        <f>IF($A2312="","",IF(OR($T2312=TRUE(),$T2312="TRUE"),1,0))</f>
        <v/>
      </c>
      <c r="X2312">
        <f>IF($U2312=1,IFERROR(IF(VALUE($A2312)&lt;100000000,VALUE($A2312),1000000000),IFERROR(IF(VALUE(MID($A2312,2,20))&lt;100000000,VALUE(MID($A2312,2,20)),1000000000),1000000000))+ROW()/100000,"")</f>
        <v/>
      </c>
    </row>
    <row r="2313">
      <c r="F2313" s="7">
        <f>IF($A2313="","",E2313*N2313/100)</f>
        <v/>
      </c>
      <c r="J2313" s="7" t="n"/>
      <c r="K2313" s="7">
        <f>IF($A2313="","",S2313*N2313)</f>
        <v/>
      </c>
      <c r="L2313" s="7">
        <f>IF($A2313="","",N2313-K2313)</f>
        <v/>
      </c>
      <c r="M2313" s="7">
        <f>IF($A2313="","",L2313-F2313)</f>
        <v/>
      </c>
      <c r="N2313" s="7" t="n"/>
      <c r="Q2313" s="11" t="n"/>
      <c r="S2313">
        <f>IF($A2313="","",IF($W2313=1,Settings!$C$6,Settings!$C$7)*1)</f>
        <v/>
      </c>
      <c r="U2313">
        <f>IF($A2313="","",IF(COUNTIF($A$2:$A2313,$A2313)=1,1,0))</f>
        <v/>
      </c>
      <c r="V2313">
        <f>IF($U2313=1,SUMPRODUCT(--($X$2:$X$3001&lt;$X2313))+1,"")</f>
        <v/>
      </c>
      <c r="W2313">
        <f>IF($A2313="","",IF(OR($T2313=TRUE(),$T2313="TRUE"),1,0))</f>
        <v/>
      </c>
      <c r="X2313">
        <f>IF($U2313=1,IFERROR(IF(VALUE($A2313)&lt;100000000,VALUE($A2313),1000000000),IFERROR(IF(VALUE(MID($A2313,2,20))&lt;100000000,VALUE(MID($A2313,2,20)),1000000000),1000000000))+ROW()/100000,"")</f>
        <v/>
      </c>
    </row>
    <row r="2314">
      <c r="F2314" s="7">
        <f>IF($A2314="","",E2314*N2314/100)</f>
        <v/>
      </c>
      <c r="J2314" s="7" t="n"/>
      <c r="K2314" s="7">
        <f>IF($A2314="","",S2314*N2314)</f>
        <v/>
      </c>
      <c r="L2314" s="7">
        <f>IF($A2314="","",N2314-K2314)</f>
        <v/>
      </c>
      <c r="M2314" s="7">
        <f>IF($A2314="","",L2314-F2314)</f>
        <v/>
      </c>
      <c r="N2314" s="7" t="n"/>
      <c r="Q2314" s="11" t="n"/>
      <c r="S2314">
        <f>IF($A2314="","",IF($W2314=1,Settings!$C$6,Settings!$C$7)*1)</f>
        <v/>
      </c>
      <c r="U2314">
        <f>IF($A2314="","",IF(COUNTIF($A$2:$A2314,$A2314)=1,1,0))</f>
        <v/>
      </c>
      <c r="V2314">
        <f>IF($U2314=1,SUMPRODUCT(--($X$2:$X$3001&lt;$X2314))+1,"")</f>
        <v/>
      </c>
      <c r="W2314">
        <f>IF($A2314="","",IF(OR($T2314=TRUE(),$T2314="TRUE"),1,0))</f>
        <v/>
      </c>
      <c r="X2314">
        <f>IF($U2314=1,IFERROR(IF(VALUE($A2314)&lt;100000000,VALUE($A2314),1000000000),IFERROR(IF(VALUE(MID($A2314,2,20))&lt;100000000,VALUE(MID($A2314,2,20)),1000000000),1000000000))+ROW()/100000,"")</f>
        <v/>
      </c>
    </row>
    <row r="2315">
      <c r="F2315" s="7">
        <f>IF($A2315="","",E2315*N2315/100)</f>
        <v/>
      </c>
      <c r="J2315" s="7" t="n"/>
      <c r="K2315" s="7">
        <f>IF($A2315="","",S2315*N2315)</f>
        <v/>
      </c>
      <c r="L2315" s="7">
        <f>IF($A2315="","",N2315-K2315)</f>
        <v/>
      </c>
      <c r="M2315" s="7">
        <f>IF($A2315="","",L2315-F2315)</f>
        <v/>
      </c>
      <c r="N2315" s="7" t="n"/>
      <c r="Q2315" s="11" t="n"/>
      <c r="S2315">
        <f>IF($A2315="","",IF($W2315=1,Settings!$C$6,Settings!$C$7)*1)</f>
        <v/>
      </c>
      <c r="U2315">
        <f>IF($A2315="","",IF(COUNTIF($A$2:$A2315,$A2315)=1,1,0))</f>
        <v/>
      </c>
      <c r="V2315">
        <f>IF($U2315=1,SUMPRODUCT(--($X$2:$X$3001&lt;$X2315))+1,"")</f>
        <v/>
      </c>
      <c r="W2315">
        <f>IF($A2315="","",IF(OR($T2315=TRUE(),$T2315="TRUE"),1,0))</f>
        <v/>
      </c>
      <c r="X2315">
        <f>IF($U2315=1,IFERROR(IF(VALUE($A2315)&lt;100000000,VALUE($A2315),1000000000),IFERROR(IF(VALUE(MID($A2315,2,20))&lt;100000000,VALUE(MID($A2315,2,20)),1000000000),1000000000))+ROW()/100000,"")</f>
        <v/>
      </c>
    </row>
    <row r="2316">
      <c r="F2316" s="7">
        <f>IF($A2316="","",E2316*N2316/100)</f>
        <v/>
      </c>
      <c r="J2316" s="7" t="n"/>
      <c r="K2316" s="7">
        <f>IF($A2316="","",S2316*N2316)</f>
        <v/>
      </c>
      <c r="L2316" s="7">
        <f>IF($A2316="","",N2316-K2316)</f>
        <v/>
      </c>
      <c r="M2316" s="7">
        <f>IF($A2316="","",L2316-F2316)</f>
        <v/>
      </c>
      <c r="N2316" s="7" t="n"/>
      <c r="Q2316" s="11" t="n"/>
      <c r="S2316">
        <f>IF($A2316="","",IF($W2316=1,Settings!$C$6,Settings!$C$7)*1)</f>
        <v/>
      </c>
      <c r="U2316">
        <f>IF($A2316="","",IF(COUNTIF($A$2:$A2316,$A2316)=1,1,0))</f>
        <v/>
      </c>
      <c r="V2316">
        <f>IF($U2316=1,SUMPRODUCT(--($X$2:$X$3001&lt;$X2316))+1,"")</f>
        <v/>
      </c>
      <c r="W2316">
        <f>IF($A2316="","",IF(OR($T2316=TRUE(),$T2316="TRUE"),1,0))</f>
        <v/>
      </c>
      <c r="X2316">
        <f>IF($U2316=1,IFERROR(IF(VALUE($A2316)&lt;100000000,VALUE($A2316),1000000000),IFERROR(IF(VALUE(MID($A2316,2,20))&lt;100000000,VALUE(MID($A2316,2,20)),1000000000),1000000000))+ROW()/100000,"")</f>
        <v/>
      </c>
    </row>
    <row r="2317">
      <c r="F2317" s="7">
        <f>IF($A2317="","",E2317*N2317/100)</f>
        <v/>
      </c>
      <c r="J2317" s="7" t="n"/>
      <c r="K2317" s="7">
        <f>IF($A2317="","",S2317*N2317)</f>
        <v/>
      </c>
      <c r="L2317" s="7">
        <f>IF($A2317="","",N2317-K2317)</f>
        <v/>
      </c>
      <c r="M2317" s="7">
        <f>IF($A2317="","",L2317-F2317)</f>
        <v/>
      </c>
      <c r="N2317" s="7" t="n"/>
      <c r="Q2317" s="11" t="n"/>
      <c r="S2317">
        <f>IF($A2317="","",IF($W2317=1,Settings!$C$6,Settings!$C$7)*1)</f>
        <v/>
      </c>
      <c r="U2317">
        <f>IF($A2317="","",IF(COUNTIF($A$2:$A2317,$A2317)=1,1,0))</f>
        <v/>
      </c>
      <c r="V2317">
        <f>IF($U2317=1,SUMPRODUCT(--($X$2:$X$3001&lt;$X2317))+1,"")</f>
        <v/>
      </c>
      <c r="W2317">
        <f>IF($A2317="","",IF(OR($T2317=TRUE(),$T2317="TRUE"),1,0))</f>
        <v/>
      </c>
      <c r="X2317">
        <f>IF($U2317=1,IFERROR(IF(VALUE($A2317)&lt;100000000,VALUE($A2317),1000000000),IFERROR(IF(VALUE(MID($A2317,2,20))&lt;100000000,VALUE(MID($A2317,2,20)),1000000000),1000000000))+ROW()/100000,"")</f>
        <v/>
      </c>
    </row>
    <row r="2318">
      <c r="F2318" s="7">
        <f>IF($A2318="","",E2318*N2318/100)</f>
        <v/>
      </c>
      <c r="J2318" s="7" t="n"/>
      <c r="K2318" s="7">
        <f>IF($A2318="","",S2318*N2318)</f>
        <v/>
      </c>
      <c r="L2318" s="7">
        <f>IF($A2318="","",N2318-K2318)</f>
        <v/>
      </c>
      <c r="M2318" s="7">
        <f>IF($A2318="","",L2318-F2318)</f>
        <v/>
      </c>
      <c r="N2318" s="7" t="n"/>
      <c r="Q2318" s="11" t="n"/>
      <c r="S2318">
        <f>IF($A2318="","",IF($W2318=1,Settings!$C$6,Settings!$C$7)*1)</f>
        <v/>
      </c>
      <c r="U2318">
        <f>IF($A2318="","",IF(COUNTIF($A$2:$A2318,$A2318)=1,1,0))</f>
        <v/>
      </c>
      <c r="V2318">
        <f>IF($U2318=1,SUMPRODUCT(--($X$2:$X$3001&lt;$X2318))+1,"")</f>
        <v/>
      </c>
      <c r="W2318">
        <f>IF($A2318="","",IF(OR($T2318=TRUE(),$T2318="TRUE"),1,0))</f>
        <v/>
      </c>
      <c r="X2318">
        <f>IF($U2318=1,IFERROR(IF(VALUE($A2318)&lt;100000000,VALUE($A2318),1000000000),IFERROR(IF(VALUE(MID($A2318,2,20))&lt;100000000,VALUE(MID($A2318,2,20)),1000000000),1000000000))+ROW()/100000,"")</f>
        <v/>
      </c>
    </row>
    <row r="2319">
      <c r="F2319" s="7">
        <f>IF($A2319="","",E2319*N2319/100)</f>
        <v/>
      </c>
      <c r="J2319" s="7" t="n"/>
      <c r="K2319" s="7">
        <f>IF($A2319="","",S2319*N2319)</f>
        <v/>
      </c>
      <c r="L2319" s="7">
        <f>IF($A2319="","",N2319-K2319)</f>
        <v/>
      </c>
      <c r="M2319" s="7">
        <f>IF($A2319="","",L2319-F2319)</f>
        <v/>
      </c>
      <c r="N2319" s="7" t="n"/>
      <c r="Q2319" s="11" t="n"/>
      <c r="S2319">
        <f>IF($A2319="","",IF($W2319=1,Settings!$C$6,Settings!$C$7)*1)</f>
        <v/>
      </c>
      <c r="U2319">
        <f>IF($A2319="","",IF(COUNTIF($A$2:$A2319,$A2319)=1,1,0))</f>
        <v/>
      </c>
      <c r="V2319">
        <f>IF($U2319=1,SUMPRODUCT(--($X$2:$X$3001&lt;$X2319))+1,"")</f>
        <v/>
      </c>
      <c r="W2319">
        <f>IF($A2319="","",IF(OR($T2319=TRUE(),$T2319="TRUE"),1,0))</f>
        <v/>
      </c>
      <c r="X2319">
        <f>IF($U2319=1,IFERROR(IF(VALUE($A2319)&lt;100000000,VALUE($A2319),1000000000),IFERROR(IF(VALUE(MID($A2319,2,20))&lt;100000000,VALUE(MID($A2319,2,20)),1000000000),1000000000))+ROW()/100000,"")</f>
        <v/>
      </c>
    </row>
    <row r="2320">
      <c r="F2320" s="7">
        <f>IF($A2320="","",E2320*N2320/100)</f>
        <v/>
      </c>
      <c r="J2320" s="7" t="n"/>
      <c r="K2320" s="7">
        <f>IF($A2320="","",S2320*N2320)</f>
        <v/>
      </c>
      <c r="L2320" s="7">
        <f>IF($A2320="","",N2320-K2320)</f>
        <v/>
      </c>
      <c r="M2320" s="7">
        <f>IF($A2320="","",L2320-F2320)</f>
        <v/>
      </c>
      <c r="N2320" s="7" t="n"/>
      <c r="Q2320" s="11" t="n"/>
      <c r="S2320">
        <f>IF($A2320="","",IF($W2320=1,Settings!$C$6,Settings!$C$7)*1)</f>
        <v/>
      </c>
      <c r="U2320">
        <f>IF($A2320="","",IF(COUNTIF($A$2:$A2320,$A2320)=1,1,0))</f>
        <v/>
      </c>
      <c r="V2320">
        <f>IF($U2320=1,SUMPRODUCT(--($X$2:$X$3001&lt;$X2320))+1,"")</f>
        <v/>
      </c>
      <c r="W2320">
        <f>IF($A2320="","",IF(OR($T2320=TRUE(),$T2320="TRUE"),1,0))</f>
        <v/>
      </c>
      <c r="X2320">
        <f>IF($U2320=1,IFERROR(IF(VALUE($A2320)&lt;100000000,VALUE($A2320),1000000000),IFERROR(IF(VALUE(MID($A2320,2,20))&lt;100000000,VALUE(MID($A2320,2,20)),1000000000),1000000000))+ROW()/100000,"")</f>
        <v/>
      </c>
    </row>
    <row r="2321">
      <c r="F2321" s="7">
        <f>IF($A2321="","",E2321*N2321/100)</f>
        <v/>
      </c>
      <c r="J2321" s="7" t="n"/>
      <c r="K2321" s="7">
        <f>IF($A2321="","",S2321*N2321)</f>
        <v/>
      </c>
      <c r="L2321" s="7">
        <f>IF($A2321="","",N2321-K2321)</f>
        <v/>
      </c>
      <c r="M2321" s="7">
        <f>IF($A2321="","",L2321-F2321)</f>
        <v/>
      </c>
      <c r="N2321" s="7" t="n"/>
      <c r="Q2321" s="11" t="n"/>
      <c r="S2321">
        <f>IF($A2321="","",IF($W2321=1,Settings!$C$6,Settings!$C$7)*1)</f>
        <v/>
      </c>
      <c r="U2321">
        <f>IF($A2321="","",IF(COUNTIF($A$2:$A2321,$A2321)=1,1,0))</f>
        <v/>
      </c>
      <c r="V2321">
        <f>IF($U2321=1,SUMPRODUCT(--($X$2:$X$3001&lt;$X2321))+1,"")</f>
        <v/>
      </c>
      <c r="W2321">
        <f>IF($A2321="","",IF(OR($T2321=TRUE(),$T2321="TRUE"),1,0))</f>
        <v/>
      </c>
      <c r="X2321">
        <f>IF($U2321=1,IFERROR(IF(VALUE($A2321)&lt;100000000,VALUE($A2321),1000000000),IFERROR(IF(VALUE(MID($A2321,2,20))&lt;100000000,VALUE(MID($A2321,2,20)),1000000000),1000000000))+ROW()/100000,"")</f>
        <v/>
      </c>
    </row>
    <row r="2322">
      <c r="F2322" s="7">
        <f>IF($A2322="","",E2322*N2322/100)</f>
        <v/>
      </c>
      <c r="J2322" s="7" t="n"/>
      <c r="K2322" s="7">
        <f>IF($A2322="","",S2322*N2322)</f>
        <v/>
      </c>
      <c r="L2322" s="7">
        <f>IF($A2322="","",N2322-K2322)</f>
        <v/>
      </c>
      <c r="M2322" s="7">
        <f>IF($A2322="","",L2322-F2322)</f>
        <v/>
      </c>
      <c r="N2322" s="7" t="n"/>
      <c r="Q2322" s="11" t="n"/>
      <c r="S2322">
        <f>IF($A2322="","",IF($W2322=1,Settings!$C$6,Settings!$C$7)*1)</f>
        <v/>
      </c>
      <c r="U2322">
        <f>IF($A2322="","",IF(COUNTIF($A$2:$A2322,$A2322)=1,1,0))</f>
        <v/>
      </c>
      <c r="V2322">
        <f>IF($U2322=1,SUMPRODUCT(--($X$2:$X$3001&lt;$X2322))+1,"")</f>
        <v/>
      </c>
      <c r="W2322">
        <f>IF($A2322="","",IF(OR($T2322=TRUE(),$T2322="TRUE"),1,0))</f>
        <v/>
      </c>
      <c r="X2322">
        <f>IF($U2322=1,IFERROR(IF(VALUE($A2322)&lt;100000000,VALUE($A2322),1000000000),IFERROR(IF(VALUE(MID($A2322,2,20))&lt;100000000,VALUE(MID($A2322,2,20)),1000000000),1000000000))+ROW()/100000,"")</f>
        <v/>
      </c>
    </row>
    <row r="2323">
      <c r="F2323" s="7">
        <f>IF($A2323="","",E2323*N2323/100)</f>
        <v/>
      </c>
      <c r="J2323" s="7" t="n"/>
      <c r="K2323" s="7">
        <f>IF($A2323="","",S2323*N2323)</f>
        <v/>
      </c>
      <c r="L2323" s="7">
        <f>IF($A2323="","",N2323-K2323)</f>
        <v/>
      </c>
      <c r="M2323" s="7">
        <f>IF($A2323="","",L2323-F2323)</f>
        <v/>
      </c>
      <c r="N2323" s="7" t="n"/>
      <c r="Q2323" s="11" t="n"/>
      <c r="S2323">
        <f>IF($A2323="","",IF($W2323=1,Settings!$C$6,Settings!$C$7)*1)</f>
        <v/>
      </c>
      <c r="U2323">
        <f>IF($A2323="","",IF(COUNTIF($A$2:$A2323,$A2323)=1,1,0))</f>
        <v/>
      </c>
      <c r="V2323">
        <f>IF($U2323=1,SUMPRODUCT(--($X$2:$X$3001&lt;$X2323))+1,"")</f>
        <v/>
      </c>
      <c r="W2323">
        <f>IF($A2323="","",IF(OR($T2323=TRUE(),$T2323="TRUE"),1,0))</f>
        <v/>
      </c>
      <c r="X2323">
        <f>IF($U2323=1,IFERROR(IF(VALUE($A2323)&lt;100000000,VALUE($A2323),1000000000),IFERROR(IF(VALUE(MID($A2323,2,20))&lt;100000000,VALUE(MID($A2323,2,20)),1000000000),1000000000))+ROW()/100000,"")</f>
        <v/>
      </c>
    </row>
    <row r="2324">
      <c r="F2324" s="7">
        <f>IF($A2324="","",E2324*N2324/100)</f>
        <v/>
      </c>
      <c r="J2324" s="7" t="n"/>
      <c r="K2324" s="7">
        <f>IF($A2324="","",S2324*N2324)</f>
        <v/>
      </c>
      <c r="L2324" s="7">
        <f>IF($A2324="","",N2324-K2324)</f>
        <v/>
      </c>
      <c r="M2324" s="7">
        <f>IF($A2324="","",L2324-F2324)</f>
        <v/>
      </c>
      <c r="N2324" s="7" t="n"/>
      <c r="Q2324" s="11" t="n"/>
      <c r="S2324">
        <f>IF($A2324="","",IF($W2324=1,Settings!$C$6,Settings!$C$7)*1)</f>
        <v/>
      </c>
      <c r="U2324">
        <f>IF($A2324="","",IF(COUNTIF($A$2:$A2324,$A2324)=1,1,0))</f>
        <v/>
      </c>
      <c r="V2324">
        <f>IF($U2324=1,SUMPRODUCT(--($X$2:$X$3001&lt;$X2324))+1,"")</f>
        <v/>
      </c>
      <c r="W2324">
        <f>IF($A2324="","",IF(OR($T2324=TRUE(),$T2324="TRUE"),1,0))</f>
        <v/>
      </c>
      <c r="X2324">
        <f>IF($U2324=1,IFERROR(IF(VALUE($A2324)&lt;100000000,VALUE($A2324),1000000000),IFERROR(IF(VALUE(MID($A2324,2,20))&lt;100000000,VALUE(MID($A2324,2,20)),1000000000),1000000000))+ROW()/100000,"")</f>
        <v/>
      </c>
    </row>
    <row r="2325">
      <c r="F2325" s="7">
        <f>IF($A2325="","",E2325*N2325/100)</f>
        <v/>
      </c>
      <c r="J2325" s="7" t="n"/>
      <c r="K2325" s="7">
        <f>IF($A2325="","",S2325*N2325)</f>
        <v/>
      </c>
      <c r="L2325" s="7">
        <f>IF($A2325="","",N2325-K2325)</f>
        <v/>
      </c>
      <c r="M2325" s="7">
        <f>IF($A2325="","",L2325-F2325)</f>
        <v/>
      </c>
      <c r="N2325" s="7" t="n"/>
      <c r="Q2325" s="11" t="n"/>
      <c r="S2325">
        <f>IF($A2325="","",IF($W2325=1,Settings!$C$6,Settings!$C$7)*1)</f>
        <v/>
      </c>
      <c r="U2325">
        <f>IF($A2325="","",IF(COUNTIF($A$2:$A2325,$A2325)=1,1,0))</f>
        <v/>
      </c>
      <c r="V2325">
        <f>IF($U2325=1,SUMPRODUCT(--($X$2:$X$3001&lt;$X2325))+1,"")</f>
        <v/>
      </c>
      <c r="W2325">
        <f>IF($A2325="","",IF(OR($T2325=TRUE(),$T2325="TRUE"),1,0))</f>
        <v/>
      </c>
      <c r="X2325">
        <f>IF($U2325=1,IFERROR(IF(VALUE($A2325)&lt;100000000,VALUE($A2325),1000000000),IFERROR(IF(VALUE(MID($A2325,2,20))&lt;100000000,VALUE(MID($A2325,2,20)),1000000000),1000000000))+ROW()/100000,"")</f>
        <v/>
      </c>
    </row>
    <row r="2326">
      <c r="F2326" s="7">
        <f>IF($A2326="","",E2326*N2326/100)</f>
        <v/>
      </c>
      <c r="J2326" s="7" t="n"/>
      <c r="K2326" s="7">
        <f>IF($A2326="","",S2326*N2326)</f>
        <v/>
      </c>
      <c r="L2326" s="7">
        <f>IF($A2326="","",N2326-K2326)</f>
        <v/>
      </c>
      <c r="M2326" s="7">
        <f>IF($A2326="","",L2326-F2326)</f>
        <v/>
      </c>
      <c r="N2326" s="7" t="n"/>
      <c r="Q2326" s="11" t="n"/>
      <c r="S2326">
        <f>IF($A2326="","",IF($W2326=1,Settings!$C$6,Settings!$C$7)*1)</f>
        <v/>
      </c>
      <c r="U2326">
        <f>IF($A2326="","",IF(COUNTIF($A$2:$A2326,$A2326)=1,1,0))</f>
        <v/>
      </c>
      <c r="V2326">
        <f>IF($U2326=1,SUMPRODUCT(--($X$2:$X$3001&lt;$X2326))+1,"")</f>
        <v/>
      </c>
      <c r="W2326">
        <f>IF($A2326="","",IF(OR($T2326=TRUE(),$T2326="TRUE"),1,0))</f>
        <v/>
      </c>
      <c r="X2326">
        <f>IF($U2326=1,IFERROR(IF(VALUE($A2326)&lt;100000000,VALUE($A2326),1000000000),IFERROR(IF(VALUE(MID($A2326,2,20))&lt;100000000,VALUE(MID($A2326,2,20)),1000000000),1000000000))+ROW()/100000,"")</f>
        <v/>
      </c>
    </row>
    <row r="2327">
      <c r="F2327" s="7">
        <f>IF($A2327="","",E2327*N2327/100)</f>
        <v/>
      </c>
      <c r="J2327" s="7" t="n"/>
      <c r="K2327" s="7">
        <f>IF($A2327="","",S2327*N2327)</f>
        <v/>
      </c>
      <c r="L2327" s="7">
        <f>IF($A2327="","",N2327-K2327)</f>
        <v/>
      </c>
      <c r="M2327" s="7">
        <f>IF($A2327="","",L2327-F2327)</f>
        <v/>
      </c>
      <c r="N2327" s="7" t="n"/>
      <c r="Q2327" s="11" t="n"/>
      <c r="S2327">
        <f>IF($A2327="","",IF($W2327=1,Settings!$C$6,Settings!$C$7)*1)</f>
        <v/>
      </c>
      <c r="U2327">
        <f>IF($A2327="","",IF(COUNTIF($A$2:$A2327,$A2327)=1,1,0))</f>
        <v/>
      </c>
      <c r="V2327">
        <f>IF($U2327=1,SUMPRODUCT(--($X$2:$X$3001&lt;$X2327))+1,"")</f>
        <v/>
      </c>
      <c r="W2327">
        <f>IF($A2327="","",IF(OR($T2327=TRUE(),$T2327="TRUE"),1,0))</f>
        <v/>
      </c>
      <c r="X2327">
        <f>IF($U2327=1,IFERROR(IF(VALUE($A2327)&lt;100000000,VALUE($A2327),1000000000),IFERROR(IF(VALUE(MID($A2327,2,20))&lt;100000000,VALUE(MID($A2327,2,20)),1000000000),1000000000))+ROW()/100000,"")</f>
        <v/>
      </c>
    </row>
    <row r="2328">
      <c r="F2328" s="7">
        <f>IF($A2328="","",E2328*N2328/100)</f>
        <v/>
      </c>
      <c r="J2328" s="7" t="n"/>
      <c r="K2328" s="7">
        <f>IF($A2328="","",S2328*N2328)</f>
        <v/>
      </c>
      <c r="L2328" s="7">
        <f>IF($A2328="","",N2328-K2328)</f>
        <v/>
      </c>
      <c r="M2328" s="7">
        <f>IF($A2328="","",L2328-F2328)</f>
        <v/>
      </c>
      <c r="N2328" s="7" t="n"/>
      <c r="Q2328" s="11" t="n"/>
      <c r="S2328">
        <f>IF($A2328="","",IF($W2328=1,Settings!$C$6,Settings!$C$7)*1)</f>
        <v/>
      </c>
      <c r="U2328">
        <f>IF($A2328="","",IF(COUNTIF($A$2:$A2328,$A2328)=1,1,0))</f>
        <v/>
      </c>
      <c r="V2328">
        <f>IF($U2328=1,SUMPRODUCT(--($X$2:$X$3001&lt;$X2328))+1,"")</f>
        <v/>
      </c>
      <c r="W2328">
        <f>IF($A2328="","",IF(OR($T2328=TRUE(),$T2328="TRUE"),1,0))</f>
        <v/>
      </c>
      <c r="X2328">
        <f>IF($U2328=1,IFERROR(IF(VALUE($A2328)&lt;100000000,VALUE($A2328),1000000000),IFERROR(IF(VALUE(MID($A2328,2,20))&lt;100000000,VALUE(MID($A2328,2,20)),1000000000),1000000000))+ROW()/100000,"")</f>
        <v/>
      </c>
    </row>
    <row r="2329">
      <c r="F2329" s="7">
        <f>IF($A2329="","",E2329*N2329/100)</f>
        <v/>
      </c>
      <c r="J2329" s="7" t="n"/>
      <c r="K2329" s="7">
        <f>IF($A2329="","",S2329*N2329)</f>
        <v/>
      </c>
      <c r="L2329" s="7">
        <f>IF($A2329="","",N2329-K2329)</f>
        <v/>
      </c>
      <c r="M2329" s="7">
        <f>IF($A2329="","",L2329-F2329)</f>
        <v/>
      </c>
      <c r="N2329" s="7" t="n"/>
      <c r="Q2329" s="11" t="n"/>
      <c r="S2329">
        <f>IF($A2329="","",IF($W2329=1,Settings!$C$6,Settings!$C$7)*1)</f>
        <v/>
      </c>
      <c r="U2329">
        <f>IF($A2329="","",IF(COUNTIF($A$2:$A2329,$A2329)=1,1,0))</f>
        <v/>
      </c>
      <c r="V2329">
        <f>IF($U2329=1,SUMPRODUCT(--($X$2:$X$3001&lt;$X2329))+1,"")</f>
        <v/>
      </c>
      <c r="W2329">
        <f>IF($A2329="","",IF(OR($T2329=TRUE(),$T2329="TRUE"),1,0))</f>
        <v/>
      </c>
      <c r="X2329">
        <f>IF($U2329=1,IFERROR(IF(VALUE($A2329)&lt;100000000,VALUE($A2329),1000000000),IFERROR(IF(VALUE(MID($A2329,2,20))&lt;100000000,VALUE(MID($A2329,2,20)),1000000000),1000000000))+ROW()/100000,"")</f>
        <v/>
      </c>
    </row>
    <row r="2330">
      <c r="F2330" s="7">
        <f>IF($A2330="","",E2330*N2330/100)</f>
        <v/>
      </c>
      <c r="J2330" s="7" t="n"/>
      <c r="K2330" s="7">
        <f>IF($A2330="","",S2330*N2330)</f>
        <v/>
      </c>
      <c r="L2330" s="7">
        <f>IF($A2330="","",N2330-K2330)</f>
        <v/>
      </c>
      <c r="M2330" s="7">
        <f>IF($A2330="","",L2330-F2330)</f>
        <v/>
      </c>
      <c r="N2330" s="7" t="n"/>
      <c r="Q2330" s="11" t="n"/>
      <c r="S2330">
        <f>IF($A2330="","",IF($W2330=1,Settings!$C$6,Settings!$C$7)*1)</f>
        <v/>
      </c>
      <c r="U2330">
        <f>IF($A2330="","",IF(COUNTIF($A$2:$A2330,$A2330)=1,1,0))</f>
        <v/>
      </c>
      <c r="V2330">
        <f>IF($U2330=1,SUMPRODUCT(--($X$2:$X$3001&lt;$X2330))+1,"")</f>
        <v/>
      </c>
      <c r="W2330">
        <f>IF($A2330="","",IF(OR($T2330=TRUE(),$T2330="TRUE"),1,0))</f>
        <v/>
      </c>
      <c r="X2330">
        <f>IF($U2330=1,IFERROR(IF(VALUE($A2330)&lt;100000000,VALUE($A2330),1000000000),IFERROR(IF(VALUE(MID($A2330,2,20))&lt;100000000,VALUE(MID($A2330,2,20)),1000000000),1000000000))+ROW()/100000,"")</f>
        <v/>
      </c>
    </row>
    <row r="2331">
      <c r="F2331" s="7">
        <f>IF($A2331="","",E2331*N2331/100)</f>
        <v/>
      </c>
      <c r="J2331" s="7" t="n"/>
      <c r="K2331" s="7">
        <f>IF($A2331="","",S2331*N2331)</f>
        <v/>
      </c>
      <c r="L2331" s="7">
        <f>IF($A2331="","",N2331-K2331)</f>
        <v/>
      </c>
      <c r="M2331" s="7">
        <f>IF($A2331="","",L2331-F2331)</f>
        <v/>
      </c>
      <c r="N2331" s="7" t="n"/>
      <c r="Q2331" s="11" t="n"/>
      <c r="S2331">
        <f>IF($A2331="","",IF($W2331=1,Settings!$C$6,Settings!$C$7)*1)</f>
        <v/>
      </c>
      <c r="U2331">
        <f>IF($A2331="","",IF(COUNTIF($A$2:$A2331,$A2331)=1,1,0))</f>
        <v/>
      </c>
      <c r="V2331">
        <f>IF($U2331=1,SUMPRODUCT(--($X$2:$X$3001&lt;$X2331))+1,"")</f>
        <v/>
      </c>
      <c r="W2331">
        <f>IF($A2331="","",IF(OR($T2331=TRUE(),$T2331="TRUE"),1,0))</f>
        <v/>
      </c>
      <c r="X2331">
        <f>IF($U2331=1,IFERROR(IF(VALUE($A2331)&lt;100000000,VALUE($A2331),1000000000),IFERROR(IF(VALUE(MID($A2331,2,20))&lt;100000000,VALUE(MID($A2331,2,20)),1000000000),1000000000))+ROW()/100000,"")</f>
        <v/>
      </c>
    </row>
    <row r="2332">
      <c r="F2332" s="7">
        <f>IF($A2332="","",E2332*N2332/100)</f>
        <v/>
      </c>
      <c r="J2332" s="7" t="n"/>
      <c r="K2332" s="7">
        <f>IF($A2332="","",S2332*N2332)</f>
        <v/>
      </c>
      <c r="L2332" s="7">
        <f>IF($A2332="","",N2332-K2332)</f>
        <v/>
      </c>
      <c r="M2332" s="7">
        <f>IF($A2332="","",L2332-F2332)</f>
        <v/>
      </c>
      <c r="N2332" s="7" t="n"/>
      <c r="Q2332" s="11" t="n"/>
      <c r="S2332">
        <f>IF($A2332="","",IF($W2332=1,Settings!$C$6,Settings!$C$7)*1)</f>
        <v/>
      </c>
      <c r="U2332">
        <f>IF($A2332="","",IF(COUNTIF($A$2:$A2332,$A2332)=1,1,0))</f>
        <v/>
      </c>
      <c r="V2332">
        <f>IF($U2332=1,SUMPRODUCT(--($X$2:$X$3001&lt;$X2332))+1,"")</f>
        <v/>
      </c>
      <c r="W2332">
        <f>IF($A2332="","",IF(OR($T2332=TRUE(),$T2332="TRUE"),1,0))</f>
        <v/>
      </c>
      <c r="X2332">
        <f>IF($U2332=1,IFERROR(IF(VALUE($A2332)&lt;100000000,VALUE($A2332),1000000000),IFERROR(IF(VALUE(MID($A2332,2,20))&lt;100000000,VALUE(MID($A2332,2,20)),1000000000),1000000000))+ROW()/100000,"")</f>
        <v/>
      </c>
    </row>
    <row r="2333">
      <c r="F2333" s="7">
        <f>IF($A2333="","",E2333*N2333/100)</f>
        <v/>
      </c>
      <c r="J2333" s="7" t="n"/>
      <c r="K2333" s="7">
        <f>IF($A2333="","",S2333*N2333)</f>
        <v/>
      </c>
      <c r="L2333" s="7">
        <f>IF($A2333="","",N2333-K2333)</f>
        <v/>
      </c>
      <c r="M2333" s="7">
        <f>IF($A2333="","",L2333-F2333)</f>
        <v/>
      </c>
      <c r="N2333" s="7" t="n"/>
      <c r="Q2333" s="11" t="n"/>
      <c r="S2333">
        <f>IF($A2333="","",IF($W2333=1,Settings!$C$6,Settings!$C$7)*1)</f>
        <v/>
      </c>
      <c r="U2333">
        <f>IF($A2333="","",IF(COUNTIF($A$2:$A2333,$A2333)=1,1,0))</f>
        <v/>
      </c>
      <c r="V2333">
        <f>IF($U2333=1,SUMPRODUCT(--($X$2:$X$3001&lt;$X2333))+1,"")</f>
        <v/>
      </c>
      <c r="W2333">
        <f>IF($A2333="","",IF(OR($T2333=TRUE(),$T2333="TRUE"),1,0))</f>
        <v/>
      </c>
      <c r="X2333">
        <f>IF($U2333=1,IFERROR(IF(VALUE($A2333)&lt;100000000,VALUE($A2333),1000000000),IFERROR(IF(VALUE(MID($A2333,2,20))&lt;100000000,VALUE(MID($A2333,2,20)),1000000000),1000000000))+ROW()/100000,"")</f>
        <v/>
      </c>
    </row>
    <row r="2334">
      <c r="F2334" s="7">
        <f>IF($A2334="","",E2334*N2334/100)</f>
        <v/>
      </c>
      <c r="J2334" s="7" t="n"/>
      <c r="K2334" s="7">
        <f>IF($A2334="","",S2334*N2334)</f>
        <v/>
      </c>
      <c r="L2334" s="7">
        <f>IF($A2334="","",N2334-K2334)</f>
        <v/>
      </c>
      <c r="M2334" s="7">
        <f>IF($A2334="","",L2334-F2334)</f>
        <v/>
      </c>
      <c r="N2334" s="7" t="n"/>
      <c r="Q2334" s="11" t="n"/>
      <c r="S2334">
        <f>IF($A2334="","",IF($W2334=1,Settings!$C$6,Settings!$C$7)*1)</f>
        <v/>
      </c>
      <c r="U2334">
        <f>IF($A2334="","",IF(COUNTIF($A$2:$A2334,$A2334)=1,1,0))</f>
        <v/>
      </c>
      <c r="V2334">
        <f>IF($U2334=1,SUMPRODUCT(--($X$2:$X$3001&lt;$X2334))+1,"")</f>
        <v/>
      </c>
      <c r="W2334">
        <f>IF($A2334="","",IF(OR($T2334=TRUE(),$T2334="TRUE"),1,0))</f>
        <v/>
      </c>
      <c r="X2334">
        <f>IF($U2334=1,IFERROR(IF(VALUE($A2334)&lt;100000000,VALUE($A2334),1000000000),IFERROR(IF(VALUE(MID($A2334,2,20))&lt;100000000,VALUE(MID($A2334,2,20)),1000000000),1000000000))+ROW()/100000,"")</f>
        <v/>
      </c>
    </row>
    <row r="2335">
      <c r="F2335" s="7">
        <f>IF($A2335="","",E2335*N2335/100)</f>
        <v/>
      </c>
      <c r="J2335" s="7" t="n"/>
      <c r="K2335" s="7">
        <f>IF($A2335="","",S2335*N2335)</f>
        <v/>
      </c>
      <c r="L2335" s="7">
        <f>IF($A2335="","",N2335-K2335)</f>
        <v/>
      </c>
      <c r="M2335" s="7">
        <f>IF($A2335="","",L2335-F2335)</f>
        <v/>
      </c>
      <c r="N2335" s="7" t="n"/>
      <c r="Q2335" s="11" t="n"/>
      <c r="S2335">
        <f>IF($A2335="","",IF($W2335=1,Settings!$C$6,Settings!$C$7)*1)</f>
        <v/>
      </c>
      <c r="U2335">
        <f>IF($A2335="","",IF(COUNTIF($A$2:$A2335,$A2335)=1,1,0))</f>
        <v/>
      </c>
      <c r="V2335">
        <f>IF($U2335=1,SUMPRODUCT(--($X$2:$X$3001&lt;$X2335))+1,"")</f>
        <v/>
      </c>
      <c r="W2335">
        <f>IF($A2335="","",IF(OR($T2335=TRUE(),$T2335="TRUE"),1,0))</f>
        <v/>
      </c>
      <c r="X2335">
        <f>IF($U2335=1,IFERROR(IF(VALUE($A2335)&lt;100000000,VALUE($A2335),1000000000),IFERROR(IF(VALUE(MID($A2335,2,20))&lt;100000000,VALUE(MID($A2335,2,20)),1000000000),1000000000))+ROW()/100000,"")</f>
        <v/>
      </c>
    </row>
    <row r="2336">
      <c r="F2336" s="7">
        <f>IF($A2336="","",E2336*N2336/100)</f>
        <v/>
      </c>
      <c r="J2336" s="7" t="n"/>
      <c r="K2336" s="7">
        <f>IF($A2336="","",S2336*N2336)</f>
        <v/>
      </c>
      <c r="L2336" s="7">
        <f>IF($A2336="","",N2336-K2336)</f>
        <v/>
      </c>
      <c r="M2336" s="7">
        <f>IF($A2336="","",L2336-F2336)</f>
        <v/>
      </c>
      <c r="N2336" s="7" t="n"/>
      <c r="Q2336" s="11" t="n"/>
      <c r="S2336">
        <f>IF($A2336="","",IF($W2336=1,Settings!$C$6,Settings!$C$7)*1)</f>
        <v/>
      </c>
      <c r="U2336">
        <f>IF($A2336="","",IF(COUNTIF($A$2:$A2336,$A2336)=1,1,0))</f>
        <v/>
      </c>
      <c r="V2336">
        <f>IF($U2336=1,SUMPRODUCT(--($X$2:$X$3001&lt;$X2336))+1,"")</f>
        <v/>
      </c>
      <c r="W2336">
        <f>IF($A2336="","",IF(OR($T2336=TRUE(),$T2336="TRUE"),1,0))</f>
        <v/>
      </c>
      <c r="X2336">
        <f>IF($U2336=1,IFERROR(IF(VALUE($A2336)&lt;100000000,VALUE($A2336),1000000000),IFERROR(IF(VALUE(MID($A2336,2,20))&lt;100000000,VALUE(MID($A2336,2,20)),1000000000),1000000000))+ROW()/100000,"")</f>
        <v/>
      </c>
    </row>
    <row r="2337">
      <c r="F2337" s="7">
        <f>IF($A2337="","",E2337*N2337/100)</f>
        <v/>
      </c>
      <c r="J2337" s="7" t="n"/>
      <c r="K2337" s="7">
        <f>IF($A2337="","",S2337*N2337)</f>
        <v/>
      </c>
      <c r="L2337" s="7">
        <f>IF($A2337="","",N2337-K2337)</f>
        <v/>
      </c>
      <c r="M2337" s="7">
        <f>IF($A2337="","",L2337-F2337)</f>
        <v/>
      </c>
      <c r="N2337" s="7" t="n"/>
      <c r="Q2337" s="11" t="n"/>
      <c r="S2337">
        <f>IF($A2337="","",IF($W2337=1,Settings!$C$6,Settings!$C$7)*1)</f>
        <v/>
      </c>
      <c r="U2337">
        <f>IF($A2337="","",IF(COUNTIF($A$2:$A2337,$A2337)=1,1,0))</f>
        <v/>
      </c>
      <c r="V2337">
        <f>IF($U2337=1,SUMPRODUCT(--($X$2:$X$3001&lt;$X2337))+1,"")</f>
        <v/>
      </c>
      <c r="W2337">
        <f>IF($A2337="","",IF(OR($T2337=TRUE(),$T2337="TRUE"),1,0))</f>
        <v/>
      </c>
      <c r="X2337">
        <f>IF($U2337=1,IFERROR(IF(VALUE($A2337)&lt;100000000,VALUE($A2337),1000000000),IFERROR(IF(VALUE(MID($A2337,2,20))&lt;100000000,VALUE(MID($A2337,2,20)),1000000000),1000000000))+ROW()/100000,"")</f>
        <v/>
      </c>
    </row>
    <row r="2338">
      <c r="F2338" s="7">
        <f>IF($A2338="","",E2338*N2338/100)</f>
        <v/>
      </c>
      <c r="J2338" s="7" t="n"/>
      <c r="K2338" s="7">
        <f>IF($A2338="","",S2338*N2338)</f>
        <v/>
      </c>
      <c r="L2338" s="7">
        <f>IF($A2338="","",N2338-K2338)</f>
        <v/>
      </c>
      <c r="M2338" s="7">
        <f>IF($A2338="","",L2338-F2338)</f>
        <v/>
      </c>
      <c r="N2338" s="7" t="n"/>
      <c r="Q2338" s="11" t="n"/>
      <c r="S2338">
        <f>IF($A2338="","",IF($W2338=1,Settings!$C$6,Settings!$C$7)*1)</f>
        <v/>
      </c>
      <c r="U2338">
        <f>IF($A2338="","",IF(COUNTIF($A$2:$A2338,$A2338)=1,1,0))</f>
        <v/>
      </c>
      <c r="V2338">
        <f>IF($U2338=1,SUMPRODUCT(--($X$2:$X$3001&lt;$X2338))+1,"")</f>
        <v/>
      </c>
      <c r="W2338">
        <f>IF($A2338="","",IF(OR($T2338=TRUE(),$T2338="TRUE"),1,0))</f>
        <v/>
      </c>
      <c r="X2338">
        <f>IF($U2338=1,IFERROR(IF(VALUE($A2338)&lt;100000000,VALUE($A2338),1000000000),IFERROR(IF(VALUE(MID($A2338,2,20))&lt;100000000,VALUE(MID($A2338,2,20)),1000000000),1000000000))+ROW()/100000,"")</f>
        <v/>
      </c>
    </row>
    <row r="2339">
      <c r="F2339" s="7">
        <f>IF($A2339="","",E2339*N2339/100)</f>
        <v/>
      </c>
      <c r="J2339" s="7" t="n"/>
      <c r="K2339" s="7">
        <f>IF($A2339="","",S2339*N2339)</f>
        <v/>
      </c>
      <c r="L2339" s="7">
        <f>IF($A2339="","",N2339-K2339)</f>
        <v/>
      </c>
      <c r="M2339" s="7">
        <f>IF($A2339="","",L2339-F2339)</f>
        <v/>
      </c>
      <c r="N2339" s="7" t="n"/>
      <c r="Q2339" s="11" t="n"/>
      <c r="S2339">
        <f>IF($A2339="","",IF($W2339=1,Settings!$C$6,Settings!$C$7)*1)</f>
        <v/>
      </c>
      <c r="U2339">
        <f>IF($A2339="","",IF(COUNTIF($A$2:$A2339,$A2339)=1,1,0))</f>
        <v/>
      </c>
      <c r="V2339">
        <f>IF($U2339=1,SUMPRODUCT(--($X$2:$X$3001&lt;$X2339))+1,"")</f>
        <v/>
      </c>
      <c r="W2339">
        <f>IF($A2339="","",IF(OR($T2339=TRUE(),$T2339="TRUE"),1,0))</f>
        <v/>
      </c>
      <c r="X2339">
        <f>IF($U2339=1,IFERROR(IF(VALUE($A2339)&lt;100000000,VALUE($A2339),1000000000),IFERROR(IF(VALUE(MID($A2339,2,20))&lt;100000000,VALUE(MID($A2339,2,20)),1000000000),1000000000))+ROW()/100000,"")</f>
        <v/>
      </c>
    </row>
    <row r="2340">
      <c r="F2340" s="7">
        <f>IF($A2340="","",E2340*N2340/100)</f>
        <v/>
      </c>
      <c r="J2340" s="7" t="n"/>
      <c r="K2340" s="7">
        <f>IF($A2340="","",S2340*N2340)</f>
        <v/>
      </c>
      <c r="L2340" s="7">
        <f>IF($A2340="","",N2340-K2340)</f>
        <v/>
      </c>
      <c r="M2340" s="7">
        <f>IF($A2340="","",L2340-F2340)</f>
        <v/>
      </c>
      <c r="N2340" s="7" t="n"/>
      <c r="Q2340" s="11" t="n"/>
      <c r="S2340">
        <f>IF($A2340="","",IF($W2340=1,Settings!$C$6,Settings!$C$7)*1)</f>
        <v/>
      </c>
      <c r="U2340">
        <f>IF($A2340="","",IF(COUNTIF($A$2:$A2340,$A2340)=1,1,0))</f>
        <v/>
      </c>
      <c r="V2340">
        <f>IF($U2340=1,SUMPRODUCT(--($X$2:$X$3001&lt;$X2340))+1,"")</f>
        <v/>
      </c>
      <c r="W2340">
        <f>IF($A2340="","",IF(OR($T2340=TRUE(),$T2340="TRUE"),1,0))</f>
        <v/>
      </c>
      <c r="X2340">
        <f>IF($U2340=1,IFERROR(IF(VALUE($A2340)&lt;100000000,VALUE($A2340),1000000000),IFERROR(IF(VALUE(MID($A2340,2,20))&lt;100000000,VALUE(MID($A2340,2,20)),1000000000),1000000000))+ROW()/100000,"")</f>
        <v/>
      </c>
    </row>
    <row r="2341">
      <c r="F2341" s="7">
        <f>IF($A2341="","",E2341*N2341/100)</f>
        <v/>
      </c>
      <c r="J2341" s="7" t="n"/>
      <c r="K2341" s="7">
        <f>IF($A2341="","",S2341*N2341)</f>
        <v/>
      </c>
      <c r="L2341" s="7">
        <f>IF($A2341="","",N2341-K2341)</f>
        <v/>
      </c>
      <c r="M2341" s="7">
        <f>IF($A2341="","",L2341-F2341)</f>
        <v/>
      </c>
      <c r="N2341" s="7" t="n"/>
      <c r="Q2341" s="11" t="n"/>
      <c r="S2341">
        <f>IF($A2341="","",IF($W2341=1,Settings!$C$6,Settings!$C$7)*1)</f>
        <v/>
      </c>
      <c r="U2341">
        <f>IF($A2341="","",IF(COUNTIF($A$2:$A2341,$A2341)=1,1,0))</f>
        <v/>
      </c>
      <c r="V2341">
        <f>IF($U2341=1,SUMPRODUCT(--($X$2:$X$3001&lt;$X2341))+1,"")</f>
        <v/>
      </c>
      <c r="W2341">
        <f>IF($A2341="","",IF(OR($T2341=TRUE(),$T2341="TRUE"),1,0))</f>
        <v/>
      </c>
      <c r="X2341">
        <f>IF($U2341=1,IFERROR(IF(VALUE($A2341)&lt;100000000,VALUE($A2341),1000000000),IFERROR(IF(VALUE(MID($A2341,2,20))&lt;100000000,VALUE(MID($A2341,2,20)),1000000000),1000000000))+ROW()/100000,"")</f>
        <v/>
      </c>
    </row>
    <row r="2342">
      <c r="F2342" s="7">
        <f>IF($A2342="","",E2342*N2342/100)</f>
        <v/>
      </c>
      <c r="J2342" s="7" t="n"/>
      <c r="K2342" s="7">
        <f>IF($A2342="","",S2342*N2342)</f>
        <v/>
      </c>
      <c r="L2342" s="7">
        <f>IF($A2342="","",N2342-K2342)</f>
        <v/>
      </c>
      <c r="M2342" s="7">
        <f>IF($A2342="","",L2342-F2342)</f>
        <v/>
      </c>
      <c r="N2342" s="7" t="n"/>
      <c r="Q2342" s="11" t="n"/>
      <c r="S2342">
        <f>IF($A2342="","",IF($W2342=1,Settings!$C$6,Settings!$C$7)*1)</f>
        <v/>
      </c>
      <c r="U2342">
        <f>IF($A2342="","",IF(COUNTIF($A$2:$A2342,$A2342)=1,1,0))</f>
        <v/>
      </c>
      <c r="V2342">
        <f>IF($U2342=1,SUMPRODUCT(--($X$2:$X$3001&lt;$X2342))+1,"")</f>
        <v/>
      </c>
      <c r="W2342">
        <f>IF($A2342="","",IF(OR($T2342=TRUE(),$T2342="TRUE"),1,0))</f>
        <v/>
      </c>
      <c r="X2342">
        <f>IF($U2342=1,IFERROR(IF(VALUE($A2342)&lt;100000000,VALUE($A2342),1000000000),IFERROR(IF(VALUE(MID($A2342,2,20))&lt;100000000,VALUE(MID($A2342,2,20)),1000000000),1000000000))+ROW()/100000,"")</f>
        <v/>
      </c>
    </row>
    <row r="2343">
      <c r="F2343" s="7">
        <f>IF($A2343="","",E2343*N2343/100)</f>
        <v/>
      </c>
      <c r="J2343" s="7" t="n"/>
      <c r="K2343" s="7">
        <f>IF($A2343="","",S2343*N2343)</f>
        <v/>
      </c>
      <c r="L2343" s="7">
        <f>IF($A2343="","",N2343-K2343)</f>
        <v/>
      </c>
      <c r="M2343" s="7">
        <f>IF($A2343="","",L2343-F2343)</f>
        <v/>
      </c>
      <c r="N2343" s="7" t="n"/>
      <c r="Q2343" s="11" t="n"/>
      <c r="S2343">
        <f>IF($A2343="","",IF($W2343=1,Settings!$C$6,Settings!$C$7)*1)</f>
        <v/>
      </c>
      <c r="U2343">
        <f>IF($A2343="","",IF(COUNTIF($A$2:$A2343,$A2343)=1,1,0))</f>
        <v/>
      </c>
      <c r="V2343">
        <f>IF($U2343=1,SUMPRODUCT(--($X$2:$X$3001&lt;$X2343))+1,"")</f>
        <v/>
      </c>
      <c r="W2343">
        <f>IF($A2343="","",IF(OR($T2343=TRUE(),$T2343="TRUE"),1,0))</f>
        <v/>
      </c>
      <c r="X2343">
        <f>IF($U2343=1,IFERROR(IF(VALUE($A2343)&lt;100000000,VALUE($A2343),1000000000),IFERROR(IF(VALUE(MID($A2343,2,20))&lt;100000000,VALUE(MID($A2343,2,20)),1000000000),1000000000))+ROW()/100000,"")</f>
        <v/>
      </c>
    </row>
    <row r="2344">
      <c r="F2344" s="7">
        <f>IF($A2344="","",E2344*N2344/100)</f>
        <v/>
      </c>
      <c r="J2344" s="7" t="n"/>
      <c r="K2344" s="7">
        <f>IF($A2344="","",S2344*N2344)</f>
        <v/>
      </c>
      <c r="L2344" s="7">
        <f>IF($A2344="","",N2344-K2344)</f>
        <v/>
      </c>
      <c r="M2344" s="7">
        <f>IF($A2344="","",L2344-F2344)</f>
        <v/>
      </c>
      <c r="N2344" s="7" t="n"/>
      <c r="Q2344" s="11" t="n"/>
      <c r="S2344">
        <f>IF($A2344="","",IF($W2344=1,Settings!$C$6,Settings!$C$7)*1)</f>
        <v/>
      </c>
      <c r="U2344">
        <f>IF($A2344="","",IF(COUNTIF($A$2:$A2344,$A2344)=1,1,0))</f>
        <v/>
      </c>
      <c r="V2344">
        <f>IF($U2344=1,SUMPRODUCT(--($X$2:$X$3001&lt;$X2344))+1,"")</f>
        <v/>
      </c>
      <c r="W2344">
        <f>IF($A2344="","",IF(OR($T2344=TRUE(),$T2344="TRUE"),1,0))</f>
        <v/>
      </c>
      <c r="X2344">
        <f>IF($U2344=1,IFERROR(IF(VALUE($A2344)&lt;100000000,VALUE($A2344),1000000000),IFERROR(IF(VALUE(MID($A2344,2,20))&lt;100000000,VALUE(MID($A2344,2,20)),1000000000),1000000000))+ROW()/100000,"")</f>
        <v/>
      </c>
    </row>
    <row r="2345">
      <c r="F2345" s="7">
        <f>IF($A2345="","",E2345*N2345/100)</f>
        <v/>
      </c>
      <c r="J2345" s="7" t="n"/>
      <c r="K2345" s="7">
        <f>IF($A2345="","",S2345*N2345)</f>
        <v/>
      </c>
      <c r="L2345" s="7">
        <f>IF($A2345="","",N2345-K2345)</f>
        <v/>
      </c>
      <c r="M2345" s="7">
        <f>IF($A2345="","",L2345-F2345)</f>
        <v/>
      </c>
      <c r="N2345" s="7" t="n"/>
      <c r="Q2345" s="11" t="n"/>
      <c r="S2345">
        <f>IF($A2345="","",IF($W2345=1,Settings!$C$6,Settings!$C$7)*1)</f>
        <v/>
      </c>
      <c r="U2345">
        <f>IF($A2345="","",IF(COUNTIF($A$2:$A2345,$A2345)=1,1,0))</f>
        <v/>
      </c>
      <c r="V2345">
        <f>IF($U2345=1,SUMPRODUCT(--($X$2:$X$3001&lt;$X2345))+1,"")</f>
        <v/>
      </c>
      <c r="W2345">
        <f>IF($A2345="","",IF(OR($T2345=TRUE(),$T2345="TRUE"),1,0))</f>
        <v/>
      </c>
      <c r="X2345">
        <f>IF($U2345=1,IFERROR(IF(VALUE($A2345)&lt;100000000,VALUE($A2345),1000000000),IFERROR(IF(VALUE(MID($A2345,2,20))&lt;100000000,VALUE(MID($A2345,2,20)),1000000000),1000000000))+ROW()/100000,"")</f>
        <v/>
      </c>
    </row>
    <row r="2346">
      <c r="F2346" s="7">
        <f>IF($A2346="","",E2346*N2346/100)</f>
        <v/>
      </c>
      <c r="J2346" s="7" t="n"/>
      <c r="K2346" s="7">
        <f>IF($A2346="","",S2346*N2346)</f>
        <v/>
      </c>
      <c r="L2346" s="7">
        <f>IF($A2346="","",N2346-K2346)</f>
        <v/>
      </c>
      <c r="M2346" s="7">
        <f>IF($A2346="","",L2346-F2346)</f>
        <v/>
      </c>
      <c r="N2346" s="7" t="n"/>
      <c r="Q2346" s="11" t="n"/>
      <c r="S2346">
        <f>IF($A2346="","",IF($W2346=1,Settings!$C$6,Settings!$C$7)*1)</f>
        <v/>
      </c>
      <c r="U2346">
        <f>IF($A2346="","",IF(COUNTIF($A$2:$A2346,$A2346)=1,1,0))</f>
        <v/>
      </c>
      <c r="V2346">
        <f>IF($U2346=1,SUMPRODUCT(--($X$2:$X$3001&lt;$X2346))+1,"")</f>
        <v/>
      </c>
      <c r="W2346">
        <f>IF($A2346="","",IF(OR($T2346=TRUE(),$T2346="TRUE"),1,0))</f>
        <v/>
      </c>
      <c r="X2346">
        <f>IF($U2346=1,IFERROR(IF(VALUE($A2346)&lt;100000000,VALUE($A2346),1000000000),IFERROR(IF(VALUE(MID($A2346,2,20))&lt;100000000,VALUE(MID($A2346,2,20)),1000000000),1000000000))+ROW()/100000,"")</f>
        <v/>
      </c>
    </row>
    <row r="2347">
      <c r="F2347" s="7">
        <f>IF($A2347="","",E2347*N2347/100)</f>
        <v/>
      </c>
      <c r="J2347" s="7" t="n"/>
      <c r="K2347" s="7">
        <f>IF($A2347="","",S2347*N2347)</f>
        <v/>
      </c>
      <c r="L2347" s="7">
        <f>IF($A2347="","",N2347-K2347)</f>
        <v/>
      </c>
      <c r="M2347" s="7">
        <f>IF($A2347="","",L2347-F2347)</f>
        <v/>
      </c>
      <c r="N2347" s="7" t="n"/>
      <c r="Q2347" s="11" t="n"/>
      <c r="S2347">
        <f>IF($A2347="","",IF($W2347=1,Settings!$C$6,Settings!$C$7)*1)</f>
        <v/>
      </c>
      <c r="U2347">
        <f>IF($A2347="","",IF(COUNTIF($A$2:$A2347,$A2347)=1,1,0))</f>
        <v/>
      </c>
      <c r="V2347">
        <f>IF($U2347=1,SUMPRODUCT(--($X$2:$X$3001&lt;$X2347))+1,"")</f>
        <v/>
      </c>
      <c r="W2347">
        <f>IF($A2347="","",IF(OR($T2347=TRUE(),$T2347="TRUE"),1,0))</f>
        <v/>
      </c>
      <c r="X2347">
        <f>IF($U2347=1,IFERROR(IF(VALUE($A2347)&lt;100000000,VALUE($A2347),1000000000),IFERROR(IF(VALUE(MID($A2347,2,20))&lt;100000000,VALUE(MID($A2347,2,20)),1000000000),1000000000))+ROW()/100000,"")</f>
        <v/>
      </c>
    </row>
    <row r="2348">
      <c r="F2348" s="7">
        <f>IF($A2348="","",E2348*N2348/100)</f>
        <v/>
      </c>
      <c r="J2348" s="7" t="n"/>
      <c r="K2348" s="7">
        <f>IF($A2348="","",S2348*N2348)</f>
        <v/>
      </c>
      <c r="L2348" s="7">
        <f>IF($A2348="","",N2348-K2348)</f>
        <v/>
      </c>
      <c r="M2348" s="7">
        <f>IF($A2348="","",L2348-F2348)</f>
        <v/>
      </c>
      <c r="N2348" s="7" t="n"/>
      <c r="Q2348" s="11" t="n"/>
      <c r="S2348">
        <f>IF($A2348="","",IF($W2348=1,Settings!$C$6,Settings!$C$7)*1)</f>
        <v/>
      </c>
      <c r="U2348">
        <f>IF($A2348="","",IF(COUNTIF($A$2:$A2348,$A2348)=1,1,0))</f>
        <v/>
      </c>
      <c r="V2348">
        <f>IF($U2348=1,SUMPRODUCT(--($X$2:$X$3001&lt;$X2348))+1,"")</f>
        <v/>
      </c>
      <c r="W2348">
        <f>IF($A2348="","",IF(OR($T2348=TRUE(),$T2348="TRUE"),1,0))</f>
        <v/>
      </c>
      <c r="X2348">
        <f>IF($U2348=1,IFERROR(IF(VALUE($A2348)&lt;100000000,VALUE($A2348),1000000000),IFERROR(IF(VALUE(MID($A2348,2,20))&lt;100000000,VALUE(MID($A2348,2,20)),1000000000),1000000000))+ROW()/100000,"")</f>
        <v/>
      </c>
    </row>
    <row r="2349">
      <c r="F2349" s="7">
        <f>IF($A2349="","",E2349*N2349/100)</f>
        <v/>
      </c>
      <c r="J2349" s="7" t="n"/>
      <c r="K2349" s="7">
        <f>IF($A2349="","",S2349*N2349)</f>
        <v/>
      </c>
      <c r="L2349" s="7">
        <f>IF($A2349="","",N2349-K2349)</f>
        <v/>
      </c>
      <c r="M2349" s="7">
        <f>IF($A2349="","",L2349-F2349)</f>
        <v/>
      </c>
      <c r="N2349" s="7" t="n"/>
      <c r="Q2349" s="11" t="n"/>
      <c r="S2349">
        <f>IF($A2349="","",IF($W2349=1,Settings!$C$6,Settings!$C$7)*1)</f>
        <v/>
      </c>
      <c r="U2349">
        <f>IF($A2349="","",IF(COUNTIF($A$2:$A2349,$A2349)=1,1,0))</f>
        <v/>
      </c>
      <c r="V2349">
        <f>IF($U2349=1,SUMPRODUCT(--($X$2:$X$3001&lt;$X2349))+1,"")</f>
        <v/>
      </c>
      <c r="W2349">
        <f>IF($A2349="","",IF(OR($T2349=TRUE(),$T2349="TRUE"),1,0))</f>
        <v/>
      </c>
      <c r="X2349">
        <f>IF($U2349=1,IFERROR(IF(VALUE($A2349)&lt;100000000,VALUE($A2349),1000000000),IFERROR(IF(VALUE(MID($A2349,2,20))&lt;100000000,VALUE(MID($A2349,2,20)),1000000000),1000000000))+ROW()/100000,"")</f>
        <v/>
      </c>
    </row>
    <row r="2350">
      <c r="F2350" s="7">
        <f>IF($A2350="","",E2350*N2350/100)</f>
        <v/>
      </c>
      <c r="J2350" s="7" t="n"/>
      <c r="K2350" s="7">
        <f>IF($A2350="","",S2350*N2350)</f>
        <v/>
      </c>
      <c r="L2350" s="7">
        <f>IF($A2350="","",N2350-K2350)</f>
        <v/>
      </c>
      <c r="M2350" s="7">
        <f>IF($A2350="","",L2350-F2350)</f>
        <v/>
      </c>
      <c r="N2350" s="7" t="n"/>
      <c r="Q2350" s="11" t="n"/>
      <c r="S2350">
        <f>IF($A2350="","",IF($W2350=1,Settings!$C$6,Settings!$C$7)*1)</f>
        <v/>
      </c>
      <c r="U2350">
        <f>IF($A2350="","",IF(COUNTIF($A$2:$A2350,$A2350)=1,1,0))</f>
        <v/>
      </c>
      <c r="V2350">
        <f>IF($U2350=1,SUMPRODUCT(--($X$2:$X$3001&lt;$X2350))+1,"")</f>
        <v/>
      </c>
      <c r="W2350">
        <f>IF($A2350="","",IF(OR($T2350=TRUE(),$T2350="TRUE"),1,0))</f>
        <v/>
      </c>
      <c r="X2350">
        <f>IF($U2350=1,IFERROR(IF(VALUE($A2350)&lt;100000000,VALUE($A2350),1000000000),IFERROR(IF(VALUE(MID($A2350,2,20))&lt;100000000,VALUE(MID($A2350,2,20)),1000000000),1000000000))+ROW()/100000,"")</f>
        <v/>
      </c>
    </row>
    <row r="2351">
      <c r="F2351" s="7">
        <f>IF($A2351="","",E2351*N2351/100)</f>
        <v/>
      </c>
      <c r="J2351" s="7" t="n"/>
      <c r="K2351" s="7">
        <f>IF($A2351="","",S2351*N2351)</f>
        <v/>
      </c>
      <c r="L2351" s="7">
        <f>IF($A2351="","",N2351-K2351)</f>
        <v/>
      </c>
      <c r="M2351" s="7">
        <f>IF($A2351="","",L2351-F2351)</f>
        <v/>
      </c>
      <c r="N2351" s="7" t="n"/>
      <c r="Q2351" s="11" t="n"/>
      <c r="S2351">
        <f>IF($A2351="","",IF($W2351=1,Settings!$C$6,Settings!$C$7)*1)</f>
        <v/>
      </c>
      <c r="U2351">
        <f>IF($A2351="","",IF(COUNTIF($A$2:$A2351,$A2351)=1,1,0))</f>
        <v/>
      </c>
      <c r="V2351">
        <f>IF($U2351=1,SUMPRODUCT(--($X$2:$X$3001&lt;$X2351))+1,"")</f>
        <v/>
      </c>
      <c r="W2351">
        <f>IF($A2351="","",IF(OR($T2351=TRUE(),$T2351="TRUE"),1,0))</f>
        <v/>
      </c>
      <c r="X2351">
        <f>IF($U2351=1,IFERROR(IF(VALUE($A2351)&lt;100000000,VALUE($A2351),1000000000),IFERROR(IF(VALUE(MID($A2351,2,20))&lt;100000000,VALUE(MID($A2351,2,20)),1000000000),1000000000))+ROW()/100000,"")</f>
        <v/>
      </c>
    </row>
    <row r="2352">
      <c r="F2352" s="7">
        <f>IF($A2352="","",E2352*N2352/100)</f>
        <v/>
      </c>
      <c r="J2352" s="7" t="n"/>
      <c r="K2352" s="7">
        <f>IF($A2352="","",S2352*N2352)</f>
        <v/>
      </c>
      <c r="L2352" s="7">
        <f>IF($A2352="","",N2352-K2352)</f>
        <v/>
      </c>
      <c r="M2352" s="7">
        <f>IF($A2352="","",L2352-F2352)</f>
        <v/>
      </c>
      <c r="N2352" s="7" t="n"/>
      <c r="Q2352" s="11" t="n"/>
      <c r="S2352">
        <f>IF($A2352="","",IF($W2352=1,Settings!$C$6,Settings!$C$7)*1)</f>
        <v/>
      </c>
      <c r="U2352">
        <f>IF($A2352="","",IF(COUNTIF($A$2:$A2352,$A2352)=1,1,0))</f>
        <v/>
      </c>
      <c r="V2352">
        <f>IF($U2352=1,SUMPRODUCT(--($X$2:$X$3001&lt;$X2352))+1,"")</f>
        <v/>
      </c>
      <c r="W2352">
        <f>IF($A2352="","",IF(OR($T2352=TRUE(),$T2352="TRUE"),1,0))</f>
        <v/>
      </c>
      <c r="X2352">
        <f>IF($U2352=1,IFERROR(IF(VALUE($A2352)&lt;100000000,VALUE($A2352),1000000000),IFERROR(IF(VALUE(MID($A2352,2,20))&lt;100000000,VALUE(MID($A2352,2,20)),1000000000),1000000000))+ROW()/100000,"")</f>
        <v/>
      </c>
    </row>
    <row r="2353">
      <c r="F2353" s="7">
        <f>IF($A2353="","",E2353*N2353/100)</f>
        <v/>
      </c>
      <c r="J2353" s="7" t="n"/>
      <c r="K2353" s="7">
        <f>IF($A2353="","",S2353*N2353)</f>
        <v/>
      </c>
      <c r="L2353" s="7">
        <f>IF($A2353="","",N2353-K2353)</f>
        <v/>
      </c>
      <c r="M2353" s="7">
        <f>IF($A2353="","",L2353-F2353)</f>
        <v/>
      </c>
      <c r="N2353" s="7" t="n"/>
      <c r="Q2353" s="11" t="n"/>
      <c r="S2353">
        <f>IF($A2353="","",IF($W2353=1,Settings!$C$6,Settings!$C$7)*1)</f>
        <v/>
      </c>
      <c r="U2353">
        <f>IF($A2353="","",IF(COUNTIF($A$2:$A2353,$A2353)=1,1,0))</f>
        <v/>
      </c>
      <c r="V2353">
        <f>IF($U2353=1,SUMPRODUCT(--($X$2:$X$3001&lt;$X2353))+1,"")</f>
        <v/>
      </c>
      <c r="W2353">
        <f>IF($A2353="","",IF(OR($T2353=TRUE(),$T2353="TRUE"),1,0))</f>
        <v/>
      </c>
      <c r="X2353">
        <f>IF($U2353=1,IFERROR(IF(VALUE($A2353)&lt;100000000,VALUE($A2353),1000000000),IFERROR(IF(VALUE(MID($A2353,2,20))&lt;100000000,VALUE(MID($A2353,2,20)),1000000000),1000000000))+ROW()/100000,"")</f>
        <v/>
      </c>
    </row>
    <row r="2354">
      <c r="F2354" s="7">
        <f>IF($A2354="","",E2354*N2354/100)</f>
        <v/>
      </c>
      <c r="J2354" s="7" t="n"/>
      <c r="K2354" s="7">
        <f>IF($A2354="","",S2354*N2354)</f>
        <v/>
      </c>
      <c r="L2354" s="7">
        <f>IF($A2354="","",N2354-K2354)</f>
        <v/>
      </c>
      <c r="M2354" s="7">
        <f>IF($A2354="","",L2354-F2354)</f>
        <v/>
      </c>
      <c r="N2354" s="7" t="n"/>
      <c r="Q2354" s="11" t="n"/>
      <c r="S2354">
        <f>IF($A2354="","",IF($W2354=1,Settings!$C$6,Settings!$C$7)*1)</f>
        <v/>
      </c>
      <c r="U2354">
        <f>IF($A2354="","",IF(COUNTIF($A$2:$A2354,$A2354)=1,1,0))</f>
        <v/>
      </c>
      <c r="V2354">
        <f>IF($U2354=1,SUMPRODUCT(--($X$2:$X$3001&lt;$X2354))+1,"")</f>
        <v/>
      </c>
      <c r="W2354">
        <f>IF($A2354="","",IF(OR($T2354=TRUE(),$T2354="TRUE"),1,0))</f>
        <v/>
      </c>
      <c r="X2354">
        <f>IF($U2354=1,IFERROR(IF(VALUE($A2354)&lt;100000000,VALUE($A2354),1000000000),IFERROR(IF(VALUE(MID($A2354,2,20))&lt;100000000,VALUE(MID($A2354,2,20)),1000000000),1000000000))+ROW()/100000,"")</f>
        <v/>
      </c>
    </row>
    <row r="2355">
      <c r="F2355" s="7">
        <f>IF($A2355="","",E2355*N2355/100)</f>
        <v/>
      </c>
      <c r="J2355" s="7" t="n"/>
      <c r="K2355" s="7">
        <f>IF($A2355="","",S2355*N2355)</f>
        <v/>
      </c>
      <c r="L2355" s="7">
        <f>IF($A2355="","",N2355-K2355)</f>
        <v/>
      </c>
      <c r="M2355" s="7">
        <f>IF($A2355="","",L2355-F2355)</f>
        <v/>
      </c>
      <c r="N2355" s="7" t="n"/>
      <c r="Q2355" s="11" t="n"/>
      <c r="S2355">
        <f>IF($A2355="","",IF($W2355=1,Settings!$C$6,Settings!$C$7)*1)</f>
        <v/>
      </c>
      <c r="U2355">
        <f>IF($A2355="","",IF(COUNTIF($A$2:$A2355,$A2355)=1,1,0))</f>
        <v/>
      </c>
      <c r="V2355">
        <f>IF($U2355=1,SUMPRODUCT(--($X$2:$X$3001&lt;$X2355))+1,"")</f>
        <v/>
      </c>
      <c r="W2355">
        <f>IF($A2355="","",IF(OR($T2355=TRUE(),$T2355="TRUE"),1,0))</f>
        <v/>
      </c>
      <c r="X2355">
        <f>IF($U2355=1,IFERROR(IF(VALUE($A2355)&lt;100000000,VALUE($A2355),1000000000),IFERROR(IF(VALUE(MID($A2355,2,20))&lt;100000000,VALUE(MID($A2355,2,20)),1000000000),1000000000))+ROW()/100000,"")</f>
        <v/>
      </c>
    </row>
    <row r="2356">
      <c r="F2356" s="7">
        <f>IF($A2356="","",E2356*N2356/100)</f>
        <v/>
      </c>
      <c r="J2356" s="7" t="n"/>
      <c r="K2356" s="7">
        <f>IF($A2356="","",S2356*N2356)</f>
        <v/>
      </c>
      <c r="L2356" s="7">
        <f>IF($A2356="","",N2356-K2356)</f>
        <v/>
      </c>
      <c r="M2356" s="7">
        <f>IF($A2356="","",L2356-F2356)</f>
        <v/>
      </c>
      <c r="N2356" s="7" t="n"/>
      <c r="Q2356" s="11" t="n"/>
      <c r="S2356">
        <f>IF($A2356="","",IF($W2356=1,Settings!$C$6,Settings!$C$7)*1)</f>
        <v/>
      </c>
      <c r="U2356">
        <f>IF($A2356="","",IF(COUNTIF($A$2:$A2356,$A2356)=1,1,0))</f>
        <v/>
      </c>
      <c r="V2356">
        <f>IF($U2356=1,SUMPRODUCT(--($X$2:$X$3001&lt;$X2356))+1,"")</f>
        <v/>
      </c>
      <c r="W2356">
        <f>IF($A2356="","",IF(OR($T2356=TRUE(),$T2356="TRUE"),1,0))</f>
        <v/>
      </c>
      <c r="X2356">
        <f>IF($U2356=1,IFERROR(IF(VALUE($A2356)&lt;100000000,VALUE($A2356),1000000000),IFERROR(IF(VALUE(MID($A2356,2,20))&lt;100000000,VALUE(MID($A2356,2,20)),1000000000),1000000000))+ROW()/100000,"")</f>
        <v/>
      </c>
    </row>
    <row r="2357">
      <c r="F2357" s="7">
        <f>IF($A2357="","",E2357*N2357/100)</f>
        <v/>
      </c>
      <c r="J2357" s="7" t="n"/>
      <c r="K2357" s="7">
        <f>IF($A2357="","",S2357*N2357)</f>
        <v/>
      </c>
      <c r="L2357" s="7">
        <f>IF($A2357="","",N2357-K2357)</f>
        <v/>
      </c>
      <c r="M2357" s="7">
        <f>IF($A2357="","",L2357-F2357)</f>
        <v/>
      </c>
      <c r="N2357" s="7" t="n"/>
      <c r="Q2357" s="11" t="n"/>
      <c r="S2357">
        <f>IF($A2357="","",IF($W2357=1,Settings!$C$6,Settings!$C$7)*1)</f>
        <v/>
      </c>
      <c r="U2357">
        <f>IF($A2357="","",IF(COUNTIF($A$2:$A2357,$A2357)=1,1,0))</f>
        <v/>
      </c>
      <c r="V2357">
        <f>IF($U2357=1,SUMPRODUCT(--($X$2:$X$3001&lt;$X2357))+1,"")</f>
        <v/>
      </c>
      <c r="W2357">
        <f>IF($A2357="","",IF(OR($T2357=TRUE(),$T2357="TRUE"),1,0))</f>
        <v/>
      </c>
      <c r="X2357">
        <f>IF($U2357=1,IFERROR(IF(VALUE($A2357)&lt;100000000,VALUE($A2357),1000000000),IFERROR(IF(VALUE(MID($A2357,2,20))&lt;100000000,VALUE(MID($A2357,2,20)),1000000000),1000000000))+ROW()/100000,"")</f>
        <v/>
      </c>
    </row>
    <row r="2358">
      <c r="F2358" s="7">
        <f>IF($A2358="","",E2358*N2358/100)</f>
        <v/>
      </c>
      <c r="J2358" s="7" t="n"/>
      <c r="K2358" s="7">
        <f>IF($A2358="","",S2358*N2358)</f>
        <v/>
      </c>
      <c r="L2358" s="7">
        <f>IF($A2358="","",N2358-K2358)</f>
        <v/>
      </c>
      <c r="M2358" s="7">
        <f>IF($A2358="","",L2358-F2358)</f>
        <v/>
      </c>
      <c r="N2358" s="7" t="n"/>
      <c r="Q2358" s="11" t="n"/>
      <c r="S2358">
        <f>IF($A2358="","",IF($W2358=1,Settings!$C$6,Settings!$C$7)*1)</f>
        <v/>
      </c>
      <c r="U2358">
        <f>IF($A2358="","",IF(COUNTIF($A$2:$A2358,$A2358)=1,1,0))</f>
        <v/>
      </c>
      <c r="V2358">
        <f>IF($U2358=1,SUMPRODUCT(--($X$2:$X$3001&lt;$X2358))+1,"")</f>
        <v/>
      </c>
      <c r="W2358">
        <f>IF($A2358="","",IF(OR($T2358=TRUE(),$T2358="TRUE"),1,0))</f>
        <v/>
      </c>
      <c r="X2358">
        <f>IF($U2358=1,IFERROR(IF(VALUE($A2358)&lt;100000000,VALUE($A2358),1000000000),IFERROR(IF(VALUE(MID($A2358,2,20))&lt;100000000,VALUE(MID($A2358,2,20)),1000000000),1000000000))+ROW()/100000,"")</f>
        <v/>
      </c>
    </row>
    <row r="2359">
      <c r="F2359" s="7">
        <f>IF($A2359="","",E2359*N2359/100)</f>
        <v/>
      </c>
      <c r="J2359" s="7" t="n"/>
      <c r="K2359" s="7">
        <f>IF($A2359="","",S2359*N2359)</f>
        <v/>
      </c>
      <c r="L2359" s="7">
        <f>IF($A2359="","",N2359-K2359)</f>
        <v/>
      </c>
      <c r="M2359" s="7">
        <f>IF($A2359="","",L2359-F2359)</f>
        <v/>
      </c>
      <c r="N2359" s="7" t="n"/>
      <c r="Q2359" s="11" t="n"/>
      <c r="S2359">
        <f>IF($A2359="","",IF($W2359=1,Settings!$C$6,Settings!$C$7)*1)</f>
        <v/>
      </c>
      <c r="U2359">
        <f>IF($A2359="","",IF(COUNTIF($A$2:$A2359,$A2359)=1,1,0))</f>
        <v/>
      </c>
      <c r="V2359">
        <f>IF($U2359=1,SUMPRODUCT(--($X$2:$X$3001&lt;$X2359))+1,"")</f>
        <v/>
      </c>
      <c r="W2359">
        <f>IF($A2359="","",IF(OR($T2359=TRUE(),$T2359="TRUE"),1,0))</f>
        <v/>
      </c>
      <c r="X2359">
        <f>IF($U2359=1,IFERROR(IF(VALUE($A2359)&lt;100000000,VALUE($A2359),1000000000),IFERROR(IF(VALUE(MID($A2359,2,20))&lt;100000000,VALUE(MID($A2359,2,20)),1000000000),1000000000))+ROW()/100000,"")</f>
        <v/>
      </c>
    </row>
    <row r="2360">
      <c r="F2360" s="7">
        <f>IF($A2360="","",E2360*N2360/100)</f>
        <v/>
      </c>
      <c r="J2360" s="7" t="n"/>
      <c r="K2360" s="7">
        <f>IF($A2360="","",S2360*N2360)</f>
        <v/>
      </c>
      <c r="L2360" s="7">
        <f>IF($A2360="","",N2360-K2360)</f>
        <v/>
      </c>
      <c r="M2360" s="7">
        <f>IF($A2360="","",L2360-F2360)</f>
        <v/>
      </c>
      <c r="N2360" s="7" t="n"/>
      <c r="Q2360" s="11" t="n"/>
      <c r="S2360">
        <f>IF($A2360="","",IF($W2360=1,Settings!$C$6,Settings!$C$7)*1)</f>
        <v/>
      </c>
      <c r="U2360">
        <f>IF($A2360="","",IF(COUNTIF($A$2:$A2360,$A2360)=1,1,0))</f>
        <v/>
      </c>
      <c r="V2360">
        <f>IF($U2360=1,SUMPRODUCT(--($X$2:$X$3001&lt;$X2360))+1,"")</f>
        <v/>
      </c>
      <c r="W2360">
        <f>IF($A2360="","",IF(OR($T2360=TRUE(),$T2360="TRUE"),1,0))</f>
        <v/>
      </c>
      <c r="X2360">
        <f>IF($U2360=1,IFERROR(IF(VALUE($A2360)&lt;100000000,VALUE($A2360),1000000000),IFERROR(IF(VALUE(MID($A2360,2,20))&lt;100000000,VALUE(MID($A2360,2,20)),1000000000),1000000000))+ROW()/100000,"")</f>
        <v/>
      </c>
    </row>
    <row r="2361">
      <c r="F2361" s="7">
        <f>IF($A2361="","",E2361*N2361/100)</f>
        <v/>
      </c>
      <c r="J2361" s="7" t="n"/>
      <c r="K2361" s="7">
        <f>IF($A2361="","",S2361*N2361)</f>
        <v/>
      </c>
      <c r="L2361" s="7">
        <f>IF($A2361="","",N2361-K2361)</f>
        <v/>
      </c>
      <c r="M2361" s="7">
        <f>IF($A2361="","",L2361-F2361)</f>
        <v/>
      </c>
      <c r="N2361" s="7" t="n"/>
      <c r="Q2361" s="11" t="n"/>
      <c r="S2361">
        <f>IF($A2361="","",IF($W2361=1,Settings!$C$6,Settings!$C$7)*1)</f>
        <v/>
      </c>
      <c r="U2361">
        <f>IF($A2361="","",IF(COUNTIF($A$2:$A2361,$A2361)=1,1,0))</f>
        <v/>
      </c>
      <c r="V2361">
        <f>IF($U2361=1,SUMPRODUCT(--($X$2:$X$3001&lt;$X2361))+1,"")</f>
        <v/>
      </c>
      <c r="W2361">
        <f>IF($A2361="","",IF(OR($T2361=TRUE(),$T2361="TRUE"),1,0))</f>
        <v/>
      </c>
      <c r="X2361">
        <f>IF($U2361=1,IFERROR(IF(VALUE($A2361)&lt;100000000,VALUE($A2361),1000000000),IFERROR(IF(VALUE(MID($A2361,2,20))&lt;100000000,VALUE(MID($A2361,2,20)),1000000000),1000000000))+ROW()/100000,"")</f>
        <v/>
      </c>
    </row>
    <row r="2362">
      <c r="F2362" s="7">
        <f>IF($A2362="","",E2362*N2362/100)</f>
        <v/>
      </c>
      <c r="J2362" s="7" t="n"/>
      <c r="K2362" s="7">
        <f>IF($A2362="","",S2362*N2362)</f>
        <v/>
      </c>
      <c r="L2362" s="7">
        <f>IF($A2362="","",N2362-K2362)</f>
        <v/>
      </c>
      <c r="M2362" s="7">
        <f>IF($A2362="","",L2362-F2362)</f>
        <v/>
      </c>
      <c r="N2362" s="7" t="n"/>
      <c r="Q2362" s="11" t="n"/>
      <c r="S2362">
        <f>IF($A2362="","",IF($W2362=1,Settings!$C$6,Settings!$C$7)*1)</f>
        <v/>
      </c>
      <c r="U2362">
        <f>IF($A2362="","",IF(COUNTIF($A$2:$A2362,$A2362)=1,1,0))</f>
        <v/>
      </c>
      <c r="V2362">
        <f>IF($U2362=1,SUMPRODUCT(--($X$2:$X$3001&lt;$X2362))+1,"")</f>
        <v/>
      </c>
      <c r="W2362">
        <f>IF($A2362="","",IF(OR($T2362=TRUE(),$T2362="TRUE"),1,0))</f>
        <v/>
      </c>
      <c r="X2362">
        <f>IF($U2362=1,IFERROR(IF(VALUE($A2362)&lt;100000000,VALUE($A2362),1000000000),IFERROR(IF(VALUE(MID($A2362,2,20))&lt;100000000,VALUE(MID($A2362,2,20)),1000000000),1000000000))+ROW()/100000,"")</f>
        <v/>
      </c>
    </row>
    <row r="2363">
      <c r="F2363" s="7">
        <f>IF($A2363="","",E2363*N2363/100)</f>
        <v/>
      </c>
      <c r="J2363" s="7" t="n"/>
      <c r="K2363" s="7">
        <f>IF($A2363="","",S2363*N2363)</f>
        <v/>
      </c>
      <c r="L2363" s="7">
        <f>IF($A2363="","",N2363-K2363)</f>
        <v/>
      </c>
      <c r="M2363" s="7">
        <f>IF($A2363="","",L2363-F2363)</f>
        <v/>
      </c>
      <c r="N2363" s="7" t="n"/>
      <c r="Q2363" s="11" t="n"/>
      <c r="S2363">
        <f>IF($A2363="","",IF($W2363=1,Settings!$C$6,Settings!$C$7)*1)</f>
        <v/>
      </c>
      <c r="U2363">
        <f>IF($A2363="","",IF(COUNTIF($A$2:$A2363,$A2363)=1,1,0))</f>
        <v/>
      </c>
      <c r="V2363">
        <f>IF($U2363=1,SUMPRODUCT(--($X$2:$X$3001&lt;$X2363))+1,"")</f>
        <v/>
      </c>
      <c r="W2363">
        <f>IF($A2363="","",IF(OR($T2363=TRUE(),$T2363="TRUE"),1,0))</f>
        <v/>
      </c>
      <c r="X2363">
        <f>IF($U2363=1,IFERROR(IF(VALUE($A2363)&lt;100000000,VALUE($A2363),1000000000),IFERROR(IF(VALUE(MID($A2363,2,20))&lt;100000000,VALUE(MID($A2363,2,20)),1000000000),1000000000))+ROW()/100000,"")</f>
        <v/>
      </c>
    </row>
    <row r="2364">
      <c r="F2364" s="7">
        <f>IF($A2364="","",E2364*N2364/100)</f>
        <v/>
      </c>
      <c r="J2364" s="7" t="n"/>
      <c r="K2364" s="7">
        <f>IF($A2364="","",S2364*N2364)</f>
        <v/>
      </c>
      <c r="L2364" s="7">
        <f>IF($A2364="","",N2364-K2364)</f>
        <v/>
      </c>
      <c r="M2364" s="7">
        <f>IF($A2364="","",L2364-F2364)</f>
        <v/>
      </c>
      <c r="N2364" s="7" t="n"/>
      <c r="Q2364" s="11" t="n"/>
      <c r="S2364">
        <f>IF($A2364="","",IF($W2364=1,Settings!$C$6,Settings!$C$7)*1)</f>
        <v/>
      </c>
      <c r="U2364">
        <f>IF($A2364="","",IF(COUNTIF($A$2:$A2364,$A2364)=1,1,0))</f>
        <v/>
      </c>
      <c r="V2364">
        <f>IF($U2364=1,SUMPRODUCT(--($X$2:$X$3001&lt;$X2364))+1,"")</f>
        <v/>
      </c>
      <c r="W2364">
        <f>IF($A2364="","",IF(OR($T2364=TRUE(),$T2364="TRUE"),1,0))</f>
        <v/>
      </c>
      <c r="X2364">
        <f>IF($U2364=1,IFERROR(IF(VALUE($A2364)&lt;100000000,VALUE($A2364),1000000000),IFERROR(IF(VALUE(MID($A2364,2,20))&lt;100000000,VALUE(MID($A2364,2,20)),1000000000),1000000000))+ROW()/100000,"")</f>
        <v/>
      </c>
    </row>
    <row r="2365">
      <c r="F2365" s="7">
        <f>IF($A2365="","",E2365*N2365/100)</f>
        <v/>
      </c>
      <c r="J2365" s="7" t="n"/>
      <c r="K2365" s="7">
        <f>IF($A2365="","",S2365*N2365)</f>
        <v/>
      </c>
      <c r="L2365" s="7">
        <f>IF($A2365="","",N2365-K2365)</f>
        <v/>
      </c>
      <c r="M2365" s="7">
        <f>IF($A2365="","",L2365-F2365)</f>
        <v/>
      </c>
      <c r="N2365" s="7" t="n"/>
      <c r="Q2365" s="11" t="n"/>
      <c r="S2365">
        <f>IF($A2365="","",IF($W2365=1,Settings!$C$6,Settings!$C$7)*1)</f>
        <v/>
      </c>
      <c r="U2365">
        <f>IF($A2365="","",IF(COUNTIF($A$2:$A2365,$A2365)=1,1,0))</f>
        <v/>
      </c>
      <c r="V2365">
        <f>IF($U2365=1,SUMPRODUCT(--($X$2:$X$3001&lt;$X2365))+1,"")</f>
        <v/>
      </c>
      <c r="W2365">
        <f>IF($A2365="","",IF(OR($T2365=TRUE(),$T2365="TRUE"),1,0))</f>
        <v/>
      </c>
      <c r="X2365">
        <f>IF($U2365=1,IFERROR(IF(VALUE($A2365)&lt;100000000,VALUE($A2365),1000000000),IFERROR(IF(VALUE(MID($A2365,2,20))&lt;100000000,VALUE(MID($A2365,2,20)),1000000000),1000000000))+ROW()/100000,"")</f>
        <v/>
      </c>
    </row>
    <row r="2366">
      <c r="F2366" s="7">
        <f>IF($A2366="","",E2366*N2366/100)</f>
        <v/>
      </c>
      <c r="J2366" s="7" t="n"/>
      <c r="K2366" s="7">
        <f>IF($A2366="","",S2366*N2366)</f>
        <v/>
      </c>
      <c r="L2366" s="7">
        <f>IF($A2366="","",N2366-K2366)</f>
        <v/>
      </c>
      <c r="M2366" s="7">
        <f>IF($A2366="","",L2366-F2366)</f>
        <v/>
      </c>
      <c r="N2366" s="7" t="n"/>
      <c r="Q2366" s="11" t="n"/>
      <c r="S2366">
        <f>IF($A2366="","",IF($W2366=1,Settings!$C$6,Settings!$C$7)*1)</f>
        <v/>
      </c>
      <c r="U2366">
        <f>IF($A2366="","",IF(COUNTIF($A$2:$A2366,$A2366)=1,1,0))</f>
        <v/>
      </c>
      <c r="V2366">
        <f>IF($U2366=1,SUMPRODUCT(--($X$2:$X$3001&lt;$X2366))+1,"")</f>
        <v/>
      </c>
      <c r="W2366">
        <f>IF($A2366="","",IF(OR($T2366=TRUE(),$T2366="TRUE"),1,0))</f>
        <v/>
      </c>
      <c r="X2366">
        <f>IF($U2366=1,IFERROR(IF(VALUE($A2366)&lt;100000000,VALUE($A2366),1000000000),IFERROR(IF(VALUE(MID($A2366,2,20))&lt;100000000,VALUE(MID($A2366,2,20)),1000000000),1000000000))+ROW()/100000,"")</f>
        <v/>
      </c>
    </row>
    <row r="2367">
      <c r="F2367" s="7">
        <f>IF($A2367="","",E2367*N2367/100)</f>
        <v/>
      </c>
      <c r="J2367" s="7" t="n"/>
      <c r="K2367" s="7">
        <f>IF($A2367="","",S2367*N2367)</f>
        <v/>
      </c>
      <c r="L2367" s="7">
        <f>IF($A2367="","",N2367-K2367)</f>
        <v/>
      </c>
      <c r="M2367" s="7">
        <f>IF($A2367="","",L2367-F2367)</f>
        <v/>
      </c>
      <c r="N2367" s="7" t="n"/>
      <c r="Q2367" s="11" t="n"/>
      <c r="S2367">
        <f>IF($A2367="","",IF($W2367=1,Settings!$C$6,Settings!$C$7)*1)</f>
        <v/>
      </c>
      <c r="U2367">
        <f>IF($A2367="","",IF(COUNTIF($A$2:$A2367,$A2367)=1,1,0))</f>
        <v/>
      </c>
      <c r="V2367">
        <f>IF($U2367=1,SUMPRODUCT(--($X$2:$X$3001&lt;$X2367))+1,"")</f>
        <v/>
      </c>
      <c r="W2367">
        <f>IF($A2367="","",IF(OR($T2367=TRUE(),$T2367="TRUE"),1,0))</f>
        <v/>
      </c>
      <c r="X2367">
        <f>IF($U2367=1,IFERROR(IF(VALUE($A2367)&lt;100000000,VALUE($A2367),1000000000),IFERROR(IF(VALUE(MID($A2367,2,20))&lt;100000000,VALUE(MID($A2367,2,20)),1000000000),1000000000))+ROW()/100000,"")</f>
        <v/>
      </c>
    </row>
    <row r="2368">
      <c r="F2368" s="7">
        <f>IF($A2368="","",E2368*N2368/100)</f>
        <v/>
      </c>
      <c r="J2368" s="7" t="n"/>
      <c r="K2368" s="7">
        <f>IF($A2368="","",S2368*N2368)</f>
        <v/>
      </c>
      <c r="L2368" s="7">
        <f>IF($A2368="","",N2368-K2368)</f>
        <v/>
      </c>
      <c r="M2368" s="7">
        <f>IF($A2368="","",L2368-F2368)</f>
        <v/>
      </c>
      <c r="N2368" s="7" t="n"/>
      <c r="Q2368" s="11" t="n"/>
      <c r="S2368">
        <f>IF($A2368="","",IF($W2368=1,Settings!$C$6,Settings!$C$7)*1)</f>
        <v/>
      </c>
      <c r="U2368">
        <f>IF($A2368="","",IF(COUNTIF($A$2:$A2368,$A2368)=1,1,0))</f>
        <v/>
      </c>
      <c r="V2368">
        <f>IF($U2368=1,SUMPRODUCT(--($X$2:$X$3001&lt;$X2368))+1,"")</f>
        <v/>
      </c>
      <c r="W2368">
        <f>IF($A2368="","",IF(OR($T2368=TRUE(),$T2368="TRUE"),1,0))</f>
        <v/>
      </c>
      <c r="X2368">
        <f>IF($U2368=1,IFERROR(IF(VALUE($A2368)&lt;100000000,VALUE($A2368),1000000000),IFERROR(IF(VALUE(MID($A2368,2,20))&lt;100000000,VALUE(MID($A2368,2,20)),1000000000),1000000000))+ROW()/100000,"")</f>
        <v/>
      </c>
    </row>
    <row r="2369">
      <c r="F2369" s="7">
        <f>IF($A2369="","",E2369*N2369/100)</f>
        <v/>
      </c>
      <c r="J2369" s="7" t="n"/>
      <c r="K2369" s="7">
        <f>IF($A2369="","",S2369*N2369)</f>
        <v/>
      </c>
      <c r="L2369" s="7">
        <f>IF($A2369="","",N2369-K2369)</f>
        <v/>
      </c>
      <c r="M2369" s="7">
        <f>IF($A2369="","",L2369-F2369)</f>
        <v/>
      </c>
      <c r="N2369" s="7" t="n"/>
      <c r="Q2369" s="11" t="n"/>
      <c r="S2369">
        <f>IF($A2369="","",IF($W2369=1,Settings!$C$6,Settings!$C$7)*1)</f>
        <v/>
      </c>
      <c r="U2369">
        <f>IF($A2369="","",IF(COUNTIF($A$2:$A2369,$A2369)=1,1,0))</f>
        <v/>
      </c>
      <c r="V2369">
        <f>IF($U2369=1,SUMPRODUCT(--($X$2:$X$3001&lt;$X2369))+1,"")</f>
        <v/>
      </c>
      <c r="W2369">
        <f>IF($A2369="","",IF(OR($T2369=TRUE(),$T2369="TRUE"),1,0))</f>
        <v/>
      </c>
      <c r="X2369">
        <f>IF($U2369=1,IFERROR(IF(VALUE($A2369)&lt;100000000,VALUE($A2369),1000000000),IFERROR(IF(VALUE(MID($A2369,2,20))&lt;100000000,VALUE(MID($A2369,2,20)),1000000000),1000000000))+ROW()/100000,"")</f>
        <v/>
      </c>
    </row>
    <row r="2370">
      <c r="F2370" s="7">
        <f>IF($A2370="","",E2370*N2370/100)</f>
        <v/>
      </c>
      <c r="J2370" s="7" t="n"/>
      <c r="K2370" s="7">
        <f>IF($A2370="","",S2370*N2370)</f>
        <v/>
      </c>
      <c r="L2370" s="7">
        <f>IF($A2370="","",N2370-K2370)</f>
        <v/>
      </c>
      <c r="M2370" s="7">
        <f>IF($A2370="","",L2370-F2370)</f>
        <v/>
      </c>
      <c r="N2370" s="7" t="n"/>
      <c r="Q2370" s="11" t="n"/>
      <c r="S2370">
        <f>IF($A2370="","",IF($W2370=1,Settings!$C$6,Settings!$C$7)*1)</f>
        <v/>
      </c>
      <c r="U2370">
        <f>IF($A2370="","",IF(COUNTIF($A$2:$A2370,$A2370)=1,1,0))</f>
        <v/>
      </c>
      <c r="V2370">
        <f>IF($U2370=1,SUMPRODUCT(--($X$2:$X$3001&lt;$X2370))+1,"")</f>
        <v/>
      </c>
      <c r="W2370">
        <f>IF($A2370="","",IF(OR($T2370=TRUE(),$T2370="TRUE"),1,0))</f>
        <v/>
      </c>
      <c r="X2370">
        <f>IF($U2370=1,IFERROR(IF(VALUE($A2370)&lt;100000000,VALUE($A2370),1000000000),IFERROR(IF(VALUE(MID($A2370,2,20))&lt;100000000,VALUE(MID($A2370,2,20)),1000000000),1000000000))+ROW()/100000,"")</f>
        <v/>
      </c>
    </row>
    <row r="2371">
      <c r="F2371" s="7">
        <f>IF($A2371="","",E2371*N2371/100)</f>
        <v/>
      </c>
      <c r="J2371" s="7" t="n"/>
      <c r="K2371" s="7">
        <f>IF($A2371="","",S2371*N2371)</f>
        <v/>
      </c>
      <c r="L2371" s="7">
        <f>IF($A2371="","",N2371-K2371)</f>
        <v/>
      </c>
      <c r="M2371" s="7">
        <f>IF($A2371="","",L2371-F2371)</f>
        <v/>
      </c>
      <c r="N2371" s="7" t="n"/>
      <c r="Q2371" s="11" t="n"/>
      <c r="S2371">
        <f>IF($A2371="","",IF($W2371=1,Settings!$C$6,Settings!$C$7)*1)</f>
        <v/>
      </c>
      <c r="U2371">
        <f>IF($A2371="","",IF(COUNTIF($A$2:$A2371,$A2371)=1,1,0))</f>
        <v/>
      </c>
      <c r="V2371">
        <f>IF($U2371=1,SUMPRODUCT(--($X$2:$X$3001&lt;$X2371))+1,"")</f>
        <v/>
      </c>
      <c r="W2371">
        <f>IF($A2371="","",IF(OR($T2371=TRUE(),$T2371="TRUE"),1,0))</f>
        <v/>
      </c>
      <c r="X2371">
        <f>IF($U2371=1,IFERROR(IF(VALUE($A2371)&lt;100000000,VALUE($A2371),1000000000),IFERROR(IF(VALUE(MID($A2371,2,20))&lt;100000000,VALUE(MID($A2371,2,20)),1000000000),1000000000))+ROW()/100000,"")</f>
        <v/>
      </c>
    </row>
    <row r="2372">
      <c r="F2372" s="7">
        <f>IF($A2372="","",E2372*N2372/100)</f>
        <v/>
      </c>
      <c r="J2372" s="7" t="n"/>
      <c r="K2372" s="7">
        <f>IF($A2372="","",S2372*N2372)</f>
        <v/>
      </c>
      <c r="L2372" s="7">
        <f>IF($A2372="","",N2372-K2372)</f>
        <v/>
      </c>
      <c r="M2372" s="7">
        <f>IF($A2372="","",L2372-F2372)</f>
        <v/>
      </c>
      <c r="N2372" s="7" t="n"/>
      <c r="Q2372" s="11" t="n"/>
      <c r="S2372">
        <f>IF($A2372="","",IF($W2372=1,Settings!$C$6,Settings!$C$7)*1)</f>
        <v/>
      </c>
      <c r="U2372">
        <f>IF($A2372="","",IF(COUNTIF($A$2:$A2372,$A2372)=1,1,0))</f>
        <v/>
      </c>
      <c r="V2372">
        <f>IF($U2372=1,SUMPRODUCT(--($X$2:$X$3001&lt;$X2372))+1,"")</f>
        <v/>
      </c>
      <c r="W2372">
        <f>IF($A2372="","",IF(OR($T2372=TRUE(),$T2372="TRUE"),1,0))</f>
        <v/>
      </c>
      <c r="X2372">
        <f>IF($U2372=1,IFERROR(IF(VALUE($A2372)&lt;100000000,VALUE($A2372),1000000000),IFERROR(IF(VALUE(MID($A2372,2,20))&lt;100000000,VALUE(MID($A2372,2,20)),1000000000),1000000000))+ROW()/100000,"")</f>
        <v/>
      </c>
    </row>
    <row r="2373">
      <c r="F2373" s="7">
        <f>IF($A2373="","",E2373*N2373/100)</f>
        <v/>
      </c>
      <c r="J2373" s="7" t="n"/>
      <c r="K2373" s="7">
        <f>IF($A2373="","",S2373*N2373)</f>
        <v/>
      </c>
      <c r="L2373" s="7">
        <f>IF($A2373="","",N2373-K2373)</f>
        <v/>
      </c>
      <c r="M2373" s="7">
        <f>IF($A2373="","",L2373-F2373)</f>
        <v/>
      </c>
      <c r="N2373" s="7" t="n"/>
      <c r="Q2373" s="11" t="n"/>
      <c r="S2373">
        <f>IF($A2373="","",IF($W2373=1,Settings!$C$6,Settings!$C$7)*1)</f>
        <v/>
      </c>
      <c r="U2373">
        <f>IF($A2373="","",IF(COUNTIF($A$2:$A2373,$A2373)=1,1,0))</f>
        <v/>
      </c>
      <c r="V2373">
        <f>IF($U2373=1,SUMPRODUCT(--($X$2:$X$3001&lt;$X2373))+1,"")</f>
        <v/>
      </c>
      <c r="W2373">
        <f>IF($A2373="","",IF(OR($T2373=TRUE(),$T2373="TRUE"),1,0))</f>
        <v/>
      </c>
      <c r="X2373">
        <f>IF($U2373=1,IFERROR(IF(VALUE($A2373)&lt;100000000,VALUE($A2373),1000000000),IFERROR(IF(VALUE(MID($A2373,2,20))&lt;100000000,VALUE(MID($A2373,2,20)),1000000000),1000000000))+ROW()/100000,"")</f>
        <v/>
      </c>
    </row>
    <row r="2374">
      <c r="F2374" s="7">
        <f>IF($A2374="","",E2374*N2374/100)</f>
        <v/>
      </c>
      <c r="J2374" s="7" t="n"/>
      <c r="K2374" s="7">
        <f>IF($A2374="","",S2374*N2374)</f>
        <v/>
      </c>
      <c r="L2374" s="7">
        <f>IF($A2374="","",N2374-K2374)</f>
        <v/>
      </c>
      <c r="M2374" s="7">
        <f>IF($A2374="","",L2374-F2374)</f>
        <v/>
      </c>
      <c r="N2374" s="7" t="n"/>
      <c r="Q2374" s="11" t="n"/>
      <c r="S2374">
        <f>IF($A2374="","",IF($W2374=1,Settings!$C$6,Settings!$C$7)*1)</f>
        <v/>
      </c>
      <c r="U2374">
        <f>IF($A2374="","",IF(COUNTIF($A$2:$A2374,$A2374)=1,1,0))</f>
        <v/>
      </c>
      <c r="V2374">
        <f>IF($U2374=1,SUMPRODUCT(--($X$2:$X$3001&lt;$X2374))+1,"")</f>
        <v/>
      </c>
      <c r="W2374">
        <f>IF($A2374="","",IF(OR($T2374=TRUE(),$T2374="TRUE"),1,0))</f>
        <v/>
      </c>
      <c r="X2374">
        <f>IF($U2374=1,IFERROR(IF(VALUE($A2374)&lt;100000000,VALUE($A2374),1000000000),IFERROR(IF(VALUE(MID($A2374,2,20))&lt;100000000,VALUE(MID($A2374,2,20)),1000000000),1000000000))+ROW()/100000,"")</f>
        <v/>
      </c>
    </row>
    <row r="2375">
      <c r="F2375" s="7">
        <f>IF($A2375="","",E2375*N2375/100)</f>
        <v/>
      </c>
      <c r="J2375" s="7" t="n"/>
      <c r="K2375" s="7">
        <f>IF($A2375="","",S2375*N2375)</f>
        <v/>
      </c>
      <c r="L2375" s="7">
        <f>IF($A2375="","",N2375-K2375)</f>
        <v/>
      </c>
      <c r="M2375" s="7">
        <f>IF($A2375="","",L2375-F2375)</f>
        <v/>
      </c>
      <c r="N2375" s="7" t="n"/>
      <c r="Q2375" s="11" t="n"/>
      <c r="S2375">
        <f>IF($A2375="","",IF($W2375=1,Settings!$C$6,Settings!$C$7)*1)</f>
        <v/>
      </c>
      <c r="U2375">
        <f>IF($A2375="","",IF(COUNTIF($A$2:$A2375,$A2375)=1,1,0))</f>
        <v/>
      </c>
      <c r="V2375">
        <f>IF($U2375=1,SUMPRODUCT(--($X$2:$X$3001&lt;$X2375))+1,"")</f>
        <v/>
      </c>
      <c r="W2375">
        <f>IF($A2375="","",IF(OR($T2375=TRUE(),$T2375="TRUE"),1,0))</f>
        <v/>
      </c>
      <c r="X2375">
        <f>IF($U2375=1,IFERROR(IF(VALUE($A2375)&lt;100000000,VALUE($A2375),1000000000),IFERROR(IF(VALUE(MID($A2375,2,20))&lt;100000000,VALUE(MID($A2375,2,20)),1000000000),1000000000))+ROW()/100000,"")</f>
        <v/>
      </c>
    </row>
    <row r="2376">
      <c r="F2376" s="7">
        <f>IF($A2376="","",E2376*N2376/100)</f>
        <v/>
      </c>
      <c r="J2376" s="7" t="n"/>
      <c r="K2376" s="7">
        <f>IF($A2376="","",S2376*N2376)</f>
        <v/>
      </c>
      <c r="L2376" s="7">
        <f>IF($A2376="","",N2376-K2376)</f>
        <v/>
      </c>
      <c r="M2376" s="7">
        <f>IF($A2376="","",L2376-F2376)</f>
        <v/>
      </c>
      <c r="N2376" s="7" t="n"/>
      <c r="Q2376" s="11" t="n"/>
      <c r="S2376">
        <f>IF($A2376="","",IF($W2376=1,Settings!$C$6,Settings!$C$7)*1)</f>
        <v/>
      </c>
      <c r="U2376">
        <f>IF($A2376="","",IF(COUNTIF($A$2:$A2376,$A2376)=1,1,0))</f>
        <v/>
      </c>
      <c r="V2376">
        <f>IF($U2376=1,SUMPRODUCT(--($X$2:$X$3001&lt;$X2376))+1,"")</f>
        <v/>
      </c>
      <c r="W2376">
        <f>IF($A2376="","",IF(OR($T2376=TRUE(),$T2376="TRUE"),1,0))</f>
        <v/>
      </c>
      <c r="X2376">
        <f>IF($U2376=1,IFERROR(IF(VALUE($A2376)&lt;100000000,VALUE($A2376),1000000000),IFERROR(IF(VALUE(MID($A2376,2,20))&lt;100000000,VALUE(MID($A2376,2,20)),1000000000),1000000000))+ROW()/100000,"")</f>
        <v/>
      </c>
    </row>
    <row r="2377">
      <c r="F2377" s="7">
        <f>IF($A2377="","",E2377*N2377/100)</f>
        <v/>
      </c>
      <c r="J2377" s="7" t="n"/>
      <c r="K2377" s="7">
        <f>IF($A2377="","",S2377*N2377)</f>
        <v/>
      </c>
      <c r="L2377" s="7">
        <f>IF($A2377="","",N2377-K2377)</f>
        <v/>
      </c>
      <c r="M2377" s="7">
        <f>IF($A2377="","",L2377-F2377)</f>
        <v/>
      </c>
      <c r="N2377" s="7" t="n"/>
      <c r="Q2377" s="11" t="n"/>
      <c r="S2377">
        <f>IF($A2377="","",IF($W2377=1,Settings!$C$6,Settings!$C$7)*1)</f>
        <v/>
      </c>
      <c r="U2377">
        <f>IF($A2377="","",IF(COUNTIF($A$2:$A2377,$A2377)=1,1,0))</f>
        <v/>
      </c>
      <c r="V2377">
        <f>IF($U2377=1,SUMPRODUCT(--($X$2:$X$3001&lt;$X2377))+1,"")</f>
        <v/>
      </c>
      <c r="W2377">
        <f>IF($A2377="","",IF(OR($T2377=TRUE(),$T2377="TRUE"),1,0))</f>
        <v/>
      </c>
      <c r="X2377">
        <f>IF($U2377=1,IFERROR(IF(VALUE($A2377)&lt;100000000,VALUE($A2377),1000000000),IFERROR(IF(VALUE(MID($A2377,2,20))&lt;100000000,VALUE(MID($A2377,2,20)),1000000000),1000000000))+ROW()/100000,"")</f>
        <v/>
      </c>
    </row>
    <row r="2378">
      <c r="F2378" s="7">
        <f>IF($A2378="","",E2378*N2378/100)</f>
        <v/>
      </c>
      <c r="J2378" s="7" t="n"/>
      <c r="K2378" s="7">
        <f>IF($A2378="","",S2378*N2378)</f>
        <v/>
      </c>
      <c r="L2378" s="7">
        <f>IF($A2378="","",N2378-K2378)</f>
        <v/>
      </c>
      <c r="M2378" s="7">
        <f>IF($A2378="","",L2378-F2378)</f>
        <v/>
      </c>
      <c r="N2378" s="7" t="n"/>
      <c r="Q2378" s="11" t="n"/>
      <c r="S2378">
        <f>IF($A2378="","",IF($W2378=1,Settings!$C$6,Settings!$C$7)*1)</f>
        <v/>
      </c>
      <c r="U2378">
        <f>IF($A2378="","",IF(COUNTIF($A$2:$A2378,$A2378)=1,1,0))</f>
        <v/>
      </c>
      <c r="V2378">
        <f>IF($U2378=1,SUMPRODUCT(--($X$2:$X$3001&lt;$X2378))+1,"")</f>
        <v/>
      </c>
      <c r="W2378">
        <f>IF($A2378="","",IF(OR($T2378=TRUE(),$T2378="TRUE"),1,0))</f>
        <v/>
      </c>
      <c r="X2378">
        <f>IF($U2378=1,IFERROR(IF(VALUE($A2378)&lt;100000000,VALUE($A2378),1000000000),IFERROR(IF(VALUE(MID($A2378,2,20))&lt;100000000,VALUE(MID($A2378,2,20)),1000000000),1000000000))+ROW()/100000,"")</f>
        <v/>
      </c>
    </row>
    <row r="2379">
      <c r="F2379" s="7">
        <f>IF($A2379="","",E2379*N2379/100)</f>
        <v/>
      </c>
      <c r="J2379" s="7" t="n"/>
      <c r="K2379" s="7">
        <f>IF($A2379="","",S2379*N2379)</f>
        <v/>
      </c>
      <c r="L2379" s="7">
        <f>IF($A2379="","",N2379-K2379)</f>
        <v/>
      </c>
      <c r="M2379" s="7">
        <f>IF($A2379="","",L2379-F2379)</f>
        <v/>
      </c>
      <c r="N2379" s="7" t="n"/>
      <c r="Q2379" s="11" t="n"/>
      <c r="S2379">
        <f>IF($A2379="","",IF($W2379=1,Settings!$C$6,Settings!$C$7)*1)</f>
        <v/>
      </c>
      <c r="U2379">
        <f>IF($A2379="","",IF(COUNTIF($A$2:$A2379,$A2379)=1,1,0))</f>
        <v/>
      </c>
      <c r="V2379">
        <f>IF($U2379=1,SUMPRODUCT(--($X$2:$X$3001&lt;$X2379))+1,"")</f>
        <v/>
      </c>
      <c r="W2379">
        <f>IF($A2379="","",IF(OR($T2379=TRUE(),$T2379="TRUE"),1,0))</f>
        <v/>
      </c>
      <c r="X2379">
        <f>IF($U2379=1,IFERROR(IF(VALUE($A2379)&lt;100000000,VALUE($A2379),1000000000),IFERROR(IF(VALUE(MID($A2379,2,20))&lt;100000000,VALUE(MID($A2379,2,20)),1000000000),1000000000))+ROW()/100000,"")</f>
        <v/>
      </c>
    </row>
    <row r="2380">
      <c r="F2380" s="7">
        <f>IF($A2380="","",E2380*N2380/100)</f>
        <v/>
      </c>
      <c r="J2380" s="7" t="n"/>
      <c r="K2380" s="7">
        <f>IF($A2380="","",S2380*N2380)</f>
        <v/>
      </c>
      <c r="L2380" s="7">
        <f>IF($A2380="","",N2380-K2380)</f>
        <v/>
      </c>
      <c r="M2380" s="7">
        <f>IF($A2380="","",L2380-F2380)</f>
        <v/>
      </c>
      <c r="N2380" s="7" t="n"/>
      <c r="Q2380" s="11" t="n"/>
      <c r="S2380">
        <f>IF($A2380="","",IF($W2380=1,Settings!$C$6,Settings!$C$7)*1)</f>
        <v/>
      </c>
      <c r="U2380">
        <f>IF($A2380="","",IF(COUNTIF($A$2:$A2380,$A2380)=1,1,0))</f>
        <v/>
      </c>
      <c r="V2380">
        <f>IF($U2380=1,SUMPRODUCT(--($X$2:$X$3001&lt;$X2380))+1,"")</f>
        <v/>
      </c>
      <c r="W2380">
        <f>IF($A2380="","",IF(OR($T2380=TRUE(),$T2380="TRUE"),1,0))</f>
        <v/>
      </c>
      <c r="X2380">
        <f>IF($U2380=1,IFERROR(IF(VALUE($A2380)&lt;100000000,VALUE($A2380),1000000000),IFERROR(IF(VALUE(MID($A2380,2,20))&lt;100000000,VALUE(MID($A2380,2,20)),1000000000),1000000000))+ROW()/100000,"")</f>
        <v/>
      </c>
    </row>
    <row r="2381">
      <c r="F2381" s="7">
        <f>IF($A2381="","",E2381*N2381/100)</f>
        <v/>
      </c>
      <c r="J2381" s="7" t="n"/>
      <c r="K2381" s="7">
        <f>IF($A2381="","",S2381*N2381)</f>
        <v/>
      </c>
      <c r="L2381" s="7">
        <f>IF($A2381="","",N2381-K2381)</f>
        <v/>
      </c>
      <c r="M2381" s="7">
        <f>IF($A2381="","",L2381-F2381)</f>
        <v/>
      </c>
      <c r="N2381" s="7" t="n"/>
      <c r="Q2381" s="11" t="n"/>
      <c r="S2381">
        <f>IF($A2381="","",IF($W2381=1,Settings!$C$6,Settings!$C$7)*1)</f>
        <v/>
      </c>
      <c r="U2381">
        <f>IF($A2381="","",IF(COUNTIF($A$2:$A2381,$A2381)=1,1,0))</f>
        <v/>
      </c>
      <c r="V2381">
        <f>IF($U2381=1,SUMPRODUCT(--($X$2:$X$3001&lt;$X2381))+1,"")</f>
        <v/>
      </c>
      <c r="W2381">
        <f>IF($A2381="","",IF(OR($T2381=TRUE(),$T2381="TRUE"),1,0))</f>
        <v/>
      </c>
      <c r="X2381">
        <f>IF($U2381=1,IFERROR(IF(VALUE($A2381)&lt;100000000,VALUE($A2381),1000000000),IFERROR(IF(VALUE(MID($A2381,2,20))&lt;100000000,VALUE(MID($A2381,2,20)),1000000000),1000000000))+ROW()/100000,"")</f>
        <v/>
      </c>
    </row>
    <row r="2382">
      <c r="F2382" s="7">
        <f>IF($A2382="","",E2382*N2382/100)</f>
        <v/>
      </c>
      <c r="J2382" s="7" t="n"/>
      <c r="K2382" s="7">
        <f>IF($A2382="","",S2382*N2382)</f>
        <v/>
      </c>
      <c r="L2382" s="7">
        <f>IF($A2382="","",N2382-K2382)</f>
        <v/>
      </c>
      <c r="M2382" s="7">
        <f>IF($A2382="","",L2382-F2382)</f>
        <v/>
      </c>
      <c r="N2382" s="7" t="n"/>
      <c r="Q2382" s="11" t="n"/>
      <c r="S2382">
        <f>IF($A2382="","",IF($W2382=1,Settings!$C$6,Settings!$C$7)*1)</f>
        <v/>
      </c>
      <c r="U2382">
        <f>IF($A2382="","",IF(COUNTIF($A$2:$A2382,$A2382)=1,1,0))</f>
        <v/>
      </c>
      <c r="V2382">
        <f>IF($U2382=1,SUMPRODUCT(--($X$2:$X$3001&lt;$X2382))+1,"")</f>
        <v/>
      </c>
      <c r="W2382">
        <f>IF($A2382="","",IF(OR($T2382=TRUE(),$T2382="TRUE"),1,0))</f>
        <v/>
      </c>
      <c r="X2382">
        <f>IF($U2382=1,IFERROR(IF(VALUE($A2382)&lt;100000000,VALUE($A2382),1000000000),IFERROR(IF(VALUE(MID($A2382,2,20))&lt;100000000,VALUE(MID($A2382,2,20)),1000000000),1000000000))+ROW()/100000,"")</f>
        <v/>
      </c>
    </row>
    <row r="2383">
      <c r="F2383" s="7">
        <f>IF($A2383="","",E2383*N2383/100)</f>
        <v/>
      </c>
      <c r="J2383" s="7" t="n"/>
      <c r="K2383" s="7">
        <f>IF($A2383="","",S2383*N2383)</f>
        <v/>
      </c>
      <c r="L2383" s="7">
        <f>IF($A2383="","",N2383-K2383)</f>
        <v/>
      </c>
      <c r="M2383" s="7">
        <f>IF($A2383="","",L2383-F2383)</f>
        <v/>
      </c>
      <c r="N2383" s="7" t="n"/>
      <c r="Q2383" s="11" t="n"/>
      <c r="S2383">
        <f>IF($A2383="","",IF($W2383=1,Settings!$C$6,Settings!$C$7)*1)</f>
        <v/>
      </c>
      <c r="U2383">
        <f>IF($A2383="","",IF(COUNTIF($A$2:$A2383,$A2383)=1,1,0))</f>
        <v/>
      </c>
      <c r="V2383">
        <f>IF($U2383=1,SUMPRODUCT(--($X$2:$X$3001&lt;$X2383))+1,"")</f>
        <v/>
      </c>
      <c r="W2383">
        <f>IF($A2383="","",IF(OR($T2383=TRUE(),$T2383="TRUE"),1,0))</f>
        <v/>
      </c>
      <c r="X2383">
        <f>IF($U2383=1,IFERROR(IF(VALUE($A2383)&lt;100000000,VALUE($A2383),1000000000),IFERROR(IF(VALUE(MID($A2383,2,20))&lt;100000000,VALUE(MID($A2383,2,20)),1000000000),1000000000))+ROW()/100000,"")</f>
        <v/>
      </c>
    </row>
    <row r="2384">
      <c r="F2384" s="7">
        <f>IF($A2384="","",E2384*N2384/100)</f>
        <v/>
      </c>
      <c r="J2384" s="7" t="n"/>
      <c r="K2384" s="7">
        <f>IF($A2384="","",S2384*N2384)</f>
        <v/>
      </c>
      <c r="L2384" s="7">
        <f>IF($A2384="","",N2384-K2384)</f>
        <v/>
      </c>
      <c r="M2384" s="7">
        <f>IF($A2384="","",L2384-F2384)</f>
        <v/>
      </c>
      <c r="N2384" s="7" t="n"/>
      <c r="Q2384" s="11" t="n"/>
      <c r="S2384">
        <f>IF($A2384="","",IF($W2384=1,Settings!$C$6,Settings!$C$7)*1)</f>
        <v/>
      </c>
      <c r="U2384">
        <f>IF($A2384="","",IF(COUNTIF($A$2:$A2384,$A2384)=1,1,0))</f>
        <v/>
      </c>
      <c r="V2384">
        <f>IF($U2384=1,SUMPRODUCT(--($X$2:$X$3001&lt;$X2384))+1,"")</f>
        <v/>
      </c>
      <c r="W2384">
        <f>IF($A2384="","",IF(OR($T2384=TRUE(),$T2384="TRUE"),1,0))</f>
        <v/>
      </c>
      <c r="X2384">
        <f>IF($U2384=1,IFERROR(IF(VALUE($A2384)&lt;100000000,VALUE($A2384),1000000000),IFERROR(IF(VALUE(MID($A2384,2,20))&lt;100000000,VALUE(MID($A2384,2,20)),1000000000),1000000000))+ROW()/100000,"")</f>
        <v/>
      </c>
    </row>
    <row r="2385">
      <c r="F2385" s="7">
        <f>IF($A2385="","",E2385*N2385/100)</f>
        <v/>
      </c>
      <c r="J2385" s="7" t="n"/>
      <c r="K2385" s="7">
        <f>IF($A2385="","",S2385*N2385)</f>
        <v/>
      </c>
      <c r="L2385" s="7">
        <f>IF($A2385="","",N2385-K2385)</f>
        <v/>
      </c>
      <c r="M2385" s="7">
        <f>IF($A2385="","",L2385-F2385)</f>
        <v/>
      </c>
      <c r="N2385" s="7" t="n"/>
      <c r="Q2385" s="11" t="n"/>
      <c r="S2385">
        <f>IF($A2385="","",IF($W2385=1,Settings!$C$6,Settings!$C$7)*1)</f>
        <v/>
      </c>
      <c r="U2385">
        <f>IF($A2385="","",IF(COUNTIF($A$2:$A2385,$A2385)=1,1,0))</f>
        <v/>
      </c>
      <c r="V2385">
        <f>IF($U2385=1,SUMPRODUCT(--($X$2:$X$3001&lt;$X2385))+1,"")</f>
        <v/>
      </c>
      <c r="W2385">
        <f>IF($A2385="","",IF(OR($T2385=TRUE(),$T2385="TRUE"),1,0))</f>
        <v/>
      </c>
      <c r="X2385">
        <f>IF($U2385=1,IFERROR(IF(VALUE($A2385)&lt;100000000,VALUE($A2385),1000000000),IFERROR(IF(VALUE(MID($A2385,2,20))&lt;100000000,VALUE(MID($A2385,2,20)),1000000000),1000000000))+ROW()/100000,"")</f>
        <v/>
      </c>
    </row>
    <row r="2386">
      <c r="F2386" s="7">
        <f>IF($A2386="","",E2386*N2386/100)</f>
        <v/>
      </c>
      <c r="J2386" s="7" t="n"/>
      <c r="K2386" s="7">
        <f>IF($A2386="","",S2386*N2386)</f>
        <v/>
      </c>
      <c r="L2386" s="7">
        <f>IF($A2386="","",N2386-K2386)</f>
        <v/>
      </c>
      <c r="M2386" s="7">
        <f>IF($A2386="","",L2386-F2386)</f>
        <v/>
      </c>
      <c r="N2386" s="7" t="n"/>
      <c r="Q2386" s="11" t="n"/>
      <c r="S2386">
        <f>IF($A2386="","",IF($W2386=1,Settings!$C$6,Settings!$C$7)*1)</f>
        <v/>
      </c>
      <c r="U2386">
        <f>IF($A2386="","",IF(COUNTIF($A$2:$A2386,$A2386)=1,1,0))</f>
        <v/>
      </c>
      <c r="V2386">
        <f>IF($U2386=1,SUMPRODUCT(--($X$2:$X$3001&lt;$X2386))+1,"")</f>
        <v/>
      </c>
      <c r="W2386">
        <f>IF($A2386="","",IF(OR($T2386=TRUE(),$T2386="TRUE"),1,0))</f>
        <v/>
      </c>
      <c r="X2386">
        <f>IF($U2386=1,IFERROR(IF(VALUE($A2386)&lt;100000000,VALUE($A2386),1000000000),IFERROR(IF(VALUE(MID($A2386,2,20))&lt;100000000,VALUE(MID($A2386,2,20)),1000000000),1000000000))+ROW()/100000,"")</f>
        <v/>
      </c>
    </row>
    <row r="2387">
      <c r="F2387" s="7">
        <f>IF($A2387="","",E2387*N2387/100)</f>
        <v/>
      </c>
      <c r="J2387" s="7" t="n"/>
      <c r="K2387" s="7">
        <f>IF($A2387="","",S2387*N2387)</f>
        <v/>
      </c>
      <c r="L2387" s="7">
        <f>IF($A2387="","",N2387-K2387)</f>
        <v/>
      </c>
      <c r="M2387" s="7">
        <f>IF($A2387="","",L2387-F2387)</f>
        <v/>
      </c>
      <c r="N2387" s="7" t="n"/>
      <c r="Q2387" s="11" t="n"/>
      <c r="S2387">
        <f>IF($A2387="","",IF($W2387=1,Settings!$C$6,Settings!$C$7)*1)</f>
        <v/>
      </c>
      <c r="U2387">
        <f>IF($A2387="","",IF(COUNTIF($A$2:$A2387,$A2387)=1,1,0))</f>
        <v/>
      </c>
      <c r="V2387">
        <f>IF($U2387=1,SUMPRODUCT(--($X$2:$X$3001&lt;$X2387))+1,"")</f>
        <v/>
      </c>
      <c r="W2387">
        <f>IF($A2387="","",IF(OR($T2387=TRUE(),$T2387="TRUE"),1,0))</f>
        <v/>
      </c>
      <c r="X2387">
        <f>IF($U2387=1,IFERROR(IF(VALUE($A2387)&lt;100000000,VALUE($A2387),1000000000),IFERROR(IF(VALUE(MID($A2387,2,20))&lt;100000000,VALUE(MID($A2387,2,20)),1000000000),1000000000))+ROW()/100000,"")</f>
        <v/>
      </c>
    </row>
    <row r="2388">
      <c r="F2388" s="7">
        <f>IF($A2388="","",E2388*N2388/100)</f>
        <v/>
      </c>
      <c r="J2388" s="7" t="n"/>
      <c r="K2388" s="7">
        <f>IF($A2388="","",S2388*N2388)</f>
        <v/>
      </c>
      <c r="L2388" s="7">
        <f>IF($A2388="","",N2388-K2388)</f>
        <v/>
      </c>
      <c r="M2388" s="7">
        <f>IF($A2388="","",L2388-F2388)</f>
        <v/>
      </c>
      <c r="N2388" s="7" t="n"/>
      <c r="Q2388" s="11" t="n"/>
      <c r="S2388">
        <f>IF($A2388="","",IF($W2388=1,Settings!$C$6,Settings!$C$7)*1)</f>
        <v/>
      </c>
      <c r="U2388">
        <f>IF($A2388="","",IF(COUNTIF($A$2:$A2388,$A2388)=1,1,0))</f>
        <v/>
      </c>
      <c r="V2388">
        <f>IF($U2388=1,SUMPRODUCT(--($X$2:$X$3001&lt;$X2388))+1,"")</f>
        <v/>
      </c>
      <c r="W2388">
        <f>IF($A2388="","",IF(OR($T2388=TRUE(),$T2388="TRUE"),1,0))</f>
        <v/>
      </c>
      <c r="X2388">
        <f>IF($U2388=1,IFERROR(IF(VALUE($A2388)&lt;100000000,VALUE($A2388),1000000000),IFERROR(IF(VALUE(MID($A2388,2,20))&lt;100000000,VALUE(MID($A2388,2,20)),1000000000),1000000000))+ROW()/100000,"")</f>
        <v/>
      </c>
    </row>
    <row r="2389">
      <c r="F2389" s="7">
        <f>IF($A2389="","",E2389*N2389/100)</f>
        <v/>
      </c>
      <c r="J2389" s="7" t="n"/>
      <c r="K2389" s="7">
        <f>IF($A2389="","",S2389*N2389)</f>
        <v/>
      </c>
      <c r="L2389" s="7">
        <f>IF($A2389="","",N2389-K2389)</f>
        <v/>
      </c>
      <c r="M2389" s="7">
        <f>IF($A2389="","",L2389-F2389)</f>
        <v/>
      </c>
      <c r="N2389" s="7" t="n"/>
      <c r="Q2389" s="11" t="n"/>
      <c r="S2389">
        <f>IF($A2389="","",IF($W2389=1,Settings!$C$6,Settings!$C$7)*1)</f>
        <v/>
      </c>
      <c r="U2389">
        <f>IF($A2389="","",IF(COUNTIF($A$2:$A2389,$A2389)=1,1,0))</f>
        <v/>
      </c>
      <c r="V2389">
        <f>IF($U2389=1,SUMPRODUCT(--($X$2:$X$3001&lt;$X2389))+1,"")</f>
        <v/>
      </c>
      <c r="W2389">
        <f>IF($A2389="","",IF(OR($T2389=TRUE(),$T2389="TRUE"),1,0))</f>
        <v/>
      </c>
      <c r="X2389">
        <f>IF($U2389=1,IFERROR(IF(VALUE($A2389)&lt;100000000,VALUE($A2389),1000000000),IFERROR(IF(VALUE(MID($A2389,2,20))&lt;100000000,VALUE(MID($A2389,2,20)),1000000000),1000000000))+ROW()/100000,"")</f>
        <v/>
      </c>
    </row>
    <row r="2390">
      <c r="F2390" s="7">
        <f>IF($A2390="","",E2390*N2390/100)</f>
        <v/>
      </c>
      <c r="J2390" s="7" t="n"/>
      <c r="K2390" s="7">
        <f>IF($A2390="","",S2390*N2390)</f>
        <v/>
      </c>
      <c r="L2390" s="7">
        <f>IF($A2390="","",N2390-K2390)</f>
        <v/>
      </c>
      <c r="M2390" s="7">
        <f>IF($A2390="","",L2390-F2390)</f>
        <v/>
      </c>
      <c r="N2390" s="7" t="n"/>
      <c r="Q2390" s="11" t="n"/>
      <c r="S2390">
        <f>IF($A2390="","",IF($W2390=1,Settings!$C$6,Settings!$C$7)*1)</f>
        <v/>
      </c>
      <c r="U2390">
        <f>IF($A2390="","",IF(COUNTIF($A$2:$A2390,$A2390)=1,1,0))</f>
        <v/>
      </c>
      <c r="V2390">
        <f>IF($U2390=1,SUMPRODUCT(--($X$2:$X$3001&lt;$X2390))+1,"")</f>
        <v/>
      </c>
      <c r="W2390">
        <f>IF($A2390="","",IF(OR($T2390=TRUE(),$T2390="TRUE"),1,0))</f>
        <v/>
      </c>
      <c r="X2390">
        <f>IF($U2390=1,IFERROR(IF(VALUE($A2390)&lt;100000000,VALUE($A2390),1000000000),IFERROR(IF(VALUE(MID($A2390,2,20))&lt;100000000,VALUE(MID($A2390,2,20)),1000000000),1000000000))+ROW()/100000,"")</f>
        <v/>
      </c>
    </row>
    <row r="2391">
      <c r="F2391" s="7">
        <f>IF($A2391="","",E2391*N2391/100)</f>
        <v/>
      </c>
      <c r="J2391" s="7" t="n"/>
      <c r="K2391" s="7">
        <f>IF($A2391="","",S2391*N2391)</f>
        <v/>
      </c>
      <c r="L2391" s="7">
        <f>IF($A2391="","",N2391-K2391)</f>
        <v/>
      </c>
      <c r="M2391" s="7">
        <f>IF($A2391="","",L2391-F2391)</f>
        <v/>
      </c>
      <c r="N2391" s="7" t="n"/>
      <c r="Q2391" s="11" t="n"/>
      <c r="S2391">
        <f>IF($A2391="","",IF($W2391=1,Settings!$C$6,Settings!$C$7)*1)</f>
        <v/>
      </c>
      <c r="U2391">
        <f>IF($A2391="","",IF(COUNTIF($A$2:$A2391,$A2391)=1,1,0))</f>
        <v/>
      </c>
      <c r="V2391">
        <f>IF($U2391=1,SUMPRODUCT(--($X$2:$X$3001&lt;$X2391))+1,"")</f>
        <v/>
      </c>
      <c r="W2391">
        <f>IF($A2391="","",IF(OR($T2391=TRUE(),$T2391="TRUE"),1,0))</f>
        <v/>
      </c>
      <c r="X2391">
        <f>IF($U2391=1,IFERROR(IF(VALUE($A2391)&lt;100000000,VALUE($A2391),1000000000),IFERROR(IF(VALUE(MID($A2391,2,20))&lt;100000000,VALUE(MID($A2391,2,20)),1000000000),1000000000))+ROW()/100000,"")</f>
        <v/>
      </c>
    </row>
    <row r="2392">
      <c r="F2392" s="7">
        <f>IF($A2392="","",E2392*N2392/100)</f>
        <v/>
      </c>
      <c r="J2392" s="7" t="n"/>
      <c r="K2392" s="7">
        <f>IF($A2392="","",S2392*N2392)</f>
        <v/>
      </c>
      <c r="L2392" s="7">
        <f>IF($A2392="","",N2392-K2392)</f>
        <v/>
      </c>
      <c r="M2392" s="7">
        <f>IF($A2392="","",L2392-F2392)</f>
        <v/>
      </c>
      <c r="N2392" s="7" t="n"/>
      <c r="Q2392" s="11" t="n"/>
      <c r="S2392">
        <f>IF($A2392="","",IF($W2392=1,Settings!$C$6,Settings!$C$7)*1)</f>
        <v/>
      </c>
      <c r="U2392">
        <f>IF($A2392="","",IF(COUNTIF($A$2:$A2392,$A2392)=1,1,0))</f>
        <v/>
      </c>
      <c r="V2392">
        <f>IF($U2392=1,SUMPRODUCT(--($X$2:$X$3001&lt;$X2392))+1,"")</f>
        <v/>
      </c>
      <c r="W2392">
        <f>IF($A2392="","",IF(OR($T2392=TRUE(),$T2392="TRUE"),1,0))</f>
        <v/>
      </c>
      <c r="X2392">
        <f>IF($U2392=1,IFERROR(IF(VALUE($A2392)&lt;100000000,VALUE($A2392),1000000000),IFERROR(IF(VALUE(MID($A2392,2,20))&lt;100000000,VALUE(MID($A2392,2,20)),1000000000),1000000000))+ROW()/100000,"")</f>
        <v/>
      </c>
    </row>
    <row r="2393">
      <c r="F2393" s="7">
        <f>IF($A2393="","",E2393*N2393/100)</f>
        <v/>
      </c>
      <c r="J2393" s="7" t="n"/>
      <c r="K2393" s="7">
        <f>IF($A2393="","",S2393*N2393)</f>
        <v/>
      </c>
      <c r="L2393" s="7">
        <f>IF($A2393="","",N2393-K2393)</f>
        <v/>
      </c>
      <c r="M2393" s="7">
        <f>IF($A2393="","",L2393-F2393)</f>
        <v/>
      </c>
      <c r="N2393" s="7" t="n"/>
      <c r="Q2393" s="11" t="n"/>
      <c r="S2393">
        <f>IF($A2393="","",IF($W2393=1,Settings!$C$6,Settings!$C$7)*1)</f>
        <v/>
      </c>
      <c r="U2393">
        <f>IF($A2393="","",IF(COUNTIF($A$2:$A2393,$A2393)=1,1,0))</f>
        <v/>
      </c>
      <c r="V2393">
        <f>IF($U2393=1,SUMPRODUCT(--($X$2:$X$3001&lt;$X2393))+1,"")</f>
        <v/>
      </c>
      <c r="W2393">
        <f>IF($A2393="","",IF(OR($T2393=TRUE(),$T2393="TRUE"),1,0))</f>
        <v/>
      </c>
      <c r="X2393">
        <f>IF($U2393=1,IFERROR(IF(VALUE($A2393)&lt;100000000,VALUE($A2393),1000000000),IFERROR(IF(VALUE(MID($A2393,2,20))&lt;100000000,VALUE(MID($A2393,2,20)),1000000000),1000000000))+ROW()/100000,"")</f>
        <v/>
      </c>
    </row>
    <row r="2394">
      <c r="F2394" s="7">
        <f>IF($A2394="","",E2394*N2394/100)</f>
        <v/>
      </c>
      <c r="J2394" s="7" t="n"/>
      <c r="K2394" s="7">
        <f>IF($A2394="","",S2394*N2394)</f>
        <v/>
      </c>
      <c r="L2394" s="7">
        <f>IF($A2394="","",N2394-K2394)</f>
        <v/>
      </c>
      <c r="M2394" s="7">
        <f>IF($A2394="","",L2394-F2394)</f>
        <v/>
      </c>
      <c r="N2394" s="7" t="n"/>
      <c r="Q2394" s="11" t="n"/>
      <c r="S2394">
        <f>IF($A2394="","",IF($W2394=1,Settings!$C$6,Settings!$C$7)*1)</f>
        <v/>
      </c>
      <c r="U2394">
        <f>IF($A2394="","",IF(COUNTIF($A$2:$A2394,$A2394)=1,1,0))</f>
        <v/>
      </c>
      <c r="V2394">
        <f>IF($U2394=1,SUMPRODUCT(--($X$2:$X$3001&lt;$X2394))+1,"")</f>
        <v/>
      </c>
      <c r="W2394">
        <f>IF($A2394="","",IF(OR($T2394=TRUE(),$T2394="TRUE"),1,0))</f>
        <v/>
      </c>
      <c r="X2394">
        <f>IF($U2394=1,IFERROR(IF(VALUE($A2394)&lt;100000000,VALUE($A2394),1000000000),IFERROR(IF(VALUE(MID($A2394,2,20))&lt;100000000,VALUE(MID($A2394,2,20)),1000000000),1000000000))+ROW()/100000,"")</f>
        <v/>
      </c>
    </row>
    <row r="2395">
      <c r="F2395" s="7">
        <f>IF($A2395="","",E2395*N2395/100)</f>
        <v/>
      </c>
      <c r="J2395" s="7" t="n"/>
      <c r="K2395" s="7">
        <f>IF($A2395="","",S2395*N2395)</f>
        <v/>
      </c>
      <c r="L2395" s="7">
        <f>IF($A2395="","",N2395-K2395)</f>
        <v/>
      </c>
      <c r="M2395" s="7">
        <f>IF($A2395="","",L2395-F2395)</f>
        <v/>
      </c>
      <c r="N2395" s="7" t="n"/>
      <c r="Q2395" s="11" t="n"/>
      <c r="S2395">
        <f>IF($A2395="","",IF($W2395=1,Settings!$C$6,Settings!$C$7)*1)</f>
        <v/>
      </c>
      <c r="U2395">
        <f>IF($A2395="","",IF(COUNTIF($A$2:$A2395,$A2395)=1,1,0))</f>
        <v/>
      </c>
      <c r="V2395">
        <f>IF($U2395=1,SUMPRODUCT(--($X$2:$X$3001&lt;$X2395))+1,"")</f>
        <v/>
      </c>
      <c r="W2395">
        <f>IF($A2395="","",IF(OR($T2395=TRUE(),$T2395="TRUE"),1,0))</f>
        <v/>
      </c>
      <c r="X2395">
        <f>IF($U2395=1,IFERROR(IF(VALUE($A2395)&lt;100000000,VALUE($A2395),1000000000),IFERROR(IF(VALUE(MID($A2395,2,20))&lt;100000000,VALUE(MID($A2395,2,20)),1000000000),1000000000))+ROW()/100000,"")</f>
        <v/>
      </c>
    </row>
    <row r="2396">
      <c r="F2396" s="7">
        <f>IF($A2396="","",E2396*N2396/100)</f>
        <v/>
      </c>
      <c r="J2396" s="7" t="n"/>
      <c r="K2396" s="7">
        <f>IF($A2396="","",S2396*N2396)</f>
        <v/>
      </c>
      <c r="L2396" s="7">
        <f>IF($A2396="","",N2396-K2396)</f>
        <v/>
      </c>
      <c r="M2396" s="7">
        <f>IF($A2396="","",L2396-F2396)</f>
        <v/>
      </c>
      <c r="N2396" s="7" t="n"/>
      <c r="Q2396" s="11" t="n"/>
      <c r="S2396">
        <f>IF($A2396="","",IF($W2396=1,Settings!$C$6,Settings!$C$7)*1)</f>
        <v/>
      </c>
      <c r="U2396">
        <f>IF($A2396="","",IF(COUNTIF($A$2:$A2396,$A2396)=1,1,0))</f>
        <v/>
      </c>
      <c r="V2396">
        <f>IF($U2396=1,SUMPRODUCT(--($X$2:$X$3001&lt;$X2396))+1,"")</f>
        <v/>
      </c>
      <c r="W2396">
        <f>IF($A2396="","",IF(OR($T2396=TRUE(),$T2396="TRUE"),1,0))</f>
        <v/>
      </c>
      <c r="X2396">
        <f>IF($U2396=1,IFERROR(IF(VALUE($A2396)&lt;100000000,VALUE($A2396),1000000000),IFERROR(IF(VALUE(MID($A2396,2,20))&lt;100000000,VALUE(MID($A2396,2,20)),1000000000),1000000000))+ROW()/100000,"")</f>
        <v/>
      </c>
    </row>
    <row r="2397">
      <c r="F2397" s="7">
        <f>IF($A2397="","",E2397*N2397/100)</f>
        <v/>
      </c>
      <c r="J2397" s="7" t="n"/>
      <c r="K2397" s="7">
        <f>IF($A2397="","",S2397*N2397)</f>
        <v/>
      </c>
      <c r="L2397" s="7">
        <f>IF($A2397="","",N2397-K2397)</f>
        <v/>
      </c>
      <c r="M2397" s="7">
        <f>IF($A2397="","",L2397-F2397)</f>
        <v/>
      </c>
      <c r="N2397" s="7" t="n"/>
      <c r="Q2397" s="11" t="n"/>
      <c r="S2397">
        <f>IF($A2397="","",IF($W2397=1,Settings!$C$6,Settings!$C$7)*1)</f>
        <v/>
      </c>
      <c r="U2397">
        <f>IF($A2397="","",IF(COUNTIF($A$2:$A2397,$A2397)=1,1,0))</f>
        <v/>
      </c>
      <c r="V2397">
        <f>IF($U2397=1,SUMPRODUCT(--($X$2:$X$3001&lt;$X2397))+1,"")</f>
        <v/>
      </c>
      <c r="W2397">
        <f>IF($A2397="","",IF(OR($T2397=TRUE(),$T2397="TRUE"),1,0))</f>
        <v/>
      </c>
      <c r="X2397">
        <f>IF($U2397=1,IFERROR(IF(VALUE($A2397)&lt;100000000,VALUE($A2397),1000000000),IFERROR(IF(VALUE(MID($A2397,2,20))&lt;100000000,VALUE(MID($A2397,2,20)),1000000000),1000000000))+ROW()/100000,"")</f>
        <v/>
      </c>
    </row>
    <row r="2398">
      <c r="F2398" s="7">
        <f>IF($A2398="","",E2398*N2398/100)</f>
        <v/>
      </c>
      <c r="J2398" s="7" t="n"/>
      <c r="K2398" s="7">
        <f>IF($A2398="","",S2398*N2398)</f>
        <v/>
      </c>
      <c r="L2398" s="7">
        <f>IF($A2398="","",N2398-K2398)</f>
        <v/>
      </c>
      <c r="M2398" s="7">
        <f>IF($A2398="","",L2398-F2398)</f>
        <v/>
      </c>
      <c r="N2398" s="7" t="n"/>
      <c r="Q2398" s="11" t="n"/>
      <c r="S2398">
        <f>IF($A2398="","",IF($W2398=1,Settings!$C$6,Settings!$C$7)*1)</f>
        <v/>
      </c>
      <c r="U2398">
        <f>IF($A2398="","",IF(COUNTIF($A$2:$A2398,$A2398)=1,1,0))</f>
        <v/>
      </c>
      <c r="V2398">
        <f>IF($U2398=1,SUMPRODUCT(--($X$2:$X$3001&lt;$X2398))+1,"")</f>
        <v/>
      </c>
      <c r="W2398">
        <f>IF($A2398="","",IF(OR($T2398=TRUE(),$T2398="TRUE"),1,0))</f>
        <v/>
      </c>
      <c r="X2398">
        <f>IF($U2398=1,IFERROR(IF(VALUE($A2398)&lt;100000000,VALUE($A2398),1000000000),IFERROR(IF(VALUE(MID($A2398,2,20))&lt;100000000,VALUE(MID($A2398,2,20)),1000000000),1000000000))+ROW()/100000,"")</f>
        <v/>
      </c>
    </row>
    <row r="2399">
      <c r="F2399" s="7">
        <f>IF($A2399="","",E2399*N2399/100)</f>
        <v/>
      </c>
      <c r="J2399" s="7" t="n"/>
      <c r="K2399" s="7">
        <f>IF($A2399="","",S2399*N2399)</f>
        <v/>
      </c>
      <c r="L2399" s="7">
        <f>IF($A2399="","",N2399-K2399)</f>
        <v/>
      </c>
      <c r="M2399" s="7">
        <f>IF($A2399="","",L2399-F2399)</f>
        <v/>
      </c>
      <c r="N2399" s="7" t="n"/>
      <c r="Q2399" s="11" t="n"/>
      <c r="S2399">
        <f>IF($A2399="","",IF($W2399=1,Settings!$C$6,Settings!$C$7)*1)</f>
        <v/>
      </c>
      <c r="U2399">
        <f>IF($A2399="","",IF(COUNTIF($A$2:$A2399,$A2399)=1,1,0))</f>
        <v/>
      </c>
      <c r="V2399">
        <f>IF($U2399=1,SUMPRODUCT(--($X$2:$X$3001&lt;$X2399))+1,"")</f>
        <v/>
      </c>
      <c r="W2399">
        <f>IF($A2399="","",IF(OR($T2399=TRUE(),$T2399="TRUE"),1,0))</f>
        <v/>
      </c>
      <c r="X2399">
        <f>IF($U2399=1,IFERROR(IF(VALUE($A2399)&lt;100000000,VALUE($A2399),1000000000),IFERROR(IF(VALUE(MID($A2399,2,20))&lt;100000000,VALUE(MID($A2399,2,20)),1000000000),1000000000))+ROW()/100000,"")</f>
        <v/>
      </c>
    </row>
    <row r="2400">
      <c r="F2400" s="7">
        <f>IF($A2400="","",E2400*N2400/100)</f>
        <v/>
      </c>
      <c r="J2400" s="7" t="n"/>
      <c r="K2400" s="7">
        <f>IF($A2400="","",S2400*N2400)</f>
        <v/>
      </c>
      <c r="L2400" s="7">
        <f>IF($A2400="","",N2400-K2400)</f>
        <v/>
      </c>
      <c r="M2400" s="7">
        <f>IF($A2400="","",L2400-F2400)</f>
        <v/>
      </c>
      <c r="N2400" s="7" t="n"/>
      <c r="Q2400" s="11" t="n"/>
      <c r="S2400">
        <f>IF($A2400="","",IF($W2400=1,Settings!$C$6,Settings!$C$7)*1)</f>
        <v/>
      </c>
      <c r="U2400">
        <f>IF($A2400="","",IF(COUNTIF($A$2:$A2400,$A2400)=1,1,0))</f>
        <v/>
      </c>
      <c r="V2400">
        <f>IF($U2400=1,SUMPRODUCT(--($X$2:$X$3001&lt;$X2400))+1,"")</f>
        <v/>
      </c>
      <c r="W2400">
        <f>IF($A2400="","",IF(OR($T2400=TRUE(),$T2400="TRUE"),1,0))</f>
        <v/>
      </c>
      <c r="X2400">
        <f>IF($U2400=1,IFERROR(IF(VALUE($A2400)&lt;100000000,VALUE($A2400),1000000000),IFERROR(IF(VALUE(MID($A2400,2,20))&lt;100000000,VALUE(MID($A2400,2,20)),1000000000),1000000000))+ROW()/100000,"")</f>
        <v/>
      </c>
    </row>
    <row r="2401">
      <c r="F2401" s="7">
        <f>IF($A2401="","",E2401*N2401/100)</f>
        <v/>
      </c>
      <c r="J2401" s="7" t="n"/>
      <c r="K2401" s="7">
        <f>IF($A2401="","",S2401*N2401)</f>
        <v/>
      </c>
      <c r="L2401" s="7">
        <f>IF($A2401="","",N2401-K2401)</f>
        <v/>
      </c>
      <c r="M2401" s="7">
        <f>IF($A2401="","",L2401-F2401)</f>
        <v/>
      </c>
      <c r="N2401" s="7" t="n"/>
      <c r="Q2401" s="11" t="n"/>
      <c r="S2401">
        <f>IF($A2401="","",IF($W2401=1,Settings!$C$6,Settings!$C$7)*1)</f>
        <v/>
      </c>
      <c r="U2401">
        <f>IF($A2401="","",IF(COUNTIF($A$2:$A2401,$A2401)=1,1,0))</f>
        <v/>
      </c>
      <c r="V2401">
        <f>IF($U2401=1,SUMPRODUCT(--($X$2:$X$3001&lt;$X2401))+1,"")</f>
        <v/>
      </c>
      <c r="W2401">
        <f>IF($A2401="","",IF(OR($T2401=TRUE(),$T2401="TRUE"),1,0))</f>
        <v/>
      </c>
      <c r="X2401">
        <f>IF($U2401=1,IFERROR(IF(VALUE($A2401)&lt;100000000,VALUE($A2401),1000000000),IFERROR(IF(VALUE(MID($A2401,2,20))&lt;100000000,VALUE(MID($A2401,2,20)),1000000000),1000000000))+ROW()/100000,"")</f>
        <v/>
      </c>
    </row>
    <row r="2402">
      <c r="F2402" s="7">
        <f>IF($A2402="","",E2402*N2402/100)</f>
        <v/>
      </c>
      <c r="J2402" s="7" t="n"/>
      <c r="K2402" s="7">
        <f>IF($A2402="","",S2402*N2402)</f>
        <v/>
      </c>
      <c r="L2402" s="7">
        <f>IF($A2402="","",N2402-K2402)</f>
        <v/>
      </c>
      <c r="M2402" s="7">
        <f>IF($A2402="","",L2402-F2402)</f>
        <v/>
      </c>
      <c r="N2402" s="7" t="n"/>
      <c r="Q2402" s="11" t="n"/>
      <c r="S2402">
        <f>IF($A2402="","",IF($W2402=1,Settings!$C$6,Settings!$C$7)*1)</f>
        <v/>
      </c>
      <c r="U2402">
        <f>IF($A2402="","",IF(COUNTIF($A$2:$A2402,$A2402)=1,1,0))</f>
        <v/>
      </c>
      <c r="V2402">
        <f>IF($U2402=1,SUMPRODUCT(--($X$2:$X$3001&lt;$X2402))+1,"")</f>
        <v/>
      </c>
      <c r="W2402">
        <f>IF($A2402="","",IF(OR($T2402=TRUE(),$T2402="TRUE"),1,0))</f>
        <v/>
      </c>
      <c r="X2402">
        <f>IF($U2402=1,IFERROR(IF(VALUE($A2402)&lt;100000000,VALUE($A2402),1000000000),IFERROR(IF(VALUE(MID($A2402,2,20))&lt;100000000,VALUE(MID($A2402,2,20)),1000000000),1000000000))+ROW()/100000,"")</f>
        <v/>
      </c>
    </row>
    <row r="2403">
      <c r="F2403" s="7">
        <f>IF($A2403="","",E2403*N2403/100)</f>
        <v/>
      </c>
      <c r="J2403" s="7" t="n"/>
      <c r="K2403" s="7">
        <f>IF($A2403="","",S2403*N2403)</f>
        <v/>
      </c>
      <c r="L2403" s="7">
        <f>IF($A2403="","",N2403-K2403)</f>
        <v/>
      </c>
      <c r="M2403" s="7">
        <f>IF($A2403="","",L2403-F2403)</f>
        <v/>
      </c>
      <c r="N2403" s="7" t="n"/>
      <c r="Q2403" s="11" t="n"/>
      <c r="S2403">
        <f>IF($A2403="","",IF($W2403=1,Settings!$C$6,Settings!$C$7)*1)</f>
        <v/>
      </c>
      <c r="U2403">
        <f>IF($A2403="","",IF(COUNTIF($A$2:$A2403,$A2403)=1,1,0))</f>
        <v/>
      </c>
      <c r="V2403">
        <f>IF($U2403=1,SUMPRODUCT(--($X$2:$X$3001&lt;$X2403))+1,"")</f>
        <v/>
      </c>
      <c r="W2403">
        <f>IF($A2403="","",IF(OR($T2403=TRUE(),$T2403="TRUE"),1,0))</f>
        <v/>
      </c>
      <c r="X2403">
        <f>IF($U2403=1,IFERROR(IF(VALUE($A2403)&lt;100000000,VALUE($A2403),1000000000),IFERROR(IF(VALUE(MID($A2403,2,20))&lt;100000000,VALUE(MID($A2403,2,20)),1000000000),1000000000))+ROW()/100000,"")</f>
        <v/>
      </c>
    </row>
    <row r="2404">
      <c r="F2404" s="7">
        <f>IF($A2404="","",E2404*N2404/100)</f>
        <v/>
      </c>
      <c r="J2404" s="7" t="n"/>
      <c r="K2404" s="7">
        <f>IF($A2404="","",S2404*N2404)</f>
        <v/>
      </c>
      <c r="L2404" s="7">
        <f>IF($A2404="","",N2404-K2404)</f>
        <v/>
      </c>
      <c r="M2404" s="7">
        <f>IF($A2404="","",L2404-F2404)</f>
        <v/>
      </c>
      <c r="N2404" s="7" t="n"/>
      <c r="Q2404" s="11" t="n"/>
      <c r="S2404">
        <f>IF($A2404="","",IF($W2404=1,Settings!$C$6,Settings!$C$7)*1)</f>
        <v/>
      </c>
      <c r="U2404">
        <f>IF($A2404="","",IF(COUNTIF($A$2:$A2404,$A2404)=1,1,0))</f>
        <v/>
      </c>
      <c r="V2404">
        <f>IF($U2404=1,SUMPRODUCT(--($X$2:$X$3001&lt;$X2404))+1,"")</f>
        <v/>
      </c>
      <c r="W2404">
        <f>IF($A2404="","",IF(OR($T2404=TRUE(),$T2404="TRUE"),1,0))</f>
        <v/>
      </c>
      <c r="X2404">
        <f>IF($U2404=1,IFERROR(IF(VALUE($A2404)&lt;100000000,VALUE($A2404),1000000000),IFERROR(IF(VALUE(MID($A2404,2,20))&lt;100000000,VALUE(MID($A2404,2,20)),1000000000),1000000000))+ROW()/100000,"")</f>
        <v/>
      </c>
    </row>
    <row r="2405">
      <c r="F2405" s="7">
        <f>IF($A2405="","",E2405*N2405/100)</f>
        <v/>
      </c>
      <c r="J2405" s="7" t="n"/>
      <c r="K2405" s="7">
        <f>IF($A2405="","",S2405*N2405)</f>
        <v/>
      </c>
      <c r="L2405" s="7">
        <f>IF($A2405="","",N2405-K2405)</f>
        <v/>
      </c>
      <c r="M2405" s="7">
        <f>IF($A2405="","",L2405-F2405)</f>
        <v/>
      </c>
      <c r="N2405" s="7" t="n"/>
      <c r="Q2405" s="11" t="n"/>
      <c r="S2405">
        <f>IF($A2405="","",IF($W2405=1,Settings!$C$6,Settings!$C$7)*1)</f>
        <v/>
      </c>
      <c r="U2405">
        <f>IF($A2405="","",IF(COUNTIF($A$2:$A2405,$A2405)=1,1,0))</f>
        <v/>
      </c>
      <c r="V2405">
        <f>IF($U2405=1,SUMPRODUCT(--($X$2:$X$3001&lt;$X2405))+1,"")</f>
        <v/>
      </c>
      <c r="W2405">
        <f>IF($A2405="","",IF(OR($T2405=TRUE(),$T2405="TRUE"),1,0))</f>
        <v/>
      </c>
      <c r="X2405">
        <f>IF($U2405=1,IFERROR(IF(VALUE($A2405)&lt;100000000,VALUE($A2405),1000000000),IFERROR(IF(VALUE(MID($A2405,2,20))&lt;100000000,VALUE(MID($A2405,2,20)),1000000000),1000000000))+ROW()/100000,"")</f>
        <v/>
      </c>
    </row>
    <row r="2406">
      <c r="F2406" s="7">
        <f>IF($A2406="","",E2406*N2406/100)</f>
        <v/>
      </c>
      <c r="J2406" s="7" t="n"/>
      <c r="K2406" s="7">
        <f>IF($A2406="","",S2406*N2406)</f>
        <v/>
      </c>
      <c r="L2406" s="7">
        <f>IF($A2406="","",N2406-K2406)</f>
        <v/>
      </c>
      <c r="M2406" s="7">
        <f>IF($A2406="","",L2406-F2406)</f>
        <v/>
      </c>
      <c r="N2406" s="7" t="n"/>
      <c r="Q2406" s="11" t="n"/>
      <c r="S2406">
        <f>IF($A2406="","",IF($W2406=1,Settings!$C$6,Settings!$C$7)*1)</f>
        <v/>
      </c>
      <c r="U2406">
        <f>IF($A2406="","",IF(COUNTIF($A$2:$A2406,$A2406)=1,1,0))</f>
        <v/>
      </c>
      <c r="V2406">
        <f>IF($U2406=1,SUMPRODUCT(--($X$2:$X$3001&lt;$X2406))+1,"")</f>
        <v/>
      </c>
      <c r="W2406">
        <f>IF($A2406="","",IF(OR($T2406=TRUE(),$T2406="TRUE"),1,0))</f>
        <v/>
      </c>
      <c r="X2406">
        <f>IF($U2406=1,IFERROR(IF(VALUE($A2406)&lt;100000000,VALUE($A2406),1000000000),IFERROR(IF(VALUE(MID($A2406,2,20))&lt;100000000,VALUE(MID($A2406,2,20)),1000000000),1000000000))+ROW()/100000,"")</f>
        <v/>
      </c>
    </row>
    <row r="2407">
      <c r="F2407" s="7">
        <f>IF($A2407="","",E2407*N2407/100)</f>
        <v/>
      </c>
      <c r="J2407" s="7" t="n"/>
      <c r="K2407" s="7">
        <f>IF($A2407="","",S2407*N2407)</f>
        <v/>
      </c>
      <c r="L2407" s="7">
        <f>IF($A2407="","",N2407-K2407)</f>
        <v/>
      </c>
      <c r="M2407" s="7">
        <f>IF($A2407="","",L2407-F2407)</f>
        <v/>
      </c>
      <c r="N2407" s="7" t="n"/>
      <c r="Q2407" s="11" t="n"/>
      <c r="S2407">
        <f>IF($A2407="","",IF($W2407=1,Settings!$C$6,Settings!$C$7)*1)</f>
        <v/>
      </c>
      <c r="U2407">
        <f>IF($A2407="","",IF(COUNTIF($A$2:$A2407,$A2407)=1,1,0))</f>
        <v/>
      </c>
      <c r="V2407">
        <f>IF($U2407=1,SUMPRODUCT(--($X$2:$X$3001&lt;$X2407))+1,"")</f>
        <v/>
      </c>
      <c r="W2407">
        <f>IF($A2407="","",IF(OR($T2407=TRUE(),$T2407="TRUE"),1,0))</f>
        <v/>
      </c>
      <c r="X2407">
        <f>IF($U2407=1,IFERROR(IF(VALUE($A2407)&lt;100000000,VALUE($A2407),1000000000),IFERROR(IF(VALUE(MID($A2407,2,20))&lt;100000000,VALUE(MID($A2407,2,20)),1000000000),1000000000))+ROW()/100000,"")</f>
        <v/>
      </c>
    </row>
    <row r="2408">
      <c r="F2408" s="7">
        <f>IF($A2408="","",E2408*N2408/100)</f>
        <v/>
      </c>
      <c r="J2408" s="7" t="n"/>
      <c r="K2408" s="7">
        <f>IF($A2408="","",S2408*N2408)</f>
        <v/>
      </c>
      <c r="L2408" s="7">
        <f>IF($A2408="","",N2408-K2408)</f>
        <v/>
      </c>
      <c r="M2408" s="7">
        <f>IF($A2408="","",L2408-F2408)</f>
        <v/>
      </c>
      <c r="N2408" s="7" t="n"/>
      <c r="Q2408" s="11" t="n"/>
      <c r="S2408">
        <f>IF($A2408="","",IF($W2408=1,Settings!$C$6,Settings!$C$7)*1)</f>
        <v/>
      </c>
      <c r="U2408">
        <f>IF($A2408="","",IF(COUNTIF($A$2:$A2408,$A2408)=1,1,0))</f>
        <v/>
      </c>
      <c r="V2408">
        <f>IF($U2408=1,SUMPRODUCT(--($X$2:$X$3001&lt;$X2408))+1,"")</f>
        <v/>
      </c>
      <c r="W2408">
        <f>IF($A2408="","",IF(OR($T2408=TRUE(),$T2408="TRUE"),1,0))</f>
        <v/>
      </c>
      <c r="X2408">
        <f>IF($U2408=1,IFERROR(IF(VALUE($A2408)&lt;100000000,VALUE($A2408),1000000000),IFERROR(IF(VALUE(MID($A2408,2,20))&lt;100000000,VALUE(MID($A2408,2,20)),1000000000),1000000000))+ROW()/100000,"")</f>
        <v/>
      </c>
    </row>
    <row r="2409">
      <c r="F2409" s="7">
        <f>IF($A2409="","",E2409*N2409/100)</f>
        <v/>
      </c>
      <c r="J2409" s="7" t="n"/>
      <c r="K2409" s="7">
        <f>IF($A2409="","",S2409*N2409)</f>
        <v/>
      </c>
      <c r="L2409" s="7">
        <f>IF($A2409="","",N2409-K2409)</f>
        <v/>
      </c>
      <c r="M2409" s="7">
        <f>IF($A2409="","",L2409-F2409)</f>
        <v/>
      </c>
      <c r="N2409" s="7" t="n"/>
      <c r="Q2409" s="11" t="n"/>
      <c r="S2409">
        <f>IF($A2409="","",IF($W2409=1,Settings!$C$6,Settings!$C$7)*1)</f>
        <v/>
      </c>
      <c r="U2409">
        <f>IF($A2409="","",IF(COUNTIF($A$2:$A2409,$A2409)=1,1,0))</f>
        <v/>
      </c>
      <c r="V2409">
        <f>IF($U2409=1,SUMPRODUCT(--($X$2:$X$3001&lt;$X2409))+1,"")</f>
        <v/>
      </c>
      <c r="W2409">
        <f>IF($A2409="","",IF(OR($T2409=TRUE(),$T2409="TRUE"),1,0))</f>
        <v/>
      </c>
      <c r="X2409">
        <f>IF($U2409=1,IFERROR(IF(VALUE($A2409)&lt;100000000,VALUE($A2409),1000000000),IFERROR(IF(VALUE(MID($A2409,2,20))&lt;100000000,VALUE(MID($A2409,2,20)),1000000000),1000000000))+ROW()/100000,"")</f>
        <v/>
      </c>
    </row>
    <row r="2410">
      <c r="F2410" s="7">
        <f>IF($A2410="","",E2410*N2410/100)</f>
        <v/>
      </c>
      <c r="J2410" s="7" t="n"/>
      <c r="K2410" s="7">
        <f>IF($A2410="","",S2410*N2410)</f>
        <v/>
      </c>
      <c r="L2410" s="7">
        <f>IF($A2410="","",N2410-K2410)</f>
        <v/>
      </c>
      <c r="M2410" s="7">
        <f>IF($A2410="","",L2410-F2410)</f>
        <v/>
      </c>
      <c r="N2410" s="7" t="n"/>
      <c r="Q2410" s="11" t="n"/>
      <c r="S2410">
        <f>IF($A2410="","",IF($W2410=1,Settings!$C$6,Settings!$C$7)*1)</f>
        <v/>
      </c>
      <c r="U2410">
        <f>IF($A2410="","",IF(COUNTIF($A$2:$A2410,$A2410)=1,1,0))</f>
        <v/>
      </c>
      <c r="V2410">
        <f>IF($U2410=1,SUMPRODUCT(--($X$2:$X$3001&lt;$X2410))+1,"")</f>
        <v/>
      </c>
      <c r="W2410">
        <f>IF($A2410="","",IF(OR($T2410=TRUE(),$T2410="TRUE"),1,0))</f>
        <v/>
      </c>
      <c r="X2410">
        <f>IF($U2410=1,IFERROR(IF(VALUE($A2410)&lt;100000000,VALUE($A2410),1000000000),IFERROR(IF(VALUE(MID($A2410,2,20))&lt;100000000,VALUE(MID($A2410,2,20)),1000000000),1000000000))+ROW()/100000,"")</f>
        <v/>
      </c>
    </row>
    <row r="2411">
      <c r="F2411" s="7">
        <f>IF($A2411="","",E2411*N2411/100)</f>
        <v/>
      </c>
      <c r="J2411" s="7" t="n"/>
      <c r="K2411" s="7">
        <f>IF($A2411="","",S2411*N2411)</f>
        <v/>
      </c>
      <c r="L2411" s="7">
        <f>IF($A2411="","",N2411-K2411)</f>
        <v/>
      </c>
      <c r="M2411" s="7">
        <f>IF($A2411="","",L2411-F2411)</f>
        <v/>
      </c>
      <c r="N2411" s="7" t="n"/>
      <c r="Q2411" s="11" t="n"/>
      <c r="S2411">
        <f>IF($A2411="","",IF($W2411=1,Settings!$C$6,Settings!$C$7)*1)</f>
        <v/>
      </c>
      <c r="U2411">
        <f>IF($A2411="","",IF(COUNTIF($A$2:$A2411,$A2411)=1,1,0))</f>
        <v/>
      </c>
      <c r="V2411">
        <f>IF($U2411=1,SUMPRODUCT(--($X$2:$X$3001&lt;$X2411))+1,"")</f>
        <v/>
      </c>
      <c r="W2411">
        <f>IF($A2411="","",IF(OR($T2411=TRUE(),$T2411="TRUE"),1,0))</f>
        <v/>
      </c>
      <c r="X2411">
        <f>IF($U2411=1,IFERROR(IF(VALUE($A2411)&lt;100000000,VALUE($A2411),1000000000),IFERROR(IF(VALUE(MID($A2411,2,20))&lt;100000000,VALUE(MID($A2411,2,20)),1000000000),1000000000))+ROW()/100000,"")</f>
        <v/>
      </c>
    </row>
    <row r="2412">
      <c r="F2412" s="7">
        <f>IF($A2412="","",E2412*N2412/100)</f>
        <v/>
      </c>
      <c r="J2412" s="7" t="n"/>
      <c r="K2412" s="7">
        <f>IF($A2412="","",S2412*N2412)</f>
        <v/>
      </c>
      <c r="L2412" s="7">
        <f>IF($A2412="","",N2412-K2412)</f>
        <v/>
      </c>
      <c r="M2412" s="7">
        <f>IF($A2412="","",L2412-F2412)</f>
        <v/>
      </c>
      <c r="N2412" s="7" t="n"/>
      <c r="Q2412" s="11" t="n"/>
      <c r="S2412">
        <f>IF($A2412="","",IF($W2412=1,Settings!$C$6,Settings!$C$7)*1)</f>
        <v/>
      </c>
      <c r="U2412">
        <f>IF($A2412="","",IF(COUNTIF($A$2:$A2412,$A2412)=1,1,0))</f>
        <v/>
      </c>
      <c r="V2412">
        <f>IF($U2412=1,SUMPRODUCT(--($X$2:$X$3001&lt;$X2412))+1,"")</f>
        <v/>
      </c>
      <c r="W2412">
        <f>IF($A2412="","",IF(OR($T2412=TRUE(),$T2412="TRUE"),1,0))</f>
        <v/>
      </c>
      <c r="X2412">
        <f>IF($U2412=1,IFERROR(IF(VALUE($A2412)&lt;100000000,VALUE($A2412),1000000000),IFERROR(IF(VALUE(MID($A2412,2,20))&lt;100000000,VALUE(MID($A2412,2,20)),1000000000),1000000000))+ROW()/100000,"")</f>
        <v/>
      </c>
    </row>
    <row r="2413">
      <c r="F2413" s="7">
        <f>IF($A2413="","",E2413*N2413/100)</f>
        <v/>
      </c>
      <c r="J2413" s="7" t="n"/>
      <c r="K2413" s="7">
        <f>IF($A2413="","",S2413*N2413)</f>
        <v/>
      </c>
      <c r="L2413" s="7">
        <f>IF($A2413="","",N2413-K2413)</f>
        <v/>
      </c>
      <c r="M2413" s="7">
        <f>IF($A2413="","",L2413-F2413)</f>
        <v/>
      </c>
      <c r="N2413" s="7" t="n"/>
      <c r="Q2413" s="11" t="n"/>
      <c r="S2413">
        <f>IF($A2413="","",IF($W2413=1,Settings!$C$6,Settings!$C$7)*1)</f>
        <v/>
      </c>
      <c r="U2413">
        <f>IF($A2413="","",IF(COUNTIF($A$2:$A2413,$A2413)=1,1,0))</f>
        <v/>
      </c>
      <c r="V2413">
        <f>IF($U2413=1,SUMPRODUCT(--($X$2:$X$3001&lt;$X2413))+1,"")</f>
        <v/>
      </c>
      <c r="W2413">
        <f>IF($A2413="","",IF(OR($T2413=TRUE(),$T2413="TRUE"),1,0))</f>
        <v/>
      </c>
      <c r="X2413">
        <f>IF($U2413=1,IFERROR(IF(VALUE($A2413)&lt;100000000,VALUE($A2413),1000000000),IFERROR(IF(VALUE(MID($A2413,2,20))&lt;100000000,VALUE(MID($A2413,2,20)),1000000000),1000000000))+ROW()/100000,"")</f>
        <v/>
      </c>
    </row>
    <row r="2414">
      <c r="F2414" s="7">
        <f>IF($A2414="","",E2414*N2414/100)</f>
        <v/>
      </c>
      <c r="J2414" s="7" t="n"/>
      <c r="K2414" s="7">
        <f>IF($A2414="","",S2414*N2414)</f>
        <v/>
      </c>
      <c r="L2414" s="7">
        <f>IF($A2414="","",N2414-K2414)</f>
        <v/>
      </c>
      <c r="M2414" s="7">
        <f>IF($A2414="","",L2414-F2414)</f>
        <v/>
      </c>
      <c r="N2414" s="7" t="n"/>
      <c r="Q2414" s="11" t="n"/>
      <c r="S2414">
        <f>IF($A2414="","",IF($W2414=1,Settings!$C$6,Settings!$C$7)*1)</f>
        <v/>
      </c>
      <c r="U2414">
        <f>IF($A2414="","",IF(COUNTIF($A$2:$A2414,$A2414)=1,1,0))</f>
        <v/>
      </c>
      <c r="V2414">
        <f>IF($U2414=1,SUMPRODUCT(--($X$2:$X$3001&lt;$X2414))+1,"")</f>
        <v/>
      </c>
      <c r="W2414">
        <f>IF($A2414="","",IF(OR($T2414=TRUE(),$T2414="TRUE"),1,0))</f>
        <v/>
      </c>
      <c r="X2414">
        <f>IF($U2414=1,IFERROR(IF(VALUE($A2414)&lt;100000000,VALUE($A2414),1000000000),IFERROR(IF(VALUE(MID($A2414,2,20))&lt;100000000,VALUE(MID($A2414,2,20)),1000000000),1000000000))+ROW()/100000,"")</f>
        <v/>
      </c>
    </row>
    <row r="2415">
      <c r="F2415" s="7">
        <f>IF($A2415="","",E2415*N2415/100)</f>
        <v/>
      </c>
      <c r="J2415" s="7" t="n"/>
      <c r="K2415" s="7">
        <f>IF($A2415="","",S2415*N2415)</f>
        <v/>
      </c>
      <c r="L2415" s="7">
        <f>IF($A2415="","",N2415-K2415)</f>
        <v/>
      </c>
      <c r="M2415" s="7">
        <f>IF($A2415="","",L2415-F2415)</f>
        <v/>
      </c>
      <c r="N2415" s="7" t="n"/>
      <c r="Q2415" s="11" t="n"/>
      <c r="S2415">
        <f>IF($A2415="","",IF($W2415=1,Settings!$C$6,Settings!$C$7)*1)</f>
        <v/>
      </c>
      <c r="U2415">
        <f>IF($A2415="","",IF(COUNTIF($A$2:$A2415,$A2415)=1,1,0))</f>
        <v/>
      </c>
      <c r="V2415">
        <f>IF($U2415=1,SUMPRODUCT(--($X$2:$X$3001&lt;$X2415))+1,"")</f>
        <v/>
      </c>
      <c r="W2415">
        <f>IF($A2415="","",IF(OR($T2415=TRUE(),$T2415="TRUE"),1,0))</f>
        <v/>
      </c>
      <c r="X2415">
        <f>IF($U2415=1,IFERROR(IF(VALUE($A2415)&lt;100000000,VALUE($A2415),1000000000),IFERROR(IF(VALUE(MID($A2415,2,20))&lt;100000000,VALUE(MID($A2415,2,20)),1000000000),1000000000))+ROW()/100000,"")</f>
        <v/>
      </c>
    </row>
    <row r="2416">
      <c r="F2416" s="7">
        <f>IF($A2416="","",E2416*N2416/100)</f>
        <v/>
      </c>
      <c r="J2416" s="7" t="n"/>
      <c r="K2416" s="7">
        <f>IF($A2416="","",S2416*N2416)</f>
        <v/>
      </c>
      <c r="L2416" s="7">
        <f>IF($A2416="","",N2416-K2416)</f>
        <v/>
      </c>
      <c r="M2416" s="7">
        <f>IF($A2416="","",L2416-F2416)</f>
        <v/>
      </c>
      <c r="N2416" s="7" t="n"/>
      <c r="Q2416" s="11" t="n"/>
      <c r="S2416">
        <f>IF($A2416="","",IF($W2416=1,Settings!$C$6,Settings!$C$7)*1)</f>
        <v/>
      </c>
      <c r="U2416">
        <f>IF($A2416="","",IF(COUNTIF($A$2:$A2416,$A2416)=1,1,0))</f>
        <v/>
      </c>
      <c r="V2416">
        <f>IF($U2416=1,SUMPRODUCT(--($X$2:$X$3001&lt;$X2416))+1,"")</f>
        <v/>
      </c>
      <c r="W2416">
        <f>IF($A2416="","",IF(OR($T2416=TRUE(),$T2416="TRUE"),1,0))</f>
        <v/>
      </c>
      <c r="X2416">
        <f>IF($U2416=1,IFERROR(IF(VALUE($A2416)&lt;100000000,VALUE($A2416),1000000000),IFERROR(IF(VALUE(MID($A2416,2,20))&lt;100000000,VALUE(MID($A2416,2,20)),1000000000),1000000000))+ROW()/100000,"")</f>
        <v/>
      </c>
    </row>
    <row r="2417">
      <c r="F2417" s="7">
        <f>IF($A2417="","",E2417*N2417/100)</f>
        <v/>
      </c>
      <c r="J2417" s="7" t="n"/>
      <c r="K2417" s="7">
        <f>IF($A2417="","",S2417*N2417)</f>
        <v/>
      </c>
      <c r="L2417" s="7">
        <f>IF($A2417="","",N2417-K2417)</f>
        <v/>
      </c>
      <c r="M2417" s="7">
        <f>IF($A2417="","",L2417-F2417)</f>
        <v/>
      </c>
      <c r="N2417" s="7" t="n"/>
      <c r="Q2417" s="11" t="n"/>
      <c r="S2417">
        <f>IF($A2417="","",IF($W2417=1,Settings!$C$6,Settings!$C$7)*1)</f>
        <v/>
      </c>
      <c r="U2417">
        <f>IF($A2417="","",IF(COUNTIF($A$2:$A2417,$A2417)=1,1,0))</f>
        <v/>
      </c>
      <c r="V2417">
        <f>IF($U2417=1,SUMPRODUCT(--($X$2:$X$3001&lt;$X2417))+1,"")</f>
        <v/>
      </c>
      <c r="W2417">
        <f>IF($A2417="","",IF(OR($T2417=TRUE(),$T2417="TRUE"),1,0))</f>
        <v/>
      </c>
      <c r="X2417">
        <f>IF($U2417=1,IFERROR(IF(VALUE($A2417)&lt;100000000,VALUE($A2417),1000000000),IFERROR(IF(VALUE(MID($A2417,2,20))&lt;100000000,VALUE(MID($A2417,2,20)),1000000000),1000000000))+ROW()/100000,"")</f>
        <v/>
      </c>
    </row>
    <row r="2418">
      <c r="F2418" s="7">
        <f>IF($A2418="","",E2418*N2418/100)</f>
        <v/>
      </c>
      <c r="J2418" s="7" t="n"/>
      <c r="K2418" s="7">
        <f>IF($A2418="","",S2418*N2418)</f>
        <v/>
      </c>
      <c r="L2418" s="7">
        <f>IF($A2418="","",N2418-K2418)</f>
        <v/>
      </c>
      <c r="M2418" s="7">
        <f>IF($A2418="","",L2418-F2418)</f>
        <v/>
      </c>
      <c r="N2418" s="7" t="n"/>
      <c r="Q2418" s="11" t="n"/>
      <c r="S2418">
        <f>IF($A2418="","",IF($W2418=1,Settings!$C$6,Settings!$C$7)*1)</f>
        <v/>
      </c>
      <c r="U2418">
        <f>IF($A2418="","",IF(COUNTIF($A$2:$A2418,$A2418)=1,1,0))</f>
        <v/>
      </c>
      <c r="V2418">
        <f>IF($U2418=1,SUMPRODUCT(--($X$2:$X$3001&lt;$X2418))+1,"")</f>
        <v/>
      </c>
      <c r="W2418">
        <f>IF($A2418="","",IF(OR($T2418=TRUE(),$T2418="TRUE"),1,0))</f>
        <v/>
      </c>
      <c r="X2418">
        <f>IF($U2418=1,IFERROR(IF(VALUE($A2418)&lt;100000000,VALUE($A2418),1000000000),IFERROR(IF(VALUE(MID($A2418,2,20))&lt;100000000,VALUE(MID($A2418,2,20)),1000000000),1000000000))+ROW()/100000,"")</f>
        <v/>
      </c>
    </row>
    <row r="2419">
      <c r="F2419" s="7">
        <f>IF($A2419="","",E2419*N2419/100)</f>
        <v/>
      </c>
      <c r="J2419" s="7" t="n"/>
      <c r="K2419" s="7">
        <f>IF($A2419="","",S2419*N2419)</f>
        <v/>
      </c>
      <c r="L2419" s="7">
        <f>IF($A2419="","",N2419-K2419)</f>
        <v/>
      </c>
      <c r="M2419" s="7">
        <f>IF($A2419="","",L2419-F2419)</f>
        <v/>
      </c>
      <c r="N2419" s="7" t="n"/>
      <c r="Q2419" s="11" t="n"/>
      <c r="S2419">
        <f>IF($A2419="","",IF($W2419=1,Settings!$C$6,Settings!$C$7)*1)</f>
        <v/>
      </c>
      <c r="U2419">
        <f>IF($A2419="","",IF(COUNTIF($A$2:$A2419,$A2419)=1,1,0))</f>
        <v/>
      </c>
      <c r="V2419">
        <f>IF($U2419=1,SUMPRODUCT(--($X$2:$X$3001&lt;$X2419))+1,"")</f>
        <v/>
      </c>
      <c r="W2419">
        <f>IF($A2419="","",IF(OR($T2419=TRUE(),$T2419="TRUE"),1,0))</f>
        <v/>
      </c>
      <c r="X2419">
        <f>IF($U2419=1,IFERROR(IF(VALUE($A2419)&lt;100000000,VALUE($A2419),1000000000),IFERROR(IF(VALUE(MID($A2419,2,20))&lt;100000000,VALUE(MID($A2419,2,20)),1000000000),1000000000))+ROW()/100000,"")</f>
        <v/>
      </c>
    </row>
    <row r="2420">
      <c r="F2420" s="7">
        <f>IF($A2420="","",E2420*N2420/100)</f>
        <v/>
      </c>
      <c r="J2420" s="7" t="n"/>
      <c r="K2420" s="7">
        <f>IF($A2420="","",S2420*N2420)</f>
        <v/>
      </c>
      <c r="L2420" s="7">
        <f>IF($A2420="","",N2420-K2420)</f>
        <v/>
      </c>
      <c r="M2420" s="7">
        <f>IF($A2420="","",L2420-F2420)</f>
        <v/>
      </c>
      <c r="N2420" s="7" t="n"/>
      <c r="Q2420" s="11" t="n"/>
      <c r="S2420">
        <f>IF($A2420="","",IF($W2420=1,Settings!$C$6,Settings!$C$7)*1)</f>
        <v/>
      </c>
      <c r="U2420">
        <f>IF($A2420="","",IF(COUNTIF($A$2:$A2420,$A2420)=1,1,0))</f>
        <v/>
      </c>
      <c r="V2420">
        <f>IF($U2420=1,SUMPRODUCT(--($X$2:$X$3001&lt;$X2420))+1,"")</f>
        <v/>
      </c>
      <c r="W2420">
        <f>IF($A2420="","",IF(OR($T2420=TRUE(),$T2420="TRUE"),1,0))</f>
        <v/>
      </c>
      <c r="X2420">
        <f>IF($U2420=1,IFERROR(IF(VALUE($A2420)&lt;100000000,VALUE($A2420),1000000000),IFERROR(IF(VALUE(MID($A2420,2,20))&lt;100000000,VALUE(MID($A2420,2,20)),1000000000),1000000000))+ROW()/100000,"")</f>
        <v/>
      </c>
    </row>
    <row r="2421">
      <c r="F2421" s="7">
        <f>IF($A2421="","",E2421*N2421/100)</f>
        <v/>
      </c>
      <c r="J2421" s="7" t="n"/>
      <c r="K2421" s="7">
        <f>IF($A2421="","",S2421*N2421)</f>
        <v/>
      </c>
      <c r="L2421" s="7">
        <f>IF($A2421="","",N2421-K2421)</f>
        <v/>
      </c>
      <c r="M2421" s="7">
        <f>IF($A2421="","",L2421-F2421)</f>
        <v/>
      </c>
      <c r="N2421" s="7" t="n"/>
      <c r="Q2421" s="11" t="n"/>
      <c r="S2421">
        <f>IF($A2421="","",IF($W2421=1,Settings!$C$6,Settings!$C$7)*1)</f>
        <v/>
      </c>
      <c r="U2421">
        <f>IF($A2421="","",IF(COUNTIF($A$2:$A2421,$A2421)=1,1,0))</f>
        <v/>
      </c>
      <c r="V2421">
        <f>IF($U2421=1,SUMPRODUCT(--($X$2:$X$3001&lt;$X2421))+1,"")</f>
        <v/>
      </c>
      <c r="W2421">
        <f>IF($A2421="","",IF(OR($T2421=TRUE(),$T2421="TRUE"),1,0))</f>
        <v/>
      </c>
      <c r="X2421">
        <f>IF($U2421=1,IFERROR(IF(VALUE($A2421)&lt;100000000,VALUE($A2421),1000000000),IFERROR(IF(VALUE(MID($A2421,2,20))&lt;100000000,VALUE(MID($A2421,2,20)),1000000000),1000000000))+ROW()/100000,"")</f>
        <v/>
      </c>
    </row>
    <row r="2422">
      <c r="F2422" s="7">
        <f>IF($A2422="","",E2422*N2422/100)</f>
        <v/>
      </c>
      <c r="J2422" s="7" t="n"/>
      <c r="K2422" s="7">
        <f>IF($A2422="","",S2422*N2422)</f>
        <v/>
      </c>
      <c r="L2422" s="7">
        <f>IF($A2422="","",N2422-K2422)</f>
        <v/>
      </c>
      <c r="M2422" s="7">
        <f>IF($A2422="","",L2422-F2422)</f>
        <v/>
      </c>
      <c r="N2422" s="7" t="n"/>
      <c r="Q2422" s="11" t="n"/>
      <c r="S2422">
        <f>IF($A2422="","",IF($W2422=1,Settings!$C$6,Settings!$C$7)*1)</f>
        <v/>
      </c>
      <c r="U2422">
        <f>IF($A2422="","",IF(COUNTIF($A$2:$A2422,$A2422)=1,1,0))</f>
        <v/>
      </c>
      <c r="V2422">
        <f>IF($U2422=1,SUMPRODUCT(--($X$2:$X$3001&lt;$X2422))+1,"")</f>
        <v/>
      </c>
      <c r="W2422">
        <f>IF($A2422="","",IF(OR($T2422=TRUE(),$T2422="TRUE"),1,0))</f>
        <v/>
      </c>
      <c r="X2422">
        <f>IF($U2422=1,IFERROR(IF(VALUE($A2422)&lt;100000000,VALUE($A2422),1000000000),IFERROR(IF(VALUE(MID($A2422,2,20))&lt;100000000,VALUE(MID($A2422,2,20)),1000000000),1000000000))+ROW()/100000,"")</f>
        <v/>
      </c>
    </row>
    <row r="2423">
      <c r="F2423" s="7">
        <f>IF($A2423="","",E2423*N2423/100)</f>
        <v/>
      </c>
      <c r="J2423" s="7" t="n"/>
      <c r="K2423" s="7">
        <f>IF($A2423="","",S2423*N2423)</f>
        <v/>
      </c>
      <c r="L2423" s="7">
        <f>IF($A2423="","",N2423-K2423)</f>
        <v/>
      </c>
      <c r="M2423" s="7">
        <f>IF($A2423="","",L2423-F2423)</f>
        <v/>
      </c>
      <c r="N2423" s="7" t="n"/>
      <c r="Q2423" s="11" t="n"/>
      <c r="S2423">
        <f>IF($A2423="","",IF($W2423=1,Settings!$C$6,Settings!$C$7)*1)</f>
        <v/>
      </c>
      <c r="U2423">
        <f>IF($A2423="","",IF(COUNTIF($A$2:$A2423,$A2423)=1,1,0))</f>
        <v/>
      </c>
      <c r="V2423">
        <f>IF($U2423=1,SUMPRODUCT(--($X$2:$X$3001&lt;$X2423))+1,"")</f>
        <v/>
      </c>
      <c r="W2423">
        <f>IF($A2423="","",IF(OR($T2423=TRUE(),$T2423="TRUE"),1,0))</f>
        <v/>
      </c>
      <c r="X2423">
        <f>IF($U2423=1,IFERROR(IF(VALUE($A2423)&lt;100000000,VALUE($A2423),1000000000),IFERROR(IF(VALUE(MID($A2423,2,20))&lt;100000000,VALUE(MID($A2423,2,20)),1000000000),1000000000))+ROW()/100000,"")</f>
        <v/>
      </c>
    </row>
    <row r="2424">
      <c r="F2424" s="7">
        <f>IF($A2424="","",E2424*N2424/100)</f>
        <v/>
      </c>
      <c r="J2424" s="7" t="n"/>
      <c r="K2424" s="7">
        <f>IF($A2424="","",S2424*N2424)</f>
        <v/>
      </c>
      <c r="L2424" s="7">
        <f>IF($A2424="","",N2424-K2424)</f>
        <v/>
      </c>
      <c r="M2424" s="7">
        <f>IF($A2424="","",L2424-F2424)</f>
        <v/>
      </c>
      <c r="N2424" s="7" t="n"/>
      <c r="Q2424" s="11" t="n"/>
      <c r="S2424">
        <f>IF($A2424="","",IF($W2424=1,Settings!$C$6,Settings!$C$7)*1)</f>
        <v/>
      </c>
      <c r="U2424">
        <f>IF($A2424="","",IF(COUNTIF($A$2:$A2424,$A2424)=1,1,0))</f>
        <v/>
      </c>
      <c r="V2424">
        <f>IF($U2424=1,SUMPRODUCT(--($X$2:$X$3001&lt;$X2424))+1,"")</f>
        <v/>
      </c>
      <c r="W2424">
        <f>IF($A2424="","",IF(OR($T2424=TRUE(),$T2424="TRUE"),1,0))</f>
        <v/>
      </c>
      <c r="X2424">
        <f>IF($U2424=1,IFERROR(IF(VALUE($A2424)&lt;100000000,VALUE($A2424),1000000000),IFERROR(IF(VALUE(MID($A2424,2,20))&lt;100000000,VALUE(MID($A2424,2,20)),1000000000),1000000000))+ROW()/100000,"")</f>
        <v/>
      </c>
    </row>
    <row r="2425">
      <c r="F2425" s="7">
        <f>IF($A2425="","",E2425*N2425/100)</f>
        <v/>
      </c>
      <c r="J2425" s="7" t="n"/>
      <c r="K2425" s="7">
        <f>IF($A2425="","",S2425*N2425)</f>
        <v/>
      </c>
      <c r="L2425" s="7">
        <f>IF($A2425="","",N2425-K2425)</f>
        <v/>
      </c>
      <c r="M2425" s="7">
        <f>IF($A2425="","",L2425-F2425)</f>
        <v/>
      </c>
      <c r="N2425" s="7" t="n"/>
      <c r="Q2425" s="11" t="n"/>
      <c r="S2425">
        <f>IF($A2425="","",IF($W2425=1,Settings!$C$6,Settings!$C$7)*1)</f>
        <v/>
      </c>
      <c r="U2425">
        <f>IF($A2425="","",IF(COUNTIF($A$2:$A2425,$A2425)=1,1,0))</f>
        <v/>
      </c>
      <c r="V2425">
        <f>IF($U2425=1,SUMPRODUCT(--($X$2:$X$3001&lt;$X2425))+1,"")</f>
        <v/>
      </c>
      <c r="W2425">
        <f>IF($A2425="","",IF(OR($T2425=TRUE(),$T2425="TRUE"),1,0))</f>
        <v/>
      </c>
      <c r="X2425">
        <f>IF($U2425=1,IFERROR(IF(VALUE($A2425)&lt;100000000,VALUE($A2425),1000000000),IFERROR(IF(VALUE(MID($A2425,2,20))&lt;100000000,VALUE(MID($A2425,2,20)),1000000000),1000000000))+ROW()/100000,"")</f>
        <v/>
      </c>
    </row>
    <row r="2426">
      <c r="F2426" s="7">
        <f>IF($A2426="","",E2426*N2426/100)</f>
        <v/>
      </c>
      <c r="J2426" s="7" t="n"/>
      <c r="K2426" s="7">
        <f>IF($A2426="","",S2426*N2426)</f>
        <v/>
      </c>
      <c r="L2426" s="7">
        <f>IF($A2426="","",N2426-K2426)</f>
        <v/>
      </c>
      <c r="M2426" s="7">
        <f>IF($A2426="","",L2426-F2426)</f>
        <v/>
      </c>
      <c r="N2426" s="7" t="n"/>
      <c r="Q2426" s="11" t="n"/>
      <c r="S2426">
        <f>IF($A2426="","",IF($W2426=1,Settings!$C$6,Settings!$C$7)*1)</f>
        <v/>
      </c>
      <c r="U2426">
        <f>IF($A2426="","",IF(COUNTIF($A$2:$A2426,$A2426)=1,1,0))</f>
        <v/>
      </c>
      <c r="V2426">
        <f>IF($U2426=1,SUMPRODUCT(--($X$2:$X$3001&lt;$X2426))+1,"")</f>
        <v/>
      </c>
      <c r="W2426">
        <f>IF($A2426="","",IF(OR($T2426=TRUE(),$T2426="TRUE"),1,0))</f>
        <v/>
      </c>
      <c r="X2426">
        <f>IF($U2426=1,IFERROR(IF(VALUE($A2426)&lt;100000000,VALUE($A2426),1000000000),IFERROR(IF(VALUE(MID($A2426,2,20))&lt;100000000,VALUE(MID($A2426,2,20)),1000000000),1000000000))+ROW()/100000,"")</f>
        <v/>
      </c>
    </row>
    <row r="2427">
      <c r="F2427" s="7">
        <f>IF($A2427="","",E2427*N2427/100)</f>
        <v/>
      </c>
      <c r="J2427" s="7" t="n"/>
      <c r="K2427" s="7">
        <f>IF($A2427="","",S2427*N2427)</f>
        <v/>
      </c>
      <c r="L2427" s="7">
        <f>IF($A2427="","",N2427-K2427)</f>
        <v/>
      </c>
      <c r="M2427" s="7">
        <f>IF($A2427="","",L2427-F2427)</f>
        <v/>
      </c>
      <c r="N2427" s="7" t="n"/>
      <c r="Q2427" s="11" t="n"/>
      <c r="S2427">
        <f>IF($A2427="","",IF($W2427=1,Settings!$C$6,Settings!$C$7)*1)</f>
        <v/>
      </c>
      <c r="U2427">
        <f>IF($A2427="","",IF(COUNTIF($A$2:$A2427,$A2427)=1,1,0))</f>
        <v/>
      </c>
      <c r="V2427">
        <f>IF($U2427=1,SUMPRODUCT(--($X$2:$X$3001&lt;$X2427))+1,"")</f>
        <v/>
      </c>
      <c r="W2427">
        <f>IF($A2427="","",IF(OR($T2427=TRUE(),$T2427="TRUE"),1,0))</f>
        <v/>
      </c>
      <c r="X2427">
        <f>IF($U2427=1,IFERROR(IF(VALUE($A2427)&lt;100000000,VALUE($A2427),1000000000),IFERROR(IF(VALUE(MID($A2427,2,20))&lt;100000000,VALUE(MID($A2427,2,20)),1000000000),1000000000))+ROW()/100000,"")</f>
        <v/>
      </c>
    </row>
    <row r="2428">
      <c r="F2428" s="7">
        <f>IF($A2428="","",E2428*N2428/100)</f>
        <v/>
      </c>
      <c r="J2428" s="7" t="n"/>
      <c r="K2428" s="7">
        <f>IF($A2428="","",S2428*N2428)</f>
        <v/>
      </c>
      <c r="L2428" s="7">
        <f>IF($A2428="","",N2428-K2428)</f>
        <v/>
      </c>
      <c r="M2428" s="7">
        <f>IF($A2428="","",L2428-F2428)</f>
        <v/>
      </c>
      <c r="N2428" s="7" t="n"/>
      <c r="Q2428" s="11" t="n"/>
      <c r="S2428">
        <f>IF($A2428="","",IF($W2428=1,Settings!$C$6,Settings!$C$7)*1)</f>
        <v/>
      </c>
      <c r="U2428">
        <f>IF($A2428="","",IF(COUNTIF($A$2:$A2428,$A2428)=1,1,0))</f>
        <v/>
      </c>
      <c r="V2428">
        <f>IF($U2428=1,SUMPRODUCT(--($X$2:$X$3001&lt;$X2428))+1,"")</f>
        <v/>
      </c>
      <c r="W2428">
        <f>IF($A2428="","",IF(OR($T2428=TRUE(),$T2428="TRUE"),1,0))</f>
        <v/>
      </c>
      <c r="X2428">
        <f>IF($U2428=1,IFERROR(IF(VALUE($A2428)&lt;100000000,VALUE($A2428),1000000000),IFERROR(IF(VALUE(MID($A2428,2,20))&lt;100000000,VALUE(MID($A2428,2,20)),1000000000),1000000000))+ROW()/100000,"")</f>
        <v/>
      </c>
    </row>
    <row r="2429">
      <c r="F2429" s="7">
        <f>IF($A2429="","",E2429*N2429/100)</f>
        <v/>
      </c>
      <c r="J2429" s="7" t="n"/>
      <c r="K2429" s="7">
        <f>IF($A2429="","",S2429*N2429)</f>
        <v/>
      </c>
      <c r="L2429" s="7">
        <f>IF($A2429="","",N2429-K2429)</f>
        <v/>
      </c>
      <c r="M2429" s="7">
        <f>IF($A2429="","",L2429-F2429)</f>
        <v/>
      </c>
      <c r="N2429" s="7" t="n"/>
      <c r="Q2429" s="11" t="n"/>
      <c r="S2429">
        <f>IF($A2429="","",IF($W2429=1,Settings!$C$6,Settings!$C$7)*1)</f>
        <v/>
      </c>
      <c r="U2429">
        <f>IF($A2429="","",IF(COUNTIF($A$2:$A2429,$A2429)=1,1,0))</f>
        <v/>
      </c>
      <c r="V2429">
        <f>IF($U2429=1,SUMPRODUCT(--($X$2:$X$3001&lt;$X2429))+1,"")</f>
        <v/>
      </c>
      <c r="W2429">
        <f>IF($A2429="","",IF(OR($T2429=TRUE(),$T2429="TRUE"),1,0))</f>
        <v/>
      </c>
      <c r="X2429">
        <f>IF($U2429=1,IFERROR(IF(VALUE($A2429)&lt;100000000,VALUE($A2429),1000000000),IFERROR(IF(VALUE(MID($A2429,2,20))&lt;100000000,VALUE(MID($A2429,2,20)),1000000000),1000000000))+ROW()/100000,"")</f>
        <v/>
      </c>
    </row>
    <row r="2430">
      <c r="F2430" s="7">
        <f>IF($A2430="","",E2430*N2430/100)</f>
        <v/>
      </c>
      <c r="J2430" s="7" t="n"/>
      <c r="K2430" s="7">
        <f>IF($A2430="","",S2430*N2430)</f>
        <v/>
      </c>
      <c r="L2430" s="7">
        <f>IF($A2430="","",N2430-K2430)</f>
        <v/>
      </c>
      <c r="M2430" s="7">
        <f>IF($A2430="","",L2430-F2430)</f>
        <v/>
      </c>
      <c r="N2430" s="7" t="n"/>
      <c r="Q2430" s="11" t="n"/>
      <c r="S2430">
        <f>IF($A2430="","",IF($W2430=1,Settings!$C$6,Settings!$C$7)*1)</f>
        <v/>
      </c>
      <c r="U2430">
        <f>IF($A2430="","",IF(COUNTIF($A$2:$A2430,$A2430)=1,1,0))</f>
        <v/>
      </c>
      <c r="V2430">
        <f>IF($U2430=1,SUMPRODUCT(--($X$2:$X$3001&lt;$X2430))+1,"")</f>
        <v/>
      </c>
      <c r="W2430">
        <f>IF($A2430="","",IF(OR($T2430=TRUE(),$T2430="TRUE"),1,0))</f>
        <v/>
      </c>
      <c r="X2430">
        <f>IF($U2430=1,IFERROR(IF(VALUE($A2430)&lt;100000000,VALUE($A2430),1000000000),IFERROR(IF(VALUE(MID($A2430,2,20))&lt;100000000,VALUE(MID($A2430,2,20)),1000000000),1000000000))+ROW()/100000,"")</f>
        <v/>
      </c>
    </row>
    <row r="2431">
      <c r="F2431" s="7">
        <f>IF($A2431="","",E2431*N2431/100)</f>
        <v/>
      </c>
      <c r="J2431" s="7" t="n"/>
      <c r="K2431" s="7">
        <f>IF($A2431="","",S2431*N2431)</f>
        <v/>
      </c>
      <c r="L2431" s="7">
        <f>IF($A2431="","",N2431-K2431)</f>
        <v/>
      </c>
      <c r="M2431" s="7">
        <f>IF($A2431="","",L2431-F2431)</f>
        <v/>
      </c>
      <c r="N2431" s="7" t="n"/>
      <c r="Q2431" s="11" t="n"/>
      <c r="S2431">
        <f>IF($A2431="","",IF($W2431=1,Settings!$C$6,Settings!$C$7)*1)</f>
        <v/>
      </c>
      <c r="U2431">
        <f>IF($A2431="","",IF(COUNTIF($A$2:$A2431,$A2431)=1,1,0))</f>
        <v/>
      </c>
      <c r="V2431">
        <f>IF($U2431=1,SUMPRODUCT(--($X$2:$X$3001&lt;$X2431))+1,"")</f>
        <v/>
      </c>
      <c r="W2431">
        <f>IF($A2431="","",IF(OR($T2431=TRUE(),$T2431="TRUE"),1,0))</f>
        <v/>
      </c>
      <c r="X2431">
        <f>IF($U2431=1,IFERROR(IF(VALUE($A2431)&lt;100000000,VALUE($A2431),1000000000),IFERROR(IF(VALUE(MID($A2431,2,20))&lt;100000000,VALUE(MID($A2431,2,20)),1000000000),1000000000))+ROW()/100000,"")</f>
        <v/>
      </c>
    </row>
    <row r="2432">
      <c r="F2432" s="7">
        <f>IF($A2432="","",E2432*N2432/100)</f>
        <v/>
      </c>
      <c r="J2432" s="7" t="n"/>
      <c r="K2432" s="7">
        <f>IF($A2432="","",S2432*N2432)</f>
        <v/>
      </c>
      <c r="L2432" s="7">
        <f>IF($A2432="","",N2432-K2432)</f>
        <v/>
      </c>
      <c r="M2432" s="7">
        <f>IF($A2432="","",L2432-F2432)</f>
        <v/>
      </c>
      <c r="N2432" s="7" t="n"/>
      <c r="Q2432" s="11" t="n"/>
      <c r="S2432">
        <f>IF($A2432="","",IF($W2432=1,Settings!$C$6,Settings!$C$7)*1)</f>
        <v/>
      </c>
      <c r="U2432">
        <f>IF($A2432="","",IF(COUNTIF($A$2:$A2432,$A2432)=1,1,0))</f>
        <v/>
      </c>
      <c r="V2432">
        <f>IF($U2432=1,SUMPRODUCT(--($X$2:$X$3001&lt;$X2432))+1,"")</f>
        <v/>
      </c>
      <c r="W2432">
        <f>IF($A2432="","",IF(OR($T2432=TRUE(),$T2432="TRUE"),1,0))</f>
        <v/>
      </c>
      <c r="X2432">
        <f>IF($U2432=1,IFERROR(IF(VALUE($A2432)&lt;100000000,VALUE($A2432),1000000000),IFERROR(IF(VALUE(MID($A2432,2,20))&lt;100000000,VALUE(MID($A2432,2,20)),1000000000),1000000000))+ROW()/100000,"")</f>
        <v/>
      </c>
    </row>
    <row r="2433">
      <c r="F2433" s="7">
        <f>IF($A2433="","",E2433*N2433/100)</f>
        <v/>
      </c>
      <c r="J2433" s="7" t="n"/>
      <c r="K2433" s="7">
        <f>IF($A2433="","",S2433*N2433)</f>
        <v/>
      </c>
      <c r="L2433" s="7">
        <f>IF($A2433="","",N2433-K2433)</f>
        <v/>
      </c>
      <c r="M2433" s="7">
        <f>IF($A2433="","",L2433-F2433)</f>
        <v/>
      </c>
      <c r="N2433" s="7" t="n"/>
      <c r="Q2433" s="11" t="n"/>
      <c r="S2433">
        <f>IF($A2433="","",IF($W2433=1,Settings!$C$6,Settings!$C$7)*1)</f>
        <v/>
      </c>
      <c r="U2433">
        <f>IF($A2433="","",IF(COUNTIF($A$2:$A2433,$A2433)=1,1,0))</f>
        <v/>
      </c>
      <c r="V2433">
        <f>IF($U2433=1,SUMPRODUCT(--($X$2:$X$3001&lt;$X2433))+1,"")</f>
        <v/>
      </c>
      <c r="W2433">
        <f>IF($A2433="","",IF(OR($T2433=TRUE(),$T2433="TRUE"),1,0))</f>
        <v/>
      </c>
      <c r="X2433">
        <f>IF($U2433=1,IFERROR(IF(VALUE($A2433)&lt;100000000,VALUE($A2433),1000000000),IFERROR(IF(VALUE(MID($A2433,2,20))&lt;100000000,VALUE(MID($A2433,2,20)),1000000000),1000000000))+ROW()/100000,"")</f>
        <v/>
      </c>
    </row>
    <row r="2434">
      <c r="F2434" s="7">
        <f>IF($A2434="","",E2434*N2434/100)</f>
        <v/>
      </c>
      <c r="J2434" s="7" t="n"/>
      <c r="K2434" s="7">
        <f>IF($A2434="","",S2434*N2434)</f>
        <v/>
      </c>
      <c r="L2434" s="7">
        <f>IF($A2434="","",N2434-K2434)</f>
        <v/>
      </c>
      <c r="M2434" s="7">
        <f>IF($A2434="","",L2434-F2434)</f>
        <v/>
      </c>
      <c r="N2434" s="7" t="n"/>
      <c r="Q2434" s="11" t="n"/>
      <c r="S2434">
        <f>IF($A2434="","",IF($W2434=1,Settings!$C$6,Settings!$C$7)*1)</f>
        <v/>
      </c>
      <c r="U2434">
        <f>IF($A2434="","",IF(COUNTIF($A$2:$A2434,$A2434)=1,1,0))</f>
        <v/>
      </c>
      <c r="V2434">
        <f>IF($U2434=1,SUMPRODUCT(--($X$2:$X$3001&lt;$X2434))+1,"")</f>
        <v/>
      </c>
      <c r="W2434">
        <f>IF($A2434="","",IF(OR($T2434=TRUE(),$T2434="TRUE"),1,0))</f>
        <v/>
      </c>
      <c r="X2434">
        <f>IF($U2434=1,IFERROR(IF(VALUE($A2434)&lt;100000000,VALUE($A2434),1000000000),IFERROR(IF(VALUE(MID($A2434,2,20))&lt;100000000,VALUE(MID($A2434,2,20)),1000000000),1000000000))+ROW()/100000,"")</f>
        <v/>
      </c>
    </row>
    <row r="2435">
      <c r="F2435" s="7">
        <f>IF($A2435="","",E2435*N2435/100)</f>
        <v/>
      </c>
      <c r="J2435" s="7" t="n"/>
      <c r="K2435" s="7">
        <f>IF($A2435="","",S2435*N2435)</f>
        <v/>
      </c>
      <c r="L2435" s="7">
        <f>IF($A2435="","",N2435-K2435)</f>
        <v/>
      </c>
      <c r="M2435" s="7">
        <f>IF($A2435="","",L2435-F2435)</f>
        <v/>
      </c>
      <c r="N2435" s="7" t="n"/>
      <c r="Q2435" s="11" t="n"/>
      <c r="S2435">
        <f>IF($A2435="","",IF($W2435=1,Settings!$C$6,Settings!$C$7)*1)</f>
        <v/>
      </c>
      <c r="U2435">
        <f>IF($A2435="","",IF(COUNTIF($A$2:$A2435,$A2435)=1,1,0))</f>
        <v/>
      </c>
      <c r="V2435">
        <f>IF($U2435=1,SUMPRODUCT(--($X$2:$X$3001&lt;$X2435))+1,"")</f>
        <v/>
      </c>
      <c r="W2435">
        <f>IF($A2435="","",IF(OR($T2435=TRUE(),$T2435="TRUE"),1,0))</f>
        <v/>
      </c>
      <c r="X2435">
        <f>IF($U2435=1,IFERROR(IF(VALUE($A2435)&lt;100000000,VALUE($A2435),1000000000),IFERROR(IF(VALUE(MID($A2435,2,20))&lt;100000000,VALUE(MID($A2435,2,20)),1000000000),1000000000))+ROW()/100000,"")</f>
        <v/>
      </c>
    </row>
    <row r="2436">
      <c r="F2436" s="7">
        <f>IF($A2436="","",E2436*N2436/100)</f>
        <v/>
      </c>
      <c r="J2436" s="7" t="n"/>
      <c r="K2436" s="7">
        <f>IF($A2436="","",S2436*N2436)</f>
        <v/>
      </c>
      <c r="L2436" s="7">
        <f>IF($A2436="","",N2436-K2436)</f>
        <v/>
      </c>
      <c r="M2436" s="7">
        <f>IF($A2436="","",L2436-F2436)</f>
        <v/>
      </c>
      <c r="N2436" s="7" t="n"/>
      <c r="Q2436" s="11" t="n"/>
      <c r="S2436">
        <f>IF($A2436="","",IF($W2436=1,Settings!$C$6,Settings!$C$7)*1)</f>
        <v/>
      </c>
      <c r="U2436">
        <f>IF($A2436="","",IF(COUNTIF($A$2:$A2436,$A2436)=1,1,0))</f>
        <v/>
      </c>
      <c r="V2436">
        <f>IF($U2436=1,SUMPRODUCT(--($X$2:$X$3001&lt;$X2436))+1,"")</f>
        <v/>
      </c>
      <c r="W2436">
        <f>IF($A2436="","",IF(OR($T2436=TRUE(),$T2436="TRUE"),1,0))</f>
        <v/>
      </c>
      <c r="X2436">
        <f>IF($U2436=1,IFERROR(IF(VALUE($A2436)&lt;100000000,VALUE($A2436),1000000000),IFERROR(IF(VALUE(MID($A2436,2,20))&lt;100000000,VALUE(MID($A2436,2,20)),1000000000),1000000000))+ROW()/100000,"")</f>
        <v/>
      </c>
    </row>
    <row r="2437">
      <c r="F2437" s="7">
        <f>IF($A2437="","",E2437*N2437/100)</f>
        <v/>
      </c>
      <c r="J2437" s="7" t="n"/>
      <c r="K2437" s="7">
        <f>IF($A2437="","",S2437*N2437)</f>
        <v/>
      </c>
      <c r="L2437" s="7">
        <f>IF($A2437="","",N2437-K2437)</f>
        <v/>
      </c>
      <c r="M2437" s="7">
        <f>IF($A2437="","",L2437-F2437)</f>
        <v/>
      </c>
      <c r="N2437" s="7" t="n"/>
      <c r="Q2437" s="11" t="n"/>
      <c r="S2437">
        <f>IF($A2437="","",IF($W2437=1,Settings!$C$6,Settings!$C$7)*1)</f>
        <v/>
      </c>
      <c r="U2437">
        <f>IF($A2437="","",IF(COUNTIF($A$2:$A2437,$A2437)=1,1,0))</f>
        <v/>
      </c>
      <c r="V2437">
        <f>IF($U2437=1,SUMPRODUCT(--($X$2:$X$3001&lt;$X2437))+1,"")</f>
        <v/>
      </c>
      <c r="W2437">
        <f>IF($A2437="","",IF(OR($T2437=TRUE(),$T2437="TRUE"),1,0))</f>
        <v/>
      </c>
      <c r="X2437">
        <f>IF($U2437=1,IFERROR(IF(VALUE($A2437)&lt;100000000,VALUE($A2437),1000000000),IFERROR(IF(VALUE(MID($A2437,2,20))&lt;100000000,VALUE(MID($A2437,2,20)),1000000000),1000000000))+ROW()/100000,"")</f>
        <v/>
      </c>
    </row>
    <row r="2438">
      <c r="F2438" s="7">
        <f>IF($A2438="","",E2438*N2438/100)</f>
        <v/>
      </c>
      <c r="J2438" s="7" t="n"/>
      <c r="K2438" s="7">
        <f>IF($A2438="","",S2438*N2438)</f>
        <v/>
      </c>
      <c r="L2438" s="7">
        <f>IF($A2438="","",N2438-K2438)</f>
        <v/>
      </c>
      <c r="M2438" s="7">
        <f>IF($A2438="","",L2438-F2438)</f>
        <v/>
      </c>
      <c r="N2438" s="7" t="n"/>
      <c r="Q2438" s="11" t="n"/>
      <c r="S2438">
        <f>IF($A2438="","",IF($W2438=1,Settings!$C$6,Settings!$C$7)*1)</f>
        <v/>
      </c>
      <c r="U2438">
        <f>IF($A2438="","",IF(COUNTIF($A$2:$A2438,$A2438)=1,1,0))</f>
        <v/>
      </c>
      <c r="V2438">
        <f>IF($U2438=1,SUMPRODUCT(--($X$2:$X$3001&lt;$X2438))+1,"")</f>
        <v/>
      </c>
      <c r="W2438">
        <f>IF($A2438="","",IF(OR($T2438=TRUE(),$T2438="TRUE"),1,0))</f>
        <v/>
      </c>
      <c r="X2438">
        <f>IF($U2438=1,IFERROR(IF(VALUE($A2438)&lt;100000000,VALUE($A2438),1000000000),IFERROR(IF(VALUE(MID($A2438,2,20))&lt;100000000,VALUE(MID($A2438,2,20)),1000000000),1000000000))+ROW()/100000,"")</f>
        <v/>
      </c>
    </row>
    <row r="2439">
      <c r="F2439" s="7">
        <f>IF($A2439="","",E2439*N2439/100)</f>
        <v/>
      </c>
      <c r="J2439" s="7" t="n"/>
      <c r="K2439" s="7">
        <f>IF($A2439="","",S2439*N2439)</f>
        <v/>
      </c>
      <c r="L2439" s="7">
        <f>IF($A2439="","",N2439-K2439)</f>
        <v/>
      </c>
      <c r="M2439" s="7">
        <f>IF($A2439="","",L2439-F2439)</f>
        <v/>
      </c>
      <c r="N2439" s="7" t="n"/>
      <c r="Q2439" s="11" t="n"/>
      <c r="S2439">
        <f>IF($A2439="","",IF($W2439=1,Settings!$C$6,Settings!$C$7)*1)</f>
        <v/>
      </c>
      <c r="U2439">
        <f>IF($A2439="","",IF(COUNTIF($A$2:$A2439,$A2439)=1,1,0))</f>
        <v/>
      </c>
      <c r="V2439">
        <f>IF($U2439=1,SUMPRODUCT(--($X$2:$X$3001&lt;$X2439))+1,"")</f>
        <v/>
      </c>
      <c r="W2439">
        <f>IF($A2439="","",IF(OR($T2439=TRUE(),$T2439="TRUE"),1,0))</f>
        <v/>
      </c>
      <c r="X2439">
        <f>IF($U2439=1,IFERROR(IF(VALUE($A2439)&lt;100000000,VALUE($A2439),1000000000),IFERROR(IF(VALUE(MID($A2439,2,20))&lt;100000000,VALUE(MID($A2439,2,20)),1000000000),1000000000))+ROW()/100000,"")</f>
        <v/>
      </c>
    </row>
    <row r="2440">
      <c r="F2440" s="7">
        <f>IF($A2440="","",E2440*N2440/100)</f>
        <v/>
      </c>
      <c r="J2440" s="7" t="n"/>
      <c r="K2440" s="7">
        <f>IF($A2440="","",S2440*N2440)</f>
        <v/>
      </c>
      <c r="L2440" s="7">
        <f>IF($A2440="","",N2440-K2440)</f>
        <v/>
      </c>
      <c r="M2440" s="7">
        <f>IF($A2440="","",L2440-F2440)</f>
        <v/>
      </c>
      <c r="N2440" s="7" t="n"/>
      <c r="Q2440" s="11" t="n"/>
      <c r="S2440">
        <f>IF($A2440="","",IF($W2440=1,Settings!$C$6,Settings!$C$7)*1)</f>
        <v/>
      </c>
      <c r="U2440">
        <f>IF($A2440="","",IF(COUNTIF($A$2:$A2440,$A2440)=1,1,0))</f>
        <v/>
      </c>
      <c r="V2440">
        <f>IF($U2440=1,SUMPRODUCT(--($X$2:$X$3001&lt;$X2440))+1,"")</f>
        <v/>
      </c>
      <c r="W2440">
        <f>IF($A2440="","",IF(OR($T2440=TRUE(),$T2440="TRUE"),1,0))</f>
        <v/>
      </c>
      <c r="X2440">
        <f>IF($U2440=1,IFERROR(IF(VALUE($A2440)&lt;100000000,VALUE($A2440),1000000000),IFERROR(IF(VALUE(MID($A2440,2,20))&lt;100000000,VALUE(MID($A2440,2,20)),1000000000),1000000000))+ROW()/100000,"")</f>
        <v/>
      </c>
    </row>
    <row r="2441">
      <c r="F2441" s="7">
        <f>IF($A2441="","",E2441*N2441/100)</f>
        <v/>
      </c>
      <c r="J2441" s="7" t="n"/>
      <c r="K2441" s="7">
        <f>IF($A2441="","",S2441*N2441)</f>
        <v/>
      </c>
      <c r="L2441" s="7">
        <f>IF($A2441="","",N2441-K2441)</f>
        <v/>
      </c>
      <c r="M2441" s="7">
        <f>IF($A2441="","",L2441-F2441)</f>
        <v/>
      </c>
      <c r="N2441" s="7" t="n"/>
      <c r="Q2441" s="11" t="n"/>
      <c r="S2441">
        <f>IF($A2441="","",IF($W2441=1,Settings!$C$6,Settings!$C$7)*1)</f>
        <v/>
      </c>
      <c r="U2441">
        <f>IF($A2441="","",IF(COUNTIF($A$2:$A2441,$A2441)=1,1,0))</f>
        <v/>
      </c>
      <c r="V2441">
        <f>IF($U2441=1,SUMPRODUCT(--($X$2:$X$3001&lt;$X2441))+1,"")</f>
        <v/>
      </c>
      <c r="W2441">
        <f>IF($A2441="","",IF(OR($T2441=TRUE(),$T2441="TRUE"),1,0))</f>
        <v/>
      </c>
      <c r="X2441">
        <f>IF($U2441=1,IFERROR(IF(VALUE($A2441)&lt;100000000,VALUE($A2441),1000000000),IFERROR(IF(VALUE(MID($A2441,2,20))&lt;100000000,VALUE(MID($A2441,2,20)),1000000000),1000000000))+ROW()/100000,"")</f>
        <v/>
      </c>
    </row>
    <row r="2442">
      <c r="F2442" s="7">
        <f>IF($A2442="","",E2442*N2442/100)</f>
        <v/>
      </c>
      <c r="J2442" s="7" t="n"/>
      <c r="K2442" s="7">
        <f>IF($A2442="","",S2442*N2442)</f>
        <v/>
      </c>
      <c r="L2442" s="7">
        <f>IF($A2442="","",N2442-K2442)</f>
        <v/>
      </c>
      <c r="M2442" s="7">
        <f>IF($A2442="","",L2442-F2442)</f>
        <v/>
      </c>
      <c r="N2442" s="7" t="n"/>
      <c r="Q2442" s="11" t="n"/>
      <c r="S2442">
        <f>IF($A2442="","",IF($W2442=1,Settings!$C$6,Settings!$C$7)*1)</f>
        <v/>
      </c>
      <c r="U2442">
        <f>IF($A2442="","",IF(COUNTIF($A$2:$A2442,$A2442)=1,1,0))</f>
        <v/>
      </c>
      <c r="V2442">
        <f>IF($U2442=1,SUMPRODUCT(--($X$2:$X$3001&lt;$X2442))+1,"")</f>
        <v/>
      </c>
      <c r="W2442">
        <f>IF($A2442="","",IF(OR($T2442=TRUE(),$T2442="TRUE"),1,0))</f>
        <v/>
      </c>
      <c r="X2442">
        <f>IF($U2442=1,IFERROR(IF(VALUE($A2442)&lt;100000000,VALUE($A2442),1000000000),IFERROR(IF(VALUE(MID($A2442,2,20))&lt;100000000,VALUE(MID($A2442,2,20)),1000000000),1000000000))+ROW()/100000,"")</f>
        <v/>
      </c>
    </row>
    <row r="2443">
      <c r="F2443" s="7">
        <f>IF($A2443="","",E2443*N2443/100)</f>
        <v/>
      </c>
      <c r="J2443" s="7" t="n"/>
      <c r="K2443" s="7">
        <f>IF($A2443="","",S2443*N2443)</f>
        <v/>
      </c>
      <c r="L2443" s="7">
        <f>IF($A2443="","",N2443-K2443)</f>
        <v/>
      </c>
      <c r="M2443" s="7">
        <f>IF($A2443="","",L2443-F2443)</f>
        <v/>
      </c>
      <c r="N2443" s="7" t="n"/>
      <c r="Q2443" s="11" t="n"/>
      <c r="S2443">
        <f>IF($A2443="","",IF($W2443=1,Settings!$C$6,Settings!$C$7)*1)</f>
        <v/>
      </c>
      <c r="U2443">
        <f>IF($A2443="","",IF(COUNTIF($A$2:$A2443,$A2443)=1,1,0))</f>
        <v/>
      </c>
      <c r="V2443">
        <f>IF($U2443=1,SUMPRODUCT(--($X$2:$X$3001&lt;$X2443))+1,"")</f>
        <v/>
      </c>
      <c r="W2443">
        <f>IF($A2443="","",IF(OR($T2443=TRUE(),$T2443="TRUE"),1,0))</f>
        <v/>
      </c>
      <c r="X2443">
        <f>IF($U2443=1,IFERROR(IF(VALUE($A2443)&lt;100000000,VALUE($A2443),1000000000),IFERROR(IF(VALUE(MID($A2443,2,20))&lt;100000000,VALUE(MID($A2443,2,20)),1000000000),1000000000))+ROW()/100000,"")</f>
        <v/>
      </c>
    </row>
    <row r="2444">
      <c r="F2444" s="7">
        <f>IF($A2444="","",E2444*N2444/100)</f>
        <v/>
      </c>
      <c r="J2444" s="7" t="n"/>
      <c r="K2444" s="7">
        <f>IF($A2444="","",S2444*N2444)</f>
        <v/>
      </c>
      <c r="L2444" s="7">
        <f>IF($A2444="","",N2444-K2444)</f>
        <v/>
      </c>
      <c r="M2444" s="7">
        <f>IF($A2444="","",L2444-F2444)</f>
        <v/>
      </c>
      <c r="N2444" s="7" t="n"/>
      <c r="Q2444" s="11" t="n"/>
      <c r="S2444">
        <f>IF($A2444="","",IF($W2444=1,Settings!$C$6,Settings!$C$7)*1)</f>
        <v/>
      </c>
      <c r="U2444">
        <f>IF($A2444="","",IF(COUNTIF($A$2:$A2444,$A2444)=1,1,0))</f>
        <v/>
      </c>
      <c r="V2444">
        <f>IF($U2444=1,SUMPRODUCT(--($X$2:$X$3001&lt;$X2444))+1,"")</f>
        <v/>
      </c>
      <c r="W2444">
        <f>IF($A2444="","",IF(OR($T2444=TRUE(),$T2444="TRUE"),1,0))</f>
        <v/>
      </c>
      <c r="X2444">
        <f>IF($U2444=1,IFERROR(IF(VALUE($A2444)&lt;100000000,VALUE($A2444),1000000000),IFERROR(IF(VALUE(MID($A2444,2,20))&lt;100000000,VALUE(MID($A2444,2,20)),1000000000),1000000000))+ROW()/100000,"")</f>
        <v/>
      </c>
    </row>
    <row r="2445">
      <c r="F2445" s="7">
        <f>IF($A2445="","",E2445*N2445/100)</f>
        <v/>
      </c>
      <c r="J2445" s="7" t="n"/>
      <c r="K2445" s="7">
        <f>IF($A2445="","",S2445*N2445)</f>
        <v/>
      </c>
      <c r="L2445" s="7">
        <f>IF($A2445="","",N2445-K2445)</f>
        <v/>
      </c>
      <c r="M2445" s="7">
        <f>IF($A2445="","",L2445-F2445)</f>
        <v/>
      </c>
      <c r="N2445" s="7" t="n"/>
      <c r="Q2445" s="11" t="n"/>
      <c r="S2445">
        <f>IF($A2445="","",IF($W2445=1,Settings!$C$6,Settings!$C$7)*1)</f>
        <v/>
      </c>
      <c r="U2445">
        <f>IF($A2445="","",IF(COUNTIF($A$2:$A2445,$A2445)=1,1,0))</f>
        <v/>
      </c>
      <c r="V2445">
        <f>IF($U2445=1,SUMPRODUCT(--($X$2:$X$3001&lt;$X2445))+1,"")</f>
        <v/>
      </c>
      <c r="W2445">
        <f>IF($A2445="","",IF(OR($T2445=TRUE(),$T2445="TRUE"),1,0))</f>
        <v/>
      </c>
      <c r="X2445">
        <f>IF($U2445=1,IFERROR(IF(VALUE($A2445)&lt;100000000,VALUE($A2445),1000000000),IFERROR(IF(VALUE(MID($A2445,2,20))&lt;100000000,VALUE(MID($A2445,2,20)),1000000000),1000000000))+ROW()/100000,"")</f>
        <v/>
      </c>
    </row>
    <row r="2446">
      <c r="F2446" s="7">
        <f>IF($A2446="","",E2446*N2446/100)</f>
        <v/>
      </c>
      <c r="J2446" s="7" t="n"/>
      <c r="K2446" s="7">
        <f>IF($A2446="","",S2446*N2446)</f>
        <v/>
      </c>
      <c r="L2446" s="7">
        <f>IF($A2446="","",N2446-K2446)</f>
        <v/>
      </c>
      <c r="M2446" s="7">
        <f>IF($A2446="","",L2446-F2446)</f>
        <v/>
      </c>
      <c r="N2446" s="7" t="n"/>
      <c r="Q2446" s="11" t="n"/>
      <c r="S2446">
        <f>IF($A2446="","",IF($W2446=1,Settings!$C$6,Settings!$C$7)*1)</f>
        <v/>
      </c>
      <c r="U2446">
        <f>IF($A2446="","",IF(COUNTIF($A$2:$A2446,$A2446)=1,1,0))</f>
        <v/>
      </c>
      <c r="V2446">
        <f>IF($U2446=1,SUMPRODUCT(--($X$2:$X$3001&lt;$X2446))+1,"")</f>
        <v/>
      </c>
      <c r="W2446">
        <f>IF($A2446="","",IF(OR($T2446=TRUE(),$T2446="TRUE"),1,0))</f>
        <v/>
      </c>
      <c r="X2446">
        <f>IF($U2446=1,IFERROR(IF(VALUE($A2446)&lt;100000000,VALUE($A2446),1000000000),IFERROR(IF(VALUE(MID($A2446,2,20))&lt;100000000,VALUE(MID($A2446,2,20)),1000000000),1000000000))+ROW()/100000,"")</f>
        <v/>
      </c>
    </row>
    <row r="2447">
      <c r="F2447" s="7">
        <f>IF($A2447="","",E2447*N2447/100)</f>
        <v/>
      </c>
      <c r="J2447" s="7" t="n"/>
      <c r="K2447" s="7">
        <f>IF($A2447="","",S2447*N2447)</f>
        <v/>
      </c>
      <c r="L2447" s="7">
        <f>IF($A2447="","",N2447-K2447)</f>
        <v/>
      </c>
      <c r="M2447" s="7">
        <f>IF($A2447="","",L2447-F2447)</f>
        <v/>
      </c>
      <c r="N2447" s="7" t="n"/>
      <c r="Q2447" s="11" t="n"/>
      <c r="S2447">
        <f>IF($A2447="","",IF($W2447=1,Settings!$C$6,Settings!$C$7)*1)</f>
        <v/>
      </c>
      <c r="U2447">
        <f>IF($A2447="","",IF(COUNTIF($A$2:$A2447,$A2447)=1,1,0))</f>
        <v/>
      </c>
      <c r="V2447">
        <f>IF($U2447=1,SUMPRODUCT(--($X$2:$X$3001&lt;$X2447))+1,"")</f>
        <v/>
      </c>
      <c r="W2447">
        <f>IF($A2447="","",IF(OR($T2447=TRUE(),$T2447="TRUE"),1,0))</f>
        <v/>
      </c>
      <c r="X2447">
        <f>IF($U2447=1,IFERROR(IF(VALUE($A2447)&lt;100000000,VALUE($A2447),1000000000),IFERROR(IF(VALUE(MID($A2447,2,20))&lt;100000000,VALUE(MID($A2447,2,20)),1000000000),1000000000))+ROW()/100000,"")</f>
        <v/>
      </c>
    </row>
    <row r="2448">
      <c r="F2448" s="7">
        <f>IF($A2448="","",E2448*N2448/100)</f>
        <v/>
      </c>
      <c r="J2448" s="7" t="n"/>
      <c r="K2448" s="7">
        <f>IF($A2448="","",S2448*N2448)</f>
        <v/>
      </c>
      <c r="L2448" s="7">
        <f>IF($A2448="","",N2448-K2448)</f>
        <v/>
      </c>
      <c r="M2448" s="7">
        <f>IF($A2448="","",L2448-F2448)</f>
        <v/>
      </c>
      <c r="N2448" s="7" t="n"/>
      <c r="Q2448" s="11" t="n"/>
      <c r="S2448">
        <f>IF($A2448="","",IF($W2448=1,Settings!$C$6,Settings!$C$7)*1)</f>
        <v/>
      </c>
      <c r="U2448">
        <f>IF($A2448="","",IF(COUNTIF($A$2:$A2448,$A2448)=1,1,0))</f>
        <v/>
      </c>
      <c r="V2448">
        <f>IF($U2448=1,SUMPRODUCT(--($X$2:$X$3001&lt;$X2448))+1,"")</f>
        <v/>
      </c>
      <c r="W2448">
        <f>IF($A2448="","",IF(OR($T2448=TRUE(),$T2448="TRUE"),1,0))</f>
        <v/>
      </c>
      <c r="X2448">
        <f>IF($U2448=1,IFERROR(IF(VALUE($A2448)&lt;100000000,VALUE($A2448),1000000000),IFERROR(IF(VALUE(MID($A2448,2,20))&lt;100000000,VALUE(MID($A2448,2,20)),1000000000),1000000000))+ROW()/100000,"")</f>
        <v/>
      </c>
    </row>
    <row r="2449">
      <c r="F2449" s="7">
        <f>IF($A2449="","",E2449*N2449/100)</f>
        <v/>
      </c>
      <c r="J2449" s="7" t="n"/>
      <c r="K2449" s="7">
        <f>IF($A2449="","",S2449*N2449)</f>
        <v/>
      </c>
      <c r="L2449" s="7">
        <f>IF($A2449="","",N2449-K2449)</f>
        <v/>
      </c>
      <c r="M2449" s="7">
        <f>IF($A2449="","",L2449-F2449)</f>
        <v/>
      </c>
      <c r="N2449" s="7" t="n"/>
      <c r="Q2449" s="11" t="n"/>
      <c r="S2449">
        <f>IF($A2449="","",IF($W2449=1,Settings!$C$6,Settings!$C$7)*1)</f>
        <v/>
      </c>
      <c r="U2449">
        <f>IF($A2449="","",IF(COUNTIF($A$2:$A2449,$A2449)=1,1,0))</f>
        <v/>
      </c>
      <c r="V2449">
        <f>IF($U2449=1,SUMPRODUCT(--($X$2:$X$3001&lt;$X2449))+1,"")</f>
        <v/>
      </c>
      <c r="W2449">
        <f>IF($A2449="","",IF(OR($T2449=TRUE(),$T2449="TRUE"),1,0))</f>
        <v/>
      </c>
      <c r="X2449">
        <f>IF($U2449=1,IFERROR(IF(VALUE($A2449)&lt;100000000,VALUE($A2449),1000000000),IFERROR(IF(VALUE(MID($A2449,2,20))&lt;100000000,VALUE(MID($A2449,2,20)),1000000000),1000000000))+ROW()/100000,"")</f>
        <v/>
      </c>
    </row>
    <row r="2450">
      <c r="F2450" s="7">
        <f>IF($A2450="","",E2450*N2450/100)</f>
        <v/>
      </c>
      <c r="J2450" s="7" t="n"/>
      <c r="K2450" s="7">
        <f>IF($A2450="","",S2450*N2450)</f>
        <v/>
      </c>
      <c r="L2450" s="7">
        <f>IF($A2450="","",N2450-K2450)</f>
        <v/>
      </c>
      <c r="M2450" s="7">
        <f>IF($A2450="","",L2450-F2450)</f>
        <v/>
      </c>
      <c r="N2450" s="7" t="n"/>
      <c r="Q2450" s="11" t="n"/>
      <c r="S2450">
        <f>IF($A2450="","",IF($W2450=1,Settings!$C$6,Settings!$C$7)*1)</f>
        <v/>
      </c>
      <c r="U2450">
        <f>IF($A2450="","",IF(COUNTIF($A$2:$A2450,$A2450)=1,1,0))</f>
        <v/>
      </c>
      <c r="V2450">
        <f>IF($U2450=1,SUMPRODUCT(--($X$2:$X$3001&lt;$X2450))+1,"")</f>
        <v/>
      </c>
      <c r="W2450">
        <f>IF($A2450="","",IF(OR($T2450=TRUE(),$T2450="TRUE"),1,0))</f>
        <v/>
      </c>
      <c r="X2450">
        <f>IF($U2450=1,IFERROR(IF(VALUE($A2450)&lt;100000000,VALUE($A2450),1000000000),IFERROR(IF(VALUE(MID($A2450,2,20))&lt;100000000,VALUE(MID($A2450,2,20)),1000000000),1000000000))+ROW()/100000,"")</f>
        <v/>
      </c>
    </row>
    <row r="2451">
      <c r="F2451" s="7">
        <f>IF($A2451="","",E2451*N2451/100)</f>
        <v/>
      </c>
      <c r="J2451" s="7" t="n"/>
      <c r="K2451" s="7">
        <f>IF($A2451="","",S2451*N2451)</f>
        <v/>
      </c>
      <c r="L2451" s="7">
        <f>IF($A2451="","",N2451-K2451)</f>
        <v/>
      </c>
      <c r="M2451" s="7">
        <f>IF($A2451="","",L2451-F2451)</f>
        <v/>
      </c>
      <c r="N2451" s="7" t="n"/>
      <c r="Q2451" s="11" t="n"/>
      <c r="S2451">
        <f>IF($A2451="","",IF($W2451=1,Settings!$C$6,Settings!$C$7)*1)</f>
        <v/>
      </c>
      <c r="U2451">
        <f>IF($A2451="","",IF(COUNTIF($A$2:$A2451,$A2451)=1,1,0))</f>
        <v/>
      </c>
      <c r="V2451">
        <f>IF($U2451=1,SUMPRODUCT(--($X$2:$X$3001&lt;$X2451))+1,"")</f>
        <v/>
      </c>
      <c r="W2451">
        <f>IF($A2451="","",IF(OR($T2451=TRUE(),$T2451="TRUE"),1,0))</f>
        <v/>
      </c>
      <c r="X2451">
        <f>IF($U2451=1,IFERROR(IF(VALUE($A2451)&lt;100000000,VALUE($A2451),1000000000),IFERROR(IF(VALUE(MID($A2451,2,20))&lt;100000000,VALUE(MID($A2451,2,20)),1000000000),1000000000))+ROW()/100000,"")</f>
        <v/>
      </c>
    </row>
    <row r="2452">
      <c r="F2452" s="7">
        <f>IF($A2452="","",E2452*N2452/100)</f>
        <v/>
      </c>
      <c r="J2452" s="7" t="n"/>
      <c r="K2452" s="7">
        <f>IF($A2452="","",S2452*N2452)</f>
        <v/>
      </c>
      <c r="L2452" s="7">
        <f>IF($A2452="","",N2452-K2452)</f>
        <v/>
      </c>
      <c r="M2452" s="7">
        <f>IF($A2452="","",L2452-F2452)</f>
        <v/>
      </c>
      <c r="N2452" s="7" t="n"/>
      <c r="Q2452" s="11" t="n"/>
      <c r="S2452">
        <f>IF($A2452="","",IF($W2452=1,Settings!$C$6,Settings!$C$7)*1)</f>
        <v/>
      </c>
      <c r="U2452">
        <f>IF($A2452="","",IF(COUNTIF($A$2:$A2452,$A2452)=1,1,0))</f>
        <v/>
      </c>
      <c r="V2452">
        <f>IF($U2452=1,SUMPRODUCT(--($X$2:$X$3001&lt;$X2452))+1,"")</f>
        <v/>
      </c>
      <c r="W2452">
        <f>IF($A2452="","",IF(OR($T2452=TRUE(),$T2452="TRUE"),1,0))</f>
        <v/>
      </c>
      <c r="X2452">
        <f>IF($U2452=1,IFERROR(IF(VALUE($A2452)&lt;100000000,VALUE($A2452),1000000000),IFERROR(IF(VALUE(MID($A2452,2,20))&lt;100000000,VALUE(MID($A2452,2,20)),1000000000),1000000000))+ROW()/100000,"")</f>
        <v/>
      </c>
    </row>
    <row r="2453">
      <c r="F2453" s="7">
        <f>IF($A2453="","",E2453*N2453/100)</f>
        <v/>
      </c>
      <c r="J2453" s="7" t="n"/>
      <c r="K2453" s="7">
        <f>IF($A2453="","",S2453*N2453)</f>
        <v/>
      </c>
      <c r="L2453" s="7">
        <f>IF($A2453="","",N2453-K2453)</f>
        <v/>
      </c>
      <c r="M2453" s="7">
        <f>IF($A2453="","",L2453-F2453)</f>
        <v/>
      </c>
      <c r="N2453" s="7" t="n"/>
      <c r="Q2453" s="11" t="n"/>
      <c r="S2453">
        <f>IF($A2453="","",IF($W2453=1,Settings!$C$6,Settings!$C$7)*1)</f>
        <v/>
      </c>
      <c r="U2453">
        <f>IF($A2453="","",IF(COUNTIF($A$2:$A2453,$A2453)=1,1,0))</f>
        <v/>
      </c>
      <c r="V2453">
        <f>IF($U2453=1,SUMPRODUCT(--($X$2:$X$3001&lt;$X2453))+1,"")</f>
        <v/>
      </c>
      <c r="W2453">
        <f>IF($A2453="","",IF(OR($T2453=TRUE(),$T2453="TRUE"),1,0))</f>
        <v/>
      </c>
      <c r="X2453">
        <f>IF($U2453=1,IFERROR(IF(VALUE($A2453)&lt;100000000,VALUE($A2453),1000000000),IFERROR(IF(VALUE(MID($A2453,2,20))&lt;100000000,VALUE(MID($A2453,2,20)),1000000000),1000000000))+ROW()/100000,"")</f>
        <v/>
      </c>
    </row>
    <row r="2454">
      <c r="F2454" s="7">
        <f>IF($A2454="","",E2454*N2454/100)</f>
        <v/>
      </c>
      <c r="J2454" s="7" t="n"/>
      <c r="K2454" s="7">
        <f>IF($A2454="","",S2454*N2454)</f>
        <v/>
      </c>
      <c r="L2454" s="7">
        <f>IF($A2454="","",N2454-K2454)</f>
        <v/>
      </c>
      <c r="M2454" s="7">
        <f>IF($A2454="","",L2454-F2454)</f>
        <v/>
      </c>
      <c r="N2454" s="7" t="n"/>
      <c r="Q2454" s="11" t="n"/>
      <c r="S2454">
        <f>IF($A2454="","",IF($W2454=1,Settings!$C$6,Settings!$C$7)*1)</f>
        <v/>
      </c>
      <c r="U2454">
        <f>IF($A2454="","",IF(COUNTIF($A$2:$A2454,$A2454)=1,1,0))</f>
        <v/>
      </c>
      <c r="V2454">
        <f>IF($U2454=1,SUMPRODUCT(--($X$2:$X$3001&lt;$X2454))+1,"")</f>
        <v/>
      </c>
      <c r="W2454">
        <f>IF($A2454="","",IF(OR($T2454=TRUE(),$T2454="TRUE"),1,0))</f>
        <v/>
      </c>
      <c r="X2454">
        <f>IF($U2454=1,IFERROR(IF(VALUE($A2454)&lt;100000000,VALUE($A2454),1000000000),IFERROR(IF(VALUE(MID($A2454,2,20))&lt;100000000,VALUE(MID($A2454,2,20)),1000000000),1000000000))+ROW()/100000,"")</f>
        <v/>
      </c>
    </row>
    <row r="2455">
      <c r="F2455" s="7">
        <f>IF($A2455="","",E2455*N2455/100)</f>
        <v/>
      </c>
      <c r="J2455" s="7" t="n"/>
      <c r="K2455" s="7">
        <f>IF($A2455="","",S2455*N2455)</f>
        <v/>
      </c>
      <c r="L2455" s="7">
        <f>IF($A2455="","",N2455-K2455)</f>
        <v/>
      </c>
      <c r="M2455" s="7">
        <f>IF($A2455="","",L2455-F2455)</f>
        <v/>
      </c>
      <c r="N2455" s="7" t="n"/>
      <c r="Q2455" s="11" t="n"/>
      <c r="S2455">
        <f>IF($A2455="","",IF($W2455=1,Settings!$C$6,Settings!$C$7)*1)</f>
        <v/>
      </c>
      <c r="U2455">
        <f>IF($A2455="","",IF(COUNTIF($A$2:$A2455,$A2455)=1,1,0))</f>
        <v/>
      </c>
      <c r="V2455">
        <f>IF($U2455=1,SUMPRODUCT(--($X$2:$X$3001&lt;$X2455))+1,"")</f>
        <v/>
      </c>
      <c r="W2455">
        <f>IF($A2455="","",IF(OR($T2455=TRUE(),$T2455="TRUE"),1,0))</f>
        <v/>
      </c>
      <c r="X2455">
        <f>IF($U2455=1,IFERROR(IF(VALUE($A2455)&lt;100000000,VALUE($A2455),1000000000),IFERROR(IF(VALUE(MID($A2455,2,20))&lt;100000000,VALUE(MID($A2455,2,20)),1000000000),1000000000))+ROW()/100000,"")</f>
        <v/>
      </c>
    </row>
    <row r="2456">
      <c r="F2456" s="7">
        <f>IF($A2456="","",E2456*N2456/100)</f>
        <v/>
      </c>
      <c r="J2456" s="7" t="n"/>
      <c r="K2456" s="7">
        <f>IF($A2456="","",S2456*N2456)</f>
        <v/>
      </c>
      <c r="L2456" s="7">
        <f>IF($A2456="","",N2456-K2456)</f>
        <v/>
      </c>
      <c r="M2456" s="7">
        <f>IF($A2456="","",L2456-F2456)</f>
        <v/>
      </c>
      <c r="N2456" s="7" t="n"/>
      <c r="Q2456" s="11" t="n"/>
      <c r="S2456">
        <f>IF($A2456="","",IF($W2456=1,Settings!$C$6,Settings!$C$7)*1)</f>
        <v/>
      </c>
      <c r="U2456">
        <f>IF($A2456="","",IF(COUNTIF($A$2:$A2456,$A2456)=1,1,0))</f>
        <v/>
      </c>
      <c r="V2456">
        <f>IF($U2456=1,SUMPRODUCT(--($X$2:$X$3001&lt;$X2456))+1,"")</f>
        <v/>
      </c>
      <c r="W2456">
        <f>IF($A2456="","",IF(OR($T2456=TRUE(),$T2456="TRUE"),1,0))</f>
        <v/>
      </c>
      <c r="X2456">
        <f>IF($U2456=1,IFERROR(IF(VALUE($A2456)&lt;100000000,VALUE($A2456),1000000000),IFERROR(IF(VALUE(MID($A2456,2,20))&lt;100000000,VALUE(MID($A2456,2,20)),1000000000),1000000000))+ROW()/100000,"")</f>
        <v/>
      </c>
    </row>
    <row r="2457">
      <c r="F2457" s="7">
        <f>IF($A2457="","",E2457*N2457/100)</f>
        <v/>
      </c>
      <c r="J2457" s="7" t="n"/>
      <c r="K2457" s="7">
        <f>IF($A2457="","",S2457*N2457)</f>
        <v/>
      </c>
      <c r="L2457" s="7">
        <f>IF($A2457="","",N2457-K2457)</f>
        <v/>
      </c>
      <c r="M2457" s="7">
        <f>IF($A2457="","",L2457-F2457)</f>
        <v/>
      </c>
      <c r="N2457" s="7" t="n"/>
      <c r="Q2457" s="11" t="n"/>
      <c r="S2457">
        <f>IF($A2457="","",IF($W2457=1,Settings!$C$6,Settings!$C$7)*1)</f>
        <v/>
      </c>
      <c r="U2457">
        <f>IF($A2457="","",IF(COUNTIF($A$2:$A2457,$A2457)=1,1,0))</f>
        <v/>
      </c>
      <c r="V2457">
        <f>IF($U2457=1,SUMPRODUCT(--($X$2:$X$3001&lt;$X2457))+1,"")</f>
        <v/>
      </c>
      <c r="W2457">
        <f>IF($A2457="","",IF(OR($T2457=TRUE(),$T2457="TRUE"),1,0))</f>
        <v/>
      </c>
      <c r="X2457">
        <f>IF($U2457=1,IFERROR(IF(VALUE($A2457)&lt;100000000,VALUE($A2457),1000000000),IFERROR(IF(VALUE(MID($A2457,2,20))&lt;100000000,VALUE(MID($A2457,2,20)),1000000000),1000000000))+ROW()/100000,"")</f>
        <v/>
      </c>
    </row>
    <row r="2458">
      <c r="F2458" s="7">
        <f>IF($A2458="","",E2458*N2458/100)</f>
        <v/>
      </c>
      <c r="J2458" s="7" t="n"/>
      <c r="K2458" s="7">
        <f>IF($A2458="","",S2458*N2458)</f>
        <v/>
      </c>
      <c r="L2458" s="7">
        <f>IF($A2458="","",N2458-K2458)</f>
        <v/>
      </c>
      <c r="M2458" s="7">
        <f>IF($A2458="","",L2458-F2458)</f>
        <v/>
      </c>
      <c r="N2458" s="7" t="n"/>
      <c r="Q2458" s="11" t="n"/>
      <c r="S2458">
        <f>IF($A2458="","",IF($W2458=1,Settings!$C$6,Settings!$C$7)*1)</f>
        <v/>
      </c>
      <c r="U2458">
        <f>IF($A2458="","",IF(COUNTIF($A$2:$A2458,$A2458)=1,1,0))</f>
        <v/>
      </c>
      <c r="V2458">
        <f>IF($U2458=1,SUMPRODUCT(--($X$2:$X$3001&lt;$X2458))+1,"")</f>
        <v/>
      </c>
      <c r="W2458">
        <f>IF($A2458="","",IF(OR($T2458=TRUE(),$T2458="TRUE"),1,0))</f>
        <v/>
      </c>
      <c r="X2458">
        <f>IF($U2458=1,IFERROR(IF(VALUE($A2458)&lt;100000000,VALUE($A2458),1000000000),IFERROR(IF(VALUE(MID($A2458,2,20))&lt;100000000,VALUE(MID($A2458,2,20)),1000000000),1000000000))+ROW()/100000,"")</f>
        <v/>
      </c>
    </row>
    <row r="2459">
      <c r="F2459" s="7">
        <f>IF($A2459="","",E2459*N2459/100)</f>
        <v/>
      </c>
      <c r="J2459" s="7" t="n"/>
      <c r="K2459" s="7">
        <f>IF($A2459="","",S2459*N2459)</f>
        <v/>
      </c>
      <c r="L2459" s="7">
        <f>IF($A2459="","",N2459-K2459)</f>
        <v/>
      </c>
      <c r="M2459" s="7">
        <f>IF($A2459="","",L2459-F2459)</f>
        <v/>
      </c>
      <c r="N2459" s="7" t="n"/>
      <c r="Q2459" s="11" t="n"/>
      <c r="S2459">
        <f>IF($A2459="","",IF($W2459=1,Settings!$C$6,Settings!$C$7)*1)</f>
        <v/>
      </c>
      <c r="U2459">
        <f>IF($A2459="","",IF(COUNTIF($A$2:$A2459,$A2459)=1,1,0))</f>
        <v/>
      </c>
      <c r="V2459">
        <f>IF($U2459=1,SUMPRODUCT(--($X$2:$X$3001&lt;$X2459))+1,"")</f>
        <v/>
      </c>
      <c r="W2459">
        <f>IF($A2459="","",IF(OR($T2459=TRUE(),$T2459="TRUE"),1,0))</f>
        <v/>
      </c>
      <c r="X2459">
        <f>IF($U2459=1,IFERROR(IF(VALUE($A2459)&lt;100000000,VALUE($A2459),1000000000),IFERROR(IF(VALUE(MID($A2459,2,20))&lt;100000000,VALUE(MID($A2459,2,20)),1000000000),1000000000))+ROW()/100000,"")</f>
        <v/>
      </c>
    </row>
    <row r="2460">
      <c r="F2460" s="7">
        <f>IF($A2460="","",E2460*N2460/100)</f>
        <v/>
      </c>
      <c r="J2460" s="7" t="n"/>
      <c r="K2460" s="7">
        <f>IF($A2460="","",S2460*N2460)</f>
        <v/>
      </c>
      <c r="L2460" s="7">
        <f>IF($A2460="","",N2460-K2460)</f>
        <v/>
      </c>
      <c r="M2460" s="7">
        <f>IF($A2460="","",L2460-F2460)</f>
        <v/>
      </c>
      <c r="N2460" s="7" t="n"/>
      <c r="Q2460" s="11" t="n"/>
      <c r="S2460">
        <f>IF($A2460="","",IF($W2460=1,Settings!$C$6,Settings!$C$7)*1)</f>
        <v/>
      </c>
      <c r="U2460">
        <f>IF($A2460="","",IF(COUNTIF($A$2:$A2460,$A2460)=1,1,0))</f>
        <v/>
      </c>
      <c r="V2460">
        <f>IF($U2460=1,SUMPRODUCT(--($X$2:$X$3001&lt;$X2460))+1,"")</f>
        <v/>
      </c>
      <c r="W2460">
        <f>IF($A2460="","",IF(OR($T2460=TRUE(),$T2460="TRUE"),1,0))</f>
        <v/>
      </c>
      <c r="X2460">
        <f>IF($U2460=1,IFERROR(IF(VALUE($A2460)&lt;100000000,VALUE($A2460),1000000000),IFERROR(IF(VALUE(MID($A2460,2,20))&lt;100000000,VALUE(MID($A2460,2,20)),1000000000),1000000000))+ROW()/100000,"")</f>
        <v/>
      </c>
    </row>
    <row r="2461">
      <c r="F2461" s="7">
        <f>IF($A2461="","",E2461*N2461/100)</f>
        <v/>
      </c>
      <c r="J2461" s="7" t="n"/>
      <c r="K2461" s="7">
        <f>IF($A2461="","",S2461*N2461)</f>
        <v/>
      </c>
      <c r="L2461" s="7">
        <f>IF($A2461="","",N2461-K2461)</f>
        <v/>
      </c>
      <c r="M2461" s="7">
        <f>IF($A2461="","",L2461-F2461)</f>
        <v/>
      </c>
      <c r="N2461" s="7" t="n"/>
      <c r="Q2461" s="11" t="n"/>
      <c r="S2461">
        <f>IF($A2461="","",IF($W2461=1,Settings!$C$6,Settings!$C$7)*1)</f>
        <v/>
      </c>
      <c r="U2461">
        <f>IF($A2461="","",IF(COUNTIF($A$2:$A2461,$A2461)=1,1,0))</f>
        <v/>
      </c>
      <c r="V2461">
        <f>IF($U2461=1,SUMPRODUCT(--($X$2:$X$3001&lt;$X2461))+1,"")</f>
        <v/>
      </c>
      <c r="W2461">
        <f>IF($A2461="","",IF(OR($T2461=TRUE(),$T2461="TRUE"),1,0))</f>
        <v/>
      </c>
      <c r="X2461">
        <f>IF($U2461=1,IFERROR(IF(VALUE($A2461)&lt;100000000,VALUE($A2461),1000000000),IFERROR(IF(VALUE(MID($A2461,2,20))&lt;100000000,VALUE(MID($A2461,2,20)),1000000000),1000000000))+ROW()/100000,"")</f>
        <v/>
      </c>
    </row>
    <row r="2462">
      <c r="F2462" s="7">
        <f>IF($A2462="","",E2462*N2462/100)</f>
        <v/>
      </c>
      <c r="J2462" s="7" t="n"/>
      <c r="K2462" s="7">
        <f>IF($A2462="","",S2462*N2462)</f>
        <v/>
      </c>
      <c r="L2462" s="7">
        <f>IF($A2462="","",N2462-K2462)</f>
        <v/>
      </c>
      <c r="M2462" s="7">
        <f>IF($A2462="","",L2462-F2462)</f>
        <v/>
      </c>
      <c r="N2462" s="7" t="n"/>
      <c r="Q2462" s="11" t="n"/>
      <c r="S2462">
        <f>IF($A2462="","",IF($W2462=1,Settings!$C$6,Settings!$C$7)*1)</f>
        <v/>
      </c>
      <c r="U2462">
        <f>IF($A2462="","",IF(COUNTIF($A$2:$A2462,$A2462)=1,1,0))</f>
        <v/>
      </c>
      <c r="V2462">
        <f>IF($U2462=1,SUMPRODUCT(--($X$2:$X$3001&lt;$X2462))+1,"")</f>
        <v/>
      </c>
      <c r="W2462">
        <f>IF($A2462="","",IF(OR($T2462=TRUE(),$T2462="TRUE"),1,0))</f>
        <v/>
      </c>
      <c r="X2462">
        <f>IF($U2462=1,IFERROR(IF(VALUE($A2462)&lt;100000000,VALUE($A2462),1000000000),IFERROR(IF(VALUE(MID($A2462,2,20))&lt;100000000,VALUE(MID($A2462,2,20)),1000000000),1000000000))+ROW()/100000,"")</f>
        <v/>
      </c>
    </row>
    <row r="2463">
      <c r="F2463" s="7">
        <f>IF($A2463="","",E2463*N2463/100)</f>
        <v/>
      </c>
      <c r="J2463" s="7" t="n"/>
      <c r="K2463" s="7">
        <f>IF($A2463="","",S2463*N2463)</f>
        <v/>
      </c>
      <c r="L2463" s="7">
        <f>IF($A2463="","",N2463-K2463)</f>
        <v/>
      </c>
      <c r="M2463" s="7">
        <f>IF($A2463="","",L2463-F2463)</f>
        <v/>
      </c>
      <c r="N2463" s="7" t="n"/>
      <c r="Q2463" s="11" t="n"/>
      <c r="S2463">
        <f>IF($A2463="","",IF($W2463=1,Settings!$C$6,Settings!$C$7)*1)</f>
        <v/>
      </c>
      <c r="U2463">
        <f>IF($A2463="","",IF(COUNTIF($A$2:$A2463,$A2463)=1,1,0))</f>
        <v/>
      </c>
      <c r="V2463">
        <f>IF($U2463=1,SUMPRODUCT(--($X$2:$X$3001&lt;$X2463))+1,"")</f>
        <v/>
      </c>
      <c r="W2463">
        <f>IF($A2463="","",IF(OR($T2463=TRUE(),$T2463="TRUE"),1,0))</f>
        <v/>
      </c>
      <c r="X2463">
        <f>IF($U2463=1,IFERROR(IF(VALUE($A2463)&lt;100000000,VALUE($A2463),1000000000),IFERROR(IF(VALUE(MID($A2463,2,20))&lt;100000000,VALUE(MID($A2463,2,20)),1000000000),1000000000))+ROW()/100000,"")</f>
        <v/>
      </c>
    </row>
    <row r="2464">
      <c r="F2464" s="7">
        <f>IF($A2464="","",E2464*N2464/100)</f>
        <v/>
      </c>
      <c r="J2464" s="7" t="n"/>
      <c r="K2464" s="7">
        <f>IF($A2464="","",S2464*N2464)</f>
        <v/>
      </c>
      <c r="L2464" s="7">
        <f>IF($A2464="","",N2464-K2464)</f>
        <v/>
      </c>
      <c r="M2464" s="7">
        <f>IF($A2464="","",L2464-F2464)</f>
        <v/>
      </c>
      <c r="N2464" s="7" t="n"/>
      <c r="Q2464" s="11" t="n"/>
      <c r="S2464">
        <f>IF($A2464="","",IF($W2464=1,Settings!$C$6,Settings!$C$7)*1)</f>
        <v/>
      </c>
      <c r="U2464">
        <f>IF($A2464="","",IF(COUNTIF($A$2:$A2464,$A2464)=1,1,0))</f>
        <v/>
      </c>
      <c r="V2464">
        <f>IF($U2464=1,SUMPRODUCT(--($X$2:$X$3001&lt;$X2464))+1,"")</f>
        <v/>
      </c>
      <c r="W2464">
        <f>IF($A2464="","",IF(OR($T2464=TRUE(),$T2464="TRUE"),1,0))</f>
        <v/>
      </c>
      <c r="X2464">
        <f>IF($U2464=1,IFERROR(IF(VALUE($A2464)&lt;100000000,VALUE($A2464),1000000000),IFERROR(IF(VALUE(MID($A2464,2,20))&lt;100000000,VALUE(MID($A2464,2,20)),1000000000),1000000000))+ROW()/100000,"")</f>
        <v/>
      </c>
    </row>
    <row r="2465">
      <c r="F2465" s="7">
        <f>IF($A2465="","",E2465*N2465/100)</f>
        <v/>
      </c>
      <c r="J2465" s="7" t="n"/>
      <c r="K2465" s="7">
        <f>IF($A2465="","",S2465*N2465)</f>
        <v/>
      </c>
      <c r="L2465" s="7">
        <f>IF($A2465="","",N2465-K2465)</f>
        <v/>
      </c>
      <c r="M2465" s="7">
        <f>IF($A2465="","",L2465-F2465)</f>
        <v/>
      </c>
      <c r="N2465" s="7" t="n"/>
      <c r="Q2465" s="11" t="n"/>
      <c r="S2465">
        <f>IF($A2465="","",IF($W2465=1,Settings!$C$6,Settings!$C$7)*1)</f>
        <v/>
      </c>
      <c r="U2465">
        <f>IF($A2465="","",IF(COUNTIF($A$2:$A2465,$A2465)=1,1,0))</f>
        <v/>
      </c>
      <c r="V2465">
        <f>IF($U2465=1,SUMPRODUCT(--($X$2:$X$3001&lt;$X2465))+1,"")</f>
        <v/>
      </c>
      <c r="W2465">
        <f>IF($A2465="","",IF(OR($T2465=TRUE(),$T2465="TRUE"),1,0))</f>
        <v/>
      </c>
      <c r="X2465">
        <f>IF($U2465=1,IFERROR(IF(VALUE($A2465)&lt;100000000,VALUE($A2465),1000000000),IFERROR(IF(VALUE(MID($A2465,2,20))&lt;100000000,VALUE(MID($A2465,2,20)),1000000000),1000000000))+ROW()/100000,"")</f>
        <v/>
      </c>
    </row>
    <row r="2466">
      <c r="F2466" s="7">
        <f>IF($A2466="","",E2466*N2466/100)</f>
        <v/>
      </c>
      <c r="J2466" s="7" t="n"/>
      <c r="K2466" s="7">
        <f>IF($A2466="","",S2466*N2466)</f>
        <v/>
      </c>
      <c r="L2466" s="7">
        <f>IF($A2466="","",N2466-K2466)</f>
        <v/>
      </c>
      <c r="M2466" s="7">
        <f>IF($A2466="","",L2466-F2466)</f>
        <v/>
      </c>
      <c r="N2466" s="7" t="n"/>
      <c r="Q2466" s="11" t="n"/>
      <c r="S2466">
        <f>IF($A2466="","",IF($W2466=1,Settings!$C$6,Settings!$C$7)*1)</f>
        <v/>
      </c>
      <c r="U2466">
        <f>IF($A2466="","",IF(COUNTIF($A$2:$A2466,$A2466)=1,1,0))</f>
        <v/>
      </c>
      <c r="V2466">
        <f>IF($U2466=1,SUMPRODUCT(--($X$2:$X$3001&lt;$X2466))+1,"")</f>
        <v/>
      </c>
      <c r="W2466">
        <f>IF($A2466="","",IF(OR($T2466=TRUE(),$T2466="TRUE"),1,0))</f>
        <v/>
      </c>
      <c r="X2466">
        <f>IF($U2466=1,IFERROR(IF(VALUE($A2466)&lt;100000000,VALUE($A2466),1000000000),IFERROR(IF(VALUE(MID($A2466,2,20))&lt;100000000,VALUE(MID($A2466,2,20)),1000000000),1000000000))+ROW()/100000,"")</f>
        <v/>
      </c>
    </row>
    <row r="2467">
      <c r="F2467" s="7">
        <f>IF($A2467="","",E2467*N2467/100)</f>
        <v/>
      </c>
      <c r="J2467" s="7" t="n"/>
      <c r="K2467" s="7">
        <f>IF($A2467="","",S2467*N2467)</f>
        <v/>
      </c>
      <c r="L2467" s="7">
        <f>IF($A2467="","",N2467-K2467)</f>
        <v/>
      </c>
      <c r="M2467" s="7">
        <f>IF($A2467="","",L2467-F2467)</f>
        <v/>
      </c>
      <c r="N2467" s="7" t="n"/>
      <c r="Q2467" s="11" t="n"/>
      <c r="S2467">
        <f>IF($A2467="","",IF($W2467=1,Settings!$C$6,Settings!$C$7)*1)</f>
        <v/>
      </c>
      <c r="U2467">
        <f>IF($A2467="","",IF(COUNTIF($A$2:$A2467,$A2467)=1,1,0))</f>
        <v/>
      </c>
      <c r="V2467">
        <f>IF($U2467=1,SUMPRODUCT(--($X$2:$X$3001&lt;$X2467))+1,"")</f>
        <v/>
      </c>
      <c r="W2467">
        <f>IF($A2467="","",IF(OR($T2467=TRUE(),$T2467="TRUE"),1,0))</f>
        <v/>
      </c>
      <c r="X2467">
        <f>IF($U2467=1,IFERROR(IF(VALUE($A2467)&lt;100000000,VALUE($A2467),1000000000),IFERROR(IF(VALUE(MID($A2467,2,20))&lt;100000000,VALUE(MID($A2467,2,20)),1000000000),1000000000))+ROW()/100000,"")</f>
        <v/>
      </c>
    </row>
    <row r="2468">
      <c r="F2468" s="7">
        <f>IF($A2468="","",E2468*N2468/100)</f>
        <v/>
      </c>
      <c r="J2468" s="7" t="n"/>
      <c r="K2468" s="7">
        <f>IF($A2468="","",S2468*N2468)</f>
        <v/>
      </c>
      <c r="L2468" s="7">
        <f>IF($A2468="","",N2468-K2468)</f>
        <v/>
      </c>
      <c r="M2468" s="7">
        <f>IF($A2468="","",L2468-F2468)</f>
        <v/>
      </c>
      <c r="N2468" s="7" t="n"/>
      <c r="Q2468" s="11" t="n"/>
      <c r="S2468">
        <f>IF($A2468="","",IF($W2468=1,Settings!$C$6,Settings!$C$7)*1)</f>
        <v/>
      </c>
      <c r="U2468">
        <f>IF($A2468="","",IF(COUNTIF($A$2:$A2468,$A2468)=1,1,0))</f>
        <v/>
      </c>
      <c r="V2468">
        <f>IF($U2468=1,SUMPRODUCT(--($X$2:$X$3001&lt;$X2468))+1,"")</f>
        <v/>
      </c>
      <c r="W2468">
        <f>IF($A2468="","",IF(OR($T2468=TRUE(),$T2468="TRUE"),1,0))</f>
        <v/>
      </c>
      <c r="X2468">
        <f>IF($U2468=1,IFERROR(IF(VALUE($A2468)&lt;100000000,VALUE($A2468),1000000000),IFERROR(IF(VALUE(MID($A2468,2,20))&lt;100000000,VALUE(MID($A2468,2,20)),1000000000),1000000000))+ROW()/100000,"")</f>
        <v/>
      </c>
    </row>
    <row r="2469">
      <c r="F2469" s="7">
        <f>IF($A2469="","",E2469*N2469/100)</f>
        <v/>
      </c>
      <c r="J2469" s="7" t="n"/>
      <c r="K2469" s="7">
        <f>IF($A2469="","",S2469*N2469)</f>
        <v/>
      </c>
      <c r="L2469" s="7">
        <f>IF($A2469="","",N2469-K2469)</f>
        <v/>
      </c>
      <c r="M2469" s="7">
        <f>IF($A2469="","",L2469-F2469)</f>
        <v/>
      </c>
      <c r="N2469" s="7" t="n"/>
      <c r="Q2469" s="11" t="n"/>
      <c r="S2469">
        <f>IF($A2469="","",IF($W2469=1,Settings!$C$6,Settings!$C$7)*1)</f>
        <v/>
      </c>
      <c r="U2469">
        <f>IF($A2469="","",IF(COUNTIF($A$2:$A2469,$A2469)=1,1,0))</f>
        <v/>
      </c>
      <c r="V2469">
        <f>IF($U2469=1,SUMPRODUCT(--($X$2:$X$3001&lt;$X2469))+1,"")</f>
        <v/>
      </c>
      <c r="W2469">
        <f>IF($A2469="","",IF(OR($T2469=TRUE(),$T2469="TRUE"),1,0))</f>
        <v/>
      </c>
      <c r="X2469">
        <f>IF($U2469=1,IFERROR(IF(VALUE($A2469)&lt;100000000,VALUE($A2469),1000000000),IFERROR(IF(VALUE(MID($A2469,2,20))&lt;100000000,VALUE(MID($A2469,2,20)),1000000000),1000000000))+ROW()/100000,"")</f>
        <v/>
      </c>
    </row>
    <row r="2470">
      <c r="F2470" s="7">
        <f>IF($A2470="","",E2470*N2470/100)</f>
        <v/>
      </c>
      <c r="J2470" s="7" t="n"/>
      <c r="K2470" s="7">
        <f>IF($A2470="","",S2470*N2470)</f>
        <v/>
      </c>
      <c r="L2470" s="7">
        <f>IF($A2470="","",N2470-K2470)</f>
        <v/>
      </c>
      <c r="M2470" s="7">
        <f>IF($A2470="","",L2470-F2470)</f>
        <v/>
      </c>
      <c r="N2470" s="7" t="n"/>
      <c r="Q2470" s="11" t="n"/>
      <c r="S2470">
        <f>IF($A2470="","",IF($W2470=1,Settings!$C$6,Settings!$C$7)*1)</f>
        <v/>
      </c>
      <c r="U2470">
        <f>IF($A2470="","",IF(COUNTIF($A$2:$A2470,$A2470)=1,1,0))</f>
        <v/>
      </c>
      <c r="V2470">
        <f>IF($U2470=1,SUMPRODUCT(--($X$2:$X$3001&lt;$X2470))+1,"")</f>
        <v/>
      </c>
      <c r="W2470">
        <f>IF($A2470="","",IF(OR($T2470=TRUE(),$T2470="TRUE"),1,0))</f>
        <v/>
      </c>
      <c r="X2470">
        <f>IF($U2470=1,IFERROR(IF(VALUE($A2470)&lt;100000000,VALUE($A2470),1000000000),IFERROR(IF(VALUE(MID($A2470,2,20))&lt;100000000,VALUE(MID($A2470,2,20)),1000000000),1000000000))+ROW()/100000,"")</f>
        <v/>
      </c>
    </row>
    <row r="2471">
      <c r="F2471" s="7">
        <f>IF($A2471="","",E2471*N2471/100)</f>
        <v/>
      </c>
      <c r="J2471" s="7" t="n"/>
      <c r="K2471" s="7">
        <f>IF($A2471="","",S2471*N2471)</f>
        <v/>
      </c>
      <c r="L2471" s="7">
        <f>IF($A2471="","",N2471-K2471)</f>
        <v/>
      </c>
      <c r="M2471" s="7">
        <f>IF($A2471="","",L2471-F2471)</f>
        <v/>
      </c>
      <c r="N2471" s="7" t="n"/>
      <c r="Q2471" s="11" t="n"/>
      <c r="S2471">
        <f>IF($A2471="","",IF($W2471=1,Settings!$C$6,Settings!$C$7)*1)</f>
        <v/>
      </c>
      <c r="U2471">
        <f>IF($A2471="","",IF(COUNTIF($A$2:$A2471,$A2471)=1,1,0))</f>
        <v/>
      </c>
      <c r="V2471">
        <f>IF($U2471=1,SUMPRODUCT(--($X$2:$X$3001&lt;$X2471))+1,"")</f>
        <v/>
      </c>
      <c r="W2471">
        <f>IF($A2471="","",IF(OR($T2471=TRUE(),$T2471="TRUE"),1,0))</f>
        <v/>
      </c>
      <c r="X2471">
        <f>IF($U2471=1,IFERROR(IF(VALUE($A2471)&lt;100000000,VALUE($A2471),1000000000),IFERROR(IF(VALUE(MID($A2471,2,20))&lt;100000000,VALUE(MID($A2471,2,20)),1000000000),1000000000))+ROW()/100000,"")</f>
        <v/>
      </c>
    </row>
    <row r="2472">
      <c r="F2472" s="7">
        <f>IF($A2472="","",E2472*N2472/100)</f>
        <v/>
      </c>
      <c r="J2472" s="7" t="n"/>
      <c r="K2472" s="7">
        <f>IF($A2472="","",S2472*N2472)</f>
        <v/>
      </c>
      <c r="L2472" s="7">
        <f>IF($A2472="","",N2472-K2472)</f>
        <v/>
      </c>
      <c r="M2472" s="7">
        <f>IF($A2472="","",L2472-F2472)</f>
        <v/>
      </c>
      <c r="N2472" s="7" t="n"/>
      <c r="Q2472" s="11" t="n"/>
      <c r="S2472">
        <f>IF($A2472="","",IF($W2472=1,Settings!$C$6,Settings!$C$7)*1)</f>
        <v/>
      </c>
      <c r="U2472">
        <f>IF($A2472="","",IF(COUNTIF($A$2:$A2472,$A2472)=1,1,0))</f>
        <v/>
      </c>
      <c r="V2472">
        <f>IF($U2472=1,SUMPRODUCT(--($X$2:$X$3001&lt;$X2472))+1,"")</f>
        <v/>
      </c>
      <c r="W2472">
        <f>IF($A2472="","",IF(OR($T2472=TRUE(),$T2472="TRUE"),1,0))</f>
        <v/>
      </c>
      <c r="X2472">
        <f>IF($U2472=1,IFERROR(IF(VALUE($A2472)&lt;100000000,VALUE($A2472),1000000000),IFERROR(IF(VALUE(MID($A2472,2,20))&lt;100000000,VALUE(MID($A2472,2,20)),1000000000),1000000000))+ROW()/100000,"")</f>
        <v/>
      </c>
    </row>
    <row r="2473">
      <c r="F2473" s="7">
        <f>IF($A2473="","",E2473*N2473/100)</f>
        <v/>
      </c>
      <c r="J2473" s="7" t="n"/>
      <c r="K2473" s="7">
        <f>IF($A2473="","",S2473*N2473)</f>
        <v/>
      </c>
      <c r="L2473" s="7">
        <f>IF($A2473="","",N2473-K2473)</f>
        <v/>
      </c>
      <c r="M2473" s="7">
        <f>IF($A2473="","",L2473-F2473)</f>
        <v/>
      </c>
      <c r="N2473" s="7" t="n"/>
      <c r="Q2473" s="11" t="n"/>
      <c r="S2473">
        <f>IF($A2473="","",IF($W2473=1,Settings!$C$6,Settings!$C$7)*1)</f>
        <v/>
      </c>
      <c r="U2473">
        <f>IF($A2473="","",IF(COUNTIF($A$2:$A2473,$A2473)=1,1,0))</f>
        <v/>
      </c>
      <c r="V2473">
        <f>IF($U2473=1,SUMPRODUCT(--($X$2:$X$3001&lt;$X2473))+1,"")</f>
        <v/>
      </c>
      <c r="W2473">
        <f>IF($A2473="","",IF(OR($T2473=TRUE(),$T2473="TRUE"),1,0))</f>
        <v/>
      </c>
      <c r="X2473">
        <f>IF($U2473=1,IFERROR(IF(VALUE($A2473)&lt;100000000,VALUE($A2473),1000000000),IFERROR(IF(VALUE(MID($A2473,2,20))&lt;100000000,VALUE(MID($A2473,2,20)),1000000000),1000000000))+ROW()/100000,"")</f>
        <v/>
      </c>
    </row>
    <row r="2474">
      <c r="F2474" s="7">
        <f>IF($A2474="","",E2474*N2474/100)</f>
        <v/>
      </c>
      <c r="J2474" s="7" t="n"/>
      <c r="K2474" s="7">
        <f>IF($A2474="","",S2474*N2474)</f>
        <v/>
      </c>
      <c r="L2474" s="7">
        <f>IF($A2474="","",N2474-K2474)</f>
        <v/>
      </c>
      <c r="M2474" s="7">
        <f>IF($A2474="","",L2474-F2474)</f>
        <v/>
      </c>
      <c r="N2474" s="7" t="n"/>
      <c r="Q2474" s="11" t="n"/>
      <c r="S2474">
        <f>IF($A2474="","",IF($W2474=1,Settings!$C$6,Settings!$C$7)*1)</f>
        <v/>
      </c>
      <c r="U2474">
        <f>IF($A2474="","",IF(COUNTIF($A$2:$A2474,$A2474)=1,1,0))</f>
        <v/>
      </c>
      <c r="V2474">
        <f>IF($U2474=1,SUMPRODUCT(--($X$2:$X$3001&lt;$X2474))+1,"")</f>
        <v/>
      </c>
      <c r="W2474">
        <f>IF($A2474="","",IF(OR($T2474=TRUE(),$T2474="TRUE"),1,0))</f>
        <v/>
      </c>
      <c r="X2474">
        <f>IF($U2474=1,IFERROR(IF(VALUE($A2474)&lt;100000000,VALUE($A2474),1000000000),IFERROR(IF(VALUE(MID($A2474,2,20))&lt;100000000,VALUE(MID($A2474,2,20)),1000000000),1000000000))+ROW()/100000,"")</f>
        <v/>
      </c>
    </row>
    <row r="2475">
      <c r="F2475" s="7">
        <f>IF($A2475="","",E2475*N2475/100)</f>
        <v/>
      </c>
      <c r="J2475" s="7" t="n"/>
      <c r="K2475" s="7">
        <f>IF($A2475="","",S2475*N2475)</f>
        <v/>
      </c>
      <c r="L2475" s="7">
        <f>IF($A2475="","",N2475-K2475)</f>
        <v/>
      </c>
      <c r="M2475" s="7">
        <f>IF($A2475="","",L2475-F2475)</f>
        <v/>
      </c>
      <c r="N2475" s="7" t="n"/>
      <c r="Q2475" s="11" t="n"/>
      <c r="S2475">
        <f>IF($A2475="","",IF($W2475=1,Settings!$C$6,Settings!$C$7)*1)</f>
        <v/>
      </c>
      <c r="U2475">
        <f>IF($A2475="","",IF(COUNTIF($A$2:$A2475,$A2475)=1,1,0))</f>
        <v/>
      </c>
      <c r="V2475">
        <f>IF($U2475=1,SUMPRODUCT(--($X$2:$X$3001&lt;$X2475))+1,"")</f>
        <v/>
      </c>
      <c r="W2475">
        <f>IF($A2475="","",IF(OR($T2475=TRUE(),$T2475="TRUE"),1,0))</f>
        <v/>
      </c>
      <c r="X2475">
        <f>IF($U2475=1,IFERROR(IF(VALUE($A2475)&lt;100000000,VALUE($A2475),1000000000),IFERROR(IF(VALUE(MID($A2475,2,20))&lt;100000000,VALUE(MID($A2475,2,20)),1000000000),1000000000))+ROW()/100000,"")</f>
        <v/>
      </c>
    </row>
    <row r="2476">
      <c r="F2476" s="7">
        <f>IF($A2476="","",E2476*N2476/100)</f>
        <v/>
      </c>
      <c r="J2476" s="7" t="n"/>
      <c r="K2476" s="7">
        <f>IF($A2476="","",S2476*N2476)</f>
        <v/>
      </c>
      <c r="L2476" s="7">
        <f>IF($A2476="","",N2476-K2476)</f>
        <v/>
      </c>
      <c r="M2476" s="7">
        <f>IF($A2476="","",L2476-F2476)</f>
        <v/>
      </c>
      <c r="N2476" s="7" t="n"/>
      <c r="Q2476" s="11" t="n"/>
      <c r="S2476">
        <f>IF($A2476="","",IF($W2476=1,Settings!$C$6,Settings!$C$7)*1)</f>
        <v/>
      </c>
      <c r="U2476">
        <f>IF($A2476="","",IF(COUNTIF($A$2:$A2476,$A2476)=1,1,0))</f>
        <v/>
      </c>
      <c r="V2476">
        <f>IF($U2476=1,SUMPRODUCT(--($X$2:$X$3001&lt;$X2476))+1,"")</f>
        <v/>
      </c>
      <c r="W2476">
        <f>IF($A2476="","",IF(OR($T2476=TRUE(),$T2476="TRUE"),1,0))</f>
        <v/>
      </c>
      <c r="X2476">
        <f>IF($U2476=1,IFERROR(IF(VALUE($A2476)&lt;100000000,VALUE($A2476),1000000000),IFERROR(IF(VALUE(MID($A2476,2,20))&lt;100000000,VALUE(MID($A2476,2,20)),1000000000),1000000000))+ROW()/100000,"")</f>
        <v/>
      </c>
    </row>
    <row r="2477">
      <c r="F2477" s="7">
        <f>IF($A2477="","",E2477*N2477/100)</f>
        <v/>
      </c>
      <c r="J2477" s="7" t="n"/>
      <c r="K2477" s="7">
        <f>IF($A2477="","",S2477*N2477)</f>
        <v/>
      </c>
      <c r="L2477" s="7">
        <f>IF($A2477="","",N2477-K2477)</f>
        <v/>
      </c>
      <c r="M2477" s="7">
        <f>IF($A2477="","",L2477-F2477)</f>
        <v/>
      </c>
      <c r="N2477" s="7" t="n"/>
      <c r="Q2477" s="11" t="n"/>
      <c r="S2477">
        <f>IF($A2477="","",IF($W2477=1,Settings!$C$6,Settings!$C$7)*1)</f>
        <v/>
      </c>
      <c r="U2477">
        <f>IF($A2477="","",IF(COUNTIF($A$2:$A2477,$A2477)=1,1,0))</f>
        <v/>
      </c>
      <c r="V2477">
        <f>IF($U2477=1,SUMPRODUCT(--($X$2:$X$3001&lt;$X2477))+1,"")</f>
        <v/>
      </c>
      <c r="W2477">
        <f>IF($A2477="","",IF(OR($T2477=TRUE(),$T2477="TRUE"),1,0))</f>
        <v/>
      </c>
      <c r="X2477">
        <f>IF($U2477=1,IFERROR(IF(VALUE($A2477)&lt;100000000,VALUE($A2477),1000000000),IFERROR(IF(VALUE(MID($A2477,2,20))&lt;100000000,VALUE(MID($A2477,2,20)),1000000000),1000000000))+ROW()/100000,"")</f>
        <v/>
      </c>
    </row>
    <row r="2478">
      <c r="F2478" s="7">
        <f>IF($A2478="","",E2478*N2478/100)</f>
        <v/>
      </c>
      <c r="J2478" s="7" t="n"/>
      <c r="K2478" s="7">
        <f>IF($A2478="","",S2478*N2478)</f>
        <v/>
      </c>
      <c r="L2478" s="7">
        <f>IF($A2478="","",N2478-K2478)</f>
        <v/>
      </c>
      <c r="M2478" s="7">
        <f>IF($A2478="","",L2478-F2478)</f>
        <v/>
      </c>
      <c r="N2478" s="7" t="n"/>
      <c r="Q2478" s="11" t="n"/>
      <c r="S2478">
        <f>IF($A2478="","",IF($W2478=1,Settings!$C$6,Settings!$C$7)*1)</f>
        <v/>
      </c>
      <c r="U2478">
        <f>IF($A2478="","",IF(COUNTIF($A$2:$A2478,$A2478)=1,1,0))</f>
        <v/>
      </c>
      <c r="V2478">
        <f>IF($U2478=1,SUMPRODUCT(--($X$2:$X$3001&lt;$X2478))+1,"")</f>
        <v/>
      </c>
      <c r="W2478">
        <f>IF($A2478="","",IF(OR($T2478=TRUE(),$T2478="TRUE"),1,0))</f>
        <v/>
      </c>
      <c r="X2478">
        <f>IF($U2478=1,IFERROR(IF(VALUE($A2478)&lt;100000000,VALUE($A2478),1000000000),IFERROR(IF(VALUE(MID($A2478,2,20))&lt;100000000,VALUE(MID($A2478,2,20)),1000000000),1000000000))+ROW()/100000,"")</f>
        <v/>
      </c>
    </row>
    <row r="2479">
      <c r="F2479" s="7">
        <f>IF($A2479="","",E2479*N2479/100)</f>
        <v/>
      </c>
      <c r="J2479" s="7" t="n"/>
      <c r="K2479" s="7">
        <f>IF($A2479="","",S2479*N2479)</f>
        <v/>
      </c>
      <c r="L2479" s="7">
        <f>IF($A2479="","",N2479-K2479)</f>
        <v/>
      </c>
      <c r="M2479" s="7">
        <f>IF($A2479="","",L2479-F2479)</f>
        <v/>
      </c>
      <c r="N2479" s="7" t="n"/>
      <c r="Q2479" s="11" t="n"/>
      <c r="S2479">
        <f>IF($A2479="","",IF($W2479=1,Settings!$C$6,Settings!$C$7)*1)</f>
        <v/>
      </c>
      <c r="U2479">
        <f>IF($A2479="","",IF(COUNTIF($A$2:$A2479,$A2479)=1,1,0))</f>
        <v/>
      </c>
      <c r="V2479">
        <f>IF($U2479=1,SUMPRODUCT(--($X$2:$X$3001&lt;$X2479))+1,"")</f>
        <v/>
      </c>
      <c r="W2479">
        <f>IF($A2479="","",IF(OR($T2479=TRUE(),$T2479="TRUE"),1,0))</f>
        <v/>
      </c>
      <c r="X2479">
        <f>IF($U2479=1,IFERROR(IF(VALUE($A2479)&lt;100000000,VALUE($A2479),1000000000),IFERROR(IF(VALUE(MID($A2479,2,20))&lt;100000000,VALUE(MID($A2479,2,20)),1000000000),1000000000))+ROW()/100000,"")</f>
        <v/>
      </c>
    </row>
    <row r="2480">
      <c r="F2480" s="7">
        <f>IF($A2480="","",E2480*N2480/100)</f>
        <v/>
      </c>
      <c r="J2480" s="7" t="n"/>
      <c r="K2480" s="7">
        <f>IF($A2480="","",S2480*N2480)</f>
        <v/>
      </c>
      <c r="L2480" s="7">
        <f>IF($A2480="","",N2480-K2480)</f>
        <v/>
      </c>
      <c r="M2480" s="7">
        <f>IF($A2480="","",L2480-F2480)</f>
        <v/>
      </c>
      <c r="N2480" s="7" t="n"/>
      <c r="Q2480" s="11" t="n"/>
      <c r="S2480">
        <f>IF($A2480="","",IF($W2480=1,Settings!$C$6,Settings!$C$7)*1)</f>
        <v/>
      </c>
      <c r="U2480">
        <f>IF($A2480="","",IF(COUNTIF($A$2:$A2480,$A2480)=1,1,0))</f>
        <v/>
      </c>
      <c r="V2480">
        <f>IF($U2480=1,SUMPRODUCT(--($X$2:$X$3001&lt;$X2480))+1,"")</f>
        <v/>
      </c>
      <c r="W2480">
        <f>IF($A2480="","",IF(OR($T2480=TRUE(),$T2480="TRUE"),1,0))</f>
        <v/>
      </c>
      <c r="X2480">
        <f>IF($U2480=1,IFERROR(IF(VALUE($A2480)&lt;100000000,VALUE($A2480),1000000000),IFERROR(IF(VALUE(MID($A2480,2,20))&lt;100000000,VALUE(MID($A2480,2,20)),1000000000),1000000000))+ROW()/100000,"")</f>
        <v/>
      </c>
    </row>
    <row r="2481">
      <c r="F2481" s="7">
        <f>IF($A2481="","",E2481*N2481/100)</f>
        <v/>
      </c>
      <c r="J2481" s="7" t="n"/>
      <c r="K2481" s="7">
        <f>IF($A2481="","",S2481*N2481)</f>
        <v/>
      </c>
      <c r="L2481" s="7">
        <f>IF($A2481="","",N2481-K2481)</f>
        <v/>
      </c>
      <c r="M2481" s="7">
        <f>IF($A2481="","",L2481-F2481)</f>
        <v/>
      </c>
      <c r="N2481" s="7" t="n"/>
      <c r="Q2481" s="11" t="n"/>
      <c r="S2481">
        <f>IF($A2481="","",IF($W2481=1,Settings!$C$6,Settings!$C$7)*1)</f>
        <v/>
      </c>
      <c r="U2481">
        <f>IF($A2481="","",IF(COUNTIF($A$2:$A2481,$A2481)=1,1,0))</f>
        <v/>
      </c>
      <c r="V2481">
        <f>IF($U2481=1,SUMPRODUCT(--($X$2:$X$3001&lt;$X2481))+1,"")</f>
        <v/>
      </c>
      <c r="W2481">
        <f>IF($A2481="","",IF(OR($T2481=TRUE(),$T2481="TRUE"),1,0))</f>
        <v/>
      </c>
      <c r="X2481">
        <f>IF($U2481=1,IFERROR(IF(VALUE($A2481)&lt;100000000,VALUE($A2481),1000000000),IFERROR(IF(VALUE(MID($A2481,2,20))&lt;100000000,VALUE(MID($A2481,2,20)),1000000000),1000000000))+ROW()/100000,"")</f>
        <v/>
      </c>
    </row>
    <row r="2482">
      <c r="F2482" s="7">
        <f>IF($A2482="","",E2482*N2482/100)</f>
        <v/>
      </c>
      <c r="J2482" s="7" t="n"/>
      <c r="K2482" s="7">
        <f>IF($A2482="","",S2482*N2482)</f>
        <v/>
      </c>
      <c r="L2482" s="7">
        <f>IF($A2482="","",N2482-K2482)</f>
        <v/>
      </c>
      <c r="M2482" s="7">
        <f>IF($A2482="","",L2482-F2482)</f>
        <v/>
      </c>
      <c r="N2482" s="7" t="n"/>
      <c r="Q2482" s="11" t="n"/>
      <c r="S2482">
        <f>IF($A2482="","",IF($W2482=1,Settings!$C$6,Settings!$C$7)*1)</f>
        <v/>
      </c>
      <c r="U2482">
        <f>IF($A2482="","",IF(COUNTIF($A$2:$A2482,$A2482)=1,1,0))</f>
        <v/>
      </c>
      <c r="V2482">
        <f>IF($U2482=1,SUMPRODUCT(--($X$2:$X$3001&lt;$X2482))+1,"")</f>
        <v/>
      </c>
      <c r="W2482">
        <f>IF($A2482="","",IF(OR($T2482=TRUE(),$T2482="TRUE"),1,0))</f>
        <v/>
      </c>
      <c r="X2482">
        <f>IF($U2482=1,IFERROR(IF(VALUE($A2482)&lt;100000000,VALUE($A2482),1000000000),IFERROR(IF(VALUE(MID($A2482,2,20))&lt;100000000,VALUE(MID($A2482,2,20)),1000000000),1000000000))+ROW()/100000,"")</f>
        <v/>
      </c>
    </row>
    <row r="2483">
      <c r="F2483" s="7">
        <f>IF($A2483="","",E2483*N2483/100)</f>
        <v/>
      </c>
      <c r="J2483" s="7" t="n"/>
      <c r="K2483" s="7">
        <f>IF($A2483="","",S2483*N2483)</f>
        <v/>
      </c>
      <c r="L2483" s="7">
        <f>IF($A2483="","",N2483-K2483)</f>
        <v/>
      </c>
      <c r="M2483" s="7">
        <f>IF($A2483="","",L2483-F2483)</f>
        <v/>
      </c>
      <c r="N2483" s="7" t="n"/>
      <c r="Q2483" s="11" t="n"/>
      <c r="S2483">
        <f>IF($A2483="","",IF($W2483=1,Settings!$C$6,Settings!$C$7)*1)</f>
        <v/>
      </c>
      <c r="U2483">
        <f>IF($A2483="","",IF(COUNTIF($A$2:$A2483,$A2483)=1,1,0))</f>
        <v/>
      </c>
      <c r="V2483">
        <f>IF($U2483=1,SUMPRODUCT(--($X$2:$X$3001&lt;$X2483))+1,"")</f>
        <v/>
      </c>
      <c r="W2483">
        <f>IF($A2483="","",IF(OR($T2483=TRUE(),$T2483="TRUE"),1,0))</f>
        <v/>
      </c>
      <c r="X2483">
        <f>IF($U2483=1,IFERROR(IF(VALUE($A2483)&lt;100000000,VALUE($A2483),1000000000),IFERROR(IF(VALUE(MID($A2483,2,20))&lt;100000000,VALUE(MID($A2483,2,20)),1000000000),1000000000))+ROW()/100000,"")</f>
        <v/>
      </c>
    </row>
    <row r="2484">
      <c r="F2484" s="7">
        <f>IF($A2484="","",E2484*N2484/100)</f>
        <v/>
      </c>
      <c r="J2484" s="7" t="n"/>
      <c r="K2484" s="7">
        <f>IF($A2484="","",S2484*N2484)</f>
        <v/>
      </c>
      <c r="L2484" s="7">
        <f>IF($A2484="","",N2484-K2484)</f>
        <v/>
      </c>
      <c r="M2484" s="7">
        <f>IF($A2484="","",L2484-F2484)</f>
        <v/>
      </c>
      <c r="N2484" s="7" t="n"/>
      <c r="Q2484" s="11" t="n"/>
      <c r="S2484">
        <f>IF($A2484="","",IF($W2484=1,Settings!$C$6,Settings!$C$7)*1)</f>
        <v/>
      </c>
      <c r="U2484">
        <f>IF($A2484="","",IF(COUNTIF($A$2:$A2484,$A2484)=1,1,0))</f>
        <v/>
      </c>
      <c r="V2484">
        <f>IF($U2484=1,SUMPRODUCT(--($X$2:$X$3001&lt;$X2484))+1,"")</f>
        <v/>
      </c>
      <c r="W2484">
        <f>IF($A2484="","",IF(OR($T2484=TRUE(),$T2484="TRUE"),1,0))</f>
        <v/>
      </c>
      <c r="X2484">
        <f>IF($U2484=1,IFERROR(IF(VALUE($A2484)&lt;100000000,VALUE($A2484),1000000000),IFERROR(IF(VALUE(MID($A2484,2,20))&lt;100000000,VALUE(MID($A2484,2,20)),1000000000),1000000000))+ROW()/100000,"")</f>
        <v/>
      </c>
    </row>
    <row r="2485">
      <c r="F2485" s="7">
        <f>IF($A2485="","",E2485*N2485/100)</f>
        <v/>
      </c>
      <c r="J2485" s="7" t="n"/>
      <c r="K2485" s="7">
        <f>IF($A2485="","",S2485*N2485)</f>
        <v/>
      </c>
      <c r="L2485" s="7">
        <f>IF($A2485="","",N2485-K2485)</f>
        <v/>
      </c>
      <c r="M2485" s="7">
        <f>IF($A2485="","",L2485-F2485)</f>
        <v/>
      </c>
      <c r="N2485" s="7" t="n"/>
      <c r="Q2485" s="11" t="n"/>
      <c r="S2485">
        <f>IF($A2485="","",IF($W2485=1,Settings!$C$6,Settings!$C$7)*1)</f>
        <v/>
      </c>
      <c r="U2485">
        <f>IF($A2485="","",IF(COUNTIF($A$2:$A2485,$A2485)=1,1,0))</f>
        <v/>
      </c>
      <c r="V2485">
        <f>IF($U2485=1,SUMPRODUCT(--($X$2:$X$3001&lt;$X2485))+1,"")</f>
        <v/>
      </c>
      <c r="W2485">
        <f>IF($A2485="","",IF(OR($T2485=TRUE(),$T2485="TRUE"),1,0))</f>
        <v/>
      </c>
      <c r="X2485">
        <f>IF($U2485=1,IFERROR(IF(VALUE($A2485)&lt;100000000,VALUE($A2485),1000000000),IFERROR(IF(VALUE(MID($A2485,2,20))&lt;100000000,VALUE(MID($A2485,2,20)),1000000000),1000000000))+ROW()/100000,"")</f>
        <v/>
      </c>
    </row>
    <row r="2486">
      <c r="F2486" s="7">
        <f>IF($A2486="","",E2486*N2486/100)</f>
        <v/>
      </c>
      <c r="J2486" s="7" t="n"/>
      <c r="K2486" s="7">
        <f>IF($A2486="","",S2486*N2486)</f>
        <v/>
      </c>
      <c r="L2486" s="7">
        <f>IF($A2486="","",N2486-K2486)</f>
        <v/>
      </c>
      <c r="M2486" s="7">
        <f>IF($A2486="","",L2486-F2486)</f>
        <v/>
      </c>
      <c r="N2486" s="7" t="n"/>
      <c r="Q2486" s="11" t="n"/>
      <c r="S2486">
        <f>IF($A2486="","",IF($W2486=1,Settings!$C$6,Settings!$C$7)*1)</f>
        <v/>
      </c>
      <c r="U2486">
        <f>IF($A2486="","",IF(COUNTIF($A$2:$A2486,$A2486)=1,1,0))</f>
        <v/>
      </c>
      <c r="V2486">
        <f>IF($U2486=1,SUMPRODUCT(--($X$2:$X$3001&lt;$X2486))+1,"")</f>
        <v/>
      </c>
      <c r="W2486">
        <f>IF($A2486="","",IF(OR($T2486=TRUE(),$T2486="TRUE"),1,0))</f>
        <v/>
      </c>
      <c r="X2486">
        <f>IF($U2486=1,IFERROR(IF(VALUE($A2486)&lt;100000000,VALUE($A2486),1000000000),IFERROR(IF(VALUE(MID($A2486,2,20))&lt;100000000,VALUE(MID($A2486,2,20)),1000000000),1000000000))+ROW()/100000,"")</f>
        <v/>
      </c>
    </row>
    <row r="2487">
      <c r="F2487" s="7">
        <f>IF($A2487="","",E2487*N2487/100)</f>
        <v/>
      </c>
      <c r="J2487" s="7" t="n"/>
      <c r="K2487" s="7">
        <f>IF($A2487="","",S2487*N2487)</f>
        <v/>
      </c>
      <c r="L2487" s="7">
        <f>IF($A2487="","",N2487-K2487)</f>
        <v/>
      </c>
      <c r="M2487" s="7">
        <f>IF($A2487="","",L2487-F2487)</f>
        <v/>
      </c>
      <c r="N2487" s="7" t="n"/>
      <c r="Q2487" s="11" t="n"/>
      <c r="S2487">
        <f>IF($A2487="","",IF($W2487=1,Settings!$C$6,Settings!$C$7)*1)</f>
        <v/>
      </c>
      <c r="U2487">
        <f>IF($A2487="","",IF(COUNTIF($A$2:$A2487,$A2487)=1,1,0))</f>
        <v/>
      </c>
      <c r="V2487">
        <f>IF($U2487=1,SUMPRODUCT(--($X$2:$X$3001&lt;$X2487))+1,"")</f>
        <v/>
      </c>
      <c r="W2487">
        <f>IF($A2487="","",IF(OR($T2487=TRUE(),$T2487="TRUE"),1,0))</f>
        <v/>
      </c>
      <c r="X2487">
        <f>IF($U2487=1,IFERROR(IF(VALUE($A2487)&lt;100000000,VALUE($A2487),1000000000),IFERROR(IF(VALUE(MID($A2487,2,20))&lt;100000000,VALUE(MID($A2487,2,20)),1000000000),1000000000))+ROW()/100000,"")</f>
        <v/>
      </c>
    </row>
    <row r="2488">
      <c r="F2488" s="7">
        <f>IF($A2488="","",E2488*N2488/100)</f>
        <v/>
      </c>
      <c r="J2488" s="7" t="n"/>
      <c r="K2488" s="7">
        <f>IF($A2488="","",S2488*N2488)</f>
        <v/>
      </c>
      <c r="L2488" s="7">
        <f>IF($A2488="","",N2488-K2488)</f>
        <v/>
      </c>
      <c r="M2488" s="7">
        <f>IF($A2488="","",L2488-F2488)</f>
        <v/>
      </c>
      <c r="N2488" s="7" t="n"/>
      <c r="Q2488" s="11" t="n"/>
      <c r="S2488">
        <f>IF($A2488="","",IF($W2488=1,Settings!$C$6,Settings!$C$7)*1)</f>
        <v/>
      </c>
      <c r="U2488">
        <f>IF($A2488="","",IF(COUNTIF($A$2:$A2488,$A2488)=1,1,0))</f>
        <v/>
      </c>
      <c r="V2488">
        <f>IF($U2488=1,SUMPRODUCT(--($X$2:$X$3001&lt;$X2488))+1,"")</f>
        <v/>
      </c>
      <c r="W2488">
        <f>IF($A2488="","",IF(OR($T2488=TRUE(),$T2488="TRUE"),1,0))</f>
        <v/>
      </c>
      <c r="X2488">
        <f>IF($U2488=1,IFERROR(IF(VALUE($A2488)&lt;100000000,VALUE($A2488),1000000000),IFERROR(IF(VALUE(MID($A2488,2,20))&lt;100000000,VALUE(MID($A2488,2,20)),1000000000),1000000000))+ROW()/100000,"")</f>
        <v/>
      </c>
    </row>
    <row r="2489">
      <c r="F2489" s="7">
        <f>IF($A2489="","",E2489*N2489/100)</f>
        <v/>
      </c>
      <c r="J2489" s="7" t="n"/>
      <c r="K2489" s="7">
        <f>IF($A2489="","",S2489*N2489)</f>
        <v/>
      </c>
      <c r="L2489" s="7">
        <f>IF($A2489="","",N2489-K2489)</f>
        <v/>
      </c>
      <c r="M2489" s="7">
        <f>IF($A2489="","",L2489-F2489)</f>
        <v/>
      </c>
      <c r="N2489" s="7" t="n"/>
      <c r="Q2489" s="11" t="n"/>
      <c r="S2489">
        <f>IF($A2489="","",IF($W2489=1,Settings!$C$6,Settings!$C$7)*1)</f>
        <v/>
      </c>
      <c r="U2489">
        <f>IF($A2489="","",IF(COUNTIF($A$2:$A2489,$A2489)=1,1,0))</f>
        <v/>
      </c>
      <c r="V2489">
        <f>IF($U2489=1,SUMPRODUCT(--($X$2:$X$3001&lt;$X2489))+1,"")</f>
        <v/>
      </c>
      <c r="W2489">
        <f>IF($A2489="","",IF(OR($T2489=TRUE(),$T2489="TRUE"),1,0))</f>
        <v/>
      </c>
      <c r="X2489">
        <f>IF($U2489=1,IFERROR(IF(VALUE($A2489)&lt;100000000,VALUE($A2489),1000000000),IFERROR(IF(VALUE(MID($A2489,2,20))&lt;100000000,VALUE(MID($A2489,2,20)),1000000000),1000000000))+ROW()/100000,"")</f>
        <v/>
      </c>
    </row>
    <row r="2490">
      <c r="F2490" s="7">
        <f>IF($A2490="","",E2490*N2490/100)</f>
        <v/>
      </c>
      <c r="J2490" s="7" t="n"/>
      <c r="K2490" s="7">
        <f>IF($A2490="","",S2490*N2490)</f>
        <v/>
      </c>
      <c r="L2490" s="7">
        <f>IF($A2490="","",N2490-K2490)</f>
        <v/>
      </c>
      <c r="M2490" s="7">
        <f>IF($A2490="","",L2490-F2490)</f>
        <v/>
      </c>
      <c r="N2490" s="7" t="n"/>
      <c r="Q2490" s="11" t="n"/>
      <c r="S2490">
        <f>IF($A2490="","",IF($W2490=1,Settings!$C$6,Settings!$C$7)*1)</f>
        <v/>
      </c>
      <c r="U2490">
        <f>IF($A2490="","",IF(COUNTIF($A$2:$A2490,$A2490)=1,1,0))</f>
        <v/>
      </c>
      <c r="V2490">
        <f>IF($U2490=1,SUMPRODUCT(--($X$2:$X$3001&lt;$X2490))+1,"")</f>
        <v/>
      </c>
      <c r="W2490">
        <f>IF($A2490="","",IF(OR($T2490=TRUE(),$T2490="TRUE"),1,0))</f>
        <v/>
      </c>
      <c r="X2490">
        <f>IF($U2490=1,IFERROR(IF(VALUE($A2490)&lt;100000000,VALUE($A2490),1000000000),IFERROR(IF(VALUE(MID($A2490,2,20))&lt;100000000,VALUE(MID($A2490,2,20)),1000000000),1000000000))+ROW()/100000,"")</f>
        <v/>
      </c>
    </row>
    <row r="2491">
      <c r="F2491" s="7">
        <f>IF($A2491="","",E2491*N2491/100)</f>
        <v/>
      </c>
      <c r="J2491" s="7" t="n"/>
      <c r="K2491" s="7">
        <f>IF($A2491="","",S2491*N2491)</f>
        <v/>
      </c>
      <c r="L2491" s="7">
        <f>IF($A2491="","",N2491-K2491)</f>
        <v/>
      </c>
      <c r="M2491" s="7">
        <f>IF($A2491="","",L2491-F2491)</f>
        <v/>
      </c>
      <c r="N2491" s="7" t="n"/>
      <c r="Q2491" s="11" t="n"/>
      <c r="S2491">
        <f>IF($A2491="","",IF($W2491=1,Settings!$C$6,Settings!$C$7)*1)</f>
        <v/>
      </c>
      <c r="U2491">
        <f>IF($A2491="","",IF(COUNTIF($A$2:$A2491,$A2491)=1,1,0))</f>
        <v/>
      </c>
      <c r="V2491">
        <f>IF($U2491=1,SUMPRODUCT(--($X$2:$X$3001&lt;$X2491))+1,"")</f>
        <v/>
      </c>
      <c r="W2491">
        <f>IF($A2491="","",IF(OR($T2491=TRUE(),$T2491="TRUE"),1,0))</f>
        <v/>
      </c>
      <c r="X2491">
        <f>IF($U2491=1,IFERROR(IF(VALUE($A2491)&lt;100000000,VALUE($A2491),1000000000),IFERROR(IF(VALUE(MID($A2491,2,20))&lt;100000000,VALUE(MID($A2491,2,20)),1000000000),1000000000))+ROW()/100000,"")</f>
        <v/>
      </c>
    </row>
    <row r="2492">
      <c r="F2492" s="7">
        <f>IF($A2492="","",E2492*N2492/100)</f>
        <v/>
      </c>
      <c r="J2492" s="7" t="n"/>
      <c r="K2492" s="7">
        <f>IF($A2492="","",S2492*N2492)</f>
        <v/>
      </c>
      <c r="L2492" s="7">
        <f>IF($A2492="","",N2492-K2492)</f>
        <v/>
      </c>
      <c r="M2492" s="7">
        <f>IF($A2492="","",L2492-F2492)</f>
        <v/>
      </c>
      <c r="N2492" s="7" t="n"/>
      <c r="Q2492" s="11" t="n"/>
      <c r="S2492">
        <f>IF($A2492="","",IF($W2492=1,Settings!$C$6,Settings!$C$7)*1)</f>
        <v/>
      </c>
      <c r="U2492">
        <f>IF($A2492="","",IF(COUNTIF($A$2:$A2492,$A2492)=1,1,0))</f>
        <v/>
      </c>
      <c r="V2492">
        <f>IF($U2492=1,SUMPRODUCT(--($X$2:$X$3001&lt;$X2492))+1,"")</f>
        <v/>
      </c>
      <c r="W2492">
        <f>IF($A2492="","",IF(OR($T2492=TRUE(),$T2492="TRUE"),1,0))</f>
        <v/>
      </c>
      <c r="X2492">
        <f>IF($U2492=1,IFERROR(IF(VALUE($A2492)&lt;100000000,VALUE($A2492),1000000000),IFERROR(IF(VALUE(MID($A2492,2,20))&lt;100000000,VALUE(MID($A2492,2,20)),1000000000),1000000000))+ROW()/100000,"")</f>
        <v/>
      </c>
    </row>
    <row r="2493">
      <c r="F2493" s="7">
        <f>IF($A2493="","",E2493*N2493/100)</f>
        <v/>
      </c>
      <c r="J2493" s="7" t="n"/>
      <c r="K2493" s="7">
        <f>IF($A2493="","",S2493*N2493)</f>
        <v/>
      </c>
      <c r="L2493" s="7">
        <f>IF($A2493="","",N2493-K2493)</f>
        <v/>
      </c>
      <c r="M2493" s="7">
        <f>IF($A2493="","",L2493-F2493)</f>
        <v/>
      </c>
      <c r="N2493" s="7" t="n"/>
      <c r="Q2493" s="11" t="n"/>
      <c r="S2493">
        <f>IF($A2493="","",IF($W2493=1,Settings!$C$6,Settings!$C$7)*1)</f>
        <v/>
      </c>
      <c r="U2493">
        <f>IF($A2493="","",IF(COUNTIF($A$2:$A2493,$A2493)=1,1,0))</f>
        <v/>
      </c>
      <c r="V2493">
        <f>IF($U2493=1,SUMPRODUCT(--($X$2:$X$3001&lt;$X2493))+1,"")</f>
        <v/>
      </c>
      <c r="W2493">
        <f>IF($A2493="","",IF(OR($T2493=TRUE(),$T2493="TRUE"),1,0))</f>
        <v/>
      </c>
      <c r="X2493">
        <f>IF($U2493=1,IFERROR(IF(VALUE($A2493)&lt;100000000,VALUE($A2493),1000000000),IFERROR(IF(VALUE(MID($A2493,2,20))&lt;100000000,VALUE(MID($A2493,2,20)),1000000000),1000000000))+ROW()/100000,"")</f>
        <v/>
      </c>
    </row>
    <row r="2494">
      <c r="F2494" s="7">
        <f>IF($A2494="","",E2494*N2494/100)</f>
        <v/>
      </c>
      <c r="J2494" s="7" t="n"/>
      <c r="K2494" s="7">
        <f>IF($A2494="","",S2494*N2494)</f>
        <v/>
      </c>
      <c r="L2494" s="7">
        <f>IF($A2494="","",N2494-K2494)</f>
        <v/>
      </c>
      <c r="M2494" s="7">
        <f>IF($A2494="","",L2494-F2494)</f>
        <v/>
      </c>
      <c r="N2494" s="7" t="n"/>
      <c r="Q2494" s="11" t="n"/>
      <c r="S2494">
        <f>IF($A2494="","",IF($W2494=1,Settings!$C$6,Settings!$C$7)*1)</f>
        <v/>
      </c>
      <c r="U2494">
        <f>IF($A2494="","",IF(COUNTIF($A$2:$A2494,$A2494)=1,1,0))</f>
        <v/>
      </c>
      <c r="V2494">
        <f>IF($U2494=1,SUMPRODUCT(--($X$2:$X$3001&lt;$X2494))+1,"")</f>
        <v/>
      </c>
      <c r="W2494">
        <f>IF($A2494="","",IF(OR($T2494=TRUE(),$T2494="TRUE"),1,0))</f>
        <v/>
      </c>
      <c r="X2494">
        <f>IF($U2494=1,IFERROR(IF(VALUE($A2494)&lt;100000000,VALUE($A2494),1000000000),IFERROR(IF(VALUE(MID($A2494,2,20))&lt;100000000,VALUE(MID($A2494,2,20)),1000000000),1000000000))+ROW()/100000,"")</f>
        <v/>
      </c>
    </row>
    <row r="2495">
      <c r="F2495" s="7">
        <f>IF($A2495="","",E2495*N2495/100)</f>
        <v/>
      </c>
      <c r="J2495" s="7" t="n"/>
      <c r="K2495" s="7">
        <f>IF($A2495="","",S2495*N2495)</f>
        <v/>
      </c>
      <c r="L2495" s="7">
        <f>IF($A2495="","",N2495-K2495)</f>
        <v/>
      </c>
      <c r="M2495" s="7">
        <f>IF($A2495="","",L2495-F2495)</f>
        <v/>
      </c>
      <c r="N2495" s="7" t="n"/>
      <c r="Q2495" s="11" t="n"/>
      <c r="S2495">
        <f>IF($A2495="","",IF($W2495=1,Settings!$C$6,Settings!$C$7)*1)</f>
        <v/>
      </c>
      <c r="U2495">
        <f>IF($A2495="","",IF(COUNTIF($A$2:$A2495,$A2495)=1,1,0))</f>
        <v/>
      </c>
      <c r="V2495">
        <f>IF($U2495=1,SUMPRODUCT(--($X$2:$X$3001&lt;$X2495))+1,"")</f>
        <v/>
      </c>
      <c r="W2495">
        <f>IF($A2495="","",IF(OR($T2495=TRUE(),$T2495="TRUE"),1,0))</f>
        <v/>
      </c>
      <c r="X2495">
        <f>IF($U2495=1,IFERROR(IF(VALUE($A2495)&lt;100000000,VALUE($A2495),1000000000),IFERROR(IF(VALUE(MID($A2495,2,20))&lt;100000000,VALUE(MID($A2495,2,20)),1000000000),1000000000))+ROW()/100000,"")</f>
        <v/>
      </c>
    </row>
    <row r="2496">
      <c r="F2496" s="7">
        <f>IF($A2496="","",E2496*N2496/100)</f>
        <v/>
      </c>
      <c r="J2496" s="7" t="n"/>
      <c r="K2496" s="7">
        <f>IF($A2496="","",S2496*N2496)</f>
        <v/>
      </c>
      <c r="L2496" s="7">
        <f>IF($A2496="","",N2496-K2496)</f>
        <v/>
      </c>
      <c r="M2496" s="7">
        <f>IF($A2496="","",L2496-F2496)</f>
        <v/>
      </c>
      <c r="N2496" s="7" t="n"/>
      <c r="Q2496" s="11" t="n"/>
      <c r="S2496">
        <f>IF($A2496="","",IF($W2496=1,Settings!$C$6,Settings!$C$7)*1)</f>
        <v/>
      </c>
      <c r="U2496">
        <f>IF($A2496="","",IF(COUNTIF($A$2:$A2496,$A2496)=1,1,0))</f>
        <v/>
      </c>
      <c r="V2496">
        <f>IF($U2496=1,SUMPRODUCT(--($X$2:$X$3001&lt;$X2496))+1,"")</f>
        <v/>
      </c>
      <c r="W2496">
        <f>IF($A2496="","",IF(OR($T2496=TRUE(),$T2496="TRUE"),1,0))</f>
        <v/>
      </c>
      <c r="X2496">
        <f>IF($U2496=1,IFERROR(IF(VALUE($A2496)&lt;100000000,VALUE($A2496),1000000000),IFERROR(IF(VALUE(MID($A2496,2,20))&lt;100000000,VALUE(MID($A2496,2,20)),1000000000),1000000000))+ROW()/100000,"")</f>
        <v/>
      </c>
    </row>
    <row r="2497">
      <c r="F2497" s="7">
        <f>IF($A2497="","",E2497*N2497/100)</f>
        <v/>
      </c>
      <c r="J2497" s="7" t="n"/>
      <c r="K2497" s="7">
        <f>IF($A2497="","",S2497*N2497)</f>
        <v/>
      </c>
      <c r="L2497" s="7">
        <f>IF($A2497="","",N2497-K2497)</f>
        <v/>
      </c>
      <c r="M2497" s="7">
        <f>IF($A2497="","",L2497-F2497)</f>
        <v/>
      </c>
      <c r="N2497" s="7" t="n"/>
      <c r="Q2497" s="11" t="n"/>
      <c r="S2497">
        <f>IF($A2497="","",IF($W2497=1,Settings!$C$6,Settings!$C$7)*1)</f>
        <v/>
      </c>
      <c r="U2497">
        <f>IF($A2497="","",IF(COUNTIF($A$2:$A2497,$A2497)=1,1,0))</f>
        <v/>
      </c>
      <c r="V2497">
        <f>IF($U2497=1,SUMPRODUCT(--($X$2:$X$3001&lt;$X2497))+1,"")</f>
        <v/>
      </c>
      <c r="W2497">
        <f>IF($A2497="","",IF(OR($T2497=TRUE(),$T2497="TRUE"),1,0))</f>
        <v/>
      </c>
      <c r="X2497">
        <f>IF($U2497=1,IFERROR(IF(VALUE($A2497)&lt;100000000,VALUE($A2497),1000000000),IFERROR(IF(VALUE(MID($A2497,2,20))&lt;100000000,VALUE(MID($A2497,2,20)),1000000000),1000000000))+ROW()/100000,"")</f>
        <v/>
      </c>
    </row>
    <row r="2498">
      <c r="F2498" s="7">
        <f>IF($A2498="","",E2498*N2498/100)</f>
        <v/>
      </c>
      <c r="J2498" s="7" t="n"/>
      <c r="K2498" s="7">
        <f>IF($A2498="","",S2498*N2498)</f>
        <v/>
      </c>
      <c r="L2498" s="7">
        <f>IF($A2498="","",N2498-K2498)</f>
        <v/>
      </c>
      <c r="M2498" s="7">
        <f>IF($A2498="","",L2498-F2498)</f>
        <v/>
      </c>
      <c r="N2498" s="7" t="n"/>
      <c r="Q2498" s="11" t="n"/>
      <c r="S2498">
        <f>IF($A2498="","",IF($W2498=1,Settings!$C$6,Settings!$C$7)*1)</f>
        <v/>
      </c>
      <c r="U2498">
        <f>IF($A2498="","",IF(COUNTIF($A$2:$A2498,$A2498)=1,1,0))</f>
        <v/>
      </c>
      <c r="V2498">
        <f>IF($U2498=1,SUMPRODUCT(--($X$2:$X$3001&lt;$X2498))+1,"")</f>
        <v/>
      </c>
      <c r="W2498">
        <f>IF($A2498="","",IF(OR($T2498=TRUE(),$T2498="TRUE"),1,0))</f>
        <v/>
      </c>
      <c r="X2498">
        <f>IF($U2498=1,IFERROR(IF(VALUE($A2498)&lt;100000000,VALUE($A2498),1000000000),IFERROR(IF(VALUE(MID($A2498,2,20))&lt;100000000,VALUE(MID($A2498,2,20)),1000000000),1000000000))+ROW()/100000,"")</f>
        <v/>
      </c>
    </row>
    <row r="2499">
      <c r="F2499" s="7">
        <f>IF($A2499="","",E2499*N2499/100)</f>
        <v/>
      </c>
      <c r="J2499" s="7" t="n"/>
      <c r="K2499" s="7">
        <f>IF($A2499="","",S2499*N2499)</f>
        <v/>
      </c>
      <c r="L2499" s="7">
        <f>IF($A2499="","",N2499-K2499)</f>
        <v/>
      </c>
      <c r="M2499" s="7">
        <f>IF($A2499="","",L2499-F2499)</f>
        <v/>
      </c>
      <c r="N2499" s="7" t="n"/>
      <c r="Q2499" s="11" t="n"/>
      <c r="S2499">
        <f>IF($A2499="","",IF($W2499=1,Settings!$C$6,Settings!$C$7)*1)</f>
        <v/>
      </c>
      <c r="U2499">
        <f>IF($A2499="","",IF(COUNTIF($A$2:$A2499,$A2499)=1,1,0))</f>
        <v/>
      </c>
      <c r="V2499">
        <f>IF($U2499=1,SUMPRODUCT(--($X$2:$X$3001&lt;$X2499))+1,"")</f>
        <v/>
      </c>
      <c r="W2499">
        <f>IF($A2499="","",IF(OR($T2499=TRUE(),$T2499="TRUE"),1,0))</f>
        <v/>
      </c>
      <c r="X2499">
        <f>IF($U2499=1,IFERROR(IF(VALUE($A2499)&lt;100000000,VALUE($A2499),1000000000),IFERROR(IF(VALUE(MID($A2499,2,20))&lt;100000000,VALUE(MID($A2499,2,20)),1000000000),1000000000))+ROW()/100000,"")</f>
        <v/>
      </c>
    </row>
    <row r="2500">
      <c r="F2500" s="7">
        <f>IF($A2500="","",E2500*N2500/100)</f>
        <v/>
      </c>
      <c r="J2500" s="7" t="n"/>
      <c r="K2500" s="7">
        <f>IF($A2500="","",S2500*N2500)</f>
        <v/>
      </c>
      <c r="L2500" s="7">
        <f>IF($A2500="","",N2500-K2500)</f>
        <v/>
      </c>
      <c r="M2500" s="7">
        <f>IF($A2500="","",L2500-F2500)</f>
        <v/>
      </c>
      <c r="N2500" s="7" t="n"/>
      <c r="Q2500" s="11" t="n"/>
      <c r="S2500">
        <f>IF($A2500="","",IF($W2500=1,Settings!$C$6,Settings!$C$7)*1)</f>
        <v/>
      </c>
      <c r="U2500">
        <f>IF($A2500="","",IF(COUNTIF($A$2:$A2500,$A2500)=1,1,0))</f>
        <v/>
      </c>
      <c r="V2500">
        <f>IF($U2500=1,SUMPRODUCT(--($X$2:$X$3001&lt;$X2500))+1,"")</f>
        <v/>
      </c>
      <c r="W2500">
        <f>IF($A2500="","",IF(OR($T2500=TRUE(),$T2500="TRUE"),1,0))</f>
        <v/>
      </c>
      <c r="X2500">
        <f>IF($U2500=1,IFERROR(IF(VALUE($A2500)&lt;100000000,VALUE($A2500),1000000000),IFERROR(IF(VALUE(MID($A2500,2,20))&lt;100000000,VALUE(MID($A2500,2,20)),1000000000),1000000000))+ROW()/100000,"")</f>
        <v/>
      </c>
    </row>
    <row r="2501">
      <c r="F2501" s="7">
        <f>IF($A2501="","",E2501*N2501/100)</f>
        <v/>
      </c>
      <c r="J2501" s="7" t="n"/>
      <c r="K2501" s="7">
        <f>IF($A2501="","",S2501*N2501)</f>
        <v/>
      </c>
      <c r="L2501" s="7">
        <f>IF($A2501="","",N2501-K2501)</f>
        <v/>
      </c>
      <c r="M2501" s="7">
        <f>IF($A2501="","",L2501-F2501)</f>
        <v/>
      </c>
      <c r="N2501" s="7" t="n"/>
      <c r="Q2501" s="11" t="n"/>
      <c r="S2501">
        <f>IF($A2501="","",IF($W2501=1,Settings!$C$6,Settings!$C$7)*1)</f>
        <v/>
      </c>
      <c r="U2501">
        <f>IF($A2501="","",IF(COUNTIF($A$2:$A2501,$A2501)=1,1,0))</f>
        <v/>
      </c>
      <c r="V2501">
        <f>IF($U2501=1,SUMPRODUCT(--($X$2:$X$3001&lt;$X2501))+1,"")</f>
        <v/>
      </c>
      <c r="W2501">
        <f>IF($A2501="","",IF(OR($T2501=TRUE(),$T2501="TRUE"),1,0))</f>
        <v/>
      </c>
      <c r="X2501">
        <f>IF($U2501=1,IFERROR(IF(VALUE($A2501)&lt;100000000,VALUE($A2501),1000000000),IFERROR(IF(VALUE(MID($A2501,2,20))&lt;100000000,VALUE(MID($A2501,2,20)),1000000000),1000000000))+ROW()/100000,"")</f>
        <v/>
      </c>
    </row>
    <row r="2502">
      <c r="F2502" s="7">
        <f>IF($A2502="","",E2502*N2502/100)</f>
        <v/>
      </c>
      <c r="J2502" s="7" t="n"/>
      <c r="K2502" s="7">
        <f>IF($A2502="","",S2502*N2502)</f>
        <v/>
      </c>
      <c r="L2502" s="7">
        <f>IF($A2502="","",N2502-K2502)</f>
        <v/>
      </c>
      <c r="M2502" s="7">
        <f>IF($A2502="","",L2502-F2502)</f>
        <v/>
      </c>
      <c r="N2502" s="7" t="n"/>
      <c r="Q2502" s="11" t="n"/>
      <c r="S2502">
        <f>IF($A2502="","",IF($W2502=1,Settings!$C$6,Settings!$C$7)*1)</f>
        <v/>
      </c>
      <c r="U2502">
        <f>IF($A2502="","",IF(COUNTIF($A$2:$A2502,$A2502)=1,1,0))</f>
        <v/>
      </c>
      <c r="V2502">
        <f>IF($U2502=1,SUMPRODUCT(--($X$2:$X$3001&lt;$X2502))+1,"")</f>
        <v/>
      </c>
      <c r="W2502">
        <f>IF($A2502="","",IF(OR($T2502=TRUE(),$T2502="TRUE"),1,0))</f>
        <v/>
      </c>
      <c r="X2502">
        <f>IF($U2502=1,IFERROR(IF(VALUE($A2502)&lt;100000000,VALUE($A2502),1000000000),IFERROR(IF(VALUE(MID($A2502,2,20))&lt;100000000,VALUE(MID($A2502,2,20)),1000000000),1000000000))+ROW()/100000,"")</f>
        <v/>
      </c>
    </row>
    <row r="2503">
      <c r="F2503" s="7">
        <f>IF($A2503="","",E2503*N2503/100)</f>
        <v/>
      </c>
      <c r="J2503" s="7" t="n"/>
      <c r="K2503" s="7">
        <f>IF($A2503="","",S2503*N2503)</f>
        <v/>
      </c>
      <c r="L2503" s="7">
        <f>IF($A2503="","",N2503-K2503)</f>
        <v/>
      </c>
      <c r="M2503" s="7">
        <f>IF($A2503="","",L2503-F2503)</f>
        <v/>
      </c>
      <c r="N2503" s="7" t="n"/>
      <c r="Q2503" s="11" t="n"/>
      <c r="S2503">
        <f>IF($A2503="","",IF($W2503=1,Settings!$C$6,Settings!$C$7)*1)</f>
        <v/>
      </c>
      <c r="U2503">
        <f>IF($A2503="","",IF(COUNTIF($A$2:$A2503,$A2503)=1,1,0))</f>
        <v/>
      </c>
      <c r="V2503">
        <f>IF($U2503=1,SUMPRODUCT(--($X$2:$X$3001&lt;$X2503))+1,"")</f>
        <v/>
      </c>
      <c r="W2503">
        <f>IF($A2503="","",IF(OR($T2503=TRUE(),$T2503="TRUE"),1,0))</f>
        <v/>
      </c>
      <c r="X2503">
        <f>IF($U2503=1,IFERROR(IF(VALUE($A2503)&lt;100000000,VALUE($A2503),1000000000),IFERROR(IF(VALUE(MID($A2503,2,20))&lt;100000000,VALUE(MID($A2503,2,20)),1000000000),1000000000))+ROW()/100000,"")</f>
        <v/>
      </c>
    </row>
    <row r="2504">
      <c r="F2504" s="7">
        <f>IF($A2504="","",E2504*N2504/100)</f>
        <v/>
      </c>
      <c r="J2504" s="7" t="n"/>
      <c r="K2504" s="7">
        <f>IF($A2504="","",S2504*N2504)</f>
        <v/>
      </c>
      <c r="L2504" s="7">
        <f>IF($A2504="","",N2504-K2504)</f>
        <v/>
      </c>
      <c r="M2504" s="7">
        <f>IF($A2504="","",L2504-F2504)</f>
        <v/>
      </c>
      <c r="N2504" s="7" t="n"/>
      <c r="Q2504" s="11" t="n"/>
      <c r="S2504">
        <f>IF($A2504="","",IF($W2504=1,Settings!$C$6,Settings!$C$7)*1)</f>
        <v/>
      </c>
      <c r="U2504">
        <f>IF($A2504="","",IF(COUNTIF($A$2:$A2504,$A2504)=1,1,0))</f>
        <v/>
      </c>
      <c r="V2504">
        <f>IF($U2504=1,SUMPRODUCT(--($X$2:$X$3001&lt;$X2504))+1,"")</f>
        <v/>
      </c>
      <c r="W2504">
        <f>IF($A2504="","",IF(OR($T2504=TRUE(),$T2504="TRUE"),1,0))</f>
        <v/>
      </c>
      <c r="X2504">
        <f>IF($U2504=1,IFERROR(IF(VALUE($A2504)&lt;100000000,VALUE($A2504),1000000000),IFERROR(IF(VALUE(MID($A2504,2,20))&lt;100000000,VALUE(MID($A2504,2,20)),1000000000),1000000000))+ROW()/100000,"")</f>
        <v/>
      </c>
    </row>
    <row r="2505">
      <c r="F2505" s="7">
        <f>IF($A2505="","",E2505*N2505/100)</f>
        <v/>
      </c>
      <c r="J2505" s="7" t="n"/>
      <c r="K2505" s="7">
        <f>IF($A2505="","",S2505*N2505)</f>
        <v/>
      </c>
      <c r="L2505" s="7">
        <f>IF($A2505="","",N2505-K2505)</f>
        <v/>
      </c>
      <c r="M2505" s="7">
        <f>IF($A2505="","",L2505-F2505)</f>
        <v/>
      </c>
      <c r="N2505" s="7" t="n"/>
      <c r="Q2505" s="11" t="n"/>
      <c r="S2505">
        <f>IF($A2505="","",IF($W2505=1,Settings!$C$6,Settings!$C$7)*1)</f>
        <v/>
      </c>
      <c r="U2505">
        <f>IF($A2505="","",IF(COUNTIF($A$2:$A2505,$A2505)=1,1,0))</f>
        <v/>
      </c>
      <c r="V2505">
        <f>IF($U2505=1,SUMPRODUCT(--($X$2:$X$3001&lt;$X2505))+1,"")</f>
        <v/>
      </c>
      <c r="W2505">
        <f>IF($A2505="","",IF(OR($T2505=TRUE(),$T2505="TRUE"),1,0))</f>
        <v/>
      </c>
      <c r="X2505">
        <f>IF($U2505=1,IFERROR(IF(VALUE($A2505)&lt;100000000,VALUE($A2505),1000000000),IFERROR(IF(VALUE(MID($A2505,2,20))&lt;100000000,VALUE(MID($A2505,2,20)),1000000000),1000000000))+ROW()/100000,"")</f>
        <v/>
      </c>
    </row>
    <row r="2506">
      <c r="F2506" s="7">
        <f>IF($A2506="","",E2506*N2506/100)</f>
        <v/>
      </c>
      <c r="J2506" s="7" t="n"/>
      <c r="K2506" s="7">
        <f>IF($A2506="","",S2506*N2506)</f>
        <v/>
      </c>
      <c r="L2506" s="7">
        <f>IF($A2506="","",N2506-K2506)</f>
        <v/>
      </c>
      <c r="M2506" s="7">
        <f>IF($A2506="","",L2506-F2506)</f>
        <v/>
      </c>
      <c r="N2506" s="7" t="n"/>
      <c r="Q2506" s="11" t="n"/>
      <c r="S2506">
        <f>IF($A2506="","",IF($W2506=1,Settings!$C$6,Settings!$C$7)*1)</f>
        <v/>
      </c>
      <c r="U2506">
        <f>IF($A2506="","",IF(COUNTIF($A$2:$A2506,$A2506)=1,1,0))</f>
        <v/>
      </c>
      <c r="V2506">
        <f>IF($U2506=1,SUMPRODUCT(--($X$2:$X$3001&lt;$X2506))+1,"")</f>
        <v/>
      </c>
      <c r="W2506">
        <f>IF($A2506="","",IF(OR($T2506=TRUE(),$T2506="TRUE"),1,0))</f>
        <v/>
      </c>
      <c r="X2506">
        <f>IF($U2506=1,IFERROR(IF(VALUE($A2506)&lt;100000000,VALUE($A2506),1000000000),IFERROR(IF(VALUE(MID($A2506,2,20))&lt;100000000,VALUE(MID($A2506,2,20)),1000000000),1000000000))+ROW()/100000,"")</f>
        <v/>
      </c>
    </row>
    <row r="2507">
      <c r="F2507" s="7">
        <f>IF($A2507="","",E2507*N2507/100)</f>
        <v/>
      </c>
      <c r="J2507" s="7" t="n"/>
      <c r="K2507" s="7">
        <f>IF($A2507="","",S2507*N2507)</f>
        <v/>
      </c>
      <c r="L2507" s="7">
        <f>IF($A2507="","",N2507-K2507)</f>
        <v/>
      </c>
      <c r="M2507" s="7">
        <f>IF($A2507="","",L2507-F2507)</f>
        <v/>
      </c>
      <c r="N2507" s="7" t="n"/>
      <c r="Q2507" s="11" t="n"/>
      <c r="S2507">
        <f>IF($A2507="","",IF($W2507=1,Settings!$C$6,Settings!$C$7)*1)</f>
        <v/>
      </c>
      <c r="U2507">
        <f>IF($A2507="","",IF(COUNTIF($A$2:$A2507,$A2507)=1,1,0))</f>
        <v/>
      </c>
      <c r="V2507">
        <f>IF($U2507=1,SUMPRODUCT(--($X$2:$X$3001&lt;$X2507))+1,"")</f>
        <v/>
      </c>
      <c r="W2507">
        <f>IF($A2507="","",IF(OR($T2507=TRUE(),$T2507="TRUE"),1,0))</f>
        <v/>
      </c>
      <c r="X2507">
        <f>IF($U2507=1,IFERROR(IF(VALUE($A2507)&lt;100000000,VALUE($A2507),1000000000),IFERROR(IF(VALUE(MID($A2507,2,20))&lt;100000000,VALUE(MID($A2507,2,20)),1000000000),1000000000))+ROW()/100000,"")</f>
        <v/>
      </c>
    </row>
    <row r="2508">
      <c r="F2508" s="7">
        <f>IF($A2508="","",E2508*N2508/100)</f>
        <v/>
      </c>
      <c r="J2508" s="7" t="n"/>
      <c r="K2508" s="7">
        <f>IF($A2508="","",S2508*N2508)</f>
        <v/>
      </c>
      <c r="L2508" s="7">
        <f>IF($A2508="","",N2508-K2508)</f>
        <v/>
      </c>
      <c r="M2508" s="7">
        <f>IF($A2508="","",L2508-F2508)</f>
        <v/>
      </c>
      <c r="N2508" s="7" t="n"/>
      <c r="Q2508" s="11" t="n"/>
      <c r="S2508">
        <f>IF($A2508="","",IF($W2508=1,Settings!$C$6,Settings!$C$7)*1)</f>
        <v/>
      </c>
      <c r="U2508">
        <f>IF($A2508="","",IF(COUNTIF($A$2:$A2508,$A2508)=1,1,0))</f>
        <v/>
      </c>
      <c r="V2508">
        <f>IF($U2508=1,SUMPRODUCT(--($X$2:$X$3001&lt;$X2508))+1,"")</f>
        <v/>
      </c>
      <c r="W2508">
        <f>IF($A2508="","",IF(OR($T2508=TRUE(),$T2508="TRUE"),1,0))</f>
        <v/>
      </c>
      <c r="X2508">
        <f>IF($U2508=1,IFERROR(IF(VALUE($A2508)&lt;100000000,VALUE($A2508),1000000000),IFERROR(IF(VALUE(MID($A2508,2,20))&lt;100000000,VALUE(MID($A2508,2,20)),1000000000),1000000000))+ROW()/100000,"")</f>
        <v/>
      </c>
    </row>
    <row r="2509">
      <c r="F2509" s="7">
        <f>IF($A2509="","",E2509*N2509/100)</f>
        <v/>
      </c>
      <c r="J2509" s="7" t="n"/>
      <c r="K2509" s="7">
        <f>IF($A2509="","",S2509*N2509)</f>
        <v/>
      </c>
      <c r="L2509" s="7">
        <f>IF($A2509="","",N2509-K2509)</f>
        <v/>
      </c>
      <c r="M2509" s="7">
        <f>IF($A2509="","",L2509-F2509)</f>
        <v/>
      </c>
      <c r="N2509" s="7" t="n"/>
      <c r="Q2509" s="11" t="n"/>
      <c r="S2509">
        <f>IF($A2509="","",IF($W2509=1,Settings!$C$6,Settings!$C$7)*1)</f>
        <v/>
      </c>
      <c r="U2509">
        <f>IF($A2509="","",IF(COUNTIF($A$2:$A2509,$A2509)=1,1,0))</f>
        <v/>
      </c>
      <c r="V2509">
        <f>IF($U2509=1,SUMPRODUCT(--($X$2:$X$3001&lt;$X2509))+1,"")</f>
        <v/>
      </c>
      <c r="W2509">
        <f>IF($A2509="","",IF(OR($T2509=TRUE(),$T2509="TRUE"),1,0))</f>
        <v/>
      </c>
      <c r="X2509">
        <f>IF($U2509=1,IFERROR(IF(VALUE($A2509)&lt;100000000,VALUE($A2509),1000000000),IFERROR(IF(VALUE(MID($A2509,2,20))&lt;100000000,VALUE(MID($A2509,2,20)),1000000000),1000000000))+ROW()/100000,"")</f>
        <v/>
      </c>
    </row>
    <row r="2510">
      <c r="F2510" s="7">
        <f>IF($A2510="","",E2510*N2510/100)</f>
        <v/>
      </c>
      <c r="J2510" s="7" t="n"/>
      <c r="K2510" s="7">
        <f>IF($A2510="","",S2510*N2510)</f>
        <v/>
      </c>
      <c r="L2510" s="7">
        <f>IF($A2510="","",N2510-K2510)</f>
        <v/>
      </c>
      <c r="M2510" s="7">
        <f>IF($A2510="","",L2510-F2510)</f>
        <v/>
      </c>
      <c r="N2510" s="7" t="n"/>
      <c r="Q2510" s="11" t="n"/>
      <c r="S2510">
        <f>IF($A2510="","",IF($W2510=1,Settings!$C$6,Settings!$C$7)*1)</f>
        <v/>
      </c>
      <c r="U2510">
        <f>IF($A2510="","",IF(COUNTIF($A$2:$A2510,$A2510)=1,1,0))</f>
        <v/>
      </c>
      <c r="V2510">
        <f>IF($U2510=1,SUMPRODUCT(--($X$2:$X$3001&lt;$X2510))+1,"")</f>
        <v/>
      </c>
      <c r="W2510">
        <f>IF($A2510="","",IF(OR($T2510=TRUE(),$T2510="TRUE"),1,0))</f>
        <v/>
      </c>
      <c r="X2510">
        <f>IF($U2510=1,IFERROR(IF(VALUE($A2510)&lt;100000000,VALUE($A2510),1000000000),IFERROR(IF(VALUE(MID($A2510,2,20))&lt;100000000,VALUE(MID($A2510,2,20)),1000000000),1000000000))+ROW()/100000,"")</f>
        <v/>
      </c>
    </row>
    <row r="2511">
      <c r="F2511" s="7">
        <f>IF($A2511="","",E2511*N2511/100)</f>
        <v/>
      </c>
      <c r="J2511" s="7" t="n"/>
      <c r="K2511" s="7">
        <f>IF($A2511="","",S2511*N2511)</f>
        <v/>
      </c>
      <c r="L2511" s="7">
        <f>IF($A2511="","",N2511-K2511)</f>
        <v/>
      </c>
      <c r="M2511" s="7">
        <f>IF($A2511="","",L2511-F2511)</f>
        <v/>
      </c>
      <c r="N2511" s="7" t="n"/>
      <c r="Q2511" s="11" t="n"/>
      <c r="S2511">
        <f>IF($A2511="","",IF($W2511=1,Settings!$C$6,Settings!$C$7)*1)</f>
        <v/>
      </c>
      <c r="U2511">
        <f>IF($A2511="","",IF(COUNTIF($A$2:$A2511,$A2511)=1,1,0))</f>
        <v/>
      </c>
      <c r="V2511">
        <f>IF($U2511=1,SUMPRODUCT(--($X$2:$X$3001&lt;$X2511))+1,"")</f>
        <v/>
      </c>
      <c r="W2511">
        <f>IF($A2511="","",IF(OR($T2511=TRUE(),$T2511="TRUE"),1,0))</f>
        <v/>
      </c>
      <c r="X2511">
        <f>IF($U2511=1,IFERROR(IF(VALUE($A2511)&lt;100000000,VALUE($A2511),1000000000),IFERROR(IF(VALUE(MID($A2511,2,20))&lt;100000000,VALUE(MID($A2511,2,20)),1000000000),1000000000))+ROW()/100000,"")</f>
        <v/>
      </c>
    </row>
    <row r="2512">
      <c r="F2512" s="7">
        <f>IF($A2512="","",E2512*N2512/100)</f>
        <v/>
      </c>
      <c r="J2512" s="7" t="n"/>
      <c r="K2512" s="7">
        <f>IF($A2512="","",S2512*N2512)</f>
        <v/>
      </c>
      <c r="L2512" s="7">
        <f>IF($A2512="","",N2512-K2512)</f>
        <v/>
      </c>
      <c r="M2512" s="7">
        <f>IF($A2512="","",L2512-F2512)</f>
        <v/>
      </c>
      <c r="N2512" s="7" t="n"/>
      <c r="Q2512" s="11" t="n"/>
      <c r="S2512">
        <f>IF($A2512="","",IF($W2512=1,Settings!$C$6,Settings!$C$7)*1)</f>
        <v/>
      </c>
      <c r="U2512">
        <f>IF($A2512="","",IF(COUNTIF($A$2:$A2512,$A2512)=1,1,0))</f>
        <v/>
      </c>
      <c r="V2512">
        <f>IF($U2512=1,SUMPRODUCT(--($X$2:$X$3001&lt;$X2512))+1,"")</f>
        <v/>
      </c>
      <c r="W2512">
        <f>IF($A2512="","",IF(OR($T2512=TRUE(),$T2512="TRUE"),1,0))</f>
        <v/>
      </c>
      <c r="X2512">
        <f>IF($U2512=1,IFERROR(IF(VALUE($A2512)&lt;100000000,VALUE($A2512),1000000000),IFERROR(IF(VALUE(MID($A2512,2,20))&lt;100000000,VALUE(MID($A2512,2,20)),1000000000),1000000000))+ROW()/100000,"")</f>
        <v/>
      </c>
    </row>
    <row r="2513">
      <c r="F2513" s="7">
        <f>IF($A2513="","",E2513*N2513/100)</f>
        <v/>
      </c>
      <c r="J2513" s="7" t="n"/>
      <c r="K2513" s="7">
        <f>IF($A2513="","",S2513*N2513)</f>
        <v/>
      </c>
      <c r="L2513" s="7">
        <f>IF($A2513="","",N2513-K2513)</f>
        <v/>
      </c>
      <c r="M2513" s="7">
        <f>IF($A2513="","",L2513-F2513)</f>
        <v/>
      </c>
      <c r="N2513" s="7" t="n"/>
      <c r="Q2513" s="11" t="n"/>
      <c r="S2513">
        <f>IF($A2513="","",IF($W2513=1,Settings!$C$6,Settings!$C$7)*1)</f>
        <v/>
      </c>
      <c r="U2513">
        <f>IF($A2513="","",IF(COUNTIF($A$2:$A2513,$A2513)=1,1,0))</f>
        <v/>
      </c>
      <c r="V2513">
        <f>IF($U2513=1,SUMPRODUCT(--($X$2:$X$3001&lt;$X2513))+1,"")</f>
        <v/>
      </c>
      <c r="W2513">
        <f>IF($A2513="","",IF(OR($T2513=TRUE(),$T2513="TRUE"),1,0))</f>
        <v/>
      </c>
      <c r="X2513">
        <f>IF($U2513=1,IFERROR(IF(VALUE($A2513)&lt;100000000,VALUE($A2513),1000000000),IFERROR(IF(VALUE(MID($A2513,2,20))&lt;100000000,VALUE(MID($A2513,2,20)),1000000000),1000000000))+ROW()/100000,"")</f>
        <v/>
      </c>
    </row>
    <row r="2514">
      <c r="F2514" s="7">
        <f>IF($A2514="","",E2514*N2514/100)</f>
        <v/>
      </c>
      <c r="J2514" s="7" t="n"/>
      <c r="K2514" s="7">
        <f>IF($A2514="","",S2514*N2514)</f>
        <v/>
      </c>
      <c r="L2514" s="7">
        <f>IF($A2514="","",N2514-K2514)</f>
        <v/>
      </c>
      <c r="M2514" s="7">
        <f>IF($A2514="","",L2514-F2514)</f>
        <v/>
      </c>
      <c r="N2514" s="7" t="n"/>
      <c r="Q2514" s="11" t="n"/>
      <c r="S2514">
        <f>IF($A2514="","",IF($W2514=1,Settings!$C$6,Settings!$C$7)*1)</f>
        <v/>
      </c>
      <c r="U2514">
        <f>IF($A2514="","",IF(COUNTIF($A$2:$A2514,$A2514)=1,1,0))</f>
        <v/>
      </c>
      <c r="V2514">
        <f>IF($U2514=1,SUMPRODUCT(--($X$2:$X$3001&lt;$X2514))+1,"")</f>
        <v/>
      </c>
      <c r="W2514">
        <f>IF($A2514="","",IF(OR($T2514=TRUE(),$T2514="TRUE"),1,0))</f>
        <v/>
      </c>
      <c r="X2514">
        <f>IF($U2514=1,IFERROR(IF(VALUE($A2514)&lt;100000000,VALUE($A2514),1000000000),IFERROR(IF(VALUE(MID($A2514,2,20))&lt;100000000,VALUE(MID($A2514,2,20)),1000000000),1000000000))+ROW()/100000,"")</f>
        <v/>
      </c>
    </row>
    <row r="2515">
      <c r="F2515" s="7">
        <f>IF($A2515="","",E2515*N2515/100)</f>
        <v/>
      </c>
      <c r="J2515" s="7" t="n"/>
      <c r="K2515" s="7">
        <f>IF($A2515="","",S2515*N2515)</f>
        <v/>
      </c>
      <c r="L2515" s="7">
        <f>IF($A2515="","",N2515-K2515)</f>
        <v/>
      </c>
      <c r="M2515" s="7">
        <f>IF($A2515="","",L2515-F2515)</f>
        <v/>
      </c>
      <c r="N2515" s="7" t="n"/>
      <c r="Q2515" s="11" t="n"/>
      <c r="S2515">
        <f>IF($A2515="","",IF($W2515=1,Settings!$C$6,Settings!$C$7)*1)</f>
        <v/>
      </c>
      <c r="U2515">
        <f>IF($A2515="","",IF(COUNTIF($A$2:$A2515,$A2515)=1,1,0))</f>
        <v/>
      </c>
      <c r="V2515">
        <f>IF($U2515=1,SUMPRODUCT(--($X$2:$X$3001&lt;$X2515))+1,"")</f>
        <v/>
      </c>
      <c r="W2515">
        <f>IF($A2515="","",IF(OR($T2515=TRUE(),$T2515="TRUE"),1,0))</f>
        <v/>
      </c>
      <c r="X2515">
        <f>IF($U2515=1,IFERROR(IF(VALUE($A2515)&lt;100000000,VALUE($A2515),1000000000),IFERROR(IF(VALUE(MID($A2515,2,20))&lt;100000000,VALUE(MID($A2515,2,20)),1000000000),1000000000))+ROW()/100000,"")</f>
        <v/>
      </c>
    </row>
    <row r="2516">
      <c r="F2516" s="7">
        <f>IF($A2516="","",E2516*N2516/100)</f>
        <v/>
      </c>
      <c r="J2516" s="7" t="n"/>
      <c r="K2516" s="7">
        <f>IF($A2516="","",S2516*N2516)</f>
        <v/>
      </c>
      <c r="L2516" s="7">
        <f>IF($A2516="","",N2516-K2516)</f>
        <v/>
      </c>
      <c r="M2516" s="7">
        <f>IF($A2516="","",L2516-F2516)</f>
        <v/>
      </c>
      <c r="N2516" s="7" t="n"/>
      <c r="Q2516" s="11" t="n"/>
      <c r="S2516">
        <f>IF($A2516="","",IF($W2516=1,Settings!$C$6,Settings!$C$7)*1)</f>
        <v/>
      </c>
      <c r="U2516">
        <f>IF($A2516="","",IF(COUNTIF($A$2:$A2516,$A2516)=1,1,0))</f>
        <v/>
      </c>
      <c r="V2516">
        <f>IF($U2516=1,SUMPRODUCT(--($X$2:$X$3001&lt;$X2516))+1,"")</f>
        <v/>
      </c>
      <c r="W2516">
        <f>IF($A2516="","",IF(OR($T2516=TRUE(),$T2516="TRUE"),1,0))</f>
        <v/>
      </c>
      <c r="X2516">
        <f>IF($U2516=1,IFERROR(IF(VALUE($A2516)&lt;100000000,VALUE($A2516),1000000000),IFERROR(IF(VALUE(MID($A2516,2,20))&lt;100000000,VALUE(MID($A2516,2,20)),1000000000),1000000000))+ROW()/100000,"")</f>
        <v/>
      </c>
    </row>
    <row r="2517">
      <c r="F2517" s="7">
        <f>IF($A2517="","",E2517*N2517/100)</f>
        <v/>
      </c>
      <c r="J2517" s="7" t="n"/>
      <c r="K2517" s="7">
        <f>IF($A2517="","",S2517*N2517)</f>
        <v/>
      </c>
      <c r="L2517" s="7">
        <f>IF($A2517="","",N2517-K2517)</f>
        <v/>
      </c>
      <c r="M2517" s="7">
        <f>IF($A2517="","",L2517-F2517)</f>
        <v/>
      </c>
      <c r="N2517" s="7" t="n"/>
      <c r="Q2517" s="11" t="n"/>
      <c r="S2517">
        <f>IF($A2517="","",IF($W2517=1,Settings!$C$6,Settings!$C$7)*1)</f>
        <v/>
      </c>
      <c r="U2517">
        <f>IF($A2517="","",IF(COUNTIF($A$2:$A2517,$A2517)=1,1,0))</f>
        <v/>
      </c>
      <c r="V2517">
        <f>IF($U2517=1,SUMPRODUCT(--($X$2:$X$3001&lt;$X2517))+1,"")</f>
        <v/>
      </c>
      <c r="W2517">
        <f>IF($A2517="","",IF(OR($T2517=TRUE(),$T2517="TRUE"),1,0))</f>
        <v/>
      </c>
      <c r="X2517">
        <f>IF($U2517=1,IFERROR(IF(VALUE($A2517)&lt;100000000,VALUE($A2517),1000000000),IFERROR(IF(VALUE(MID($A2517,2,20))&lt;100000000,VALUE(MID($A2517,2,20)),1000000000),1000000000))+ROW()/100000,"")</f>
        <v/>
      </c>
    </row>
    <row r="2518">
      <c r="F2518" s="7">
        <f>IF($A2518="","",E2518*N2518/100)</f>
        <v/>
      </c>
      <c r="J2518" s="7" t="n"/>
      <c r="K2518" s="7">
        <f>IF($A2518="","",S2518*N2518)</f>
        <v/>
      </c>
      <c r="L2518" s="7">
        <f>IF($A2518="","",N2518-K2518)</f>
        <v/>
      </c>
      <c r="M2518" s="7">
        <f>IF($A2518="","",L2518-F2518)</f>
        <v/>
      </c>
      <c r="N2518" s="7" t="n"/>
      <c r="Q2518" s="11" t="n"/>
      <c r="S2518">
        <f>IF($A2518="","",IF($W2518=1,Settings!$C$6,Settings!$C$7)*1)</f>
        <v/>
      </c>
      <c r="U2518">
        <f>IF($A2518="","",IF(COUNTIF($A$2:$A2518,$A2518)=1,1,0))</f>
        <v/>
      </c>
      <c r="V2518">
        <f>IF($U2518=1,SUMPRODUCT(--($X$2:$X$3001&lt;$X2518))+1,"")</f>
        <v/>
      </c>
      <c r="W2518">
        <f>IF($A2518="","",IF(OR($T2518=TRUE(),$T2518="TRUE"),1,0))</f>
        <v/>
      </c>
      <c r="X2518">
        <f>IF($U2518=1,IFERROR(IF(VALUE($A2518)&lt;100000000,VALUE($A2518),1000000000),IFERROR(IF(VALUE(MID($A2518,2,20))&lt;100000000,VALUE(MID($A2518,2,20)),1000000000),1000000000))+ROW()/100000,"")</f>
        <v/>
      </c>
    </row>
    <row r="2519">
      <c r="F2519" s="7">
        <f>IF($A2519="","",E2519*N2519/100)</f>
        <v/>
      </c>
      <c r="J2519" s="7" t="n"/>
      <c r="K2519" s="7">
        <f>IF($A2519="","",S2519*N2519)</f>
        <v/>
      </c>
      <c r="L2519" s="7">
        <f>IF($A2519="","",N2519-K2519)</f>
        <v/>
      </c>
      <c r="M2519" s="7">
        <f>IF($A2519="","",L2519-F2519)</f>
        <v/>
      </c>
      <c r="N2519" s="7" t="n"/>
      <c r="Q2519" s="11" t="n"/>
      <c r="S2519">
        <f>IF($A2519="","",IF($W2519=1,Settings!$C$6,Settings!$C$7)*1)</f>
        <v/>
      </c>
      <c r="U2519">
        <f>IF($A2519="","",IF(COUNTIF($A$2:$A2519,$A2519)=1,1,0))</f>
        <v/>
      </c>
      <c r="V2519">
        <f>IF($U2519=1,SUMPRODUCT(--($X$2:$X$3001&lt;$X2519))+1,"")</f>
        <v/>
      </c>
      <c r="W2519">
        <f>IF($A2519="","",IF(OR($T2519=TRUE(),$T2519="TRUE"),1,0))</f>
        <v/>
      </c>
      <c r="X2519">
        <f>IF($U2519=1,IFERROR(IF(VALUE($A2519)&lt;100000000,VALUE($A2519),1000000000),IFERROR(IF(VALUE(MID($A2519,2,20))&lt;100000000,VALUE(MID($A2519,2,20)),1000000000),1000000000))+ROW()/100000,"")</f>
        <v/>
      </c>
    </row>
    <row r="2520">
      <c r="F2520" s="7">
        <f>IF($A2520="","",E2520*N2520/100)</f>
        <v/>
      </c>
      <c r="J2520" s="7" t="n"/>
      <c r="K2520" s="7">
        <f>IF($A2520="","",S2520*N2520)</f>
        <v/>
      </c>
      <c r="L2520" s="7">
        <f>IF($A2520="","",N2520-K2520)</f>
        <v/>
      </c>
      <c r="M2520" s="7">
        <f>IF($A2520="","",L2520-F2520)</f>
        <v/>
      </c>
      <c r="N2520" s="7" t="n"/>
      <c r="Q2520" s="11" t="n"/>
      <c r="S2520">
        <f>IF($A2520="","",IF($W2520=1,Settings!$C$6,Settings!$C$7)*1)</f>
        <v/>
      </c>
      <c r="U2520">
        <f>IF($A2520="","",IF(COUNTIF($A$2:$A2520,$A2520)=1,1,0))</f>
        <v/>
      </c>
      <c r="V2520">
        <f>IF($U2520=1,SUMPRODUCT(--($X$2:$X$3001&lt;$X2520))+1,"")</f>
        <v/>
      </c>
      <c r="W2520">
        <f>IF($A2520="","",IF(OR($T2520=TRUE(),$T2520="TRUE"),1,0))</f>
        <v/>
      </c>
      <c r="X2520">
        <f>IF($U2520=1,IFERROR(IF(VALUE($A2520)&lt;100000000,VALUE($A2520),1000000000),IFERROR(IF(VALUE(MID($A2520,2,20))&lt;100000000,VALUE(MID($A2520,2,20)),1000000000),1000000000))+ROW()/100000,"")</f>
        <v/>
      </c>
    </row>
    <row r="2521">
      <c r="F2521" s="7">
        <f>IF($A2521="","",E2521*N2521/100)</f>
        <v/>
      </c>
      <c r="J2521" s="7" t="n"/>
      <c r="K2521" s="7">
        <f>IF($A2521="","",S2521*N2521)</f>
        <v/>
      </c>
      <c r="L2521" s="7">
        <f>IF($A2521="","",N2521-K2521)</f>
        <v/>
      </c>
      <c r="M2521" s="7">
        <f>IF($A2521="","",L2521-F2521)</f>
        <v/>
      </c>
      <c r="N2521" s="7" t="n"/>
      <c r="Q2521" s="11" t="n"/>
      <c r="S2521">
        <f>IF($A2521="","",IF($W2521=1,Settings!$C$6,Settings!$C$7)*1)</f>
        <v/>
      </c>
      <c r="U2521">
        <f>IF($A2521="","",IF(COUNTIF($A$2:$A2521,$A2521)=1,1,0))</f>
        <v/>
      </c>
      <c r="V2521">
        <f>IF($U2521=1,SUMPRODUCT(--($X$2:$X$3001&lt;$X2521))+1,"")</f>
        <v/>
      </c>
      <c r="W2521">
        <f>IF($A2521="","",IF(OR($T2521=TRUE(),$T2521="TRUE"),1,0))</f>
        <v/>
      </c>
      <c r="X2521">
        <f>IF($U2521=1,IFERROR(IF(VALUE($A2521)&lt;100000000,VALUE($A2521),1000000000),IFERROR(IF(VALUE(MID($A2521,2,20))&lt;100000000,VALUE(MID($A2521,2,20)),1000000000),1000000000))+ROW()/100000,"")</f>
        <v/>
      </c>
    </row>
    <row r="2522">
      <c r="F2522" s="7">
        <f>IF($A2522="","",E2522*N2522/100)</f>
        <v/>
      </c>
      <c r="J2522" s="7" t="n"/>
      <c r="K2522" s="7">
        <f>IF($A2522="","",S2522*N2522)</f>
        <v/>
      </c>
      <c r="L2522" s="7">
        <f>IF($A2522="","",N2522-K2522)</f>
        <v/>
      </c>
      <c r="M2522" s="7">
        <f>IF($A2522="","",L2522-F2522)</f>
        <v/>
      </c>
      <c r="N2522" s="7" t="n"/>
      <c r="Q2522" s="11" t="n"/>
      <c r="S2522">
        <f>IF($A2522="","",IF($W2522=1,Settings!$C$6,Settings!$C$7)*1)</f>
        <v/>
      </c>
      <c r="U2522">
        <f>IF($A2522="","",IF(COUNTIF($A$2:$A2522,$A2522)=1,1,0))</f>
        <v/>
      </c>
      <c r="V2522">
        <f>IF($U2522=1,SUMPRODUCT(--($X$2:$X$3001&lt;$X2522))+1,"")</f>
        <v/>
      </c>
      <c r="W2522">
        <f>IF($A2522="","",IF(OR($T2522=TRUE(),$T2522="TRUE"),1,0))</f>
        <v/>
      </c>
      <c r="X2522">
        <f>IF($U2522=1,IFERROR(IF(VALUE($A2522)&lt;100000000,VALUE($A2522),1000000000),IFERROR(IF(VALUE(MID($A2522,2,20))&lt;100000000,VALUE(MID($A2522,2,20)),1000000000),1000000000))+ROW()/100000,"")</f>
        <v/>
      </c>
    </row>
    <row r="2523">
      <c r="F2523" s="7">
        <f>IF($A2523="","",E2523*N2523/100)</f>
        <v/>
      </c>
      <c r="J2523" s="7" t="n"/>
      <c r="K2523" s="7">
        <f>IF($A2523="","",S2523*N2523)</f>
        <v/>
      </c>
      <c r="L2523" s="7">
        <f>IF($A2523="","",N2523-K2523)</f>
        <v/>
      </c>
      <c r="M2523" s="7">
        <f>IF($A2523="","",L2523-F2523)</f>
        <v/>
      </c>
      <c r="N2523" s="7" t="n"/>
      <c r="Q2523" s="11" t="n"/>
      <c r="S2523">
        <f>IF($A2523="","",IF($W2523=1,Settings!$C$6,Settings!$C$7)*1)</f>
        <v/>
      </c>
      <c r="U2523">
        <f>IF($A2523="","",IF(COUNTIF($A$2:$A2523,$A2523)=1,1,0))</f>
        <v/>
      </c>
      <c r="V2523">
        <f>IF($U2523=1,SUMPRODUCT(--($X$2:$X$3001&lt;$X2523))+1,"")</f>
        <v/>
      </c>
      <c r="W2523">
        <f>IF($A2523="","",IF(OR($T2523=TRUE(),$T2523="TRUE"),1,0))</f>
        <v/>
      </c>
      <c r="X2523">
        <f>IF($U2523=1,IFERROR(IF(VALUE($A2523)&lt;100000000,VALUE($A2523),1000000000),IFERROR(IF(VALUE(MID($A2523,2,20))&lt;100000000,VALUE(MID($A2523,2,20)),1000000000),1000000000))+ROW()/100000,"")</f>
        <v/>
      </c>
    </row>
    <row r="2524">
      <c r="F2524" s="7">
        <f>IF($A2524="","",E2524*N2524/100)</f>
        <v/>
      </c>
      <c r="J2524" s="7" t="n"/>
      <c r="K2524" s="7">
        <f>IF($A2524="","",S2524*N2524)</f>
        <v/>
      </c>
      <c r="L2524" s="7">
        <f>IF($A2524="","",N2524-K2524)</f>
        <v/>
      </c>
      <c r="M2524" s="7">
        <f>IF($A2524="","",L2524-F2524)</f>
        <v/>
      </c>
      <c r="N2524" s="7" t="n"/>
      <c r="Q2524" s="11" t="n"/>
      <c r="S2524">
        <f>IF($A2524="","",IF($W2524=1,Settings!$C$6,Settings!$C$7)*1)</f>
        <v/>
      </c>
      <c r="U2524">
        <f>IF($A2524="","",IF(COUNTIF($A$2:$A2524,$A2524)=1,1,0))</f>
        <v/>
      </c>
      <c r="V2524">
        <f>IF($U2524=1,SUMPRODUCT(--($X$2:$X$3001&lt;$X2524))+1,"")</f>
        <v/>
      </c>
      <c r="W2524">
        <f>IF($A2524="","",IF(OR($T2524=TRUE(),$T2524="TRUE"),1,0))</f>
        <v/>
      </c>
      <c r="X2524">
        <f>IF($U2524=1,IFERROR(IF(VALUE($A2524)&lt;100000000,VALUE($A2524),1000000000),IFERROR(IF(VALUE(MID($A2524,2,20))&lt;100000000,VALUE(MID($A2524,2,20)),1000000000),1000000000))+ROW()/100000,"")</f>
        <v/>
      </c>
    </row>
    <row r="2525">
      <c r="F2525" s="7">
        <f>IF($A2525="","",E2525*N2525/100)</f>
        <v/>
      </c>
      <c r="J2525" s="7" t="n"/>
      <c r="K2525" s="7">
        <f>IF($A2525="","",S2525*N2525)</f>
        <v/>
      </c>
      <c r="L2525" s="7">
        <f>IF($A2525="","",N2525-K2525)</f>
        <v/>
      </c>
      <c r="M2525" s="7">
        <f>IF($A2525="","",L2525-F2525)</f>
        <v/>
      </c>
      <c r="N2525" s="7" t="n"/>
      <c r="Q2525" s="11" t="n"/>
      <c r="S2525">
        <f>IF($A2525="","",IF($W2525=1,Settings!$C$6,Settings!$C$7)*1)</f>
        <v/>
      </c>
      <c r="U2525">
        <f>IF($A2525="","",IF(COUNTIF($A$2:$A2525,$A2525)=1,1,0))</f>
        <v/>
      </c>
      <c r="V2525">
        <f>IF($U2525=1,SUMPRODUCT(--($X$2:$X$3001&lt;$X2525))+1,"")</f>
        <v/>
      </c>
      <c r="W2525">
        <f>IF($A2525="","",IF(OR($T2525=TRUE(),$T2525="TRUE"),1,0))</f>
        <v/>
      </c>
      <c r="X2525">
        <f>IF($U2525=1,IFERROR(IF(VALUE($A2525)&lt;100000000,VALUE($A2525),1000000000),IFERROR(IF(VALUE(MID($A2525,2,20))&lt;100000000,VALUE(MID($A2525,2,20)),1000000000),1000000000))+ROW()/100000,"")</f>
        <v/>
      </c>
    </row>
    <row r="2526">
      <c r="F2526" s="7">
        <f>IF($A2526="","",E2526*N2526/100)</f>
        <v/>
      </c>
      <c r="J2526" s="7" t="n"/>
      <c r="K2526" s="7">
        <f>IF($A2526="","",S2526*N2526)</f>
        <v/>
      </c>
      <c r="L2526" s="7">
        <f>IF($A2526="","",N2526-K2526)</f>
        <v/>
      </c>
      <c r="M2526" s="7">
        <f>IF($A2526="","",L2526-F2526)</f>
        <v/>
      </c>
      <c r="N2526" s="7" t="n"/>
      <c r="Q2526" s="11" t="n"/>
      <c r="S2526">
        <f>IF($A2526="","",IF($W2526=1,Settings!$C$6,Settings!$C$7)*1)</f>
        <v/>
      </c>
      <c r="U2526">
        <f>IF($A2526="","",IF(COUNTIF($A$2:$A2526,$A2526)=1,1,0))</f>
        <v/>
      </c>
      <c r="V2526">
        <f>IF($U2526=1,SUMPRODUCT(--($X$2:$X$3001&lt;$X2526))+1,"")</f>
        <v/>
      </c>
      <c r="W2526">
        <f>IF($A2526="","",IF(OR($T2526=TRUE(),$T2526="TRUE"),1,0))</f>
        <v/>
      </c>
      <c r="X2526">
        <f>IF($U2526=1,IFERROR(IF(VALUE($A2526)&lt;100000000,VALUE($A2526),1000000000),IFERROR(IF(VALUE(MID($A2526,2,20))&lt;100000000,VALUE(MID($A2526,2,20)),1000000000),1000000000))+ROW()/100000,"")</f>
        <v/>
      </c>
    </row>
    <row r="2527">
      <c r="F2527" s="7">
        <f>IF($A2527="","",E2527*N2527/100)</f>
        <v/>
      </c>
      <c r="J2527" s="7" t="n"/>
      <c r="K2527" s="7">
        <f>IF($A2527="","",S2527*N2527)</f>
        <v/>
      </c>
      <c r="L2527" s="7">
        <f>IF($A2527="","",N2527-K2527)</f>
        <v/>
      </c>
      <c r="M2527" s="7">
        <f>IF($A2527="","",L2527-F2527)</f>
        <v/>
      </c>
      <c r="N2527" s="7" t="n"/>
      <c r="Q2527" s="11" t="n"/>
      <c r="S2527">
        <f>IF($A2527="","",IF($W2527=1,Settings!$C$6,Settings!$C$7)*1)</f>
        <v/>
      </c>
      <c r="U2527">
        <f>IF($A2527="","",IF(COUNTIF($A$2:$A2527,$A2527)=1,1,0))</f>
        <v/>
      </c>
      <c r="V2527">
        <f>IF($U2527=1,SUMPRODUCT(--($X$2:$X$3001&lt;$X2527))+1,"")</f>
        <v/>
      </c>
      <c r="W2527">
        <f>IF($A2527="","",IF(OR($T2527=TRUE(),$T2527="TRUE"),1,0))</f>
        <v/>
      </c>
      <c r="X2527">
        <f>IF($U2527=1,IFERROR(IF(VALUE($A2527)&lt;100000000,VALUE($A2527),1000000000),IFERROR(IF(VALUE(MID($A2527,2,20))&lt;100000000,VALUE(MID($A2527,2,20)),1000000000),1000000000))+ROW()/100000,"")</f>
        <v/>
      </c>
    </row>
    <row r="2528">
      <c r="F2528" s="7">
        <f>IF($A2528="","",E2528*N2528/100)</f>
        <v/>
      </c>
      <c r="J2528" s="7" t="n"/>
      <c r="K2528" s="7">
        <f>IF($A2528="","",S2528*N2528)</f>
        <v/>
      </c>
      <c r="L2528" s="7">
        <f>IF($A2528="","",N2528-K2528)</f>
        <v/>
      </c>
      <c r="M2528" s="7">
        <f>IF($A2528="","",L2528-F2528)</f>
        <v/>
      </c>
      <c r="N2528" s="7" t="n"/>
      <c r="Q2528" s="11" t="n"/>
      <c r="S2528">
        <f>IF($A2528="","",IF($W2528=1,Settings!$C$6,Settings!$C$7)*1)</f>
        <v/>
      </c>
      <c r="U2528">
        <f>IF($A2528="","",IF(COUNTIF($A$2:$A2528,$A2528)=1,1,0))</f>
        <v/>
      </c>
      <c r="V2528">
        <f>IF($U2528=1,SUMPRODUCT(--($X$2:$X$3001&lt;$X2528))+1,"")</f>
        <v/>
      </c>
      <c r="W2528">
        <f>IF($A2528="","",IF(OR($T2528=TRUE(),$T2528="TRUE"),1,0))</f>
        <v/>
      </c>
      <c r="X2528">
        <f>IF($U2528=1,IFERROR(IF(VALUE($A2528)&lt;100000000,VALUE($A2528),1000000000),IFERROR(IF(VALUE(MID($A2528,2,20))&lt;100000000,VALUE(MID($A2528,2,20)),1000000000),1000000000))+ROW()/100000,"")</f>
        <v/>
      </c>
    </row>
    <row r="2529">
      <c r="F2529" s="7">
        <f>IF($A2529="","",E2529*N2529/100)</f>
        <v/>
      </c>
      <c r="J2529" s="7" t="n"/>
      <c r="K2529" s="7">
        <f>IF($A2529="","",S2529*N2529)</f>
        <v/>
      </c>
      <c r="L2529" s="7">
        <f>IF($A2529="","",N2529-K2529)</f>
        <v/>
      </c>
      <c r="M2529" s="7">
        <f>IF($A2529="","",L2529-F2529)</f>
        <v/>
      </c>
      <c r="N2529" s="7" t="n"/>
      <c r="Q2529" s="11" t="n"/>
      <c r="S2529">
        <f>IF($A2529="","",IF($W2529=1,Settings!$C$6,Settings!$C$7)*1)</f>
        <v/>
      </c>
      <c r="U2529">
        <f>IF($A2529="","",IF(COUNTIF($A$2:$A2529,$A2529)=1,1,0))</f>
        <v/>
      </c>
      <c r="V2529">
        <f>IF($U2529=1,SUMPRODUCT(--($X$2:$X$3001&lt;$X2529))+1,"")</f>
        <v/>
      </c>
      <c r="W2529">
        <f>IF($A2529="","",IF(OR($T2529=TRUE(),$T2529="TRUE"),1,0))</f>
        <v/>
      </c>
      <c r="X2529">
        <f>IF($U2529=1,IFERROR(IF(VALUE($A2529)&lt;100000000,VALUE($A2529),1000000000),IFERROR(IF(VALUE(MID($A2529,2,20))&lt;100000000,VALUE(MID($A2529,2,20)),1000000000),1000000000))+ROW()/100000,"")</f>
        <v/>
      </c>
    </row>
    <row r="2530">
      <c r="F2530" s="7">
        <f>IF($A2530="","",E2530*N2530/100)</f>
        <v/>
      </c>
      <c r="J2530" s="7" t="n"/>
      <c r="K2530" s="7">
        <f>IF($A2530="","",S2530*N2530)</f>
        <v/>
      </c>
      <c r="L2530" s="7">
        <f>IF($A2530="","",N2530-K2530)</f>
        <v/>
      </c>
      <c r="M2530" s="7">
        <f>IF($A2530="","",L2530-F2530)</f>
        <v/>
      </c>
      <c r="N2530" s="7" t="n"/>
      <c r="Q2530" s="11" t="n"/>
      <c r="S2530">
        <f>IF($A2530="","",IF($W2530=1,Settings!$C$6,Settings!$C$7)*1)</f>
        <v/>
      </c>
      <c r="U2530">
        <f>IF($A2530="","",IF(COUNTIF($A$2:$A2530,$A2530)=1,1,0))</f>
        <v/>
      </c>
      <c r="V2530">
        <f>IF($U2530=1,SUMPRODUCT(--($X$2:$X$3001&lt;$X2530))+1,"")</f>
        <v/>
      </c>
      <c r="W2530">
        <f>IF($A2530="","",IF(OR($T2530=TRUE(),$T2530="TRUE"),1,0))</f>
        <v/>
      </c>
      <c r="X2530">
        <f>IF($U2530=1,IFERROR(IF(VALUE($A2530)&lt;100000000,VALUE($A2530),1000000000),IFERROR(IF(VALUE(MID($A2530,2,20))&lt;100000000,VALUE(MID($A2530,2,20)),1000000000),1000000000))+ROW()/100000,"")</f>
        <v/>
      </c>
    </row>
    <row r="2531">
      <c r="F2531" s="7">
        <f>IF($A2531="","",E2531*N2531/100)</f>
        <v/>
      </c>
      <c r="J2531" s="7" t="n"/>
      <c r="K2531" s="7">
        <f>IF($A2531="","",S2531*N2531)</f>
        <v/>
      </c>
      <c r="L2531" s="7">
        <f>IF($A2531="","",N2531-K2531)</f>
        <v/>
      </c>
      <c r="M2531" s="7">
        <f>IF($A2531="","",L2531-F2531)</f>
        <v/>
      </c>
      <c r="N2531" s="7" t="n"/>
      <c r="Q2531" s="11" t="n"/>
      <c r="S2531">
        <f>IF($A2531="","",IF($W2531=1,Settings!$C$6,Settings!$C$7)*1)</f>
        <v/>
      </c>
      <c r="U2531">
        <f>IF($A2531="","",IF(COUNTIF($A$2:$A2531,$A2531)=1,1,0))</f>
        <v/>
      </c>
      <c r="V2531">
        <f>IF($U2531=1,SUMPRODUCT(--($X$2:$X$3001&lt;$X2531))+1,"")</f>
        <v/>
      </c>
      <c r="W2531">
        <f>IF($A2531="","",IF(OR($T2531=TRUE(),$T2531="TRUE"),1,0))</f>
        <v/>
      </c>
      <c r="X2531">
        <f>IF($U2531=1,IFERROR(IF(VALUE($A2531)&lt;100000000,VALUE($A2531),1000000000),IFERROR(IF(VALUE(MID($A2531,2,20))&lt;100000000,VALUE(MID($A2531,2,20)),1000000000),1000000000))+ROW()/100000,"")</f>
        <v/>
      </c>
    </row>
    <row r="2532">
      <c r="F2532" s="7">
        <f>IF($A2532="","",E2532*N2532/100)</f>
        <v/>
      </c>
      <c r="J2532" s="7" t="n"/>
      <c r="K2532" s="7">
        <f>IF($A2532="","",S2532*N2532)</f>
        <v/>
      </c>
      <c r="L2532" s="7">
        <f>IF($A2532="","",N2532-K2532)</f>
        <v/>
      </c>
      <c r="M2532" s="7">
        <f>IF($A2532="","",L2532-F2532)</f>
        <v/>
      </c>
      <c r="N2532" s="7" t="n"/>
      <c r="Q2532" s="11" t="n"/>
      <c r="S2532">
        <f>IF($A2532="","",IF($W2532=1,Settings!$C$6,Settings!$C$7)*1)</f>
        <v/>
      </c>
      <c r="U2532">
        <f>IF($A2532="","",IF(COUNTIF($A$2:$A2532,$A2532)=1,1,0))</f>
        <v/>
      </c>
      <c r="V2532">
        <f>IF($U2532=1,SUMPRODUCT(--($X$2:$X$3001&lt;$X2532))+1,"")</f>
        <v/>
      </c>
      <c r="W2532">
        <f>IF($A2532="","",IF(OR($T2532=TRUE(),$T2532="TRUE"),1,0))</f>
        <v/>
      </c>
      <c r="X2532">
        <f>IF($U2532=1,IFERROR(IF(VALUE($A2532)&lt;100000000,VALUE($A2532),1000000000),IFERROR(IF(VALUE(MID($A2532,2,20))&lt;100000000,VALUE(MID($A2532,2,20)),1000000000),1000000000))+ROW()/100000,"")</f>
        <v/>
      </c>
    </row>
    <row r="2533">
      <c r="F2533" s="7">
        <f>IF($A2533="","",E2533*N2533/100)</f>
        <v/>
      </c>
      <c r="J2533" s="7" t="n"/>
      <c r="K2533" s="7">
        <f>IF($A2533="","",S2533*N2533)</f>
        <v/>
      </c>
      <c r="L2533" s="7">
        <f>IF($A2533="","",N2533-K2533)</f>
        <v/>
      </c>
      <c r="M2533" s="7">
        <f>IF($A2533="","",L2533-F2533)</f>
        <v/>
      </c>
      <c r="N2533" s="7" t="n"/>
      <c r="Q2533" s="11" t="n"/>
      <c r="S2533">
        <f>IF($A2533="","",IF($W2533=1,Settings!$C$6,Settings!$C$7)*1)</f>
        <v/>
      </c>
      <c r="U2533">
        <f>IF($A2533="","",IF(COUNTIF($A$2:$A2533,$A2533)=1,1,0))</f>
        <v/>
      </c>
      <c r="V2533">
        <f>IF($U2533=1,SUMPRODUCT(--($X$2:$X$3001&lt;$X2533))+1,"")</f>
        <v/>
      </c>
      <c r="W2533">
        <f>IF($A2533="","",IF(OR($T2533=TRUE(),$T2533="TRUE"),1,0))</f>
        <v/>
      </c>
      <c r="X2533">
        <f>IF($U2533=1,IFERROR(IF(VALUE($A2533)&lt;100000000,VALUE($A2533),1000000000),IFERROR(IF(VALUE(MID($A2533,2,20))&lt;100000000,VALUE(MID($A2533,2,20)),1000000000),1000000000))+ROW()/100000,"")</f>
        <v/>
      </c>
    </row>
    <row r="2534">
      <c r="F2534" s="7">
        <f>IF($A2534="","",E2534*N2534/100)</f>
        <v/>
      </c>
      <c r="J2534" s="7" t="n"/>
      <c r="K2534" s="7">
        <f>IF($A2534="","",S2534*N2534)</f>
        <v/>
      </c>
      <c r="L2534" s="7">
        <f>IF($A2534="","",N2534-K2534)</f>
        <v/>
      </c>
      <c r="M2534" s="7">
        <f>IF($A2534="","",L2534-F2534)</f>
        <v/>
      </c>
      <c r="N2534" s="7" t="n"/>
      <c r="Q2534" s="11" t="n"/>
      <c r="S2534">
        <f>IF($A2534="","",IF($W2534=1,Settings!$C$6,Settings!$C$7)*1)</f>
        <v/>
      </c>
      <c r="U2534">
        <f>IF($A2534="","",IF(COUNTIF($A$2:$A2534,$A2534)=1,1,0))</f>
        <v/>
      </c>
      <c r="V2534">
        <f>IF($U2534=1,SUMPRODUCT(--($X$2:$X$3001&lt;$X2534))+1,"")</f>
        <v/>
      </c>
      <c r="W2534">
        <f>IF($A2534="","",IF(OR($T2534=TRUE(),$T2534="TRUE"),1,0))</f>
        <v/>
      </c>
      <c r="X2534">
        <f>IF($U2534=1,IFERROR(IF(VALUE($A2534)&lt;100000000,VALUE($A2534),1000000000),IFERROR(IF(VALUE(MID($A2534,2,20))&lt;100000000,VALUE(MID($A2534,2,20)),1000000000),1000000000))+ROW()/100000,"")</f>
        <v/>
      </c>
    </row>
    <row r="2535">
      <c r="F2535" s="7">
        <f>IF($A2535="","",E2535*N2535/100)</f>
        <v/>
      </c>
      <c r="J2535" s="7" t="n"/>
      <c r="K2535" s="7">
        <f>IF($A2535="","",S2535*N2535)</f>
        <v/>
      </c>
      <c r="L2535" s="7">
        <f>IF($A2535="","",N2535-K2535)</f>
        <v/>
      </c>
      <c r="M2535" s="7">
        <f>IF($A2535="","",L2535-F2535)</f>
        <v/>
      </c>
      <c r="N2535" s="7" t="n"/>
      <c r="Q2535" s="11" t="n"/>
      <c r="S2535">
        <f>IF($A2535="","",IF($W2535=1,Settings!$C$6,Settings!$C$7)*1)</f>
        <v/>
      </c>
      <c r="U2535">
        <f>IF($A2535="","",IF(COUNTIF($A$2:$A2535,$A2535)=1,1,0))</f>
        <v/>
      </c>
      <c r="V2535">
        <f>IF($U2535=1,SUMPRODUCT(--($X$2:$X$3001&lt;$X2535))+1,"")</f>
        <v/>
      </c>
      <c r="W2535">
        <f>IF($A2535="","",IF(OR($T2535=TRUE(),$T2535="TRUE"),1,0))</f>
        <v/>
      </c>
      <c r="X2535">
        <f>IF($U2535=1,IFERROR(IF(VALUE($A2535)&lt;100000000,VALUE($A2535),1000000000),IFERROR(IF(VALUE(MID($A2535,2,20))&lt;100000000,VALUE(MID($A2535,2,20)),1000000000),1000000000))+ROW()/100000,"")</f>
        <v/>
      </c>
    </row>
    <row r="2536">
      <c r="F2536" s="7">
        <f>IF($A2536="","",E2536*N2536/100)</f>
        <v/>
      </c>
      <c r="J2536" s="7" t="n"/>
      <c r="K2536" s="7">
        <f>IF($A2536="","",S2536*N2536)</f>
        <v/>
      </c>
      <c r="L2536" s="7">
        <f>IF($A2536="","",N2536-K2536)</f>
        <v/>
      </c>
      <c r="M2536" s="7">
        <f>IF($A2536="","",L2536-F2536)</f>
        <v/>
      </c>
      <c r="N2536" s="7" t="n"/>
      <c r="Q2536" s="11" t="n"/>
      <c r="S2536">
        <f>IF($A2536="","",IF($W2536=1,Settings!$C$6,Settings!$C$7)*1)</f>
        <v/>
      </c>
      <c r="U2536">
        <f>IF($A2536="","",IF(COUNTIF($A$2:$A2536,$A2536)=1,1,0))</f>
        <v/>
      </c>
      <c r="V2536">
        <f>IF($U2536=1,SUMPRODUCT(--($X$2:$X$3001&lt;$X2536))+1,"")</f>
        <v/>
      </c>
      <c r="W2536">
        <f>IF($A2536="","",IF(OR($T2536=TRUE(),$T2536="TRUE"),1,0))</f>
        <v/>
      </c>
      <c r="X2536">
        <f>IF($U2536=1,IFERROR(IF(VALUE($A2536)&lt;100000000,VALUE($A2536),1000000000),IFERROR(IF(VALUE(MID($A2536,2,20))&lt;100000000,VALUE(MID($A2536,2,20)),1000000000),1000000000))+ROW()/100000,"")</f>
        <v/>
      </c>
    </row>
    <row r="2537">
      <c r="F2537" s="7">
        <f>IF($A2537="","",E2537*N2537/100)</f>
        <v/>
      </c>
      <c r="J2537" s="7" t="n"/>
      <c r="K2537" s="7">
        <f>IF($A2537="","",S2537*N2537)</f>
        <v/>
      </c>
      <c r="L2537" s="7">
        <f>IF($A2537="","",N2537-K2537)</f>
        <v/>
      </c>
      <c r="M2537" s="7">
        <f>IF($A2537="","",L2537-F2537)</f>
        <v/>
      </c>
      <c r="N2537" s="7" t="n"/>
      <c r="Q2537" s="11" t="n"/>
      <c r="S2537">
        <f>IF($A2537="","",IF($W2537=1,Settings!$C$6,Settings!$C$7)*1)</f>
        <v/>
      </c>
      <c r="U2537">
        <f>IF($A2537="","",IF(COUNTIF($A$2:$A2537,$A2537)=1,1,0))</f>
        <v/>
      </c>
      <c r="V2537">
        <f>IF($U2537=1,SUMPRODUCT(--($X$2:$X$3001&lt;$X2537))+1,"")</f>
        <v/>
      </c>
      <c r="W2537">
        <f>IF($A2537="","",IF(OR($T2537=TRUE(),$T2537="TRUE"),1,0))</f>
        <v/>
      </c>
      <c r="X2537">
        <f>IF($U2537=1,IFERROR(IF(VALUE($A2537)&lt;100000000,VALUE($A2537),1000000000),IFERROR(IF(VALUE(MID($A2537,2,20))&lt;100000000,VALUE(MID($A2537,2,20)),1000000000),1000000000))+ROW()/100000,"")</f>
        <v/>
      </c>
    </row>
    <row r="2538">
      <c r="F2538" s="7">
        <f>IF($A2538="","",E2538*N2538/100)</f>
        <v/>
      </c>
      <c r="J2538" s="7" t="n"/>
      <c r="K2538" s="7">
        <f>IF($A2538="","",S2538*N2538)</f>
        <v/>
      </c>
      <c r="L2538" s="7">
        <f>IF($A2538="","",N2538-K2538)</f>
        <v/>
      </c>
      <c r="M2538" s="7">
        <f>IF($A2538="","",L2538-F2538)</f>
        <v/>
      </c>
      <c r="N2538" s="7" t="n"/>
      <c r="Q2538" s="11" t="n"/>
      <c r="S2538">
        <f>IF($A2538="","",IF($W2538=1,Settings!$C$6,Settings!$C$7)*1)</f>
        <v/>
      </c>
      <c r="U2538">
        <f>IF($A2538="","",IF(COUNTIF($A$2:$A2538,$A2538)=1,1,0))</f>
        <v/>
      </c>
      <c r="V2538">
        <f>IF($U2538=1,SUMPRODUCT(--($X$2:$X$3001&lt;$X2538))+1,"")</f>
        <v/>
      </c>
      <c r="W2538">
        <f>IF($A2538="","",IF(OR($T2538=TRUE(),$T2538="TRUE"),1,0))</f>
        <v/>
      </c>
      <c r="X2538">
        <f>IF($U2538=1,IFERROR(IF(VALUE($A2538)&lt;100000000,VALUE($A2538),1000000000),IFERROR(IF(VALUE(MID($A2538,2,20))&lt;100000000,VALUE(MID($A2538,2,20)),1000000000),1000000000))+ROW()/100000,"")</f>
        <v/>
      </c>
    </row>
    <row r="2539">
      <c r="F2539" s="7">
        <f>IF($A2539="","",E2539*N2539/100)</f>
        <v/>
      </c>
      <c r="J2539" s="7" t="n"/>
      <c r="K2539" s="7">
        <f>IF($A2539="","",S2539*N2539)</f>
        <v/>
      </c>
      <c r="L2539" s="7">
        <f>IF($A2539="","",N2539-K2539)</f>
        <v/>
      </c>
      <c r="M2539" s="7">
        <f>IF($A2539="","",L2539-F2539)</f>
        <v/>
      </c>
      <c r="N2539" s="7" t="n"/>
      <c r="Q2539" s="11" t="n"/>
      <c r="S2539">
        <f>IF($A2539="","",IF($W2539=1,Settings!$C$6,Settings!$C$7)*1)</f>
        <v/>
      </c>
      <c r="U2539">
        <f>IF($A2539="","",IF(COUNTIF($A$2:$A2539,$A2539)=1,1,0))</f>
        <v/>
      </c>
      <c r="V2539">
        <f>IF($U2539=1,SUMPRODUCT(--($X$2:$X$3001&lt;$X2539))+1,"")</f>
        <v/>
      </c>
      <c r="W2539">
        <f>IF($A2539="","",IF(OR($T2539=TRUE(),$T2539="TRUE"),1,0))</f>
        <v/>
      </c>
      <c r="X2539">
        <f>IF($U2539=1,IFERROR(IF(VALUE($A2539)&lt;100000000,VALUE($A2539),1000000000),IFERROR(IF(VALUE(MID($A2539,2,20))&lt;100000000,VALUE(MID($A2539,2,20)),1000000000),1000000000))+ROW()/100000,"")</f>
        <v/>
      </c>
    </row>
    <row r="2540">
      <c r="F2540" s="7">
        <f>IF($A2540="","",E2540*N2540/100)</f>
        <v/>
      </c>
      <c r="J2540" s="7" t="n"/>
      <c r="K2540" s="7">
        <f>IF($A2540="","",S2540*N2540)</f>
        <v/>
      </c>
      <c r="L2540" s="7">
        <f>IF($A2540="","",N2540-K2540)</f>
        <v/>
      </c>
      <c r="M2540" s="7">
        <f>IF($A2540="","",L2540-F2540)</f>
        <v/>
      </c>
      <c r="N2540" s="7" t="n"/>
      <c r="Q2540" s="11" t="n"/>
      <c r="S2540">
        <f>IF($A2540="","",IF($W2540=1,Settings!$C$6,Settings!$C$7)*1)</f>
        <v/>
      </c>
      <c r="U2540">
        <f>IF($A2540="","",IF(COUNTIF($A$2:$A2540,$A2540)=1,1,0))</f>
        <v/>
      </c>
      <c r="V2540">
        <f>IF($U2540=1,SUMPRODUCT(--($X$2:$X$3001&lt;$X2540))+1,"")</f>
        <v/>
      </c>
      <c r="W2540">
        <f>IF($A2540="","",IF(OR($T2540=TRUE(),$T2540="TRUE"),1,0))</f>
        <v/>
      </c>
      <c r="X2540">
        <f>IF($U2540=1,IFERROR(IF(VALUE($A2540)&lt;100000000,VALUE($A2540),1000000000),IFERROR(IF(VALUE(MID($A2540,2,20))&lt;100000000,VALUE(MID($A2540,2,20)),1000000000),1000000000))+ROW()/100000,"")</f>
        <v/>
      </c>
    </row>
    <row r="2541">
      <c r="F2541" s="7">
        <f>IF($A2541="","",E2541*N2541/100)</f>
        <v/>
      </c>
      <c r="J2541" s="7" t="n"/>
      <c r="K2541" s="7">
        <f>IF($A2541="","",S2541*N2541)</f>
        <v/>
      </c>
      <c r="L2541" s="7">
        <f>IF($A2541="","",N2541-K2541)</f>
        <v/>
      </c>
      <c r="M2541" s="7">
        <f>IF($A2541="","",L2541-F2541)</f>
        <v/>
      </c>
      <c r="N2541" s="7" t="n"/>
      <c r="Q2541" s="11" t="n"/>
      <c r="S2541">
        <f>IF($A2541="","",IF($W2541=1,Settings!$C$6,Settings!$C$7)*1)</f>
        <v/>
      </c>
      <c r="U2541">
        <f>IF($A2541="","",IF(COUNTIF($A$2:$A2541,$A2541)=1,1,0))</f>
        <v/>
      </c>
      <c r="V2541">
        <f>IF($U2541=1,SUMPRODUCT(--($X$2:$X$3001&lt;$X2541))+1,"")</f>
        <v/>
      </c>
      <c r="W2541">
        <f>IF($A2541="","",IF(OR($T2541=TRUE(),$T2541="TRUE"),1,0))</f>
        <v/>
      </c>
      <c r="X2541">
        <f>IF($U2541=1,IFERROR(IF(VALUE($A2541)&lt;100000000,VALUE($A2541),1000000000),IFERROR(IF(VALUE(MID($A2541,2,20))&lt;100000000,VALUE(MID($A2541,2,20)),1000000000),1000000000))+ROW()/100000,"")</f>
        <v/>
      </c>
    </row>
    <row r="2542">
      <c r="F2542" s="7">
        <f>IF($A2542="","",E2542*N2542/100)</f>
        <v/>
      </c>
      <c r="J2542" s="7" t="n"/>
      <c r="K2542" s="7">
        <f>IF($A2542="","",S2542*N2542)</f>
        <v/>
      </c>
      <c r="L2542" s="7">
        <f>IF($A2542="","",N2542-K2542)</f>
        <v/>
      </c>
      <c r="M2542" s="7">
        <f>IF($A2542="","",L2542-F2542)</f>
        <v/>
      </c>
      <c r="N2542" s="7" t="n"/>
      <c r="Q2542" s="11" t="n"/>
      <c r="S2542">
        <f>IF($A2542="","",IF($W2542=1,Settings!$C$6,Settings!$C$7)*1)</f>
        <v/>
      </c>
      <c r="U2542">
        <f>IF($A2542="","",IF(COUNTIF($A$2:$A2542,$A2542)=1,1,0))</f>
        <v/>
      </c>
      <c r="V2542">
        <f>IF($U2542=1,SUMPRODUCT(--($X$2:$X$3001&lt;$X2542))+1,"")</f>
        <v/>
      </c>
      <c r="W2542">
        <f>IF($A2542="","",IF(OR($T2542=TRUE(),$T2542="TRUE"),1,0))</f>
        <v/>
      </c>
      <c r="X2542">
        <f>IF($U2542=1,IFERROR(IF(VALUE($A2542)&lt;100000000,VALUE($A2542),1000000000),IFERROR(IF(VALUE(MID($A2542,2,20))&lt;100000000,VALUE(MID($A2542,2,20)),1000000000),1000000000))+ROW()/100000,"")</f>
        <v/>
      </c>
    </row>
    <row r="2543">
      <c r="F2543" s="7">
        <f>IF($A2543="","",E2543*N2543/100)</f>
        <v/>
      </c>
      <c r="J2543" s="7" t="n"/>
      <c r="K2543" s="7">
        <f>IF($A2543="","",S2543*N2543)</f>
        <v/>
      </c>
      <c r="L2543" s="7">
        <f>IF($A2543="","",N2543-K2543)</f>
        <v/>
      </c>
      <c r="M2543" s="7">
        <f>IF($A2543="","",L2543-F2543)</f>
        <v/>
      </c>
      <c r="N2543" s="7" t="n"/>
      <c r="Q2543" s="11" t="n"/>
      <c r="S2543">
        <f>IF($A2543="","",IF($W2543=1,Settings!$C$6,Settings!$C$7)*1)</f>
        <v/>
      </c>
      <c r="U2543">
        <f>IF($A2543="","",IF(COUNTIF($A$2:$A2543,$A2543)=1,1,0))</f>
        <v/>
      </c>
      <c r="V2543">
        <f>IF($U2543=1,SUMPRODUCT(--($X$2:$X$3001&lt;$X2543))+1,"")</f>
        <v/>
      </c>
      <c r="W2543">
        <f>IF($A2543="","",IF(OR($T2543=TRUE(),$T2543="TRUE"),1,0))</f>
        <v/>
      </c>
      <c r="X2543">
        <f>IF($U2543=1,IFERROR(IF(VALUE($A2543)&lt;100000000,VALUE($A2543),1000000000),IFERROR(IF(VALUE(MID($A2543,2,20))&lt;100000000,VALUE(MID($A2543,2,20)),1000000000),1000000000))+ROW()/100000,"")</f>
        <v/>
      </c>
    </row>
    <row r="2544">
      <c r="F2544" s="7">
        <f>IF($A2544="","",E2544*N2544/100)</f>
        <v/>
      </c>
      <c r="J2544" s="7" t="n"/>
      <c r="K2544" s="7">
        <f>IF($A2544="","",S2544*N2544)</f>
        <v/>
      </c>
      <c r="L2544" s="7">
        <f>IF($A2544="","",N2544-K2544)</f>
        <v/>
      </c>
      <c r="M2544" s="7">
        <f>IF($A2544="","",L2544-F2544)</f>
        <v/>
      </c>
      <c r="N2544" s="7" t="n"/>
      <c r="Q2544" s="11" t="n"/>
      <c r="S2544">
        <f>IF($A2544="","",IF($W2544=1,Settings!$C$6,Settings!$C$7)*1)</f>
        <v/>
      </c>
      <c r="U2544">
        <f>IF($A2544="","",IF(COUNTIF($A$2:$A2544,$A2544)=1,1,0))</f>
        <v/>
      </c>
      <c r="V2544">
        <f>IF($U2544=1,SUMPRODUCT(--($X$2:$X$3001&lt;$X2544))+1,"")</f>
        <v/>
      </c>
      <c r="W2544">
        <f>IF($A2544="","",IF(OR($T2544=TRUE(),$T2544="TRUE"),1,0))</f>
        <v/>
      </c>
      <c r="X2544">
        <f>IF($U2544=1,IFERROR(IF(VALUE($A2544)&lt;100000000,VALUE($A2544),1000000000),IFERROR(IF(VALUE(MID($A2544,2,20))&lt;100000000,VALUE(MID($A2544,2,20)),1000000000),1000000000))+ROW()/100000,"")</f>
        <v/>
      </c>
    </row>
    <row r="2545">
      <c r="F2545" s="7">
        <f>IF($A2545="","",E2545*N2545/100)</f>
        <v/>
      </c>
      <c r="J2545" s="7" t="n"/>
      <c r="K2545" s="7">
        <f>IF($A2545="","",S2545*N2545)</f>
        <v/>
      </c>
      <c r="L2545" s="7">
        <f>IF($A2545="","",N2545-K2545)</f>
        <v/>
      </c>
      <c r="M2545" s="7">
        <f>IF($A2545="","",L2545-F2545)</f>
        <v/>
      </c>
      <c r="N2545" s="7" t="n"/>
      <c r="Q2545" s="11" t="n"/>
      <c r="S2545">
        <f>IF($A2545="","",IF($W2545=1,Settings!$C$6,Settings!$C$7)*1)</f>
        <v/>
      </c>
      <c r="U2545">
        <f>IF($A2545="","",IF(COUNTIF($A$2:$A2545,$A2545)=1,1,0))</f>
        <v/>
      </c>
      <c r="V2545">
        <f>IF($U2545=1,SUMPRODUCT(--($X$2:$X$3001&lt;$X2545))+1,"")</f>
        <v/>
      </c>
      <c r="W2545">
        <f>IF($A2545="","",IF(OR($T2545=TRUE(),$T2545="TRUE"),1,0))</f>
        <v/>
      </c>
      <c r="X2545">
        <f>IF($U2545=1,IFERROR(IF(VALUE($A2545)&lt;100000000,VALUE($A2545),1000000000),IFERROR(IF(VALUE(MID($A2545,2,20))&lt;100000000,VALUE(MID($A2545,2,20)),1000000000),1000000000))+ROW()/100000,"")</f>
        <v/>
      </c>
    </row>
    <row r="2546">
      <c r="F2546" s="7">
        <f>IF($A2546="","",E2546*N2546/100)</f>
        <v/>
      </c>
      <c r="J2546" s="7" t="n"/>
      <c r="K2546" s="7">
        <f>IF($A2546="","",S2546*N2546)</f>
        <v/>
      </c>
      <c r="L2546" s="7">
        <f>IF($A2546="","",N2546-K2546)</f>
        <v/>
      </c>
      <c r="M2546" s="7">
        <f>IF($A2546="","",L2546-F2546)</f>
        <v/>
      </c>
      <c r="N2546" s="7" t="n"/>
      <c r="Q2546" s="11" t="n"/>
      <c r="S2546">
        <f>IF($A2546="","",IF($W2546=1,Settings!$C$6,Settings!$C$7)*1)</f>
        <v/>
      </c>
      <c r="U2546">
        <f>IF($A2546="","",IF(COUNTIF($A$2:$A2546,$A2546)=1,1,0))</f>
        <v/>
      </c>
      <c r="V2546">
        <f>IF($U2546=1,SUMPRODUCT(--($X$2:$X$3001&lt;$X2546))+1,"")</f>
        <v/>
      </c>
      <c r="W2546">
        <f>IF($A2546="","",IF(OR($T2546=TRUE(),$T2546="TRUE"),1,0))</f>
        <v/>
      </c>
      <c r="X2546">
        <f>IF($U2546=1,IFERROR(IF(VALUE($A2546)&lt;100000000,VALUE($A2546),1000000000),IFERROR(IF(VALUE(MID($A2546,2,20))&lt;100000000,VALUE(MID($A2546,2,20)),1000000000),1000000000))+ROW()/100000,"")</f>
        <v/>
      </c>
    </row>
    <row r="2547">
      <c r="F2547" s="7">
        <f>IF($A2547="","",E2547*N2547/100)</f>
        <v/>
      </c>
      <c r="J2547" s="7" t="n"/>
      <c r="K2547" s="7">
        <f>IF($A2547="","",S2547*N2547)</f>
        <v/>
      </c>
      <c r="L2547" s="7">
        <f>IF($A2547="","",N2547-K2547)</f>
        <v/>
      </c>
      <c r="M2547" s="7">
        <f>IF($A2547="","",L2547-F2547)</f>
        <v/>
      </c>
      <c r="N2547" s="7" t="n"/>
      <c r="Q2547" s="11" t="n"/>
      <c r="S2547">
        <f>IF($A2547="","",IF($W2547=1,Settings!$C$6,Settings!$C$7)*1)</f>
        <v/>
      </c>
      <c r="U2547">
        <f>IF($A2547="","",IF(COUNTIF($A$2:$A2547,$A2547)=1,1,0))</f>
        <v/>
      </c>
      <c r="V2547">
        <f>IF($U2547=1,SUMPRODUCT(--($X$2:$X$3001&lt;$X2547))+1,"")</f>
        <v/>
      </c>
      <c r="W2547">
        <f>IF($A2547="","",IF(OR($T2547=TRUE(),$T2547="TRUE"),1,0))</f>
        <v/>
      </c>
      <c r="X2547">
        <f>IF($U2547=1,IFERROR(IF(VALUE($A2547)&lt;100000000,VALUE($A2547),1000000000),IFERROR(IF(VALUE(MID($A2547,2,20))&lt;100000000,VALUE(MID($A2547,2,20)),1000000000),1000000000))+ROW()/100000,"")</f>
        <v/>
      </c>
    </row>
    <row r="2548">
      <c r="F2548" s="7">
        <f>IF($A2548="","",E2548*N2548/100)</f>
        <v/>
      </c>
      <c r="J2548" s="7" t="n"/>
      <c r="K2548" s="7">
        <f>IF($A2548="","",S2548*N2548)</f>
        <v/>
      </c>
      <c r="L2548" s="7">
        <f>IF($A2548="","",N2548-K2548)</f>
        <v/>
      </c>
      <c r="M2548" s="7">
        <f>IF($A2548="","",L2548-F2548)</f>
        <v/>
      </c>
      <c r="N2548" s="7" t="n"/>
      <c r="Q2548" s="11" t="n"/>
      <c r="S2548">
        <f>IF($A2548="","",IF($W2548=1,Settings!$C$6,Settings!$C$7)*1)</f>
        <v/>
      </c>
      <c r="U2548">
        <f>IF($A2548="","",IF(COUNTIF($A$2:$A2548,$A2548)=1,1,0))</f>
        <v/>
      </c>
      <c r="V2548">
        <f>IF($U2548=1,SUMPRODUCT(--($X$2:$X$3001&lt;$X2548))+1,"")</f>
        <v/>
      </c>
      <c r="W2548">
        <f>IF($A2548="","",IF(OR($T2548=TRUE(),$T2548="TRUE"),1,0))</f>
        <v/>
      </c>
      <c r="X2548">
        <f>IF($U2548=1,IFERROR(IF(VALUE($A2548)&lt;100000000,VALUE($A2548),1000000000),IFERROR(IF(VALUE(MID($A2548,2,20))&lt;100000000,VALUE(MID($A2548,2,20)),1000000000),1000000000))+ROW()/100000,"")</f>
        <v/>
      </c>
    </row>
    <row r="2549">
      <c r="F2549" s="7">
        <f>IF($A2549="","",E2549*N2549/100)</f>
        <v/>
      </c>
      <c r="J2549" s="7" t="n"/>
      <c r="K2549" s="7">
        <f>IF($A2549="","",S2549*N2549)</f>
        <v/>
      </c>
      <c r="L2549" s="7">
        <f>IF($A2549="","",N2549-K2549)</f>
        <v/>
      </c>
      <c r="M2549" s="7">
        <f>IF($A2549="","",L2549-F2549)</f>
        <v/>
      </c>
      <c r="N2549" s="7" t="n"/>
      <c r="Q2549" s="11" t="n"/>
      <c r="S2549">
        <f>IF($A2549="","",IF($W2549=1,Settings!$C$6,Settings!$C$7)*1)</f>
        <v/>
      </c>
      <c r="U2549">
        <f>IF($A2549="","",IF(COUNTIF($A$2:$A2549,$A2549)=1,1,0))</f>
        <v/>
      </c>
      <c r="V2549">
        <f>IF($U2549=1,SUMPRODUCT(--($X$2:$X$3001&lt;$X2549))+1,"")</f>
        <v/>
      </c>
      <c r="W2549">
        <f>IF($A2549="","",IF(OR($T2549=TRUE(),$T2549="TRUE"),1,0))</f>
        <v/>
      </c>
      <c r="X2549">
        <f>IF($U2549=1,IFERROR(IF(VALUE($A2549)&lt;100000000,VALUE($A2549),1000000000),IFERROR(IF(VALUE(MID($A2549,2,20))&lt;100000000,VALUE(MID($A2549,2,20)),1000000000),1000000000))+ROW()/100000,"")</f>
        <v/>
      </c>
    </row>
    <row r="2550">
      <c r="F2550" s="7">
        <f>IF($A2550="","",E2550*N2550/100)</f>
        <v/>
      </c>
      <c r="J2550" s="7" t="n"/>
      <c r="K2550" s="7">
        <f>IF($A2550="","",S2550*N2550)</f>
        <v/>
      </c>
      <c r="L2550" s="7">
        <f>IF($A2550="","",N2550-K2550)</f>
        <v/>
      </c>
      <c r="M2550" s="7">
        <f>IF($A2550="","",L2550-F2550)</f>
        <v/>
      </c>
      <c r="N2550" s="7" t="n"/>
      <c r="Q2550" s="11" t="n"/>
      <c r="S2550">
        <f>IF($A2550="","",IF($W2550=1,Settings!$C$6,Settings!$C$7)*1)</f>
        <v/>
      </c>
      <c r="U2550">
        <f>IF($A2550="","",IF(COUNTIF($A$2:$A2550,$A2550)=1,1,0))</f>
        <v/>
      </c>
      <c r="V2550">
        <f>IF($U2550=1,SUMPRODUCT(--($X$2:$X$3001&lt;$X2550))+1,"")</f>
        <v/>
      </c>
      <c r="W2550">
        <f>IF($A2550="","",IF(OR($T2550=TRUE(),$T2550="TRUE"),1,0))</f>
        <v/>
      </c>
      <c r="X2550">
        <f>IF($U2550=1,IFERROR(IF(VALUE($A2550)&lt;100000000,VALUE($A2550),1000000000),IFERROR(IF(VALUE(MID($A2550,2,20))&lt;100000000,VALUE(MID($A2550,2,20)),1000000000),1000000000))+ROW()/100000,"")</f>
        <v/>
      </c>
    </row>
    <row r="2551">
      <c r="F2551" s="7">
        <f>IF($A2551="","",E2551*N2551/100)</f>
        <v/>
      </c>
      <c r="J2551" s="7" t="n"/>
      <c r="K2551" s="7">
        <f>IF($A2551="","",S2551*N2551)</f>
        <v/>
      </c>
      <c r="L2551" s="7">
        <f>IF($A2551="","",N2551-K2551)</f>
        <v/>
      </c>
      <c r="M2551" s="7">
        <f>IF($A2551="","",L2551-F2551)</f>
        <v/>
      </c>
      <c r="N2551" s="7" t="n"/>
      <c r="Q2551" s="11" t="n"/>
      <c r="S2551">
        <f>IF($A2551="","",IF($W2551=1,Settings!$C$6,Settings!$C$7)*1)</f>
        <v/>
      </c>
      <c r="U2551">
        <f>IF($A2551="","",IF(COUNTIF($A$2:$A2551,$A2551)=1,1,0))</f>
        <v/>
      </c>
      <c r="V2551">
        <f>IF($U2551=1,SUMPRODUCT(--($X$2:$X$3001&lt;$X2551))+1,"")</f>
        <v/>
      </c>
      <c r="W2551">
        <f>IF($A2551="","",IF(OR($T2551=TRUE(),$T2551="TRUE"),1,0))</f>
        <v/>
      </c>
      <c r="X2551">
        <f>IF($U2551=1,IFERROR(IF(VALUE($A2551)&lt;100000000,VALUE($A2551),1000000000),IFERROR(IF(VALUE(MID($A2551,2,20))&lt;100000000,VALUE(MID($A2551,2,20)),1000000000),1000000000))+ROW()/100000,"")</f>
        <v/>
      </c>
    </row>
    <row r="2552">
      <c r="F2552" s="7">
        <f>IF($A2552="","",E2552*N2552/100)</f>
        <v/>
      </c>
      <c r="J2552" s="7" t="n"/>
      <c r="K2552" s="7">
        <f>IF($A2552="","",S2552*N2552)</f>
        <v/>
      </c>
      <c r="L2552" s="7">
        <f>IF($A2552="","",N2552-K2552)</f>
        <v/>
      </c>
      <c r="M2552" s="7">
        <f>IF($A2552="","",L2552-F2552)</f>
        <v/>
      </c>
      <c r="N2552" s="7" t="n"/>
      <c r="Q2552" s="11" t="n"/>
      <c r="S2552">
        <f>IF($A2552="","",IF($W2552=1,Settings!$C$6,Settings!$C$7)*1)</f>
        <v/>
      </c>
      <c r="U2552">
        <f>IF($A2552="","",IF(COUNTIF($A$2:$A2552,$A2552)=1,1,0))</f>
        <v/>
      </c>
      <c r="V2552">
        <f>IF($U2552=1,SUMPRODUCT(--($X$2:$X$3001&lt;$X2552))+1,"")</f>
        <v/>
      </c>
      <c r="W2552">
        <f>IF($A2552="","",IF(OR($T2552=TRUE(),$T2552="TRUE"),1,0))</f>
        <v/>
      </c>
      <c r="X2552">
        <f>IF($U2552=1,IFERROR(IF(VALUE($A2552)&lt;100000000,VALUE($A2552),1000000000),IFERROR(IF(VALUE(MID($A2552,2,20))&lt;100000000,VALUE(MID($A2552,2,20)),1000000000),1000000000))+ROW()/100000,"")</f>
        <v/>
      </c>
    </row>
    <row r="2553">
      <c r="F2553" s="7">
        <f>IF($A2553="","",E2553*N2553/100)</f>
        <v/>
      </c>
      <c r="J2553" s="7" t="n"/>
      <c r="K2553" s="7">
        <f>IF($A2553="","",S2553*N2553)</f>
        <v/>
      </c>
      <c r="L2553" s="7">
        <f>IF($A2553="","",N2553-K2553)</f>
        <v/>
      </c>
      <c r="M2553" s="7">
        <f>IF($A2553="","",L2553-F2553)</f>
        <v/>
      </c>
      <c r="N2553" s="7" t="n"/>
      <c r="Q2553" s="11" t="n"/>
      <c r="S2553">
        <f>IF($A2553="","",IF($W2553=1,Settings!$C$6,Settings!$C$7)*1)</f>
        <v/>
      </c>
      <c r="U2553">
        <f>IF($A2553="","",IF(COUNTIF($A$2:$A2553,$A2553)=1,1,0))</f>
        <v/>
      </c>
      <c r="V2553">
        <f>IF($U2553=1,SUMPRODUCT(--($X$2:$X$3001&lt;$X2553))+1,"")</f>
        <v/>
      </c>
      <c r="W2553">
        <f>IF($A2553="","",IF(OR($T2553=TRUE(),$T2553="TRUE"),1,0))</f>
        <v/>
      </c>
      <c r="X2553">
        <f>IF($U2553=1,IFERROR(IF(VALUE($A2553)&lt;100000000,VALUE($A2553),1000000000),IFERROR(IF(VALUE(MID($A2553,2,20))&lt;100000000,VALUE(MID($A2553,2,20)),1000000000),1000000000))+ROW()/100000,"")</f>
        <v/>
      </c>
    </row>
    <row r="2554">
      <c r="F2554" s="7">
        <f>IF($A2554="","",E2554*N2554/100)</f>
        <v/>
      </c>
      <c r="J2554" s="7" t="n"/>
      <c r="K2554" s="7">
        <f>IF($A2554="","",S2554*N2554)</f>
        <v/>
      </c>
      <c r="L2554" s="7">
        <f>IF($A2554="","",N2554-K2554)</f>
        <v/>
      </c>
      <c r="M2554" s="7">
        <f>IF($A2554="","",L2554-F2554)</f>
        <v/>
      </c>
      <c r="N2554" s="7" t="n"/>
      <c r="Q2554" s="11" t="n"/>
      <c r="S2554">
        <f>IF($A2554="","",IF($W2554=1,Settings!$C$6,Settings!$C$7)*1)</f>
        <v/>
      </c>
      <c r="U2554">
        <f>IF($A2554="","",IF(COUNTIF($A$2:$A2554,$A2554)=1,1,0))</f>
        <v/>
      </c>
      <c r="V2554">
        <f>IF($U2554=1,SUMPRODUCT(--($X$2:$X$3001&lt;$X2554))+1,"")</f>
        <v/>
      </c>
      <c r="W2554">
        <f>IF($A2554="","",IF(OR($T2554=TRUE(),$T2554="TRUE"),1,0))</f>
        <v/>
      </c>
      <c r="X2554">
        <f>IF($U2554=1,IFERROR(IF(VALUE($A2554)&lt;100000000,VALUE($A2554),1000000000),IFERROR(IF(VALUE(MID($A2554,2,20))&lt;100000000,VALUE(MID($A2554,2,20)),1000000000),1000000000))+ROW()/100000,"")</f>
        <v/>
      </c>
    </row>
    <row r="2555">
      <c r="F2555" s="7">
        <f>IF($A2555="","",E2555*N2555/100)</f>
        <v/>
      </c>
      <c r="J2555" s="7" t="n"/>
      <c r="K2555" s="7">
        <f>IF($A2555="","",S2555*N2555)</f>
        <v/>
      </c>
      <c r="L2555" s="7">
        <f>IF($A2555="","",N2555-K2555)</f>
        <v/>
      </c>
      <c r="M2555" s="7">
        <f>IF($A2555="","",L2555-F2555)</f>
        <v/>
      </c>
      <c r="N2555" s="7" t="n"/>
      <c r="Q2555" s="11" t="n"/>
      <c r="S2555">
        <f>IF($A2555="","",IF($W2555=1,Settings!$C$6,Settings!$C$7)*1)</f>
        <v/>
      </c>
      <c r="U2555">
        <f>IF($A2555="","",IF(COUNTIF($A$2:$A2555,$A2555)=1,1,0))</f>
        <v/>
      </c>
      <c r="V2555">
        <f>IF($U2555=1,SUMPRODUCT(--($X$2:$X$3001&lt;$X2555))+1,"")</f>
        <v/>
      </c>
      <c r="W2555">
        <f>IF($A2555="","",IF(OR($T2555=TRUE(),$T2555="TRUE"),1,0))</f>
        <v/>
      </c>
      <c r="X2555">
        <f>IF($U2555=1,IFERROR(IF(VALUE($A2555)&lt;100000000,VALUE($A2555),1000000000),IFERROR(IF(VALUE(MID($A2555,2,20))&lt;100000000,VALUE(MID($A2555,2,20)),1000000000),1000000000))+ROW()/100000,"")</f>
        <v/>
      </c>
    </row>
    <row r="2556">
      <c r="F2556" s="7">
        <f>IF($A2556="","",E2556*N2556/100)</f>
        <v/>
      </c>
      <c r="J2556" s="7" t="n"/>
      <c r="K2556" s="7">
        <f>IF($A2556="","",S2556*N2556)</f>
        <v/>
      </c>
      <c r="L2556" s="7">
        <f>IF($A2556="","",N2556-K2556)</f>
        <v/>
      </c>
      <c r="M2556" s="7">
        <f>IF($A2556="","",L2556-F2556)</f>
        <v/>
      </c>
      <c r="N2556" s="7" t="n"/>
      <c r="Q2556" s="11" t="n"/>
      <c r="S2556">
        <f>IF($A2556="","",IF($W2556=1,Settings!$C$6,Settings!$C$7)*1)</f>
        <v/>
      </c>
      <c r="U2556">
        <f>IF($A2556="","",IF(COUNTIF($A$2:$A2556,$A2556)=1,1,0))</f>
        <v/>
      </c>
      <c r="V2556">
        <f>IF($U2556=1,SUMPRODUCT(--($X$2:$X$3001&lt;$X2556))+1,"")</f>
        <v/>
      </c>
      <c r="W2556">
        <f>IF($A2556="","",IF(OR($T2556=TRUE(),$T2556="TRUE"),1,0))</f>
        <v/>
      </c>
      <c r="X2556">
        <f>IF($U2556=1,IFERROR(IF(VALUE($A2556)&lt;100000000,VALUE($A2556),1000000000),IFERROR(IF(VALUE(MID($A2556,2,20))&lt;100000000,VALUE(MID($A2556,2,20)),1000000000),1000000000))+ROW()/100000,"")</f>
        <v/>
      </c>
    </row>
    <row r="2557">
      <c r="F2557" s="7">
        <f>IF($A2557="","",E2557*N2557/100)</f>
        <v/>
      </c>
      <c r="J2557" s="7" t="n"/>
      <c r="K2557" s="7">
        <f>IF($A2557="","",S2557*N2557)</f>
        <v/>
      </c>
      <c r="L2557" s="7">
        <f>IF($A2557="","",N2557-K2557)</f>
        <v/>
      </c>
      <c r="M2557" s="7">
        <f>IF($A2557="","",L2557-F2557)</f>
        <v/>
      </c>
      <c r="N2557" s="7" t="n"/>
      <c r="Q2557" s="11" t="n"/>
      <c r="S2557">
        <f>IF($A2557="","",IF($W2557=1,Settings!$C$6,Settings!$C$7)*1)</f>
        <v/>
      </c>
      <c r="U2557">
        <f>IF($A2557="","",IF(COUNTIF($A$2:$A2557,$A2557)=1,1,0))</f>
        <v/>
      </c>
      <c r="V2557">
        <f>IF($U2557=1,SUMPRODUCT(--($X$2:$X$3001&lt;$X2557))+1,"")</f>
        <v/>
      </c>
      <c r="W2557">
        <f>IF($A2557="","",IF(OR($T2557=TRUE(),$T2557="TRUE"),1,0))</f>
        <v/>
      </c>
      <c r="X2557">
        <f>IF($U2557=1,IFERROR(IF(VALUE($A2557)&lt;100000000,VALUE($A2557),1000000000),IFERROR(IF(VALUE(MID($A2557,2,20))&lt;100000000,VALUE(MID($A2557,2,20)),1000000000),1000000000))+ROW()/100000,"")</f>
        <v/>
      </c>
    </row>
    <row r="2558">
      <c r="F2558" s="7">
        <f>IF($A2558="","",E2558*N2558/100)</f>
        <v/>
      </c>
      <c r="J2558" s="7" t="n"/>
      <c r="K2558" s="7">
        <f>IF($A2558="","",S2558*N2558)</f>
        <v/>
      </c>
      <c r="L2558" s="7">
        <f>IF($A2558="","",N2558-K2558)</f>
        <v/>
      </c>
      <c r="M2558" s="7">
        <f>IF($A2558="","",L2558-F2558)</f>
        <v/>
      </c>
      <c r="N2558" s="7" t="n"/>
      <c r="Q2558" s="11" t="n"/>
      <c r="S2558">
        <f>IF($A2558="","",IF($W2558=1,Settings!$C$6,Settings!$C$7)*1)</f>
        <v/>
      </c>
      <c r="U2558">
        <f>IF($A2558="","",IF(COUNTIF($A$2:$A2558,$A2558)=1,1,0))</f>
        <v/>
      </c>
      <c r="V2558">
        <f>IF($U2558=1,SUMPRODUCT(--($X$2:$X$3001&lt;$X2558))+1,"")</f>
        <v/>
      </c>
      <c r="W2558">
        <f>IF($A2558="","",IF(OR($T2558=TRUE(),$T2558="TRUE"),1,0))</f>
        <v/>
      </c>
      <c r="X2558">
        <f>IF($U2558=1,IFERROR(IF(VALUE($A2558)&lt;100000000,VALUE($A2558),1000000000),IFERROR(IF(VALUE(MID($A2558,2,20))&lt;100000000,VALUE(MID($A2558,2,20)),1000000000),1000000000))+ROW()/100000,"")</f>
        <v/>
      </c>
    </row>
    <row r="2559">
      <c r="F2559" s="7">
        <f>IF($A2559="","",E2559*N2559/100)</f>
        <v/>
      </c>
      <c r="J2559" s="7" t="n"/>
      <c r="K2559" s="7">
        <f>IF($A2559="","",S2559*N2559)</f>
        <v/>
      </c>
      <c r="L2559" s="7">
        <f>IF($A2559="","",N2559-K2559)</f>
        <v/>
      </c>
      <c r="M2559" s="7">
        <f>IF($A2559="","",L2559-F2559)</f>
        <v/>
      </c>
      <c r="N2559" s="7" t="n"/>
      <c r="Q2559" s="11" t="n"/>
      <c r="S2559">
        <f>IF($A2559="","",IF($W2559=1,Settings!$C$6,Settings!$C$7)*1)</f>
        <v/>
      </c>
      <c r="U2559">
        <f>IF($A2559="","",IF(COUNTIF($A$2:$A2559,$A2559)=1,1,0))</f>
        <v/>
      </c>
      <c r="V2559">
        <f>IF($U2559=1,SUMPRODUCT(--($X$2:$X$3001&lt;$X2559))+1,"")</f>
        <v/>
      </c>
      <c r="W2559">
        <f>IF($A2559="","",IF(OR($T2559=TRUE(),$T2559="TRUE"),1,0))</f>
        <v/>
      </c>
      <c r="X2559">
        <f>IF($U2559=1,IFERROR(IF(VALUE($A2559)&lt;100000000,VALUE($A2559),1000000000),IFERROR(IF(VALUE(MID($A2559,2,20))&lt;100000000,VALUE(MID($A2559,2,20)),1000000000),1000000000))+ROW()/100000,"")</f>
        <v/>
      </c>
    </row>
    <row r="2560">
      <c r="F2560" s="7">
        <f>IF($A2560="","",E2560*N2560/100)</f>
        <v/>
      </c>
      <c r="J2560" s="7" t="n"/>
      <c r="K2560" s="7">
        <f>IF($A2560="","",S2560*N2560)</f>
        <v/>
      </c>
      <c r="L2560" s="7">
        <f>IF($A2560="","",N2560-K2560)</f>
        <v/>
      </c>
      <c r="M2560" s="7">
        <f>IF($A2560="","",L2560-F2560)</f>
        <v/>
      </c>
      <c r="N2560" s="7" t="n"/>
      <c r="Q2560" s="11" t="n"/>
      <c r="S2560">
        <f>IF($A2560="","",IF($W2560=1,Settings!$C$6,Settings!$C$7)*1)</f>
        <v/>
      </c>
      <c r="U2560">
        <f>IF($A2560="","",IF(COUNTIF($A$2:$A2560,$A2560)=1,1,0))</f>
        <v/>
      </c>
      <c r="V2560">
        <f>IF($U2560=1,SUMPRODUCT(--($X$2:$X$3001&lt;$X2560))+1,"")</f>
        <v/>
      </c>
      <c r="W2560">
        <f>IF($A2560="","",IF(OR($T2560=TRUE(),$T2560="TRUE"),1,0))</f>
        <v/>
      </c>
      <c r="X2560">
        <f>IF($U2560=1,IFERROR(IF(VALUE($A2560)&lt;100000000,VALUE($A2560),1000000000),IFERROR(IF(VALUE(MID($A2560,2,20))&lt;100000000,VALUE(MID($A2560,2,20)),1000000000),1000000000))+ROW()/100000,"")</f>
        <v/>
      </c>
    </row>
    <row r="2561">
      <c r="F2561" s="7">
        <f>IF($A2561="","",E2561*N2561/100)</f>
        <v/>
      </c>
      <c r="J2561" s="7" t="n"/>
      <c r="K2561" s="7">
        <f>IF($A2561="","",S2561*N2561)</f>
        <v/>
      </c>
      <c r="L2561" s="7">
        <f>IF($A2561="","",N2561-K2561)</f>
        <v/>
      </c>
      <c r="M2561" s="7">
        <f>IF($A2561="","",L2561-F2561)</f>
        <v/>
      </c>
      <c r="N2561" s="7" t="n"/>
      <c r="Q2561" s="11" t="n"/>
      <c r="S2561">
        <f>IF($A2561="","",IF($W2561=1,Settings!$C$6,Settings!$C$7)*1)</f>
        <v/>
      </c>
      <c r="U2561">
        <f>IF($A2561="","",IF(COUNTIF($A$2:$A2561,$A2561)=1,1,0))</f>
        <v/>
      </c>
      <c r="V2561">
        <f>IF($U2561=1,SUMPRODUCT(--($X$2:$X$3001&lt;$X2561))+1,"")</f>
        <v/>
      </c>
      <c r="W2561">
        <f>IF($A2561="","",IF(OR($T2561=TRUE(),$T2561="TRUE"),1,0))</f>
        <v/>
      </c>
      <c r="X2561">
        <f>IF($U2561=1,IFERROR(IF(VALUE($A2561)&lt;100000000,VALUE($A2561),1000000000),IFERROR(IF(VALUE(MID($A2561,2,20))&lt;100000000,VALUE(MID($A2561,2,20)),1000000000),1000000000))+ROW()/100000,"")</f>
        <v/>
      </c>
    </row>
    <row r="2562">
      <c r="F2562" s="7">
        <f>IF($A2562="","",E2562*N2562/100)</f>
        <v/>
      </c>
      <c r="J2562" s="7" t="n"/>
      <c r="K2562" s="7">
        <f>IF($A2562="","",S2562*N2562)</f>
        <v/>
      </c>
      <c r="L2562" s="7">
        <f>IF($A2562="","",N2562-K2562)</f>
        <v/>
      </c>
      <c r="M2562" s="7">
        <f>IF($A2562="","",L2562-F2562)</f>
        <v/>
      </c>
      <c r="N2562" s="7" t="n"/>
      <c r="Q2562" s="11" t="n"/>
      <c r="S2562">
        <f>IF($A2562="","",IF($W2562=1,Settings!$C$6,Settings!$C$7)*1)</f>
        <v/>
      </c>
      <c r="U2562">
        <f>IF($A2562="","",IF(COUNTIF($A$2:$A2562,$A2562)=1,1,0))</f>
        <v/>
      </c>
      <c r="V2562">
        <f>IF($U2562=1,SUMPRODUCT(--($X$2:$X$3001&lt;$X2562))+1,"")</f>
        <v/>
      </c>
      <c r="W2562">
        <f>IF($A2562="","",IF(OR($T2562=TRUE(),$T2562="TRUE"),1,0))</f>
        <v/>
      </c>
      <c r="X2562">
        <f>IF($U2562=1,IFERROR(IF(VALUE($A2562)&lt;100000000,VALUE($A2562),1000000000),IFERROR(IF(VALUE(MID($A2562,2,20))&lt;100000000,VALUE(MID($A2562,2,20)),1000000000),1000000000))+ROW()/100000,"")</f>
        <v/>
      </c>
    </row>
    <row r="2563">
      <c r="F2563" s="7">
        <f>IF($A2563="","",E2563*N2563/100)</f>
        <v/>
      </c>
      <c r="J2563" s="7" t="n"/>
      <c r="K2563" s="7">
        <f>IF($A2563="","",S2563*N2563)</f>
        <v/>
      </c>
      <c r="L2563" s="7">
        <f>IF($A2563="","",N2563-K2563)</f>
        <v/>
      </c>
      <c r="M2563" s="7">
        <f>IF($A2563="","",L2563-F2563)</f>
        <v/>
      </c>
      <c r="N2563" s="7" t="n"/>
      <c r="Q2563" s="11" t="n"/>
      <c r="S2563">
        <f>IF($A2563="","",IF($W2563=1,Settings!$C$6,Settings!$C$7)*1)</f>
        <v/>
      </c>
      <c r="U2563">
        <f>IF($A2563="","",IF(COUNTIF($A$2:$A2563,$A2563)=1,1,0))</f>
        <v/>
      </c>
      <c r="V2563">
        <f>IF($U2563=1,SUMPRODUCT(--($X$2:$X$3001&lt;$X2563))+1,"")</f>
        <v/>
      </c>
      <c r="W2563">
        <f>IF($A2563="","",IF(OR($T2563=TRUE(),$T2563="TRUE"),1,0))</f>
        <v/>
      </c>
      <c r="X2563">
        <f>IF($U2563=1,IFERROR(IF(VALUE($A2563)&lt;100000000,VALUE($A2563),1000000000),IFERROR(IF(VALUE(MID($A2563,2,20))&lt;100000000,VALUE(MID($A2563,2,20)),1000000000),1000000000))+ROW()/100000,"")</f>
        <v/>
      </c>
    </row>
    <row r="2564">
      <c r="F2564" s="7">
        <f>IF($A2564="","",E2564*N2564/100)</f>
        <v/>
      </c>
      <c r="J2564" s="7" t="n"/>
      <c r="K2564" s="7">
        <f>IF($A2564="","",S2564*N2564)</f>
        <v/>
      </c>
      <c r="L2564" s="7">
        <f>IF($A2564="","",N2564-K2564)</f>
        <v/>
      </c>
      <c r="M2564" s="7">
        <f>IF($A2564="","",L2564-F2564)</f>
        <v/>
      </c>
      <c r="N2564" s="7" t="n"/>
      <c r="Q2564" s="11" t="n"/>
      <c r="S2564">
        <f>IF($A2564="","",IF($W2564=1,Settings!$C$6,Settings!$C$7)*1)</f>
        <v/>
      </c>
      <c r="U2564">
        <f>IF($A2564="","",IF(COUNTIF($A$2:$A2564,$A2564)=1,1,0))</f>
        <v/>
      </c>
      <c r="V2564">
        <f>IF($U2564=1,SUMPRODUCT(--($X$2:$X$3001&lt;$X2564))+1,"")</f>
        <v/>
      </c>
      <c r="W2564">
        <f>IF($A2564="","",IF(OR($T2564=TRUE(),$T2564="TRUE"),1,0))</f>
        <v/>
      </c>
      <c r="X2564">
        <f>IF($U2564=1,IFERROR(IF(VALUE($A2564)&lt;100000000,VALUE($A2564),1000000000),IFERROR(IF(VALUE(MID($A2564,2,20))&lt;100000000,VALUE(MID($A2564,2,20)),1000000000),1000000000))+ROW()/100000,"")</f>
        <v/>
      </c>
    </row>
    <row r="2565">
      <c r="F2565" s="7">
        <f>IF($A2565="","",E2565*N2565/100)</f>
        <v/>
      </c>
      <c r="J2565" s="7" t="n"/>
      <c r="K2565" s="7">
        <f>IF($A2565="","",S2565*N2565)</f>
        <v/>
      </c>
      <c r="L2565" s="7">
        <f>IF($A2565="","",N2565-K2565)</f>
        <v/>
      </c>
      <c r="M2565" s="7">
        <f>IF($A2565="","",L2565-F2565)</f>
        <v/>
      </c>
      <c r="N2565" s="7" t="n"/>
      <c r="Q2565" s="11" t="n"/>
      <c r="S2565">
        <f>IF($A2565="","",IF($W2565=1,Settings!$C$6,Settings!$C$7)*1)</f>
        <v/>
      </c>
      <c r="U2565">
        <f>IF($A2565="","",IF(COUNTIF($A$2:$A2565,$A2565)=1,1,0))</f>
        <v/>
      </c>
      <c r="V2565">
        <f>IF($U2565=1,SUMPRODUCT(--($X$2:$X$3001&lt;$X2565))+1,"")</f>
        <v/>
      </c>
      <c r="W2565">
        <f>IF($A2565="","",IF(OR($T2565=TRUE(),$T2565="TRUE"),1,0))</f>
        <v/>
      </c>
      <c r="X2565">
        <f>IF($U2565=1,IFERROR(IF(VALUE($A2565)&lt;100000000,VALUE($A2565),1000000000),IFERROR(IF(VALUE(MID($A2565,2,20))&lt;100000000,VALUE(MID($A2565,2,20)),1000000000),1000000000))+ROW()/100000,"")</f>
        <v/>
      </c>
    </row>
    <row r="2566">
      <c r="F2566" s="7">
        <f>IF($A2566="","",E2566*N2566/100)</f>
        <v/>
      </c>
      <c r="J2566" s="7" t="n"/>
      <c r="K2566" s="7">
        <f>IF($A2566="","",S2566*N2566)</f>
        <v/>
      </c>
      <c r="L2566" s="7">
        <f>IF($A2566="","",N2566-K2566)</f>
        <v/>
      </c>
      <c r="M2566" s="7">
        <f>IF($A2566="","",L2566-F2566)</f>
        <v/>
      </c>
      <c r="N2566" s="7" t="n"/>
      <c r="Q2566" s="11" t="n"/>
      <c r="S2566">
        <f>IF($A2566="","",IF($W2566=1,Settings!$C$6,Settings!$C$7)*1)</f>
        <v/>
      </c>
      <c r="U2566">
        <f>IF($A2566="","",IF(COUNTIF($A$2:$A2566,$A2566)=1,1,0))</f>
        <v/>
      </c>
      <c r="V2566">
        <f>IF($U2566=1,SUMPRODUCT(--($X$2:$X$3001&lt;$X2566))+1,"")</f>
        <v/>
      </c>
      <c r="W2566">
        <f>IF($A2566="","",IF(OR($T2566=TRUE(),$T2566="TRUE"),1,0))</f>
        <v/>
      </c>
      <c r="X2566">
        <f>IF($U2566=1,IFERROR(IF(VALUE($A2566)&lt;100000000,VALUE($A2566),1000000000),IFERROR(IF(VALUE(MID($A2566,2,20))&lt;100000000,VALUE(MID($A2566,2,20)),1000000000),1000000000))+ROW()/100000,"")</f>
        <v/>
      </c>
    </row>
    <row r="2567">
      <c r="F2567" s="7">
        <f>IF($A2567="","",E2567*N2567/100)</f>
        <v/>
      </c>
      <c r="J2567" s="7" t="n"/>
      <c r="K2567" s="7">
        <f>IF($A2567="","",S2567*N2567)</f>
        <v/>
      </c>
      <c r="L2567" s="7">
        <f>IF($A2567="","",N2567-K2567)</f>
        <v/>
      </c>
      <c r="M2567" s="7">
        <f>IF($A2567="","",L2567-F2567)</f>
        <v/>
      </c>
      <c r="N2567" s="7" t="n"/>
      <c r="Q2567" s="11" t="n"/>
      <c r="S2567">
        <f>IF($A2567="","",IF($W2567=1,Settings!$C$6,Settings!$C$7)*1)</f>
        <v/>
      </c>
      <c r="U2567">
        <f>IF($A2567="","",IF(COUNTIF($A$2:$A2567,$A2567)=1,1,0))</f>
        <v/>
      </c>
      <c r="V2567">
        <f>IF($U2567=1,SUMPRODUCT(--($X$2:$X$3001&lt;$X2567))+1,"")</f>
        <v/>
      </c>
      <c r="W2567">
        <f>IF($A2567="","",IF(OR($T2567=TRUE(),$T2567="TRUE"),1,0))</f>
        <v/>
      </c>
      <c r="X2567">
        <f>IF($U2567=1,IFERROR(IF(VALUE($A2567)&lt;100000000,VALUE($A2567),1000000000),IFERROR(IF(VALUE(MID($A2567,2,20))&lt;100000000,VALUE(MID($A2567,2,20)),1000000000),1000000000))+ROW()/100000,"")</f>
        <v/>
      </c>
    </row>
    <row r="2568">
      <c r="F2568" s="7">
        <f>IF($A2568="","",E2568*N2568/100)</f>
        <v/>
      </c>
      <c r="J2568" s="7" t="n"/>
      <c r="K2568" s="7">
        <f>IF($A2568="","",S2568*N2568)</f>
        <v/>
      </c>
      <c r="L2568" s="7">
        <f>IF($A2568="","",N2568-K2568)</f>
        <v/>
      </c>
      <c r="M2568" s="7">
        <f>IF($A2568="","",L2568-F2568)</f>
        <v/>
      </c>
      <c r="N2568" s="7" t="n"/>
      <c r="Q2568" s="11" t="n"/>
      <c r="S2568">
        <f>IF($A2568="","",IF($W2568=1,Settings!$C$6,Settings!$C$7)*1)</f>
        <v/>
      </c>
      <c r="U2568">
        <f>IF($A2568="","",IF(COUNTIF($A$2:$A2568,$A2568)=1,1,0))</f>
        <v/>
      </c>
      <c r="V2568">
        <f>IF($U2568=1,SUMPRODUCT(--($X$2:$X$3001&lt;$X2568))+1,"")</f>
        <v/>
      </c>
      <c r="W2568">
        <f>IF($A2568="","",IF(OR($T2568=TRUE(),$T2568="TRUE"),1,0))</f>
        <v/>
      </c>
      <c r="X2568">
        <f>IF($U2568=1,IFERROR(IF(VALUE($A2568)&lt;100000000,VALUE($A2568),1000000000),IFERROR(IF(VALUE(MID($A2568,2,20))&lt;100000000,VALUE(MID($A2568,2,20)),1000000000),1000000000))+ROW()/100000,"")</f>
        <v/>
      </c>
    </row>
    <row r="2569">
      <c r="F2569" s="7">
        <f>IF($A2569="","",E2569*N2569/100)</f>
        <v/>
      </c>
      <c r="J2569" s="7" t="n"/>
      <c r="K2569" s="7">
        <f>IF($A2569="","",S2569*N2569)</f>
        <v/>
      </c>
      <c r="L2569" s="7">
        <f>IF($A2569="","",N2569-K2569)</f>
        <v/>
      </c>
      <c r="M2569" s="7">
        <f>IF($A2569="","",L2569-F2569)</f>
        <v/>
      </c>
      <c r="N2569" s="7" t="n"/>
      <c r="Q2569" s="11" t="n"/>
      <c r="S2569">
        <f>IF($A2569="","",IF($W2569=1,Settings!$C$6,Settings!$C$7)*1)</f>
        <v/>
      </c>
      <c r="U2569">
        <f>IF($A2569="","",IF(COUNTIF($A$2:$A2569,$A2569)=1,1,0))</f>
        <v/>
      </c>
      <c r="V2569">
        <f>IF($U2569=1,SUMPRODUCT(--($X$2:$X$3001&lt;$X2569))+1,"")</f>
        <v/>
      </c>
      <c r="W2569">
        <f>IF($A2569="","",IF(OR($T2569=TRUE(),$T2569="TRUE"),1,0))</f>
        <v/>
      </c>
      <c r="X2569">
        <f>IF($U2569=1,IFERROR(IF(VALUE($A2569)&lt;100000000,VALUE($A2569),1000000000),IFERROR(IF(VALUE(MID($A2569,2,20))&lt;100000000,VALUE(MID($A2569,2,20)),1000000000),1000000000))+ROW()/100000,"")</f>
        <v/>
      </c>
    </row>
    <row r="2570">
      <c r="F2570" s="7">
        <f>IF($A2570="","",E2570*N2570/100)</f>
        <v/>
      </c>
      <c r="J2570" s="7" t="n"/>
      <c r="K2570" s="7">
        <f>IF($A2570="","",S2570*N2570)</f>
        <v/>
      </c>
      <c r="L2570" s="7">
        <f>IF($A2570="","",N2570-K2570)</f>
        <v/>
      </c>
      <c r="M2570" s="7">
        <f>IF($A2570="","",L2570-F2570)</f>
        <v/>
      </c>
      <c r="N2570" s="7" t="n"/>
      <c r="Q2570" s="11" t="n"/>
      <c r="S2570">
        <f>IF($A2570="","",IF($W2570=1,Settings!$C$6,Settings!$C$7)*1)</f>
        <v/>
      </c>
      <c r="U2570">
        <f>IF($A2570="","",IF(COUNTIF($A$2:$A2570,$A2570)=1,1,0))</f>
        <v/>
      </c>
      <c r="V2570">
        <f>IF($U2570=1,SUMPRODUCT(--($X$2:$X$3001&lt;$X2570))+1,"")</f>
        <v/>
      </c>
      <c r="W2570">
        <f>IF($A2570="","",IF(OR($T2570=TRUE(),$T2570="TRUE"),1,0))</f>
        <v/>
      </c>
      <c r="X2570">
        <f>IF($U2570=1,IFERROR(IF(VALUE($A2570)&lt;100000000,VALUE($A2570),1000000000),IFERROR(IF(VALUE(MID($A2570,2,20))&lt;100000000,VALUE(MID($A2570,2,20)),1000000000),1000000000))+ROW()/100000,"")</f>
        <v/>
      </c>
    </row>
    <row r="2571">
      <c r="F2571" s="7">
        <f>IF($A2571="","",E2571*N2571/100)</f>
        <v/>
      </c>
      <c r="J2571" s="7" t="n"/>
      <c r="K2571" s="7">
        <f>IF($A2571="","",S2571*N2571)</f>
        <v/>
      </c>
      <c r="L2571" s="7">
        <f>IF($A2571="","",N2571-K2571)</f>
        <v/>
      </c>
      <c r="M2571" s="7">
        <f>IF($A2571="","",L2571-F2571)</f>
        <v/>
      </c>
      <c r="N2571" s="7" t="n"/>
      <c r="Q2571" s="11" t="n"/>
      <c r="S2571">
        <f>IF($A2571="","",IF($W2571=1,Settings!$C$6,Settings!$C$7)*1)</f>
        <v/>
      </c>
      <c r="U2571">
        <f>IF($A2571="","",IF(COUNTIF($A$2:$A2571,$A2571)=1,1,0))</f>
        <v/>
      </c>
      <c r="V2571">
        <f>IF($U2571=1,SUMPRODUCT(--($X$2:$X$3001&lt;$X2571))+1,"")</f>
        <v/>
      </c>
      <c r="W2571">
        <f>IF($A2571="","",IF(OR($T2571=TRUE(),$T2571="TRUE"),1,0))</f>
        <v/>
      </c>
      <c r="X2571">
        <f>IF($U2571=1,IFERROR(IF(VALUE($A2571)&lt;100000000,VALUE($A2571),1000000000),IFERROR(IF(VALUE(MID($A2571,2,20))&lt;100000000,VALUE(MID($A2571,2,20)),1000000000),1000000000))+ROW()/100000,"")</f>
        <v/>
      </c>
    </row>
    <row r="2572">
      <c r="F2572" s="7">
        <f>IF($A2572="","",E2572*N2572/100)</f>
        <v/>
      </c>
      <c r="J2572" s="7" t="n"/>
      <c r="K2572" s="7">
        <f>IF($A2572="","",S2572*N2572)</f>
        <v/>
      </c>
      <c r="L2572" s="7">
        <f>IF($A2572="","",N2572-K2572)</f>
        <v/>
      </c>
      <c r="M2572" s="7">
        <f>IF($A2572="","",L2572-F2572)</f>
        <v/>
      </c>
      <c r="N2572" s="7" t="n"/>
      <c r="Q2572" s="11" t="n"/>
      <c r="S2572">
        <f>IF($A2572="","",IF($W2572=1,Settings!$C$6,Settings!$C$7)*1)</f>
        <v/>
      </c>
      <c r="U2572">
        <f>IF($A2572="","",IF(COUNTIF($A$2:$A2572,$A2572)=1,1,0))</f>
        <v/>
      </c>
      <c r="V2572">
        <f>IF($U2572=1,SUMPRODUCT(--($X$2:$X$3001&lt;$X2572))+1,"")</f>
        <v/>
      </c>
      <c r="W2572">
        <f>IF($A2572="","",IF(OR($T2572=TRUE(),$T2572="TRUE"),1,0))</f>
        <v/>
      </c>
      <c r="X2572">
        <f>IF($U2572=1,IFERROR(IF(VALUE($A2572)&lt;100000000,VALUE($A2572),1000000000),IFERROR(IF(VALUE(MID($A2572,2,20))&lt;100000000,VALUE(MID($A2572,2,20)),1000000000),1000000000))+ROW()/100000,"")</f>
        <v/>
      </c>
    </row>
    <row r="2573">
      <c r="F2573" s="7">
        <f>IF($A2573="","",E2573*N2573/100)</f>
        <v/>
      </c>
      <c r="J2573" s="7" t="n"/>
      <c r="K2573" s="7">
        <f>IF($A2573="","",S2573*N2573)</f>
        <v/>
      </c>
      <c r="L2573" s="7">
        <f>IF($A2573="","",N2573-K2573)</f>
        <v/>
      </c>
      <c r="M2573" s="7">
        <f>IF($A2573="","",L2573-F2573)</f>
        <v/>
      </c>
      <c r="N2573" s="7" t="n"/>
      <c r="Q2573" s="11" t="n"/>
      <c r="S2573">
        <f>IF($A2573="","",IF($W2573=1,Settings!$C$6,Settings!$C$7)*1)</f>
        <v/>
      </c>
      <c r="U2573">
        <f>IF($A2573="","",IF(COUNTIF($A$2:$A2573,$A2573)=1,1,0))</f>
        <v/>
      </c>
      <c r="V2573">
        <f>IF($U2573=1,SUMPRODUCT(--($X$2:$X$3001&lt;$X2573))+1,"")</f>
        <v/>
      </c>
      <c r="W2573">
        <f>IF($A2573="","",IF(OR($T2573=TRUE(),$T2573="TRUE"),1,0))</f>
        <v/>
      </c>
      <c r="X2573">
        <f>IF($U2573=1,IFERROR(IF(VALUE($A2573)&lt;100000000,VALUE($A2573),1000000000),IFERROR(IF(VALUE(MID($A2573,2,20))&lt;100000000,VALUE(MID($A2573,2,20)),1000000000),1000000000))+ROW()/100000,"")</f>
        <v/>
      </c>
    </row>
    <row r="2574">
      <c r="F2574" s="7">
        <f>IF($A2574="","",E2574*N2574/100)</f>
        <v/>
      </c>
      <c r="J2574" s="7" t="n"/>
      <c r="K2574" s="7">
        <f>IF($A2574="","",S2574*N2574)</f>
        <v/>
      </c>
      <c r="L2574" s="7">
        <f>IF($A2574="","",N2574-K2574)</f>
        <v/>
      </c>
      <c r="M2574" s="7">
        <f>IF($A2574="","",L2574-F2574)</f>
        <v/>
      </c>
      <c r="N2574" s="7" t="n"/>
      <c r="Q2574" s="11" t="n"/>
      <c r="S2574">
        <f>IF($A2574="","",IF($W2574=1,Settings!$C$6,Settings!$C$7)*1)</f>
        <v/>
      </c>
      <c r="U2574">
        <f>IF($A2574="","",IF(COUNTIF($A$2:$A2574,$A2574)=1,1,0))</f>
        <v/>
      </c>
      <c r="V2574">
        <f>IF($U2574=1,SUMPRODUCT(--($X$2:$X$3001&lt;$X2574))+1,"")</f>
        <v/>
      </c>
      <c r="W2574">
        <f>IF($A2574="","",IF(OR($T2574=TRUE(),$T2574="TRUE"),1,0))</f>
        <v/>
      </c>
      <c r="X2574">
        <f>IF($U2574=1,IFERROR(IF(VALUE($A2574)&lt;100000000,VALUE($A2574),1000000000),IFERROR(IF(VALUE(MID($A2574,2,20))&lt;100000000,VALUE(MID($A2574,2,20)),1000000000),1000000000))+ROW()/100000,"")</f>
        <v/>
      </c>
    </row>
    <row r="2575">
      <c r="F2575" s="7">
        <f>IF($A2575="","",E2575*N2575/100)</f>
        <v/>
      </c>
      <c r="J2575" s="7" t="n"/>
      <c r="K2575" s="7">
        <f>IF($A2575="","",S2575*N2575)</f>
        <v/>
      </c>
      <c r="L2575" s="7">
        <f>IF($A2575="","",N2575-K2575)</f>
        <v/>
      </c>
      <c r="M2575" s="7">
        <f>IF($A2575="","",L2575-F2575)</f>
        <v/>
      </c>
      <c r="N2575" s="7" t="n"/>
      <c r="Q2575" s="11" t="n"/>
      <c r="S2575">
        <f>IF($A2575="","",IF($W2575=1,Settings!$C$6,Settings!$C$7)*1)</f>
        <v/>
      </c>
      <c r="U2575">
        <f>IF($A2575="","",IF(COUNTIF($A$2:$A2575,$A2575)=1,1,0))</f>
        <v/>
      </c>
      <c r="V2575">
        <f>IF($U2575=1,SUMPRODUCT(--($X$2:$X$3001&lt;$X2575))+1,"")</f>
        <v/>
      </c>
      <c r="W2575">
        <f>IF($A2575="","",IF(OR($T2575=TRUE(),$T2575="TRUE"),1,0))</f>
        <v/>
      </c>
      <c r="X2575">
        <f>IF($U2575=1,IFERROR(IF(VALUE($A2575)&lt;100000000,VALUE($A2575),1000000000),IFERROR(IF(VALUE(MID($A2575,2,20))&lt;100000000,VALUE(MID($A2575,2,20)),1000000000),1000000000))+ROW()/100000,"")</f>
        <v/>
      </c>
    </row>
    <row r="2576">
      <c r="F2576" s="7">
        <f>IF($A2576="","",E2576*N2576/100)</f>
        <v/>
      </c>
      <c r="J2576" s="7" t="n"/>
      <c r="K2576" s="7">
        <f>IF($A2576="","",S2576*N2576)</f>
        <v/>
      </c>
      <c r="L2576" s="7">
        <f>IF($A2576="","",N2576-K2576)</f>
        <v/>
      </c>
      <c r="M2576" s="7">
        <f>IF($A2576="","",L2576-F2576)</f>
        <v/>
      </c>
      <c r="N2576" s="7" t="n"/>
      <c r="Q2576" s="11" t="n"/>
      <c r="S2576">
        <f>IF($A2576="","",IF($W2576=1,Settings!$C$6,Settings!$C$7)*1)</f>
        <v/>
      </c>
      <c r="U2576">
        <f>IF($A2576="","",IF(COUNTIF($A$2:$A2576,$A2576)=1,1,0))</f>
        <v/>
      </c>
      <c r="V2576">
        <f>IF($U2576=1,SUMPRODUCT(--($X$2:$X$3001&lt;$X2576))+1,"")</f>
        <v/>
      </c>
      <c r="W2576">
        <f>IF($A2576="","",IF(OR($T2576=TRUE(),$T2576="TRUE"),1,0))</f>
        <v/>
      </c>
      <c r="X2576">
        <f>IF($U2576=1,IFERROR(IF(VALUE($A2576)&lt;100000000,VALUE($A2576),1000000000),IFERROR(IF(VALUE(MID($A2576,2,20))&lt;100000000,VALUE(MID($A2576,2,20)),1000000000),1000000000))+ROW()/100000,"")</f>
        <v/>
      </c>
    </row>
    <row r="2577">
      <c r="F2577" s="7">
        <f>IF($A2577="","",E2577*N2577/100)</f>
        <v/>
      </c>
      <c r="J2577" s="7" t="n"/>
      <c r="K2577" s="7">
        <f>IF($A2577="","",S2577*N2577)</f>
        <v/>
      </c>
      <c r="L2577" s="7">
        <f>IF($A2577="","",N2577-K2577)</f>
        <v/>
      </c>
      <c r="M2577" s="7">
        <f>IF($A2577="","",L2577-F2577)</f>
        <v/>
      </c>
      <c r="N2577" s="7" t="n"/>
      <c r="Q2577" s="11" t="n"/>
      <c r="S2577">
        <f>IF($A2577="","",IF($W2577=1,Settings!$C$6,Settings!$C$7)*1)</f>
        <v/>
      </c>
      <c r="U2577">
        <f>IF($A2577="","",IF(COUNTIF($A$2:$A2577,$A2577)=1,1,0))</f>
        <v/>
      </c>
      <c r="V2577">
        <f>IF($U2577=1,SUMPRODUCT(--($X$2:$X$3001&lt;$X2577))+1,"")</f>
        <v/>
      </c>
      <c r="W2577">
        <f>IF($A2577="","",IF(OR($T2577=TRUE(),$T2577="TRUE"),1,0))</f>
        <v/>
      </c>
      <c r="X2577">
        <f>IF($U2577=1,IFERROR(IF(VALUE($A2577)&lt;100000000,VALUE($A2577),1000000000),IFERROR(IF(VALUE(MID($A2577,2,20))&lt;100000000,VALUE(MID($A2577,2,20)),1000000000),1000000000))+ROW()/100000,"")</f>
        <v/>
      </c>
    </row>
    <row r="2578">
      <c r="F2578" s="7">
        <f>IF($A2578="","",E2578*N2578/100)</f>
        <v/>
      </c>
      <c r="J2578" s="7" t="n"/>
      <c r="K2578" s="7">
        <f>IF($A2578="","",S2578*N2578)</f>
        <v/>
      </c>
      <c r="L2578" s="7">
        <f>IF($A2578="","",N2578-K2578)</f>
        <v/>
      </c>
      <c r="M2578" s="7">
        <f>IF($A2578="","",L2578-F2578)</f>
        <v/>
      </c>
      <c r="N2578" s="7" t="n"/>
      <c r="Q2578" s="11" t="n"/>
      <c r="S2578">
        <f>IF($A2578="","",IF($W2578=1,Settings!$C$6,Settings!$C$7)*1)</f>
        <v/>
      </c>
      <c r="U2578">
        <f>IF($A2578="","",IF(COUNTIF($A$2:$A2578,$A2578)=1,1,0))</f>
        <v/>
      </c>
      <c r="V2578">
        <f>IF($U2578=1,SUMPRODUCT(--($X$2:$X$3001&lt;$X2578))+1,"")</f>
        <v/>
      </c>
      <c r="W2578">
        <f>IF($A2578="","",IF(OR($T2578=TRUE(),$T2578="TRUE"),1,0))</f>
        <v/>
      </c>
      <c r="X2578">
        <f>IF($U2578=1,IFERROR(IF(VALUE($A2578)&lt;100000000,VALUE($A2578),1000000000),IFERROR(IF(VALUE(MID($A2578,2,20))&lt;100000000,VALUE(MID($A2578,2,20)),1000000000),1000000000))+ROW()/100000,"")</f>
        <v/>
      </c>
    </row>
    <row r="2579">
      <c r="F2579" s="7">
        <f>IF($A2579="","",E2579*N2579/100)</f>
        <v/>
      </c>
      <c r="J2579" s="7" t="n"/>
      <c r="K2579" s="7">
        <f>IF($A2579="","",S2579*N2579)</f>
        <v/>
      </c>
      <c r="L2579" s="7">
        <f>IF($A2579="","",N2579-K2579)</f>
        <v/>
      </c>
      <c r="M2579" s="7">
        <f>IF($A2579="","",L2579-F2579)</f>
        <v/>
      </c>
      <c r="N2579" s="7" t="n"/>
      <c r="Q2579" s="11" t="n"/>
      <c r="S2579">
        <f>IF($A2579="","",IF($W2579=1,Settings!$C$6,Settings!$C$7)*1)</f>
        <v/>
      </c>
      <c r="U2579">
        <f>IF($A2579="","",IF(COUNTIF($A$2:$A2579,$A2579)=1,1,0))</f>
        <v/>
      </c>
      <c r="V2579">
        <f>IF($U2579=1,SUMPRODUCT(--($X$2:$X$3001&lt;$X2579))+1,"")</f>
        <v/>
      </c>
      <c r="W2579">
        <f>IF($A2579="","",IF(OR($T2579=TRUE(),$T2579="TRUE"),1,0))</f>
        <v/>
      </c>
      <c r="X2579">
        <f>IF($U2579=1,IFERROR(IF(VALUE($A2579)&lt;100000000,VALUE($A2579),1000000000),IFERROR(IF(VALUE(MID($A2579,2,20))&lt;100000000,VALUE(MID($A2579,2,20)),1000000000),1000000000))+ROW()/100000,"")</f>
        <v/>
      </c>
    </row>
    <row r="2580">
      <c r="F2580" s="7">
        <f>IF($A2580="","",E2580*N2580/100)</f>
        <v/>
      </c>
      <c r="J2580" s="7" t="n"/>
      <c r="K2580" s="7">
        <f>IF($A2580="","",S2580*N2580)</f>
        <v/>
      </c>
      <c r="L2580" s="7">
        <f>IF($A2580="","",N2580-K2580)</f>
        <v/>
      </c>
      <c r="M2580" s="7">
        <f>IF($A2580="","",L2580-F2580)</f>
        <v/>
      </c>
      <c r="N2580" s="7" t="n"/>
      <c r="Q2580" s="11" t="n"/>
      <c r="S2580">
        <f>IF($A2580="","",IF($W2580=1,Settings!$C$6,Settings!$C$7)*1)</f>
        <v/>
      </c>
      <c r="U2580">
        <f>IF($A2580="","",IF(COUNTIF($A$2:$A2580,$A2580)=1,1,0))</f>
        <v/>
      </c>
      <c r="V2580">
        <f>IF($U2580=1,SUMPRODUCT(--($X$2:$X$3001&lt;$X2580))+1,"")</f>
        <v/>
      </c>
      <c r="W2580">
        <f>IF($A2580="","",IF(OR($T2580=TRUE(),$T2580="TRUE"),1,0))</f>
        <v/>
      </c>
      <c r="X2580">
        <f>IF($U2580=1,IFERROR(IF(VALUE($A2580)&lt;100000000,VALUE($A2580),1000000000),IFERROR(IF(VALUE(MID($A2580,2,20))&lt;100000000,VALUE(MID($A2580,2,20)),1000000000),1000000000))+ROW()/100000,"")</f>
        <v/>
      </c>
    </row>
    <row r="2581">
      <c r="F2581" s="7">
        <f>IF($A2581="","",E2581*N2581/100)</f>
        <v/>
      </c>
      <c r="J2581" s="7" t="n"/>
      <c r="K2581" s="7">
        <f>IF($A2581="","",S2581*N2581)</f>
        <v/>
      </c>
      <c r="L2581" s="7">
        <f>IF($A2581="","",N2581-K2581)</f>
        <v/>
      </c>
      <c r="M2581" s="7">
        <f>IF($A2581="","",L2581-F2581)</f>
        <v/>
      </c>
      <c r="N2581" s="7" t="n"/>
      <c r="Q2581" s="11" t="n"/>
      <c r="S2581">
        <f>IF($A2581="","",IF($W2581=1,Settings!$C$6,Settings!$C$7)*1)</f>
        <v/>
      </c>
      <c r="U2581">
        <f>IF($A2581="","",IF(COUNTIF($A$2:$A2581,$A2581)=1,1,0))</f>
        <v/>
      </c>
      <c r="V2581">
        <f>IF($U2581=1,SUMPRODUCT(--($X$2:$X$3001&lt;$X2581))+1,"")</f>
        <v/>
      </c>
      <c r="W2581">
        <f>IF($A2581="","",IF(OR($T2581=TRUE(),$T2581="TRUE"),1,0))</f>
        <v/>
      </c>
      <c r="X2581">
        <f>IF($U2581=1,IFERROR(IF(VALUE($A2581)&lt;100000000,VALUE($A2581),1000000000),IFERROR(IF(VALUE(MID($A2581,2,20))&lt;100000000,VALUE(MID($A2581,2,20)),1000000000),1000000000))+ROW()/100000,"")</f>
        <v/>
      </c>
    </row>
    <row r="2582">
      <c r="F2582" s="7">
        <f>IF($A2582="","",E2582*N2582/100)</f>
        <v/>
      </c>
      <c r="J2582" s="7" t="n"/>
      <c r="K2582" s="7">
        <f>IF($A2582="","",S2582*N2582)</f>
        <v/>
      </c>
      <c r="L2582" s="7">
        <f>IF($A2582="","",N2582-K2582)</f>
        <v/>
      </c>
      <c r="M2582" s="7">
        <f>IF($A2582="","",L2582-F2582)</f>
        <v/>
      </c>
      <c r="N2582" s="7" t="n"/>
      <c r="Q2582" s="11" t="n"/>
      <c r="S2582">
        <f>IF($A2582="","",IF($W2582=1,Settings!$C$6,Settings!$C$7)*1)</f>
        <v/>
      </c>
      <c r="U2582">
        <f>IF($A2582="","",IF(COUNTIF($A$2:$A2582,$A2582)=1,1,0))</f>
        <v/>
      </c>
      <c r="V2582">
        <f>IF($U2582=1,SUMPRODUCT(--($X$2:$X$3001&lt;$X2582))+1,"")</f>
        <v/>
      </c>
      <c r="W2582">
        <f>IF($A2582="","",IF(OR($T2582=TRUE(),$T2582="TRUE"),1,0))</f>
        <v/>
      </c>
      <c r="X2582">
        <f>IF($U2582=1,IFERROR(IF(VALUE($A2582)&lt;100000000,VALUE($A2582),1000000000),IFERROR(IF(VALUE(MID($A2582,2,20))&lt;100000000,VALUE(MID($A2582,2,20)),1000000000),1000000000))+ROW()/100000,"")</f>
        <v/>
      </c>
    </row>
    <row r="2583">
      <c r="F2583" s="7">
        <f>IF($A2583="","",E2583*N2583/100)</f>
        <v/>
      </c>
      <c r="J2583" s="7" t="n"/>
      <c r="K2583" s="7">
        <f>IF($A2583="","",S2583*N2583)</f>
        <v/>
      </c>
      <c r="L2583" s="7">
        <f>IF($A2583="","",N2583-K2583)</f>
        <v/>
      </c>
      <c r="M2583" s="7">
        <f>IF($A2583="","",L2583-F2583)</f>
        <v/>
      </c>
      <c r="N2583" s="7" t="n"/>
      <c r="Q2583" s="11" t="n"/>
      <c r="S2583">
        <f>IF($A2583="","",IF($W2583=1,Settings!$C$6,Settings!$C$7)*1)</f>
        <v/>
      </c>
      <c r="U2583">
        <f>IF($A2583="","",IF(COUNTIF($A$2:$A2583,$A2583)=1,1,0))</f>
        <v/>
      </c>
      <c r="V2583">
        <f>IF($U2583=1,SUMPRODUCT(--($X$2:$X$3001&lt;$X2583))+1,"")</f>
        <v/>
      </c>
      <c r="W2583">
        <f>IF($A2583="","",IF(OR($T2583=TRUE(),$T2583="TRUE"),1,0))</f>
        <v/>
      </c>
      <c r="X2583">
        <f>IF($U2583=1,IFERROR(IF(VALUE($A2583)&lt;100000000,VALUE($A2583),1000000000),IFERROR(IF(VALUE(MID($A2583,2,20))&lt;100000000,VALUE(MID($A2583,2,20)),1000000000),1000000000))+ROW()/100000,"")</f>
        <v/>
      </c>
    </row>
    <row r="2584">
      <c r="F2584" s="7">
        <f>IF($A2584="","",E2584*N2584/100)</f>
        <v/>
      </c>
      <c r="J2584" s="7" t="n"/>
      <c r="K2584" s="7">
        <f>IF($A2584="","",S2584*N2584)</f>
        <v/>
      </c>
      <c r="L2584" s="7">
        <f>IF($A2584="","",N2584-K2584)</f>
        <v/>
      </c>
      <c r="M2584" s="7">
        <f>IF($A2584="","",L2584-F2584)</f>
        <v/>
      </c>
      <c r="N2584" s="7" t="n"/>
      <c r="Q2584" s="11" t="n"/>
      <c r="S2584">
        <f>IF($A2584="","",IF($W2584=1,Settings!$C$6,Settings!$C$7)*1)</f>
        <v/>
      </c>
      <c r="U2584">
        <f>IF($A2584="","",IF(COUNTIF($A$2:$A2584,$A2584)=1,1,0))</f>
        <v/>
      </c>
      <c r="V2584">
        <f>IF($U2584=1,SUMPRODUCT(--($X$2:$X$3001&lt;$X2584))+1,"")</f>
        <v/>
      </c>
      <c r="W2584">
        <f>IF($A2584="","",IF(OR($T2584=TRUE(),$T2584="TRUE"),1,0))</f>
        <v/>
      </c>
      <c r="X2584">
        <f>IF($U2584=1,IFERROR(IF(VALUE($A2584)&lt;100000000,VALUE($A2584),1000000000),IFERROR(IF(VALUE(MID($A2584,2,20))&lt;100000000,VALUE(MID($A2584,2,20)),1000000000),1000000000))+ROW()/100000,"")</f>
        <v/>
      </c>
    </row>
    <row r="2585">
      <c r="F2585" s="7">
        <f>IF($A2585="","",E2585*N2585/100)</f>
        <v/>
      </c>
      <c r="J2585" s="7" t="n"/>
      <c r="K2585" s="7">
        <f>IF($A2585="","",S2585*N2585)</f>
        <v/>
      </c>
      <c r="L2585" s="7">
        <f>IF($A2585="","",N2585-K2585)</f>
        <v/>
      </c>
      <c r="M2585" s="7">
        <f>IF($A2585="","",L2585-F2585)</f>
        <v/>
      </c>
      <c r="N2585" s="7" t="n"/>
      <c r="Q2585" s="11" t="n"/>
      <c r="S2585">
        <f>IF($A2585="","",IF($W2585=1,Settings!$C$6,Settings!$C$7)*1)</f>
        <v/>
      </c>
      <c r="U2585">
        <f>IF($A2585="","",IF(COUNTIF($A$2:$A2585,$A2585)=1,1,0))</f>
        <v/>
      </c>
      <c r="V2585">
        <f>IF($U2585=1,SUMPRODUCT(--($X$2:$X$3001&lt;$X2585))+1,"")</f>
        <v/>
      </c>
      <c r="W2585">
        <f>IF($A2585="","",IF(OR($T2585=TRUE(),$T2585="TRUE"),1,0))</f>
        <v/>
      </c>
      <c r="X2585">
        <f>IF($U2585=1,IFERROR(IF(VALUE($A2585)&lt;100000000,VALUE($A2585),1000000000),IFERROR(IF(VALUE(MID($A2585,2,20))&lt;100000000,VALUE(MID($A2585,2,20)),1000000000),1000000000))+ROW()/100000,"")</f>
        <v/>
      </c>
    </row>
    <row r="2586">
      <c r="F2586" s="7">
        <f>IF($A2586="","",E2586*N2586/100)</f>
        <v/>
      </c>
      <c r="J2586" s="7" t="n"/>
      <c r="K2586" s="7">
        <f>IF($A2586="","",S2586*N2586)</f>
        <v/>
      </c>
      <c r="L2586" s="7">
        <f>IF($A2586="","",N2586-K2586)</f>
        <v/>
      </c>
      <c r="M2586" s="7">
        <f>IF($A2586="","",L2586-F2586)</f>
        <v/>
      </c>
      <c r="N2586" s="7" t="n"/>
      <c r="Q2586" s="11" t="n"/>
      <c r="S2586">
        <f>IF($A2586="","",IF($W2586=1,Settings!$C$6,Settings!$C$7)*1)</f>
        <v/>
      </c>
      <c r="U2586">
        <f>IF($A2586="","",IF(COUNTIF($A$2:$A2586,$A2586)=1,1,0))</f>
        <v/>
      </c>
      <c r="V2586">
        <f>IF($U2586=1,SUMPRODUCT(--($X$2:$X$3001&lt;$X2586))+1,"")</f>
        <v/>
      </c>
      <c r="W2586">
        <f>IF($A2586="","",IF(OR($T2586=TRUE(),$T2586="TRUE"),1,0))</f>
        <v/>
      </c>
      <c r="X2586">
        <f>IF($U2586=1,IFERROR(IF(VALUE($A2586)&lt;100000000,VALUE($A2586),1000000000),IFERROR(IF(VALUE(MID($A2586,2,20))&lt;100000000,VALUE(MID($A2586,2,20)),1000000000),1000000000))+ROW()/100000,"")</f>
        <v/>
      </c>
    </row>
    <row r="2587">
      <c r="F2587" s="7">
        <f>IF($A2587="","",E2587*N2587/100)</f>
        <v/>
      </c>
      <c r="J2587" s="7" t="n"/>
      <c r="K2587" s="7">
        <f>IF($A2587="","",S2587*N2587)</f>
        <v/>
      </c>
      <c r="L2587" s="7">
        <f>IF($A2587="","",N2587-K2587)</f>
        <v/>
      </c>
      <c r="M2587" s="7">
        <f>IF($A2587="","",L2587-F2587)</f>
        <v/>
      </c>
      <c r="N2587" s="7" t="n"/>
      <c r="Q2587" s="11" t="n"/>
      <c r="S2587">
        <f>IF($A2587="","",IF($W2587=1,Settings!$C$6,Settings!$C$7)*1)</f>
        <v/>
      </c>
      <c r="U2587">
        <f>IF($A2587="","",IF(COUNTIF($A$2:$A2587,$A2587)=1,1,0))</f>
        <v/>
      </c>
      <c r="V2587">
        <f>IF($U2587=1,SUMPRODUCT(--($X$2:$X$3001&lt;$X2587))+1,"")</f>
        <v/>
      </c>
      <c r="W2587">
        <f>IF($A2587="","",IF(OR($T2587=TRUE(),$T2587="TRUE"),1,0))</f>
        <v/>
      </c>
      <c r="X2587">
        <f>IF($U2587=1,IFERROR(IF(VALUE($A2587)&lt;100000000,VALUE($A2587),1000000000),IFERROR(IF(VALUE(MID($A2587,2,20))&lt;100000000,VALUE(MID($A2587,2,20)),1000000000),1000000000))+ROW()/100000,"")</f>
        <v/>
      </c>
    </row>
    <row r="2588">
      <c r="F2588" s="7">
        <f>IF($A2588="","",E2588*N2588/100)</f>
        <v/>
      </c>
      <c r="J2588" s="7" t="n"/>
      <c r="K2588" s="7">
        <f>IF($A2588="","",S2588*N2588)</f>
        <v/>
      </c>
      <c r="L2588" s="7">
        <f>IF($A2588="","",N2588-K2588)</f>
        <v/>
      </c>
      <c r="M2588" s="7">
        <f>IF($A2588="","",L2588-F2588)</f>
        <v/>
      </c>
      <c r="N2588" s="7" t="n"/>
      <c r="Q2588" s="11" t="n"/>
      <c r="S2588">
        <f>IF($A2588="","",IF($W2588=1,Settings!$C$6,Settings!$C$7)*1)</f>
        <v/>
      </c>
      <c r="U2588">
        <f>IF($A2588="","",IF(COUNTIF($A$2:$A2588,$A2588)=1,1,0))</f>
        <v/>
      </c>
      <c r="V2588">
        <f>IF($U2588=1,SUMPRODUCT(--($X$2:$X$3001&lt;$X2588))+1,"")</f>
        <v/>
      </c>
      <c r="W2588">
        <f>IF($A2588="","",IF(OR($T2588=TRUE(),$T2588="TRUE"),1,0))</f>
        <v/>
      </c>
      <c r="X2588">
        <f>IF($U2588=1,IFERROR(IF(VALUE($A2588)&lt;100000000,VALUE($A2588),1000000000),IFERROR(IF(VALUE(MID($A2588,2,20))&lt;100000000,VALUE(MID($A2588,2,20)),1000000000),1000000000))+ROW()/100000,"")</f>
        <v/>
      </c>
    </row>
    <row r="2589">
      <c r="F2589" s="7">
        <f>IF($A2589="","",E2589*N2589/100)</f>
        <v/>
      </c>
      <c r="J2589" s="7" t="n"/>
      <c r="K2589" s="7">
        <f>IF($A2589="","",S2589*N2589)</f>
        <v/>
      </c>
      <c r="L2589" s="7">
        <f>IF($A2589="","",N2589-K2589)</f>
        <v/>
      </c>
      <c r="M2589" s="7">
        <f>IF($A2589="","",L2589-F2589)</f>
        <v/>
      </c>
      <c r="N2589" s="7" t="n"/>
      <c r="Q2589" s="11" t="n"/>
      <c r="S2589">
        <f>IF($A2589="","",IF($W2589=1,Settings!$C$6,Settings!$C$7)*1)</f>
        <v/>
      </c>
      <c r="U2589">
        <f>IF($A2589="","",IF(COUNTIF($A$2:$A2589,$A2589)=1,1,0))</f>
        <v/>
      </c>
      <c r="V2589">
        <f>IF($U2589=1,SUMPRODUCT(--($X$2:$X$3001&lt;$X2589))+1,"")</f>
        <v/>
      </c>
      <c r="W2589">
        <f>IF($A2589="","",IF(OR($T2589=TRUE(),$T2589="TRUE"),1,0))</f>
        <v/>
      </c>
      <c r="X2589">
        <f>IF($U2589=1,IFERROR(IF(VALUE($A2589)&lt;100000000,VALUE($A2589),1000000000),IFERROR(IF(VALUE(MID($A2589,2,20))&lt;100000000,VALUE(MID($A2589,2,20)),1000000000),1000000000))+ROW()/100000,"")</f>
        <v/>
      </c>
    </row>
    <row r="2590">
      <c r="F2590" s="7">
        <f>IF($A2590="","",E2590*N2590/100)</f>
        <v/>
      </c>
      <c r="J2590" s="7" t="n"/>
      <c r="K2590" s="7">
        <f>IF($A2590="","",S2590*N2590)</f>
        <v/>
      </c>
      <c r="L2590" s="7">
        <f>IF($A2590="","",N2590-K2590)</f>
        <v/>
      </c>
      <c r="M2590" s="7">
        <f>IF($A2590="","",L2590-F2590)</f>
        <v/>
      </c>
      <c r="N2590" s="7" t="n"/>
      <c r="Q2590" s="11" t="n"/>
      <c r="S2590">
        <f>IF($A2590="","",IF($W2590=1,Settings!$C$6,Settings!$C$7)*1)</f>
        <v/>
      </c>
      <c r="U2590">
        <f>IF($A2590="","",IF(COUNTIF($A$2:$A2590,$A2590)=1,1,0))</f>
        <v/>
      </c>
      <c r="V2590">
        <f>IF($U2590=1,SUMPRODUCT(--($X$2:$X$3001&lt;$X2590))+1,"")</f>
        <v/>
      </c>
      <c r="W2590">
        <f>IF($A2590="","",IF(OR($T2590=TRUE(),$T2590="TRUE"),1,0))</f>
        <v/>
      </c>
      <c r="X2590">
        <f>IF($U2590=1,IFERROR(IF(VALUE($A2590)&lt;100000000,VALUE($A2590),1000000000),IFERROR(IF(VALUE(MID($A2590,2,20))&lt;100000000,VALUE(MID($A2590,2,20)),1000000000),1000000000))+ROW()/100000,"")</f>
        <v/>
      </c>
    </row>
    <row r="2591">
      <c r="F2591" s="7">
        <f>IF($A2591="","",E2591*N2591/100)</f>
        <v/>
      </c>
      <c r="J2591" s="7" t="n"/>
      <c r="K2591" s="7">
        <f>IF($A2591="","",S2591*N2591)</f>
        <v/>
      </c>
      <c r="L2591" s="7">
        <f>IF($A2591="","",N2591-K2591)</f>
        <v/>
      </c>
      <c r="M2591" s="7">
        <f>IF($A2591="","",L2591-F2591)</f>
        <v/>
      </c>
      <c r="N2591" s="7" t="n"/>
      <c r="Q2591" s="11" t="n"/>
      <c r="S2591">
        <f>IF($A2591="","",IF($W2591=1,Settings!$C$6,Settings!$C$7)*1)</f>
        <v/>
      </c>
      <c r="U2591">
        <f>IF($A2591="","",IF(COUNTIF($A$2:$A2591,$A2591)=1,1,0))</f>
        <v/>
      </c>
      <c r="V2591">
        <f>IF($U2591=1,SUMPRODUCT(--($X$2:$X$3001&lt;$X2591))+1,"")</f>
        <v/>
      </c>
      <c r="W2591">
        <f>IF($A2591="","",IF(OR($T2591=TRUE(),$T2591="TRUE"),1,0))</f>
        <v/>
      </c>
      <c r="X2591">
        <f>IF($U2591=1,IFERROR(IF(VALUE($A2591)&lt;100000000,VALUE($A2591),1000000000),IFERROR(IF(VALUE(MID($A2591,2,20))&lt;100000000,VALUE(MID($A2591,2,20)),1000000000),1000000000))+ROW()/100000,"")</f>
        <v/>
      </c>
    </row>
    <row r="2592">
      <c r="F2592" s="7">
        <f>IF($A2592="","",E2592*N2592/100)</f>
        <v/>
      </c>
      <c r="J2592" s="7" t="n"/>
      <c r="K2592" s="7">
        <f>IF($A2592="","",S2592*N2592)</f>
        <v/>
      </c>
      <c r="L2592" s="7">
        <f>IF($A2592="","",N2592-K2592)</f>
        <v/>
      </c>
      <c r="M2592" s="7">
        <f>IF($A2592="","",L2592-F2592)</f>
        <v/>
      </c>
      <c r="N2592" s="7" t="n"/>
      <c r="Q2592" s="11" t="n"/>
      <c r="S2592">
        <f>IF($A2592="","",IF($W2592=1,Settings!$C$6,Settings!$C$7)*1)</f>
        <v/>
      </c>
      <c r="U2592">
        <f>IF($A2592="","",IF(COUNTIF($A$2:$A2592,$A2592)=1,1,0))</f>
        <v/>
      </c>
      <c r="V2592">
        <f>IF($U2592=1,SUMPRODUCT(--($X$2:$X$3001&lt;$X2592))+1,"")</f>
        <v/>
      </c>
      <c r="W2592">
        <f>IF($A2592="","",IF(OR($T2592=TRUE(),$T2592="TRUE"),1,0))</f>
        <v/>
      </c>
      <c r="X2592">
        <f>IF($U2592=1,IFERROR(IF(VALUE($A2592)&lt;100000000,VALUE($A2592),1000000000),IFERROR(IF(VALUE(MID($A2592,2,20))&lt;100000000,VALUE(MID($A2592,2,20)),1000000000),1000000000))+ROW()/100000,"")</f>
        <v/>
      </c>
    </row>
    <row r="2593">
      <c r="F2593" s="7">
        <f>IF($A2593="","",E2593*N2593/100)</f>
        <v/>
      </c>
      <c r="J2593" s="7" t="n"/>
      <c r="K2593" s="7">
        <f>IF($A2593="","",S2593*N2593)</f>
        <v/>
      </c>
      <c r="L2593" s="7">
        <f>IF($A2593="","",N2593-K2593)</f>
        <v/>
      </c>
      <c r="M2593" s="7">
        <f>IF($A2593="","",L2593-F2593)</f>
        <v/>
      </c>
      <c r="N2593" s="7" t="n"/>
      <c r="Q2593" s="11" t="n"/>
      <c r="S2593">
        <f>IF($A2593="","",IF($W2593=1,Settings!$C$6,Settings!$C$7)*1)</f>
        <v/>
      </c>
      <c r="U2593">
        <f>IF($A2593="","",IF(COUNTIF($A$2:$A2593,$A2593)=1,1,0))</f>
        <v/>
      </c>
      <c r="V2593">
        <f>IF($U2593=1,SUMPRODUCT(--($X$2:$X$3001&lt;$X2593))+1,"")</f>
        <v/>
      </c>
      <c r="W2593">
        <f>IF($A2593="","",IF(OR($T2593=TRUE(),$T2593="TRUE"),1,0))</f>
        <v/>
      </c>
      <c r="X2593">
        <f>IF($U2593=1,IFERROR(IF(VALUE($A2593)&lt;100000000,VALUE($A2593),1000000000),IFERROR(IF(VALUE(MID($A2593,2,20))&lt;100000000,VALUE(MID($A2593,2,20)),1000000000),1000000000))+ROW()/100000,"")</f>
        <v/>
      </c>
    </row>
    <row r="2594">
      <c r="F2594" s="7">
        <f>IF($A2594="","",E2594*N2594/100)</f>
        <v/>
      </c>
      <c r="J2594" s="7" t="n"/>
      <c r="K2594" s="7">
        <f>IF($A2594="","",S2594*N2594)</f>
        <v/>
      </c>
      <c r="L2594" s="7">
        <f>IF($A2594="","",N2594-K2594)</f>
        <v/>
      </c>
      <c r="M2594" s="7">
        <f>IF($A2594="","",L2594-F2594)</f>
        <v/>
      </c>
      <c r="N2594" s="7" t="n"/>
      <c r="Q2594" s="11" t="n"/>
      <c r="S2594">
        <f>IF($A2594="","",IF($W2594=1,Settings!$C$6,Settings!$C$7)*1)</f>
        <v/>
      </c>
      <c r="U2594">
        <f>IF($A2594="","",IF(COUNTIF($A$2:$A2594,$A2594)=1,1,0))</f>
        <v/>
      </c>
      <c r="V2594">
        <f>IF($U2594=1,SUMPRODUCT(--($X$2:$X$3001&lt;$X2594))+1,"")</f>
        <v/>
      </c>
      <c r="W2594">
        <f>IF($A2594="","",IF(OR($T2594=TRUE(),$T2594="TRUE"),1,0))</f>
        <v/>
      </c>
      <c r="X2594">
        <f>IF($U2594=1,IFERROR(IF(VALUE($A2594)&lt;100000000,VALUE($A2594),1000000000),IFERROR(IF(VALUE(MID($A2594,2,20))&lt;100000000,VALUE(MID($A2594,2,20)),1000000000),1000000000))+ROW()/100000,"")</f>
        <v/>
      </c>
    </row>
    <row r="2595">
      <c r="F2595" s="7">
        <f>IF($A2595="","",E2595*N2595/100)</f>
        <v/>
      </c>
      <c r="J2595" s="7" t="n"/>
      <c r="K2595" s="7">
        <f>IF($A2595="","",S2595*N2595)</f>
        <v/>
      </c>
      <c r="L2595" s="7">
        <f>IF($A2595="","",N2595-K2595)</f>
        <v/>
      </c>
      <c r="M2595" s="7">
        <f>IF($A2595="","",L2595-F2595)</f>
        <v/>
      </c>
      <c r="N2595" s="7" t="n"/>
      <c r="Q2595" s="11" t="n"/>
      <c r="S2595">
        <f>IF($A2595="","",IF($W2595=1,Settings!$C$6,Settings!$C$7)*1)</f>
        <v/>
      </c>
      <c r="U2595">
        <f>IF($A2595="","",IF(COUNTIF($A$2:$A2595,$A2595)=1,1,0))</f>
        <v/>
      </c>
      <c r="V2595">
        <f>IF($U2595=1,SUMPRODUCT(--($X$2:$X$3001&lt;$X2595))+1,"")</f>
        <v/>
      </c>
      <c r="W2595">
        <f>IF($A2595="","",IF(OR($T2595=TRUE(),$T2595="TRUE"),1,0))</f>
        <v/>
      </c>
      <c r="X2595">
        <f>IF($U2595=1,IFERROR(IF(VALUE($A2595)&lt;100000000,VALUE($A2595),1000000000),IFERROR(IF(VALUE(MID($A2595,2,20))&lt;100000000,VALUE(MID($A2595,2,20)),1000000000),1000000000))+ROW()/100000,"")</f>
        <v/>
      </c>
    </row>
    <row r="2596">
      <c r="F2596" s="7">
        <f>IF($A2596="","",E2596*N2596/100)</f>
        <v/>
      </c>
      <c r="J2596" s="7" t="n"/>
      <c r="K2596" s="7">
        <f>IF($A2596="","",S2596*N2596)</f>
        <v/>
      </c>
      <c r="L2596" s="7">
        <f>IF($A2596="","",N2596-K2596)</f>
        <v/>
      </c>
      <c r="M2596" s="7">
        <f>IF($A2596="","",L2596-F2596)</f>
        <v/>
      </c>
      <c r="N2596" s="7" t="n"/>
      <c r="Q2596" s="11" t="n"/>
      <c r="S2596">
        <f>IF($A2596="","",IF($W2596=1,Settings!$C$6,Settings!$C$7)*1)</f>
        <v/>
      </c>
      <c r="U2596">
        <f>IF($A2596="","",IF(COUNTIF($A$2:$A2596,$A2596)=1,1,0))</f>
        <v/>
      </c>
      <c r="V2596">
        <f>IF($U2596=1,SUMPRODUCT(--($X$2:$X$3001&lt;$X2596))+1,"")</f>
        <v/>
      </c>
      <c r="W2596">
        <f>IF($A2596="","",IF(OR($T2596=TRUE(),$T2596="TRUE"),1,0))</f>
        <v/>
      </c>
      <c r="X2596">
        <f>IF($U2596=1,IFERROR(IF(VALUE($A2596)&lt;100000000,VALUE($A2596),1000000000),IFERROR(IF(VALUE(MID($A2596,2,20))&lt;100000000,VALUE(MID($A2596,2,20)),1000000000),1000000000))+ROW()/100000,"")</f>
        <v/>
      </c>
    </row>
    <row r="2597">
      <c r="F2597" s="7">
        <f>IF($A2597="","",E2597*N2597/100)</f>
        <v/>
      </c>
      <c r="J2597" s="7" t="n"/>
      <c r="K2597" s="7">
        <f>IF($A2597="","",S2597*N2597)</f>
        <v/>
      </c>
      <c r="L2597" s="7">
        <f>IF($A2597="","",N2597-K2597)</f>
        <v/>
      </c>
      <c r="M2597" s="7">
        <f>IF($A2597="","",L2597-F2597)</f>
        <v/>
      </c>
      <c r="N2597" s="7" t="n"/>
      <c r="Q2597" s="11" t="n"/>
      <c r="S2597">
        <f>IF($A2597="","",IF($W2597=1,Settings!$C$6,Settings!$C$7)*1)</f>
        <v/>
      </c>
      <c r="U2597">
        <f>IF($A2597="","",IF(COUNTIF($A$2:$A2597,$A2597)=1,1,0))</f>
        <v/>
      </c>
      <c r="V2597">
        <f>IF($U2597=1,SUMPRODUCT(--($X$2:$X$3001&lt;$X2597))+1,"")</f>
        <v/>
      </c>
      <c r="W2597">
        <f>IF($A2597="","",IF(OR($T2597=TRUE(),$T2597="TRUE"),1,0))</f>
        <v/>
      </c>
      <c r="X2597">
        <f>IF($U2597=1,IFERROR(IF(VALUE($A2597)&lt;100000000,VALUE($A2597),1000000000),IFERROR(IF(VALUE(MID($A2597,2,20))&lt;100000000,VALUE(MID($A2597,2,20)),1000000000),1000000000))+ROW()/100000,"")</f>
        <v/>
      </c>
    </row>
    <row r="2598">
      <c r="F2598" s="7">
        <f>IF($A2598="","",E2598*N2598/100)</f>
        <v/>
      </c>
      <c r="J2598" s="7" t="n"/>
      <c r="K2598" s="7">
        <f>IF($A2598="","",S2598*N2598)</f>
        <v/>
      </c>
      <c r="L2598" s="7">
        <f>IF($A2598="","",N2598-K2598)</f>
        <v/>
      </c>
      <c r="M2598" s="7">
        <f>IF($A2598="","",L2598-F2598)</f>
        <v/>
      </c>
      <c r="N2598" s="7" t="n"/>
      <c r="Q2598" s="11" t="n"/>
      <c r="S2598">
        <f>IF($A2598="","",IF($W2598=1,Settings!$C$6,Settings!$C$7)*1)</f>
        <v/>
      </c>
      <c r="U2598">
        <f>IF($A2598="","",IF(COUNTIF($A$2:$A2598,$A2598)=1,1,0))</f>
        <v/>
      </c>
      <c r="V2598">
        <f>IF($U2598=1,SUMPRODUCT(--($X$2:$X$3001&lt;$X2598))+1,"")</f>
        <v/>
      </c>
      <c r="W2598">
        <f>IF($A2598="","",IF(OR($T2598=TRUE(),$T2598="TRUE"),1,0))</f>
        <v/>
      </c>
      <c r="X2598">
        <f>IF($U2598=1,IFERROR(IF(VALUE($A2598)&lt;100000000,VALUE($A2598),1000000000),IFERROR(IF(VALUE(MID($A2598,2,20))&lt;100000000,VALUE(MID($A2598,2,20)),1000000000),1000000000))+ROW()/100000,"")</f>
        <v/>
      </c>
    </row>
    <row r="2599">
      <c r="F2599" s="7">
        <f>IF($A2599="","",E2599*N2599/100)</f>
        <v/>
      </c>
      <c r="J2599" s="7" t="n"/>
      <c r="K2599" s="7">
        <f>IF($A2599="","",S2599*N2599)</f>
        <v/>
      </c>
      <c r="L2599" s="7">
        <f>IF($A2599="","",N2599-K2599)</f>
        <v/>
      </c>
      <c r="M2599" s="7">
        <f>IF($A2599="","",L2599-F2599)</f>
        <v/>
      </c>
      <c r="N2599" s="7" t="n"/>
      <c r="Q2599" s="11" t="n"/>
      <c r="S2599">
        <f>IF($A2599="","",IF($W2599=1,Settings!$C$6,Settings!$C$7)*1)</f>
        <v/>
      </c>
      <c r="U2599">
        <f>IF($A2599="","",IF(COUNTIF($A$2:$A2599,$A2599)=1,1,0))</f>
        <v/>
      </c>
      <c r="V2599">
        <f>IF($U2599=1,SUMPRODUCT(--($X$2:$X$3001&lt;$X2599))+1,"")</f>
        <v/>
      </c>
      <c r="W2599">
        <f>IF($A2599="","",IF(OR($T2599=TRUE(),$T2599="TRUE"),1,0))</f>
        <v/>
      </c>
      <c r="X2599">
        <f>IF($U2599=1,IFERROR(IF(VALUE($A2599)&lt;100000000,VALUE($A2599),1000000000),IFERROR(IF(VALUE(MID($A2599,2,20))&lt;100000000,VALUE(MID($A2599,2,20)),1000000000),1000000000))+ROW()/100000,"")</f>
        <v/>
      </c>
    </row>
    <row r="2600">
      <c r="F2600" s="7">
        <f>IF($A2600="","",E2600*N2600/100)</f>
        <v/>
      </c>
      <c r="J2600" s="7" t="n"/>
      <c r="K2600" s="7">
        <f>IF($A2600="","",S2600*N2600)</f>
        <v/>
      </c>
      <c r="L2600" s="7">
        <f>IF($A2600="","",N2600-K2600)</f>
        <v/>
      </c>
      <c r="M2600" s="7">
        <f>IF($A2600="","",L2600-F2600)</f>
        <v/>
      </c>
      <c r="N2600" s="7" t="n"/>
      <c r="Q2600" s="11" t="n"/>
      <c r="S2600">
        <f>IF($A2600="","",IF($W2600=1,Settings!$C$6,Settings!$C$7)*1)</f>
        <v/>
      </c>
      <c r="U2600">
        <f>IF($A2600="","",IF(COUNTIF($A$2:$A2600,$A2600)=1,1,0))</f>
        <v/>
      </c>
      <c r="V2600">
        <f>IF($U2600=1,SUMPRODUCT(--($X$2:$X$3001&lt;$X2600))+1,"")</f>
        <v/>
      </c>
      <c r="W2600">
        <f>IF($A2600="","",IF(OR($T2600=TRUE(),$T2600="TRUE"),1,0))</f>
        <v/>
      </c>
      <c r="X2600">
        <f>IF($U2600=1,IFERROR(IF(VALUE($A2600)&lt;100000000,VALUE($A2600),1000000000),IFERROR(IF(VALUE(MID($A2600,2,20))&lt;100000000,VALUE(MID($A2600,2,20)),1000000000),1000000000))+ROW()/100000,"")</f>
        <v/>
      </c>
    </row>
    <row r="2601">
      <c r="F2601" s="7">
        <f>IF($A2601="","",E2601*N2601/100)</f>
        <v/>
      </c>
      <c r="J2601" s="7" t="n"/>
      <c r="K2601" s="7">
        <f>IF($A2601="","",S2601*N2601)</f>
        <v/>
      </c>
      <c r="L2601" s="7">
        <f>IF($A2601="","",N2601-K2601)</f>
        <v/>
      </c>
      <c r="M2601" s="7">
        <f>IF($A2601="","",L2601-F2601)</f>
        <v/>
      </c>
      <c r="N2601" s="7" t="n"/>
      <c r="Q2601" s="11" t="n"/>
      <c r="S2601">
        <f>IF($A2601="","",IF($W2601=1,Settings!$C$6,Settings!$C$7)*1)</f>
        <v/>
      </c>
      <c r="U2601">
        <f>IF($A2601="","",IF(COUNTIF($A$2:$A2601,$A2601)=1,1,0))</f>
        <v/>
      </c>
      <c r="V2601">
        <f>IF($U2601=1,SUMPRODUCT(--($X$2:$X$3001&lt;$X2601))+1,"")</f>
        <v/>
      </c>
      <c r="W2601">
        <f>IF($A2601="","",IF(OR($T2601=TRUE(),$T2601="TRUE"),1,0))</f>
        <v/>
      </c>
      <c r="X2601">
        <f>IF($U2601=1,IFERROR(IF(VALUE($A2601)&lt;100000000,VALUE($A2601),1000000000),IFERROR(IF(VALUE(MID($A2601,2,20))&lt;100000000,VALUE(MID($A2601,2,20)),1000000000),1000000000))+ROW()/100000,"")</f>
        <v/>
      </c>
    </row>
    <row r="2602">
      <c r="F2602" s="7">
        <f>IF($A2602="","",E2602*N2602/100)</f>
        <v/>
      </c>
      <c r="J2602" s="7" t="n"/>
      <c r="K2602" s="7">
        <f>IF($A2602="","",S2602*N2602)</f>
        <v/>
      </c>
      <c r="L2602" s="7">
        <f>IF($A2602="","",N2602-K2602)</f>
        <v/>
      </c>
      <c r="M2602" s="7">
        <f>IF($A2602="","",L2602-F2602)</f>
        <v/>
      </c>
      <c r="N2602" s="7" t="n"/>
      <c r="Q2602" s="11" t="n"/>
      <c r="S2602">
        <f>IF($A2602="","",IF($W2602=1,Settings!$C$6,Settings!$C$7)*1)</f>
        <v/>
      </c>
      <c r="U2602">
        <f>IF($A2602="","",IF(COUNTIF($A$2:$A2602,$A2602)=1,1,0))</f>
        <v/>
      </c>
      <c r="V2602">
        <f>IF($U2602=1,SUMPRODUCT(--($X$2:$X$3001&lt;$X2602))+1,"")</f>
        <v/>
      </c>
      <c r="W2602">
        <f>IF($A2602="","",IF(OR($T2602=TRUE(),$T2602="TRUE"),1,0))</f>
        <v/>
      </c>
      <c r="X2602">
        <f>IF($U2602=1,IFERROR(IF(VALUE($A2602)&lt;100000000,VALUE($A2602),1000000000),IFERROR(IF(VALUE(MID($A2602,2,20))&lt;100000000,VALUE(MID($A2602,2,20)),1000000000),1000000000))+ROW()/100000,"")</f>
        <v/>
      </c>
    </row>
    <row r="2603">
      <c r="F2603" s="7">
        <f>IF($A2603="","",E2603*N2603/100)</f>
        <v/>
      </c>
      <c r="J2603" s="7" t="n"/>
      <c r="K2603" s="7">
        <f>IF($A2603="","",S2603*N2603)</f>
        <v/>
      </c>
      <c r="L2603" s="7">
        <f>IF($A2603="","",N2603-K2603)</f>
        <v/>
      </c>
      <c r="M2603" s="7">
        <f>IF($A2603="","",L2603-F2603)</f>
        <v/>
      </c>
      <c r="N2603" s="7" t="n"/>
      <c r="Q2603" s="11" t="n"/>
      <c r="S2603">
        <f>IF($A2603="","",IF($W2603=1,Settings!$C$6,Settings!$C$7)*1)</f>
        <v/>
      </c>
      <c r="U2603">
        <f>IF($A2603="","",IF(COUNTIF($A$2:$A2603,$A2603)=1,1,0))</f>
        <v/>
      </c>
      <c r="V2603">
        <f>IF($U2603=1,SUMPRODUCT(--($X$2:$X$3001&lt;$X2603))+1,"")</f>
        <v/>
      </c>
      <c r="W2603">
        <f>IF($A2603="","",IF(OR($T2603=TRUE(),$T2603="TRUE"),1,0))</f>
        <v/>
      </c>
      <c r="X2603">
        <f>IF($U2603=1,IFERROR(IF(VALUE($A2603)&lt;100000000,VALUE($A2603),1000000000),IFERROR(IF(VALUE(MID($A2603,2,20))&lt;100000000,VALUE(MID($A2603,2,20)),1000000000),1000000000))+ROW()/100000,"")</f>
        <v/>
      </c>
    </row>
    <row r="2604">
      <c r="F2604" s="7">
        <f>IF($A2604="","",E2604*N2604/100)</f>
        <v/>
      </c>
      <c r="J2604" s="7" t="n"/>
      <c r="K2604" s="7">
        <f>IF($A2604="","",S2604*N2604)</f>
        <v/>
      </c>
      <c r="L2604" s="7">
        <f>IF($A2604="","",N2604-K2604)</f>
        <v/>
      </c>
      <c r="M2604" s="7">
        <f>IF($A2604="","",L2604-F2604)</f>
        <v/>
      </c>
      <c r="N2604" s="7" t="n"/>
      <c r="Q2604" s="11" t="n"/>
      <c r="S2604">
        <f>IF($A2604="","",IF($W2604=1,Settings!$C$6,Settings!$C$7)*1)</f>
        <v/>
      </c>
      <c r="U2604">
        <f>IF($A2604="","",IF(COUNTIF($A$2:$A2604,$A2604)=1,1,0))</f>
        <v/>
      </c>
      <c r="V2604">
        <f>IF($U2604=1,SUMPRODUCT(--($X$2:$X$3001&lt;$X2604))+1,"")</f>
        <v/>
      </c>
      <c r="W2604">
        <f>IF($A2604="","",IF(OR($T2604=TRUE(),$T2604="TRUE"),1,0))</f>
        <v/>
      </c>
      <c r="X2604">
        <f>IF($U2604=1,IFERROR(IF(VALUE($A2604)&lt;100000000,VALUE($A2604),1000000000),IFERROR(IF(VALUE(MID($A2604,2,20))&lt;100000000,VALUE(MID($A2604,2,20)),1000000000),1000000000))+ROW()/100000,"")</f>
        <v/>
      </c>
    </row>
    <row r="2605">
      <c r="F2605" s="7">
        <f>IF($A2605="","",E2605*N2605/100)</f>
        <v/>
      </c>
      <c r="J2605" s="7" t="n"/>
      <c r="K2605" s="7">
        <f>IF($A2605="","",S2605*N2605)</f>
        <v/>
      </c>
      <c r="L2605" s="7">
        <f>IF($A2605="","",N2605-K2605)</f>
        <v/>
      </c>
      <c r="M2605" s="7">
        <f>IF($A2605="","",L2605-F2605)</f>
        <v/>
      </c>
      <c r="N2605" s="7" t="n"/>
      <c r="Q2605" s="11" t="n"/>
      <c r="S2605">
        <f>IF($A2605="","",IF($W2605=1,Settings!$C$6,Settings!$C$7)*1)</f>
        <v/>
      </c>
      <c r="U2605">
        <f>IF($A2605="","",IF(COUNTIF($A$2:$A2605,$A2605)=1,1,0))</f>
        <v/>
      </c>
      <c r="V2605">
        <f>IF($U2605=1,SUMPRODUCT(--($X$2:$X$3001&lt;$X2605))+1,"")</f>
        <v/>
      </c>
      <c r="W2605">
        <f>IF($A2605="","",IF(OR($T2605=TRUE(),$T2605="TRUE"),1,0))</f>
        <v/>
      </c>
      <c r="X2605">
        <f>IF($U2605=1,IFERROR(IF(VALUE($A2605)&lt;100000000,VALUE($A2605),1000000000),IFERROR(IF(VALUE(MID($A2605,2,20))&lt;100000000,VALUE(MID($A2605,2,20)),1000000000),1000000000))+ROW()/100000,"")</f>
        <v/>
      </c>
    </row>
    <row r="2606">
      <c r="F2606" s="7">
        <f>IF($A2606="","",E2606*N2606/100)</f>
        <v/>
      </c>
      <c r="J2606" s="7" t="n"/>
      <c r="K2606" s="7">
        <f>IF($A2606="","",S2606*N2606)</f>
        <v/>
      </c>
      <c r="L2606" s="7">
        <f>IF($A2606="","",N2606-K2606)</f>
        <v/>
      </c>
      <c r="M2606" s="7">
        <f>IF($A2606="","",L2606-F2606)</f>
        <v/>
      </c>
      <c r="N2606" s="7" t="n"/>
      <c r="Q2606" s="11" t="n"/>
      <c r="S2606">
        <f>IF($A2606="","",IF($W2606=1,Settings!$C$6,Settings!$C$7)*1)</f>
        <v/>
      </c>
      <c r="U2606">
        <f>IF($A2606="","",IF(COUNTIF($A$2:$A2606,$A2606)=1,1,0))</f>
        <v/>
      </c>
      <c r="V2606">
        <f>IF($U2606=1,SUMPRODUCT(--($X$2:$X$3001&lt;$X2606))+1,"")</f>
        <v/>
      </c>
      <c r="W2606">
        <f>IF($A2606="","",IF(OR($T2606=TRUE(),$T2606="TRUE"),1,0))</f>
        <v/>
      </c>
      <c r="X2606">
        <f>IF($U2606=1,IFERROR(IF(VALUE($A2606)&lt;100000000,VALUE($A2606),1000000000),IFERROR(IF(VALUE(MID($A2606,2,20))&lt;100000000,VALUE(MID($A2606,2,20)),1000000000),1000000000))+ROW()/100000,"")</f>
        <v/>
      </c>
    </row>
    <row r="2607">
      <c r="F2607" s="7">
        <f>IF($A2607="","",E2607*N2607/100)</f>
        <v/>
      </c>
      <c r="J2607" s="7" t="n"/>
      <c r="K2607" s="7">
        <f>IF($A2607="","",S2607*N2607)</f>
        <v/>
      </c>
      <c r="L2607" s="7">
        <f>IF($A2607="","",N2607-K2607)</f>
        <v/>
      </c>
      <c r="M2607" s="7">
        <f>IF($A2607="","",L2607-F2607)</f>
        <v/>
      </c>
      <c r="N2607" s="7" t="n"/>
      <c r="Q2607" s="11" t="n"/>
      <c r="S2607">
        <f>IF($A2607="","",IF($W2607=1,Settings!$C$6,Settings!$C$7)*1)</f>
        <v/>
      </c>
      <c r="U2607">
        <f>IF($A2607="","",IF(COUNTIF($A$2:$A2607,$A2607)=1,1,0))</f>
        <v/>
      </c>
      <c r="V2607">
        <f>IF($U2607=1,SUMPRODUCT(--($X$2:$X$3001&lt;$X2607))+1,"")</f>
        <v/>
      </c>
      <c r="W2607">
        <f>IF($A2607="","",IF(OR($T2607=TRUE(),$T2607="TRUE"),1,0))</f>
        <v/>
      </c>
      <c r="X2607">
        <f>IF($U2607=1,IFERROR(IF(VALUE($A2607)&lt;100000000,VALUE($A2607),1000000000),IFERROR(IF(VALUE(MID($A2607,2,20))&lt;100000000,VALUE(MID($A2607,2,20)),1000000000),1000000000))+ROW()/100000,"")</f>
        <v/>
      </c>
    </row>
    <row r="2608">
      <c r="F2608" s="7">
        <f>IF($A2608="","",E2608*N2608/100)</f>
        <v/>
      </c>
      <c r="J2608" s="7" t="n"/>
      <c r="K2608" s="7">
        <f>IF($A2608="","",S2608*N2608)</f>
        <v/>
      </c>
      <c r="L2608" s="7">
        <f>IF($A2608="","",N2608-K2608)</f>
        <v/>
      </c>
      <c r="M2608" s="7">
        <f>IF($A2608="","",L2608-F2608)</f>
        <v/>
      </c>
      <c r="N2608" s="7" t="n"/>
      <c r="Q2608" s="11" t="n"/>
      <c r="S2608">
        <f>IF($A2608="","",IF($W2608=1,Settings!$C$6,Settings!$C$7)*1)</f>
        <v/>
      </c>
      <c r="U2608">
        <f>IF($A2608="","",IF(COUNTIF($A$2:$A2608,$A2608)=1,1,0))</f>
        <v/>
      </c>
      <c r="V2608">
        <f>IF($U2608=1,SUMPRODUCT(--($X$2:$X$3001&lt;$X2608))+1,"")</f>
        <v/>
      </c>
      <c r="W2608">
        <f>IF($A2608="","",IF(OR($T2608=TRUE(),$T2608="TRUE"),1,0))</f>
        <v/>
      </c>
      <c r="X2608">
        <f>IF($U2608=1,IFERROR(IF(VALUE($A2608)&lt;100000000,VALUE($A2608),1000000000),IFERROR(IF(VALUE(MID($A2608,2,20))&lt;100000000,VALUE(MID($A2608,2,20)),1000000000),1000000000))+ROW()/100000,"")</f>
        <v/>
      </c>
    </row>
    <row r="2609">
      <c r="F2609" s="7">
        <f>IF($A2609="","",E2609*N2609/100)</f>
        <v/>
      </c>
      <c r="J2609" s="7" t="n"/>
      <c r="K2609" s="7">
        <f>IF($A2609="","",S2609*N2609)</f>
        <v/>
      </c>
      <c r="L2609" s="7">
        <f>IF($A2609="","",N2609-K2609)</f>
        <v/>
      </c>
      <c r="M2609" s="7">
        <f>IF($A2609="","",L2609-F2609)</f>
        <v/>
      </c>
      <c r="N2609" s="7" t="n"/>
      <c r="Q2609" s="11" t="n"/>
      <c r="S2609">
        <f>IF($A2609="","",IF($W2609=1,Settings!$C$6,Settings!$C$7)*1)</f>
        <v/>
      </c>
      <c r="U2609">
        <f>IF($A2609="","",IF(COUNTIF($A$2:$A2609,$A2609)=1,1,0))</f>
        <v/>
      </c>
      <c r="V2609">
        <f>IF($U2609=1,SUMPRODUCT(--($X$2:$X$3001&lt;$X2609))+1,"")</f>
        <v/>
      </c>
      <c r="W2609">
        <f>IF($A2609="","",IF(OR($T2609=TRUE(),$T2609="TRUE"),1,0))</f>
        <v/>
      </c>
      <c r="X2609">
        <f>IF($U2609=1,IFERROR(IF(VALUE($A2609)&lt;100000000,VALUE($A2609),1000000000),IFERROR(IF(VALUE(MID($A2609,2,20))&lt;100000000,VALUE(MID($A2609,2,20)),1000000000),1000000000))+ROW()/100000,"")</f>
        <v/>
      </c>
    </row>
    <row r="2610">
      <c r="F2610" s="7">
        <f>IF($A2610="","",E2610*N2610/100)</f>
        <v/>
      </c>
      <c r="J2610" s="7" t="n"/>
      <c r="K2610" s="7">
        <f>IF($A2610="","",S2610*N2610)</f>
        <v/>
      </c>
      <c r="L2610" s="7">
        <f>IF($A2610="","",N2610-K2610)</f>
        <v/>
      </c>
      <c r="M2610" s="7">
        <f>IF($A2610="","",L2610-F2610)</f>
        <v/>
      </c>
      <c r="N2610" s="7" t="n"/>
      <c r="Q2610" s="11" t="n"/>
      <c r="S2610">
        <f>IF($A2610="","",IF($W2610=1,Settings!$C$6,Settings!$C$7)*1)</f>
        <v/>
      </c>
      <c r="U2610">
        <f>IF($A2610="","",IF(COUNTIF($A$2:$A2610,$A2610)=1,1,0))</f>
        <v/>
      </c>
      <c r="V2610">
        <f>IF($U2610=1,SUMPRODUCT(--($X$2:$X$3001&lt;$X2610))+1,"")</f>
        <v/>
      </c>
      <c r="W2610">
        <f>IF($A2610="","",IF(OR($T2610=TRUE(),$T2610="TRUE"),1,0))</f>
        <v/>
      </c>
      <c r="X2610">
        <f>IF($U2610=1,IFERROR(IF(VALUE($A2610)&lt;100000000,VALUE($A2610),1000000000),IFERROR(IF(VALUE(MID($A2610,2,20))&lt;100000000,VALUE(MID($A2610,2,20)),1000000000),1000000000))+ROW()/100000,"")</f>
        <v/>
      </c>
    </row>
    <row r="2611">
      <c r="F2611" s="7">
        <f>IF($A2611="","",E2611*N2611/100)</f>
        <v/>
      </c>
      <c r="J2611" s="7" t="n"/>
      <c r="K2611" s="7">
        <f>IF($A2611="","",S2611*N2611)</f>
        <v/>
      </c>
      <c r="L2611" s="7">
        <f>IF($A2611="","",N2611-K2611)</f>
        <v/>
      </c>
      <c r="M2611" s="7">
        <f>IF($A2611="","",L2611-F2611)</f>
        <v/>
      </c>
      <c r="N2611" s="7" t="n"/>
      <c r="Q2611" s="11" t="n"/>
      <c r="S2611">
        <f>IF($A2611="","",IF($W2611=1,Settings!$C$6,Settings!$C$7)*1)</f>
        <v/>
      </c>
      <c r="U2611">
        <f>IF($A2611="","",IF(COUNTIF($A$2:$A2611,$A2611)=1,1,0))</f>
        <v/>
      </c>
      <c r="V2611">
        <f>IF($U2611=1,SUMPRODUCT(--($X$2:$X$3001&lt;$X2611))+1,"")</f>
        <v/>
      </c>
      <c r="W2611">
        <f>IF($A2611="","",IF(OR($T2611=TRUE(),$T2611="TRUE"),1,0))</f>
        <v/>
      </c>
      <c r="X2611">
        <f>IF($U2611=1,IFERROR(IF(VALUE($A2611)&lt;100000000,VALUE($A2611),1000000000),IFERROR(IF(VALUE(MID($A2611,2,20))&lt;100000000,VALUE(MID($A2611,2,20)),1000000000),1000000000))+ROW()/100000,"")</f>
        <v/>
      </c>
    </row>
    <row r="2612">
      <c r="F2612" s="7">
        <f>IF($A2612="","",E2612*N2612/100)</f>
        <v/>
      </c>
      <c r="J2612" s="7" t="n"/>
      <c r="K2612" s="7">
        <f>IF($A2612="","",S2612*N2612)</f>
        <v/>
      </c>
      <c r="L2612" s="7">
        <f>IF($A2612="","",N2612-K2612)</f>
        <v/>
      </c>
      <c r="M2612" s="7">
        <f>IF($A2612="","",L2612-F2612)</f>
        <v/>
      </c>
      <c r="N2612" s="7" t="n"/>
      <c r="Q2612" s="11" t="n"/>
      <c r="S2612">
        <f>IF($A2612="","",IF($W2612=1,Settings!$C$6,Settings!$C$7)*1)</f>
        <v/>
      </c>
      <c r="U2612">
        <f>IF($A2612="","",IF(COUNTIF($A$2:$A2612,$A2612)=1,1,0))</f>
        <v/>
      </c>
      <c r="V2612">
        <f>IF($U2612=1,SUMPRODUCT(--($X$2:$X$3001&lt;$X2612))+1,"")</f>
        <v/>
      </c>
      <c r="W2612">
        <f>IF($A2612="","",IF(OR($T2612=TRUE(),$T2612="TRUE"),1,0))</f>
        <v/>
      </c>
      <c r="X2612">
        <f>IF($U2612=1,IFERROR(IF(VALUE($A2612)&lt;100000000,VALUE($A2612),1000000000),IFERROR(IF(VALUE(MID($A2612,2,20))&lt;100000000,VALUE(MID($A2612,2,20)),1000000000),1000000000))+ROW()/100000,"")</f>
        <v/>
      </c>
    </row>
    <row r="2613">
      <c r="F2613" s="7">
        <f>IF($A2613="","",E2613*N2613/100)</f>
        <v/>
      </c>
      <c r="J2613" s="7" t="n"/>
      <c r="K2613" s="7">
        <f>IF($A2613="","",S2613*N2613)</f>
        <v/>
      </c>
      <c r="L2613" s="7">
        <f>IF($A2613="","",N2613-K2613)</f>
        <v/>
      </c>
      <c r="M2613" s="7">
        <f>IF($A2613="","",L2613-F2613)</f>
        <v/>
      </c>
      <c r="N2613" s="7" t="n"/>
      <c r="Q2613" s="11" t="n"/>
      <c r="S2613">
        <f>IF($A2613="","",IF($W2613=1,Settings!$C$6,Settings!$C$7)*1)</f>
        <v/>
      </c>
      <c r="U2613">
        <f>IF($A2613="","",IF(COUNTIF($A$2:$A2613,$A2613)=1,1,0))</f>
        <v/>
      </c>
      <c r="V2613">
        <f>IF($U2613=1,SUMPRODUCT(--($X$2:$X$3001&lt;$X2613))+1,"")</f>
        <v/>
      </c>
      <c r="W2613">
        <f>IF($A2613="","",IF(OR($T2613=TRUE(),$T2613="TRUE"),1,0))</f>
        <v/>
      </c>
      <c r="X2613">
        <f>IF($U2613=1,IFERROR(IF(VALUE($A2613)&lt;100000000,VALUE($A2613),1000000000),IFERROR(IF(VALUE(MID($A2613,2,20))&lt;100000000,VALUE(MID($A2613,2,20)),1000000000),1000000000))+ROW()/100000,"")</f>
        <v/>
      </c>
    </row>
    <row r="2614">
      <c r="F2614" s="7">
        <f>IF($A2614="","",E2614*N2614/100)</f>
        <v/>
      </c>
      <c r="J2614" s="7" t="n"/>
      <c r="K2614" s="7">
        <f>IF($A2614="","",S2614*N2614)</f>
        <v/>
      </c>
      <c r="L2614" s="7">
        <f>IF($A2614="","",N2614-K2614)</f>
        <v/>
      </c>
      <c r="M2614" s="7">
        <f>IF($A2614="","",L2614-F2614)</f>
        <v/>
      </c>
      <c r="N2614" s="7" t="n"/>
      <c r="Q2614" s="11" t="n"/>
      <c r="S2614">
        <f>IF($A2614="","",IF($W2614=1,Settings!$C$6,Settings!$C$7)*1)</f>
        <v/>
      </c>
      <c r="U2614">
        <f>IF($A2614="","",IF(COUNTIF($A$2:$A2614,$A2614)=1,1,0))</f>
        <v/>
      </c>
      <c r="V2614">
        <f>IF($U2614=1,SUMPRODUCT(--($X$2:$X$3001&lt;$X2614))+1,"")</f>
        <v/>
      </c>
      <c r="W2614">
        <f>IF($A2614="","",IF(OR($T2614=TRUE(),$T2614="TRUE"),1,0))</f>
        <v/>
      </c>
      <c r="X2614">
        <f>IF($U2614=1,IFERROR(IF(VALUE($A2614)&lt;100000000,VALUE($A2614),1000000000),IFERROR(IF(VALUE(MID($A2614,2,20))&lt;100000000,VALUE(MID($A2614,2,20)),1000000000),1000000000))+ROW()/100000,"")</f>
        <v/>
      </c>
    </row>
    <row r="2615">
      <c r="F2615" s="7">
        <f>IF($A2615="","",E2615*N2615/100)</f>
        <v/>
      </c>
      <c r="J2615" s="7" t="n"/>
      <c r="K2615" s="7">
        <f>IF($A2615="","",S2615*N2615)</f>
        <v/>
      </c>
      <c r="L2615" s="7">
        <f>IF($A2615="","",N2615-K2615)</f>
        <v/>
      </c>
      <c r="M2615" s="7">
        <f>IF($A2615="","",L2615-F2615)</f>
        <v/>
      </c>
      <c r="N2615" s="7" t="n"/>
      <c r="Q2615" s="11" t="n"/>
      <c r="S2615">
        <f>IF($A2615="","",IF($W2615=1,Settings!$C$6,Settings!$C$7)*1)</f>
        <v/>
      </c>
      <c r="U2615">
        <f>IF($A2615="","",IF(COUNTIF($A$2:$A2615,$A2615)=1,1,0))</f>
        <v/>
      </c>
      <c r="V2615">
        <f>IF($U2615=1,SUMPRODUCT(--($X$2:$X$3001&lt;$X2615))+1,"")</f>
        <v/>
      </c>
      <c r="W2615">
        <f>IF($A2615="","",IF(OR($T2615=TRUE(),$T2615="TRUE"),1,0))</f>
        <v/>
      </c>
      <c r="X2615">
        <f>IF($U2615=1,IFERROR(IF(VALUE($A2615)&lt;100000000,VALUE($A2615),1000000000),IFERROR(IF(VALUE(MID($A2615,2,20))&lt;100000000,VALUE(MID($A2615,2,20)),1000000000),1000000000))+ROW()/100000,"")</f>
        <v/>
      </c>
    </row>
    <row r="2616">
      <c r="F2616" s="7">
        <f>IF($A2616="","",E2616*N2616/100)</f>
        <v/>
      </c>
      <c r="J2616" s="7" t="n"/>
      <c r="K2616" s="7">
        <f>IF($A2616="","",S2616*N2616)</f>
        <v/>
      </c>
      <c r="L2616" s="7">
        <f>IF($A2616="","",N2616-K2616)</f>
        <v/>
      </c>
      <c r="M2616" s="7">
        <f>IF($A2616="","",L2616-F2616)</f>
        <v/>
      </c>
      <c r="N2616" s="7" t="n"/>
      <c r="Q2616" s="11" t="n"/>
      <c r="S2616">
        <f>IF($A2616="","",IF($W2616=1,Settings!$C$6,Settings!$C$7)*1)</f>
        <v/>
      </c>
      <c r="U2616">
        <f>IF($A2616="","",IF(COUNTIF($A$2:$A2616,$A2616)=1,1,0))</f>
        <v/>
      </c>
      <c r="V2616">
        <f>IF($U2616=1,SUMPRODUCT(--($X$2:$X$3001&lt;$X2616))+1,"")</f>
        <v/>
      </c>
      <c r="W2616">
        <f>IF($A2616="","",IF(OR($T2616=TRUE(),$T2616="TRUE"),1,0))</f>
        <v/>
      </c>
      <c r="X2616">
        <f>IF($U2616=1,IFERROR(IF(VALUE($A2616)&lt;100000000,VALUE($A2616),1000000000),IFERROR(IF(VALUE(MID($A2616,2,20))&lt;100000000,VALUE(MID($A2616,2,20)),1000000000),1000000000))+ROW()/100000,"")</f>
        <v/>
      </c>
    </row>
    <row r="2617">
      <c r="F2617" s="7">
        <f>IF($A2617="","",E2617*N2617/100)</f>
        <v/>
      </c>
      <c r="J2617" s="7" t="n"/>
      <c r="K2617" s="7">
        <f>IF($A2617="","",S2617*N2617)</f>
        <v/>
      </c>
      <c r="L2617" s="7">
        <f>IF($A2617="","",N2617-K2617)</f>
        <v/>
      </c>
      <c r="M2617" s="7">
        <f>IF($A2617="","",L2617-F2617)</f>
        <v/>
      </c>
      <c r="N2617" s="7" t="n"/>
      <c r="Q2617" s="11" t="n"/>
      <c r="S2617">
        <f>IF($A2617="","",IF($W2617=1,Settings!$C$6,Settings!$C$7)*1)</f>
        <v/>
      </c>
      <c r="U2617">
        <f>IF($A2617="","",IF(COUNTIF($A$2:$A2617,$A2617)=1,1,0))</f>
        <v/>
      </c>
      <c r="V2617">
        <f>IF($U2617=1,SUMPRODUCT(--($X$2:$X$3001&lt;$X2617))+1,"")</f>
        <v/>
      </c>
      <c r="W2617">
        <f>IF($A2617="","",IF(OR($T2617=TRUE(),$T2617="TRUE"),1,0))</f>
        <v/>
      </c>
      <c r="X2617">
        <f>IF($U2617=1,IFERROR(IF(VALUE($A2617)&lt;100000000,VALUE($A2617),1000000000),IFERROR(IF(VALUE(MID($A2617,2,20))&lt;100000000,VALUE(MID($A2617,2,20)),1000000000),1000000000))+ROW()/100000,"")</f>
        <v/>
      </c>
    </row>
    <row r="2618">
      <c r="F2618" s="7">
        <f>IF($A2618="","",E2618*N2618/100)</f>
        <v/>
      </c>
      <c r="J2618" s="7" t="n"/>
      <c r="K2618" s="7">
        <f>IF($A2618="","",S2618*N2618)</f>
        <v/>
      </c>
      <c r="L2618" s="7">
        <f>IF($A2618="","",N2618-K2618)</f>
        <v/>
      </c>
      <c r="M2618" s="7">
        <f>IF($A2618="","",L2618-F2618)</f>
        <v/>
      </c>
      <c r="N2618" s="7" t="n"/>
      <c r="Q2618" s="11" t="n"/>
      <c r="S2618">
        <f>IF($A2618="","",IF($W2618=1,Settings!$C$6,Settings!$C$7)*1)</f>
        <v/>
      </c>
      <c r="U2618">
        <f>IF($A2618="","",IF(COUNTIF($A$2:$A2618,$A2618)=1,1,0))</f>
        <v/>
      </c>
      <c r="V2618">
        <f>IF($U2618=1,SUMPRODUCT(--($X$2:$X$3001&lt;$X2618))+1,"")</f>
        <v/>
      </c>
      <c r="W2618">
        <f>IF($A2618="","",IF(OR($T2618=TRUE(),$T2618="TRUE"),1,0))</f>
        <v/>
      </c>
      <c r="X2618">
        <f>IF($U2618=1,IFERROR(IF(VALUE($A2618)&lt;100000000,VALUE($A2618),1000000000),IFERROR(IF(VALUE(MID($A2618,2,20))&lt;100000000,VALUE(MID($A2618,2,20)),1000000000),1000000000))+ROW()/100000,"")</f>
        <v/>
      </c>
    </row>
    <row r="2619">
      <c r="F2619" s="7">
        <f>IF($A2619="","",E2619*N2619/100)</f>
        <v/>
      </c>
      <c r="J2619" s="7" t="n"/>
      <c r="K2619" s="7">
        <f>IF($A2619="","",S2619*N2619)</f>
        <v/>
      </c>
      <c r="L2619" s="7">
        <f>IF($A2619="","",N2619-K2619)</f>
        <v/>
      </c>
      <c r="M2619" s="7">
        <f>IF($A2619="","",L2619-F2619)</f>
        <v/>
      </c>
      <c r="N2619" s="7" t="n"/>
      <c r="Q2619" s="11" t="n"/>
      <c r="S2619">
        <f>IF($A2619="","",IF($W2619=1,Settings!$C$6,Settings!$C$7)*1)</f>
        <v/>
      </c>
      <c r="U2619">
        <f>IF($A2619="","",IF(COUNTIF($A$2:$A2619,$A2619)=1,1,0))</f>
        <v/>
      </c>
      <c r="V2619">
        <f>IF($U2619=1,SUMPRODUCT(--($X$2:$X$3001&lt;$X2619))+1,"")</f>
        <v/>
      </c>
      <c r="W2619">
        <f>IF($A2619="","",IF(OR($T2619=TRUE(),$T2619="TRUE"),1,0))</f>
        <v/>
      </c>
      <c r="X2619">
        <f>IF($U2619=1,IFERROR(IF(VALUE($A2619)&lt;100000000,VALUE($A2619),1000000000),IFERROR(IF(VALUE(MID($A2619,2,20))&lt;100000000,VALUE(MID($A2619,2,20)),1000000000),1000000000))+ROW()/100000,"")</f>
        <v/>
      </c>
    </row>
    <row r="2620">
      <c r="F2620" s="7">
        <f>IF($A2620="","",E2620*N2620/100)</f>
        <v/>
      </c>
      <c r="J2620" s="7" t="n"/>
      <c r="K2620" s="7">
        <f>IF($A2620="","",S2620*N2620)</f>
        <v/>
      </c>
      <c r="L2620" s="7">
        <f>IF($A2620="","",N2620-K2620)</f>
        <v/>
      </c>
      <c r="M2620" s="7">
        <f>IF($A2620="","",L2620-F2620)</f>
        <v/>
      </c>
      <c r="N2620" s="7" t="n"/>
      <c r="Q2620" s="11" t="n"/>
      <c r="S2620">
        <f>IF($A2620="","",IF($W2620=1,Settings!$C$6,Settings!$C$7)*1)</f>
        <v/>
      </c>
      <c r="U2620">
        <f>IF($A2620="","",IF(COUNTIF($A$2:$A2620,$A2620)=1,1,0))</f>
        <v/>
      </c>
      <c r="V2620">
        <f>IF($U2620=1,SUMPRODUCT(--($X$2:$X$3001&lt;$X2620))+1,"")</f>
        <v/>
      </c>
      <c r="W2620">
        <f>IF($A2620="","",IF(OR($T2620=TRUE(),$T2620="TRUE"),1,0))</f>
        <v/>
      </c>
      <c r="X2620">
        <f>IF($U2620=1,IFERROR(IF(VALUE($A2620)&lt;100000000,VALUE($A2620),1000000000),IFERROR(IF(VALUE(MID($A2620,2,20))&lt;100000000,VALUE(MID($A2620,2,20)),1000000000),1000000000))+ROW()/100000,"")</f>
        <v/>
      </c>
    </row>
    <row r="2621">
      <c r="F2621" s="7">
        <f>IF($A2621="","",E2621*N2621/100)</f>
        <v/>
      </c>
      <c r="J2621" s="7" t="n"/>
      <c r="K2621" s="7">
        <f>IF($A2621="","",S2621*N2621)</f>
        <v/>
      </c>
      <c r="L2621" s="7">
        <f>IF($A2621="","",N2621-K2621)</f>
        <v/>
      </c>
      <c r="M2621" s="7">
        <f>IF($A2621="","",L2621-F2621)</f>
        <v/>
      </c>
      <c r="N2621" s="7" t="n"/>
      <c r="Q2621" s="11" t="n"/>
      <c r="S2621">
        <f>IF($A2621="","",IF($W2621=1,Settings!$C$6,Settings!$C$7)*1)</f>
        <v/>
      </c>
      <c r="U2621">
        <f>IF($A2621="","",IF(COUNTIF($A$2:$A2621,$A2621)=1,1,0))</f>
        <v/>
      </c>
      <c r="V2621">
        <f>IF($U2621=1,SUMPRODUCT(--($X$2:$X$3001&lt;$X2621))+1,"")</f>
        <v/>
      </c>
      <c r="W2621">
        <f>IF($A2621="","",IF(OR($T2621=TRUE(),$T2621="TRUE"),1,0))</f>
        <v/>
      </c>
      <c r="X2621">
        <f>IF($U2621=1,IFERROR(IF(VALUE($A2621)&lt;100000000,VALUE($A2621),1000000000),IFERROR(IF(VALUE(MID($A2621,2,20))&lt;100000000,VALUE(MID($A2621,2,20)),1000000000),1000000000))+ROW()/100000,"")</f>
        <v/>
      </c>
    </row>
    <row r="2622">
      <c r="F2622" s="7">
        <f>IF($A2622="","",E2622*N2622/100)</f>
        <v/>
      </c>
      <c r="J2622" s="7" t="n"/>
      <c r="K2622" s="7">
        <f>IF($A2622="","",S2622*N2622)</f>
        <v/>
      </c>
      <c r="L2622" s="7">
        <f>IF($A2622="","",N2622-K2622)</f>
        <v/>
      </c>
      <c r="M2622" s="7">
        <f>IF($A2622="","",L2622-F2622)</f>
        <v/>
      </c>
      <c r="N2622" s="7" t="n"/>
      <c r="Q2622" s="11" t="n"/>
      <c r="S2622">
        <f>IF($A2622="","",IF($W2622=1,Settings!$C$6,Settings!$C$7)*1)</f>
        <v/>
      </c>
      <c r="U2622">
        <f>IF($A2622="","",IF(COUNTIF($A$2:$A2622,$A2622)=1,1,0))</f>
        <v/>
      </c>
      <c r="V2622">
        <f>IF($U2622=1,SUMPRODUCT(--($X$2:$X$3001&lt;$X2622))+1,"")</f>
        <v/>
      </c>
      <c r="W2622">
        <f>IF($A2622="","",IF(OR($T2622=TRUE(),$T2622="TRUE"),1,0))</f>
        <v/>
      </c>
      <c r="X2622">
        <f>IF($U2622=1,IFERROR(IF(VALUE($A2622)&lt;100000000,VALUE($A2622),1000000000),IFERROR(IF(VALUE(MID($A2622,2,20))&lt;100000000,VALUE(MID($A2622,2,20)),1000000000),1000000000))+ROW()/100000,"")</f>
        <v/>
      </c>
    </row>
    <row r="2623">
      <c r="F2623" s="7">
        <f>IF($A2623="","",E2623*N2623/100)</f>
        <v/>
      </c>
      <c r="J2623" s="7" t="n"/>
      <c r="K2623" s="7">
        <f>IF($A2623="","",S2623*N2623)</f>
        <v/>
      </c>
      <c r="L2623" s="7">
        <f>IF($A2623="","",N2623-K2623)</f>
        <v/>
      </c>
      <c r="M2623" s="7">
        <f>IF($A2623="","",L2623-F2623)</f>
        <v/>
      </c>
      <c r="N2623" s="7" t="n"/>
      <c r="Q2623" s="11" t="n"/>
      <c r="S2623">
        <f>IF($A2623="","",IF($W2623=1,Settings!$C$6,Settings!$C$7)*1)</f>
        <v/>
      </c>
      <c r="U2623">
        <f>IF($A2623="","",IF(COUNTIF($A$2:$A2623,$A2623)=1,1,0))</f>
        <v/>
      </c>
      <c r="V2623">
        <f>IF($U2623=1,SUMPRODUCT(--($X$2:$X$3001&lt;$X2623))+1,"")</f>
        <v/>
      </c>
      <c r="W2623">
        <f>IF($A2623="","",IF(OR($T2623=TRUE(),$T2623="TRUE"),1,0))</f>
        <v/>
      </c>
      <c r="X2623">
        <f>IF($U2623=1,IFERROR(IF(VALUE($A2623)&lt;100000000,VALUE($A2623),1000000000),IFERROR(IF(VALUE(MID($A2623,2,20))&lt;100000000,VALUE(MID($A2623,2,20)),1000000000),1000000000))+ROW()/100000,"")</f>
        <v/>
      </c>
    </row>
    <row r="2624">
      <c r="F2624" s="7">
        <f>IF($A2624="","",E2624*N2624/100)</f>
        <v/>
      </c>
      <c r="J2624" s="7" t="n"/>
      <c r="K2624" s="7">
        <f>IF($A2624="","",S2624*N2624)</f>
        <v/>
      </c>
      <c r="L2624" s="7">
        <f>IF($A2624="","",N2624-K2624)</f>
        <v/>
      </c>
      <c r="M2624" s="7">
        <f>IF($A2624="","",L2624-F2624)</f>
        <v/>
      </c>
      <c r="N2624" s="7" t="n"/>
      <c r="Q2624" s="11" t="n"/>
      <c r="S2624">
        <f>IF($A2624="","",IF($W2624=1,Settings!$C$6,Settings!$C$7)*1)</f>
        <v/>
      </c>
      <c r="U2624">
        <f>IF($A2624="","",IF(COUNTIF($A$2:$A2624,$A2624)=1,1,0))</f>
        <v/>
      </c>
      <c r="V2624">
        <f>IF($U2624=1,SUMPRODUCT(--($X$2:$X$3001&lt;$X2624))+1,"")</f>
        <v/>
      </c>
      <c r="W2624">
        <f>IF($A2624="","",IF(OR($T2624=TRUE(),$T2624="TRUE"),1,0))</f>
        <v/>
      </c>
      <c r="X2624">
        <f>IF($U2624=1,IFERROR(IF(VALUE($A2624)&lt;100000000,VALUE($A2624),1000000000),IFERROR(IF(VALUE(MID($A2624,2,20))&lt;100000000,VALUE(MID($A2624,2,20)),1000000000),1000000000))+ROW()/100000,"")</f>
        <v/>
      </c>
    </row>
    <row r="2625">
      <c r="F2625" s="7">
        <f>IF($A2625="","",E2625*N2625/100)</f>
        <v/>
      </c>
      <c r="J2625" s="7" t="n"/>
      <c r="K2625" s="7">
        <f>IF($A2625="","",S2625*N2625)</f>
        <v/>
      </c>
      <c r="L2625" s="7">
        <f>IF($A2625="","",N2625-K2625)</f>
        <v/>
      </c>
      <c r="M2625" s="7">
        <f>IF($A2625="","",L2625-F2625)</f>
        <v/>
      </c>
      <c r="N2625" s="7" t="n"/>
      <c r="Q2625" s="11" t="n"/>
      <c r="S2625">
        <f>IF($A2625="","",IF($W2625=1,Settings!$C$6,Settings!$C$7)*1)</f>
        <v/>
      </c>
      <c r="U2625">
        <f>IF($A2625="","",IF(COUNTIF($A$2:$A2625,$A2625)=1,1,0))</f>
        <v/>
      </c>
      <c r="V2625">
        <f>IF($U2625=1,SUMPRODUCT(--($X$2:$X$3001&lt;$X2625))+1,"")</f>
        <v/>
      </c>
      <c r="W2625">
        <f>IF($A2625="","",IF(OR($T2625=TRUE(),$T2625="TRUE"),1,0))</f>
        <v/>
      </c>
      <c r="X2625">
        <f>IF($U2625=1,IFERROR(IF(VALUE($A2625)&lt;100000000,VALUE($A2625),1000000000),IFERROR(IF(VALUE(MID($A2625,2,20))&lt;100000000,VALUE(MID($A2625,2,20)),1000000000),1000000000))+ROW()/100000,"")</f>
        <v/>
      </c>
    </row>
    <row r="2626">
      <c r="F2626" s="7">
        <f>IF($A2626="","",E2626*N2626/100)</f>
        <v/>
      </c>
      <c r="J2626" s="7" t="n"/>
      <c r="K2626" s="7">
        <f>IF($A2626="","",S2626*N2626)</f>
        <v/>
      </c>
      <c r="L2626" s="7">
        <f>IF($A2626="","",N2626-K2626)</f>
        <v/>
      </c>
      <c r="M2626" s="7">
        <f>IF($A2626="","",L2626-F2626)</f>
        <v/>
      </c>
      <c r="N2626" s="7" t="n"/>
      <c r="Q2626" s="11" t="n"/>
      <c r="S2626">
        <f>IF($A2626="","",IF($W2626=1,Settings!$C$6,Settings!$C$7)*1)</f>
        <v/>
      </c>
      <c r="U2626">
        <f>IF($A2626="","",IF(COUNTIF($A$2:$A2626,$A2626)=1,1,0))</f>
        <v/>
      </c>
      <c r="V2626">
        <f>IF($U2626=1,SUMPRODUCT(--($X$2:$X$3001&lt;$X2626))+1,"")</f>
        <v/>
      </c>
      <c r="W2626">
        <f>IF($A2626="","",IF(OR($T2626=TRUE(),$T2626="TRUE"),1,0))</f>
        <v/>
      </c>
      <c r="X2626">
        <f>IF($U2626=1,IFERROR(IF(VALUE($A2626)&lt;100000000,VALUE($A2626),1000000000),IFERROR(IF(VALUE(MID($A2626,2,20))&lt;100000000,VALUE(MID($A2626,2,20)),1000000000),1000000000))+ROW()/100000,"")</f>
        <v/>
      </c>
    </row>
    <row r="2627">
      <c r="F2627" s="7">
        <f>IF($A2627="","",E2627*N2627/100)</f>
        <v/>
      </c>
      <c r="J2627" s="7" t="n"/>
      <c r="K2627" s="7">
        <f>IF($A2627="","",S2627*N2627)</f>
        <v/>
      </c>
      <c r="L2627" s="7">
        <f>IF($A2627="","",N2627-K2627)</f>
        <v/>
      </c>
      <c r="M2627" s="7">
        <f>IF($A2627="","",L2627-F2627)</f>
        <v/>
      </c>
      <c r="N2627" s="7" t="n"/>
      <c r="Q2627" s="11" t="n"/>
      <c r="S2627">
        <f>IF($A2627="","",IF($W2627=1,Settings!$C$6,Settings!$C$7)*1)</f>
        <v/>
      </c>
      <c r="U2627">
        <f>IF($A2627="","",IF(COUNTIF($A$2:$A2627,$A2627)=1,1,0))</f>
        <v/>
      </c>
      <c r="V2627">
        <f>IF($U2627=1,SUMPRODUCT(--($X$2:$X$3001&lt;$X2627))+1,"")</f>
        <v/>
      </c>
      <c r="W2627">
        <f>IF($A2627="","",IF(OR($T2627=TRUE(),$T2627="TRUE"),1,0))</f>
        <v/>
      </c>
      <c r="X2627">
        <f>IF($U2627=1,IFERROR(IF(VALUE($A2627)&lt;100000000,VALUE($A2627),1000000000),IFERROR(IF(VALUE(MID($A2627,2,20))&lt;100000000,VALUE(MID($A2627,2,20)),1000000000),1000000000))+ROW()/100000,"")</f>
        <v/>
      </c>
    </row>
    <row r="2628">
      <c r="F2628" s="7">
        <f>IF($A2628="","",E2628*N2628/100)</f>
        <v/>
      </c>
      <c r="J2628" s="7" t="n"/>
      <c r="K2628" s="7">
        <f>IF($A2628="","",S2628*N2628)</f>
        <v/>
      </c>
      <c r="L2628" s="7">
        <f>IF($A2628="","",N2628-K2628)</f>
        <v/>
      </c>
      <c r="M2628" s="7">
        <f>IF($A2628="","",L2628-F2628)</f>
        <v/>
      </c>
      <c r="N2628" s="7" t="n"/>
      <c r="Q2628" s="11" t="n"/>
      <c r="S2628">
        <f>IF($A2628="","",IF($W2628=1,Settings!$C$6,Settings!$C$7)*1)</f>
        <v/>
      </c>
      <c r="U2628">
        <f>IF($A2628="","",IF(COUNTIF($A$2:$A2628,$A2628)=1,1,0))</f>
        <v/>
      </c>
      <c r="V2628">
        <f>IF($U2628=1,SUMPRODUCT(--($X$2:$X$3001&lt;$X2628))+1,"")</f>
        <v/>
      </c>
      <c r="W2628">
        <f>IF($A2628="","",IF(OR($T2628=TRUE(),$T2628="TRUE"),1,0))</f>
        <v/>
      </c>
      <c r="X2628">
        <f>IF($U2628=1,IFERROR(IF(VALUE($A2628)&lt;100000000,VALUE($A2628),1000000000),IFERROR(IF(VALUE(MID($A2628,2,20))&lt;100000000,VALUE(MID($A2628,2,20)),1000000000),1000000000))+ROW()/100000,"")</f>
        <v/>
      </c>
    </row>
    <row r="2629">
      <c r="F2629" s="7">
        <f>IF($A2629="","",E2629*N2629/100)</f>
        <v/>
      </c>
      <c r="J2629" s="7" t="n"/>
      <c r="K2629" s="7">
        <f>IF($A2629="","",S2629*N2629)</f>
        <v/>
      </c>
      <c r="L2629" s="7">
        <f>IF($A2629="","",N2629-K2629)</f>
        <v/>
      </c>
      <c r="M2629" s="7">
        <f>IF($A2629="","",L2629-F2629)</f>
        <v/>
      </c>
      <c r="N2629" s="7" t="n"/>
      <c r="Q2629" s="11" t="n"/>
      <c r="S2629">
        <f>IF($A2629="","",IF($W2629=1,Settings!$C$6,Settings!$C$7)*1)</f>
        <v/>
      </c>
      <c r="U2629">
        <f>IF($A2629="","",IF(COUNTIF($A$2:$A2629,$A2629)=1,1,0))</f>
        <v/>
      </c>
      <c r="V2629">
        <f>IF($U2629=1,SUMPRODUCT(--($X$2:$X$3001&lt;$X2629))+1,"")</f>
        <v/>
      </c>
      <c r="W2629">
        <f>IF($A2629="","",IF(OR($T2629=TRUE(),$T2629="TRUE"),1,0))</f>
        <v/>
      </c>
      <c r="X2629">
        <f>IF($U2629=1,IFERROR(IF(VALUE($A2629)&lt;100000000,VALUE($A2629),1000000000),IFERROR(IF(VALUE(MID($A2629,2,20))&lt;100000000,VALUE(MID($A2629,2,20)),1000000000),1000000000))+ROW()/100000,"")</f>
        <v/>
      </c>
    </row>
    <row r="2630">
      <c r="F2630" s="7">
        <f>IF($A2630="","",E2630*N2630/100)</f>
        <v/>
      </c>
      <c r="J2630" s="7" t="n"/>
      <c r="K2630" s="7">
        <f>IF($A2630="","",S2630*N2630)</f>
        <v/>
      </c>
      <c r="L2630" s="7">
        <f>IF($A2630="","",N2630-K2630)</f>
        <v/>
      </c>
      <c r="M2630" s="7">
        <f>IF($A2630="","",L2630-F2630)</f>
        <v/>
      </c>
      <c r="N2630" s="7" t="n"/>
      <c r="Q2630" s="11" t="n"/>
      <c r="S2630">
        <f>IF($A2630="","",IF($W2630=1,Settings!$C$6,Settings!$C$7)*1)</f>
        <v/>
      </c>
      <c r="U2630">
        <f>IF($A2630="","",IF(COUNTIF($A$2:$A2630,$A2630)=1,1,0))</f>
        <v/>
      </c>
      <c r="V2630">
        <f>IF($U2630=1,SUMPRODUCT(--($X$2:$X$3001&lt;$X2630))+1,"")</f>
        <v/>
      </c>
      <c r="W2630">
        <f>IF($A2630="","",IF(OR($T2630=TRUE(),$T2630="TRUE"),1,0))</f>
        <v/>
      </c>
      <c r="X2630">
        <f>IF($U2630=1,IFERROR(IF(VALUE($A2630)&lt;100000000,VALUE($A2630),1000000000),IFERROR(IF(VALUE(MID($A2630,2,20))&lt;100000000,VALUE(MID($A2630,2,20)),1000000000),1000000000))+ROW()/100000,"")</f>
        <v/>
      </c>
    </row>
    <row r="2631">
      <c r="F2631" s="7">
        <f>IF($A2631="","",E2631*N2631/100)</f>
        <v/>
      </c>
      <c r="J2631" s="7" t="n"/>
      <c r="K2631" s="7">
        <f>IF($A2631="","",S2631*N2631)</f>
        <v/>
      </c>
      <c r="L2631" s="7">
        <f>IF($A2631="","",N2631-K2631)</f>
        <v/>
      </c>
      <c r="M2631" s="7">
        <f>IF($A2631="","",L2631-F2631)</f>
        <v/>
      </c>
      <c r="N2631" s="7" t="n"/>
      <c r="Q2631" s="11" t="n"/>
      <c r="S2631">
        <f>IF($A2631="","",IF($W2631=1,Settings!$C$6,Settings!$C$7)*1)</f>
        <v/>
      </c>
      <c r="U2631">
        <f>IF($A2631="","",IF(COUNTIF($A$2:$A2631,$A2631)=1,1,0))</f>
        <v/>
      </c>
      <c r="V2631">
        <f>IF($U2631=1,SUMPRODUCT(--($X$2:$X$3001&lt;$X2631))+1,"")</f>
        <v/>
      </c>
      <c r="W2631">
        <f>IF($A2631="","",IF(OR($T2631=TRUE(),$T2631="TRUE"),1,0))</f>
        <v/>
      </c>
      <c r="X2631">
        <f>IF($U2631=1,IFERROR(IF(VALUE($A2631)&lt;100000000,VALUE($A2631),1000000000),IFERROR(IF(VALUE(MID($A2631,2,20))&lt;100000000,VALUE(MID($A2631,2,20)),1000000000),1000000000))+ROW()/100000,"")</f>
        <v/>
      </c>
    </row>
    <row r="2632">
      <c r="F2632" s="7">
        <f>IF($A2632="","",E2632*N2632/100)</f>
        <v/>
      </c>
      <c r="J2632" s="7" t="n"/>
      <c r="K2632" s="7">
        <f>IF($A2632="","",S2632*N2632)</f>
        <v/>
      </c>
      <c r="L2632" s="7">
        <f>IF($A2632="","",N2632-K2632)</f>
        <v/>
      </c>
      <c r="M2632" s="7">
        <f>IF($A2632="","",L2632-F2632)</f>
        <v/>
      </c>
      <c r="N2632" s="7" t="n"/>
      <c r="Q2632" s="11" t="n"/>
      <c r="S2632">
        <f>IF($A2632="","",IF($W2632=1,Settings!$C$6,Settings!$C$7)*1)</f>
        <v/>
      </c>
      <c r="U2632">
        <f>IF($A2632="","",IF(COUNTIF($A$2:$A2632,$A2632)=1,1,0))</f>
        <v/>
      </c>
      <c r="V2632">
        <f>IF($U2632=1,SUMPRODUCT(--($X$2:$X$3001&lt;$X2632))+1,"")</f>
        <v/>
      </c>
      <c r="W2632">
        <f>IF($A2632="","",IF(OR($T2632=TRUE(),$T2632="TRUE"),1,0))</f>
        <v/>
      </c>
      <c r="X2632">
        <f>IF($U2632=1,IFERROR(IF(VALUE($A2632)&lt;100000000,VALUE($A2632),1000000000),IFERROR(IF(VALUE(MID($A2632,2,20))&lt;100000000,VALUE(MID($A2632,2,20)),1000000000),1000000000))+ROW()/100000,"")</f>
        <v/>
      </c>
    </row>
    <row r="2633">
      <c r="F2633" s="7">
        <f>IF($A2633="","",E2633*N2633/100)</f>
        <v/>
      </c>
      <c r="J2633" s="7" t="n"/>
      <c r="K2633" s="7">
        <f>IF($A2633="","",S2633*N2633)</f>
        <v/>
      </c>
      <c r="L2633" s="7">
        <f>IF($A2633="","",N2633-K2633)</f>
        <v/>
      </c>
      <c r="M2633" s="7">
        <f>IF($A2633="","",L2633-F2633)</f>
        <v/>
      </c>
      <c r="N2633" s="7" t="n"/>
      <c r="Q2633" s="11" t="n"/>
      <c r="S2633">
        <f>IF($A2633="","",IF($W2633=1,Settings!$C$6,Settings!$C$7)*1)</f>
        <v/>
      </c>
      <c r="U2633">
        <f>IF($A2633="","",IF(COUNTIF($A$2:$A2633,$A2633)=1,1,0))</f>
        <v/>
      </c>
      <c r="V2633">
        <f>IF($U2633=1,SUMPRODUCT(--($X$2:$X$3001&lt;$X2633))+1,"")</f>
        <v/>
      </c>
      <c r="W2633">
        <f>IF($A2633="","",IF(OR($T2633=TRUE(),$T2633="TRUE"),1,0))</f>
        <v/>
      </c>
      <c r="X2633">
        <f>IF($U2633=1,IFERROR(IF(VALUE($A2633)&lt;100000000,VALUE($A2633),1000000000),IFERROR(IF(VALUE(MID($A2633,2,20))&lt;100000000,VALUE(MID($A2633,2,20)),1000000000),1000000000))+ROW()/100000,"")</f>
        <v/>
      </c>
    </row>
    <row r="2634">
      <c r="F2634" s="7">
        <f>IF($A2634="","",E2634*N2634/100)</f>
        <v/>
      </c>
      <c r="J2634" s="7" t="n"/>
      <c r="K2634" s="7">
        <f>IF($A2634="","",S2634*N2634)</f>
        <v/>
      </c>
      <c r="L2634" s="7">
        <f>IF($A2634="","",N2634-K2634)</f>
        <v/>
      </c>
      <c r="M2634" s="7">
        <f>IF($A2634="","",L2634-F2634)</f>
        <v/>
      </c>
      <c r="N2634" s="7" t="n"/>
      <c r="Q2634" s="11" t="n"/>
      <c r="S2634">
        <f>IF($A2634="","",IF($W2634=1,Settings!$C$6,Settings!$C$7)*1)</f>
        <v/>
      </c>
      <c r="U2634">
        <f>IF($A2634="","",IF(COUNTIF($A$2:$A2634,$A2634)=1,1,0))</f>
        <v/>
      </c>
      <c r="V2634">
        <f>IF($U2634=1,SUMPRODUCT(--($X$2:$X$3001&lt;$X2634))+1,"")</f>
        <v/>
      </c>
      <c r="W2634">
        <f>IF($A2634="","",IF(OR($T2634=TRUE(),$T2634="TRUE"),1,0))</f>
        <v/>
      </c>
      <c r="X2634">
        <f>IF($U2634=1,IFERROR(IF(VALUE($A2634)&lt;100000000,VALUE($A2634),1000000000),IFERROR(IF(VALUE(MID($A2634,2,20))&lt;100000000,VALUE(MID($A2634,2,20)),1000000000),1000000000))+ROW()/100000,"")</f>
        <v/>
      </c>
    </row>
    <row r="2635">
      <c r="F2635" s="7">
        <f>IF($A2635="","",E2635*N2635/100)</f>
        <v/>
      </c>
      <c r="J2635" s="7" t="n"/>
      <c r="K2635" s="7">
        <f>IF($A2635="","",S2635*N2635)</f>
        <v/>
      </c>
      <c r="L2635" s="7">
        <f>IF($A2635="","",N2635-K2635)</f>
        <v/>
      </c>
      <c r="M2635" s="7">
        <f>IF($A2635="","",L2635-F2635)</f>
        <v/>
      </c>
      <c r="N2635" s="7" t="n"/>
      <c r="Q2635" s="11" t="n"/>
      <c r="S2635">
        <f>IF($A2635="","",IF($W2635=1,Settings!$C$6,Settings!$C$7)*1)</f>
        <v/>
      </c>
      <c r="U2635">
        <f>IF($A2635="","",IF(COUNTIF($A$2:$A2635,$A2635)=1,1,0))</f>
        <v/>
      </c>
      <c r="V2635">
        <f>IF($U2635=1,SUMPRODUCT(--($X$2:$X$3001&lt;$X2635))+1,"")</f>
        <v/>
      </c>
      <c r="W2635">
        <f>IF($A2635="","",IF(OR($T2635=TRUE(),$T2635="TRUE"),1,0))</f>
        <v/>
      </c>
      <c r="X2635">
        <f>IF($U2635=1,IFERROR(IF(VALUE($A2635)&lt;100000000,VALUE($A2635),1000000000),IFERROR(IF(VALUE(MID($A2635,2,20))&lt;100000000,VALUE(MID($A2635,2,20)),1000000000),1000000000))+ROW()/100000,"")</f>
        <v/>
      </c>
    </row>
    <row r="2636">
      <c r="F2636" s="7">
        <f>IF($A2636="","",E2636*N2636/100)</f>
        <v/>
      </c>
      <c r="J2636" s="7" t="n"/>
      <c r="K2636" s="7">
        <f>IF($A2636="","",S2636*N2636)</f>
        <v/>
      </c>
      <c r="L2636" s="7">
        <f>IF($A2636="","",N2636-K2636)</f>
        <v/>
      </c>
      <c r="M2636" s="7">
        <f>IF($A2636="","",L2636-F2636)</f>
        <v/>
      </c>
      <c r="N2636" s="7" t="n"/>
      <c r="Q2636" s="11" t="n"/>
      <c r="S2636">
        <f>IF($A2636="","",IF($W2636=1,Settings!$C$6,Settings!$C$7)*1)</f>
        <v/>
      </c>
      <c r="U2636">
        <f>IF($A2636="","",IF(COUNTIF($A$2:$A2636,$A2636)=1,1,0))</f>
        <v/>
      </c>
      <c r="V2636">
        <f>IF($U2636=1,SUMPRODUCT(--($X$2:$X$3001&lt;$X2636))+1,"")</f>
        <v/>
      </c>
      <c r="W2636">
        <f>IF($A2636="","",IF(OR($T2636=TRUE(),$T2636="TRUE"),1,0))</f>
        <v/>
      </c>
      <c r="X2636">
        <f>IF($U2636=1,IFERROR(IF(VALUE($A2636)&lt;100000000,VALUE($A2636),1000000000),IFERROR(IF(VALUE(MID($A2636,2,20))&lt;100000000,VALUE(MID($A2636,2,20)),1000000000),1000000000))+ROW()/100000,"")</f>
        <v/>
      </c>
    </row>
    <row r="2637">
      <c r="F2637" s="7">
        <f>IF($A2637="","",E2637*N2637/100)</f>
        <v/>
      </c>
      <c r="J2637" s="7" t="n"/>
      <c r="K2637" s="7">
        <f>IF($A2637="","",S2637*N2637)</f>
        <v/>
      </c>
      <c r="L2637" s="7">
        <f>IF($A2637="","",N2637-K2637)</f>
        <v/>
      </c>
      <c r="M2637" s="7">
        <f>IF($A2637="","",L2637-F2637)</f>
        <v/>
      </c>
      <c r="N2637" s="7" t="n"/>
      <c r="Q2637" s="11" t="n"/>
      <c r="S2637">
        <f>IF($A2637="","",IF($W2637=1,Settings!$C$6,Settings!$C$7)*1)</f>
        <v/>
      </c>
      <c r="U2637">
        <f>IF($A2637="","",IF(COUNTIF($A$2:$A2637,$A2637)=1,1,0))</f>
        <v/>
      </c>
      <c r="V2637">
        <f>IF($U2637=1,SUMPRODUCT(--($X$2:$X$3001&lt;$X2637))+1,"")</f>
        <v/>
      </c>
      <c r="W2637">
        <f>IF($A2637="","",IF(OR($T2637=TRUE(),$T2637="TRUE"),1,0))</f>
        <v/>
      </c>
      <c r="X2637">
        <f>IF($U2637=1,IFERROR(IF(VALUE($A2637)&lt;100000000,VALUE($A2637),1000000000),IFERROR(IF(VALUE(MID($A2637,2,20))&lt;100000000,VALUE(MID($A2637,2,20)),1000000000),1000000000))+ROW()/100000,"")</f>
        <v/>
      </c>
    </row>
    <row r="2638">
      <c r="F2638" s="7">
        <f>IF($A2638="","",E2638*N2638/100)</f>
        <v/>
      </c>
      <c r="J2638" s="7" t="n"/>
      <c r="K2638" s="7">
        <f>IF($A2638="","",S2638*N2638)</f>
        <v/>
      </c>
      <c r="L2638" s="7">
        <f>IF($A2638="","",N2638-K2638)</f>
        <v/>
      </c>
      <c r="M2638" s="7">
        <f>IF($A2638="","",L2638-F2638)</f>
        <v/>
      </c>
      <c r="N2638" s="7" t="n"/>
      <c r="Q2638" s="11" t="n"/>
      <c r="S2638">
        <f>IF($A2638="","",IF($W2638=1,Settings!$C$6,Settings!$C$7)*1)</f>
        <v/>
      </c>
      <c r="U2638">
        <f>IF($A2638="","",IF(COUNTIF($A$2:$A2638,$A2638)=1,1,0))</f>
        <v/>
      </c>
      <c r="V2638">
        <f>IF($U2638=1,SUMPRODUCT(--($X$2:$X$3001&lt;$X2638))+1,"")</f>
        <v/>
      </c>
      <c r="W2638">
        <f>IF($A2638="","",IF(OR($T2638=TRUE(),$T2638="TRUE"),1,0))</f>
        <v/>
      </c>
      <c r="X2638">
        <f>IF($U2638=1,IFERROR(IF(VALUE($A2638)&lt;100000000,VALUE($A2638),1000000000),IFERROR(IF(VALUE(MID($A2638,2,20))&lt;100000000,VALUE(MID($A2638,2,20)),1000000000),1000000000))+ROW()/100000,"")</f>
        <v/>
      </c>
    </row>
    <row r="2639">
      <c r="F2639" s="7">
        <f>IF($A2639="","",E2639*N2639/100)</f>
        <v/>
      </c>
      <c r="J2639" s="7" t="n"/>
      <c r="K2639" s="7">
        <f>IF($A2639="","",S2639*N2639)</f>
        <v/>
      </c>
      <c r="L2639" s="7">
        <f>IF($A2639="","",N2639-K2639)</f>
        <v/>
      </c>
      <c r="M2639" s="7">
        <f>IF($A2639="","",L2639-F2639)</f>
        <v/>
      </c>
      <c r="N2639" s="7" t="n"/>
      <c r="Q2639" s="11" t="n"/>
      <c r="S2639">
        <f>IF($A2639="","",IF($W2639=1,Settings!$C$6,Settings!$C$7)*1)</f>
        <v/>
      </c>
      <c r="U2639">
        <f>IF($A2639="","",IF(COUNTIF($A$2:$A2639,$A2639)=1,1,0))</f>
        <v/>
      </c>
      <c r="V2639">
        <f>IF($U2639=1,SUMPRODUCT(--($X$2:$X$3001&lt;$X2639))+1,"")</f>
        <v/>
      </c>
      <c r="W2639">
        <f>IF($A2639="","",IF(OR($T2639=TRUE(),$T2639="TRUE"),1,0))</f>
        <v/>
      </c>
      <c r="X2639">
        <f>IF($U2639=1,IFERROR(IF(VALUE($A2639)&lt;100000000,VALUE($A2639),1000000000),IFERROR(IF(VALUE(MID($A2639,2,20))&lt;100000000,VALUE(MID($A2639,2,20)),1000000000),1000000000))+ROW()/100000,"")</f>
        <v/>
      </c>
    </row>
    <row r="2640">
      <c r="F2640" s="7">
        <f>IF($A2640="","",E2640*N2640/100)</f>
        <v/>
      </c>
      <c r="J2640" s="7" t="n"/>
      <c r="K2640" s="7">
        <f>IF($A2640="","",S2640*N2640)</f>
        <v/>
      </c>
      <c r="L2640" s="7">
        <f>IF($A2640="","",N2640-K2640)</f>
        <v/>
      </c>
      <c r="M2640" s="7">
        <f>IF($A2640="","",L2640-F2640)</f>
        <v/>
      </c>
      <c r="N2640" s="7" t="n"/>
      <c r="Q2640" s="11" t="n"/>
      <c r="S2640">
        <f>IF($A2640="","",IF($W2640=1,Settings!$C$6,Settings!$C$7)*1)</f>
        <v/>
      </c>
      <c r="U2640">
        <f>IF($A2640="","",IF(COUNTIF($A$2:$A2640,$A2640)=1,1,0))</f>
        <v/>
      </c>
      <c r="V2640">
        <f>IF($U2640=1,SUMPRODUCT(--($X$2:$X$3001&lt;$X2640))+1,"")</f>
        <v/>
      </c>
      <c r="W2640">
        <f>IF($A2640="","",IF(OR($T2640=TRUE(),$T2640="TRUE"),1,0))</f>
        <v/>
      </c>
      <c r="X2640">
        <f>IF($U2640=1,IFERROR(IF(VALUE($A2640)&lt;100000000,VALUE($A2640),1000000000),IFERROR(IF(VALUE(MID($A2640,2,20))&lt;100000000,VALUE(MID($A2640,2,20)),1000000000),1000000000))+ROW()/100000,"")</f>
        <v/>
      </c>
    </row>
    <row r="2641">
      <c r="F2641" s="7">
        <f>IF($A2641="","",E2641*N2641/100)</f>
        <v/>
      </c>
      <c r="J2641" s="7" t="n"/>
      <c r="K2641" s="7">
        <f>IF($A2641="","",S2641*N2641)</f>
        <v/>
      </c>
      <c r="L2641" s="7">
        <f>IF($A2641="","",N2641-K2641)</f>
        <v/>
      </c>
      <c r="M2641" s="7">
        <f>IF($A2641="","",L2641-F2641)</f>
        <v/>
      </c>
      <c r="N2641" s="7" t="n"/>
      <c r="Q2641" s="11" t="n"/>
      <c r="S2641">
        <f>IF($A2641="","",IF($W2641=1,Settings!$C$6,Settings!$C$7)*1)</f>
        <v/>
      </c>
      <c r="U2641">
        <f>IF($A2641="","",IF(COUNTIF($A$2:$A2641,$A2641)=1,1,0))</f>
        <v/>
      </c>
      <c r="V2641">
        <f>IF($U2641=1,SUMPRODUCT(--($X$2:$X$3001&lt;$X2641))+1,"")</f>
        <v/>
      </c>
      <c r="W2641">
        <f>IF($A2641="","",IF(OR($T2641=TRUE(),$T2641="TRUE"),1,0))</f>
        <v/>
      </c>
      <c r="X2641">
        <f>IF($U2641=1,IFERROR(IF(VALUE($A2641)&lt;100000000,VALUE($A2641),1000000000),IFERROR(IF(VALUE(MID($A2641,2,20))&lt;100000000,VALUE(MID($A2641,2,20)),1000000000),1000000000))+ROW()/100000,"")</f>
        <v/>
      </c>
    </row>
    <row r="2642">
      <c r="F2642" s="7">
        <f>IF($A2642="","",E2642*N2642/100)</f>
        <v/>
      </c>
      <c r="J2642" s="7" t="n"/>
      <c r="K2642" s="7">
        <f>IF($A2642="","",S2642*N2642)</f>
        <v/>
      </c>
      <c r="L2642" s="7">
        <f>IF($A2642="","",N2642-K2642)</f>
        <v/>
      </c>
      <c r="M2642" s="7">
        <f>IF($A2642="","",L2642-F2642)</f>
        <v/>
      </c>
      <c r="N2642" s="7" t="n"/>
      <c r="Q2642" s="11" t="n"/>
      <c r="S2642">
        <f>IF($A2642="","",IF($W2642=1,Settings!$C$6,Settings!$C$7)*1)</f>
        <v/>
      </c>
      <c r="U2642">
        <f>IF($A2642="","",IF(COUNTIF($A$2:$A2642,$A2642)=1,1,0))</f>
        <v/>
      </c>
      <c r="V2642">
        <f>IF($U2642=1,SUMPRODUCT(--($X$2:$X$3001&lt;$X2642))+1,"")</f>
        <v/>
      </c>
      <c r="W2642">
        <f>IF($A2642="","",IF(OR($T2642=TRUE(),$T2642="TRUE"),1,0))</f>
        <v/>
      </c>
      <c r="X2642">
        <f>IF($U2642=1,IFERROR(IF(VALUE($A2642)&lt;100000000,VALUE($A2642),1000000000),IFERROR(IF(VALUE(MID($A2642,2,20))&lt;100000000,VALUE(MID($A2642,2,20)),1000000000),1000000000))+ROW()/100000,"")</f>
        <v/>
      </c>
    </row>
    <row r="2643">
      <c r="F2643" s="7">
        <f>IF($A2643="","",E2643*N2643/100)</f>
        <v/>
      </c>
      <c r="J2643" s="7" t="n"/>
      <c r="K2643" s="7">
        <f>IF($A2643="","",S2643*N2643)</f>
        <v/>
      </c>
      <c r="L2643" s="7">
        <f>IF($A2643="","",N2643-K2643)</f>
        <v/>
      </c>
      <c r="M2643" s="7">
        <f>IF($A2643="","",L2643-F2643)</f>
        <v/>
      </c>
      <c r="N2643" s="7" t="n"/>
      <c r="Q2643" s="11" t="n"/>
      <c r="S2643">
        <f>IF($A2643="","",IF($W2643=1,Settings!$C$6,Settings!$C$7)*1)</f>
        <v/>
      </c>
      <c r="U2643">
        <f>IF($A2643="","",IF(COUNTIF($A$2:$A2643,$A2643)=1,1,0))</f>
        <v/>
      </c>
      <c r="V2643">
        <f>IF($U2643=1,SUMPRODUCT(--($X$2:$X$3001&lt;$X2643))+1,"")</f>
        <v/>
      </c>
      <c r="W2643">
        <f>IF($A2643="","",IF(OR($T2643=TRUE(),$T2643="TRUE"),1,0))</f>
        <v/>
      </c>
      <c r="X2643">
        <f>IF($U2643=1,IFERROR(IF(VALUE($A2643)&lt;100000000,VALUE($A2643),1000000000),IFERROR(IF(VALUE(MID($A2643,2,20))&lt;100000000,VALUE(MID($A2643,2,20)),1000000000),1000000000))+ROW()/100000,"")</f>
        <v/>
      </c>
    </row>
    <row r="2644">
      <c r="F2644" s="7">
        <f>IF($A2644="","",E2644*N2644/100)</f>
        <v/>
      </c>
      <c r="J2644" s="7" t="n"/>
      <c r="K2644" s="7">
        <f>IF($A2644="","",S2644*N2644)</f>
        <v/>
      </c>
      <c r="L2644" s="7">
        <f>IF($A2644="","",N2644-K2644)</f>
        <v/>
      </c>
      <c r="M2644" s="7">
        <f>IF($A2644="","",L2644-F2644)</f>
        <v/>
      </c>
      <c r="N2644" s="7" t="n"/>
      <c r="Q2644" s="11" t="n"/>
      <c r="S2644">
        <f>IF($A2644="","",IF($W2644=1,Settings!$C$6,Settings!$C$7)*1)</f>
        <v/>
      </c>
      <c r="U2644">
        <f>IF($A2644="","",IF(COUNTIF($A$2:$A2644,$A2644)=1,1,0))</f>
        <v/>
      </c>
      <c r="V2644">
        <f>IF($U2644=1,SUMPRODUCT(--($X$2:$X$3001&lt;$X2644))+1,"")</f>
        <v/>
      </c>
      <c r="W2644">
        <f>IF($A2644="","",IF(OR($T2644=TRUE(),$T2644="TRUE"),1,0))</f>
        <v/>
      </c>
      <c r="X2644">
        <f>IF($U2644=1,IFERROR(IF(VALUE($A2644)&lt;100000000,VALUE($A2644),1000000000),IFERROR(IF(VALUE(MID($A2644,2,20))&lt;100000000,VALUE(MID($A2644,2,20)),1000000000),1000000000))+ROW()/100000,"")</f>
        <v/>
      </c>
    </row>
    <row r="2645">
      <c r="F2645" s="7">
        <f>IF($A2645="","",E2645*N2645/100)</f>
        <v/>
      </c>
      <c r="J2645" s="7" t="n"/>
      <c r="K2645" s="7">
        <f>IF($A2645="","",S2645*N2645)</f>
        <v/>
      </c>
      <c r="L2645" s="7">
        <f>IF($A2645="","",N2645-K2645)</f>
        <v/>
      </c>
      <c r="M2645" s="7">
        <f>IF($A2645="","",L2645-F2645)</f>
        <v/>
      </c>
      <c r="N2645" s="7" t="n"/>
      <c r="Q2645" s="11" t="n"/>
      <c r="S2645">
        <f>IF($A2645="","",IF($W2645=1,Settings!$C$6,Settings!$C$7)*1)</f>
        <v/>
      </c>
      <c r="U2645">
        <f>IF($A2645="","",IF(COUNTIF($A$2:$A2645,$A2645)=1,1,0))</f>
        <v/>
      </c>
      <c r="V2645">
        <f>IF($U2645=1,SUMPRODUCT(--($X$2:$X$3001&lt;$X2645))+1,"")</f>
        <v/>
      </c>
      <c r="W2645">
        <f>IF($A2645="","",IF(OR($T2645=TRUE(),$T2645="TRUE"),1,0))</f>
        <v/>
      </c>
      <c r="X2645">
        <f>IF($U2645=1,IFERROR(IF(VALUE($A2645)&lt;100000000,VALUE($A2645),1000000000),IFERROR(IF(VALUE(MID($A2645,2,20))&lt;100000000,VALUE(MID($A2645,2,20)),1000000000),1000000000))+ROW()/100000,"")</f>
        <v/>
      </c>
    </row>
    <row r="2646">
      <c r="F2646" s="7">
        <f>IF($A2646="","",E2646*N2646/100)</f>
        <v/>
      </c>
      <c r="J2646" s="7" t="n"/>
      <c r="K2646" s="7">
        <f>IF($A2646="","",S2646*N2646)</f>
        <v/>
      </c>
      <c r="L2646" s="7">
        <f>IF($A2646="","",N2646-K2646)</f>
        <v/>
      </c>
      <c r="M2646" s="7">
        <f>IF($A2646="","",L2646-F2646)</f>
        <v/>
      </c>
      <c r="N2646" s="7" t="n"/>
      <c r="Q2646" s="11" t="n"/>
      <c r="S2646">
        <f>IF($A2646="","",IF($W2646=1,Settings!$C$6,Settings!$C$7)*1)</f>
        <v/>
      </c>
      <c r="U2646">
        <f>IF($A2646="","",IF(COUNTIF($A$2:$A2646,$A2646)=1,1,0))</f>
        <v/>
      </c>
      <c r="V2646">
        <f>IF($U2646=1,SUMPRODUCT(--($X$2:$X$3001&lt;$X2646))+1,"")</f>
        <v/>
      </c>
      <c r="W2646">
        <f>IF($A2646="","",IF(OR($T2646=TRUE(),$T2646="TRUE"),1,0))</f>
        <v/>
      </c>
      <c r="X2646">
        <f>IF($U2646=1,IFERROR(IF(VALUE($A2646)&lt;100000000,VALUE($A2646),1000000000),IFERROR(IF(VALUE(MID($A2646,2,20))&lt;100000000,VALUE(MID($A2646,2,20)),1000000000),1000000000))+ROW()/100000,"")</f>
        <v/>
      </c>
    </row>
    <row r="2647">
      <c r="F2647" s="7">
        <f>IF($A2647="","",E2647*N2647/100)</f>
        <v/>
      </c>
      <c r="J2647" s="7" t="n"/>
      <c r="K2647" s="7">
        <f>IF($A2647="","",S2647*N2647)</f>
        <v/>
      </c>
      <c r="L2647" s="7">
        <f>IF($A2647="","",N2647-K2647)</f>
        <v/>
      </c>
      <c r="M2647" s="7">
        <f>IF($A2647="","",L2647-F2647)</f>
        <v/>
      </c>
      <c r="N2647" s="7" t="n"/>
      <c r="Q2647" s="11" t="n"/>
      <c r="S2647">
        <f>IF($A2647="","",IF($W2647=1,Settings!$C$6,Settings!$C$7)*1)</f>
        <v/>
      </c>
      <c r="U2647">
        <f>IF($A2647="","",IF(COUNTIF($A$2:$A2647,$A2647)=1,1,0))</f>
        <v/>
      </c>
      <c r="V2647">
        <f>IF($U2647=1,SUMPRODUCT(--($X$2:$X$3001&lt;$X2647))+1,"")</f>
        <v/>
      </c>
      <c r="W2647">
        <f>IF($A2647="","",IF(OR($T2647=TRUE(),$T2647="TRUE"),1,0))</f>
        <v/>
      </c>
      <c r="X2647">
        <f>IF($U2647=1,IFERROR(IF(VALUE($A2647)&lt;100000000,VALUE($A2647),1000000000),IFERROR(IF(VALUE(MID($A2647,2,20))&lt;100000000,VALUE(MID($A2647,2,20)),1000000000),1000000000))+ROW()/100000,"")</f>
        <v/>
      </c>
    </row>
    <row r="2648">
      <c r="F2648" s="7">
        <f>IF($A2648="","",E2648*N2648/100)</f>
        <v/>
      </c>
      <c r="J2648" s="7" t="n"/>
      <c r="K2648" s="7">
        <f>IF($A2648="","",S2648*N2648)</f>
        <v/>
      </c>
      <c r="L2648" s="7">
        <f>IF($A2648="","",N2648-K2648)</f>
        <v/>
      </c>
      <c r="M2648" s="7">
        <f>IF($A2648="","",L2648-F2648)</f>
        <v/>
      </c>
      <c r="N2648" s="7" t="n"/>
      <c r="Q2648" s="11" t="n"/>
      <c r="S2648">
        <f>IF($A2648="","",IF($W2648=1,Settings!$C$6,Settings!$C$7)*1)</f>
        <v/>
      </c>
      <c r="U2648">
        <f>IF($A2648="","",IF(COUNTIF($A$2:$A2648,$A2648)=1,1,0))</f>
        <v/>
      </c>
      <c r="V2648">
        <f>IF($U2648=1,SUMPRODUCT(--($X$2:$X$3001&lt;$X2648))+1,"")</f>
        <v/>
      </c>
      <c r="W2648">
        <f>IF($A2648="","",IF(OR($T2648=TRUE(),$T2648="TRUE"),1,0))</f>
        <v/>
      </c>
      <c r="X2648">
        <f>IF($U2648=1,IFERROR(IF(VALUE($A2648)&lt;100000000,VALUE($A2648),1000000000),IFERROR(IF(VALUE(MID($A2648,2,20))&lt;100000000,VALUE(MID($A2648,2,20)),1000000000),1000000000))+ROW()/100000,"")</f>
        <v/>
      </c>
    </row>
    <row r="2649">
      <c r="F2649" s="7">
        <f>IF($A2649="","",E2649*N2649/100)</f>
        <v/>
      </c>
      <c r="J2649" s="7" t="n"/>
      <c r="K2649" s="7">
        <f>IF($A2649="","",S2649*N2649)</f>
        <v/>
      </c>
      <c r="L2649" s="7">
        <f>IF($A2649="","",N2649-K2649)</f>
        <v/>
      </c>
      <c r="M2649" s="7">
        <f>IF($A2649="","",L2649-F2649)</f>
        <v/>
      </c>
      <c r="N2649" s="7" t="n"/>
      <c r="Q2649" s="11" t="n"/>
      <c r="S2649">
        <f>IF($A2649="","",IF($W2649=1,Settings!$C$6,Settings!$C$7)*1)</f>
        <v/>
      </c>
      <c r="U2649">
        <f>IF($A2649="","",IF(COUNTIF($A$2:$A2649,$A2649)=1,1,0))</f>
        <v/>
      </c>
      <c r="V2649">
        <f>IF($U2649=1,SUMPRODUCT(--($X$2:$X$3001&lt;$X2649))+1,"")</f>
        <v/>
      </c>
      <c r="W2649">
        <f>IF($A2649="","",IF(OR($T2649=TRUE(),$T2649="TRUE"),1,0))</f>
        <v/>
      </c>
      <c r="X2649">
        <f>IF($U2649=1,IFERROR(IF(VALUE($A2649)&lt;100000000,VALUE($A2649),1000000000),IFERROR(IF(VALUE(MID($A2649,2,20))&lt;100000000,VALUE(MID($A2649,2,20)),1000000000),1000000000))+ROW()/100000,"")</f>
        <v/>
      </c>
    </row>
    <row r="2650">
      <c r="F2650" s="7">
        <f>IF($A2650="","",E2650*N2650/100)</f>
        <v/>
      </c>
      <c r="J2650" s="7" t="n"/>
      <c r="K2650" s="7">
        <f>IF($A2650="","",S2650*N2650)</f>
        <v/>
      </c>
      <c r="L2650" s="7">
        <f>IF($A2650="","",N2650-K2650)</f>
        <v/>
      </c>
      <c r="M2650" s="7">
        <f>IF($A2650="","",L2650-F2650)</f>
        <v/>
      </c>
      <c r="N2650" s="7" t="n"/>
      <c r="Q2650" s="11" t="n"/>
      <c r="S2650">
        <f>IF($A2650="","",IF($W2650=1,Settings!$C$6,Settings!$C$7)*1)</f>
        <v/>
      </c>
      <c r="U2650">
        <f>IF($A2650="","",IF(COUNTIF($A$2:$A2650,$A2650)=1,1,0))</f>
        <v/>
      </c>
      <c r="V2650">
        <f>IF($U2650=1,SUMPRODUCT(--($X$2:$X$3001&lt;$X2650))+1,"")</f>
        <v/>
      </c>
      <c r="W2650">
        <f>IF($A2650="","",IF(OR($T2650=TRUE(),$T2650="TRUE"),1,0))</f>
        <v/>
      </c>
      <c r="X2650">
        <f>IF($U2650=1,IFERROR(IF(VALUE($A2650)&lt;100000000,VALUE($A2650),1000000000),IFERROR(IF(VALUE(MID($A2650,2,20))&lt;100000000,VALUE(MID($A2650,2,20)),1000000000),1000000000))+ROW()/100000,"")</f>
        <v/>
      </c>
    </row>
    <row r="2651">
      <c r="F2651" s="7">
        <f>IF($A2651="","",E2651*N2651/100)</f>
        <v/>
      </c>
      <c r="J2651" s="7" t="n"/>
      <c r="K2651" s="7">
        <f>IF($A2651="","",S2651*N2651)</f>
        <v/>
      </c>
      <c r="L2651" s="7">
        <f>IF($A2651="","",N2651-K2651)</f>
        <v/>
      </c>
      <c r="M2651" s="7">
        <f>IF($A2651="","",L2651-F2651)</f>
        <v/>
      </c>
      <c r="N2651" s="7" t="n"/>
      <c r="Q2651" s="11" t="n"/>
      <c r="S2651">
        <f>IF($A2651="","",IF($W2651=1,Settings!$C$6,Settings!$C$7)*1)</f>
        <v/>
      </c>
      <c r="U2651">
        <f>IF($A2651="","",IF(COUNTIF($A$2:$A2651,$A2651)=1,1,0))</f>
        <v/>
      </c>
      <c r="V2651">
        <f>IF($U2651=1,SUMPRODUCT(--($X$2:$X$3001&lt;$X2651))+1,"")</f>
        <v/>
      </c>
      <c r="W2651">
        <f>IF($A2651="","",IF(OR($T2651=TRUE(),$T2651="TRUE"),1,0))</f>
        <v/>
      </c>
      <c r="X2651">
        <f>IF($U2651=1,IFERROR(IF(VALUE($A2651)&lt;100000000,VALUE($A2651),1000000000),IFERROR(IF(VALUE(MID($A2651,2,20))&lt;100000000,VALUE(MID($A2651,2,20)),1000000000),1000000000))+ROW()/100000,"")</f>
        <v/>
      </c>
    </row>
    <row r="2652">
      <c r="F2652" s="7">
        <f>IF($A2652="","",E2652*N2652/100)</f>
        <v/>
      </c>
      <c r="J2652" s="7" t="n"/>
      <c r="K2652" s="7">
        <f>IF($A2652="","",S2652*N2652)</f>
        <v/>
      </c>
      <c r="L2652" s="7">
        <f>IF($A2652="","",N2652-K2652)</f>
        <v/>
      </c>
      <c r="M2652" s="7">
        <f>IF($A2652="","",L2652-F2652)</f>
        <v/>
      </c>
      <c r="N2652" s="7" t="n"/>
      <c r="Q2652" s="11" t="n"/>
      <c r="S2652">
        <f>IF($A2652="","",IF($W2652=1,Settings!$C$6,Settings!$C$7)*1)</f>
        <v/>
      </c>
      <c r="U2652">
        <f>IF($A2652="","",IF(COUNTIF($A$2:$A2652,$A2652)=1,1,0))</f>
        <v/>
      </c>
      <c r="V2652">
        <f>IF($U2652=1,SUMPRODUCT(--($X$2:$X$3001&lt;$X2652))+1,"")</f>
        <v/>
      </c>
      <c r="W2652">
        <f>IF($A2652="","",IF(OR($T2652=TRUE(),$T2652="TRUE"),1,0))</f>
        <v/>
      </c>
      <c r="X2652">
        <f>IF($U2652=1,IFERROR(IF(VALUE($A2652)&lt;100000000,VALUE($A2652),1000000000),IFERROR(IF(VALUE(MID($A2652,2,20))&lt;100000000,VALUE(MID($A2652,2,20)),1000000000),1000000000))+ROW()/100000,"")</f>
        <v/>
      </c>
    </row>
    <row r="2653">
      <c r="F2653" s="7">
        <f>IF($A2653="","",E2653*N2653/100)</f>
        <v/>
      </c>
      <c r="J2653" s="7" t="n"/>
      <c r="K2653" s="7">
        <f>IF($A2653="","",S2653*N2653)</f>
        <v/>
      </c>
      <c r="L2653" s="7">
        <f>IF($A2653="","",N2653-K2653)</f>
        <v/>
      </c>
      <c r="M2653" s="7">
        <f>IF($A2653="","",L2653-F2653)</f>
        <v/>
      </c>
      <c r="N2653" s="7" t="n"/>
      <c r="Q2653" s="11" t="n"/>
      <c r="S2653">
        <f>IF($A2653="","",IF($W2653=1,Settings!$C$6,Settings!$C$7)*1)</f>
        <v/>
      </c>
      <c r="U2653">
        <f>IF($A2653="","",IF(COUNTIF($A$2:$A2653,$A2653)=1,1,0))</f>
        <v/>
      </c>
      <c r="V2653">
        <f>IF($U2653=1,SUMPRODUCT(--($X$2:$X$3001&lt;$X2653))+1,"")</f>
        <v/>
      </c>
      <c r="W2653">
        <f>IF($A2653="","",IF(OR($T2653=TRUE(),$T2653="TRUE"),1,0))</f>
        <v/>
      </c>
      <c r="X2653">
        <f>IF($U2653=1,IFERROR(IF(VALUE($A2653)&lt;100000000,VALUE($A2653),1000000000),IFERROR(IF(VALUE(MID($A2653,2,20))&lt;100000000,VALUE(MID($A2653,2,20)),1000000000),1000000000))+ROW()/100000,"")</f>
        <v/>
      </c>
    </row>
    <row r="2654">
      <c r="F2654" s="7">
        <f>IF($A2654="","",E2654*N2654/100)</f>
        <v/>
      </c>
      <c r="J2654" s="7" t="n"/>
      <c r="K2654" s="7">
        <f>IF($A2654="","",S2654*N2654)</f>
        <v/>
      </c>
      <c r="L2654" s="7">
        <f>IF($A2654="","",N2654-K2654)</f>
        <v/>
      </c>
      <c r="M2654" s="7">
        <f>IF($A2654="","",L2654-F2654)</f>
        <v/>
      </c>
      <c r="N2654" s="7" t="n"/>
      <c r="Q2654" s="11" t="n"/>
      <c r="S2654">
        <f>IF($A2654="","",IF($W2654=1,Settings!$C$6,Settings!$C$7)*1)</f>
        <v/>
      </c>
      <c r="U2654">
        <f>IF($A2654="","",IF(COUNTIF($A$2:$A2654,$A2654)=1,1,0))</f>
        <v/>
      </c>
      <c r="V2654">
        <f>IF($U2654=1,SUMPRODUCT(--($X$2:$X$3001&lt;$X2654))+1,"")</f>
        <v/>
      </c>
      <c r="W2654">
        <f>IF($A2654="","",IF(OR($T2654=TRUE(),$T2654="TRUE"),1,0))</f>
        <v/>
      </c>
      <c r="X2654">
        <f>IF($U2654=1,IFERROR(IF(VALUE($A2654)&lt;100000000,VALUE($A2654),1000000000),IFERROR(IF(VALUE(MID($A2654,2,20))&lt;100000000,VALUE(MID($A2654,2,20)),1000000000),1000000000))+ROW()/100000,"")</f>
        <v/>
      </c>
    </row>
    <row r="2655">
      <c r="F2655" s="7">
        <f>IF($A2655="","",E2655*N2655/100)</f>
        <v/>
      </c>
      <c r="J2655" s="7" t="n"/>
      <c r="K2655" s="7">
        <f>IF($A2655="","",S2655*N2655)</f>
        <v/>
      </c>
      <c r="L2655" s="7">
        <f>IF($A2655="","",N2655-K2655)</f>
        <v/>
      </c>
      <c r="M2655" s="7">
        <f>IF($A2655="","",L2655-F2655)</f>
        <v/>
      </c>
      <c r="N2655" s="7" t="n"/>
      <c r="Q2655" s="11" t="n"/>
      <c r="S2655">
        <f>IF($A2655="","",IF($W2655=1,Settings!$C$6,Settings!$C$7)*1)</f>
        <v/>
      </c>
      <c r="U2655">
        <f>IF($A2655="","",IF(COUNTIF($A$2:$A2655,$A2655)=1,1,0))</f>
        <v/>
      </c>
      <c r="V2655">
        <f>IF($U2655=1,SUMPRODUCT(--($X$2:$X$3001&lt;$X2655))+1,"")</f>
        <v/>
      </c>
      <c r="W2655">
        <f>IF($A2655="","",IF(OR($T2655=TRUE(),$T2655="TRUE"),1,0))</f>
        <v/>
      </c>
      <c r="X2655">
        <f>IF($U2655=1,IFERROR(IF(VALUE($A2655)&lt;100000000,VALUE($A2655),1000000000),IFERROR(IF(VALUE(MID($A2655,2,20))&lt;100000000,VALUE(MID($A2655,2,20)),1000000000),1000000000))+ROW()/100000,"")</f>
        <v/>
      </c>
    </row>
    <row r="2656">
      <c r="F2656" s="7">
        <f>IF($A2656="","",E2656*N2656/100)</f>
        <v/>
      </c>
      <c r="J2656" s="7" t="n"/>
      <c r="K2656" s="7">
        <f>IF($A2656="","",S2656*N2656)</f>
        <v/>
      </c>
      <c r="L2656" s="7">
        <f>IF($A2656="","",N2656-K2656)</f>
        <v/>
      </c>
      <c r="M2656" s="7">
        <f>IF($A2656="","",L2656-F2656)</f>
        <v/>
      </c>
      <c r="N2656" s="7" t="n"/>
      <c r="Q2656" s="11" t="n"/>
      <c r="S2656">
        <f>IF($A2656="","",IF($W2656=1,Settings!$C$6,Settings!$C$7)*1)</f>
        <v/>
      </c>
      <c r="U2656">
        <f>IF($A2656="","",IF(COUNTIF($A$2:$A2656,$A2656)=1,1,0))</f>
        <v/>
      </c>
      <c r="V2656">
        <f>IF($U2656=1,SUMPRODUCT(--($X$2:$X$3001&lt;$X2656))+1,"")</f>
        <v/>
      </c>
      <c r="W2656">
        <f>IF($A2656="","",IF(OR($T2656=TRUE(),$T2656="TRUE"),1,0))</f>
        <v/>
      </c>
      <c r="X2656">
        <f>IF($U2656=1,IFERROR(IF(VALUE($A2656)&lt;100000000,VALUE($A2656),1000000000),IFERROR(IF(VALUE(MID($A2656,2,20))&lt;100000000,VALUE(MID($A2656,2,20)),1000000000),1000000000))+ROW()/100000,"")</f>
        <v/>
      </c>
    </row>
    <row r="2657">
      <c r="F2657" s="7">
        <f>IF($A2657="","",E2657*N2657/100)</f>
        <v/>
      </c>
      <c r="J2657" s="7" t="n"/>
      <c r="K2657" s="7">
        <f>IF($A2657="","",S2657*N2657)</f>
        <v/>
      </c>
      <c r="L2657" s="7">
        <f>IF($A2657="","",N2657-K2657)</f>
        <v/>
      </c>
      <c r="M2657" s="7">
        <f>IF($A2657="","",L2657-F2657)</f>
        <v/>
      </c>
      <c r="N2657" s="7" t="n"/>
      <c r="Q2657" s="11" t="n"/>
      <c r="S2657">
        <f>IF($A2657="","",IF($W2657=1,Settings!$C$6,Settings!$C$7)*1)</f>
        <v/>
      </c>
      <c r="U2657">
        <f>IF($A2657="","",IF(COUNTIF($A$2:$A2657,$A2657)=1,1,0))</f>
        <v/>
      </c>
      <c r="V2657">
        <f>IF($U2657=1,SUMPRODUCT(--($X$2:$X$3001&lt;$X2657))+1,"")</f>
        <v/>
      </c>
      <c r="W2657">
        <f>IF($A2657="","",IF(OR($T2657=TRUE(),$T2657="TRUE"),1,0))</f>
        <v/>
      </c>
      <c r="X2657">
        <f>IF($U2657=1,IFERROR(IF(VALUE($A2657)&lt;100000000,VALUE($A2657),1000000000),IFERROR(IF(VALUE(MID($A2657,2,20))&lt;100000000,VALUE(MID($A2657,2,20)),1000000000),1000000000))+ROW()/100000,"")</f>
        <v/>
      </c>
    </row>
    <row r="2658">
      <c r="F2658" s="7">
        <f>IF($A2658="","",E2658*N2658/100)</f>
        <v/>
      </c>
      <c r="J2658" s="7" t="n"/>
      <c r="K2658" s="7">
        <f>IF($A2658="","",S2658*N2658)</f>
        <v/>
      </c>
      <c r="L2658" s="7">
        <f>IF($A2658="","",N2658-K2658)</f>
        <v/>
      </c>
      <c r="M2658" s="7">
        <f>IF($A2658="","",L2658-F2658)</f>
        <v/>
      </c>
      <c r="N2658" s="7" t="n"/>
      <c r="Q2658" s="11" t="n"/>
      <c r="S2658">
        <f>IF($A2658="","",IF($W2658=1,Settings!$C$6,Settings!$C$7)*1)</f>
        <v/>
      </c>
      <c r="U2658">
        <f>IF($A2658="","",IF(COUNTIF($A$2:$A2658,$A2658)=1,1,0))</f>
        <v/>
      </c>
      <c r="V2658">
        <f>IF($U2658=1,SUMPRODUCT(--($X$2:$X$3001&lt;$X2658))+1,"")</f>
        <v/>
      </c>
      <c r="W2658">
        <f>IF($A2658="","",IF(OR($T2658=TRUE(),$T2658="TRUE"),1,0))</f>
        <v/>
      </c>
      <c r="X2658">
        <f>IF($U2658=1,IFERROR(IF(VALUE($A2658)&lt;100000000,VALUE($A2658),1000000000),IFERROR(IF(VALUE(MID($A2658,2,20))&lt;100000000,VALUE(MID($A2658,2,20)),1000000000),1000000000))+ROW()/100000,"")</f>
        <v/>
      </c>
    </row>
    <row r="2659">
      <c r="F2659" s="7">
        <f>IF($A2659="","",E2659*N2659/100)</f>
        <v/>
      </c>
      <c r="J2659" s="7" t="n"/>
      <c r="K2659" s="7">
        <f>IF($A2659="","",S2659*N2659)</f>
        <v/>
      </c>
      <c r="L2659" s="7">
        <f>IF($A2659="","",N2659-K2659)</f>
        <v/>
      </c>
      <c r="M2659" s="7">
        <f>IF($A2659="","",L2659-F2659)</f>
        <v/>
      </c>
      <c r="N2659" s="7" t="n"/>
      <c r="Q2659" s="11" t="n"/>
      <c r="S2659">
        <f>IF($A2659="","",IF($W2659=1,Settings!$C$6,Settings!$C$7)*1)</f>
        <v/>
      </c>
      <c r="U2659">
        <f>IF($A2659="","",IF(COUNTIF($A$2:$A2659,$A2659)=1,1,0))</f>
        <v/>
      </c>
      <c r="V2659">
        <f>IF($U2659=1,SUMPRODUCT(--($X$2:$X$3001&lt;$X2659))+1,"")</f>
        <v/>
      </c>
      <c r="W2659">
        <f>IF($A2659="","",IF(OR($T2659=TRUE(),$T2659="TRUE"),1,0))</f>
        <v/>
      </c>
      <c r="X2659">
        <f>IF($U2659=1,IFERROR(IF(VALUE($A2659)&lt;100000000,VALUE($A2659),1000000000),IFERROR(IF(VALUE(MID($A2659,2,20))&lt;100000000,VALUE(MID($A2659,2,20)),1000000000),1000000000))+ROW()/100000,"")</f>
        <v/>
      </c>
    </row>
    <row r="2660">
      <c r="F2660" s="7">
        <f>IF($A2660="","",E2660*N2660/100)</f>
        <v/>
      </c>
      <c r="J2660" s="7" t="n"/>
      <c r="K2660" s="7">
        <f>IF($A2660="","",S2660*N2660)</f>
        <v/>
      </c>
      <c r="L2660" s="7">
        <f>IF($A2660="","",N2660-K2660)</f>
        <v/>
      </c>
      <c r="M2660" s="7">
        <f>IF($A2660="","",L2660-F2660)</f>
        <v/>
      </c>
      <c r="N2660" s="7" t="n"/>
      <c r="Q2660" s="11" t="n"/>
      <c r="S2660">
        <f>IF($A2660="","",IF($W2660=1,Settings!$C$6,Settings!$C$7)*1)</f>
        <v/>
      </c>
      <c r="U2660">
        <f>IF($A2660="","",IF(COUNTIF($A$2:$A2660,$A2660)=1,1,0))</f>
        <v/>
      </c>
      <c r="V2660">
        <f>IF($U2660=1,SUMPRODUCT(--($X$2:$X$3001&lt;$X2660))+1,"")</f>
        <v/>
      </c>
      <c r="W2660">
        <f>IF($A2660="","",IF(OR($T2660=TRUE(),$T2660="TRUE"),1,0))</f>
        <v/>
      </c>
      <c r="X2660">
        <f>IF($U2660=1,IFERROR(IF(VALUE($A2660)&lt;100000000,VALUE($A2660),1000000000),IFERROR(IF(VALUE(MID($A2660,2,20))&lt;100000000,VALUE(MID($A2660,2,20)),1000000000),1000000000))+ROW()/100000,"")</f>
        <v/>
      </c>
    </row>
    <row r="2661">
      <c r="F2661" s="7">
        <f>IF($A2661="","",E2661*N2661/100)</f>
        <v/>
      </c>
      <c r="J2661" s="7" t="n"/>
      <c r="K2661" s="7">
        <f>IF($A2661="","",S2661*N2661)</f>
        <v/>
      </c>
      <c r="L2661" s="7">
        <f>IF($A2661="","",N2661-K2661)</f>
        <v/>
      </c>
      <c r="M2661" s="7">
        <f>IF($A2661="","",L2661-F2661)</f>
        <v/>
      </c>
      <c r="N2661" s="7" t="n"/>
      <c r="Q2661" s="11" t="n"/>
      <c r="S2661">
        <f>IF($A2661="","",IF($W2661=1,Settings!$C$6,Settings!$C$7)*1)</f>
        <v/>
      </c>
      <c r="U2661">
        <f>IF($A2661="","",IF(COUNTIF($A$2:$A2661,$A2661)=1,1,0))</f>
        <v/>
      </c>
      <c r="V2661">
        <f>IF($U2661=1,SUMPRODUCT(--($X$2:$X$3001&lt;$X2661))+1,"")</f>
        <v/>
      </c>
      <c r="W2661">
        <f>IF($A2661="","",IF(OR($T2661=TRUE(),$T2661="TRUE"),1,0))</f>
        <v/>
      </c>
      <c r="X2661">
        <f>IF($U2661=1,IFERROR(IF(VALUE($A2661)&lt;100000000,VALUE($A2661),1000000000),IFERROR(IF(VALUE(MID($A2661,2,20))&lt;100000000,VALUE(MID($A2661,2,20)),1000000000),1000000000))+ROW()/100000,"")</f>
        <v/>
      </c>
    </row>
    <row r="2662">
      <c r="F2662" s="7">
        <f>IF($A2662="","",E2662*N2662/100)</f>
        <v/>
      </c>
      <c r="J2662" s="7" t="n"/>
      <c r="K2662" s="7">
        <f>IF($A2662="","",S2662*N2662)</f>
        <v/>
      </c>
      <c r="L2662" s="7">
        <f>IF($A2662="","",N2662-K2662)</f>
        <v/>
      </c>
      <c r="M2662" s="7">
        <f>IF($A2662="","",L2662-F2662)</f>
        <v/>
      </c>
      <c r="N2662" s="7" t="n"/>
      <c r="Q2662" s="11" t="n"/>
      <c r="S2662">
        <f>IF($A2662="","",IF($W2662=1,Settings!$C$6,Settings!$C$7)*1)</f>
        <v/>
      </c>
      <c r="U2662">
        <f>IF($A2662="","",IF(COUNTIF($A$2:$A2662,$A2662)=1,1,0))</f>
        <v/>
      </c>
      <c r="V2662">
        <f>IF($U2662=1,SUMPRODUCT(--($X$2:$X$3001&lt;$X2662))+1,"")</f>
        <v/>
      </c>
      <c r="W2662">
        <f>IF($A2662="","",IF(OR($T2662=TRUE(),$T2662="TRUE"),1,0))</f>
        <v/>
      </c>
      <c r="X2662">
        <f>IF($U2662=1,IFERROR(IF(VALUE($A2662)&lt;100000000,VALUE($A2662),1000000000),IFERROR(IF(VALUE(MID($A2662,2,20))&lt;100000000,VALUE(MID($A2662,2,20)),1000000000),1000000000))+ROW()/100000,"")</f>
        <v/>
      </c>
    </row>
    <row r="2663">
      <c r="F2663" s="7">
        <f>IF($A2663="","",E2663*N2663/100)</f>
        <v/>
      </c>
      <c r="J2663" s="7" t="n"/>
      <c r="K2663" s="7">
        <f>IF($A2663="","",S2663*N2663)</f>
        <v/>
      </c>
      <c r="L2663" s="7">
        <f>IF($A2663="","",N2663-K2663)</f>
        <v/>
      </c>
      <c r="M2663" s="7">
        <f>IF($A2663="","",L2663-F2663)</f>
        <v/>
      </c>
      <c r="N2663" s="7" t="n"/>
      <c r="Q2663" s="11" t="n"/>
      <c r="S2663">
        <f>IF($A2663="","",IF($W2663=1,Settings!$C$6,Settings!$C$7)*1)</f>
        <v/>
      </c>
      <c r="U2663">
        <f>IF($A2663="","",IF(COUNTIF($A$2:$A2663,$A2663)=1,1,0))</f>
        <v/>
      </c>
      <c r="V2663">
        <f>IF($U2663=1,SUMPRODUCT(--($X$2:$X$3001&lt;$X2663))+1,"")</f>
        <v/>
      </c>
      <c r="W2663">
        <f>IF($A2663="","",IF(OR($T2663=TRUE(),$T2663="TRUE"),1,0))</f>
        <v/>
      </c>
      <c r="X2663">
        <f>IF($U2663=1,IFERROR(IF(VALUE($A2663)&lt;100000000,VALUE($A2663),1000000000),IFERROR(IF(VALUE(MID($A2663,2,20))&lt;100000000,VALUE(MID($A2663,2,20)),1000000000),1000000000))+ROW()/100000,"")</f>
        <v/>
      </c>
    </row>
    <row r="2664">
      <c r="F2664" s="7">
        <f>IF($A2664="","",E2664*N2664/100)</f>
        <v/>
      </c>
      <c r="J2664" s="7" t="n"/>
      <c r="K2664" s="7">
        <f>IF($A2664="","",S2664*N2664)</f>
        <v/>
      </c>
      <c r="L2664" s="7">
        <f>IF($A2664="","",N2664-K2664)</f>
        <v/>
      </c>
      <c r="M2664" s="7">
        <f>IF($A2664="","",L2664-F2664)</f>
        <v/>
      </c>
      <c r="N2664" s="7" t="n"/>
      <c r="Q2664" s="11" t="n"/>
      <c r="S2664">
        <f>IF($A2664="","",IF($W2664=1,Settings!$C$6,Settings!$C$7)*1)</f>
        <v/>
      </c>
      <c r="U2664">
        <f>IF($A2664="","",IF(COUNTIF($A$2:$A2664,$A2664)=1,1,0))</f>
        <v/>
      </c>
      <c r="V2664">
        <f>IF($U2664=1,SUMPRODUCT(--($X$2:$X$3001&lt;$X2664))+1,"")</f>
        <v/>
      </c>
      <c r="W2664">
        <f>IF($A2664="","",IF(OR($T2664=TRUE(),$T2664="TRUE"),1,0))</f>
        <v/>
      </c>
      <c r="X2664">
        <f>IF($U2664=1,IFERROR(IF(VALUE($A2664)&lt;100000000,VALUE($A2664),1000000000),IFERROR(IF(VALUE(MID($A2664,2,20))&lt;100000000,VALUE(MID($A2664,2,20)),1000000000),1000000000))+ROW()/100000,"")</f>
        <v/>
      </c>
    </row>
    <row r="2665">
      <c r="F2665" s="7">
        <f>IF($A2665="","",E2665*N2665/100)</f>
        <v/>
      </c>
      <c r="J2665" s="7" t="n"/>
      <c r="K2665" s="7">
        <f>IF($A2665="","",S2665*N2665)</f>
        <v/>
      </c>
      <c r="L2665" s="7">
        <f>IF($A2665="","",N2665-K2665)</f>
        <v/>
      </c>
      <c r="M2665" s="7">
        <f>IF($A2665="","",L2665-F2665)</f>
        <v/>
      </c>
      <c r="N2665" s="7" t="n"/>
      <c r="Q2665" s="11" t="n"/>
      <c r="S2665">
        <f>IF($A2665="","",IF($W2665=1,Settings!$C$6,Settings!$C$7)*1)</f>
        <v/>
      </c>
      <c r="U2665">
        <f>IF($A2665="","",IF(COUNTIF($A$2:$A2665,$A2665)=1,1,0))</f>
        <v/>
      </c>
      <c r="V2665">
        <f>IF($U2665=1,SUMPRODUCT(--($X$2:$X$3001&lt;$X2665))+1,"")</f>
        <v/>
      </c>
      <c r="W2665">
        <f>IF($A2665="","",IF(OR($T2665=TRUE(),$T2665="TRUE"),1,0))</f>
        <v/>
      </c>
      <c r="X2665">
        <f>IF($U2665=1,IFERROR(IF(VALUE($A2665)&lt;100000000,VALUE($A2665),1000000000),IFERROR(IF(VALUE(MID($A2665,2,20))&lt;100000000,VALUE(MID($A2665,2,20)),1000000000),1000000000))+ROW()/100000,"")</f>
        <v/>
      </c>
    </row>
    <row r="2666">
      <c r="F2666" s="7">
        <f>IF($A2666="","",E2666*N2666/100)</f>
        <v/>
      </c>
      <c r="J2666" s="7" t="n"/>
      <c r="K2666" s="7">
        <f>IF($A2666="","",S2666*N2666)</f>
        <v/>
      </c>
      <c r="L2666" s="7">
        <f>IF($A2666="","",N2666-K2666)</f>
        <v/>
      </c>
      <c r="M2666" s="7">
        <f>IF($A2666="","",L2666-F2666)</f>
        <v/>
      </c>
      <c r="N2666" s="7" t="n"/>
      <c r="Q2666" s="11" t="n"/>
      <c r="S2666">
        <f>IF($A2666="","",IF($W2666=1,Settings!$C$6,Settings!$C$7)*1)</f>
        <v/>
      </c>
      <c r="U2666">
        <f>IF($A2666="","",IF(COUNTIF($A$2:$A2666,$A2666)=1,1,0))</f>
        <v/>
      </c>
      <c r="V2666">
        <f>IF($U2666=1,SUMPRODUCT(--($X$2:$X$3001&lt;$X2666))+1,"")</f>
        <v/>
      </c>
      <c r="W2666">
        <f>IF($A2666="","",IF(OR($T2666=TRUE(),$T2666="TRUE"),1,0))</f>
        <v/>
      </c>
      <c r="X2666">
        <f>IF($U2666=1,IFERROR(IF(VALUE($A2666)&lt;100000000,VALUE($A2666),1000000000),IFERROR(IF(VALUE(MID($A2666,2,20))&lt;100000000,VALUE(MID($A2666,2,20)),1000000000),1000000000))+ROW()/100000,"")</f>
        <v/>
      </c>
    </row>
    <row r="2667">
      <c r="F2667" s="7">
        <f>IF($A2667="","",E2667*N2667/100)</f>
        <v/>
      </c>
      <c r="J2667" s="7" t="n"/>
      <c r="K2667" s="7">
        <f>IF($A2667="","",S2667*N2667)</f>
        <v/>
      </c>
      <c r="L2667" s="7">
        <f>IF($A2667="","",N2667-K2667)</f>
        <v/>
      </c>
      <c r="M2667" s="7">
        <f>IF($A2667="","",L2667-F2667)</f>
        <v/>
      </c>
      <c r="N2667" s="7" t="n"/>
      <c r="Q2667" s="11" t="n"/>
      <c r="S2667">
        <f>IF($A2667="","",IF($W2667=1,Settings!$C$6,Settings!$C$7)*1)</f>
        <v/>
      </c>
      <c r="U2667">
        <f>IF($A2667="","",IF(COUNTIF($A$2:$A2667,$A2667)=1,1,0))</f>
        <v/>
      </c>
      <c r="V2667">
        <f>IF($U2667=1,SUMPRODUCT(--($X$2:$X$3001&lt;$X2667))+1,"")</f>
        <v/>
      </c>
      <c r="W2667">
        <f>IF($A2667="","",IF(OR($T2667=TRUE(),$T2667="TRUE"),1,0))</f>
        <v/>
      </c>
      <c r="X2667">
        <f>IF($U2667=1,IFERROR(IF(VALUE($A2667)&lt;100000000,VALUE($A2667),1000000000),IFERROR(IF(VALUE(MID($A2667,2,20))&lt;100000000,VALUE(MID($A2667,2,20)),1000000000),1000000000))+ROW()/100000,"")</f>
        <v/>
      </c>
    </row>
    <row r="2668">
      <c r="F2668" s="7">
        <f>IF($A2668="","",E2668*N2668/100)</f>
        <v/>
      </c>
      <c r="J2668" s="7" t="n"/>
      <c r="K2668" s="7">
        <f>IF($A2668="","",S2668*N2668)</f>
        <v/>
      </c>
      <c r="L2668" s="7">
        <f>IF($A2668="","",N2668-K2668)</f>
        <v/>
      </c>
      <c r="M2668" s="7">
        <f>IF($A2668="","",L2668-F2668)</f>
        <v/>
      </c>
      <c r="N2668" s="7" t="n"/>
      <c r="Q2668" s="11" t="n"/>
      <c r="S2668">
        <f>IF($A2668="","",IF($W2668=1,Settings!$C$6,Settings!$C$7)*1)</f>
        <v/>
      </c>
      <c r="U2668">
        <f>IF($A2668="","",IF(COUNTIF($A$2:$A2668,$A2668)=1,1,0))</f>
        <v/>
      </c>
      <c r="V2668">
        <f>IF($U2668=1,SUMPRODUCT(--($X$2:$X$3001&lt;$X2668))+1,"")</f>
        <v/>
      </c>
      <c r="W2668">
        <f>IF($A2668="","",IF(OR($T2668=TRUE(),$T2668="TRUE"),1,0))</f>
        <v/>
      </c>
      <c r="X2668">
        <f>IF($U2668=1,IFERROR(IF(VALUE($A2668)&lt;100000000,VALUE($A2668),1000000000),IFERROR(IF(VALUE(MID($A2668,2,20))&lt;100000000,VALUE(MID($A2668,2,20)),1000000000),1000000000))+ROW()/100000,"")</f>
        <v/>
      </c>
    </row>
    <row r="2669">
      <c r="F2669" s="7">
        <f>IF($A2669="","",E2669*N2669/100)</f>
        <v/>
      </c>
      <c r="J2669" s="7" t="n"/>
      <c r="K2669" s="7">
        <f>IF($A2669="","",S2669*N2669)</f>
        <v/>
      </c>
      <c r="L2669" s="7">
        <f>IF($A2669="","",N2669-K2669)</f>
        <v/>
      </c>
      <c r="M2669" s="7">
        <f>IF($A2669="","",L2669-F2669)</f>
        <v/>
      </c>
      <c r="N2669" s="7" t="n"/>
      <c r="Q2669" s="11" t="n"/>
      <c r="S2669">
        <f>IF($A2669="","",IF($W2669=1,Settings!$C$6,Settings!$C$7)*1)</f>
        <v/>
      </c>
      <c r="U2669">
        <f>IF($A2669="","",IF(COUNTIF($A$2:$A2669,$A2669)=1,1,0))</f>
        <v/>
      </c>
      <c r="V2669">
        <f>IF($U2669=1,SUMPRODUCT(--($X$2:$X$3001&lt;$X2669))+1,"")</f>
        <v/>
      </c>
      <c r="W2669">
        <f>IF($A2669="","",IF(OR($T2669=TRUE(),$T2669="TRUE"),1,0))</f>
        <v/>
      </c>
      <c r="X2669">
        <f>IF($U2669=1,IFERROR(IF(VALUE($A2669)&lt;100000000,VALUE($A2669),1000000000),IFERROR(IF(VALUE(MID($A2669,2,20))&lt;100000000,VALUE(MID($A2669,2,20)),1000000000),1000000000))+ROW()/100000,"")</f>
        <v/>
      </c>
    </row>
    <row r="2670">
      <c r="F2670" s="7">
        <f>IF($A2670="","",E2670*N2670/100)</f>
        <v/>
      </c>
      <c r="J2670" s="7" t="n"/>
      <c r="K2670" s="7">
        <f>IF($A2670="","",S2670*N2670)</f>
        <v/>
      </c>
      <c r="L2670" s="7">
        <f>IF($A2670="","",N2670-K2670)</f>
        <v/>
      </c>
      <c r="M2670" s="7">
        <f>IF($A2670="","",L2670-F2670)</f>
        <v/>
      </c>
      <c r="N2670" s="7" t="n"/>
      <c r="Q2670" s="11" t="n"/>
      <c r="S2670">
        <f>IF($A2670="","",IF($W2670=1,Settings!$C$6,Settings!$C$7)*1)</f>
        <v/>
      </c>
      <c r="U2670">
        <f>IF($A2670="","",IF(COUNTIF($A$2:$A2670,$A2670)=1,1,0))</f>
        <v/>
      </c>
      <c r="V2670">
        <f>IF($U2670=1,SUMPRODUCT(--($X$2:$X$3001&lt;$X2670))+1,"")</f>
        <v/>
      </c>
      <c r="W2670">
        <f>IF($A2670="","",IF(OR($T2670=TRUE(),$T2670="TRUE"),1,0))</f>
        <v/>
      </c>
      <c r="X2670">
        <f>IF($U2670=1,IFERROR(IF(VALUE($A2670)&lt;100000000,VALUE($A2670),1000000000),IFERROR(IF(VALUE(MID($A2670,2,20))&lt;100000000,VALUE(MID($A2670,2,20)),1000000000),1000000000))+ROW()/100000,"")</f>
        <v/>
      </c>
    </row>
    <row r="2671">
      <c r="F2671" s="7">
        <f>IF($A2671="","",E2671*N2671/100)</f>
        <v/>
      </c>
      <c r="J2671" s="7" t="n"/>
      <c r="K2671" s="7">
        <f>IF($A2671="","",S2671*N2671)</f>
        <v/>
      </c>
      <c r="L2671" s="7">
        <f>IF($A2671="","",N2671-K2671)</f>
        <v/>
      </c>
      <c r="M2671" s="7">
        <f>IF($A2671="","",L2671-F2671)</f>
        <v/>
      </c>
      <c r="N2671" s="7" t="n"/>
      <c r="Q2671" s="11" t="n"/>
      <c r="S2671">
        <f>IF($A2671="","",IF($W2671=1,Settings!$C$6,Settings!$C$7)*1)</f>
        <v/>
      </c>
      <c r="U2671">
        <f>IF($A2671="","",IF(COUNTIF($A$2:$A2671,$A2671)=1,1,0))</f>
        <v/>
      </c>
      <c r="V2671">
        <f>IF($U2671=1,SUMPRODUCT(--($X$2:$X$3001&lt;$X2671))+1,"")</f>
        <v/>
      </c>
      <c r="W2671">
        <f>IF($A2671="","",IF(OR($T2671=TRUE(),$T2671="TRUE"),1,0))</f>
        <v/>
      </c>
      <c r="X2671">
        <f>IF($U2671=1,IFERROR(IF(VALUE($A2671)&lt;100000000,VALUE($A2671),1000000000),IFERROR(IF(VALUE(MID($A2671,2,20))&lt;100000000,VALUE(MID($A2671,2,20)),1000000000),1000000000))+ROW()/100000,"")</f>
        <v/>
      </c>
    </row>
    <row r="2672">
      <c r="F2672" s="7">
        <f>IF($A2672="","",E2672*N2672/100)</f>
        <v/>
      </c>
      <c r="J2672" s="7" t="n"/>
      <c r="K2672" s="7">
        <f>IF($A2672="","",S2672*N2672)</f>
        <v/>
      </c>
      <c r="L2672" s="7">
        <f>IF($A2672="","",N2672-K2672)</f>
        <v/>
      </c>
      <c r="M2672" s="7">
        <f>IF($A2672="","",L2672-F2672)</f>
        <v/>
      </c>
      <c r="N2672" s="7" t="n"/>
      <c r="Q2672" s="11" t="n"/>
      <c r="S2672">
        <f>IF($A2672="","",IF($W2672=1,Settings!$C$6,Settings!$C$7)*1)</f>
        <v/>
      </c>
      <c r="U2672">
        <f>IF($A2672="","",IF(COUNTIF($A$2:$A2672,$A2672)=1,1,0))</f>
        <v/>
      </c>
      <c r="V2672">
        <f>IF($U2672=1,SUMPRODUCT(--($X$2:$X$3001&lt;$X2672))+1,"")</f>
        <v/>
      </c>
      <c r="W2672">
        <f>IF($A2672="","",IF(OR($T2672=TRUE(),$T2672="TRUE"),1,0))</f>
        <v/>
      </c>
      <c r="X2672">
        <f>IF($U2672=1,IFERROR(IF(VALUE($A2672)&lt;100000000,VALUE($A2672),1000000000),IFERROR(IF(VALUE(MID($A2672,2,20))&lt;100000000,VALUE(MID($A2672,2,20)),1000000000),1000000000))+ROW()/100000,"")</f>
        <v/>
      </c>
    </row>
    <row r="2673">
      <c r="F2673" s="7">
        <f>IF($A2673="","",E2673*N2673/100)</f>
        <v/>
      </c>
      <c r="J2673" s="7" t="n"/>
      <c r="K2673" s="7">
        <f>IF($A2673="","",S2673*N2673)</f>
        <v/>
      </c>
      <c r="L2673" s="7">
        <f>IF($A2673="","",N2673-K2673)</f>
        <v/>
      </c>
      <c r="M2673" s="7">
        <f>IF($A2673="","",L2673-F2673)</f>
        <v/>
      </c>
      <c r="N2673" s="7" t="n"/>
      <c r="Q2673" s="11" t="n"/>
      <c r="S2673">
        <f>IF($A2673="","",IF($W2673=1,Settings!$C$6,Settings!$C$7)*1)</f>
        <v/>
      </c>
      <c r="U2673">
        <f>IF($A2673="","",IF(COUNTIF($A$2:$A2673,$A2673)=1,1,0))</f>
        <v/>
      </c>
      <c r="V2673">
        <f>IF($U2673=1,SUMPRODUCT(--($X$2:$X$3001&lt;$X2673))+1,"")</f>
        <v/>
      </c>
      <c r="W2673">
        <f>IF($A2673="","",IF(OR($T2673=TRUE(),$T2673="TRUE"),1,0))</f>
        <v/>
      </c>
      <c r="X2673">
        <f>IF($U2673=1,IFERROR(IF(VALUE($A2673)&lt;100000000,VALUE($A2673),1000000000),IFERROR(IF(VALUE(MID($A2673,2,20))&lt;100000000,VALUE(MID($A2673,2,20)),1000000000),1000000000))+ROW()/100000,"")</f>
        <v/>
      </c>
    </row>
    <row r="2674">
      <c r="F2674" s="7">
        <f>IF($A2674="","",E2674*N2674/100)</f>
        <v/>
      </c>
      <c r="J2674" s="7" t="n"/>
      <c r="K2674" s="7">
        <f>IF($A2674="","",S2674*N2674)</f>
        <v/>
      </c>
      <c r="L2674" s="7">
        <f>IF($A2674="","",N2674-K2674)</f>
        <v/>
      </c>
      <c r="M2674" s="7">
        <f>IF($A2674="","",L2674-F2674)</f>
        <v/>
      </c>
      <c r="N2674" s="7" t="n"/>
      <c r="Q2674" s="11" t="n"/>
      <c r="S2674">
        <f>IF($A2674="","",IF($W2674=1,Settings!$C$6,Settings!$C$7)*1)</f>
        <v/>
      </c>
      <c r="U2674">
        <f>IF($A2674="","",IF(COUNTIF($A$2:$A2674,$A2674)=1,1,0))</f>
        <v/>
      </c>
      <c r="V2674">
        <f>IF($U2674=1,SUMPRODUCT(--($X$2:$X$3001&lt;$X2674))+1,"")</f>
        <v/>
      </c>
      <c r="W2674">
        <f>IF($A2674="","",IF(OR($T2674=TRUE(),$T2674="TRUE"),1,0))</f>
        <v/>
      </c>
      <c r="X2674">
        <f>IF($U2674=1,IFERROR(IF(VALUE($A2674)&lt;100000000,VALUE($A2674),1000000000),IFERROR(IF(VALUE(MID($A2674,2,20))&lt;100000000,VALUE(MID($A2674,2,20)),1000000000),1000000000))+ROW()/100000,"")</f>
        <v/>
      </c>
    </row>
    <row r="2675">
      <c r="F2675" s="7">
        <f>IF($A2675="","",E2675*N2675/100)</f>
        <v/>
      </c>
      <c r="J2675" s="7" t="n"/>
      <c r="K2675" s="7">
        <f>IF($A2675="","",S2675*N2675)</f>
        <v/>
      </c>
      <c r="L2675" s="7">
        <f>IF($A2675="","",N2675-K2675)</f>
        <v/>
      </c>
      <c r="M2675" s="7">
        <f>IF($A2675="","",L2675-F2675)</f>
        <v/>
      </c>
      <c r="N2675" s="7" t="n"/>
      <c r="Q2675" s="11" t="n"/>
      <c r="S2675">
        <f>IF($A2675="","",IF($W2675=1,Settings!$C$6,Settings!$C$7)*1)</f>
        <v/>
      </c>
      <c r="U2675">
        <f>IF($A2675="","",IF(COUNTIF($A$2:$A2675,$A2675)=1,1,0))</f>
        <v/>
      </c>
      <c r="V2675">
        <f>IF($U2675=1,SUMPRODUCT(--($X$2:$X$3001&lt;$X2675))+1,"")</f>
        <v/>
      </c>
      <c r="W2675">
        <f>IF($A2675="","",IF(OR($T2675=TRUE(),$T2675="TRUE"),1,0))</f>
        <v/>
      </c>
      <c r="X2675">
        <f>IF($U2675=1,IFERROR(IF(VALUE($A2675)&lt;100000000,VALUE($A2675),1000000000),IFERROR(IF(VALUE(MID($A2675,2,20))&lt;100000000,VALUE(MID($A2675,2,20)),1000000000),1000000000))+ROW()/100000,"")</f>
        <v/>
      </c>
    </row>
    <row r="2676">
      <c r="F2676" s="7">
        <f>IF($A2676="","",E2676*N2676/100)</f>
        <v/>
      </c>
      <c r="J2676" s="7" t="n"/>
      <c r="K2676" s="7">
        <f>IF($A2676="","",S2676*N2676)</f>
        <v/>
      </c>
      <c r="L2676" s="7">
        <f>IF($A2676="","",N2676-K2676)</f>
        <v/>
      </c>
      <c r="M2676" s="7">
        <f>IF($A2676="","",L2676-F2676)</f>
        <v/>
      </c>
      <c r="N2676" s="7" t="n"/>
      <c r="Q2676" s="11" t="n"/>
      <c r="S2676">
        <f>IF($A2676="","",IF($W2676=1,Settings!$C$6,Settings!$C$7)*1)</f>
        <v/>
      </c>
      <c r="U2676">
        <f>IF($A2676="","",IF(COUNTIF($A$2:$A2676,$A2676)=1,1,0))</f>
        <v/>
      </c>
      <c r="V2676">
        <f>IF($U2676=1,SUMPRODUCT(--($X$2:$X$3001&lt;$X2676))+1,"")</f>
        <v/>
      </c>
      <c r="W2676">
        <f>IF($A2676="","",IF(OR($T2676=TRUE(),$T2676="TRUE"),1,0))</f>
        <v/>
      </c>
      <c r="X2676">
        <f>IF($U2676=1,IFERROR(IF(VALUE($A2676)&lt;100000000,VALUE($A2676),1000000000),IFERROR(IF(VALUE(MID($A2676,2,20))&lt;100000000,VALUE(MID($A2676,2,20)),1000000000),1000000000))+ROW()/100000,"")</f>
        <v/>
      </c>
    </row>
    <row r="2677">
      <c r="F2677" s="7">
        <f>IF($A2677="","",E2677*N2677/100)</f>
        <v/>
      </c>
      <c r="J2677" s="7" t="n"/>
      <c r="K2677" s="7">
        <f>IF($A2677="","",S2677*N2677)</f>
        <v/>
      </c>
      <c r="L2677" s="7">
        <f>IF($A2677="","",N2677-K2677)</f>
        <v/>
      </c>
      <c r="M2677" s="7">
        <f>IF($A2677="","",L2677-F2677)</f>
        <v/>
      </c>
      <c r="N2677" s="7" t="n"/>
      <c r="Q2677" s="11" t="n"/>
      <c r="S2677">
        <f>IF($A2677="","",IF($W2677=1,Settings!$C$6,Settings!$C$7)*1)</f>
        <v/>
      </c>
      <c r="U2677">
        <f>IF($A2677="","",IF(COUNTIF($A$2:$A2677,$A2677)=1,1,0))</f>
        <v/>
      </c>
      <c r="V2677">
        <f>IF($U2677=1,SUMPRODUCT(--($X$2:$X$3001&lt;$X2677))+1,"")</f>
        <v/>
      </c>
      <c r="W2677">
        <f>IF($A2677="","",IF(OR($T2677=TRUE(),$T2677="TRUE"),1,0))</f>
        <v/>
      </c>
      <c r="X2677">
        <f>IF($U2677=1,IFERROR(IF(VALUE($A2677)&lt;100000000,VALUE($A2677),1000000000),IFERROR(IF(VALUE(MID($A2677,2,20))&lt;100000000,VALUE(MID($A2677,2,20)),1000000000),1000000000))+ROW()/100000,"")</f>
        <v/>
      </c>
    </row>
    <row r="2678">
      <c r="F2678" s="7">
        <f>IF($A2678="","",E2678*N2678/100)</f>
        <v/>
      </c>
      <c r="J2678" s="7" t="n"/>
      <c r="K2678" s="7">
        <f>IF($A2678="","",S2678*N2678)</f>
        <v/>
      </c>
      <c r="L2678" s="7">
        <f>IF($A2678="","",N2678-K2678)</f>
        <v/>
      </c>
      <c r="M2678" s="7">
        <f>IF($A2678="","",L2678-F2678)</f>
        <v/>
      </c>
      <c r="N2678" s="7" t="n"/>
      <c r="Q2678" s="11" t="n"/>
      <c r="S2678">
        <f>IF($A2678="","",IF($W2678=1,Settings!$C$6,Settings!$C$7)*1)</f>
        <v/>
      </c>
      <c r="U2678">
        <f>IF($A2678="","",IF(COUNTIF($A$2:$A2678,$A2678)=1,1,0))</f>
        <v/>
      </c>
      <c r="V2678">
        <f>IF($U2678=1,SUMPRODUCT(--($X$2:$X$3001&lt;$X2678))+1,"")</f>
        <v/>
      </c>
      <c r="W2678">
        <f>IF($A2678="","",IF(OR($T2678=TRUE(),$T2678="TRUE"),1,0))</f>
        <v/>
      </c>
      <c r="X2678">
        <f>IF($U2678=1,IFERROR(IF(VALUE($A2678)&lt;100000000,VALUE($A2678),1000000000),IFERROR(IF(VALUE(MID($A2678,2,20))&lt;100000000,VALUE(MID($A2678,2,20)),1000000000),1000000000))+ROW()/100000,"")</f>
        <v/>
      </c>
    </row>
    <row r="2679">
      <c r="F2679" s="7">
        <f>IF($A2679="","",E2679*N2679/100)</f>
        <v/>
      </c>
      <c r="J2679" s="7" t="n"/>
      <c r="K2679" s="7">
        <f>IF($A2679="","",S2679*N2679)</f>
        <v/>
      </c>
      <c r="L2679" s="7">
        <f>IF($A2679="","",N2679-K2679)</f>
        <v/>
      </c>
      <c r="M2679" s="7">
        <f>IF($A2679="","",L2679-F2679)</f>
        <v/>
      </c>
      <c r="N2679" s="7" t="n"/>
      <c r="Q2679" s="11" t="n"/>
      <c r="S2679">
        <f>IF($A2679="","",IF($W2679=1,Settings!$C$6,Settings!$C$7)*1)</f>
        <v/>
      </c>
      <c r="U2679">
        <f>IF($A2679="","",IF(COUNTIF($A$2:$A2679,$A2679)=1,1,0))</f>
        <v/>
      </c>
      <c r="V2679">
        <f>IF($U2679=1,SUMPRODUCT(--($X$2:$X$3001&lt;$X2679))+1,"")</f>
        <v/>
      </c>
      <c r="W2679">
        <f>IF($A2679="","",IF(OR($T2679=TRUE(),$T2679="TRUE"),1,0))</f>
        <v/>
      </c>
      <c r="X2679">
        <f>IF($U2679=1,IFERROR(IF(VALUE($A2679)&lt;100000000,VALUE($A2679),1000000000),IFERROR(IF(VALUE(MID($A2679,2,20))&lt;100000000,VALUE(MID($A2679,2,20)),1000000000),1000000000))+ROW()/100000,"")</f>
        <v/>
      </c>
    </row>
    <row r="2680">
      <c r="F2680" s="7">
        <f>IF($A2680="","",E2680*N2680/100)</f>
        <v/>
      </c>
      <c r="J2680" s="7" t="n"/>
      <c r="K2680" s="7">
        <f>IF($A2680="","",S2680*N2680)</f>
        <v/>
      </c>
      <c r="L2680" s="7">
        <f>IF($A2680="","",N2680-K2680)</f>
        <v/>
      </c>
      <c r="M2680" s="7">
        <f>IF($A2680="","",L2680-F2680)</f>
        <v/>
      </c>
      <c r="N2680" s="7" t="n"/>
      <c r="Q2680" s="11" t="n"/>
      <c r="S2680">
        <f>IF($A2680="","",IF($W2680=1,Settings!$C$6,Settings!$C$7)*1)</f>
        <v/>
      </c>
      <c r="U2680">
        <f>IF($A2680="","",IF(COUNTIF($A$2:$A2680,$A2680)=1,1,0))</f>
        <v/>
      </c>
      <c r="V2680">
        <f>IF($U2680=1,SUMPRODUCT(--($X$2:$X$3001&lt;$X2680))+1,"")</f>
        <v/>
      </c>
      <c r="W2680">
        <f>IF($A2680="","",IF(OR($T2680=TRUE(),$T2680="TRUE"),1,0))</f>
        <v/>
      </c>
      <c r="X2680">
        <f>IF($U2680=1,IFERROR(IF(VALUE($A2680)&lt;100000000,VALUE($A2680),1000000000),IFERROR(IF(VALUE(MID($A2680,2,20))&lt;100000000,VALUE(MID($A2680,2,20)),1000000000),1000000000))+ROW()/100000,"")</f>
        <v/>
      </c>
    </row>
    <row r="2681">
      <c r="F2681" s="7">
        <f>IF($A2681="","",E2681*N2681/100)</f>
        <v/>
      </c>
      <c r="J2681" s="7" t="n"/>
      <c r="K2681" s="7">
        <f>IF($A2681="","",S2681*N2681)</f>
        <v/>
      </c>
      <c r="L2681" s="7">
        <f>IF($A2681="","",N2681-K2681)</f>
        <v/>
      </c>
      <c r="M2681" s="7">
        <f>IF($A2681="","",L2681-F2681)</f>
        <v/>
      </c>
      <c r="N2681" s="7" t="n"/>
      <c r="Q2681" s="11" t="n"/>
      <c r="S2681">
        <f>IF($A2681="","",IF($W2681=1,Settings!$C$6,Settings!$C$7)*1)</f>
        <v/>
      </c>
      <c r="U2681">
        <f>IF($A2681="","",IF(COUNTIF($A$2:$A2681,$A2681)=1,1,0))</f>
        <v/>
      </c>
      <c r="V2681">
        <f>IF($U2681=1,SUMPRODUCT(--($X$2:$X$3001&lt;$X2681))+1,"")</f>
        <v/>
      </c>
      <c r="W2681">
        <f>IF($A2681="","",IF(OR($T2681=TRUE(),$T2681="TRUE"),1,0))</f>
        <v/>
      </c>
      <c r="X2681">
        <f>IF($U2681=1,IFERROR(IF(VALUE($A2681)&lt;100000000,VALUE($A2681),1000000000),IFERROR(IF(VALUE(MID($A2681,2,20))&lt;100000000,VALUE(MID($A2681,2,20)),1000000000),1000000000))+ROW()/100000,"")</f>
        <v/>
      </c>
    </row>
    <row r="2682">
      <c r="F2682" s="7">
        <f>IF($A2682="","",E2682*N2682/100)</f>
        <v/>
      </c>
      <c r="J2682" s="7" t="n"/>
      <c r="K2682" s="7">
        <f>IF($A2682="","",S2682*N2682)</f>
        <v/>
      </c>
      <c r="L2682" s="7">
        <f>IF($A2682="","",N2682-K2682)</f>
        <v/>
      </c>
      <c r="M2682" s="7">
        <f>IF($A2682="","",L2682-F2682)</f>
        <v/>
      </c>
      <c r="N2682" s="7" t="n"/>
      <c r="Q2682" s="11" t="n"/>
      <c r="S2682">
        <f>IF($A2682="","",IF($W2682=1,Settings!$C$6,Settings!$C$7)*1)</f>
        <v/>
      </c>
      <c r="U2682">
        <f>IF($A2682="","",IF(COUNTIF($A$2:$A2682,$A2682)=1,1,0))</f>
        <v/>
      </c>
      <c r="V2682">
        <f>IF($U2682=1,SUMPRODUCT(--($X$2:$X$3001&lt;$X2682))+1,"")</f>
        <v/>
      </c>
      <c r="W2682">
        <f>IF($A2682="","",IF(OR($T2682=TRUE(),$T2682="TRUE"),1,0))</f>
        <v/>
      </c>
      <c r="X2682">
        <f>IF($U2682=1,IFERROR(IF(VALUE($A2682)&lt;100000000,VALUE($A2682),1000000000),IFERROR(IF(VALUE(MID($A2682,2,20))&lt;100000000,VALUE(MID($A2682,2,20)),1000000000),1000000000))+ROW()/100000,"")</f>
        <v/>
      </c>
    </row>
    <row r="2683">
      <c r="F2683" s="7">
        <f>IF($A2683="","",E2683*N2683/100)</f>
        <v/>
      </c>
      <c r="J2683" s="7" t="n"/>
      <c r="K2683" s="7">
        <f>IF($A2683="","",S2683*N2683)</f>
        <v/>
      </c>
      <c r="L2683" s="7">
        <f>IF($A2683="","",N2683-K2683)</f>
        <v/>
      </c>
      <c r="M2683" s="7">
        <f>IF($A2683="","",L2683-F2683)</f>
        <v/>
      </c>
      <c r="N2683" s="7" t="n"/>
      <c r="Q2683" s="11" t="n"/>
      <c r="S2683">
        <f>IF($A2683="","",IF($W2683=1,Settings!$C$6,Settings!$C$7)*1)</f>
        <v/>
      </c>
      <c r="U2683">
        <f>IF($A2683="","",IF(COUNTIF($A$2:$A2683,$A2683)=1,1,0))</f>
        <v/>
      </c>
      <c r="V2683">
        <f>IF($U2683=1,SUMPRODUCT(--($X$2:$X$3001&lt;$X2683))+1,"")</f>
        <v/>
      </c>
      <c r="W2683">
        <f>IF($A2683="","",IF(OR($T2683=TRUE(),$T2683="TRUE"),1,0))</f>
        <v/>
      </c>
      <c r="X2683">
        <f>IF($U2683=1,IFERROR(IF(VALUE($A2683)&lt;100000000,VALUE($A2683),1000000000),IFERROR(IF(VALUE(MID($A2683,2,20))&lt;100000000,VALUE(MID($A2683,2,20)),1000000000),1000000000))+ROW()/100000,"")</f>
        <v/>
      </c>
    </row>
    <row r="2684">
      <c r="F2684" s="7">
        <f>IF($A2684="","",E2684*N2684/100)</f>
        <v/>
      </c>
      <c r="J2684" s="7" t="n"/>
      <c r="K2684" s="7">
        <f>IF($A2684="","",S2684*N2684)</f>
        <v/>
      </c>
      <c r="L2684" s="7">
        <f>IF($A2684="","",N2684-K2684)</f>
        <v/>
      </c>
      <c r="M2684" s="7">
        <f>IF($A2684="","",L2684-F2684)</f>
        <v/>
      </c>
      <c r="N2684" s="7" t="n"/>
      <c r="Q2684" s="11" t="n"/>
      <c r="S2684">
        <f>IF($A2684="","",IF($W2684=1,Settings!$C$6,Settings!$C$7)*1)</f>
        <v/>
      </c>
      <c r="U2684">
        <f>IF($A2684="","",IF(COUNTIF($A$2:$A2684,$A2684)=1,1,0))</f>
        <v/>
      </c>
      <c r="V2684">
        <f>IF($U2684=1,SUMPRODUCT(--($X$2:$X$3001&lt;$X2684))+1,"")</f>
        <v/>
      </c>
      <c r="W2684">
        <f>IF($A2684="","",IF(OR($T2684=TRUE(),$T2684="TRUE"),1,0))</f>
        <v/>
      </c>
      <c r="X2684">
        <f>IF($U2684=1,IFERROR(IF(VALUE($A2684)&lt;100000000,VALUE($A2684),1000000000),IFERROR(IF(VALUE(MID($A2684,2,20))&lt;100000000,VALUE(MID($A2684,2,20)),1000000000),1000000000))+ROW()/100000,"")</f>
        <v/>
      </c>
    </row>
    <row r="2685">
      <c r="F2685" s="7">
        <f>IF($A2685="","",E2685*N2685/100)</f>
        <v/>
      </c>
      <c r="J2685" s="7" t="n"/>
      <c r="K2685" s="7">
        <f>IF($A2685="","",S2685*N2685)</f>
        <v/>
      </c>
      <c r="L2685" s="7">
        <f>IF($A2685="","",N2685-K2685)</f>
        <v/>
      </c>
      <c r="M2685" s="7">
        <f>IF($A2685="","",L2685-F2685)</f>
        <v/>
      </c>
      <c r="N2685" s="7" t="n"/>
      <c r="Q2685" s="11" t="n"/>
      <c r="S2685">
        <f>IF($A2685="","",IF($W2685=1,Settings!$C$6,Settings!$C$7)*1)</f>
        <v/>
      </c>
      <c r="U2685">
        <f>IF($A2685="","",IF(COUNTIF($A$2:$A2685,$A2685)=1,1,0))</f>
        <v/>
      </c>
      <c r="V2685">
        <f>IF($U2685=1,SUMPRODUCT(--($X$2:$X$3001&lt;$X2685))+1,"")</f>
        <v/>
      </c>
      <c r="W2685">
        <f>IF($A2685="","",IF(OR($T2685=TRUE(),$T2685="TRUE"),1,0))</f>
        <v/>
      </c>
      <c r="X2685">
        <f>IF($U2685=1,IFERROR(IF(VALUE($A2685)&lt;100000000,VALUE($A2685),1000000000),IFERROR(IF(VALUE(MID($A2685,2,20))&lt;100000000,VALUE(MID($A2685,2,20)),1000000000),1000000000))+ROW()/100000,"")</f>
        <v/>
      </c>
    </row>
    <row r="2686">
      <c r="F2686" s="7">
        <f>IF($A2686="","",E2686*N2686/100)</f>
        <v/>
      </c>
      <c r="J2686" s="7" t="n"/>
      <c r="K2686" s="7">
        <f>IF($A2686="","",S2686*N2686)</f>
        <v/>
      </c>
      <c r="L2686" s="7">
        <f>IF($A2686="","",N2686-K2686)</f>
        <v/>
      </c>
      <c r="M2686" s="7">
        <f>IF($A2686="","",L2686-F2686)</f>
        <v/>
      </c>
      <c r="N2686" s="7" t="n"/>
      <c r="Q2686" s="11" t="n"/>
      <c r="S2686">
        <f>IF($A2686="","",IF($W2686=1,Settings!$C$6,Settings!$C$7)*1)</f>
        <v/>
      </c>
      <c r="U2686">
        <f>IF($A2686="","",IF(COUNTIF($A$2:$A2686,$A2686)=1,1,0))</f>
        <v/>
      </c>
      <c r="V2686">
        <f>IF($U2686=1,SUMPRODUCT(--($X$2:$X$3001&lt;$X2686))+1,"")</f>
        <v/>
      </c>
      <c r="W2686">
        <f>IF($A2686="","",IF(OR($T2686=TRUE(),$T2686="TRUE"),1,0))</f>
        <v/>
      </c>
      <c r="X2686">
        <f>IF($U2686=1,IFERROR(IF(VALUE($A2686)&lt;100000000,VALUE($A2686),1000000000),IFERROR(IF(VALUE(MID($A2686,2,20))&lt;100000000,VALUE(MID($A2686,2,20)),1000000000),1000000000))+ROW()/100000,"")</f>
        <v/>
      </c>
    </row>
    <row r="2687">
      <c r="F2687" s="7">
        <f>IF($A2687="","",E2687*N2687/100)</f>
        <v/>
      </c>
      <c r="J2687" s="7" t="n"/>
      <c r="K2687" s="7">
        <f>IF($A2687="","",S2687*N2687)</f>
        <v/>
      </c>
      <c r="L2687" s="7">
        <f>IF($A2687="","",N2687-K2687)</f>
        <v/>
      </c>
      <c r="M2687" s="7">
        <f>IF($A2687="","",L2687-F2687)</f>
        <v/>
      </c>
      <c r="N2687" s="7" t="n"/>
      <c r="Q2687" s="11" t="n"/>
      <c r="S2687">
        <f>IF($A2687="","",IF($W2687=1,Settings!$C$6,Settings!$C$7)*1)</f>
        <v/>
      </c>
      <c r="U2687">
        <f>IF($A2687="","",IF(COUNTIF($A$2:$A2687,$A2687)=1,1,0))</f>
        <v/>
      </c>
      <c r="V2687">
        <f>IF($U2687=1,SUMPRODUCT(--($X$2:$X$3001&lt;$X2687))+1,"")</f>
        <v/>
      </c>
      <c r="W2687">
        <f>IF($A2687="","",IF(OR($T2687=TRUE(),$T2687="TRUE"),1,0))</f>
        <v/>
      </c>
      <c r="X2687">
        <f>IF($U2687=1,IFERROR(IF(VALUE($A2687)&lt;100000000,VALUE($A2687),1000000000),IFERROR(IF(VALUE(MID($A2687,2,20))&lt;100000000,VALUE(MID($A2687,2,20)),1000000000),1000000000))+ROW()/100000,"")</f>
        <v/>
      </c>
    </row>
    <row r="2688">
      <c r="F2688" s="7">
        <f>IF($A2688="","",E2688*N2688/100)</f>
        <v/>
      </c>
      <c r="J2688" s="7" t="n"/>
      <c r="K2688" s="7">
        <f>IF($A2688="","",S2688*N2688)</f>
        <v/>
      </c>
      <c r="L2688" s="7">
        <f>IF($A2688="","",N2688-K2688)</f>
        <v/>
      </c>
      <c r="M2688" s="7">
        <f>IF($A2688="","",L2688-F2688)</f>
        <v/>
      </c>
      <c r="N2688" s="7" t="n"/>
      <c r="Q2688" s="11" t="n"/>
      <c r="S2688">
        <f>IF($A2688="","",IF($W2688=1,Settings!$C$6,Settings!$C$7)*1)</f>
        <v/>
      </c>
      <c r="U2688">
        <f>IF($A2688="","",IF(COUNTIF($A$2:$A2688,$A2688)=1,1,0))</f>
        <v/>
      </c>
      <c r="V2688">
        <f>IF($U2688=1,SUMPRODUCT(--($X$2:$X$3001&lt;$X2688))+1,"")</f>
        <v/>
      </c>
      <c r="W2688">
        <f>IF($A2688="","",IF(OR($T2688=TRUE(),$T2688="TRUE"),1,0))</f>
        <v/>
      </c>
      <c r="X2688">
        <f>IF($U2688=1,IFERROR(IF(VALUE($A2688)&lt;100000000,VALUE($A2688),1000000000),IFERROR(IF(VALUE(MID($A2688,2,20))&lt;100000000,VALUE(MID($A2688,2,20)),1000000000),1000000000))+ROW()/100000,"")</f>
        <v/>
      </c>
    </row>
    <row r="2689">
      <c r="F2689" s="7">
        <f>IF($A2689="","",E2689*N2689/100)</f>
        <v/>
      </c>
      <c r="J2689" s="7" t="n"/>
      <c r="K2689" s="7">
        <f>IF($A2689="","",S2689*N2689)</f>
        <v/>
      </c>
      <c r="L2689" s="7">
        <f>IF($A2689="","",N2689-K2689)</f>
        <v/>
      </c>
      <c r="M2689" s="7">
        <f>IF($A2689="","",L2689-F2689)</f>
        <v/>
      </c>
      <c r="N2689" s="7" t="n"/>
      <c r="Q2689" s="11" t="n"/>
      <c r="S2689">
        <f>IF($A2689="","",IF($W2689=1,Settings!$C$6,Settings!$C$7)*1)</f>
        <v/>
      </c>
      <c r="U2689">
        <f>IF($A2689="","",IF(COUNTIF($A$2:$A2689,$A2689)=1,1,0))</f>
        <v/>
      </c>
      <c r="V2689">
        <f>IF($U2689=1,SUMPRODUCT(--($X$2:$X$3001&lt;$X2689))+1,"")</f>
        <v/>
      </c>
      <c r="W2689">
        <f>IF($A2689="","",IF(OR($T2689=TRUE(),$T2689="TRUE"),1,0))</f>
        <v/>
      </c>
      <c r="X2689">
        <f>IF($U2689=1,IFERROR(IF(VALUE($A2689)&lt;100000000,VALUE($A2689),1000000000),IFERROR(IF(VALUE(MID($A2689,2,20))&lt;100000000,VALUE(MID($A2689,2,20)),1000000000),1000000000))+ROW()/100000,"")</f>
        <v/>
      </c>
    </row>
    <row r="2690">
      <c r="F2690" s="7">
        <f>IF($A2690="","",E2690*N2690/100)</f>
        <v/>
      </c>
      <c r="J2690" s="7" t="n"/>
      <c r="K2690" s="7">
        <f>IF($A2690="","",S2690*N2690)</f>
        <v/>
      </c>
      <c r="L2690" s="7">
        <f>IF($A2690="","",N2690-K2690)</f>
        <v/>
      </c>
      <c r="M2690" s="7">
        <f>IF($A2690="","",L2690-F2690)</f>
        <v/>
      </c>
      <c r="N2690" s="7" t="n"/>
      <c r="Q2690" s="11" t="n"/>
      <c r="S2690">
        <f>IF($A2690="","",IF($W2690=1,Settings!$C$6,Settings!$C$7)*1)</f>
        <v/>
      </c>
      <c r="U2690">
        <f>IF($A2690="","",IF(COUNTIF($A$2:$A2690,$A2690)=1,1,0))</f>
        <v/>
      </c>
      <c r="V2690">
        <f>IF($U2690=1,SUMPRODUCT(--($X$2:$X$3001&lt;$X2690))+1,"")</f>
        <v/>
      </c>
      <c r="W2690">
        <f>IF($A2690="","",IF(OR($T2690=TRUE(),$T2690="TRUE"),1,0))</f>
        <v/>
      </c>
      <c r="X2690">
        <f>IF($U2690=1,IFERROR(IF(VALUE($A2690)&lt;100000000,VALUE($A2690),1000000000),IFERROR(IF(VALUE(MID($A2690,2,20))&lt;100000000,VALUE(MID($A2690,2,20)),1000000000),1000000000))+ROW()/100000,"")</f>
        <v/>
      </c>
    </row>
    <row r="2691">
      <c r="F2691" s="7">
        <f>IF($A2691="","",E2691*N2691/100)</f>
        <v/>
      </c>
      <c r="J2691" s="7" t="n"/>
      <c r="K2691" s="7">
        <f>IF($A2691="","",S2691*N2691)</f>
        <v/>
      </c>
      <c r="L2691" s="7">
        <f>IF($A2691="","",N2691-K2691)</f>
        <v/>
      </c>
      <c r="M2691" s="7">
        <f>IF($A2691="","",L2691-F2691)</f>
        <v/>
      </c>
      <c r="N2691" s="7" t="n"/>
      <c r="Q2691" s="11" t="n"/>
      <c r="S2691">
        <f>IF($A2691="","",IF($W2691=1,Settings!$C$6,Settings!$C$7)*1)</f>
        <v/>
      </c>
      <c r="U2691">
        <f>IF($A2691="","",IF(COUNTIF($A$2:$A2691,$A2691)=1,1,0))</f>
        <v/>
      </c>
      <c r="V2691">
        <f>IF($U2691=1,SUMPRODUCT(--($X$2:$X$3001&lt;$X2691))+1,"")</f>
        <v/>
      </c>
      <c r="W2691">
        <f>IF($A2691="","",IF(OR($T2691=TRUE(),$T2691="TRUE"),1,0))</f>
        <v/>
      </c>
      <c r="X2691">
        <f>IF($U2691=1,IFERROR(IF(VALUE($A2691)&lt;100000000,VALUE($A2691),1000000000),IFERROR(IF(VALUE(MID($A2691,2,20))&lt;100000000,VALUE(MID($A2691,2,20)),1000000000),1000000000))+ROW()/100000,"")</f>
        <v/>
      </c>
    </row>
    <row r="2692">
      <c r="F2692" s="7">
        <f>IF($A2692="","",E2692*N2692/100)</f>
        <v/>
      </c>
      <c r="J2692" s="7" t="n"/>
      <c r="K2692" s="7">
        <f>IF($A2692="","",S2692*N2692)</f>
        <v/>
      </c>
      <c r="L2692" s="7">
        <f>IF($A2692="","",N2692-K2692)</f>
        <v/>
      </c>
      <c r="M2692" s="7">
        <f>IF($A2692="","",L2692-F2692)</f>
        <v/>
      </c>
      <c r="N2692" s="7" t="n"/>
      <c r="Q2692" s="11" t="n"/>
      <c r="S2692">
        <f>IF($A2692="","",IF($W2692=1,Settings!$C$6,Settings!$C$7)*1)</f>
        <v/>
      </c>
      <c r="U2692">
        <f>IF($A2692="","",IF(COUNTIF($A$2:$A2692,$A2692)=1,1,0))</f>
        <v/>
      </c>
      <c r="V2692">
        <f>IF($U2692=1,SUMPRODUCT(--($X$2:$X$3001&lt;$X2692))+1,"")</f>
        <v/>
      </c>
      <c r="W2692">
        <f>IF($A2692="","",IF(OR($T2692=TRUE(),$T2692="TRUE"),1,0))</f>
        <v/>
      </c>
      <c r="X2692">
        <f>IF($U2692=1,IFERROR(IF(VALUE($A2692)&lt;100000000,VALUE($A2692),1000000000),IFERROR(IF(VALUE(MID($A2692,2,20))&lt;100000000,VALUE(MID($A2692,2,20)),1000000000),1000000000))+ROW()/100000,"")</f>
        <v/>
      </c>
    </row>
    <row r="2693">
      <c r="F2693" s="7">
        <f>IF($A2693="","",E2693*N2693/100)</f>
        <v/>
      </c>
      <c r="J2693" s="7" t="n"/>
      <c r="K2693" s="7">
        <f>IF($A2693="","",S2693*N2693)</f>
        <v/>
      </c>
      <c r="L2693" s="7">
        <f>IF($A2693="","",N2693-K2693)</f>
        <v/>
      </c>
      <c r="M2693" s="7">
        <f>IF($A2693="","",L2693-F2693)</f>
        <v/>
      </c>
      <c r="N2693" s="7" t="n"/>
      <c r="Q2693" s="11" t="n"/>
      <c r="S2693">
        <f>IF($A2693="","",IF($W2693=1,Settings!$C$6,Settings!$C$7)*1)</f>
        <v/>
      </c>
      <c r="U2693">
        <f>IF($A2693="","",IF(COUNTIF($A$2:$A2693,$A2693)=1,1,0))</f>
        <v/>
      </c>
      <c r="V2693">
        <f>IF($U2693=1,SUMPRODUCT(--($X$2:$X$3001&lt;$X2693))+1,"")</f>
        <v/>
      </c>
      <c r="W2693">
        <f>IF($A2693="","",IF(OR($T2693=TRUE(),$T2693="TRUE"),1,0))</f>
        <v/>
      </c>
      <c r="X2693">
        <f>IF($U2693=1,IFERROR(IF(VALUE($A2693)&lt;100000000,VALUE($A2693),1000000000),IFERROR(IF(VALUE(MID($A2693,2,20))&lt;100000000,VALUE(MID($A2693,2,20)),1000000000),1000000000))+ROW()/100000,"")</f>
        <v/>
      </c>
    </row>
    <row r="2694">
      <c r="F2694" s="7">
        <f>IF($A2694="","",E2694*N2694/100)</f>
        <v/>
      </c>
      <c r="J2694" s="7" t="n"/>
      <c r="K2694" s="7">
        <f>IF($A2694="","",S2694*N2694)</f>
        <v/>
      </c>
      <c r="L2694" s="7">
        <f>IF($A2694="","",N2694-K2694)</f>
        <v/>
      </c>
      <c r="M2694" s="7">
        <f>IF($A2694="","",L2694-F2694)</f>
        <v/>
      </c>
      <c r="N2694" s="7" t="n"/>
      <c r="Q2694" s="11" t="n"/>
      <c r="S2694">
        <f>IF($A2694="","",IF($W2694=1,Settings!$C$6,Settings!$C$7)*1)</f>
        <v/>
      </c>
      <c r="U2694">
        <f>IF($A2694="","",IF(COUNTIF($A$2:$A2694,$A2694)=1,1,0))</f>
        <v/>
      </c>
      <c r="V2694">
        <f>IF($U2694=1,SUMPRODUCT(--($X$2:$X$3001&lt;$X2694))+1,"")</f>
        <v/>
      </c>
      <c r="W2694">
        <f>IF($A2694="","",IF(OR($T2694=TRUE(),$T2694="TRUE"),1,0))</f>
        <v/>
      </c>
      <c r="X2694">
        <f>IF($U2694=1,IFERROR(IF(VALUE($A2694)&lt;100000000,VALUE($A2694),1000000000),IFERROR(IF(VALUE(MID($A2694,2,20))&lt;100000000,VALUE(MID($A2694,2,20)),1000000000),1000000000))+ROW()/100000,"")</f>
        <v/>
      </c>
    </row>
    <row r="2695">
      <c r="F2695" s="7">
        <f>IF($A2695="","",E2695*N2695/100)</f>
        <v/>
      </c>
      <c r="J2695" s="7" t="n"/>
      <c r="K2695" s="7">
        <f>IF($A2695="","",S2695*N2695)</f>
        <v/>
      </c>
      <c r="L2695" s="7">
        <f>IF($A2695="","",N2695-K2695)</f>
        <v/>
      </c>
      <c r="M2695" s="7">
        <f>IF($A2695="","",L2695-F2695)</f>
        <v/>
      </c>
      <c r="N2695" s="7" t="n"/>
      <c r="Q2695" s="11" t="n"/>
      <c r="S2695">
        <f>IF($A2695="","",IF($W2695=1,Settings!$C$6,Settings!$C$7)*1)</f>
        <v/>
      </c>
      <c r="U2695">
        <f>IF($A2695="","",IF(COUNTIF($A$2:$A2695,$A2695)=1,1,0))</f>
        <v/>
      </c>
      <c r="V2695">
        <f>IF($U2695=1,SUMPRODUCT(--($X$2:$X$3001&lt;$X2695))+1,"")</f>
        <v/>
      </c>
      <c r="W2695">
        <f>IF($A2695="","",IF(OR($T2695=TRUE(),$T2695="TRUE"),1,0))</f>
        <v/>
      </c>
      <c r="X2695">
        <f>IF($U2695=1,IFERROR(IF(VALUE($A2695)&lt;100000000,VALUE($A2695),1000000000),IFERROR(IF(VALUE(MID($A2695,2,20))&lt;100000000,VALUE(MID($A2695,2,20)),1000000000),1000000000))+ROW()/100000,"")</f>
        <v/>
      </c>
    </row>
    <row r="2696">
      <c r="F2696" s="7">
        <f>IF($A2696="","",E2696*N2696/100)</f>
        <v/>
      </c>
      <c r="J2696" s="7" t="n"/>
      <c r="K2696" s="7">
        <f>IF($A2696="","",S2696*N2696)</f>
        <v/>
      </c>
      <c r="L2696" s="7">
        <f>IF($A2696="","",N2696-K2696)</f>
        <v/>
      </c>
      <c r="M2696" s="7">
        <f>IF($A2696="","",L2696-F2696)</f>
        <v/>
      </c>
      <c r="N2696" s="7" t="n"/>
      <c r="Q2696" s="11" t="n"/>
      <c r="S2696">
        <f>IF($A2696="","",IF($W2696=1,Settings!$C$6,Settings!$C$7)*1)</f>
        <v/>
      </c>
      <c r="U2696">
        <f>IF($A2696="","",IF(COUNTIF($A$2:$A2696,$A2696)=1,1,0))</f>
        <v/>
      </c>
      <c r="V2696">
        <f>IF($U2696=1,SUMPRODUCT(--($X$2:$X$3001&lt;$X2696))+1,"")</f>
        <v/>
      </c>
      <c r="W2696">
        <f>IF($A2696="","",IF(OR($T2696=TRUE(),$T2696="TRUE"),1,0))</f>
        <v/>
      </c>
      <c r="X2696">
        <f>IF($U2696=1,IFERROR(IF(VALUE($A2696)&lt;100000000,VALUE($A2696),1000000000),IFERROR(IF(VALUE(MID($A2696,2,20))&lt;100000000,VALUE(MID($A2696,2,20)),1000000000),1000000000))+ROW()/100000,"")</f>
        <v/>
      </c>
    </row>
    <row r="2697">
      <c r="F2697" s="7">
        <f>IF($A2697="","",E2697*N2697/100)</f>
        <v/>
      </c>
      <c r="J2697" s="7" t="n"/>
      <c r="K2697" s="7">
        <f>IF($A2697="","",S2697*N2697)</f>
        <v/>
      </c>
      <c r="L2697" s="7">
        <f>IF($A2697="","",N2697-K2697)</f>
        <v/>
      </c>
      <c r="M2697" s="7">
        <f>IF($A2697="","",L2697-F2697)</f>
        <v/>
      </c>
      <c r="N2697" s="7" t="n"/>
      <c r="Q2697" s="11" t="n"/>
      <c r="S2697">
        <f>IF($A2697="","",IF($W2697=1,Settings!$C$6,Settings!$C$7)*1)</f>
        <v/>
      </c>
      <c r="U2697">
        <f>IF($A2697="","",IF(COUNTIF($A$2:$A2697,$A2697)=1,1,0))</f>
        <v/>
      </c>
      <c r="V2697">
        <f>IF($U2697=1,SUMPRODUCT(--($X$2:$X$3001&lt;$X2697))+1,"")</f>
        <v/>
      </c>
      <c r="W2697">
        <f>IF($A2697="","",IF(OR($T2697=TRUE(),$T2697="TRUE"),1,0))</f>
        <v/>
      </c>
      <c r="X2697">
        <f>IF($U2697=1,IFERROR(IF(VALUE($A2697)&lt;100000000,VALUE($A2697),1000000000),IFERROR(IF(VALUE(MID($A2697,2,20))&lt;100000000,VALUE(MID($A2697,2,20)),1000000000),1000000000))+ROW()/100000,"")</f>
        <v/>
      </c>
    </row>
    <row r="2698">
      <c r="F2698" s="7">
        <f>IF($A2698="","",E2698*N2698/100)</f>
        <v/>
      </c>
      <c r="J2698" s="7" t="n"/>
      <c r="K2698" s="7">
        <f>IF($A2698="","",S2698*N2698)</f>
        <v/>
      </c>
      <c r="L2698" s="7">
        <f>IF($A2698="","",N2698-K2698)</f>
        <v/>
      </c>
      <c r="M2698" s="7">
        <f>IF($A2698="","",L2698-F2698)</f>
        <v/>
      </c>
      <c r="N2698" s="7" t="n"/>
      <c r="Q2698" s="11" t="n"/>
      <c r="S2698">
        <f>IF($A2698="","",IF($W2698=1,Settings!$C$6,Settings!$C$7)*1)</f>
        <v/>
      </c>
      <c r="U2698">
        <f>IF($A2698="","",IF(COUNTIF($A$2:$A2698,$A2698)=1,1,0))</f>
        <v/>
      </c>
      <c r="V2698">
        <f>IF($U2698=1,SUMPRODUCT(--($X$2:$X$3001&lt;$X2698))+1,"")</f>
        <v/>
      </c>
      <c r="W2698">
        <f>IF($A2698="","",IF(OR($T2698=TRUE(),$T2698="TRUE"),1,0))</f>
        <v/>
      </c>
      <c r="X2698">
        <f>IF($U2698=1,IFERROR(IF(VALUE($A2698)&lt;100000000,VALUE($A2698),1000000000),IFERROR(IF(VALUE(MID($A2698,2,20))&lt;100000000,VALUE(MID($A2698,2,20)),1000000000),1000000000))+ROW()/100000,"")</f>
        <v/>
      </c>
    </row>
    <row r="2699">
      <c r="F2699" s="7">
        <f>IF($A2699="","",E2699*N2699/100)</f>
        <v/>
      </c>
      <c r="J2699" s="7" t="n"/>
      <c r="K2699" s="7">
        <f>IF($A2699="","",S2699*N2699)</f>
        <v/>
      </c>
      <c r="L2699" s="7">
        <f>IF($A2699="","",N2699-K2699)</f>
        <v/>
      </c>
      <c r="M2699" s="7">
        <f>IF($A2699="","",L2699-F2699)</f>
        <v/>
      </c>
      <c r="N2699" s="7" t="n"/>
      <c r="Q2699" s="11" t="n"/>
      <c r="S2699">
        <f>IF($A2699="","",IF($W2699=1,Settings!$C$6,Settings!$C$7)*1)</f>
        <v/>
      </c>
      <c r="U2699">
        <f>IF($A2699="","",IF(COUNTIF($A$2:$A2699,$A2699)=1,1,0))</f>
        <v/>
      </c>
      <c r="V2699">
        <f>IF($U2699=1,SUMPRODUCT(--($X$2:$X$3001&lt;$X2699))+1,"")</f>
        <v/>
      </c>
      <c r="W2699">
        <f>IF($A2699="","",IF(OR($T2699=TRUE(),$T2699="TRUE"),1,0))</f>
        <v/>
      </c>
      <c r="X2699">
        <f>IF($U2699=1,IFERROR(IF(VALUE($A2699)&lt;100000000,VALUE($A2699),1000000000),IFERROR(IF(VALUE(MID($A2699,2,20))&lt;100000000,VALUE(MID($A2699,2,20)),1000000000),1000000000))+ROW()/100000,"")</f>
        <v/>
      </c>
    </row>
    <row r="2700">
      <c r="F2700" s="7">
        <f>IF($A2700="","",E2700*N2700/100)</f>
        <v/>
      </c>
      <c r="J2700" s="7" t="n"/>
      <c r="K2700" s="7">
        <f>IF($A2700="","",S2700*N2700)</f>
        <v/>
      </c>
      <c r="L2700" s="7">
        <f>IF($A2700="","",N2700-K2700)</f>
        <v/>
      </c>
      <c r="M2700" s="7">
        <f>IF($A2700="","",L2700-F2700)</f>
        <v/>
      </c>
      <c r="N2700" s="7" t="n"/>
      <c r="Q2700" s="11" t="n"/>
      <c r="S2700">
        <f>IF($A2700="","",IF($W2700=1,Settings!$C$6,Settings!$C$7)*1)</f>
        <v/>
      </c>
      <c r="U2700">
        <f>IF($A2700="","",IF(COUNTIF($A$2:$A2700,$A2700)=1,1,0))</f>
        <v/>
      </c>
      <c r="V2700">
        <f>IF($U2700=1,SUMPRODUCT(--($X$2:$X$3001&lt;$X2700))+1,"")</f>
        <v/>
      </c>
      <c r="W2700">
        <f>IF($A2700="","",IF(OR($T2700=TRUE(),$T2700="TRUE"),1,0))</f>
        <v/>
      </c>
      <c r="X2700">
        <f>IF($U2700=1,IFERROR(IF(VALUE($A2700)&lt;100000000,VALUE($A2700),1000000000),IFERROR(IF(VALUE(MID($A2700,2,20))&lt;100000000,VALUE(MID($A2700,2,20)),1000000000),1000000000))+ROW()/100000,"")</f>
        <v/>
      </c>
    </row>
    <row r="2701">
      <c r="F2701" s="7">
        <f>IF($A2701="","",E2701*N2701/100)</f>
        <v/>
      </c>
      <c r="J2701" s="7" t="n"/>
      <c r="K2701" s="7">
        <f>IF($A2701="","",S2701*N2701)</f>
        <v/>
      </c>
      <c r="L2701" s="7">
        <f>IF($A2701="","",N2701-K2701)</f>
        <v/>
      </c>
      <c r="M2701" s="7">
        <f>IF($A2701="","",L2701-F2701)</f>
        <v/>
      </c>
      <c r="N2701" s="7" t="n"/>
      <c r="Q2701" s="11" t="n"/>
      <c r="S2701">
        <f>IF($A2701="","",IF($W2701=1,Settings!$C$6,Settings!$C$7)*1)</f>
        <v/>
      </c>
      <c r="U2701">
        <f>IF($A2701="","",IF(COUNTIF($A$2:$A2701,$A2701)=1,1,0))</f>
        <v/>
      </c>
      <c r="V2701">
        <f>IF($U2701=1,SUMPRODUCT(--($X$2:$X$3001&lt;$X2701))+1,"")</f>
        <v/>
      </c>
      <c r="W2701">
        <f>IF($A2701="","",IF(OR($T2701=TRUE(),$T2701="TRUE"),1,0))</f>
        <v/>
      </c>
      <c r="X2701">
        <f>IF($U2701=1,IFERROR(IF(VALUE($A2701)&lt;100000000,VALUE($A2701),1000000000),IFERROR(IF(VALUE(MID($A2701,2,20))&lt;100000000,VALUE(MID($A2701,2,20)),1000000000),1000000000))+ROW()/100000,"")</f>
        <v/>
      </c>
    </row>
    <row r="2702">
      <c r="F2702" s="7">
        <f>IF($A2702="","",E2702*N2702/100)</f>
        <v/>
      </c>
      <c r="J2702" s="7" t="n"/>
      <c r="K2702" s="7">
        <f>IF($A2702="","",S2702*N2702)</f>
        <v/>
      </c>
      <c r="L2702" s="7">
        <f>IF($A2702="","",N2702-K2702)</f>
        <v/>
      </c>
      <c r="M2702" s="7">
        <f>IF($A2702="","",L2702-F2702)</f>
        <v/>
      </c>
      <c r="N2702" s="7" t="n"/>
      <c r="Q2702" s="11" t="n"/>
      <c r="S2702">
        <f>IF($A2702="","",IF($W2702=1,Settings!$C$6,Settings!$C$7)*1)</f>
        <v/>
      </c>
      <c r="U2702">
        <f>IF($A2702="","",IF(COUNTIF($A$2:$A2702,$A2702)=1,1,0))</f>
        <v/>
      </c>
      <c r="V2702">
        <f>IF($U2702=1,SUMPRODUCT(--($X$2:$X$3001&lt;$X2702))+1,"")</f>
        <v/>
      </c>
      <c r="W2702">
        <f>IF($A2702="","",IF(OR($T2702=TRUE(),$T2702="TRUE"),1,0))</f>
        <v/>
      </c>
      <c r="X2702">
        <f>IF($U2702=1,IFERROR(IF(VALUE($A2702)&lt;100000000,VALUE($A2702),1000000000),IFERROR(IF(VALUE(MID($A2702,2,20))&lt;100000000,VALUE(MID($A2702,2,20)),1000000000),1000000000))+ROW()/100000,"")</f>
        <v/>
      </c>
    </row>
    <row r="2703">
      <c r="F2703" s="7">
        <f>IF($A2703="","",E2703*N2703/100)</f>
        <v/>
      </c>
      <c r="J2703" s="7" t="n"/>
      <c r="K2703" s="7">
        <f>IF($A2703="","",S2703*N2703)</f>
        <v/>
      </c>
      <c r="L2703" s="7">
        <f>IF($A2703="","",N2703-K2703)</f>
        <v/>
      </c>
      <c r="M2703" s="7">
        <f>IF($A2703="","",L2703-F2703)</f>
        <v/>
      </c>
      <c r="N2703" s="7" t="n"/>
      <c r="Q2703" s="11" t="n"/>
      <c r="S2703">
        <f>IF($A2703="","",IF($W2703=1,Settings!$C$6,Settings!$C$7)*1)</f>
        <v/>
      </c>
      <c r="U2703">
        <f>IF($A2703="","",IF(COUNTIF($A$2:$A2703,$A2703)=1,1,0))</f>
        <v/>
      </c>
      <c r="V2703">
        <f>IF($U2703=1,SUMPRODUCT(--($X$2:$X$3001&lt;$X2703))+1,"")</f>
        <v/>
      </c>
      <c r="W2703">
        <f>IF($A2703="","",IF(OR($T2703=TRUE(),$T2703="TRUE"),1,0))</f>
        <v/>
      </c>
      <c r="X2703">
        <f>IF($U2703=1,IFERROR(IF(VALUE($A2703)&lt;100000000,VALUE($A2703),1000000000),IFERROR(IF(VALUE(MID($A2703,2,20))&lt;100000000,VALUE(MID($A2703,2,20)),1000000000),1000000000))+ROW()/100000,"")</f>
        <v/>
      </c>
    </row>
    <row r="2704">
      <c r="F2704" s="7">
        <f>IF($A2704="","",E2704*N2704/100)</f>
        <v/>
      </c>
      <c r="J2704" s="7" t="n"/>
      <c r="K2704" s="7">
        <f>IF($A2704="","",S2704*N2704)</f>
        <v/>
      </c>
      <c r="L2704" s="7">
        <f>IF($A2704="","",N2704-K2704)</f>
        <v/>
      </c>
      <c r="M2704" s="7">
        <f>IF($A2704="","",L2704-F2704)</f>
        <v/>
      </c>
      <c r="N2704" s="7" t="n"/>
      <c r="Q2704" s="11" t="n"/>
      <c r="S2704">
        <f>IF($A2704="","",IF($W2704=1,Settings!$C$6,Settings!$C$7)*1)</f>
        <v/>
      </c>
      <c r="U2704">
        <f>IF($A2704="","",IF(COUNTIF($A$2:$A2704,$A2704)=1,1,0))</f>
        <v/>
      </c>
      <c r="V2704">
        <f>IF($U2704=1,SUMPRODUCT(--($X$2:$X$3001&lt;$X2704))+1,"")</f>
        <v/>
      </c>
      <c r="W2704">
        <f>IF($A2704="","",IF(OR($T2704=TRUE(),$T2704="TRUE"),1,0))</f>
        <v/>
      </c>
      <c r="X2704">
        <f>IF($U2704=1,IFERROR(IF(VALUE($A2704)&lt;100000000,VALUE($A2704),1000000000),IFERROR(IF(VALUE(MID($A2704,2,20))&lt;100000000,VALUE(MID($A2704,2,20)),1000000000),1000000000))+ROW()/100000,"")</f>
        <v/>
      </c>
    </row>
    <row r="2705">
      <c r="F2705" s="7">
        <f>IF($A2705="","",E2705*N2705/100)</f>
        <v/>
      </c>
      <c r="J2705" s="7" t="n"/>
      <c r="K2705" s="7">
        <f>IF($A2705="","",S2705*N2705)</f>
        <v/>
      </c>
      <c r="L2705" s="7">
        <f>IF($A2705="","",N2705-K2705)</f>
        <v/>
      </c>
      <c r="M2705" s="7">
        <f>IF($A2705="","",L2705-F2705)</f>
        <v/>
      </c>
      <c r="N2705" s="7" t="n"/>
      <c r="Q2705" s="11" t="n"/>
      <c r="S2705">
        <f>IF($A2705="","",IF($W2705=1,Settings!$C$6,Settings!$C$7)*1)</f>
        <v/>
      </c>
      <c r="U2705">
        <f>IF($A2705="","",IF(COUNTIF($A$2:$A2705,$A2705)=1,1,0))</f>
        <v/>
      </c>
      <c r="V2705">
        <f>IF($U2705=1,SUMPRODUCT(--($X$2:$X$3001&lt;$X2705))+1,"")</f>
        <v/>
      </c>
      <c r="W2705">
        <f>IF($A2705="","",IF(OR($T2705=TRUE(),$T2705="TRUE"),1,0))</f>
        <v/>
      </c>
      <c r="X2705">
        <f>IF($U2705=1,IFERROR(IF(VALUE($A2705)&lt;100000000,VALUE($A2705),1000000000),IFERROR(IF(VALUE(MID($A2705,2,20))&lt;100000000,VALUE(MID($A2705,2,20)),1000000000),1000000000))+ROW()/100000,"")</f>
        <v/>
      </c>
    </row>
    <row r="2706">
      <c r="F2706" s="7">
        <f>IF($A2706="","",E2706*N2706/100)</f>
        <v/>
      </c>
      <c r="J2706" s="7" t="n"/>
      <c r="K2706" s="7">
        <f>IF($A2706="","",S2706*N2706)</f>
        <v/>
      </c>
      <c r="L2706" s="7">
        <f>IF($A2706="","",N2706-K2706)</f>
        <v/>
      </c>
      <c r="M2706" s="7">
        <f>IF($A2706="","",L2706-F2706)</f>
        <v/>
      </c>
      <c r="N2706" s="7" t="n"/>
      <c r="Q2706" s="11" t="n"/>
      <c r="S2706">
        <f>IF($A2706="","",IF($W2706=1,Settings!$C$6,Settings!$C$7)*1)</f>
        <v/>
      </c>
      <c r="U2706">
        <f>IF($A2706="","",IF(COUNTIF($A$2:$A2706,$A2706)=1,1,0))</f>
        <v/>
      </c>
      <c r="V2706">
        <f>IF($U2706=1,SUMPRODUCT(--($X$2:$X$3001&lt;$X2706))+1,"")</f>
        <v/>
      </c>
      <c r="W2706">
        <f>IF($A2706="","",IF(OR($T2706=TRUE(),$T2706="TRUE"),1,0))</f>
        <v/>
      </c>
      <c r="X2706">
        <f>IF($U2706=1,IFERROR(IF(VALUE($A2706)&lt;100000000,VALUE($A2706),1000000000),IFERROR(IF(VALUE(MID($A2706,2,20))&lt;100000000,VALUE(MID($A2706,2,20)),1000000000),1000000000))+ROW()/100000,"")</f>
        <v/>
      </c>
    </row>
    <row r="2707">
      <c r="F2707" s="7">
        <f>IF($A2707="","",E2707*N2707/100)</f>
        <v/>
      </c>
      <c r="J2707" s="7" t="n"/>
      <c r="K2707" s="7">
        <f>IF($A2707="","",S2707*N2707)</f>
        <v/>
      </c>
      <c r="L2707" s="7">
        <f>IF($A2707="","",N2707-K2707)</f>
        <v/>
      </c>
      <c r="M2707" s="7">
        <f>IF($A2707="","",L2707-F2707)</f>
        <v/>
      </c>
      <c r="N2707" s="7" t="n"/>
      <c r="Q2707" s="11" t="n"/>
      <c r="S2707">
        <f>IF($A2707="","",IF($W2707=1,Settings!$C$6,Settings!$C$7)*1)</f>
        <v/>
      </c>
      <c r="U2707">
        <f>IF($A2707="","",IF(COUNTIF($A$2:$A2707,$A2707)=1,1,0))</f>
        <v/>
      </c>
      <c r="V2707">
        <f>IF($U2707=1,SUMPRODUCT(--($X$2:$X$3001&lt;$X2707))+1,"")</f>
        <v/>
      </c>
      <c r="W2707">
        <f>IF($A2707="","",IF(OR($T2707=TRUE(),$T2707="TRUE"),1,0))</f>
        <v/>
      </c>
      <c r="X2707">
        <f>IF($U2707=1,IFERROR(IF(VALUE($A2707)&lt;100000000,VALUE($A2707),1000000000),IFERROR(IF(VALUE(MID($A2707,2,20))&lt;100000000,VALUE(MID($A2707,2,20)),1000000000),1000000000))+ROW()/100000,"")</f>
        <v/>
      </c>
    </row>
    <row r="2708">
      <c r="F2708" s="7">
        <f>IF($A2708="","",E2708*N2708/100)</f>
        <v/>
      </c>
      <c r="J2708" s="7" t="n"/>
      <c r="K2708" s="7">
        <f>IF($A2708="","",S2708*N2708)</f>
        <v/>
      </c>
      <c r="L2708" s="7">
        <f>IF($A2708="","",N2708-K2708)</f>
        <v/>
      </c>
      <c r="M2708" s="7">
        <f>IF($A2708="","",L2708-F2708)</f>
        <v/>
      </c>
      <c r="N2708" s="7" t="n"/>
      <c r="Q2708" s="11" t="n"/>
      <c r="S2708">
        <f>IF($A2708="","",IF($W2708=1,Settings!$C$6,Settings!$C$7)*1)</f>
        <v/>
      </c>
      <c r="U2708">
        <f>IF($A2708="","",IF(COUNTIF($A$2:$A2708,$A2708)=1,1,0))</f>
        <v/>
      </c>
      <c r="V2708">
        <f>IF($U2708=1,SUMPRODUCT(--($X$2:$X$3001&lt;$X2708))+1,"")</f>
        <v/>
      </c>
      <c r="W2708">
        <f>IF($A2708="","",IF(OR($T2708=TRUE(),$T2708="TRUE"),1,0))</f>
        <v/>
      </c>
      <c r="X2708">
        <f>IF($U2708=1,IFERROR(IF(VALUE($A2708)&lt;100000000,VALUE($A2708),1000000000),IFERROR(IF(VALUE(MID($A2708,2,20))&lt;100000000,VALUE(MID($A2708,2,20)),1000000000),1000000000))+ROW()/100000,"")</f>
        <v/>
      </c>
    </row>
    <row r="2709">
      <c r="F2709" s="7">
        <f>IF($A2709="","",E2709*N2709/100)</f>
        <v/>
      </c>
      <c r="J2709" s="7" t="n"/>
      <c r="K2709" s="7">
        <f>IF($A2709="","",S2709*N2709)</f>
        <v/>
      </c>
      <c r="L2709" s="7">
        <f>IF($A2709="","",N2709-K2709)</f>
        <v/>
      </c>
      <c r="M2709" s="7">
        <f>IF($A2709="","",L2709-F2709)</f>
        <v/>
      </c>
      <c r="N2709" s="7" t="n"/>
      <c r="Q2709" s="11" t="n"/>
      <c r="S2709">
        <f>IF($A2709="","",IF($W2709=1,Settings!$C$6,Settings!$C$7)*1)</f>
        <v/>
      </c>
      <c r="U2709">
        <f>IF($A2709="","",IF(COUNTIF($A$2:$A2709,$A2709)=1,1,0))</f>
        <v/>
      </c>
      <c r="V2709">
        <f>IF($U2709=1,SUMPRODUCT(--($X$2:$X$3001&lt;$X2709))+1,"")</f>
        <v/>
      </c>
      <c r="W2709">
        <f>IF($A2709="","",IF(OR($T2709=TRUE(),$T2709="TRUE"),1,0))</f>
        <v/>
      </c>
      <c r="X2709">
        <f>IF($U2709=1,IFERROR(IF(VALUE($A2709)&lt;100000000,VALUE($A2709),1000000000),IFERROR(IF(VALUE(MID($A2709,2,20))&lt;100000000,VALUE(MID($A2709,2,20)),1000000000),1000000000))+ROW()/100000,"")</f>
        <v/>
      </c>
    </row>
    <row r="2710">
      <c r="F2710" s="7">
        <f>IF($A2710="","",E2710*N2710/100)</f>
        <v/>
      </c>
      <c r="J2710" s="7" t="n"/>
      <c r="K2710" s="7">
        <f>IF($A2710="","",S2710*N2710)</f>
        <v/>
      </c>
      <c r="L2710" s="7">
        <f>IF($A2710="","",N2710-K2710)</f>
        <v/>
      </c>
      <c r="M2710" s="7">
        <f>IF($A2710="","",L2710-F2710)</f>
        <v/>
      </c>
      <c r="N2710" s="7" t="n"/>
      <c r="Q2710" s="11" t="n"/>
      <c r="S2710">
        <f>IF($A2710="","",IF($W2710=1,Settings!$C$6,Settings!$C$7)*1)</f>
        <v/>
      </c>
      <c r="U2710">
        <f>IF($A2710="","",IF(COUNTIF($A$2:$A2710,$A2710)=1,1,0))</f>
        <v/>
      </c>
      <c r="V2710">
        <f>IF($U2710=1,SUMPRODUCT(--($X$2:$X$3001&lt;$X2710))+1,"")</f>
        <v/>
      </c>
      <c r="W2710">
        <f>IF($A2710="","",IF(OR($T2710=TRUE(),$T2710="TRUE"),1,0))</f>
        <v/>
      </c>
      <c r="X2710">
        <f>IF($U2710=1,IFERROR(IF(VALUE($A2710)&lt;100000000,VALUE($A2710),1000000000),IFERROR(IF(VALUE(MID($A2710,2,20))&lt;100000000,VALUE(MID($A2710,2,20)),1000000000),1000000000))+ROW()/100000,"")</f>
        <v/>
      </c>
    </row>
    <row r="2711">
      <c r="F2711" s="7">
        <f>IF($A2711="","",E2711*N2711/100)</f>
        <v/>
      </c>
      <c r="J2711" s="7" t="n"/>
      <c r="K2711" s="7">
        <f>IF($A2711="","",S2711*N2711)</f>
        <v/>
      </c>
      <c r="L2711" s="7">
        <f>IF($A2711="","",N2711-K2711)</f>
        <v/>
      </c>
      <c r="M2711" s="7">
        <f>IF($A2711="","",L2711-F2711)</f>
        <v/>
      </c>
      <c r="N2711" s="7" t="n"/>
      <c r="Q2711" s="11" t="n"/>
      <c r="S2711">
        <f>IF($A2711="","",IF($W2711=1,Settings!$C$6,Settings!$C$7)*1)</f>
        <v/>
      </c>
      <c r="U2711">
        <f>IF($A2711="","",IF(COUNTIF($A$2:$A2711,$A2711)=1,1,0))</f>
        <v/>
      </c>
      <c r="V2711">
        <f>IF($U2711=1,SUMPRODUCT(--($X$2:$X$3001&lt;$X2711))+1,"")</f>
        <v/>
      </c>
      <c r="W2711">
        <f>IF($A2711="","",IF(OR($T2711=TRUE(),$T2711="TRUE"),1,0))</f>
        <v/>
      </c>
      <c r="X2711">
        <f>IF($U2711=1,IFERROR(IF(VALUE($A2711)&lt;100000000,VALUE($A2711),1000000000),IFERROR(IF(VALUE(MID($A2711,2,20))&lt;100000000,VALUE(MID($A2711,2,20)),1000000000),1000000000))+ROW()/100000,"")</f>
        <v/>
      </c>
    </row>
    <row r="2712">
      <c r="F2712" s="7">
        <f>IF($A2712="","",E2712*N2712/100)</f>
        <v/>
      </c>
      <c r="J2712" s="7" t="n"/>
      <c r="K2712" s="7">
        <f>IF($A2712="","",S2712*N2712)</f>
        <v/>
      </c>
      <c r="L2712" s="7">
        <f>IF($A2712="","",N2712-K2712)</f>
        <v/>
      </c>
      <c r="M2712" s="7">
        <f>IF($A2712="","",L2712-F2712)</f>
        <v/>
      </c>
      <c r="N2712" s="7" t="n"/>
      <c r="Q2712" s="11" t="n"/>
      <c r="S2712">
        <f>IF($A2712="","",IF($W2712=1,Settings!$C$6,Settings!$C$7)*1)</f>
        <v/>
      </c>
      <c r="U2712">
        <f>IF($A2712="","",IF(COUNTIF($A$2:$A2712,$A2712)=1,1,0))</f>
        <v/>
      </c>
      <c r="V2712">
        <f>IF($U2712=1,SUMPRODUCT(--($X$2:$X$3001&lt;$X2712))+1,"")</f>
        <v/>
      </c>
      <c r="W2712">
        <f>IF($A2712="","",IF(OR($T2712=TRUE(),$T2712="TRUE"),1,0))</f>
        <v/>
      </c>
      <c r="X2712">
        <f>IF($U2712=1,IFERROR(IF(VALUE($A2712)&lt;100000000,VALUE($A2712),1000000000),IFERROR(IF(VALUE(MID($A2712,2,20))&lt;100000000,VALUE(MID($A2712,2,20)),1000000000),1000000000))+ROW()/100000,"")</f>
        <v/>
      </c>
    </row>
    <row r="2713">
      <c r="F2713" s="7">
        <f>IF($A2713="","",E2713*N2713/100)</f>
        <v/>
      </c>
      <c r="J2713" s="7" t="n"/>
      <c r="K2713" s="7">
        <f>IF($A2713="","",S2713*N2713)</f>
        <v/>
      </c>
      <c r="L2713" s="7">
        <f>IF($A2713="","",N2713-K2713)</f>
        <v/>
      </c>
      <c r="M2713" s="7">
        <f>IF($A2713="","",L2713-F2713)</f>
        <v/>
      </c>
      <c r="N2713" s="7" t="n"/>
      <c r="Q2713" s="11" t="n"/>
      <c r="S2713">
        <f>IF($A2713="","",IF($W2713=1,Settings!$C$6,Settings!$C$7)*1)</f>
        <v/>
      </c>
      <c r="U2713">
        <f>IF($A2713="","",IF(COUNTIF($A$2:$A2713,$A2713)=1,1,0))</f>
        <v/>
      </c>
      <c r="V2713">
        <f>IF($U2713=1,SUMPRODUCT(--($X$2:$X$3001&lt;$X2713))+1,"")</f>
        <v/>
      </c>
      <c r="W2713">
        <f>IF($A2713="","",IF(OR($T2713=TRUE(),$T2713="TRUE"),1,0))</f>
        <v/>
      </c>
      <c r="X2713">
        <f>IF($U2713=1,IFERROR(IF(VALUE($A2713)&lt;100000000,VALUE($A2713),1000000000),IFERROR(IF(VALUE(MID($A2713,2,20))&lt;100000000,VALUE(MID($A2713,2,20)),1000000000),1000000000))+ROW()/100000,"")</f>
        <v/>
      </c>
    </row>
    <row r="2714">
      <c r="F2714" s="7">
        <f>IF($A2714="","",E2714*N2714/100)</f>
        <v/>
      </c>
      <c r="J2714" s="7" t="n"/>
      <c r="K2714" s="7">
        <f>IF($A2714="","",S2714*N2714)</f>
        <v/>
      </c>
      <c r="L2714" s="7">
        <f>IF($A2714="","",N2714-K2714)</f>
        <v/>
      </c>
      <c r="M2714" s="7">
        <f>IF($A2714="","",L2714-F2714)</f>
        <v/>
      </c>
      <c r="N2714" s="7" t="n"/>
      <c r="Q2714" s="11" t="n"/>
      <c r="S2714">
        <f>IF($A2714="","",IF($W2714=1,Settings!$C$6,Settings!$C$7)*1)</f>
        <v/>
      </c>
      <c r="U2714">
        <f>IF($A2714="","",IF(COUNTIF($A$2:$A2714,$A2714)=1,1,0))</f>
        <v/>
      </c>
      <c r="V2714">
        <f>IF($U2714=1,SUMPRODUCT(--($X$2:$X$3001&lt;$X2714))+1,"")</f>
        <v/>
      </c>
      <c r="W2714">
        <f>IF($A2714="","",IF(OR($T2714=TRUE(),$T2714="TRUE"),1,0))</f>
        <v/>
      </c>
      <c r="X2714">
        <f>IF($U2714=1,IFERROR(IF(VALUE($A2714)&lt;100000000,VALUE($A2714),1000000000),IFERROR(IF(VALUE(MID($A2714,2,20))&lt;100000000,VALUE(MID($A2714,2,20)),1000000000),1000000000))+ROW()/100000,"")</f>
        <v/>
      </c>
    </row>
    <row r="2715">
      <c r="F2715" s="7">
        <f>IF($A2715="","",E2715*N2715/100)</f>
        <v/>
      </c>
      <c r="J2715" s="7" t="n"/>
      <c r="K2715" s="7">
        <f>IF($A2715="","",S2715*N2715)</f>
        <v/>
      </c>
      <c r="L2715" s="7">
        <f>IF($A2715="","",N2715-K2715)</f>
        <v/>
      </c>
      <c r="M2715" s="7">
        <f>IF($A2715="","",L2715-F2715)</f>
        <v/>
      </c>
      <c r="N2715" s="7" t="n"/>
      <c r="Q2715" s="11" t="n"/>
      <c r="S2715">
        <f>IF($A2715="","",IF($W2715=1,Settings!$C$6,Settings!$C$7)*1)</f>
        <v/>
      </c>
      <c r="U2715">
        <f>IF($A2715="","",IF(COUNTIF($A$2:$A2715,$A2715)=1,1,0))</f>
        <v/>
      </c>
      <c r="V2715">
        <f>IF($U2715=1,SUMPRODUCT(--($X$2:$X$3001&lt;$X2715))+1,"")</f>
        <v/>
      </c>
      <c r="W2715">
        <f>IF($A2715="","",IF(OR($T2715=TRUE(),$T2715="TRUE"),1,0))</f>
        <v/>
      </c>
      <c r="X2715">
        <f>IF($U2715=1,IFERROR(IF(VALUE($A2715)&lt;100000000,VALUE($A2715),1000000000),IFERROR(IF(VALUE(MID($A2715,2,20))&lt;100000000,VALUE(MID($A2715,2,20)),1000000000),1000000000))+ROW()/100000,"")</f>
        <v/>
      </c>
    </row>
    <row r="2716">
      <c r="F2716" s="7">
        <f>IF($A2716="","",E2716*N2716/100)</f>
        <v/>
      </c>
      <c r="J2716" s="7" t="n"/>
      <c r="K2716" s="7">
        <f>IF($A2716="","",S2716*N2716)</f>
        <v/>
      </c>
      <c r="L2716" s="7">
        <f>IF($A2716="","",N2716-K2716)</f>
        <v/>
      </c>
      <c r="M2716" s="7">
        <f>IF($A2716="","",L2716-F2716)</f>
        <v/>
      </c>
      <c r="N2716" s="7" t="n"/>
      <c r="Q2716" s="11" t="n"/>
      <c r="S2716">
        <f>IF($A2716="","",IF($W2716=1,Settings!$C$6,Settings!$C$7)*1)</f>
        <v/>
      </c>
      <c r="U2716">
        <f>IF($A2716="","",IF(COUNTIF($A$2:$A2716,$A2716)=1,1,0))</f>
        <v/>
      </c>
      <c r="V2716">
        <f>IF($U2716=1,SUMPRODUCT(--($X$2:$X$3001&lt;$X2716))+1,"")</f>
        <v/>
      </c>
      <c r="W2716">
        <f>IF($A2716="","",IF(OR($T2716=TRUE(),$T2716="TRUE"),1,0))</f>
        <v/>
      </c>
      <c r="X2716">
        <f>IF($U2716=1,IFERROR(IF(VALUE($A2716)&lt;100000000,VALUE($A2716),1000000000),IFERROR(IF(VALUE(MID($A2716,2,20))&lt;100000000,VALUE(MID($A2716,2,20)),1000000000),1000000000))+ROW()/100000,"")</f>
        <v/>
      </c>
    </row>
    <row r="2717">
      <c r="F2717" s="7">
        <f>IF($A2717="","",E2717*N2717/100)</f>
        <v/>
      </c>
      <c r="J2717" s="7" t="n"/>
      <c r="K2717" s="7">
        <f>IF($A2717="","",S2717*N2717)</f>
        <v/>
      </c>
      <c r="L2717" s="7">
        <f>IF($A2717="","",N2717-K2717)</f>
        <v/>
      </c>
      <c r="M2717" s="7">
        <f>IF($A2717="","",L2717-F2717)</f>
        <v/>
      </c>
      <c r="N2717" s="7" t="n"/>
      <c r="Q2717" s="11" t="n"/>
      <c r="S2717">
        <f>IF($A2717="","",IF($W2717=1,Settings!$C$6,Settings!$C$7)*1)</f>
        <v/>
      </c>
      <c r="U2717">
        <f>IF($A2717="","",IF(COUNTIF($A$2:$A2717,$A2717)=1,1,0))</f>
        <v/>
      </c>
      <c r="V2717">
        <f>IF($U2717=1,SUMPRODUCT(--($X$2:$X$3001&lt;$X2717))+1,"")</f>
        <v/>
      </c>
      <c r="W2717">
        <f>IF($A2717="","",IF(OR($T2717=TRUE(),$T2717="TRUE"),1,0))</f>
        <v/>
      </c>
      <c r="X2717">
        <f>IF($U2717=1,IFERROR(IF(VALUE($A2717)&lt;100000000,VALUE($A2717),1000000000),IFERROR(IF(VALUE(MID($A2717,2,20))&lt;100000000,VALUE(MID($A2717,2,20)),1000000000),1000000000))+ROW()/100000,"")</f>
        <v/>
      </c>
    </row>
    <row r="2718">
      <c r="F2718" s="7">
        <f>IF($A2718="","",E2718*N2718/100)</f>
        <v/>
      </c>
      <c r="J2718" s="7" t="n"/>
      <c r="K2718" s="7">
        <f>IF($A2718="","",S2718*N2718)</f>
        <v/>
      </c>
      <c r="L2718" s="7">
        <f>IF($A2718="","",N2718-K2718)</f>
        <v/>
      </c>
      <c r="M2718" s="7">
        <f>IF($A2718="","",L2718-F2718)</f>
        <v/>
      </c>
      <c r="N2718" s="7" t="n"/>
      <c r="Q2718" s="11" t="n"/>
      <c r="S2718">
        <f>IF($A2718="","",IF($W2718=1,Settings!$C$6,Settings!$C$7)*1)</f>
        <v/>
      </c>
      <c r="U2718">
        <f>IF($A2718="","",IF(COUNTIF($A$2:$A2718,$A2718)=1,1,0))</f>
        <v/>
      </c>
      <c r="V2718">
        <f>IF($U2718=1,SUMPRODUCT(--($X$2:$X$3001&lt;$X2718))+1,"")</f>
        <v/>
      </c>
      <c r="W2718">
        <f>IF($A2718="","",IF(OR($T2718=TRUE(),$T2718="TRUE"),1,0))</f>
        <v/>
      </c>
      <c r="X2718">
        <f>IF($U2718=1,IFERROR(IF(VALUE($A2718)&lt;100000000,VALUE($A2718),1000000000),IFERROR(IF(VALUE(MID($A2718,2,20))&lt;100000000,VALUE(MID($A2718,2,20)),1000000000),1000000000))+ROW()/100000,"")</f>
        <v/>
      </c>
    </row>
    <row r="2719">
      <c r="F2719" s="7">
        <f>IF($A2719="","",E2719*N2719/100)</f>
        <v/>
      </c>
      <c r="J2719" s="7" t="n"/>
      <c r="K2719" s="7">
        <f>IF($A2719="","",S2719*N2719)</f>
        <v/>
      </c>
      <c r="L2719" s="7">
        <f>IF($A2719="","",N2719-K2719)</f>
        <v/>
      </c>
      <c r="M2719" s="7">
        <f>IF($A2719="","",L2719-F2719)</f>
        <v/>
      </c>
      <c r="N2719" s="7" t="n"/>
      <c r="Q2719" s="11" t="n"/>
      <c r="S2719">
        <f>IF($A2719="","",IF($W2719=1,Settings!$C$6,Settings!$C$7)*1)</f>
        <v/>
      </c>
      <c r="U2719">
        <f>IF($A2719="","",IF(COUNTIF($A$2:$A2719,$A2719)=1,1,0))</f>
        <v/>
      </c>
      <c r="V2719">
        <f>IF($U2719=1,SUMPRODUCT(--($X$2:$X$3001&lt;$X2719))+1,"")</f>
        <v/>
      </c>
      <c r="W2719">
        <f>IF($A2719="","",IF(OR($T2719=TRUE(),$T2719="TRUE"),1,0))</f>
        <v/>
      </c>
      <c r="X2719">
        <f>IF($U2719=1,IFERROR(IF(VALUE($A2719)&lt;100000000,VALUE($A2719),1000000000),IFERROR(IF(VALUE(MID($A2719,2,20))&lt;100000000,VALUE(MID($A2719,2,20)),1000000000),1000000000))+ROW()/100000,"")</f>
        <v/>
      </c>
    </row>
    <row r="2720">
      <c r="F2720" s="7">
        <f>IF($A2720="","",E2720*N2720/100)</f>
        <v/>
      </c>
      <c r="J2720" s="7" t="n"/>
      <c r="K2720" s="7">
        <f>IF($A2720="","",S2720*N2720)</f>
        <v/>
      </c>
      <c r="L2720" s="7">
        <f>IF($A2720="","",N2720-K2720)</f>
        <v/>
      </c>
      <c r="M2720" s="7">
        <f>IF($A2720="","",L2720-F2720)</f>
        <v/>
      </c>
      <c r="N2720" s="7" t="n"/>
      <c r="Q2720" s="11" t="n"/>
      <c r="S2720">
        <f>IF($A2720="","",IF($W2720=1,Settings!$C$6,Settings!$C$7)*1)</f>
        <v/>
      </c>
      <c r="U2720">
        <f>IF($A2720="","",IF(COUNTIF($A$2:$A2720,$A2720)=1,1,0))</f>
        <v/>
      </c>
      <c r="V2720">
        <f>IF($U2720=1,SUMPRODUCT(--($X$2:$X$3001&lt;$X2720))+1,"")</f>
        <v/>
      </c>
      <c r="W2720">
        <f>IF($A2720="","",IF(OR($T2720=TRUE(),$T2720="TRUE"),1,0))</f>
        <v/>
      </c>
      <c r="X2720">
        <f>IF($U2720=1,IFERROR(IF(VALUE($A2720)&lt;100000000,VALUE($A2720),1000000000),IFERROR(IF(VALUE(MID($A2720,2,20))&lt;100000000,VALUE(MID($A2720,2,20)),1000000000),1000000000))+ROW()/100000,"")</f>
        <v/>
      </c>
    </row>
    <row r="2721">
      <c r="F2721" s="7">
        <f>IF($A2721="","",E2721*N2721/100)</f>
        <v/>
      </c>
      <c r="J2721" s="7" t="n"/>
      <c r="K2721" s="7">
        <f>IF($A2721="","",S2721*N2721)</f>
        <v/>
      </c>
      <c r="L2721" s="7">
        <f>IF($A2721="","",N2721-K2721)</f>
        <v/>
      </c>
      <c r="M2721" s="7">
        <f>IF($A2721="","",L2721-F2721)</f>
        <v/>
      </c>
      <c r="N2721" s="7" t="n"/>
      <c r="Q2721" s="11" t="n"/>
      <c r="S2721">
        <f>IF($A2721="","",IF($W2721=1,Settings!$C$6,Settings!$C$7)*1)</f>
        <v/>
      </c>
      <c r="U2721">
        <f>IF($A2721="","",IF(COUNTIF($A$2:$A2721,$A2721)=1,1,0))</f>
        <v/>
      </c>
      <c r="V2721">
        <f>IF($U2721=1,SUMPRODUCT(--($X$2:$X$3001&lt;$X2721))+1,"")</f>
        <v/>
      </c>
      <c r="W2721">
        <f>IF($A2721="","",IF(OR($T2721=TRUE(),$T2721="TRUE"),1,0))</f>
        <v/>
      </c>
      <c r="X2721">
        <f>IF($U2721=1,IFERROR(IF(VALUE($A2721)&lt;100000000,VALUE($A2721),1000000000),IFERROR(IF(VALUE(MID($A2721,2,20))&lt;100000000,VALUE(MID($A2721,2,20)),1000000000),1000000000))+ROW()/100000,"")</f>
        <v/>
      </c>
    </row>
    <row r="2722">
      <c r="F2722" s="7">
        <f>IF($A2722="","",E2722*N2722/100)</f>
        <v/>
      </c>
      <c r="J2722" s="7" t="n"/>
      <c r="K2722" s="7">
        <f>IF($A2722="","",S2722*N2722)</f>
        <v/>
      </c>
      <c r="L2722" s="7">
        <f>IF($A2722="","",N2722-K2722)</f>
        <v/>
      </c>
      <c r="M2722" s="7">
        <f>IF($A2722="","",L2722-F2722)</f>
        <v/>
      </c>
      <c r="N2722" s="7" t="n"/>
      <c r="Q2722" s="11" t="n"/>
      <c r="S2722">
        <f>IF($A2722="","",IF($W2722=1,Settings!$C$6,Settings!$C$7)*1)</f>
        <v/>
      </c>
      <c r="U2722">
        <f>IF($A2722="","",IF(COUNTIF($A$2:$A2722,$A2722)=1,1,0))</f>
        <v/>
      </c>
      <c r="V2722">
        <f>IF($U2722=1,SUMPRODUCT(--($X$2:$X$3001&lt;$X2722))+1,"")</f>
        <v/>
      </c>
      <c r="W2722">
        <f>IF($A2722="","",IF(OR($T2722=TRUE(),$T2722="TRUE"),1,0))</f>
        <v/>
      </c>
      <c r="X2722">
        <f>IF($U2722=1,IFERROR(IF(VALUE($A2722)&lt;100000000,VALUE($A2722),1000000000),IFERROR(IF(VALUE(MID($A2722,2,20))&lt;100000000,VALUE(MID($A2722,2,20)),1000000000),1000000000))+ROW()/100000,"")</f>
        <v/>
      </c>
    </row>
    <row r="2723">
      <c r="F2723" s="7">
        <f>IF($A2723="","",E2723*N2723/100)</f>
        <v/>
      </c>
      <c r="J2723" s="7" t="n"/>
      <c r="K2723" s="7">
        <f>IF($A2723="","",S2723*N2723)</f>
        <v/>
      </c>
      <c r="L2723" s="7">
        <f>IF($A2723="","",N2723-K2723)</f>
        <v/>
      </c>
      <c r="M2723" s="7">
        <f>IF($A2723="","",L2723-F2723)</f>
        <v/>
      </c>
      <c r="N2723" s="7" t="n"/>
      <c r="Q2723" s="11" t="n"/>
      <c r="S2723">
        <f>IF($A2723="","",IF($W2723=1,Settings!$C$6,Settings!$C$7)*1)</f>
        <v/>
      </c>
      <c r="U2723">
        <f>IF($A2723="","",IF(COUNTIF($A$2:$A2723,$A2723)=1,1,0))</f>
        <v/>
      </c>
      <c r="V2723">
        <f>IF($U2723=1,SUMPRODUCT(--($X$2:$X$3001&lt;$X2723))+1,"")</f>
        <v/>
      </c>
      <c r="W2723">
        <f>IF($A2723="","",IF(OR($T2723=TRUE(),$T2723="TRUE"),1,0))</f>
        <v/>
      </c>
      <c r="X2723">
        <f>IF($U2723=1,IFERROR(IF(VALUE($A2723)&lt;100000000,VALUE($A2723),1000000000),IFERROR(IF(VALUE(MID($A2723,2,20))&lt;100000000,VALUE(MID($A2723,2,20)),1000000000),1000000000))+ROW()/100000,"")</f>
        <v/>
      </c>
    </row>
    <row r="2724">
      <c r="F2724" s="7">
        <f>IF($A2724="","",E2724*N2724/100)</f>
        <v/>
      </c>
      <c r="J2724" s="7" t="n"/>
      <c r="K2724" s="7">
        <f>IF($A2724="","",S2724*N2724)</f>
        <v/>
      </c>
      <c r="L2724" s="7">
        <f>IF($A2724="","",N2724-K2724)</f>
        <v/>
      </c>
      <c r="M2724" s="7">
        <f>IF($A2724="","",L2724-F2724)</f>
        <v/>
      </c>
      <c r="N2724" s="7" t="n"/>
      <c r="Q2724" s="11" t="n"/>
      <c r="S2724">
        <f>IF($A2724="","",IF($W2724=1,Settings!$C$6,Settings!$C$7)*1)</f>
        <v/>
      </c>
      <c r="U2724">
        <f>IF($A2724="","",IF(COUNTIF($A$2:$A2724,$A2724)=1,1,0))</f>
        <v/>
      </c>
      <c r="V2724">
        <f>IF($U2724=1,SUMPRODUCT(--($X$2:$X$3001&lt;$X2724))+1,"")</f>
        <v/>
      </c>
      <c r="W2724">
        <f>IF($A2724="","",IF(OR($T2724=TRUE(),$T2724="TRUE"),1,0))</f>
        <v/>
      </c>
      <c r="X2724">
        <f>IF($U2724=1,IFERROR(IF(VALUE($A2724)&lt;100000000,VALUE($A2724),1000000000),IFERROR(IF(VALUE(MID($A2724,2,20))&lt;100000000,VALUE(MID($A2724,2,20)),1000000000),1000000000))+ROW()/100000,"")</f>
        <v/>
      </c>
    </row>
    <row r="2725">
      <c r="F2725" s="7">
        <f>IF($A2725="","",E2725*N2725/100)</f>
        <v/>
      </c>
      <c r="J2725" s="7" t="n"/>
      <c r="K2725" s="7">
        <f>IF($A2725="","",S2725*N2725)</f>
        <v/>
      </c>
      <c r="L2725" s="7">
        <f>IF($A2725="","",N2725-K2725)</f>
        <v/>
      </c>
      <c r="M2725" s="7">
        <f>IF($A2725="","",L2725-F2725)</f>
        <v/>
      </c>
      <c r="N2725" s="7" t="n"/>
      <c r="Q2725" s="11" t="n"/>
      <c r="S2725">
        <f>IF($A2725="","",IF($W2725=1,Settings!$C$6,Settings!$C$7)*1)</f>
        <v/>
      </c>
      <c r="U2725">
        <f>IF($A2725="","",IF(COUNTIF($A$2:$A2725,$A2725)=1,1,0))</f>
        <v/>
      </c>
      <c r="V2725">
        <f>IF($U2725=1,SUMPRODUCT(--($X$2:$X$3001&lt;$X2725))+1,"")</f>
        <v/>
      </c>
      <c r="W2725">
        <f>IF($A2725="","",IF(OR($T2725=TRUE(),$T2725="TRUE"),1,0))</f>
        <v/>
      </c>
      <c r="X2725">
        <f>IF($U2725=1,IFERROR(IF(VALUE($A2725)&lt;100000000,VALUE($A2725),1000000000),IFERROR(IF(VALUE(MID($A2725,2,20))&lt;100000000,VALUE(MID($A2725,2,20)),1000000000),1000000000))+ROW()/100000,"")</f>
        <v/>
      </c>
    </row>
    <row r="2726">
      <c r="F2726" s="7">
        <f>IF($A2726="","",E2726*N2726/100)</f>
        <v/>
      </c>
      <c r="J2726" s="7" t="n"/>
      <c r="K2726" s="7">
        <f>IF($A2726="","",S2726*N2726)</f>
        <v/>
      </c>
      <c r="L2726" s="7">
        <f>IF($A2726="","",N2726-K2726)</f>
        <v/>
      </c>
      <c r="M2726" s="7">
        <f>IF($A2726="","",L2726-F2726)</f>
        <v/>
      </c>
      <c r="N2726" s="7" t="n"/>
      <c r="Q2726" s="11" t="n"/>
      <c r="S2726">
        <f>IF($A2726="","",IF($W2726=1,Settings!$C$6,Settings!$C$7)*1)</f>
        <v/>
      </c>
      <c r="U2726">
        <f>IF($A2726="","",IF(COUNTIF($A$2:$A2726,$A2726)=1,1,0))</f>
        <v/>
      </c>
      <c r="V2726">
        <f>IF($U2726=1,SUMPRODUCT(--($X$2:$X$3001&lt;$X2726))+1,"")</f>
        <v/>
      </c>
      <c r="W2726">
        <f>IF($A2726="","",IF(OR($T2726=TRUE(),$T2726="TRUE"),1,0))</f>
        <v/>
      </c>
      <c r="X2726">
        <f>IF($U2726=1,IFERROR(IF(VALUE($A2726)&lt;100000000,VALUE($A2726),1000000000),IFERROR(IF(VALUE(MID($A2726,2,20))&lt;100000000,VALUE(MID($A2726,2,20)),1000000000),1000000000))+ROW()/100000,"")</f>
        <v/>
      </c>
    </row>
    <row r="2727">
      <c r="F2727" s="7">
        <f>IF($A2727="","",E2727*N2727/100)</f>
        <v/>
      </c>
      <c r="J2727" s="7" t="n"/>
      <c r="K2727" s="7">
        <f>IF($A2727="","",S2727*N2727)</f>
        <v/>
      </c>
      <c r="L2727" s="7">
        <f>IF($A2727="","",N2727-K2727)</f>
        <v/>
      </c>
      <c r="M2727" s="7">
        <f>IF($A2727="","",L2727-F2727)</f>
        <v/>
      </c>
      <c r="N2727" s="7" t="n"/>
      <c r="Q2727" s="11" t="n"/>
      <c r="S2727">
        <f>IF($A2727="","",IF($W2727=1,Settings!$C$6,Settings!$C$7)*1)</f>
        <v/>
      </c>
      <c r="U2727">
        <f>IF($A2727="","",IF(COUNTIF($A$2:$A2727,$A2727)=1,1,0))</f>
        <v/>
      </c>
      <c r="V2727">
        <f>IF($U2727=1,SUMPRODUCT(--($X$2:$X$3001&lt;$X2727))+1,"")</f>
        <v/>
      </c>
      <c r="W2727">
        <f>IF($A2727="","",IF(OR($T2727=TRUE(),$T2727="TRUE"),1,0))</f>
        <v/>
      </c>
      <c r="X2727">
        <f>IF($U2727=1,IFERROR(IF(VALUE($A2727)&lt;100000000,VALUE($A2727),1000000000),IFERROR(IF(VALUE(MID($A2727,2,20))&lt;100000000,VALUE(MID($A2727,2,20)),1000000000),1000000000))+ROW()/100000,"")</f>
        <v/>
      </c>
    </row>
    <row r="2728">
      <c r="F2728" s="7">
        <f>IF($A2728="","",E2728*N2728/100)</f>
        <v/>
      </c>
      <c r="J2728" s="7" t="n"/>
      <c r="K2728" s="7">
        <f>IF($A2728="","",S2728*N2728)</f>
        <v/>
      </c>
      <c r="L2728" s="7">
        <f>IF($A2728="","",N2728-K2728)</f>
        <v/>
      </c>
      <c r="M2728" s="7">
        <f>IF($A2728="","",L2728-F2728)</f>
        <v/>
      </c>
      <c r="N2728" s="7" t="n"/>
      <c r="Q2728" s="11" t="n"/>
      <c r="S2728">
        <f>IF($A2728="","",IF($W2728=1,Settings!$C$6,Settings!$C$7)*1)</f>
        <v/>
      </c>
      <c r="U2728">
        <f>IF($A2728="","",IF(COUNTIF($A$2:$A2728,$A2728)=1,1,0))</f>
        <v/>
      </c>
      <c r="V2728">
        <f>IF($U2728=1,SUMPRODUCT(--($X$2:$X$3001&lt;$X2728))+1,"")</f>
        <v/>
      </c>
      <c r="W2728">
        <f>IF($A2728="","",IF(OR($T2728=TRUE(),$T2728="TRUE"),1,0))</f>
        <v/>
      </c>
      <c r="X2728">
        <f>IF($U2728=1,IFERROR(IF(VALUE($A2728)&lt;100000000,VALUE($A2728),1000000000),IFERROR(IF(VALUE(MID($A2728,2,20))&lt;100000000,VALUE(MID($A2728,2,20)),1000000000),1000000000))+ROW()/100000,"")</f>
        <v/>
      </c>
    </row>
    <row r="2729">
      <c r="F2729" s="7">
        <f>IF($A2729="","",E2729*N2729/100)</f>
        <v/>
      </c>
      <c r="J2729" s="7" t="n"/>
      <c r="K2729" s="7">
        <f>IF($A2729="","",S2729*N2729)</f>
        <v/>
      </c>
      <c r="L2729" s="7">
        <f>IF($A2729="","",N2729-K2729)</f>
        <v/>
      </c>
      <c r="M2729" s="7">
        <f>IF($A2729="","",L2729-F2729)</f>
        <v/>
      </c>
      <c r="N2729" s="7" t="n"/>
      <c r="Q2729" s="11" t="n"/>
      <c r="S2729">
        <f>IF($A2729="","",IF($W2729=1,Settings!$C$6,Settings!$C$7)*1)</f>
        <v/>
      </c>
      <c r="U2729">
        <f>IF($A2729="","",IF(COUNTIF($A$2:$A2729,$A2729)=1,1,0))</f>
        <v/>
      </c>
      <c r="V2729">
        <f>IF($U2729=1,SUMPRODUCT(--($X$2:$X$3001&lt;$X2729))+1,"")</f>
        <v/>
      </c>
      <c r="W2729">
        <f>IF($A2729="","",IF(OR($T2729=TRUE(),$T2729="TRUE"),1,0))</f>
        <v/>
      </c>
      <c r="X2729">
        <f>IF($U2729=1,IFERROR(IF(VALUE($A2729)&lt;100000000,VALUE($A2729),1000000000),IFERROR(IF(VALUE(MID($A2729,2,20))&lt;100000000,VALUE(MID($A2729,2,20)),1000000000),1000000000))+ROW()/100000,"")</f>
        <v/>
      </c>
    </row>
    <row r="2730">
      <c r="F2730" s="7">
        <f>IF($A2730="","",E2730*N2730/100)</f>
        <v/>
      </c>
      <c r="J2730" s="7" t="n"/>
      <c r="K2730" s="7">
        <f>IF($A2730="","",S2730*N2730)</f>
        <v/>
      </c>
      <c r="L2730" s="7">
        <f>IF($A2730="","",N2730-K2730)</f>
        <v/>
      </c>
      <c r="M2730" s="7">
        <f>IF($A2730="","",L2730-F2730)</f>
        <v/>
      </c>
      <c r="N2730" s="7" t="n"/>
      <c r="Q2730" s="11" t="n"/>
      <c r="S2730">
        <f>IF($A2730="","",IF($W2730=1,Settings!$C$6,Settings!$C$7)*1)</f>
        <v/>
      </c>
      <c r="U2730">
        <f>IF($A2730="","",IF(COUNTIF($A$2:$A2730,$A2730)=1,1,0))</f>
        <v/>
      </c>
      <c r="V2730">
        <f>IF($U2730=1,SUMPRODUCT(--($X$2:$X$3001&lt;$X2730))+1,"")</f>
        <v/>
      </c>
      <c r="W2730">
        <f>IF($A2730="","",IF(OR($T2730=TRUE(),$T2730="TRUE"),1,0))</f>
        <v/>
      </c>
      <c r="X2730">
        <f>IF($U2730=1,IFERROR(IF(VALUE($A2730)&lt;100000000,VALUE($A2730),1000000000),IFERROR(IF(VALUE(MID($A2730,2,20))&lt;100000000,VALUE(MID($A2730,2,20)),1000000000),1000000000))+ROW()/100000,"")</f>
        <v/>
      </c>
    </row>
    <row r="2731">
      <c r="F2731" s="7">
        <f>IF($A2731="","",E2731*N2731/100)</f>
        <v/>
      </c>
      <c r="J2731" s="7" t="n"/>
      <c r="K2731" s="7">
        <f>IF($A2731="","",S2731*N2731)</f>
        <v/>
      </c>
      <c r="L2731" s="7">
        <f>IF($A2731="","",N2731-K2731)</f>
        <v/>
      </c>
      <c r="M2731" s="7">
        <f>IF($A2731="","",L2731-F2731)</f>
        <v/>
      </c>
      <c r="N2731" s="7" t="n"/>
      <c r="Q2731" s="11" t="n"/>
      <c r="S2731">
        <f>IF($A2731="","",IF($W2731=1,Settings!$C$6,Settings!$C$7)*1)</f>
        <v/>
      </c>
      <c r="U2731">
        <f>IF($A2731="","",IF(COUNTIF($A$2:$A2731,$A2731)=1,1,0))</f>
        <v/>
      </c>
      <c r="V2731">
        <f>IF($U2731=1,SUMPRODUCT(--($X$2:$X$3001&lt;$X2731))+1,"")</f>
        <v/>
      </c>
      <c r="W2731">
        <f>IF($A2731="","",IF(OR($T2731=TRUE(),$T2731="TRUE"),1,0))</f>
        <v/>
      </c>
      <c r="X2731">
        <f>IF($U2731=1,IFERROR(IF(VALUE($A2731)&lt;100000000,VALUE($A2731),1000000000),IFERROR(IF(VALUE(MID($A2731,2,20))&lt;100000000,VALUE(MID($A2731,2,20)),1000000000),1000000000))+ROW()/100000,"")</f>
        <v/>
      </c>
    </row>
    <row r="2732">
      <c r="F2732" s="7">
        <f>IF($A2732="","",E2732*N2732/100)</f>
        <v/>
      </c>
      <c r="J2732" s="7" t="n"/>
      <c r="K2732" s="7">
        <f>IF($A2732="","",S2732*N2732)</f>
        <v/>
      </c>
      <c r="L2732" s="7">
        <f>IF($A2732="","",N2732-K2732)</f>
        <v/>
      </c>
      <c r="M2732" s="7">
        <f>IF($A2732="","",L2732-F2732)</f>
        <v/>
      </c>
      <c r="N2732" s="7" t="n"/>
      <c r="Q2732" s="11" t="n"/>
      <c r="S2732">
        <f>IF($A2732="","",IF($W2732=1,Settings!$C$6,Settings!$C$7)*1)</f>
        <v/>
      </c>
      <c r="U2732">
        <f>IF($A2732="","",IF(COUNTIF($A$2:$A2732,$A2732)=1,1,0))</f>
        <v/>
      </c>
      <c r="V2732">
        <f>IF($U2732=1,SUMPRODUCT(--($X$2:$X$3001&lt;$X2732))+1,"")</f>
        <v/>
      </c>
      <c r="W2732">
        <f>IF($A2732="","",IF(OR($T2732=TRUE(),$T2732="TRUE"),1,0))</f>
        <v/>
      </c>
      <c r="X2732">
        <f>IF($U2732=1,IFERROR(IF(VALUE($A2732)&lt;100000000,VALUE($A2732),1000000000),IFERROR(IF(VALUE(MID($A2732,2,20))&lt;100000000,VALUE(MID($A2732,2,20)),1000000000),1000000000))+ROW()/100000,"")</f>
        <v/>
      </c>
    </row>
    <row r="2733">
      <c r="F2733" s="7">
        <f>IF($A2733="","",E2733*N2733/100)</f>
        <v/>
      </c>
      <c r="J2733" s="7" t="n"/>
      <c r="K2733" s="7">
        <f>IF($A2733="","",S2733*N2733)</f>
        <v/>
      </c>
      <c r="L2733" s="7">
        <f>IF($A2733="","",N2733-K2733)</f>
        <v/>
      </c>
      <c r="M2733" s="7">
        <f>IF($A2733="","",L2733-F2733)</f>
        <v/>
      </c>
      <c r="N2733" s="7" t="n"/>
      <c r="Q2733" s="11" t="n"/>
      <c r="S2733">
        <f>IF($A2733="","",IF($W2733=1,Settings!$C$6,Settings!$C$7)*1)</f>
        <v/>
      </c>
      <c r="U2733">
        <f>IF($A2733="","",IF(COUNTIF($A$2:$A2733,$A2733)=1,1,0))</f>
        <v/>
      </c>
      <c r="V2733">
        <f>IF($U2733=1,SUMPRODUCT(--($X$2:$X$3001&lt;$X2733))+1,"")</f>
        <v/>
      </c>
      <c r="W2733">
        <f>IF($A2733="","",IF(OR($T2733=TRUE(),$T2733="TRUE"),1,0))</f>
        <v/>
      </c>
      <c r="X2733">
        <f>IF($U2733=1,IFERROR(IF(VALUE($A2733)&lt;100000000,VALUE($A2733),1000000000),IFERROR(IF(VALUE(MID($A2733,2,20))&lt;100000000,VALUE(MID($A2733,2,20)),1000000000),1000000000))+ROW()/100000,"")</f>
        <v/>
      </c>
    </row>
    <row r="2734">
      <c r="F2734" s="7">
        <f>IF($A2734="","",E2734*N2734/100)</f>
        <v/>
      </c>
      <c r="J2734" s="7" t="n"/>
      <c r="K2734" s="7">
        <f>IF($A2734="","",S2734*N2734)</f>
        <v/>
      </c>
      <c r="L2734" s="7">
        <f>IF($A2734="","",N2734-K2734)</f>
        <v/>
      </c>
      <c r="M2734" s="7">
        <f>IF($A2734="","",L2734-F2734)</f>
        <v/>
      </c>
      <c r="N2734" s="7" t="n"/>
      <c r="Q2734" s="11" t="n"/>
      <c r="S2734">
        <f>IF($A2734="","",IF($W2734=1,Settings!$C$6,Settings!$C$7)*1)</f>
        <v/>
      </c>
      <c r="U2734">
        <f>IF($A2734="","",IF(COUNTIF($A$2:$A2734,$A2734)=1,1,0))</f>
        <v/>
      </c>
      <c r="V2734">
        <f>IF($U2734=1,SUMPRODUCT(--($X$2:$X$3001&lt;$X2734))+1,"")</f>
        <v/>
      </c>
      <c r="W2734">
        <f>IF($A2734="","",IF(OR($T2734=TRUE(),$T2734="TRUE"),1,0))</f>
        <v/>
      </c>
      <c r="X2734">
        <f>IF($U2734=1,IFERROR(IF(VALUE($A2734)&lt;100000000,VALUE($A2734),1000000000),IFERROR(IF(VALUE(MID($A2734,2,20))&lt;100000000,VALUE(MID($A2734,2,20)),1000000000),1000000000))+ROW()/100000,"")</f>
        <v/>
      </c>
    </row>
    <row r="2735">
      <c r="F2735" s="7">
        <f>IF($A2735="","",E2735*N2735/100)</f>
        <v/>
      </c>
      <c r="J2735" s="7" t="n"/>
      <c r="K2735" s="7">
        <f>IF($A2735="","",S2735*N2735)</f>
        <v/>
      </c>
      <c r="L2735" s="7">
        <f>IF($A2735="","",N2735-K2735)</f>
        <v/>
      </c>
      <c r="M2735" s="7">
        <f>IF($A2735="","",L2735-F2735)</f>
        <v/>
      </c>
      <c r="N2735" s="7" t="n"/>
      <c r="Q2735" s="11" t="n"/>
      <c r="S2735">
        <f>IF($A2735="","",IF($W2735=1,Settings!$C$6,Settings!$C$7)*1)</f>
        <v/>
      </c>
      <c r="U2735">
        <f>IF($A2735="","",IF(COUNTIF($A$2:$A2735,$A2735)=1,1,0))</f>
        <v/>
      </c>
      <c r="V2735">
        <f>IF($U2735=1,SUMPRODUCT(--($X$2:$X$3001&lt;$X2735))+1,"")</f>
        <v/>
      </c>
      <c r="W2735">
        <f>IF($A2735="","",IF(OR($T2735=TRUE(),$T2735="TRUE"),1,0))</f>
        <v/>
      </c>
      <c r="X2735">
        <f>IF($U2735=1,IFERROR(IF(VALUE($A2735)&lt;100000000,VALUE($A2735),1000000000),IFERROR(IF(VALUE(MID($A2735,2,20))&lt;100000000,VALUE(MID($A2735,2,20)),1000000000),1000000000))+ROW()/100000,"")</f>
        <v/>
      </c>
    </row>
    <row r="2736">
      <c r="F2736" s="7">
        <f>IF($A2736="","",E2736*N2736/100)</f>
        <v/>
      </c>
      <c r="J2736" s="7" t="n"/>
      <c r="K2736" s="7">
        <f>IF($A2736="","",S2736*N2736)</f>
        <v/>
      </c>
      <c r="L2736" s="7">
        <f>IF($A2736="","",N2736-K2736)</f>
        <v/>
      </c>
      <c r="M2736" s="7">
        <f>IF($A2736="","",L2736-F2736)</f>
        <v/>
      </c>
      <c r="N2736" s="7" t="n"/>
      <c r="Q2736" s="11" t="n"/>
      <c r="S2736">
        <f>IF($A2736="","",IF($W2736=1,Settings!$C$6,Settings!$C$7)*1)</f>
        <v/>
      </c>
      <c r="U2736">
        <f>IF($A2736="","",IF(COUNTIF($A$2:$A2736,$A2736)=1,1,0))</f>
        <v/>
      </c>
      <c r="V2736">
        <f>IF($U2736=1,SUMPRODUCT(--($X$2:$X$3001&lt;$X2736))+1,"")</f>
        <v/>
      </c>
      <c r="W2736">
        <f>IF($A2736="","",IF(OR($T2736=TRUE(),$T2736="TRUE"),1,0))</f>
        <v/>
      </c>
      <c r="X2736">
        <f>IF($U2736=1,IFERROR(IF(VALUE($A2736)&lt;100000000,VALUE($A2736),1000000000),IFERROR(IF(VALUE(MID($A2736,2,20))&lt;100000000,VALUE(MID($A2736,2,20)),1000000000),1000000000))+ROW()/100000,"")</f>
        <v/>
      </c>
    </row>
    <row r="2737">
      <c r="F2737" s="7">
        <f>IF($A2737="","",E2737*N2737/100)</f>
        <v/>
      </c>
      <c r="J2737" s="7" t="n"/>
      <c r="K2737" s="7">
        <f>IF($A2737="","",S2737*N2737)</f>
        <v/>
      </c>
      <c r="L2737" s="7">
        <f>IF($A2737="","",N2737-K2737)</f>
        <v/>
      </c>
      <c r="M2737" s="7">
        <f>IF($A2737="","",L2737-F2737)</f>
        <v/>
      </c>
      <c r="N2737" s="7" t="n"/>
      <c r="Q2737" s="11" t="n"/>
      <c r="S2737">
        <f>IF($A2737="","",IF($W2737=1,Settings!$C$6,Settings!$C$7)*1)</f>
        <v/>
      </c>
      <c r="U2737">
        <f>IF($A2737="","",IF(COUNTIF($A$2:$A2737,$A2737)=1,1,0))</f>
        <v/>
      </c>
      <c r="V2737">
        <f>IF($U2737=1,SUMPRODUCT(--($X$2:$X$3001&lt;$X2737))+1,"")</f>
        <v/>
      </c>
      <c r="W2737">
        <f>IF($A2737="","",IF(OR($T2737=TRUE(),$T2737="TRUE"),1,0))</f>
        <v/>
      </c>
      <c r="X2737">
        <f>IF($U2737=1,IFERROR(IF(VALUE($A2737)&lt;100000000,VALUE($A2737),1000000000),IFERROR(IF(VALUE(MID($A2737,2,20))&lt;100000000,VALUE(MID($A2737,2,20)),1000000000),1000000000))+ROW()/100000,"")</f>
        <v/>
      </c>
    </row>
    <row r="2738">
      <c r="F2738" s="7">
        <f>IF($A2738="","",E2738*N2738/100)</f>
        <v/>
      </c>
      <c r="J2738" s="7" t="n"/>
      <c r="K2738" s="7">
        <f>IF($A2738="","",S2738*N2738)</f>
        <v/>
      </c>
      <c r="L2738" s="7">
        <f>IF($A2738="","",N2738-K2738)</f>
        <v/>
      </c>
      <c r="M2738" s="7">
        <f>IF($A2738="","",L2738-F2738)</f>
        <v/>
      </c>
      <c r="N2738" s="7" t="n"/>
      <c r="Q2738" s="11" t="n"/>
      <c r="S2738">
        <f>IF($A2738="","",IF($W2738=1,Settings!$C$6,Settings!$C$7)*1)</f>
        <v/>
      </c>
      <c r="U2738">
        <f>IF($A2738="","",IF(COUNTIF($A$2:$A2738,$A2738)=1,1,0))</f>
        <v/>
      </c>
      <c r="V2738">
        <f>IF($U2738=1,SUMPRODUCT(--($X$2:$X$3001&lt;$X2738))+1,"")</f>
        <v/>
      </c>
      <c r="W2738">
        <f>IF($A2738="","",IF(OR($T2738=TRUE(),$T2738="TRUE"),1,0))</f>
        <v/>
      </c>
      <c r="X2738">
        <f>IF($U2738=1,IFERROR(IF(VALUE($A2738)&lt;100000000,VALUE($A2738),1000000000),IFERROR(IF(VALUE(MID($A2738,2,20))&lt;100000000,VALUE(MID($A2738,2,20)),1000000000),1000000000))+ROW()/100000,"")</f>
        <v/>
      </c>
    </row>
    <row r="2739">
      <c r="F2739" s="7">
        <f>IF($A2739="","",E2739*N2739/100)</f>
        <v/>
      </c>
      <c r="J2739" s="7" t="n"/>
      <c r="K2739" s="7">
        <f>IF($A2739="","",S2739*N2739)</f>
        <v/>
      </c>
      <c r="L2739" s="7">
        <f>IF($A2739="","",N2739-K2739)</f>
        <v/>
      </c>
      <c r="M2739" s="7">
        <f>IF($A2739="","",L2739-F2739)</f>
        <v/>
      </c>
      <c r="N2739" s="7" t="n"/>
      <c r="Q2739" s="11" t="n"/>
      <c r="S2739">
        <f>IF($A2739="","",IF($W2739=1,Settings!$C$6,Settings!$C$7)*1)</f>
        <v/>
      </c>
      <c r="U2739">
        <f>IF($A2739="","",IF(COUNTIF($A$2:$A2739,$A2739)=1,1,0))</f>
        <v/>
      </c>
      <c r="V2739">
        <f>IF($U2739=1,SUMPRODUCT(--($X$2:$X$3001&lt;$X2739))+1,"")</f>
        <v/>
      </c>
      <c r="W2739">
        <f>IF($A2739="","",IF(OR($T2739=TRUE(),$T2739="TRUE"),1,0))</f>
        <v/>
      </c>
      <c r="X2739">
        <f>IF($U2739=1,IFERROR(IF(VALUE($A2739)&lt;100000000,VALUE($A2739),1000000000),IFERROR(IF(VALUE(MID($A2739,2,20))&lt;100000000,VALUE(MID($A2739,2,20)),1000000000),1000000000))+ROW()/100000,"")</f>
        <v/>
      </c>
    </row>
    <row r="2740">
      <c r="F2740" s="7">
        <f>IF($A2740="","",E2740*N2740/100)</f>
        <v/>
      </c>
      <c r="J2740" s="7" t="n"/>
      <c r="K2740" s="7">
        <f>IF($A2740="","",S2740*N2740)</f>
        <v/>
      </c>
      <c r="L2740" s="7">
        <f>IF($A2740="","",N2740-K2740)</f>
        <v/>
      </c>
      <c r="M2740" s="7">
        <f>IF($A2740="","",L2740-F2740)</f>
        <v/>
      </c>
      <c r="N2740" s="7" t="n"/>
      <c r="Q2740" s="11" t="n"/>
      <c r="S2740">
        <f>IF($A2740="","",IF($W2740=1,Settings!$C$6,Settings!$C$7)*1)</f>
        <v/>
      </c>
      <c r="U2740">
        <f>IF($A2740="","",IF(COUNTIF($A$2:$A2740,$A2740)=1,1,0))</f>
        <v/>
      </c>
      <c r="V2740">
        <f>IF($U2740=1,SUMPRODUCT(--($X$2:$X$3001&lt;$X2740))+1,"")</f>
        <v/>
      </c>
      <c r="W2740">
        <f>IF($A2740="","",IF(OR($T2740=TRUE(),$T2740="TRUE"),1,0))</f>
        <v/>
      </c>
      <c r="X2740">
        <f>IF($U2740=1,IFERROR(IF(VALUE($A2740)&lt;100000000,VALUE($A2740),1000000000),IFERROR(IF(VALUE(MID($A2740,2,20))&lt;100000000,VALUE(MID($A2740,2,20)),1000000000),1000000000))+ROW()/100000,"")</f>
        <v/>
      </c>
    </row>
    <row r="2741">
      <c r="F2741" s="7">
        <f>IF($A2741="","",E2741*N2741/100)</f>
        <v/>
      </c>
      <c r="J2741" s="7" t="n"/>
      <c r="K2741" s="7">
        <f>IF($A2741="","",S2741*N2741)</f>
        <v/>
      </c>
      <c r="L2741" s="7">
        <f>IF($A2741="","",N2741-K2741)</f>
        <v/>
      </c>
      <c r="M2741" s="7">
        <f>IF($A2741="","",L2741-F2741)</f>
        <v/>
      </c>
      <c r="N2741" s="7" t="n"/>
      <c r="Q2741" s="11" t="n"/>
      <c r="S2741">
        <f>IF($A2741="","",IF($W2741=1,Settings!$C$6,Settings!$C$7)*1)</f>
        <v/>
      </c>
      <c r="U2741">
        <f>IF($A2741="","",IF(COUNTIF($A$2:$A2741,$A2741)=1,1,0))</f>
        <v/>
      </c>
      <c r="V2741">
        <f>IF($U2741=1,SUMPRODUCT(--($X$2:$X$3001&lt;$X2741))+1,"")</f>
        <v/>
      </c>
      <c r="W2741">
        <f>IF($A2741="","",IF(OR($T2741=TRUE(),$T2741="TRUE"),1,0))</f>
        <v/>
      </c>
      <c r="X2741">
        <f>IF($U2741=1,IFERROR(IF(VALUE($A2741)&lt;100000000,VALUE($A2741),1000000000),IFERROR(IF(VALUE(MID($A2741,2,20))&lt;100000000,VALUE(MID($A2741,2,20)),1000000000),1000000000))+ROW()/100000,"")</f>
        <v/>
      </c>
    </row>
    <row r="2742">
      <c r="F2742" s="7">
        <f>IF($A2742="","",E2742*N2742/100)</f>
        <v/>
      </c>
      <c r="J2742" s="7" t="n"/>
      <c r="K2742" s="7">
        <f>IF($A2742="","",S2742*N2742)</f>
        <v/>
      </c>
      <c r="L2742" s="7">
        <f>IF($A2742="","",N2742-K2742)</f>
        <v/>
      </c>
      <c r="M2742" s="7">
        <f>IF($A2742="","",L2742-F2742)</f>
        <v/>
      </c>
      <c r="N2742" s="7" t="n"/>
      <c r="Q2742" s="11" t="n"/>
      <c r="S2742">
        <f>IF($A2742="","",IF($W2742=1,Settings!$C$6,Settings!$C$7)*1)</f>
        <v/>
      </c>
      <c r="U2742">
        <f>IF($A2742="","",IF(COUNTIF($A$2:$A2742,$A2742)=1,1,0))</f>
        <v/>
      </c>
      <c r="V2742">
        <f>IF($U2742=1,SUMPRODUCT(--($X$2:$X$3001&lt;$X2742))+1,"")</f>
        <v/>
      </c>
      <c r="W2742">
        <f>IF($A2742="","",IF(OR($T2742=TRUE(),$T2742="TRUE"),1,0))</f>
        <v/>
      </c>
      <c r="X2742">
        <f>IF($U2742=1,IFERROR(IF(VALUE($A2742)&lt;100000000,VALUE($A2742),1000000000),IFERROR(IF(VALUE(MID($A2742,2,20))&lt;100000000,VALUE(MID($A2742,2,20)),1000000000),1000000000))+ROW()/100000,"")</f>
        <v/>
      </c>
    </row>
    <row r="2743">
      <c r="F2743" s="7">
        <f>IF($A2743="","",E2743*N2743/100)</f>
        <v/>
      </c>
      <c r="J2743" s="7" t="n"/>
      <c r="K2743" s="7">
        <f>IF($A2743="","",S2743*N2743)</f>
        <v/>
      </c>
      <c r="L2743" s="7">
        <f>IF($A2743="","",N2743-K2743)</f>
        <v/>
      </c>
      <c r="M2743" s="7">
        <f>IF($A2743="","",L2743-F2743)</f>
        <v/>
      </c>
      <c r="N2743" s="7" t="n"/>
      <c r="Q2743" s="11" t="n"/>
      <c r="S2743">
        <f>IF($A2743="","",IF($W2743=1,Settings!$C$6,Settings!$C$7)*1)</f>
        <v/>
      </c>
      <c r="U2743">
        <f>IF($A2743="","",IF(COUNTIF($A$2:$A2743,$A2743)=1,1,0))</f>
        <v/>
      </c>
      <c r="V2743">
        <f>IF($U2743=1,SUMPRODUCT(--($X$2:$X$3001&lt;$X2743))+1,"")</f>
        <v/>
      </c>
      <c r="W2743">
        <f>IF($A2743="","",IF(OR($T2743=TRUE(),$T2743="TRUE"),1,0))</f>
        <v/>
      </c>
      <c r="X2743">
        <f>IF($U2743=1,IFERROR(IF(VALUE($A2743)&lt;100000000,VALUE($A2743),1000000000),IFERROR(IF(VALUE(MID($A2743,2,20))&lt;100000000,VALUE(MID($A2743,2,20)),1000000000),1000000000))+ROW()/100000,"")</f>
        <v/>
      </c>
    </row>
    <row r="2744">
      <c r="F2744" s="7">
        <f>IF($A2744="","",E2744*N2744/100)</f>
        <v/>
      </c>
      <c r="J2744" s="7" t="n"/>
      <c r="K2744" s="7">
        <f>IF($A2744="","",S2744*N2744)</f>
        <v/>
      </c>
      <c r="L2744" s="7">
        <f>IF($A2744="","",N2744-K2744)</f>
        <v/>
      </c>
      <c r="M2744" s="7">
        <f>IF($A2744="","",L2744-F2744)</f>
        <v/>
      </c>
      <c r="N2744" s="7" t="n"/>
      <c r="Q2744" s="11" t="n"/>
      <c r="S2744">
        <f>IF($A2744="","",IF($W2744=1,Settings!$C$6,Settings!$C$7)*1)</f>
        <v/>
      </c>
      <c r="U2744">
        <f>IF($A2744="","",IF(COUNTIF($A$2:$A2744,$A2744)=1,1,0))</f>
        <v/>
      </c>
      <c r="V2744">
        <f>IF($U2744=1,SUMPRODUCT(--($X$2:$X$3001&lt;$X2744))+1,"")</f>
        <v/>
      </c>
      <c r="W2744">
        <f>IF($A2744="","",IF(OR($T2744=TRUE(),$T2744="TRUE"),1,0))</f>
        <v/>
      </c>
      <c r="X2744">
        <f>IF($U2744=1,IFERROR(IF(VALUE($A2744)&lt;100000000,VALUE($A2744),1000000000),IFERROR(IF(VALUE(MID($A2744,2,20))&lt;100000000,VALUE(MID($A2744,2,20)),1000000000),1000000000))+ROW()/100000,"")</f>
        <v/>
      </c>
    </row>
    <row r="2745">
      <c r="F2745" s="7">
        <f>IF($A2745="","",E2745*N2745/100)</f>
        <v/>
      </c>
      <c r="J2745" s="7" t="n"/>
      <c r="K2745" s="7">
        <f>IF($A2745="","",S2745*N2745)</f>
        <v/>
      </c>
      <c r="L2745" s="7">
        <f>IF($A2745="","",N2745-K2745)</f>
        <v/>
      </c>
      <c r="M2745" s="7">
        <f>IF($A2745="","",L2745-F2745)</f>
        <v/>
      </c>
      <c r="N2745" s="7" t="n"/>
      <c r="Q2745" s="11" t="n"/>
      <c r="S2745">
        <f>IF($A2745="","",IF($W2745=1,Settings!$C$6,Settings!$C$7)*1)</f>
        <v/>
      </c>
      <c r="U2745">
        <f>IF($A2745="","",IF(COUNTIF($A$2:$A2745,$A2745)=1,1,0))</f>
        <v/>
      </c>
      <c r="V2745">
        <f>IF($U2745=1,SUMPRODUCT(--($X$2:$X$3001&lt;$X2745))+1,"")</f>
        <v/>
      </c>
      <c r="W2745">
        <f>IF($A2745="","",IF(OR($T2745=TRUE(),$T2745="TRUE"),1,0))</f>
        <v/>
      </c>
      <c r="X2745">
        <f>IF($U2745=1,IFERROR(IF(VALUE($A2745)&lt;100000000,VALUE($A2745),1000000000),IFERROR(IF(VALUE(MID($A2745,2,20))&lt;100000000,VALUE(MID($A2745,2,20)),1000000000),1000000000))+ROW()/100000,"")</f>
        <v/>
      </c>
    </row>
    <row r="2746">
      <c r="F2746" s="7">
        <f>IF($A2746="","",E2746*N2746/100)</f>
        <v/>
      </c>
      <c r="J2746" s="7" t="n"/>
      <c r="K2746" s="7">
        <f>IF($A2746="","",S2746*N2746)</f>
        <v/>
      </c>
      <c r="L2746" s="7">
        <f>IF($A2746="","",N2746-K2746)</f>
        <v/>
      </c>
      <c r="M2746" s="7">
        <f>IF($A2746="","",L2746-F2746)</f>
        <v/>
      </c>
      <c r="N2746" s="7" t="n"/>
      <c r="Q2746" s="11" t="n"/>
      <c r="S2746">
        <f>IF($A2746="","",IF($W2746=1,Settings!$C$6,Settings!$C$7)*1)</f>
        <v/>
      </c>
      <c r="U2746">
        <f>IF($A2746="","",IF(COUNTIF($A$2:$A2746,$A2746)=1,1,0))</f>
        <v/>
      </c>
      <c r="V2746">
        <f>IF($U2746=1,SUMPRODUCT(--($X$2:$X$3001&lt;$X2746))+1,"")</f>
        <v/>
      </c>
      <c r="W2746">
        <f>IF($A2746="","",IF(OR($T2746=TRUE(),$T2746="TRUE"),1,0))</f>
        <v/>
      </c>
      <c r="X2746">
        <f>IF($U2746=1,IFERROR(IF(VALUE($A2746)&lt;100000000,VALUE($A2746),1000000000),IFERROR(IF(VALUE(MID($A2746,2,20))&lt;100000000,VALUE(MID($A2746,2,20)),1000000000),1000000000))+ROW()/100000,"")</f>
        <v/>
      </c>
    </row>
    <row r="2747">
      <c r="F2747" s="7">
        <f>IF($A2747="","",E2747*N2747/100)</f>
        <v/>
      </c>
      <c r="J2747" s="7" t="n"/>
      <c r="K2747" s="7">
        <f>IF($A2747="","",S2747*N2747)</f>
        <v/>
      </c>
      <c r="L2747" s="7">
        <f>IF($A2747="","",N2747-K2747)</f>
        <v/>
      </c>
      <c r="M2747" s="7">
        <f>IF($A2747="","",L2747-F2747)</f>
        <v/>
      </c>
      <c r="N2747" s="7" t="n"/>
      <c r="Q2747" s="11" t="n"/>
      <c r="S2747">
        <f>IF($A2747="","",IF($W2747=1,Settings!$C$6,Settings!$C$7)*1)</f>
        <v/>
      </c>
      <c r="U2747">
        <f>IF($A2747="","",IF(COUNTIF($A$2:$A2747,$A2747)=1,1,0))</f>
        <v/>
      </c>
      <c r="V2747">
        <f>IF($U2747=1,SUMPRODUCT(--($X$2:$X$3001&lt;$X2747))+1,"")</f>
        <v/>
      </c>
      <c r="W2747">
        <f>IF($A2747="","",IF(OR($T2747=TRUE(),$T2747="TRUE"),1,0))</f>
        <v/>
      </c>
      <c r="X2747">
        <f>IF($U2747=1,IFERROR(IF(VALUE($A2747)&lt;100000000,VALUE($A2747),1000000000),IFERROR(IF(VALUE(MID($A2747,2,20))&lt;100000000,VALUE(MID($A2747,2,20)),1000000000),1000000000))+ROW()/100000,"")</f>
        <v/>
      </c>
    </row>
    <row r="2748">
      <c r="F2748" s="7">
        <f>IF($A2748="","",E2748*N2748/100)</f>
        <v/>
      </c>
      <c r="J2748" s="7" t="n"/>
      <c r="K2748" s="7">
        <f>IF($A2748="","",S2748*N2748)</f>
        <v/>
      </c>
      <c r="L2748" s="7">
        <f>IF($A2748="","",N2748-K2748)</f>
        <v/>
      </c>
      <c r="M2748" s="7">
        <f>IF($A2748="","",L2748-F2748)</f>
        <v/>
      </c>
      <c r="N2748" s="7" t="n"/>
      <c r="Q2748" s="11" t="n"/>
      <c r="S2748">
        <f>IF($A2748="","",IF($W2748=1,Settings!$C$6,Settings!$C$7)*1)</f>
        <v/>
      </c>
      <c r="U2748">
        <f>IF($A2748="","",IF(COUNTIF($A$2:$A2748,$A2748)=1,1,0))</f>
        <v/>
      </c>
      <c r="V2748">
        <f>IF($U2748=1,SUMPRODUCT(--($X$2:$X$3001&lt;$X2748))+1,"")</f>
        <v/>
      </c>
      <c r="W2748">
        <f>IF($A2748="","",IF(OR($T2748=TRUE(),$T2748="TRUE"),1,0))</f>
        <v/>
      </c>
      <c r="X2748">
        <f>IF($U2748=1,IFERROR(IF(VALUE($A2748)&lt;100000000,VALUE($A2748),1000000000),IFERROR(IF(VALUE(MID($A2748,2,20))&lt;100000000,VALUE(MID($A2748,2,20)),1000000000),1000000000))+ROW()/100000,"")</f>
        <v/>
      </c>
    </row>
    <row r="2749">
      <c r="F2749" s="7">
        <f>IF($A2749="","",E2749*N2749/100)</f>
        <v/>
      </c>
      <c r="J2749" s="7" t="n"/>
      <c r="K2749" s="7">
        <f>IF($A2749="","",S2749*N2749)</f>
        <v/>
      </c>
      <c r="L2749" s="7">
        <f>IF($A2749="","",N2749-K2749)</f>
        <v/>
      </c>
      <c r="M2749" s="7">
        <f>IF($A2749="","",L2749-F2749)</f>
        <v/>
      </c>
      <c r="N2749" s="7" t="n"/>
      <c r="Q2749" s="11" t="n"/>
      <c r="S2749">
        <f>IF($A2749="","",IF($W2749=1,Settings!$C$6,Settings!$C$7)*1)</f>
        <v/>
      </c>
      <c r="U2749">
        <f>IF($A2749="","",IF(COUNTIF($A$2:$A2749,$A2749)=1,1,0))</f>
        <v/>
      </c>
      <c r="V2749">
        <f>IF($U2749=1,SUMPRODUCT(--($X$2:$X$3001&lt;$X2749))+1,"")</f>
        <v/>
      </c>
      <c r="W2749">
        <f>IF($A2749="","",IF(OR($T2749=TRUE(),$T2749="TRUE"),1,0))</f>
        <v/>
      </c>
      <c r="X2749">
        <f>IF($U2749=1,IFERROR(IF(VALUE($A2749)&lt;100000000,VALUE($A2749),1000000000),IFERROR(IF(VALUE(MID($A2749,2,20))&lt;100000000,VALUE(MID($A2749,2,20)),1000000000),1000000000))+ROW()/100000,"")</f>
        <v/>
      </c>
    </row>
    <row r="2750">
      <c r="F2750" s="7">
        <f>IF($A2750="","",E2750*N2750/100)</f>
        <v/>
      </c>
      <c r="J2750" s="7" t="n"/>
      <c r="K2750" s="7">
        <f>IF($A2750="","",S2750*N2750)</f>
        <v/>
      </c>
      <c r="L2750" s="7">
        <f>IF($A2750="","",N2750-K2750)</f>
        <v/>
      </c>
      <c r="M2750" s="7">
        <f>IF($A2750="","",L2750-F2750)</f>
        <v/>
      </c>
      <c r="N2750" s="7" t="n"/>
      <c r="Q2750" s="11" t="n"/>
      <c r="S2750">
        <f>IF($A2750="","",IF($W2750=1,Settings!$C$6,Settings!$C$7)*1)</f>
        <v/>
      </c>
      <c r="U2750">
        <f>IF($A2750="","",IF(COUNTIF($A$2:$A2750,$A2750)=1,1,0))</f>
        <v/>
      </c>
      <c r="V2750">
        <f>IF($U2750=1,SUMPRODUCT(--($X$2:$X$3001&lt;$X2750))+1,"")</f>
        <v/>
      </c>
      <c r="W2750">
        <f>IF($A2750="","",IF(OR($T2750=TRUE(),$T2750="TRUE"),1,0))</f>
        <v/>
      </c>
      <c r="X2750">
        <f>IF($U2750=1,IFERROR(IF(VALUE($A2750)&lt;100000000,VALUE($A2750),1000000000),IFERROR(IF(VALUE(MID($A2750,2,20))&lt;100000000,VALUE(MID($A2750,2,20)),1000000000),1000000000))+ROW()/100000,"")</f>
        <v/>
      </c>
    </row>
    <row r="2751">
      <c r="F2751" s="7">
        <f>IF($A2751="","",E2751*N2751/100)</f>
        <v/>
      </c>
      <c r="J2751" s="7" t="n"/>
      <c r="K2751" s="7">
        <f>IF($A2751="","",S2751*N2751)</f>
        <v/>
      </c>
      <c r="L2751" s="7">
        <f>IF($A2751="","",N2751-K2751)</f>
        <v/>
      </c>
      <c r="M2751" s="7">
        <f>IF($A2751="","",L2751-F2751)</f>
        <v/>
      </c>
      <c r="N2751" s="7" t="n"/>
      <c r="Q2751" s="11" t="n"/>
      <c r="S2751">
        <f>IF($A2751="","",IF($W2751=1,Settings!$C$6,Settings!$C$7)*1)</f>
        <v/>
      </c>
      <c r="U2751">
        <f>IF($A2751="","",IF(COUNTIF($A$2:$A2751,$A2751)=1,1,0))</f>
        <v/>
      </c>
      <c r="V2751">
        <f>IF($U2751=1,SUMPRODUCT(--($X$2:$X$3001&lt;$X2751))+1,"")</f>
        <v/>
      </c>
      <c r="W2751">
        <f>IF($A2751="","",IF(OR($T2751=TRUE(),$T2751="TRUE"),1,0))</f>
        <v/>
      </c>
      <c r="X2751">
        <f>IF($U2751=1,IFERROR(IF(VALUE($A2751)&lt;100000000,VALUE($A2751),1000000000),IFERROR(IF(VALUE(MID($A2751,2,20))&lt;100000000,VALUE(MID($A2751,2,20)),1000000000),1000000000))+ROW()/100000,"")</f>
        <v/>
      </c>
    </row>
    <row r="2752">
      <c r="F2752" s="7">
        <f>IF($A2752="","",E2752*N2752/100)</f>
        <v/>
      </c>
      <c r="J2752" s="7" t="n"/>
      <c r="K2752" s="7">
        <f>IF($A2752="","",S2752*N2752)</f>
        <v/>
      </c>
      <c r="L2752" s="7">
        <f>IF($A2752="","",N2752-K2752)</f>
        <v/>
      </c>
      <c r="M2752" s="7">
        <f>IF($A2752="","",L2752-F2752)</f>
        <v/>
      </c>
      <c r="N2752" s="7" t="n"/>
      <c r="Q2752" s="11" t="n"/>
      <c r="S2752">
        <f>IF($A2752="","",IF($W2752=1,Settings!$C$6,Settings!$C$7)*1)</f>
        <v/>
      </c>
      <c r="U2752">
        <f>IF($A2752="","",IF(COUNTIF($A$2:$A2752,$A2752)=1,1,0))</f>
        <v/>
      </c>
      <c r="V2752">
        <f>IF($U2752=1,SUMPRODUCT(--($X$2:$X$3001&lt;$X2752))+1,"")</f>
        <v/>
      </c>
      <c r="W2752">
        <f>IF($A2752="","",IF(OR($T2752=TRUE(),$T2752="TRUE"),1,0))</f>
        <v/>
      </c>
      <c r="X2752">
        <f>IF($U2752=1,IFERROR(IF(VALUE($A2752)&lt;100000000,VALUE($A2752),1000000000),IFERROR(IF(VALUE(MID($A2752,2,20))&lt;100000000,VALUE(MID($A2752,2,20)),1000000000),1000000000))+ROW()/100000,"")</f>
        <v/>
      </c>
    </row>
    <row r="2753">
      <c r="F2753" s="7">
        <f>IF($A2753="","",E2753*N2753/100)</f>
        <v/>
      </c>
      <c r="J2753" s="7" t="n"/>
      <c r="K2753" s="7">
        <f>IF($A2753="","",S2753*N2753)</f>
        <v/>
      </c>
      <c r="L2753" s="7">
        <f>IF($A2753="","",N2753-K2753)</f>
        <v/>
      </c>
      <c r="M2753" s="7">
        <f>IF($A2753="","",L2753-F2753)</f>
        <v/>
      </c>
      <c r="N2753" s="7" t="n"/>
      <c r="Q2753" s="11" t="n"/>
      <c r="S2753">
        <f>IF($A2753="","",IF($W2753=1,Settings!$C$6,Settings!$C$7)*1)</f>
        <v/>
      </c>
      <c r="U2753">
        <f>IF($A2753="","",IF(COUNTIF($A$2:$A2753,$A2753)=1,1,0))</f>
        <v/>
      </c>
      <c r="V2753">
        <f>IF($U2753=1,SUMPRODUCT(--($X$2:$X$3001&lt;$X2753))+1,"")</f>
        <v/>
      </c>
      <c r="W2753">
        <f>IF($A2753="","",IF(OR($T2753=TRUE(),$T2753="TRUE"),1,0))</f>
        <v/>
      </c>
      <c r="X2753">
        <f>IF($U2753=1,IFERROR(IF(VALUE($A2753)&lt;100000000,VALUE($A2753),1000000000),IFERROR(IF(VALUE(MID($A2753,2,20))&lt;100000000,VALUE(MID($A2753,2,20)),1000000000),1000000000))+ROW()/100000,"")</f>
        <v/>
      </c>
    </row>
    <row r="2754">
      <c r="F2754" s="7">
        <f>IF($A2754="","",E2754*N2754/100)</f>
        <v/>
      </c>
      <c r="J2754" s="7" t="n"/>
      <c r="K2754" s="7">
        <f>IF($A2754="","",S2754*N2754)</f>
        <v/>
      </c>
      <c r="L2754" s="7">
        <f>IF($A2754="","",N2754-K2754)</f>
        <v/>
      </c>
      <c r="M2754" s="7">
        <f>IF($A2754="","",L2754-F2754)</f>
        <v/>
      </c>
      <c r="N2754" s="7" t="n"/>
      <c r="Q2754" s="11" t="n"/>
      <c r="S2754">
        <f>IF($A2754="","",IF($W2754=1,Settings!$C$6,Settings!$C$7)*1)</f>
        <v/>
      </c>
      <c r="U2754">
        <f>IF($A2754="","",IF(COUNTIF($A$2:$A2754,$A2754)=1,1,0))</f>
        <v/>
      </c>
      <c r="V2754">
        <f>IF($U2754=1,SUMPRODUCT(--($X$2:$X$3001&lt;$X2754))+1,"")</f>
        <v/>
      </c>
      <c r="W2754">
        <f>IF($A2754="","",IF(OR($T2754=TRUE(),$T2754="TRUE"),1,0))</f>
        <v/>
      </c>
      <c r="X2754">
        <f>IF($U2754=1,IFERROR(IF(VALUE($A2754)&lt;100000000,VALUE($A2754),1000000000),IFERROR(IF(VALUE(MID($A2754,2,20))&lt;100000000,VALUE(MID($A2754,2,20)),1000000000),1000000000))+ROW()/100000,"")</f>
        <v/>
      </c>
    </row>
    <row r="2755">
      <c r="F2755" s="7">
        <f>IF($A2755="","",E2755*N2755/100)</f>
        <v/>
      </c>
      <c r="J2755" s="7" t="n"/>
      <c r="K2755" s="7">
        <f>IF($A2755="","",S2755*N2755)</f>
        <v/>
      </c>
      <c r="L2755" s="7">
        <f>IF($A2755="","",N2755-K2755)</f>
        <v/>
      </c>
      <c r="M2755" s="7">
        <f>IF($A2755="","",L2755-F2755)</f>
        <v/>
      </c>
      <c r="N2755" s="7" t="n"/>
      <c r="Q2755" s="11" t="n"/>
      <c r="S2755">
        <f>IF($A2755="","",IF($W2755=1,Settings!$C$6,Settings!$C$7)*1)</f>
        <v/>
      </c>
      <c r="U2755">
        <f>IF($A2755="","",IF(COUNTIF($A$2:$A2755,$A2755)=1,1,0))</f>
        <v/>
      </c>
      <c r="V2755">
        <f>IF($U2755=1,SUMPRODUCT(--($X$2:$X$3001&lt;$X2755))+1,"")</f>
        <v/>
      </c>
      <c r="W2755">
        <f>IF($A2755="","",IF(OR($T2755=TRUE(),$T2755="TRUE"),1,0))</f>
        <v/>
      </c>
      <c r="X2755">
        <f>IF($U2755=1,IFERROR(IF(VALUE($A2755)&lt;100000000,VALUE($A2755),1000000000),IFERROR(IF(VALUE(MID($A2755,2,20))&lt;100000000,VALUE(MID($A2755,2,20)),1000000000),1000000000))+ROW()/100000,"")</f>
        <v/>
      </c>
    </row>
    <row r="2756">
      <c r="F2756" s="7">
        <f>IF($A2756="","",E2756*N2756/100)</f>
        <v/>
      </c>
      <c r="J2756" s="7" t="n"/>
      <c r="K2756" s="7">
        <f>IF($A2756="","",S2756*N2756)</f>
        <v/>
      </c>
      <c r="L2756" s="7">
        <f>IF($A2756="","",N2756-K2756)</f>
        <v/>
      </c>
      <c r="M2756" s="7">
        <f>IF($A2756="","",L2756-F2756)</f>
        <v/>
      </c>
      <c r="N2756" s="7" t="n"/>
      <c r="Q2756" s="11" t="n"/>
      <c r="S2756">
        <f>IF($A2756="","",IF($W2756=1,Settings!$C$6,Settings!$C$7)*1)</f>
        <v/>
      </c>
      <c r="U2756">
        <f>IF($A2756="","",IF(COUNTIF($A$2:$A2756,$A2756)=1,1,0))</f>
        <v/>
      </c>
      <c r="V2756">
        <f>IF($U2756=1,SUMPRODUCT(--($X$2:$X$3001&lt;$X2756))+1,"")</f>
        <v/>
      </c>
      <c r="W2756">
        <f>IF($A2756="","",IF(OR($T2756=TRUE(),$T2756="TRUE"),1,0))</f>
        <v/>
      </c>
      <c r="X2756">
        <f>IF($U2756=1,IFERROR(IF(VALUE($A2756)&lt;100000000,VALUE($A2756),1000000000),IFERROR(IF(VALUE(MID($A2756,2,20))&lt;100000000,VALUE(MID($A2756,2,20)),1000000000),1000000000))+ROW()/100000,"")</f>
        <v/>
      </c>
    </row>
    <row r="2757">
      <c r="F2757" s="7">
        <f>IF($A2757="","",E2757*N2757/100)</f>
        <v/>
      </c>
      <c r="J2757" s="7" t="n"/>
      <c r="K2757" s="7">
        <f>IF($A2757="","",S2757*N2757)</f>
        <v/>
      </c>
      <c r="L2757" s="7">
        <f>IF($A2757="","",N2757-K2757)</f>
        <v/>
      </c>
      <c r="M2757" s="7">
        <f>IF($A2757="","",L2757-F2757)</f>
        <v/>
      </c>
      <c r="N2757" s="7" t="n"/>
      <c r="Q2757" s="11" t="n"/>
      <c r="S2757">
        <f>IF($A2757="","",IF($W2757=1,Settings!$C$6,Settings!$C$7)*1)</f>
        <v/>
      </c>
      <c r="U2757">
        <f>IF($A2757="","",IF(COUNTIF($A$2:$A2757,$A2757)=1,1,0))</f>
        <v/>
      </c>
      <c r="V2757">
        <f>IF($U2757=1,SUMPRODUCT(--($X$2:$X$3001&lt;$X2757))+1,"")</f>
        <v/>
      </c>
      <c r="W2757">
        <f>IF($A2757="","",IF(OR($T2757=TRUE(),$T2757="TRUE"),1,0))</f>
        <v/>
      </c>
      <c r="X2757">
        <f>IF($U2757=1,IFERROR(IF(VALUE($A2757)&lt;100000000,VALUE($A2757),1000000000),IFERROR(IF(VALUE(MID($A2757,2,20))&lt;100000000,VALUE(MID($A2757,2,20)),1000000000),1000000000))+ROW()/100000,"")</f>
        <v/>
      </c>
    </row>
    <row r="2758">
      <c r="F2758" s="7">
        <f>IF($A2758="","",E2758*N2758/100)</f>
        <v/>
      </c>
      <c r="J2758" s="7" t="n"/>
      <c r="K2758" s="7">
        <f>IF($A2758="","",S2758*N2758)</f>
        <v/>
      </c>
      <c r="L2758" s="7">
        <f>IF($A2758="","",N2758-K2758)</f>
        <v/>
      </c>
      <c r="M2758" s="7">
        <f>IF($A2758="","",L2758-F2758)</f>
        <v/>
      </c>
      <c r="N2758" s="7" t="n"/>
      <c r="Q2758" s="11" t="n"/>
      <c r="S2758">
        <f>IF($A2758="","",IF($W2758=1,Settings!$C$6,Settings!$C$7)*1)</f>
        <v/>
      </c>
      <c r="U2758">
        <f>IF($A2758="","",IF(COUNTIF($A$2:$A2758,$A2758)=1,1,0))</f>
        <v/>
      </c>
      <c r="V2758">
        <f>IF($U2758=1,SUMPRODUCT(--($X$2:$X$3001&lt;$X2758))+1,"")</f>
        <v/>
      </c>
      <c r="W2758">
        <f>IF($A2758="","",IF(OR($T2758=TRUE(),$T2758="TRUE"),1,0))</f>
        <v/>
      </c>
      <c r="X2758">
        <f>IF($U2758=1,IFERROR(IF(VALUE($A2758)&lt;100000000,VALUE($A2758),1000000000),IFERROR(IF(VALUE(MID($A2758,2,20))&lt;100000000,VALUE(MID($A2758,2,20)),1000000000),1000000000))+ROW()/100000,"")</f>
        <v/>
      </c>
    </row>
    <row r="2759">
      <c r="F2759" s="7">
        <f>IF($A2759="","",E2759*N2759/100)</f>
        <v/>
      </c>
      <c r="J2759" s="7" t="n"/>
      <c r="K2759" s="7">
        <f>IF($A2759="","",S2759*N2759)</f>
        <v/>
      </c>
      <c r="L2759" s="7">
        <f>IF($A2759="","",N2759-K2759)</f>
        <v/>
      </c>
      <c r="M2759" s="7">
        <f>IF($A2759="","",L2759-F2759)</f>
        <v/>
      </c>
      <c r="N2759" s="7" t="n"/>
      <c r="Q2759" s="11" t="n"/>
      <c r="S2759">
        <f>IF($A2759="","",IF($W2759=1,Settings!$C$6,Settings!$C$7)*1)</f>
        <v/>
      </c>
      <c r="U2759">
        <f>IF($A2759="","",IF(COUNTIF($A$2:$A2759,$A2759)=1,1,0))</f>
        <v/>
      </c>
      <c r="V2759">
        <f>IF($U2759=1,SUMPRODUCT(--($X$2:$X$3001&lt;$X2759))+1,"")</f>
        <v/>
      </c>
      <c r="W2759">
        <f>IF($A2759="","",IF(OR($T2759=TRUE(),$T2759="TRUE"),1,0))</f>
        <v/>
      </c>
      <c r="X2759">
        <f>IF($U2759=1,IFERROR(IF(VALUE($A2759)&lt;100000000,VALUE($A2759),1000000000),IFERROR(IF(VALUE(MID($A2759,2,20))&lt;100000000,VALUE(MID($A2759,2,20)),1000000000),1000000000))+ROW()/100000,"")</f>
        <v/>
      </c>
    </row>
    <row r="2760">
      <c r="F2760" s="7">
        <f>IF($A2760="","",E2760*N2760/100)</f>
        <v/>
      </c>
      <c r="J2760" s="7" t="n"/>
      <c r="K2760" s="7">
        <f>IF($A2760="","",S2760*N2760)</f>
        <v/>
      </c>
      <c r="L2760" s="7">
        <f>IF($A2760="","",N2760-K2760)</f>
        <v/>
      </c>
      <c r="M2760" s="7">
        <f>IF($A2760="","",L2760-F2760)</f>
        <v/>
      </c>
      <c r="N2760" s="7" t="n"/>
      <c r="Q2760" s="11" t="n"/>
      <c r="S2760">
        <f>IF($A2760="","",IF($W2760=1,Settings!$C$6,Settings!$C$7)*1)</f>
        <v/>
      </c>
      <c r="U2760">
        <f>IF($A2760="","",IF(COUNTIF($A$2:$A2760,$A2760)=1,1,0))</f>
        <v/>
      </c>
      <c r="V2760">
        <f>IF($U2760=1,SUMPRODUCT(--($X$2:$X$3001&lt;$X2760))+1,"")</f>
        <v/>
      </c>
      <c r="W2760">
        <f>IF($A2760="","",IF(OR($T2760=TRUE(),$T2760="TRUE"),1,0))</f>
        <v/>
      </c>
      <c r="X2760">
        <f>IF($U2760=1,IFERROR(IF(VALUE($A2760)&lt;100000000,VALUE($A2760),1000000000),IFERROR(IF(VALUE(MID($A2760,2,20))&lt;100000000,VALUE(MID($A2760,2,20)),1000000000),1000000000))+ROW()/100000,"")</f>
        <v/>
      </c>
    </row>
    <row r="2761">
      <c r="F2761" s="7">
        <f>IF($A2761="","",E2761*N2761/100)</f>
        <v/>
      </c>
      <c r="J2761" s="7" t="n"/>
      <c r="K2761" s="7">
        <f>IF($A2761="","",S2761*N2761)</f>
        <v/>
      </c>
      <c r="L2761" s="7">
        <f>IF($A2761="","",N2761-K2761)</f>
        <v/>
      </c>
      <c r="M2761" s="7">
        <f>IF($A2761="","",L2761-F2761)</f>
        <v/>
      </c>
      <c r="N2761" s="7" t="n"/>
      <c r="Q2761" s="11" t="n"/>
      <c r="S2761">
        <f>IF($A2761="","",IF($W2761=1,Settings!$C$6,Settings!$C$7)*1)</f>
        <v/>
      </c>
      <c r="U2761">
        <f>IF($A2761="","",IF(COUNTIF($A$2:$A2761,$A2761)=1,1,0))</f>
        <v/>
      </c>
      <c r="V2761">
        <f>IF($U2761=1,SUMPRODUCT(--($X$2:$X$3001&lt;$X2761))+1,"")</f>
        <v/>
      </c>
      <c r="W2761">
        <f>IF($A2761="","",IF(OR($T2761=TRUE(),$T2761="TRUE"),1,0))</f>
        <v/>
      </c>
      <c r="X2761">
        <f>IF($U2761=1,IFERROR(IF(VALUE($A2761)&lt;100000000,VALUE($A2761),1000000000),IFERROR(IF(VALUE(MID($A2761,2,20))&lt;100000000,VALUE(MID($A2761,2,20)),1000000000),1000000000))+ROW()/100000,"")</f>
        <v/>
      </c>
    </row>
    <row r="2762">
      <c r="F2762" s="7">
        <f>IF($A2762="","",E2762*N2762/100)</f>
        <v/>
      </c>
      <c r="J2762" s="7" t="n"/>
      <c r="K2762" s="7">
        <f>IF($A2762="","",S2762*N2762)</f>
        <v/>
      </c>
      <c r="L2762" s="7">
        <f>IF($A2762="","",N2762-K2762)</f>
        <v/>
      </c>
      <c r="M2762" s="7">
        <f>IF($A2762="","",L2762-F2762)</f>
        <v/>
      </c>
      <c r="N2762" s="7" t="n"/>
      <c r="Q2762" s="11" t="n"/>
      <c r="S2762">
        <f>IF($A2762="","",IF($W2762=1,Settings!$C$6,Settings!$C$7)*1)</f>
        <v/>
      </c>
      <c r="U2762">
        <f>IF($A2762="","",IF(COUNTIF($A$2:$A2762,$A2762)=1,1,0))</f>
        <v/>
      </c>
      <c r="V2762">
        <f>IF($U2762=1,SUMPRODUCT(--($X$2:$X$3001&lt;$X2762))+1,"")</f>
        <v/>
      </c>
      <c r="W2762">
        <f>IF($A2762="","",IF(OR($T2762=TRUE(),$T2762="TRUE"),1,0))</f>
        <v/>
      </c>
      <c r="X2762">
        <f>IF($U2762=1,IFERROR(IF(VALUE($A2762)&lt;100000000,VALUE($A2762),1000000000),IFERROR(IF(VALUE(MID($A2762,2,20))&lt;100000000,VALUE(MID($A2762,2,20)),1000000000),1000000000))+ROW()/100000,"")</f>
        <v/>
      </c>
    </row>
    <row r="2763">
      <c r="F2763" s="7">
        <f>IF($A2763="","",E2763*N2763/100)</f>
        <v/>
      </c>
      <c r="J2763" s="7" t="n"/>
      <c r="K2763" s="7">
        <f>IF($A2763="","",S2763*N2763)</f>
        <v/>
      </c>
      <c r="L2763" s="7">
        <f>IF($A2763="","",N2763-K2763)</f>
        <v/>
      </c>
      <c r="M2763" s="7">
        <f>IF($A2763="","",L2763-F2763)</f>
        <v/>
      </c>
      <c r="N2763" s="7" t="n"/>
      <c r="Q2763" s="11" t="n"/>
      <c r="S2763">
        <f>IF($A2763="","",IF($W2763=1,Settings!$C$6,Settings!$C$7)*1)</f>
        <v/>
      </c>
      <c r="U2763">
        <f>IF($A2763="","",IF(COUNTIF($A$2:$A2763,$A2763)=1,1,0))</f>
        <v/>
      </c>
      <c r="V2763">
        <f>IF($U2763=1,SUMPRODUCT(--($X$2:$X$3001&lt;$X2763))+1,"")</f>
        <v/>
      </c>
      <c r="W2763">
        <f>IF($A2763="","",IF(OR($T2763=TRUE(),$T2763="TRUE"),1,0))</f>
        <v/>
      </c>
      <c r="X2763">
        <f>IF($U2763=1,IFERROR(IF(VALUE($A2763)&lt;100000000,VALUE($A2763),1000000000),IFERROR(IF(VALUE(MID($A2763,2,20))&lt;100000000,VALUE(MID($A2763,2,20)),1000000000),1000000000))+ROW()/100000,"")</f>
        <v/>
      </c>
    </row>
    <row r="2764">
      <c r="F2764" s="7">
        <f>IF($A2764="","",E2764*N2764/100)</f>
        <v/>
      </c>
      <c r="J2764" s="7" t="n"/>
      <c r="K2764" s="7">
        <f>IF($A2764="","",S2764*N2764)</f>
        <v/>
      </c>
      <c r="L2764" s="7">
        <f>IF($A2764="","",N2764-K2764)</f>
        <v/>
      </c>
      <c r="M2764" s="7">
        <f>IF($A2764="","",L2764-F2764)</f>
        <v/>
      </c>
      <c r="N2764" s="7" t="n"/>
      <c r="Q2764" s="11" t="n"/>
      <c r="S2764">
        <f>IF($A2764="","",IF($W2764=1,Settings!$C$6,Settings!$C$7)*1)</f>
        <v/>
      </c>
      <c r="U2764">
        <f>IF($A2764="","",IF(COUNTIF($A$2:$A2764,$A2764)=1,1,0))</f>
        <v/>
      </c>
      <c r="V2764">
        <f>IF($U2764=1,SUMPRODUCT(--($X$2:$X$3001&lt;$X2764))+1,"")</f>
        <v/>
      </c>
      <c r="W2764">
        <f>IF($A2764="","",IF(OR($T2764=TRUE(),$T2764="TRUE"),1,0))</f>
        <v/>
      </c>
      <c r="X2764">
        <f>IF($U2764=1,IFERROR(IF(VALUE($A2764)&lt;100000000,VALUE($A2764),1000000000),IFERROR(IF(VALUE(MID($A2764,2,20))&lt;100000000,VALUE(MID($A2764,2,20)),1000000000),1000000000))+ROW()/100000,"")</f>
        <v/>
      </c>
    </row>
    <row r="2765">
      <c r="F2765" s="7">
        <f>IF($A2765="","",E2765*N2765/100)</f>
        <v/>
      </c>
      <c r="J2765" s="7" t="n"/>
      <c r="K2765" s="7">
        <f>IF($A2765="","",S2765*N2765)</f>
        <v/>
      </c>
      <c r="L2765" s="7">
        <f>IF($A2765="","",N2765-K2765)</f>
        <v/>
      </c>
      <c r="M2765" s="7">
        <f>IF($A2765="","",L2765-F2765)</f>
        <v/>
      </c>
      <c r="N2765" s="7" t="n"/>
      <c r="Q2765" s="11" t="n"/>
      <c r="S2765">
        <f>IF($A2765="","",IF($W2765=1,Settings!$C$6,Settings!$C$7)*1)</f>
        <v/>
      </c>
      <c r="U2765">
        <f>IF($A2765="","",IF(COUNTIF($A$2:$A2765,$A2765)=1,1,0))</f>
        <v/>
      </c>
      <c r="V2765">
        <f>IF($U2765=1,SUMPRODUCT(--($X$2:$X$3001&lt;$X2765))+1,"")</f>
        <v/>
      </c>
      <c r="W2765">
        <f>IF($A2765="","",IF(OR($T2765=TRUE(),$T2765="TRUE"),1,0))</f>
        <v/>
      </c>
      <c r="X2765">
        <f>IF($U2765=1,IFERROR(IF(VALUE($A2765)&lt;100000000,VALUE($A2765),1000000000),IFERROR(IF(VALUE(MID($A2765,2,20))&lt;100000000,VALUE(MID($A2765,2,20)),1000000000),1000000000))+ROW()/100000,"")</f>
        <v/>
      </c>
    </row>
    <row r="2766">
      <c r="F2766" s="7">
        <f>IF($A2766="","",E2766*N2766/100)</f>
        <v/>
      </c>
      <c r="J2766" s="7" t="n"/>
      <c r="K2766" s="7">
        <f>IF($A2766="","",S2766*N2766)</f>
        <v/>
      </c>
      <c r="L2766" s="7">
        <f>IF($A2766="","",N2766-K2766)</f>
        <v/>
      </c>
      <c r="M2766" s="7">
        <f>IF($A2766="","",L2766-F2766)</f>
        <v/>
      </c>
      <c r="N2766" s="7" t="n"/>
      <c r="Q2766" s="11" t="n"/>
      <c r="S2766">
        <f>IF($A2766="","",IF($W2766=1,Settings!$C$6,Settings!$C$7)*1)</f>
        <v/>
      </c>
      <c r="U2766">
        <f>IF($A2766="","",IF(COUNTIF($A$2:$A2766,$A2766)=1,1,0))</f>
        <v/>
      </c>
      <c r="V2766">
        <f>IF($U2766=1,SUMPRODUCT(--($X$2:$X$3001&lt;$X2766))+1,"")</f>
        <v/>
      </c>
      <c r="W2766">
        <f>IF($A2766="","",IF(OR($T2766=TRUE(),$T2766="TRUE"),1,0))</f>
        <v/>
      </c>
      <c r="X2766">
        <f>IF($U2766=1,IFERROR(IF(VALUE($A2766)&lt;100000000,VALUE($A2766),1000000000),IFERROR(IF(VALUE(MID($A2766,2,20))&lt;100000000,VALUE(MID($A2766,2,20)),1000000000),1000000000))+ROW()/100000,"")</f>
        <v/>
      </c>
    </row>
    <row r="2767">
      <c r="F2767" s="7">
        <f>IF($A2767="","",E2767*N2767/100)</f>
        <v/>
      </c>
      <c r="J2767" s="7" t="n"/>
      <c r="K2767" s="7">
        <f>IF($A2767="","",S2767*N2767)</f>
        <v/>
      </c>
      <c r="L2767" s="7">
        <f>IF($A2767="","",N2767-K2767)</f>
        <v/>
      </c>
      <c r="M2767" s="7">
        <f>IF($A2767="","",L2767-F2767)</f>
        <v/>
      </c>
      <c r="N2767" s="7" t="n"/>
      <c r="Q2767" s="11" t="n"/>
      <c r="S2767">
        <f>IF($A2767="","",IF($W2767=1,Settings!$C$6,Settings!$C$7)*1)</f>
        <v/>
      </c>
      <c r="U2767">
        <f>IF($A2767="","",IF(COUNTIF($A$2:$A2767,$A2767)=1,1,0))</f>
        <v/>
      </c>
      <c r="V2767">
        <f>IF($U2767=1,SUMPRODUCT(--($X$2:$X$3001&lt;$X2767))+1,"")</f>
        <v/>
      </c>
      <c r="W2767">
        <f>IF($A2767="","",IF(OR($T2767=TRUE(),$T2767="TRUE"),1,0))</f>
        <v/>
      </c>
      <c r="X2767">
        <f>IF($U2767=1,IFERROR(IF(VALUE($A2767)&lt;100000000,VALUE($A2767),1000000000),IFERROR(IF(VALUE(MID($A2767,2,20))&lt;100000000,VALUE(MID($A2767,2,20)),1000000000),1000000000))+ROW()/100000,"")</f>
        <v/>
      </c>
    </row>
    <row r="2768">
      <c r="F2768" s="7">
        <f>IF($A2768="","",E2768*N2768/100)</f>
        <v/>
      </c>
      <c r="J2768" s="7" t="n"/>
      <c r="K2768" s="7">
        <f>IF($A2768="","",S2768*N2768)</f>
        <v/>
      </c>
      <c r="L2768" s="7">
        <f>IF($A2768="","",N2768-K2768)</f>
        <v/>
      </c>
      <c r="M2768" s="7">
        <f>IF($A2768="","",L2768-F2768)</f>
        <v/>
      </c>
      <c r="N2768" s="7" t="n"/>
      <c r="Q2768" s="11" t="n"/>
      <c r="S2768">
        <f>IF($A2768="","",IF($W2768=1,Settings!$C$6,Settings!$C$7)*1)</f>
        <v/>
      </c>
      <c r="U2768">
        <f>IF($A2768="","",IF(COUNTIF($A$2:$A2768,$A2768)=1,1,0))</f>
        <v/>
      </c>
      <c r="V2768">
        <f>IF($U2768=1,SUMPRODUCT(--($X$2:$X$3001&lt;$X2768))+1,"")</f>
        <v/>
      </c>
      <c r="W2768">
        <f>IF($A2768="","",IF(OR($T2768=TRUE(),$T2768="TRUE"),1,0))</f>
        <v/>
      </c>
      <c r="X2768">
        <f>IF($U2768=1,IFERROR(IF(VALUE($A2768)&lt;100000000,VALUE($A2768),1000000000),IFERROR(IF(VALUE(MID($A2768,2,20))&lt;100000000,VALUE(MID($A2768,2,20)),1000000000),1000000000))+ROW()/100000,"")</f>
        <v/>
      </c>
    </row>
    <row r="2769">
      <c r="F2769" s="7">
        <f>IF($A2769="","",E2769*N2769/100)</f>
        <v/>
      </c>
      <c r="J2769" s="7" t="n"/>
      <c r="K2769" s="7">
        <f>IF($A2769="","",S2769*N2769)</f>
        <v/>
      </c>
      <c r="L2769" s="7">
        <f>IF($A2769="","",N2769-K2769)</f>
        <v/>
      </c>
      <c r="M2769" s="7">
        <f>IF($A2769="","",L2769-F2769)</f>
        <v/>
      </c>
      <c r="N2769" s="7" t="n"/>
      <c r="Q2769" s="11" t="n"/>
      <c r="S2769">
        <f>IF($A2769="","",IF($W2769=1,Settings!$C$6,Settings!$C$7)*1)</f>
        <v/>
      </c>
      <c r="U2769">
        <f>IF($A2769="","",IF(COUNTIF($A$2:$A2769,$A2769)=1,1,0))</f>
        <v/>
      </c>
      <c r="V2769">
        <f>IF($U2769=1,SUMPRODUCT(--($X$2:$X$3001&lt;$X2769))+1,"")</f>
        <v/>
      </c>
      <c r="W2769">
        <f>IF($A2769="","",IF(OR($T2769=TRUE(),$T2769="TRUE"),1,0))</f>
        <v/>
      </c>
      <c r="X2769">
        <f>IF($U2769=1,IFERROR(IF(VALUE($A2769)&lt;100000000,VALUE($A2769),1000000000),IFERROR(IF(VALUE(MID($A2769,2,20))&lt;100000000,VALUE(MID($A2769,2,20)),1000000000),1000000000))+ROW()/100000,"")</f>
        <v/>
      </c>
    </row>
    <row r="2770">
      <c r="F2770" s="7">
        <f>IF($A2770="","",E2770*N2770/100)</f>
        <v/>
      </c>
      <c r="J2770" s="7" t="n"/>
      <c r="K2770" s="7">
        <f>IF($A2770="","",S2770*N2770)</f>
        <v/>
      </c>
      <c r="L2770" s="7">
        <f>IF($A2770="","",N2770-K2770)</f>
        <v/>
      </c>
      <c r="M2770" s="7">
        <f>IF($A2770="","",L2770-F2770)</f>
        <v/>
      </c>
      <c r="N2770" s="7" t="n"/>
      <c r="Q2770" s="11" t="n"/>
      <c r="S2770">
        <f>IF($A2770="","",IF($W2770=1,Settings!$C$6,Settings!$C$7)*1)</f>
        <v/>
      </c>
      <c r="U2770">
        <f>IF($A2770="","",IF(COUNTIF($A$2:$A2770,$A2770)=1,1,0))</f>
        <v/>
      </c>
      <c r="V2770">
        <f>IF($U2770=1,SUMPRODUCT(--($X$2:$X$3001&lt;$X2770))+1,"")</f>
        <v/>
      </c>
      <c r="W2770">
        <f>IF($A2770="","",IF(OR($T2770=TRUE(),$T2770="TRUE"),1,0))</f>
        <v/>
      </c>
      <c r="X2770">
        <f>IF($U2770=1,IFERROR(IF(VALUE($A2770)&lt;100000000,VALUE($A2770),1000000000),IFERROR(IF(VALUE(MID($A2770,2,20))&lt;100000000,VALUE(MID($A2770,2,20)),1000000000),1000000000))+ROW()/100000,"")</f>
        <v/>
      </c>
    </row>
    <row r="2771">
      <c r="F2771" s="7">
        <f>IF($A2771="","",E2771*N2771/100)</f>
        <v/>
      </c>
      <c r="J2771" s="7" t="n"/>
      <c r="K2771" s="7">
        <f>IF($A2771="","",S2771*N2771)</f>
        <v/>
      </c>
      <c r="L2771" s="7">
        <f>IF($A2771="","",N2771-K2771)</f>
        <v/>
      </c>
      <c r="M2771" s="7">
        <f>IF($A2771="","",L2771-F2771)</f>
        <v/>
      </c>
      <c r="N2771" s="7" t="n"/>
      <c r="Q2771" s="11" t="n"/>
      <c r="S2771">
        <f>IF($A2771="","",IF($W2771=1,Settings!$C$6,Settings!$C$7)*1)</f>
        <v/>
      </c>
      <c r="U2771">
        <f>IF($A2771="","",IF(COUNTIF($A$2:$A2771,$A2771)=1,1,0))</f>
        <v/>
      </c>
      <c r="V2771">
        <f>IF($U2771=1,SUMPRODUCT(--($X$2:$X$3001&lt;$X2771))+1,"")</f>
        <v/>
      </c>
      <c r="W2771">
        <f>IF($A2771="","",IF(OR($T2771=TRUE(),$T2771="TRUE"),1,0))</f>
        <v/>
      </c>
      <c r="X2771">
        <f>IF($U2771=1,IFERROR(IF(VALUE($A2771)&lt;100000000,VALUE($A2771),1000000000),IFERROR(IF(VALUE(MID($A2771,2,20))&lt;100000000,VALUE(MID($A2771,2,20)),1000000000),1000000000))+ROW()/100000,"")</f>
        <v/>
      </c>
    </row>
    <row r="2772">
      <c r="F2772" s="7">
        <f>IF($A2772="","",E2772*N2772/100)</f>
        <v/>
      </c>
      <c r="J2772" s="7" t="n"/>
      <c r="K2772" s="7">
        <f>IF($A2772="","",S2772*N2772)</f>
        <v/>
      </c>
      <c r="L2772" s="7">
        <f>IF($A2772="","",N2772-K2772)</f>
        <v/>
      </c>
      <c r="M2772" s="7">
        <f>IF($A2772="","",L2772-F2772)</f>
        <v/>
      </c>
      <c r="N2772" s="7" t="n"/>
      <c r="Q2772" s="11" t="n"/>
      <c r="S2772">
        <f>IF($A2772="","",IF($W2772=1,Settings!$C$6,Settings!$C$7)*1)</f>
        <v/>
      </c>
      <c r="U2772">
        <f>IF($A2772="","",IF(COUNTIF($A$2:$A2772,$A2772)=1,1,0))</f>
        <v/>
      </c>
      <c r="V2772">
        <f>IF($U2772=1,SUMPRODUCT(--($X$2:$X$3001&lt;$X2772))+1,"")</f>
        <v/>
      </c>
      <c r="W2772">
        <f>IF($A2772="","",IF(OR($T2772=TRUE(),$T2772="TRUE"),1,0))</f>
        <v/>
      </c>
      <c r="X2772">
        <f>IF($U2772=1,IFERROR(IF(VALUE($A2772)&lt;100000000,VALUE($A2772),1000000000),IFERROR(IF(VALUE(MID($A2772,2,20))&lt;100000000,VALUE(MID($A2772,2,20)),1000000000),1000000000))+ROW()/100000,"")</f>
        <v/>
      </c>
    </row>
    <row r="2773">
      <c r="F2773" s="7">
        <f>IF($A2773="","",E2773*N2773/100)</f>
        <v/>
      </c>
      <c r="J2773" s="7" t="n"/>
      <c r="K2773" s="7">
        <f>IF($A2773="","",S2773*N2773)</f>
        <v/>
      </c>
      <c r="L2773" s="7">
        <f>IF($A2773="","",N2773-K2773)</f>
        <v/>
      </c>
      <c r="M2773" s="7">
        <f>IF($A2773="","",L2773-F2773)</f>
        <v/>
      </c>
      <c r="N2773" s="7" t="n"/>
      <c r="Q2773" s="11" t="n"/>
      <c r="S2773">
        <f>IF($A2773="","",IF($W2773=1,Settings!$C$6,Settings!$C$7)*1)</f>
        <v/>
      </c>
      <c r="U2773">
        <f>IF($A2773="","",IF(COUNTIF($A$2:$A2773,$A2773)=1,1,0))</f>
        <v/>
      </c>
      <c r="V2773">
        <f>IF($U2773=1,SUMPRODUCT(--($X$2:$X$3001&lt;$X2773))+1,"")</f>
        <v/>
      </c>
      <c r="W2773">
        <f>IF($A2773="","",IF(OR($T2773=TRUE(),$T2773="TRUE"),1,0))</f>
        <v/>
      </c>
      <c r="X2773">
        <f>IF($U2773=1,IFERROR(IF(VALUE($A2773)&lt;100000000,VALUE($A2773),1000000000),IFERROR(IF(VALUE(MID($A2773,2,20))&lt;100000000,VALUE(MID($A2773,2,20)),1000000000),1000000000))+ROW()/100000,"")</f>
        <v/>
      </c>
    </row>
    <row r="2774">
      <c r="F2774" s="7">
        <f>IF($A2774="","",E2774*N2774/100)</f>
        <v/>
      </c>
      <c r="J2774" s="7" t="n"/>
      <c r="K2774" s="7">
        <f>IF($A2774="","",S2774*N2774)</f>
        <v/>
      </c>
      <c r="L2774" s="7">
        <f>IF($A2774="","",N2774-K2774)</f>
        <v/>
      </c>
      <c r="M2774" s="7">
        <f>IF($A2774="","",L2774-F2774)</f>
        <v/>
      </c>
      <c r="N2774" s="7" t="n"/>
      <c r="Q2774" s="11" t="n"/>
      <c r="S2774">
        <f>IF($A2774="","",IF($W2774=1,Settings!$C$6,Settings!$C$7)*1)</f>
        <v/>
      </c>
      <c r="U2774">
        <f>IF($A2774="","",IF(COUNTIF($A$2:$A2774,$A2774)=1,1,0))</f>
        <v/>
      </c>
      <c r="V2774">
        <f>IF($U2774=1,SUMPRODUCT(--($X$2:$X$3001&lt;$X2774))+1,"")</f>
        <v/>
      </c>
      <c r="W2774">
        <f>IF($A2774="","",IF(OR($T2774=TRUE(),$T2774="TRUE"),1,0))</f>
        <v/>
      </c>
      <c r="X2774">
        <f>IF($U2774=1,IFERROR(IF(VALUE($A2774)&lt;100000000,VALUE($A2774),1000000000),IFERROR(IF(VALUE(MID($A2774,2,20))&lt;100000000,VALUE(MID($A2774,2,20)),1000000000),1000000000))+ROW()/100000,"")</f>
        <v/>
      </c>
    </row>
    <row r="2775">
      <c r="F2775" s="7">
        <f>IF($A2775="","",E2775*N2775/100)</f>
        <v/>
      </c>
      <c r="J2775" s="7" t="n"/>
      <c r="K2775" s="7">
        <f>IF($A2775="","",S2775*N2775)</f>
        <v/>
      </c>
      <c r="L2775" s="7">
        <f>IF($A2775="","",N2775-K2775)</f>
        <v/>
      </c>
      <c r="M2775" s="7">
        <f>IF($A2775="","",L2775-F2775)</f>
        <v/>
      </c>
      <c r="N2775" s="7" t="n"/>
      <c r="Q2775" s="11" t="n"/>
      <c r="S2775">
        <f>IF($A2775="","",IF($W2775=1,Settings!$C$6,Settings!$C$7)*1)</f>
        <v/>
      </c>
      <c r="U2775">
        <f>IF($A2775="","",IF(COUNTIF($A$2:$A2775,$A2775)=1,1,0))</f>
        <v/>
      </c>
      <c r="V2775">
        <f>IF($U2775=1,SUMPRODUCT(--($X$2:$X$3001&lt;$X2775))+1,"")</f>
        <v/>
      </c>
      <c r="W2775">
        <f>IF($A2775="","",IF(OR($T2775=TRUE(),$T2775="TRUE"),1,0))</f>
        <v/>
      </c>
      <c r="X2775">
        <f>IF($U2775=1,IFERROR(IF(VALUE($A2775)&lt;100000000,VALUE($A2775),1000000000),IFERROR(IF(VALUE(MID($A2775,2,20))&lt;100000000,VALUE(MID($A2775,2,20)),1000000000),1000000000))+ROW()/100000,"")</f>
        <v/>
      </c>
    </row>
    <row r="2776">
      <c r="F2776" s="7">
        <f>IF($A2776="","",E2776*N2776/100)</f>
        <v/>
      </c>
      <c r="J2776" s="7" t="n"/>
      <c r="K2776" s="7">
        <f>IF($A2776="","",S2776*N2776)</f>
        <v/>
      </c>
      <c r="L2776" s="7">
        <f>IF($A2776="","",N2776-K2776)</f>
        <v/>
      </c>
      <c r="M2776" s="7">
        <f>IF($A2776="","",L2776-F2776)</f>
        <v/>
      </c>
      <c r="N2776" s="7" t="n"/>
      <c r="Q2776" s="11" t="n"/>
      <c r="S2776">
        <f>IF($A2776="","",IF($W2776=1,Settings!$C$6,Settings!$C$7)*1)</f>
        <v/>
      </c>
      <c r="U2776">
        <f>IF($A2776="","",IF(COUNTIF($A$2:$A2776,$A2776)=1,1,0))</f>
        <v/>
      </c>
      <c r="V2776">
        <f>IF($U2776=1,SUMPRODUCT(--($X$2:$X$3001&lt;$X2776))+1,"")</f>
        <v/>
      </c>
      <c r="W2776">
        <f>IF($A2776="","",IF(OR($T2776=TRUE(),$T2776="TRUE"),1,0))</f>
        <v/>
      </c>
      <c r="X2776">
        <f>IF($U2776=1,IFERROR(IF(VALUE($A2776)&lt;100000000,VALUE($A2776),1000000000),IFERROR(IF(VALUE(MID($A2776,2,20))&lt;100000000,VALUE(MID($A2776,2,20)),1000000000),1000000000))+ROW()/100000,"")</f>
        <v/>
      </c>
    </row>
    <row r="2777">
      <c r="F2777" s="7">
        <f>IF($A2777="","",E2777*N2777/100)</f>
        <v/>
      </c>
      <c r="J2777" s="7" t="n"/>
      <c r="K2777" s="7">
        <f>IF($A2777="","",S2777*N2777)</f>
        <v/>
      </c>
      <c r="L2777" s="7">
        <f>IF($A2777="","",N2777-K2777)</f>
        <v/>
      </c>
      <c r="M2777" s="7">
        <f>IF($A2777="","",L2777-F2777)</f>
        <v/>
      </c>
      <c r="N2777" s="7" t="n"/>
      <c r="Q2777" s="11" t="n"/>
      <c r="S2777">
        <f>IF($A2777="","",IF($W2777=1,Settings!$C$6,Settings!$C$7)*1)</f>
        <v/>
      </c>
      <c r="U2777">
        <f>IF($A2777="","",IF(COUNTIF($A$2:$A2777,$A2777)=1,1,0))</f>
        <v/>
      </c>
      <c r="V2777">
        <f>IF($U2777=1,SUMPRODUCT(--($X$2:$X$3001&lt;$X2777))+1,"")</f>
        <v/>
      </c>
      <c r="W2777">
        <f>IF($A2777="","",IF(OR($T2777=TRUE(),$T2777="TRUE"),1,0))</f>
        <v/>
      </c>
      <c r="X2777">
        <f>IF($U2777=1,IFERROR(IF(VALUE($A2777)&lt;100000000,VALUE($A2777),1000000000),IFERROR(IF(VALUE(MID($A2777,2,20))&lt;100000000,VALUE(MID($A2777,2,20)),1000000000),1000000000))+ROW()/100000,"")</f>
        <v/>
      </c>
    </row>
    <row r="2778">
      <c r="F2778" s="7">
        <f>IF($A2778="","",E2778*N2778/100)</f>
        <v/>
      </c>
      <c r="J2778" s="7" t="n"/>
      <c r="K2778" s="7">
        <f>IF($A2778="","",S2778*N2778)</f>
        <v/>
      </c>
      <c r="L2778" s="7">
        <f>IF($A2778="","",N2778-K2778)</f>
        <v/>
      </c>
      <c r="M2778" s="7">
        <f>IF($A2778="","",L2778-F2778)</f>
        <v/>
      </c>
      <c r="N2778" s="7" t="n"/>
      <c r="Q2778" s="11" t="n"/>
      <c r="S2778">
        <f>IF($A2778="","",IF($W2778=1,Settings!$C$6,Settings!$C$7)*1)</f>
        <v/>
      </c>
      <c r="U2778">
        <f>IF($A2778="","",IF(COUNTIF($A$2:$A2778,$A2778)=1,1,0))</f>
        <v/>
      </c>
      <c r="V2778">
        <f>IF($U2778=1,SUMPRODUCT(--($X$2:$X$3001&lt;$X2778))+1,"")</f>
        <v/>
      </c>
      <c r="W2778">
        <f>IF($A2778="","",IF(OR($T2778=TRUE(),$T2778="TRUE"),1,0))</f>
        <v/>
      </c>
      <c r="X2778">
        <f>IF($U2778=1,IFERROR(IF(VALUE($A2778)&lt;100000000,VALUE($A2778),1000000000),IFERROR(IF(VALUE(MID($A2778,2,20))&lt;100000000,VALUE(MID($A2778,2,20)),1000000000),1000000000))+ROW()/100000,"")</f>
        <v/>
      </c>
    </row>
    <row r="2779">
      <c r="F2779" s="7">
        <f>IF($A2779="","",E2779*N2779/100)</f>
        <v/>
      </c>
      <c r="J2779" s="7" t="n"/>
      <c r="K2779" s="7">
        <f>IF($A2779="","",S2779*N2779)</f>
        <v/>
      </c>
      <c r="L2779" s="7">
        <f>IF($A2779="","",N2779-K2779)</f>
        <v/>
      </c>
      <c r="M2779" s="7">
        <f>IF($A2779="","",L2779-F2779)</f>
        <v/>
      </c>
      <c r="N2779" s="7" t="n"/>
      <c r="Q2779" s="11" t="n"/>
      <c r="S2779">
        <f>IF($A2779="","",IF($W2779=1,Settings!$C$6,Settings!$C$7)*1)</f>
        <v/>
      </c>
      <c r="U2779">
        <f>IF($A2779="","",IF(COUNTIF($A$2:$A2779,$A2779)=1,1,0))</f>
        <v/>
      </c>
      <c r="V2779">
        <f>IF($U2779=1,SUMPRODUCT(--($X$2:$X$3001&lt;$X2779))+1,"")</f>
        <v/>
      </c>
      <c r="W2779">
        <f>IF($A2779="","",IF(OR($T2779=TRUE(),$T2779="TRUE"),1,0))</f>
        <v/>
      </c>
      <c r="X2779">
        <f>IF($U2779=1,IFERROR(IF(VALUE($A2779)&lt;100000000,VALUE($A2779),1000000000),IFERROR(IF(VALUE(MID($A2779,2,20))&lt;100000000,VALUE(MID($A2779,2,20)),1000000000),1000000000))+ROW()/100000,"")</f>
        <v/>
      </c>
    </row>
    <row r="2780">
      <c r="F2780" s="7">
        <f>IF($A2780="","",E2780*N2780/100)</f>
        <v/>
      </c>
      <c r="J2780" s="7" t="n"/>
      <c r="K2780" s="7">
        <f>IF($A2780="","",S2780*N2780)</f>
        <v/>
      </c>
      <c r="L2780" s="7">
        <f>IF($A2780="","",N2780-K2780)</f>
        <v/>
      </c>
      <c r="M2780" s="7">
        <f>IF($A2780="","",L2780-F2780)</f>
        <v/>
      </c>
      <c r="N2780" s="7" t="n"/>
      <c r="Q2780" s="11" t="n"/>
      <c r="S2780">
        <f>IF($A2780="","",IF($W2780=1,Settings!$C$6,Settings!$C$7)*1)</f>
        <v/>
      </c>
      <c r="U2780">
        <f>IF($A2780="","",IF(COUNTIF($A$2:$A2780,$A2780)=1,1,0))</f>
        <v/>
      </c>
      <c r="V2780">
        <f>IF($U2780=1,SUMPRODUCT(--($X$2:$X$3001&lt;$X2780))+1,"")</f>
        <v/>
      </c>
      <c r="W2780">
        <f>IF($A2780="","",IF(OR($T2780=TRUE(),$T2780="TRUE"),1,0))</f>
        <v/>
      </c>
      <c r="X2780">
        <f>IF($U2780=1,IFERROR(IF(VALUE($A2780)&lt;100000000,VALUE($A2780),1000000000),IFERROR(IF(VALUE(MID($A2780,2,20))&lt;100000000,VALUE(MID($A2780,2,20)),1000000000),1000000000))+ROW()/100000,"")</f>
        <v/>
      </c>
    </row>
    <row r="2781">
      <c r="F2781" s="7">
        <f>IF($A2781="","",E2781*N2781/100)</f>
        <v/>
      </c>
      <c r="J2781" s="7" t="n"/>
      <c r="K2781" s="7">
        <f>IF($A2781="","",S2781*N2781)</f>
        <v/>
      </c>
      <c r="L2781" s="7">
        <f>IF($A2781="","",N2781-K2781)</f>
        <v/>
      </c>
      <c r="M2781" s="7">
        <f>IF($A2781="","",L2781-F2781)</f>
        <v/>
      </c>
      <c r="N2781" s="7" t="n"/>
      <c r="Q2781" s="11" t="n"/>
      <c r="S2781">
        <f>IF($A2781="","",IF($W2781=1,Settings!$C$6,Settings!$C$7)*1)</f>
        <v/>
      </c>
      <c r="U2781">
        <f>IF($A2781="","",IF(COUNTIF($A$2:$A2781,$A2781)=1,1,0))</f>
        <v/>
      </c>
      <c r="V2781">
        <f>IF($U2781=1,SUMPRODUCT(--($X$2:$X$3001&lt;$X2781))+1,"")</f>
        <v/>
      </c>
      <c r="W2781">
        <f>IF($A2781="","",IF(OR($T2781=TRUE(),$T2781="TRUE"),1,0))</f>
        <v/>
      </c>
      <c r="X2781">
        <f>IF($U2781=1,IFERROR(IF(VALUE($A2781)&lt;100000000,VALUE($A2781),1000000000),IFERROR(IF(VALUE(MID($A2781,2,20))&lt;100000000,VALUE(MID($A2781,2,20)),1000000000),1000000000))+ROW()/100000,"")</f>
        <v/>
      </c>
    </row>
    <row r="2782">
      <c r="F2782" s="7">
        <f>IF($A2782="","",E2782*N2782/100)</f>
        <v/>
      </c>
      <c r="J2782" s="7" t="n"/>
      <c r="K2782" s="7">
        <f>IF($A2782="","",S2782*N2782)</f>
        <v/>
      </c>
      <c r="L2782" s="7">
        <f>IF($A2782="","",N2782-K2782)</f>
        <v/>
      </c>
      <c r="M2782" s="7">
        <f>IF($A2782="","",L2782-F2782)</f>
        <v/>
      </c>
      <c r="N2782" s="7" t="n"/>
      <c r="Q2782" s="11" t="n"/>
      <c r="S2782">
        <f>IF($A2782="","",IF($W2782=1,Settings!$C$6,Settings!$C$7)*1)</f>
        <v/>
      </c>
      <c r="U2782">
        <f>IF($A2782="","",IF(COUNTIF($A$2:$A2782,$A2782)=1,1,0))</f>
        <v/>
      </c>
      <c r="V2782">
        <f>IF($U2782=1,SUMPRODUCT(--($X$2:$X$3001&lt;$X2782))+1,"")</f>
        <v/>
      </c>
      <c r="W2782">
        <f>IF($A2782="","",IF(OR($T2782=TRUE(),$T2782="TRUE"),1,0))</f>
        <v/>
      </c>
      <c r="X2782">
        <f>IF($U2782=1,IFERROR(IF(VALUE($A2782)&lt;100000000,VALUE($A2782),1000000000),IFERROR(IF(VALUE(MID($A2782,2,20))&lt;100000000,VALUE(MID($A2782,2,20)),1000000000),1000000000))+ROW()/100000,"")</f>
        <v/>
      </c>
    </row>
    <row r="2783">
      <c r="F2783" s="7">
        <f>IF($A2783="","",E2783*N2783/100)</f>
        <v/>
      </c>
      <c r="J2783" s="7" t="n"/>
      <c r="K2783" s="7">
        <f>IF($A2783="","",S2783*N2783)</f>
        <v/>
      </c>
      <c r="L2783" s="7">
        <f>IF($A2783="","",N2783-K2783)</f>
        <v/>
      </c>
      <c r="M2783" s="7">
        <f>IF($A2783="","",L2783-F2783)</f>
        <v/>
      </c>
      <c r="N2783" s="7" t="n"/>
      <c r="Q2783" s="11" t="n"/>
      <c r="S2783">
        <f>IF($A2783="","",IF($W2783=1,Settings!$C$6,Settings!$C$7)*1)</f>
        <v/>
      </c>
      <c r="U2783">
        <f>IF($A2783="","",IF(COUNTIF($A$2:$A2783,$A2783)=1,1,0))</f>
        <v/>
      </c>
      <c r="V2783">
        <f>IF($U2783=1,SUMPRODUCT(--($X$2:$X$3001&lt;$X2783))+1,"")</f>
        <v/>
      </c>
      <c r="W2783">
        <f>IF($A2783="","",IF(OR($T2783=TRUE(),$T2783="TRUE"),1,0))</f>
        <v/>
      </c>
      <c r="X2783">
        <f>IF($U2783=1,IFERROR(IF(VALUE($A2783)&lt;100000000,VALUE($A2783),1000000000),IFERROR(IF(VALUE(MID($A2783,2,20))&lt;100000000,VALUE(MID($A2783,2,20)),1000000000),1000000000))+ROW()/100000,"")</f>
        <v/>
      </c>
    </row>
    <row r="2784">
      <c r="F2784" s="7">
        <f>IF($A2784="","",E2784*N2784/100)</f>
        <v/>
      </c>
      <c r="J2784" s="7" t="n"/>
      <c r="K2784" s="7">
        <f>IF($A2784="","",S2784*N2784)</f>
        <v/>
      </c>
      <c r="L2784" s="7">
        <f>IF($A2784="","",N2784-K2784)</f>
        <v/>
      </c>
      <c r="M2784" s="7">
        <f>IF($A2784="","",L2784-F2784)</f>
        <v/>
      </c>
      <c r="N2784" s="7" t="n"/>
      <c r="Q2784" s="11" t="n"/>
      <c r="S2784">
        <f>IF($A2784="","",IF($W2784=1,Settings!$C$6,Settings!$C$7)*1)</f>
        <v/>
      </c>
      <c r="U2784">
        <f>IF($A2784="","",IF(COUNTIF($A$2:$A2784,$A2784)=1,1,0))</f>
        <v/>
      </c>
      <c r="V2784">
        <f>IF($U2784=1,SUMPRODUCT(--($X$2:$X$3001&lt;$X2784))+1,"")</f>
        <v/>
      </c>
      <c r="W2784">
        <f>IF($A2784="","",IF(OR($T2784=TRUE(),$T2784="TRUE"),1,0))</f>
        <v/>
      </c>
      <c r="X2784">
        <f>IF($U2784=1,IFERROR(IF(VALUE($A2784)&lt;100000000,VALUE($A2784),1000000000),IFERROR(IF(VALUE(MID($A2784,2,20))&lt;100000000,VALUE(MID($A2784,2,20)),1000000000),1000000000))+ROW()/100000,"")</f>
        <v/>
      </c>
    </row>
    <row r="2785">
      <c r="F2785" s="7">
        <f>IF($A2785="","",E2785*N2785/100)</f>
        <v/>
      </c>
      <c r="J2785" s="7" t="n"/>
      <c r="K2785" s="7">
        <f>IF($A2785="","",S2785*N2785)</f>
        <v/>
      </c>
      <c r="L2785" s="7">
        <f>IF($A2785="","",N2785-K2785)</f>
        <v/>
      </c>
      <c r="M2785" s="7">
        <f>IF($A2785="","",L2785-F2785)</f>
        <v/>
      </c>
      <c r="N2785" s="7" t="n"/>
      <c r="Q2785" s="11" t="n"/>
      <c r="S2785">
        <f>IF($A2785="","",IF($W2785=1,Settings!$C$6,Settings!$C$7)*1)</f>
        <v/>
      </c>
      <c r="U2785">
        <f>IF($A2785="","",IF(COUNTIF($A$2:$A2785,$A2785)=1,1,0))</f>
        <v/>
      </c>
      <c r="V2785">
        <f>IF($U2785=1,SUMPRODUCT(--($X$2:$X$3001&lt;$X2785))+1,"")</f>
        <v/>
      </c>
      <c r="W2785">
        <f>IF($A2785="","",IF(OR($T2785=TRUE(),$T2785="TRUE"),1,0))</f>
        <v/>
      </c>
      <c r="X2785">
        <f>IF($U2785=1,IFERROR(IF(VALUE($A2785)&lt;100000000,VALUE($A2785),1000000000),IFERROR(IF(VALUE(MID($A2785,2,20))&lt;100000000,VALUE(MID($A2785,2,20)),1000000000),1000000000))+ROW()/100000,"")</f>
        <v/>
      </c>
    </row>
    <row r="2786">
      <c r="F2786" s="7">
        <f>IF($A2786="","",E2786*N2786/100)</f>
        <v/>
      </c>
      <c r="J2786" s="7" t="n"/>
      <c r="K2786" s="7">
        <f>IF($A2786="","",S2786*N2786)</f>
        <v/>
      </c>
      <c r="L2786" s="7">
        <f>IF($A2786="","",N2786-K2786)</f>
        <v/>
      </c>
      <c r="M2786" s="7">
        <f>IF($A2786="","",L2786-F2786)</f>
        <v/>
      </c>
      <c r="N2786" s="7" t="n"/>
      <c r="Q2786" s="11" t="n"/>
      <c r="S2786">
        <f>IF($A2786="","",IF($W2786=1,Settings!$C$6,Settings!$C$7)*1)</f>
        <v/>
      </c>
      <c r="U2786">
        <f>IF($A2786="","",IF(COUNTIF($A$2:$A2786,$A2786)=1,1,0))</f>
        <v/>
      </c>
      <c r="V2786">
        <f>IF($U2786=1,SUMPRODUCT(--($X$2:$X$3001&lt;$X2786))+1,"")</f>
        <v/>
      </c>
      <c r="W2786">
        <f>IF($A2786="","",IF(OR($T2786=TRUE(),$T2786="TRUE"),1,0))</f>
        <v/>
      </c>
      <c r="X2786">
        <f>IF($U2786=1,IFERROR(IF(VALUE($A2786)&lt;100000000,VALUE($A2786),1000000000),IFERROR(IF(VALUE(MID($A2786,2,20))&lt;100000000,VALUE(MID($A2786,2,20)),1000000000),1000000000))+ROW()/100000,"")</f>
        <v/>
      </c>
    </row>
    <row r="2787">
      <c r="F2787" s="7">
        <f>IF($A2787="","",E2787*N2787/100)</f>
        <v/>
      </c>
      <c r="J2787" s="7" t="n"/>
      <c r="K2787" s="7">
        <f>IF($A2787="","",S2787*N2787)</f>
        <v/>
      </c>
      <c r="L2787" s="7">
        <f>IF($A2787="","",N2787-K2787)</f>
        <v/>
      </c>
      <c r="M2787" s="7">
        <f>IF($A2787="","",L2787-F2787)</f>
        <v/>
      </c>
      <c r="N2787" s="7" t="n"/>
      <c r="Q2787" s="11" t="n"/>
      <c r="S2787">
        <f>IF($A2787="","",IF($W2787=1,Settings!$C$6,Settings!$C$7)*1)</f>
        <v/>
      </c>
      <c r="U2787">
        <f>IF($A2787="","",IF(COUNTIF($A$2:$A2787,$A2787)=1,1,0))</f>
        <v/>
      </c>
      <c r="V2787">
        <f>IF($U2787=1,SUMPRODUCT(--($X$2:$X$3001&lt;$X2787))+1,"")</f>
        <v/>
      </c>
      <c r="W2787">
        <f>IF($A2787="","",IF(OR($T2787=TRUE(),$T2787="TRUE"),1,0))</f>
        <v/>
      </c>
      <c r="X2787">
        <f>IF($U2787=1,IFERROR(IF(VALUE($A2787)&lt;100000000,VALUE($A2787),1000000000),IFERROR(IF(VALUE(MID($A2787,2,20))&lt;100000000,VALUE(MID($A2787,2,20)),1000000000),1000000000))+ROW()/100000,"")</f>
        <v/>
      </c>
    </row>
    <row r="2788">
      <c r="F2788" s="7">
        <f>IF($A2788="","",E2788*N2788/100)</f>
        <v/>
      </c>
      <c r="J2788" s="7" t="n"/>
      <c r="K2788" s="7">
        <f>IF($A2788="","",S2788*N2788)</f>
        <v/>
      </c>
      <c r="L2788" s="7">
        <f>IF($A2788="","",N2788-K2788)</f>
        <v/>
      </c>
      <c r="M2788" s="7">
        <f>IF($A2788="","",L2788-F2788)</f>
        <v/>
      </c>
      <c r="N2788" s="7" t="n"/>
      <c r="Q2788" s="11" t="n"/>
      <c r="S2788">
        <f>IF($A2788="","",IF($W2788=1,Settings!$C$6,Settings!$C$7)*1)</f>
        <v/>
      </c>
      <c r="U2788">
        <f>IF($A2788="","",IF(COUNTIF($A$2:$A2788,$A2788)=1,1,0))</f>
        <v/>
      </c>
      <c r="V2788">
        <f>IF($U2788=1,SUMPRODUCT(--($X$2:$X$3001&lt;$X2788))+1,"")</f>
        <v/>
      </c>
      <c r="W2788">
        <f>IF($A2788="","",IF(OR($T2788=TRUE(),$T2788="TRUE"),1,0))</f>
        <v/>
      </c>
      <c r="X2788">
        <f>IF($U2788=1,IFERROR(IF(VALUE($A2788)&lt;100000000,VALUE($A2788),1000000000),IFERROR(IF(VALUE(MID($A2788,2,20))&lt;100000000,VALUE(MID($A2788,2,20)),1000000000),1000000000))+ROW()/100000,"")</f>
        <v/>
      </c>
    </row>
    <row r="2789">
      <c r="F2789" s="7">
        <f>IF($A2789="","",E2789*N2789/100)</f>
        <v/>
      </c>
      <c r="J2789" s="7" t="n"/>
      <c r="K2789" s="7">
        <f>IF($A2789="","",S2789*N2789)</f>
        <v/>
      </c>
      <c r="L2789" s="7">
        <f>IF($A2789="","",N2789-K2789)</f>
        <v/>
      </c>
      <c r="M2789" s="7">
        <f>IF($A2789="","",L2789-F2789)</f>
        <v/>
      </c>
      <c r="N2789" s="7" t="n"/>
      <c r="Q2789" s="11" t="n"/>
      <c r="S2789">
        <f>IF($A2789="","",IF($W2789=1,Settings!$C$6,Settings!$C$7)*1)</f>
        <v/>
      </c>
      <c r="U2789">
        <f>IF($A2789="","",IF(COUNTIF($A$2:$A2789,$A2789)=1,1,0))</f>
        <v/>
      </c>
      <c r="V2789">
        <f>IF($U2789=1,SUMPRODUCT(--($X$2:$X$3001&lt;$X2789))+1,"")</f>
        <v/>
      </c>
      <c r="W2789">
        <f>IF($A2789="","",IF(OR($T2789=TRUE(),$T2789="TRUE"),1,0))</f>
        <v/>
      </c>
      <c r="X2789">
        <f>IF($U2789=1,IFERROR(IF(VALUE($A2789)&lt;100000000,VALUE($A2789),1000000000),IFERROR(IF(VALUE(MID($A2789,2,20))&lt;100000000,VALUE(MID($A2789,2,20)),1000000000),1000000000))+ROW()/100000,"")</f>
        <v/>
      </c>
    </row>
    <row r="2790">
      <c r="F2790" s="7">
        <f>IF($A2790="","",E2790*N2790/100)</f>
        <v/>
      </c>
      <c r="J2790" s="7" t="n"/>
      <c r="K2790" s="7">
        <f>IF($A2790="","",S2790*N2790)</f>
        <v/>
      </c>
      <c r="L2790" s="7">
        <f>IF($A2790="","",N2790-K2790)</f>
        <v/>
      </c>
      <c r="M2790" s="7">
        <f>IF($A2790="","",L2790-F2790)</f>
        <v/>
      </c>
      <c r="N2790" s="7" t="n"/>
      <c r="Q2790" s="11" t="n"/>
      <c r="S2790">
        <f>IF($A2790="","",IF($W2790=1,Settings!$C$6,Settings!$C$7)*1)</f>
        <v/>
      </c>
      <c r="U2790">
        <f>IF($A2790="","",IF(COUNTIF($A$2:$A2790,$A2790)=1,1,0))</f>
        <v/>
      </c>
      <c r="V2790">
        <f>IF($U2790=1,SUMPRODUCT(--($X$2:$X$3001&lt;$X2790))+1,"")</f>
        <v/>
      </c>
      <c r="W2790">
        <f>IF($A2790="","",IF(OR($T2790=TRUE(),$T2790="TRUE"),1,0))</f>
        <v/>
      </c>
      <c r="X2790">
        <f>IF($U2790=1,IFERROR(IF(VALUE($A2790)&lt;100000000,VALUE($A2790),1000000000),IFERROR(IF(VALUE(MID($A2790,2,20))&lt;100000000,VALUE(MID($A2790,2,20)),1000000000),1000000000))+ROW()/100000,"")</f>
        <v/>
      </c>
    </row>
    <row r="2791">
      <c r="F2791" s="7">
        <f>IF($A2791="","",E2791*N2791/100)</f>
        <v/>
      </c>
      <c r="J2791" s="7" t="n"/>
      <c r="K2791" s="7">
        <f>IF($A2791="","",S2791*N2791)</f>
        <v/>
      </c>
      <c r="L2791" s="7">
        <f>IF($A2791="","",N2791-K2791)</f>
        <v/>
      </c>
      <c r="M2791" s="7">
        <f>IF($A2791="","",L2791-F2791)</f>
        <v/>
      </c>
      <c r="N2791" s="7" t="n"/>
      <c r="Q2791" s="11" t="n"/>
      <c r="S2791">
        <f>IF($A2791="","",IF($W2791=1,Settings!$C$6,Settings!$C$7)*1)</f>
        <v/>
      </c>
      <c r="U2791">
        <f>IF($A2791="","",IF(COUNTIF($A$2:$A2791,$A2791)=1,1,0))</f>
        <v/>
      </c>
      <c r="V2791">
        <f>IF($U2791=1,SUMPRODUCT(--($X$2:$X$3001&lt;$X2791))+1,"")</f>
        <v/>
      </c>
      <c r="W2791">
        <f>IF($A2791="","",IF(OR($T2791=TRUE(),$T2791="TRUE"),1,0))</f>
        <v/>
      </c>
      <c r="X2791">
        <f>IF($U2791=1,IFERROR(IF(VALUE($A2791)&lt;100000000,VALUE($A2791),1000000000),IFERROR(IF(VALUE(MID($A2791,2,20))&lt;100000000,VALUE(MID($A2791,2,20)),1000000000),1000000000))+ROW()/100000,"")</f>
        <v/>
      </c>
    </row>
    <row r="2792">
      <c r="F2792" s="7">
        <f>IF($A2792="","",E2792*N2792/100)</f>
        <v/>
      </c>
      <c r="J2792" s="7" t="n"/>
      <c r="K2792" s="7">
        <f>IF($A2792="","",S2792*N2792)</f>
        <v/>
      </c>
      <c r="L2792" s="7">
        <f>IF($A2792="","",N2792-K2792)</f>
        <v/>
      </c>
      <c r="M2792" s="7">
        <f>IF($A2792="","",L2792-F2792)</f>
        <v/>
      </c>
      <c r="N2792" s="7" t="n"/>
      <c r="Q2792" s="11" t="n"/>
      <c r="S2792">
        <f>IF($A2792="","",IF($W2792=1,Settings!$C$6,Settings!$C$7)*1)</f>
        <v/>
      </c>
      <c r="U2792">
        <f>IF($A2792="","",IF(COUNTIF($A$2:$A2792,$A2792)=1,1,0))</f>
        <v/>
      </c>
      <c r="V2792">
        <f>IF($U2792=1,SUMPRODUCT(--($X$2:$X$3001&lt;$X2792))+1,"")</f>
        <v/>
      </c>
      <c r="W2792">
        <f>IF($A2792="","",IF(OR($T2792=TRUE(),$T2792="TRUE"),1,0))</f>
        <v/>
      </c>
      <c r="X2792">
        <f>IF($U2792=1,IFERROR(IF(VALUE($A2792)&lt;100000000,VALUE($A2792),1000000000),IFERROR(IF(VALUE(MID($A2792,2,20))&lt;100000000,VALUE(MID($A2792,2,20)),1000000000),1000000000))+ROW()/100000,"")</f>
        <v/>
      </c>
    </row>
    <row r="2793">
      <c r="F2793" s="7">
        <f>IF($A2793="","",E2793*N2793/100)</f>
        <v/>
      </c>
      <c r="J2793" s="7" t="n"/>
      <c r="K2793" s="7">
        <f>IF($A2793="","",S2793*N2793)</f>
        <v/>
      </c>
      <c r="L2793" s="7">
        <f>IF($A2793="","",N2793-K2793)</f>
        <v/>
      </c>
      <c r="M2793" s="7">
        <f>IF($A2793="","",L2793-F2793)</f>
        <v/>
      </c>
      <c r="N2793" s="7" t="n"/>
      <c r="Q2793" s="11" t="n"/>
      <c r="S2793">
        <f>IF($A2793="","",IF($W2793=1,Settings!$C$6,Settings!$C$7)*1)</f>
        <v/>
      </c>
      <c r="U2793">
        <f>IF($A2793="","",IF(COUNTIF($A$2:$A2793,$A2793)=1,1,0))</f>
        <v/>
      </c>
      <c r="V2793">
        <f>IF($U2793=1,SUMPRODUCT(--($X$2:$X$3001&lt;$X2793))+1,"")</f>
        <v/>
      </c>
      <c r="W2793">
        <f>IF($A2793="","",IF(OR($T2793=TRUE(),$T2793="TRUE"),1,0))</f>
        <v/>
      </c>
      <c r="X2793">
        <f>IF($U2793=1,IFERROR(IF(VALUE($A2793)&lt;100000000,VALUE($A2793),1000000000),IFERROR(IF(VALUE(MID($A2793,2,20))&lt;100000000,VALUE(MID($A2793,2,20)),1000000000),1000000000))+ROW()/100000,"")</f>
        <v/>
      </c>
    </row>
    <row r="2794">
      <c r="F2794" s="7">
        <f>IF($A2794="","",E2794*N2794/100)</f>
        <v/>
      </c>
      <c r="J2794" s="7" t="n"/>
      <c r="K2794" s="7">
        <f>IF($A2794="","",S2794*N2794)</f>
        <v/>
      </c>
      <c r="L2794" s="7">
        <f>IF($A2794="","",N2794-K2794)</f>
        <v/>
      </c>
      <c r="M2794" s="7">
        <f>IF($A2794="","",L2794-F2794)</f>
        <v/>
      </c>
      <c r="N2794" s="7" t="n"/>
      <c r="Q2794" s="11" t="n"/>
      <c r="S2794">
        <f>IF($A2794="","",IF($W2794=1,Settings!$C$6,Settings!$C$7)*1)</f>
        <v/>
      </c>
      <c r="U2794">
        <f>IF($A2794="","",IF(COUNTIF($A$2:$A2794,$A2794)=1,1,0))</f>
        <v/>
      </c>
      <c r="V2794">
        <f>IF($U2794=1,SUMPRODUCT(--($X$2:$X$3001&lt;$X2794))+1,"")</f>
        <v/>
      </c>
      <c r="W2794">
        <f>IF($A2794="","",IF(OR($T2794=TRUE(),$T2794="TRUE"),1,0))</f>
        <v/>
      </c>
      <c r="X2794">
        <f>IF($U2794=1,IFERROR(IF(VALUE($A2794)&lt;100000000,VALUE($A2794),1000000000),IFERROR(IF(VALUE(MID($A2794,2,20))&lt;100000000,VALUE(MID($A2794,2,20)),1000000000),1000000000))+ROW()/100000,"")</f>
        <v/>
      </c>
    </row>
    <row r="2795">
      <c r="F2795" s="7">
        <f>IF($A2795="","",E2795*N2795/100)</f>
        <v/>
      </c>
      <c r="J2795" s="7" t="n"/>
      <c r="K2795" s="7">
        <f>IF($A2795="","",S2795*N2795)</f>
        <v/>
      </c>
      <c r="L2795" s="7">
        <f>IF($A2795="","",N2795-K2795)</f>
        <v/>
      </c>
      <c r="M2795" s="7">
        <f>IF($A2795="","",L2795-F2795)</f>
        <v/>
      </c>
      <c r="N2795" s="7" t="n"/>
      <c r="Q2795" s="11" t="n"/>
      <c r="S2795">
        <f>IF($A2795="","",IF($W2795=1,Settings!$C$6,Settings!$C$7)*1)</f>
        <v/>
      </c>
      <c r="U2795">
        <f>IF($A2795="","",IF(COUNTIF($A$2:$A2795,$A2795)=1,1,0))</f>
        <v/>
      </c>
      <c r="V2795">
        <f>IF($U2795=1,SUMPRODUCT(--($X$2:$X$3001&lt;$X2795))+1,"")</f>
        <v/>
      </c>
      <c r="W2795">
        <f>IF($A2795="","",IF(OR($T2795=TRUE(),$T2795="TRUE"),1,0))</f>
        <v/>
      </c>
      <c r="X2795">
        <f>IF($U2795=1,IFERROR(IF(VALUE($A2795)&lt;100000000,VALUE($A2795),1000000000),IFERROR(IF(VALUE(MID($A2795,2,20))&lt;100000000,VALUE(MID($A2795,2,20)),1000000000),1000000000))+ROW()/100000,"")</f>
        <v/>
      </c>
    </row>
    <row r="2796">
      <c r="F2796" s="7">
        <f>IF($A2796="","",E2796*N2796/100)</f>
        <v/>
      </c>
      <c r="J2796" s="7" t="n"/>
      <c r="K2796" s="7">
        <f>IF($A2796="","",S2796*N2796)</f>
        <v/>
      </c>
      <c r="L2796" s="7">
        <f>IF($A2796="","",N2796-K2796)</f>
        <v/>
      </c>
      <c r="M2796" s="7">
        <f>IF($A2796="","",L2796-F2796)</f>
        <v/>
      </c>
      <c r="N2796" s="7" t="n"/>
      <c r="Q2796" s="11" t="n"/>
      <c r="S2796">
        <f>IF($A2796="","",IF($W2796=1,Settings!$C$6,Settings!$C$7)*1)</f>
        <v/>
      </c>
      <c r="U2796">
        <f>IF($A2796="","",IF(COUNTIF($A$2:$A2796,$A2796)=1,1,0))</f>
        <v/>
      </c>
      <c r="V2796">
        <f>IF($U2796=1,SUMPRODUCT(--($X$2:$X$3001&lt;$X2796))+1,"")</f>
        <v/>
      </c>
      <c r="W2796">
        <f>IF($A2796="","",IF(OR($T2796=TRUE(),$T2796="TRUE"),1,0))</f>
        <v/>
      </c>
      <c r="X2796">
        <f>IF($U2796=1,IFERROR(IF(VALUE($A2796)&lt;100000000,VALUE($A2796),1000000000),IFERROR(IF(VALUE(MID($A2796,2,20))&lt;100000000,VALUE(MID($A2796,2,20)),1000000000),1000000000))+ROW()/100000,"")</f>
        <v/>
      </c>
    </row>
    <row r="2797">
      <c r="F2797" s="7">
        <f>IF($A2797="","",E2797*N2797/100)</f>
        <v/>
      </c>
      <c r="J2797" s="7" t="n"/>
      <c r="K2797" s="7">
        <f>IF($A2797="","",S2797*N2797)</f>
        <v/>
      </c>
      <c r="L2797" s="7">
        <f>IF($A2797="","",N2797-K2797)</f>
        <v/>
      </c>
      <c r="M2797" s="7">
        <f>IF($A2797="","",L2797-F2797)</f>
        <v/>
      </c>
      <c r="N2797" s="7" t="n"/>
      <c r="Q2797" s="11" t="n"/>
      <c r="S2797">
        <f>IF($A2797="","",IF($W2797=1,Settings!$C$6,Settings!$C$7)*1)</f>
        <v/>
      </c>
      <c r="U2797">
        <f>IF($A2797="","",IF(COUNTIF($A$2:$A2797,$A2797)=1,1,0))</f>
        <v/>
      </c>
      <c r="V2797">
        <f>IF($U2797=1,SUMPRODUCT(--($X$2:$X$3001&lt;$X2797))+1,"")</f>
        <v/>
      </c>
      <c r="W2797">
        <f>IF($A2797="","",IF(OR($T2797=TRUE(),$T2797="TRUE"),1,0))</f>
        <v/>
      </c>
      <c r="X2797">
        <f>IF($U2797=1,IFERROR(IF(VALUE($A2797)&lt;100000000,VALUE($A2797),1000000000),IFERROR(IF(VALUE(MID($A2797,2,20))&lt;100000000,VALUE(MID($A2797,2,20)),1000000000),1000000000))+ROW()/100000,"")</f>
        <v/>
      </c>
    </row>
    <row r="2798">
      <c r="F2798" s="7">
        <f>IF($A2798="","",E2798*N2798/100)</f>
        <v/>
      </c>
      <c r="J2798" s="7" t="n"/>
      <c r="K2798" s="7">
        <f>IF($A2798="","",S2798*N2798)</f>
        <v/>
      </c>
      <c r="L2798" s="7">
        <f>IF($A2798="","",N2798-K2798)</f>
        <v/>
      </c>
      <c r="M2798" s="7">
        <f>IF($A2798="","",L2798-F2798)</f>
        <v/>
      </c>
      <c r="N2798" s="7" t="n"/>
      <c r="Q2798" s="11" t="n"/>
      <c r="S2798">
        <f>IF($A2798="","",IF($W2798=1,Settings!$C$6,Settings!$C$7)*1)</f>
        <v/>
      </c>
      <c r="U2798">
        <f>IF($A2798="","",IF(COUNTIF($A$2:$A2798,$A2798)=1,1,0))</f>
        <v/>
      </c>
      <c r="V2798">
        <f>IF($U2798=1,SUMPRODUCT(--($X$2:$X$3001&lt;$X2798))+1,"")</f>
        <v/>
      </c>
      <c r="W2798">
        <f>IF($A2798="","",IF(OR($T2798=TRUE(),$T2798="TRUE"),1,0))</f>
        <v/>
      </c>
      <c r="X2798">
        <f>IF($U2798=1,IFERROR(IF(VALUE($A2798)&lt;100000000,VALUE($A2798),1000000000),IFERROR(IF(VALUE(MID($A2798,2,20))&lt;100000000,VALUE(MID($A2798,2,20)),1000000000),1000000000))+ROW()/100000,"")</f>
        <v/>
      </c>
    </row>
    <row r="2799">
      <c r="F2799" s="7">
        <f>IF($A2799="","",E2799*N2799/100)</f>
        <v/>
      </c>
      <c r="J2799" s="7" t="n"/>
      <c r="K2799" s="7">
        <f>IF($A2799="","",S2799*N2799)</f>
        <v/>
      </c>
      <c r="L2799" s="7">
        <f>IF($A2799="","",N2799-K2799)</f>
        <v/>
      </c>
      <c r="M2799" s="7">
        <f>IF($A2799="","",L2799-F2799)</f>
        <v/>
      </c>
      <c r="N2799" s="7" t="n"/>
      <c r="Q2799" s="11" t="n"/>
      <c r="S2799">
        <f>IF($A2799="","",IF($W2799=1,Settings!$C$6,Settings!$C$7)*1)</f>
        <v/>
      </c>
      <c r="U2799">
        <f>IF($A2799="","",IF(COUNTIF($A$2:$A2799,$A2799)=1,1,0))</f>
        <v/>
      </c>
      <c r="V2799">
        <f>IF($U2799=1,SUMPRODUCT(--($X$2:$X$3001&lt;$X2799))+1,"")</f>
        <v/>
      </c>
      <c r="W2799">
        <f>IF($A2799="","",IF(OR($T2799=TRUE(),$T2799="TRUE"),1,0))</f>
        <v/>
      </c>
      <c r="X2799">
        <f>IF($U2799=1,IFERROR(IF(VALUE($A2799)&lt;100000000,VALUE($A2799),1000000000),IFERROR(IF(VALUE(MID($A2799,2,20))&lt;100000000,VALUE(MID($A2799,2,20)),1000000000),1000000000))+ROW()/100000,"")</f>
        <v/>
      </c>
    </row>
    <row r="2800">
      <c r="F2800" s="7">
        <f>IF($A2800="","",E2800*N2800/100)</f>
        <v/>
      </c>
      <c r="J2800" s="7" t="n"/>
      <c r="K2800" s="7">
        <f>IF($A2800="","",S2800*N2800)</f>
        <v/>
      </c>
      <c r="L2800" s="7">
        <f>IF($A2800="","",N2800-K2800)</f>
        <v/>
      </c>
      <c r="M2800" s="7">
        <f>IF($A2800="","",L2800-F2800)</f>
        <v/>
      </c>
      <c r="N2800" s="7" t="n"/>
      <c r="Q2800" s="11" t="n"/>
      <c r="S2800">
        <f>IF($A2800="","",IF($W2800=1,Settings!$C$6,Settings!$C$7)*1)</f>
        <v/>
      </c>
      <c r="U2800">
        <f>IF($A2800="","",IF(COUNTIF($A$2:$A2800,$A2800)=1,1,0))</f>
        <v/>
      </c>
      <c r="V2800">
        <f>IF($U2800=1,SUMPRODUCT(--($X$2:$X$3001&lt;$X2800))+1,"")</f>
        <v/>
      </c>
      <c r="W2800">
        <f>IF($A2800="","",IF(OR($T2800=TRUE(),$T2800="TRUE"),1,0))</f>
        <v/>
      </c>
      <c r="X2800">
        <f>IF($U2800=1,IFERROR(IF(VALUE($A2800)&lt;100000000,VALUE($A2800),1000000000),IFERROR(IF(VALUE(MID($A2800,2,20))&lt;100000000,VALUE(MID($A2800,2,20)),1000000000),1000000000))+ROW()/100000,"")</f>
        <v/>
      </c>
    </row>
    <row r="2801">
      <c r="F2801" s="7">
        <f>IF($A2801="","",E2801*N2801/100)</f>
        <v/>
      </c>
      <c r="J2801" s="7" t="n"/>
      <c r="K2801" s="7">
        <f>IF($A2801="","",S2801*N2801)</f>
        <v/>
      </c>
      <c r="L2801" s="7">
        <f>IF($A2801="","",N2801-K2801)</f>
        <v/>
      </c>
      <c r="M2801" s="7">
        <f>IF($A2801="","",L2801-F2801)</f>
        <v/>
      </c>
      <c r="N2801" s="7" t="n"/>
      <c r="Q2801" s="11" t="n"/>
      <c r="S2801">
        <f>IF($A2801="","",IF($W2801=1,Settings!$C$6,Settings!$C$7)*1)</f>
        <v/>
      </c>
      <c r="U2801">
        <f>IF($A2801="","",IF(COUNTIF($A$2:$A2801,$A2801)=1,1,0))</f>
        <v/>
      </c>
      <c r="V2801">
        <f>IF($U2801=1,SUMPRODUCT(--($X$2:$X$3001&lt;$X2801))+1,"")</f>
        <v/>
      </c>
      <c r="W2801">
        <f>IF($A2801="","",IF(OR($T2801=TRUE(),$T2801="TRUE"),1,0))</f>
        <v/>
      </c>
      <c r="X2801">
        <f>IF($U2801=1,IFERROR(IF(VALUE($A2801)&lt;100000000,VALUE($A2801),1000000000),IFERROR(IF(VALUE(MID($A2801,2,20))&lt;100000000,VALUE(MID($A2801,2,20)),1000000000),1000000000))+ROW()/100000,"")</f>
        <v/>
      </c>
    </row>
    <row r="2802">
      <c r="F2802" s="7">
        <f>IF($A2802="","",E2802*N2802/100)</f>
        <v/>
      </c>
      <c r="J2802" s="7" t="n"/>
      <c r="K2802" s="7">
        <f>IF($A2802="","",S2802*N2802)</f>
        <v/>
      </c>
      <c r="L2802" s="7">
        <f>IF($A2802="","",N2802-K2802)</f>
        <v/>
      </c>
      <c r="M2802" s="7">
        <f>IF($A2802="","",L2802-F2802)</f>
        <v/>
      </c>
      <c r="N2802" s="7" t="n"/>
      <c r="Q2802" s="11" t="n"/>
      <c r="S2802">
        <f>IF($A2802="","",IF($W2802=1,Settings!$C$6,Settings!$C$7)*1)</f>
        <v/>
      </c>
      <c r="U2802">
        <f>IF($A2802="","",IF(COUNTIF($A$2:$A2802,$A2802)=1,1,0))</f>
        <v/>
      </c>
      <c r="V2802">
        <f>IF($U2802=1,SUMPRODUCT(--($X$2:$X$3001&lt;$X2802))+1,"")</f>
        <v/>
      </c>
      <c r="W2802">
        <f>IF($A2802="","",IF(OR($T2802=TRUE(),$T2802="TRUE"),1,0))</f>
        <v/>
      </c>
      <c r="X2802">
        <f>IF($U2802=1,IFERROR(IF(VALUE($A2802)&lt;100000000,VALUE($A2802),1000000000),IFERROR(IF(VALUE(MID($A2802,2,20))&lt;100000000,VALUE(MID($A2802,2,20)),1000000000),1000000000))+ROW()/100000,"")</f>
        <v/>
      </c>
    </row>
    <row r="2803">
      <c r="F2803" s="7">
        <f>IF($A2803="","",E2803*N2803/100)</f>
        <v/>
      </c>
      <c r="J2803" s="7" t="n"/>
      <c r="K2803" s="7">
        <f>IF($A2803="","",S2803*N2803)</f>
        <v/>
      </c>
      <c r="L2803" s="7">
        <f>IF($A2803="","",N2803-K2803)</f>
        <v/>
      </c>
      <c r="M2803" s="7">
        <f>IF($A2803="","",L2803-F2803)</f>
        <v/>
      </c>
      <c r="N2803" s="7" t="n"/>
      <c r="Q2803" s="11" t="n"/>
      <c r="S2803">
        <f>IF($A2803="","",IF($W2803=1,Settings!$C$6,Settings!$C$7)*1)</f>
        <v/>
      </c>
      <c r="U2803">
        <f>IF($A2803="","",IF(COUNTIF($A$2:$A2803,$A2803)=1,1,0))</f>
        <v/>
      </c>
      <c r="V2803">
        <f>IF($U2803=1,SUMPRODUCT(--($X$2:$X$3001&lt;$X2803))+1,"")</f>
        <v/>
      </c>
      <c r="W2803">
        <f>IF($A2803="","",IF(OR($T2803=TRUE(),$T2803="TRUE"),1,0))</f>
        <v/>
      </c>
      <c r="X2803">
        <f>IF($U2803=1,IFERROR(IF(VALUE($A2803)&lt;100000000,VALUE($A2803),1000000000),IFERROR(IF(VALUE(MID($A2803,2,20))&lt;100000000,VALUE(MID($A2803,2,20)),1000000000),1000000000))+ROW()/100000,"")</f>
        <v/>
      </c>
    </row>
    <row r="2804">
      <c r="F2804" s="7">
        <f>IF($A2804="","",E2804*N2804/100)</f>
        <v/>
      </c>
      <c r="J2804" s="7" t="n"/>
      <c r="K2804" s="7">
        <f>IF($A2804="","",S2804*N2804)</f>
        <v/>
      </c>
      <c r="L2804" s="7">
        <f>IF($A2804="","",N2804-K2804)</f>
        <v/>
      </c>
      <c r="M2804" s="7">
        <f>IF($A2804="","",L2804-F2804)</f>
        <v/>
      </c>
      <c r="N2804" s="7" t="n"/>
      <c r="Q2804" s="11" t="n"/>
      <c r="S2804">
        <f>IF($A2804="","",IF($W2804=1,Settings!$C$6,Settings!$C$7)*1)</f>
        <v/>
      </c>
      <c r="U2804">
        <f>IF($A2804="","",IF(COUNTIF($A$2:$A2804,$A2804)=1,1,0))</f>
        <v/>
      </c>
      <c r="V2804">
        <f>IF($U2804=1,SUMPRODUCT(--($X$2:$X$3001&lt;$X2804))+1,"")</f>
        <v/>
      </c>
      <c r="W2804">
        <f>IF($A2804="","",IF(OR($T2804=TRUE(),$T2804="TRUE"),1,0))</f>
        <v/>
      </c>
      <c r="X2804">
        <f>IF($U2804=1,IFERROR(IF(VALUE($A2804)&lt;100000000,VALUE($A2804),1000000000),IFERROR(IF(VALUE(MID($A2804,2,20))&lt;100000000,VALUE(MID($A2804,2,20)),1000000000),1000000000))+ROW()/100000,"")</f>
        <v/>
      </c>
    </row>
    <row r="2805">
      <c r="F2805" s="7">
        <f>IF($A2805="","",E2805*N2805/100)</f>
        <v/>
      </c>
      <c r="J2805" s="7" t="n"/>
      <c r="K2805" s="7">
        <f>IF($A2805="","",S2805*N2805)</f>
        <v/>
      </c>
      <c r="L2805" s="7">
        <f>IF($A2805="","",N2805-K2805)</f>
        <v/>
      </c>
      <c r="M2805" s="7">
        <f>IF($A2805="","",L2805-F2805)</f>
        <v/>
      </c>
      <c r="N2805" s="7" t="n"/>
      <c r="Q2805" s="11" t="n"/>
      <c r="S2805">
        <f>IF($A2805="","",IF($W2805=1,Settings!$C$6,Settings!$C$7)*1)</f>
        <v/>
      </c>
      <c r="U2805">
        <f>IF($A2805="","",IF(COUNTIF($A$2:$A2805,$A2805)=1,1,0))</f>
        <v/>
      </c>
      <c r="V2805">
        <f>IF($U2805=1,SUMPRODUCT(--($X$2:$X$3001&lt;$X2805))+1,"")</f>
        <v/>
      </c>
      <c r="W2805">
        <f>IF($A2805="","",IF(OR($T2805=TRUE(),$T2805="TRUE"),1,0))</f>
        <v/>
      </c>
      <c r="X2805">
        <f>IF($U2805=1,IFERROR(IF(VALUE($A2805)&lt;100000000,VALUE($A2805),1000000000),IFERROR(IF(VALUE(MID($A2805,2,20))&lt;100000000,VALUE(MID($A2805,2,20)),1000000000),1000000000))+ROW()/100000,"")</f>
        <v/>
      </c>
    </row>
    <row r="2806">
      <c r="F2806" s="7">
        <f>IF($A2806="","",E2806*N2806/100)</f>
        <v/>
      </c>
      <c r="J2806" s="7" t="n"/>
      <c r="K2806" s="7">
        <f>IF($A2806="","",S2806*N2806)</f>
        <v/>
      </c>
      <c r="L2806" s="7">
        <f>IF($A2806="","",N2806-K2806)</f>
        <v/>
      </c>
      <c r="M2806" s="7">
        <f>IF($A2806="","",L2806-F2806)</f>
        <v/>
      </c>
      <c r="N2806" s="7" t="n"/>
      <c r="Q2806" s="11" t="n"/>
      <c r="S2806">
        <f>IF($A2806="","",IF($W2806=1,Settings!$C$6,Settings!$C$7)*1)</f>
        <v/>
      </c>
      <c r="U2806">
        <f>IF($A2806="","",IF(COUNTIF($A$2:$A2806,$A2806)=1,1,0))</f>
        <v/>
      </c>
      <c r="V2806">
        <f>IF($U2806=1,SUMPRODUCT(--($X$2:$X$3001&lt;$X2806))+1,"")</f>
        <v/>
      </c>
      <c r="W2806">
        <f>IF($A2806="","",IF(OR($T2806=TRUE(),$T2806="TRUE"),1,0))</f>
        <v/>
      </c>
      <c r="X2806">
        <f>IF($U2806=1,IFERROR(IF(VALUE($A2806)&lt;100000000,VALUE($A2806),1000000000),IFERROR(IF(VALUE(MID($A2806,2,20))&lt;100000000,VALUE(MID($A2806,2,20)),1000000000),1000000000))+ROW()/100000,"")</f>
        <v/>
      </c>
    </row>
    <row r="2807">
      <c r="F2807" s="7">
        <f>IF($A2807="","",E2807*N2807/100)</f>
        <v/>
      </c>
      <c r="J2807" s="7" t="n"/>
      <c r="K2807" s="7">
        <f>IF($A2807="","",S2807*N2807)</f>
        <v/>
      </c>
      <c r="L2807" s="7">
        <f>IF($A2807="","",N2807-K2807)</f>
        <v/>
      </c>
      <c r="M2807" s="7">
        <f>IF($A2807="","",L2807-F2807)</f>
        <v/>
      </c>
      <c r="N2807" s="7" t="n"/>
      <c r="Q2807" s="11" t="n"/>
      <c r="S2807">
        <f>IF($A2807="","",IF($W2807=1,Settings!$C$6,Settings!$C$7)*1)</f>
        <v/>
      </c>
      <c r="U2807">
        <f>IF($A2807="","",IF(COUNTIF($A$2:$A2807,$A2807)=1,1,0))</f>
        <v/>
      </c>
      <c r="V2807">
        <f>IF($U2807=1,SUMPRODUCT(--($X$2:$X$3001&lt;$X2807))+1,"")</f>
        <v/>
      </c>
      <c r="W2807">
        <f>IF($A2807="","",IF(OR($T2807=TRUE(),$T2807="TRUE"),1,0))</f>
        <v/>
      </c>
      <c r="X2807">
        <f>IF($U2807=1,IFERROR(IF(VALUE($A2807)&lt;100000000,VALUE($A2807),1000000000),IFERROR(IF(VALUE(MID($A2807,2,20))&lt;100000000,VALUE(MID($A2807,2,20)),1000000000),1000000000))+ROW()/100000,"")</f>
        <v/>
      </c>
    </row>
    <row r="2808">
      <c r="F2808" s="7">
        <f>IF($A2808="","",E2808*N2808/100)</f>
        <v/>
      </c>
      <c r="J2808" s="7" t="n"/>
      <c r="K2808" s="7">
        <f>IF($A2808="","",S2808*N2808)</f>
        <v/>
      </c>
      <c r="L2808" s="7">
        <f>IF($A2808="","",N2808-K2808)</f>
        <v/>
      </c>
      <c r="M2808" s="7">
        <f>IF($A2808="","",L2808-F2808)</f>
        <v/>
      </c>
      <c r="N2808" s="7" t="n"/>
      <c r="Q2808" s="11" t="n"/>
      <c r="S2808">
        <f>IF($A2808="","",IF($W2808=1,Settings!$C$6,Settings!$C$7)*1)</f>
        <v/>
      </c>
      <c r="U2808">
        <f>IF($A2808="","",IF(COUNTIF($A$2:$A2808,$A2808)=1,1,0))</f>
        <v/>
      </c>
      <c r="V2808">
        <f>IF($U2808=1,SUMPRODUCT(--($X$2:$X$3001&lt;$X2808))+1,"")</f>
        <v/>
      </c>
      <c r="W2808">
        <f>IF($A2808="","",IF(OR($T2808=TRUE(),$T2808="TRUE"),1,0))</f>
        <v/>
      </c>
      <c r="X2808">
        <f>IF($U2808=1,IFERROR(IF(VALUE($A2808)&lt;100000000,VALUE($A2808),1000000000),IFERROR(IF(VALUE(MID($A2808,2,20))&lt;100000000,VALUE(MID($A2808,2,20)),1000000000),1000000000))+ROW()/100000,"")</f>
        <v/>
      </c>
    </row>
    <row r="2809">
      <c r="F2809" s="7">
        <f>IF($A2809="","",E2809*N2809/100)</f>
        <v/>
      </c>
      <c r="J2809" s="7" t="n"/>
      <c r="K2809" s="7">
        <f>IF($A2809="","",S2809*N2809)</f>
        <v/>
      </c>
      <c r="L2809" s="7">
        <f>IF($A2809="","",N2809-K2809)</f>
        <v/>
      </c>
      <c r="M2809" s="7">
        <f>IF($A2809="","",L2809-F2809)</f>
        <v/>
      </c>
      <c r="N2809" s="7" t="n"/>
      <c r="Q2809" s="11" t="n"/>
      <c r="S2809">
        <f>IF($A2809="","",IF($W2809=1,Settings!$C$6,Settings!$C$7)*1)</f>
        <v/>
      </c>
      <c r="U2809">
        <f>IF($A2809="","",IF(COUNTIF($A$2:$A2809,$A2809)=1,1,0))</f>
        <v/>
      </c>
      <c r="V2809">
        <f>IF($U2809=1,SUMPRODUCT(--($X$2:$X$3001&lt;$X2809))+1,"")</f>
        <v/>
      </c>
      <c r="W2809">
        <f>IF($A2809="","",IF(OR($T2809=TRUE(),$T2809="TRUE"),1,0))</f>
        <v/>
      </c>
      <c r="X2809">
        <f>IF($U2809=1,IFERROR(IF(VALUE($A2809)&lt;100000000,VALUE($A2809),1000000000),IFERROR(IF(VALUE(MID($A2809,2,20))&lt;100000000,VALUE(MID($A2809,2,20)),1000000000),1000000000))+ROW()/100000,"")</f>
        <v/>
      </c>
    </row>
    <row r="2810">
      <c r="F2810" s="7">
        <f>IF($A2810="","",E2810*N2810/100)</f>
        <v/>
      </c>
      <c r="J2810" s="7" t="n"/>
      <c r="K2810" s="7">
        <f>IF($A2810="","",S2810*N2810)</f>
        <v/>
      </c>
      <c r="L2810" s="7">
        <f>IF($A2810="","",N2810-K2810)</f>
        <v/>
      </c>
      <c r="M2810" s="7">
        <f>IF($A2810="","",L2810-F2810)</f>
        <v/>
      </c>
      <c r="N2810" s="7" t="n"/>
      <c r="Q2810" s="11" t="n"/>
      <c r="S2810">
        <f>IF($A2810="","",IF($W2810=1,Settings!$C$6,Settings!$C$7)*1)</f>
        <v/>
      </c>
      <c r="U2810">
        <f>IF($A2810="","",IF(COUNTIF($A$2:$A2810,$A2810)=1,1,0))</f>
        <v/>
      </c>
      <c r="V2810">
        <f>IF($U2810=1,SUMPRODUCT(--($X$2:$X$3001&lt;$X2810))+1,"")</f>
        <v/>
      </c>
      <c r="W2810">
        <f>IF($A2810="","",IF(OR($T2810=TRUE(),$T2810="TRUE"),1,0))</f>
        <v/>
      </c>
      <c r="X2810">
        <f>IF($U2810=1,IFERROR(IF(VALUE($A2810)&lt;100000000,VALUE($A2810),1000000000),IFERROR(IF(VALUE(MID($A2810,2,20))&lt;100000000,VALUE(MID($A2810,2,20)),1000000000),1000000000))+ROW()/100000,"")</f>
        <v/>
      </c>
    </row>
    <row r="2811">
      <c r="F2811" s="7">
        <f>IF($A2811="","",E2811*N2811/100)</f>
        <v/>
      </c>
      <c r="J2811" s="7" t="n"/>
      <c r="K2811" s="7">
        <f>IF($A2811="","",S2811*N2811)</f>
        <v/>
      </c>
      <c r="L2811" s="7">
        <f>IF($A2811="","",N2811-K2811)</f>
        <v/>
      </c>
      <c r="M2811" s="7">
        <f>IF($A2811="","",L2811-F2811)</f>
        <v/>
      </c>
      <c r="N2811" s="7" t="n"/>
      <c r="Q2811" s="11" t="n"/>
      <c r="S2811">
        <f>IF($A2811="","",IF($W2811=1,Settings!$C$6,Settings!$C$7)*1)</f>
        <v/>
      </c>
      <c r="U2811">
        <f>IF($A2811="","",IF(COUNTIF($A$2:$A2811,$A2811)=1,1,0))</f>
        <v/>
      </c>
      <c r="V2811">
        <f>IF($U2811=1,SUMPRODUCT(--($X$2:$X$3001&lt;$X2811))+1,"")</f>
        <v/>
      </c>
      <c r="W2811">
        <f>IF($A2811="","",IF(OR($T2811=TRUE(),$T2811="TRUE"),1,0))</f>
        <v/>
      </c>
      <c r="X2811">
        <f>IF($U2811=1,IFERROR(IF(VALUE($A2811)&lt;100000000,VALUE($A2811),1000000000),IFERROR(IF(VALUE(MID($A2811,2,20))&lt;100000000,VALUE(MID($A2811,2,20)),1000000000),1000000000))+ROW()/100000,"")</f>
        <v/>
      </c>
    </row>
    <row r="2812">
      <c r="F2812" s="7">
        <f>IF($A2812="","",E2812*N2812/100)</f>
        <v/>
      </c>
      <c r="J2812" s="7" t="n"/>
      <c r="K2812" s="7">
        <f>IF($A2812="","",S2812*N2812)</f>
        <v/>
      </c>
      <c r="L2812" s="7">
        <f>IF($A2812="","",N2812-K2812)</f>
        <v/>
      </c>
      <c r="M2812" s="7">
        <f>IF($A2812="","",L2812-F2812)</f>
        <v/>
      </c>
      <c r="N2812" s="7" t="n"/>
      <c r="Q2812" s="11" t="n"/>
      <c r="S2812">
        <f>IF($A2812="","",IF($W2812=1,Settings!$C$6,Settings!$C$7)*1)</f>
        <v/>
      </c>
      <c r="U2812">
        <f>IF($A2812="","",IF(COUNTIF($A$2:$A2812,$A2812)=1,1,0))</f>
        <v/>
      </c>
      <c r="V2812">
        <f>IF($U2812=1,SUMPRODUCT(--($X$2:$X$3001&lt;$X2812))+1,"")</f>
        <v/>
      </c>
      <c r="W2812">
        <f>IF($A2812="","",IF(OR($T2812=TRUE(),$T2812="TRUE"),1,0))</f>
        <v/>
      </c>
      <c r="X2812">
        <f>IF($U2812=1,IFERROR(IF(VALUE($A2812)&lt;100000000,VALUE($A2812),1000000000),IFERROR(IF(VALUE(MID($A2812,2,20))&lt;100000000,VALUE(MID($A2812,2,20)),1000000000),1000000000))+ROW()/100000,"")</f>
        <v/>
      </c>
    </row>
    <row r="2813">
      <c r="F2813" s="7">
        <f>IF($A2813="","",E2813*N2813/100)</f>
        <v/>
      </c>
      <c r="J2813" s="7" t="n"/>
      <c r="K2813" s="7">
        <f>IF($A2813="","",S2813*N2813)</f>
        <v/>
      </c>
      <c r="L2813" s="7">
        <f>IF($A2813="","",N2813-K2813)</f>
        <v/>
      </c>
      <c r="M2813" s="7">
        <f>IF($A2813="","",L2813-F2813)</f>
        <v/>
      </c>
      <c r="N2813" s="7" t="n"/>
      <c r="Q2813" s="11" t="n"/>
      <c r="S2813">
        <f>IF($A2813="","",IF($W2813=1,Settings!$C$6,Settings!$C$7)*1)</f>
        <v/>
      </c>
      <c r="U2813">
        <f>IF($A2813="","",IF(COUNTIF($A$2:$A2813,$A2813)=1,1,0))</f>
        <v/>
      </c>
      <c r="V2813">
        <f>IF($U2813=1,SUMPRODUCT(--($X$2:$X$3001&lt;$X2813))+1,"")</f>
        <v/>
      </c>
      <c r="W2813">
        <f>IF($A2813="","",IF(OR($T2813=TRUE(),$T2813="TRUE"),1,0))</f>
        <v/>
      </c>
      <c r="X2813">
        <f>IF($U2813=1,IFERROR(IF(VALUE($A2813)&lt;100000000,VALUE($A2813),1000000000),IFERROR(IF(VALUE(MID($A2813,2,20))&lt;100000000,VALUE(MID($A2813,2,20)),1000000000),1000000000))+ROW()/100000,"")</f>
        <v/>
      </c>
    </row>
    <row r="2814">
      <c r="F2814" s="7">
        <f>IF($A2814="","",E2814*N2814/100)</f>
        <v/>
      </c>
      <c r="J2814" s="7" t="n"/>
      <c r="K2814" s="7">
        <f>IF($A2814="","",S2814*N2814)</f>
        <v/>
      </c>
      <c r="L2814" s="7">
        <f>IF($A2814="","",N2814-K2814)</f>
        <v/>
      </c>
      <c r="M2814" s="7">
        <f>IF($A2814="","",L2814-F2814)</f>
        <v/>
      </c>
      <c r="N2814" s="7" t="n"/>
      <c r="Q2814" s="11" t="n"/>
      <c r="S2814">
        <f>IF($A2814="","",IF($W2814=1,Settings!$C$6,Settings!$C$7)*1)</f>
        <v/>
      </c>
      <c r="U2814">
        <f>IF($A2814="","",IF(COUNTIF($A$2:$A2814,$A2814)=1,1,0))</f>
        <v/>
      </c>
      <c r="V2814">
        <f>IF($U2814=1,SUMPRODUCT(--($X$2:$X$3001&lt;$X2814))+1,"")</f>
        <v/>
      </c>
      <c r="W2814">
        <f>IF($A2814="","",IF(OR($T2814=TRUE(),$T2814="TRUE"),1,0))</f>
        <v/>
      </c>
      <c r="X2814">
        <f>IF($U2814=1,IFERROR(IF(VALUE($A2814)&lt;100000000,VALUE($A2814),1000000000),IFERROR(IF(VALUE(MID($A2814,2,20))&lt;100000000,VALUE(MID($A2814,2,20)),1000000000),1000000000))+ROW()/100000,"")</f>
        <v/>
      </c>
    </row>
    <row r="2815">
      <c r="F2815" s="7">
        <f>IF($A2815="","",E2815*N2815/100)</f>
        <v/>
      </c>
      <c r="J2815" s="7" t="n"/>
      <c r="K2815" s="7">
        <f>IF($A2815="","",S2815*N2815)</f>
        <v/>
      </c>
      <c r="L2815" s="7">
        <f>IF($A2815="","",N2815-K2815)</f>
        <v/>
      </c>
      <c r="M2815" s="7">
        <f>IF($A2815="","",L2815-F2815)</f>
        <v/>
      </c>
      <c r="N2815" s="7" t="n"/>
      <c r="Q2815" s="11" t="n"/>
      <c r="S2815">
        <f>IF($A2815="","",IF($W2815=1,Settings!$C$6,Settings!$C$7)*1)</f>
        <v/>
      </c>
      <c r="U2815">
        <f>IF($A2815="","",IF(COUNTIF($A$2:$A2815,$A2815)=1,1,0))</f>
        <v/>
      </c>
      <c r="V2815">
        <f>IF($U2815=1,SUMPRODUCT(--($X$2:$X$3001&lt;$X2815))+1,"")</f>
        <v/>
      </c>
      <c r="W2815">
        <f>IF($A2815="","",IF(OR($T2815=TRUE(),$T2815="TRUE"),1,0))</f>
        <v/>
      </c>
      <c r="X2815">
        <f>IF($U2815=1,IFERROR(IF(VALUE($A2815)&lt;100000000,VALUE($A2815),1000000000),IFERROR(IF(VALUE(MID($A2815,2,20))&lt;100000000,VALUE(MID($A2815,2,20)),1000000000),1000000000))+ROW()/100000,"")</f>
        <v/>
      </c>
    </row>
    <row r="2816">
      <c r="F2816" s="7">
        <f>IF($A2816="","",E2816*N2816/100)</f>
        <v/>
      </c>
      <c r="J2816" s="7" t="n"/>
      <c r="K2816" s="7">
        <f>IF($A2816="","",S2816*N2816)</f>
        <v/>
      </c>
      <c r="L2816" s="7">
        <f>IF($A2816="","",N2816-K2816)</f>
        <v/>
      </c>
      <c r="M2816" s="7">
        <f>IF($A2816="","",L2816-F2816)</f>
        <v/>
      </c>
      <c r="N2816" s="7" t="n"/>
      <c r="Q2816" s="11" t="n"/>
      <c r="S2816">
        <f>IF($A2816="","",IF($W2816=1,Settings!$C$6,Settings!$C$7)*1)</f>
        <v/>
      </c>
      <c r="U2816">
        <f>IF($A2816="","",IF(COUNTIF($A$2:$A2816,$A2816)=1,1,0))</f>
        <v/>
      </c>
      <c r="V2816">
        <f>IF($U2816=1,SUMPRODUCT(--($X$2:$X$3001&lt;$X2816))+1,"")</f>
        <v/>
      </c>
      <c r="W2816">
        <f>IF($A2816="","",IF(OR($T2816=TRUE(),$T2816="TRUE"),1,0))</f>
        <v/>
      </c>
      <c r="X2816">
        <f>IF($U2816=1,IFERROR(IF(VALUE($A2816)&lt;100000000,VALUE($A2816),1000000000),IFERROR(IF(VALUE(MID($A2816,2,20))&lt;100000000,VALUE(MID($A2816,2,20)),1000000000),1000000000))+ROW()/100000,"")</f>
        <v/>
      </c>
    </row>
    <row r="2817">
      <c r="F2817" s="7">
        <f>IF($A2817="","",E2817*N2817/100)</f>
        <v/>
      </c>
      <c r="J2817" s="7" t="n"/>
      <c r="K2817" s="7">
        <f>IF($A2817="","",S2817*N2817)</f>
        <v/>
      </c>
      <c r="L2817" s="7">
        <f>IF($A2817="","",N2817-K2817)</f>
        <v/>
      </c>
      <c r="M2817" s="7">
        <f>IF($A2817="","",L2817-F2817)</f>
        <v/>
      </c>
      <c r="N2817" s="7" t="n"/>
      <c r="Q2817" s="11" t="n"/>
      <c r="S2817">
        <f>IF($A2817="","",IF($W2817=1,Settings!$C$6,Settings!$C$7)*1)</f>
        <v/>
      </c>
      <c r="U2817">
        <f>IF($A2817="","",IF(COUNTIF($A$2:$A2817,$A2817)=1,1,0))</f>
        <v/>
      </c>
      <c r="V2817">
        <f>IF($U2817=1,SUMPRODUCT(--($X$2:$X$3001&lt;$X2817))+1,"")</f>
        <v/>
      </c>
      <c r="W2817">
        <f>IF($A2817="","",IF(OR($T2817=TRUE(),$T2817="TRUE"),1,0))</f>
        <v/>
      </c>
      <c r="X2817">
        <f>IF($U2817=1,IFERROR(IF(VALUE($A2817)&lt;100000000,VALUE($A2817),1000000000),IFERROR(IF(VALUE(MID($A2817,2,20))&lt;100000000,VALUE(MID($A2817,2,20)),1000000000),1000000000))+ROW()/100000,"")</f>
        <v/>
      </c>
    </row>
    <row r="2818">
      <c r="F2818" s="7">
        <f>IF($A2818="","",E2818*N2818/100)</f>
        <v/>
      </c>
      <c r="J2818" s="7" t="n"/>
      <c r="K2818" s="7">
        <f>IF($A2818="","",S2818*N2818)</f>
        <v/>
      </c>
      <c r="L2818" s="7">
        <f>IF($A2818="","",N2818-K2818)</f>
        <v/>
      </c>
      <c r="M2818" s="7">
        <f>IF($A2818="","",L2818-F2818)</f>
        <v/>
      </c>
      <c r="N2818" s="7" t="n"/>
      <c r="Q2818" s="11" t="n"/>
      <c r="S2818">
        <f>IF($A2818="","",IF($W2818=1,Settings!$C$6,Settings!$C$7)*1)</f>
        <v/>
      </c>
      <c r="U2818">
        <f>IF($A2818="","",IF(COUNTIF($A$2:$A2818,$A2818)=1,1,0))</f>
        <v/>
      </c>
      <c r="V2818">
        <f>IF($U2818=1,SUMPRODUCT(--($X$2:$X$3001&lt;$X2818))+1,"")</f>
        <v/>
      </c>
      <c r="W2818">
        <f>IF($A2818="","",IF(OR($T2818=TRUE(),$T2818="TRUE"),1,0))</f>
        <v/>
      </c>
      <c r="X2818">
        <f>IF($U2818=1,IFERROR(IF(VALUE($A2818)&lt;100000000,VALUE($A2818),1000000000),IFERROR(IF(VALUE(MID($A2818,2,20))&lt;100000000,VALUE(MID($A2818,2,20)),1000000000),1000000000))+ROW()/100000,"")</f>
        <v/>
      </c>
    </row>
    <row r="2819">
      <c r="F2819" s="7">
        <f>IF($A2819="","",E2819*N2819/100)</f>
        <v/>
      </c>
      <c r="J2819" s="7" t="n"/>
      <c r="K2819" s="7">
        <f>IF($A2819="","",S2819*N2819)</f>
        <v/>
      </c>
      <c r="L2819" s="7">
        <f>IF($A2819="","",N2819-K2819)</f>
        <v/>
      </c>
      <c r="M2819" s="7">
        <f>IF($A2819="","",L2819-F2819)</f>
        <v/>
      </c>
      <c r="N2819" s="7" t="n"/>
      <c r="Q2819" s="11" t="n"/>
      <c r="S2819">
        <f>IF($A2819="","",IF($W2819=1,Settings!$C$6,Settings!$C$7)*1)</f>
        <v/>
      </c>
      <c r="U2819">
        <f>IF($A2819="","",IF(COUNTIF($A$2:$A2819,$A2819)=1,1,0))</f>
        <v/>
      </c>
      <c r="V2819">
        <f>IF($U2819=1,SUMPRODUCT(--($X$2:$X$3001&lt;$X2819))+1,"")</f>
        <v/>
      </c>
      <c r="W2819">
        <f>IF($A2819="","",IF(OR($T2819=TRUE(),$T2819="TRUE"),1,0))</f>
        <v/>
      </c>
      <c r="X2819">
        <f>IF($U2819=1,IFERROR(IF(VALUE($A2819)&lt;100000000,VALUE($A2819),1000000000),IFERROR(IF(VALUE(MID($A2819,2,20))&lt;100000000,VALUE(MID($A2819,2,20)),1000000000),1000000000))+ROW()/100000,"")</f>
        <v/>
      </c>
    </row>
    <row r="2820">
      <c r="F2820" s="7">
        <f>IF($A2820="","",E2820*N2820/100)</f>
        <v/>
      </c>
      <c r="J2820" s="7" t="n"/>
      <c r="K2820" s="7">
        <f>IF($A2820="","",S2820*N2820)</f>
        <v/>
      </c>
      <c r="L2820" s="7">
        <f>IF($A2820="","",N2820-K2820)</f>
        <v/>
      </c>
      <c r="M2820" s="7">
        <f>IF($A2820="","",L2820-F2820)</f>
        <v/>
      </c>
      <c r="N2820" s="7" t="n"/>
      <c r="Q2820" s="11" t="n"/>
      <c r="S2820">
        <f>IF($A2820="","",IF($W2820=1,Settings!$C$6,Settings!$C$7)*1)</f>
        <v/>
      </c>
      <c r="U2820">
        <f>IF($A2820="","",IF(COUNTIF($A$2:$A2820,$A2820)=1,1,0))</f>
        <v/>
      </c>
      <c r="V2820">
        <f>IF($U2820=1,SUMPRODUCT(--($X$2:$X$3001&lt;$X2820))+1,"")</f>
        <v/>
      </c>
      <c r="W2820">
        <f>IF($A2820="","",IF(OR($T2820=TRUE(),$T2820="TRUE"),1,0))</f>
        <v/>
      </c>
      <c r="X2820">
        <f>IF($U2820=1,IFERROR(IF(VALUE($A2820)&lt;100000000,VALUE($A2820),1000000000),IFERROR(IF(VALUE(MID($A2820,2,20))&lt;100000000,VALUE(MID($A2820,2,20)),1000000000),1000000000))+ROW()/100000,"")</f>
        <v/>
      </c>
    </row>
    <row r="2821">
      <c r="F2821" s="7">
        <f>IF($A2821="","",E2821*N2821/100)</f>
        <v/>
      </c>
      <c r="J2821" s="7" t="n"/>
      <c r="K2821" s="7">
        <f>IF($A2821="","",S2821*N2821)</f>
        <v/>
      </c>
      <c r="L2821" s="7">
        <f>IF($A2821="","",N2821-K2821)</f>
        <v/>
      </c>
      <c r="M2821" s="7">
        <f>IF($A2821="","",L2821-F2821)</f>
        <v/>
      </c>
      <c r="N2821" s="7" t="n"/>
      <c r="Q2821" s="11" t="n"/>
      <c r="S2821">
        <f>IF($A2821="","",IF($W2821=1,Settings!$C$6,Settings!$C$7)*1)</f>
        <v/>
      </c>
      <c r="U2821">
        <f>IF($A2821="","",IF(COUNTIF($A$2:$A2821,$A2821)=1,1,0))</f>
        <v/>
      </c>
      <c r="V2821">
        <f>IF($U2821=1,SUMPRODUCT(--($X$2:$X$3001&lt;$X2821))+1,"")</f>
        <v/>
      </c>
      <c r="W2821">
        <f>IF($A2821="","",IF(OR($T2821=TRUE(),$T2821="TRUE"),1,0))</f>
        <v/>
      </c>
      <c r="X2821">
        <f>IF($U2821=1,IFERROR(IF(VALUE($A2821)&lt;100000000,VALUE($A2821),1000000000),IFERROR(IF(VALUE(MID($A2821,2,20))&lt;100000000,VALUE(MID($A2821,2,20)),1000000000),1000000000))+ROW()/100000,"")</f>
        <v/>
      </c>
    </row>
    <row r="2822">
      <c r="F2822" s="7">
        <f>IF($A2822="","",E2822*N2822/100)</f>
        <v/>
      </c>
      <c r="J2822" s="7" t="n"/>
      <c r="K2822" s="7">
        <f>IF($A2822="","",S2822*N2822)</f>
        <v/>
      </c>
      <c r="L2822" s="7">
        <f>IF($A2822="","",N2822-K2822)</f>
        <v/>
      </c>
      <c r="M2822" s="7">
        <f>IF($A2822="","",L2822-F2822)</f>
        <v/>
      </c>
      <c r="N2822" s="7" t="n"/>
      <c r="Q2822" s="11" t="n"/>
      <c r="S2822">
        <f>IF($A2822="","",IF($W2822=1,Settings!$C$6,Settings!$C$7)*1)</f>
        <v/>
      </c>
      <c r="U2822">
        <f>IF($A2822="","",IF(COUNTIF($A$2:$A2822,$A2822)=1,1,0))</f>
        <v/>
      </c>
      <c r="V2822">
        <f>IF($U2822=1,SUMPRODUCT(--($X$2:$X$3001&lt;$X2822))+1,"")</f>
        <v/>
      </c>
      <c r="W2822">
        <f>IF($A2822="","",IF(OR($T2822=TRUE(),$T2822="TRUE"),1,0))</f>
        <v/>
      </c>
      <c r="X2822">
        <f>IF($U2822=1,IFERROR(IF(VALUE($A2822)&lt;100000000,VALUE($A2822),1000000000),IFERROR(IF(VALUE(MID($A2822,2,20))&lt;100000000,VALUE(MID($A2822,2,20)),1000000000),1000000000))+ROW()/100000,"")</f>
        <v/>
      </c>
    </row>
    <row r="2823">
      <c r="F2823" s="7">
        <f>IF($A2823="","",E2823*N2823/100)</f>
        <v/>
      </c>
      <c r="J2823" s="7" t="n"/>
      <c r="K2823" s="7">
        <f>IF($A2823="","",S2823*N2823)</f>
        <v/>
      </c>
      <c r="L2823" s="7">
        <f>IF($A2823="","",N2823-K2823)</f>
        <v/>
      </c>
      <c r="M2823" s="7">
        <f>IF($A2823="","",L2823-F2823)</f>
        <v/>
      </c>
      <c r="N2823" s="7" t="n"/>
      <c r="Q2823" s="11" t="n"/>
      <c r="S2823">
        <f>IF($A2823="","",IF($W2823=1,Settings!$C$6,Settings!$C$7)*1)</f>
        <v/>
      </c>
      <c r="U2823">
        <f>IF($A2823="","",IF(COUNTIF($A$2:$A2823,$A2823)=1,1,0))</f>
        <v/>
      </c>
      <c r="V2823">
        <f>IF($U2823=1,SUMPRODUCT(--($X$2:$X$3001&lt;$X2823))+1,"")</f>
        <v/>
      </c>
      <c r="W2823">
        <f>IF($A2823="","",IF(OR($T2823=TRUE(),$T2823="TRUE"),1,0))</f>
        <v/>
      </c>
      <c r="X2823">
        <f>IF($U2823=1,IFERROR(IF(VALUE($A2823)&lt;100000000,VALUE($A2823),1000000000),IFERROR(IF(VALUE(MID($A2823,2,20))&lt;100000000,VALUE(MID($A2823,2,20)),1000000000),1000000000))+ROW()/100000,"")</f>
        <v/>
      </c>
    </row>
    <row r="2824">
      <c r="F2824" s="7">
        <f>IF($A2824="","",E2824*N2824/100)</f>
        <v/>
      </c>
      <c r="J2824" s="7" t="n"/>
      <c r="K2824" s="7">
        <f>IF($A2824="","",S2824*N2824)</f>
        <v/>
      </c>
      <c r="L2824" s="7">
        <f>IF($A2824="","",N2824-K2824)</f>
        <v/>
      </c>
      <c r="M2824" s="7">
        <f>IF($A2824="","",L2824-F2824)</f>
        <v/>
      </c>
      <c r="N2824" s="7" t="n"/>
      <c r="Q2824" s="11" t="n"/>
      <c r="S2824">
        <f>IF($A2824="","",IF($W2824=1,Settings!$C$6,Settings!$C$7)*1)</f>
        <v/>
      </c>
      <c r="U2824">
        <f>IF($A2824="","",IF(COUNTIF($A$2:$A2824,$A2824)=1,1,0))</f>
        <v/>
      </c>
      <c r="V2824">
        <f>IF($U2824=1,SUMPRODUCT(--($X$2:$X$3001&lt;$X2824))+1,"")</f>
        <v/>
      </c>
      <c r="W2824">
        <f>IF($A2824="","",IF(OR($T2824=TRUE(),$T2824="TRUE"),1,0))</f>
        <v/>
      </c>
      <c r="X2824">
        <f>IF($U2824=1,IFERROR(IF(VALUE($A2824)&lt;100000000,VALUE($A2824),1000000000),IFERROR(IF(VALUE(MID($A2824,2,20))&lt;100000000,VALUE(MID($A2824,2,20)),1000000000),1000000000))+ROW()/100000,"")</f>
        <v/>
      </c>
    </row>
    <row r="2825">
      <c r="F2825" s="7">
        <f>IF($A2825="","",E2825*N2825/100)</f>
        <v/>
      </c>
      <c r="J2825" s="7" t="n"/>
      <c r="K2825" s="7">
        <f>IF($A2825="","",S2825*N2825)</f>
        <v/>
      </c>
      <c r="L2825" s="7">
        <f>IF($A2825="","",N2825-K2825)</f>
        <v/>
      </c>
      <c r="M2825" s="7">
        <f>IF($A2825="","",L2825-F2825)</f>
        <v/>
      </c>
      <c r="N2825" s="7" t="n"/>
      <c r="Q2825" s="11" t="n"/>
      <c r="S2825">
        <f>IF($A2825="","",IF($W2825=1,Settings!$C$6,Settings!$C$7)*1)</f>
        <v/>
      </c>
      <c r="U2825">
        <f>IF($A2825="","",IF(COUNTIF($A$2:$A2825,$A2825)=1,1,0))</f>
        <v/>
      </c>
      <c r="V2825">
        <f>IF($U2825=1,SUMPRODUCT(--($X$2:$X$3001&lt;$X2825))+1,"")</f>
        <v/>
      </c>
      <c r="W2825">
        <f>IF($A2825="","",IF(OR($T2825=TRUE(),$T2825="TRUE"),1,0))</f>
        <v/>
      </c>
      <c r="X2825">
        <f>IF($U2825=1,IFERROR(IF(VALUE($A2825)&lt;100000000,VALUE($A2825),1000000000),IFERROR(IF(VALUE(MID($A2825,2,20))&lt;100000000,VALUE(MID($A2825,2,20)),1000000000),1000000000))+ROW()/100000,"")</f>
        <v/>
      </c>
    </row>
    <row r="2826">
      <c r="F2826" s="7">
        <f>IF($A2826="","",E2826*N2826/100)</f>
        <v/>
      </c>
      <c r="J2826" s="7" t="n"/>
      <c r="K2826" s="7">
        <f>IF($A2826="","",S2826*N2826)</f>
        <v/>
      </c>
      <c r="L2826" s="7">
        <f>IF($A2826="","",N2826-K2826)</f>
        <v/>
      </c>
      <c r="M2826" s="7">
        <f>IF($A2826="","",L2826-F2826)</f>
        <v/>
      </c>
      <c r="N2826" s="7" t="n"/>
      <c r="Q2826" s="11" t="n"/>
      <c r="S2826">
        <f>IF($A2826="","",IF($W2826=1,Settings!$C$6,Settings!$C$7)*1)</f>
        <v/>
      </c>
      <c r="U2826">
        <f>IF($A2826="","",IF(COUNTIF($A$2:$A2826,$A2826)=1,1,0))</f>
        <v/>
      </c>
      <c r="V2826">
        <f>IF($U2826=1,SUMPRODUCT(--($X$2:$X$3001&lt;$X2826))+1,"")</f>
        <v/>
      </c>
      <c r="W2826">
        <f>IF($A2826="","",IF(OR($T2826=TRUE(),$T2826="TRUE"),1,0))</f>
        <v/>
      </c>
      <c r="X2826">
        <f>IF($U2826=1,IFERROR(IF(VALUE($A2826)&lt;100000000,VALUE($A2826),1000000000),IFERROR(IF(VALUE(MID($A2826,2,20))&lt;100000000,VALUE(MID($A2826,2,20)),1000000000),1000000000))+ROW()/100000,"")</f>
        <v/>
      </c>
    </row>
    <row r="2827">
      <c r="F2827" s="7">
        <f>IF($A2827="","",E2827*N2827/100)</f>
        <v/>
      </c>
      <c r="J2827" s="7" t="n"/>
      <c r="K2827" s="7">
        <f>IF($A2827="","",S2827*N2827)</f>
        <v/>
      </c>
      <c r="L2827" s="7">
        <f>IF($A2827="","",N2827-K2827)</f>
        <v/>
      </c>
      <c r="M2827" s="7">
        <f>IF($A2827="","",L2827-F2827)</f>
        <v/>
      </c>
      <c r="N2827" s="7" t="n"/>
      <c r="Q2827" s="11" t="n"/>
      <c r="S2827">
        <f>IF($A2827="","",IF($W2827=1,Settings!$C$6,Settings!$C$7)*1)</f>
        <v/>
      </c>
      <c r="U2827">
        <f>IF($A2827="","",IF(COUNTIF($A$2:$A2827,$A2827)=1,1,0))</f>
        <v/>
      </c>
      <c r="V2827">
        <f>IF($U2827=1,SUMPRODUCT(--($X$2:$X$3001&lt;$X2827))+1,"")</f>
        <v/>
      </c>
      <c r="W2827">
        <f>IF($A2827="","",IF(OR($T2827=TRUE(),$T2827="TRUE"),1,0))</f>
        <v/>
      </c>
      <c r="X2827">
        <f>IF($U2827=1,IFERROR(IF(VALUE($A2827)&lt;100000000,VALUE($A2827),1000000000),IFERROR(IF(VALUE(MID($A2827,2,20))&lt;100000000,VALUE(MID($A2827,2,20)),1000000000),1000000000))+ROW()/100000,"")</f>
        <v/>
      </c>
    </row>
    <row r="2828">
      <c r="F2828" s="7">
        <f>IF($A2828="","",E2828*N2828/100)</f>
        <v/>
      </c>
      <c r="J2828" s="7" t="n"/>
      <c r="K2828" s="7">
        <f>IF($A2828="","",S2828*N2828)</f>
        <v/>
      </c>
      <c r="L2828" s="7">
        <f>IF($A2828="","",N2828-K2828)</f>
        <v/>
      </c>
      <c r="M2828" s="7">
        <f>IF($A2828="","",L2828-F2828)</f>
        <v/>
      </c>
      <c r="N2828" s="7" t="n"/>
      <c r="Q2828" s="11" t="n"/>
      <c r="S2828">
        <f>IF($A2828="","",IF($W2828=1,Settings!$C$6,Settings!$C$7)*1)</f>
        <v/>
      </c>
      <c r="U2828">
        <f>IF($A2828="","",IF(COUNTIF($A$2:$A2828,$A2828)=1,1,0))</f>
        <v/>
      </c>
      <c r="V2828">
        <f>IF($U2828=1,SUMPRODUCT(--($X$2:$X$3001&lt;$X2828))+1,"")</f>
        <v/>
      </c>
      <c r="W2828">
        <f>IF($A2828="","",IF(OR($T2828=TRUE(),$T2828="TRUE"),1,0))</f>
        <v/>
      </c>
      <c r="X2828">
        <f>IF($U2828=1,IFERROR(IF(VALUE($A2828)&lt;100000000,VALUE($A2828),1000000000),IFERROR(IF(VALUE(MID($A2828,2,20))&lt;100000000,VALUE(MID($A2828,2,20)),1000000000),1000000000))+ROW()/100000,"")</f>
        <v/>
      </c>
    </row>
    <row r="2829">
      <c r="F2829" s="7">
        <f>IF($A2829="","",E2829*N2829/100)</f>
        <v/>
      </c>
      <c r="J2829" s="7" t="n"/>
      <c r="K2829" s="7">
        <f>IF($A2829="","",S2829*N2829)</f>
        <v/>
      </c>
      <c r="L2829" s="7">
        <f>IF($A2829="","",N2829-K2829)</f>
        <v/>
      </c>
      <c r="M2829" s="7">
        <f>IF($A2829="","",L2829-F2829)</f>
        <v/>
      </c>
      <c r="N2829" s="7" t="n"/>
      <c r="Q2829" s="11" t="n"/>
      <c r="S2829">
        <f>IF($A2829="","",IF($W2829=1,Settings!$C$6,Settings!$C$7)*1)</f>
        <v/>
      </c>
      <c r="U2829">
        <f>IF($A2829="","",IF(COUNTIF($A$2:$A2829,$A2829)=1,1,0))</f>
        <v/>
      </c>
      <c r="V2829">
        <f>IF($U2829=1,SUMPRODUCT(--($X$2:$X$3001&lt;$X2829))+1,"")</f>
        <v/>
      </c>
      <c r="W2829">
        <f>IF($A2829="","",IF(OR($T2829=TRUE(),$T2829="TRUE"),1,0))</f>
        <v/>
      </c>
      <c r="X2829">
        <f>IF($U2829=1,IFERROR(IF(VALUE($A2829)&lt;100000000,VALUE($A2829),1000000000),IFERROR(IF(VALUE(MID($A2829,2,20))&lt;100000000,VALUE(MID($A2829,2,20)),1000000000),1000000000))+ROW()/100000,"")</f>
        <v/>
      </c>
    </row>
    <row r="2830">
      <c r="F2830" s="7">
        <f>IF($A2830="","",E2830*N2830/100)</f>
        <v/>
      </c>
      <c r="J2830" s="7" t="n"/>
      <c r="K2830" s="7">
        <f>IF($A2830="","",S2830*N2830)</f>
        <v/>
      </c>
      <c r="L2830" s="7">
        <f>IF($A2830="","",N2830-K2830)</f>
        <v/>
      </c>
      <c r="M2830" s="7">
        <f>IF($A2830="","",L2830-F2830)</f>
        <v/>
      </c>
      <c r="N2830" s="7" t="n"/>
      <c r="Q2830" s="11" t="n"/>
      <c r="S2830">
        <f>IF($A2830="","",IF($W2830=1,Settings!$C$6,Settings!$C$7)*1)</f>
        <v/>
      </c>
      <c r="U2830">
        <f>IF($A2830="","",IF(COUNTIF($A$2:$A2830,$A2830)=1,1,0))</f>
        <v/>
      </c>
      <c r="V2830">
        <f>IF($U2830=1,SUMPRODUCT(--($X$2:$X$3001&lt;$X2830))+1,"")</f>
        <v/>
      </c>
      <c r="W2830">
        <f>IF($A2830="","",IF(OR($T2830=TRUE(),$T2830="TRUE"),1,0))</f>
        <v/>
      </c>
      <c r="X2830">
        <f>IF($U2830=1,IFERROR(IF(VALUE($A2830)&lt;100000000,VALUE($A2830),1000000000),IFERROR(IF(VALUE(MID($A2830,2,20))&lt;100000000,VALUE(MID($A2830,2,20)),1000000000),1000000000))+ROW()/100000,"")</f>
        <v/>
      </c>
    </row>
    <row r="2831">
      <c r="F2831" s="7">
        <f>IF($A2831="","",E2831*N2831/100)</f>
        <v/>
      </c>
      <c r="J2831" s="7" t="n"/>
      <c r="K2831" s="7">
        <f>IF($A2831="","",S2831*N2831)</f>
        <v/>
      </c>
      <c r="L2831" s="7">
        <f>IF($A2831="","",N2831-K2831)</f>
        <v/>
      </c>
      <c r="M2831" s="7">
        <f>IF($A2831="","",L2831-F2831)</f>
        <v/>
      </c>
      <c r="N2831" s="7" t="n"/>
      <c r="Q2831" s="11" t="n"/>
      <c r="S2831">
        <f>IF($A2831="","",IF($W2831=1,Settings!$C$6,Settings!$C$7)*1)</f>
        <v/>
      </c>
      <c r="U2831">
        <f>IF($A2831="","",IF(COUNTIF($A$2:$A2831,$A2831)=1,1,0))</f>
        <v/>
      </c>
      <c r="V2831">
        <f>IF($U2831=1,SUMPRODUCT(--($X$2:$X$3001&lt;$X2831))+1,"")</f>
        <v/>
      </c>
      <c r="W2831">
        <f>IF($A2831="","",IF(OR($T2831=TRUE(),$T2831="TRUE"),1,0))</f>
        <v/>
      </c>
      <c r="X2831">
        <f>IF($U2831=1,IFERROR(IF(VALUE($A2831)&lt;100000000,VALUE($A2831),1000000000),IFERROR(IF(VALUE(MID($A2831,2,20))&lt;100000000,VALUE(MID($A2831,2,20)),1000000000),1000000000))+ROW()/100000,"")</f>
        <v/>
      </c>
    </row>
    <row r="2832">
      <c r="F2832" s="7">
        <f>IF($A2832="","",E2832*N2832/100)</f>
        <v/>
      </c>
      <c r="J2832" s="7" t="n"/>
      <c r="K2832" s="7">
        <f>IF($A2832="","",S2832*N2832)</f>
        <v/>
      </c>
      <c r="L2832" s="7">
        <f>IF($A2832="","",N2832-K2832)</f>
        <v/>
      </c>
      <c r="M2832" s="7">
        <f>IF($A2832="","",L2832-F2832)</f>
        <v/>
      </c>
      <c r="N2832" s="7" t="n"/>
      <c r="Q2832" s="11" t="n"/>
      <c r="S2832">
        <f>IF($A2832="","",IF($W2832=1,Settings!$C$6,Settings!$C$7)*1)</f>
        <v/>
      </c>
      <c r="U2832">
        <f>IF($A2832="","",IF(COUNTIF($A$2:$A2832,$A2832)=1,1,0))</f>
        <v/>
      </c>
      <c r="V2832">
        <f>IF($U2832=1,SUMPRODUCT(--($X$2:$X$3001&lt;$X2832))+1,"")</f>
        <v/>
      </c>
      <c r="W2832">
        <f>IF($A2832="","",IF(OR($T2832=TRUE(),$T2832="TRUE"),1,0))</f>
        <v/>
      </c>
      <c r="X2832">
        <f>IF($U2832=1,IFERROR(IF(VALUE($A2832)&lt;100000000,VALUE($A2832),1000000000),IFERROR(IF(VALUE(MID($A2832,2,20))&lt;100000000,VALUE(MID($A2832,2,20)),1000000000),1000000000))+ROW()/100000,"")</f>
        <v/>
      </c>
    </row>
    <row r="2833">
      <c r="F2833" s="7">
        <f>IF($A2833="","",E2833*N2833/100)</f>
        <v/>
      </c>
      <c r="J2833" s="7" t="n"/>
      <c r="K2833" s="7">
        <f>IF($A2833="","",S2833*N2833)</f>
        <v/>
      </c>
      <c r="L2833" s="7">
        <f>IF($A2833="","",N2833-K2833)</f>
        <v/>
      </c>
      <c r="M2833" s="7">
        <f>IF($A2833="","",L2833-F2833)</f>
        <v/>
      </c>
      <c r="N2833" s="7" t="n"/>
      <c r="Q2833" s="11" t="n"/>
      <c r="S2833">
        <f>IF($A2833="","",IF($W2833=1,Settings!$C$6,Settings!$C$7)*1)</f>
        <v/>
      </c>
      <c r="U2833">
        <f>IF($A2833="","",IF(COUNTIF($A$2:$A2833,$A2833)=1,1,0))</f>
        <v/>
      </c>
      <c r="V2833">
        <f>IF($U2833=1,SUMPRODUCT(--($X$2:$X$3001&lt;$X2833))+1,"")</f>
        <v/>
      </c>
      <c r="W2833">
        <f>IF($A2833="","",IF(OR($T2833=TRUE(),$T2833="TRUE"),1,0))</f>
        <v/>
      </c>
      <c r="X2833">
        <f>IF($U2833=1,IFERROR(IF(VALUE($A2833)&lt;100000000,VALUE($A2833),1000000000),IFERROR(IF(VALUE(MID($A2833,2,20))&lt;100000000,VALUE(MID($A2833,2,20)),1000000000),1000000000))+ROW()/100000,"")</f>
        <v/>
      </c>
    </row>
    <row r="2834">
      <c r="F2834" s="7">
        <f>IF($A2834="","",E2834*N2834/100)</f>
        <v/>
      </c>
      <c r="J2834" s="7" t="n"/>
      <c r="K2834" s="7">
        <f>IF($A2834="","",S2834*N2834)</f>
        <v/>
      </c>
      <c r="L2834" s="7">
        <f>IF($A2834="","",N2834-K2834)</f>
        <v/>
      </c>
      <c r="M2834" s="7">
        <f>IF($A2834="","",L2834-F2834)</f>
        <v/>
      </c>
      <c r="N2834" s="7" t="n"/>
      <c r="Q2834" s="11" t="n"/>
      <c r="S2834">
        <f>IF($A2834="","",IF($W2834=1,Settings!$C$6,Settings!$C$7)*1)</f>
        <v/>
      </c>
      <c r="U2834">
        <f>IF($A2834="","",IF(COUNTIF($A$2:$A2834,$A2834)=1,1,0))</f>
        <v/>
      </c>
      <c r="V2834">
        <f>IF($U2834=1,SUMPRODUCT(--($X$2:$X$3001&lt;$X2834))+1,"")</f>
        <v/>
      </c>
      <c r="W2834">
        <f>IF($A2834="","",IF(OR($T2834=TRUE(),$T2834="TRUE"),1,0))</f>
        <v/>
      </c>
      <c r="X2834">
        <f>IF($U2834=1,IFERROR(IF(VALUE($A2834)&lt;100000000,VALUE($A2834),1000000000),IFERROR(IF(VALUE(MID($A2834,2,20))&lt;100000000,VALUE(MID($A2834,2,20)),1000000000),1000000000))+ROW()/100000,"")</f>
        <v/>
      </c>
    </row>
    <row r="2835">
      <c r="F2835" s="7">
        <f>IF($A2835="","",E2835*N2835/100)</f>
        <v/>
      </c>
      <c r="J2835" s="7" t="n"/>
      <c r="K2835" s="7">
        <f>IF($A2835="","",S2835*N2835)</f>
        <v/>
      </c>
      <c r="L2835" s="7">
        <f>IF($A2835="","",N2835-K2835)</f>
        <v/>
      </c>
      <c r="M2835" s="7">
        <f>IF($A2835="","",L2835-F2835)</f>
        <v/>
      </c>
      <c r="N2835" s="7" t="n"/>
      <c r="Q2835" s="11" t="n"/>
      <c r="S2835">
        <f>IF($A2835="","",IF($W2835=1,Settings!$C$6,Settings!$C$7)*1)</f>
        <v/>
      </c>
      <c r="U2835">
        <f>IF($A2835="","",IF(COUNTIF($A$2:$A2835,$A2835)=1,1,0))</f>
        <v/>
      </c>
      <c r="V2835">
        <f>IF($U2835=1,SUMPRODUCT(--($X$2:$X$3001&lt;$X2835))+1,"")</f>
        <v/>
      </c>
      <c r="W2835">
        <f>IF($A2835="","",IF(OR($T2835=TRUE(),$T2835="TRUE"),1,0))</f>
        <v/>
      </c>
      <c r="X2835">
        <f>IF($U2835=1,IFERROR(IF(VALUE($A2835)&lt;100000000,VALUE($A2835),1000000000),IFERROR(IF(VALUE(MID($A2835,2,20))&lt;100000000,VALUE(MID($A2835,2,20)),1000000000),1000000000))+ROW()/100000,"")</f>
        <v/>
      </c>
    </row>
    <row r="2836">
      <c r="F2836" s="7">
        <f>IF($A2836="","",E2836*N2836/100)</f>
        <v/>
      </c>
      <c r="J2836" s="7" t="n"/>
      <c r="K2836" s="7">
        <f>IF($A2836="","",S2836*N2836)</f>
        <v/>
      </c>
      <c r="L2836" s="7">
        <f>IF($A2836="","",N2836-K2836)</f>
        <v/>
      </c>
      <c r="M2836" s="7">
        <f>IF($A2836="","",L2836-F2836)</f>
        <v/>
      </c>
      <c r="N2836" s="7" t="n"/>
      <c r="Q2836" s="11" t="n"/>
      <c r="S2836">
        <f>IF($A2836="","",IF($W2836=1,Settings!$C$6,Settings!$C$7)*1)</f>
        <v/>
      </c>
      <c r="U2836">
        <f>IF($A2836="","",IF(COUNTIF($A$2:$A2836,$A2836)=1,1,0))</f>
        <v/>
      </c>
      <c r="V2836">
        <f>IF($U2836=1,SUMPRODUCT(--($X$2:$X$3001&lt;$X2836))+1,"")</f>
        <v/>
      </c>
      <c r="W2836">
        <f>IF($A2836="","",IF(OR($T2836=TRUE(),$T2836="TRUE"),1,0))</f>
        <v/>
      </c>
      <c r="X2836">
        <f>IF($U2836=1,IFERROR(IF(VALUE($A2836)&lt;100000000,VALUE($A2836),1000000000),IFERROR(IF(VALUE(MID($A2836,2,20))&lt;100000000,VALUE(MID($A2836,2,20)),1000000000),1000000000))+ROW()/100000,"")</f>
        <v/>
      </c>
    </row>
    <row r="2837">
      <c r="F2837" s="7">
        <f>IF($A2837="","",E2837*N2837/100)</f>
        <v/>
      </c>
      <c r="J2837" s="7" t="n"/>
      <c r="K2837" s="7">
        <f>IF($A2837="","",S2837*N2837)</f>
        <v/>
      </c>
      <c r="L2837" s="7">
        <f>IF($A2837="","",N2837-K2837)</f>
        <v/>
      </c>
      <c r="M2837" s="7">
        <f>IF($A2837="","",L2837-F2837)</f>
        <v/>
      </c>
      <c r="N2837" s="7" t="n"/>
      <c r="Q2837" s="11" t="n"/>
      <c r="S2837">
        <f>IF($A2837="","",IF($W2837=1,Settings!$C$6,Settings!$C$7)*1)</f>
        <v/>
      </c>
      <c r="U2837">
        <f>IF($A2837="","",IF(COUNTIF($A$2:$A2837,$A2837)=1,1,0))</f>
        <v/>
      </c>
      <c r="V2837">
        <f>IF($U2837=1,SUMPRODUCT(--($X$2:$X$3001&lt;$X2837))+1,"")</f>
        <v/>
      </c>
      <c r="W2837">
        <f>IF($A2837="","",IF(OR($T2837=TRUE(),$T2837="TRUE"),1,0))</f>
        <v/>
      </c>
      <c r="X2837">
        <f>IF($U2837=1,IFERROR(IF(VALUE($A2837)&lt;100000000,VALUE($A2837),1000000000),IFERROR(IF(VALUE(MID($A2837,2,20))&lt;100000000,VALUE(MID($A2837,2,20)),1000000000),1000000000))+ROW()/100000,"")</f>
        <v/>
      </c>
    </row>
    <row r="2838">
      <c r="F2838" s="7">
        <f>IF($A2838="","",E2838*N2838/100)</f>
        <v/>
      </c>
      <c r="J2838" s="7" t="n"/>
      <c r="K2838" s="7">
        <f>IF($A2838="","",S2838*N2838)</f>
        <v/>
      </c>
      <c r="L2838" s="7">
        <f>IF($A2838="","",N2838-K2838)</f>
        <v/>
      </c>
      <c r="M2838" s="7">
        <f>IF($A2838="","",L2838-F2838)</f>
        <v/>
      </c>
      <c r="N2838" s="7" t="n"/>
      <c r="Q2838" s="11" t="n"/>
      <c r="S2838">
        <f>IF($A2838="","",IF($W2838=1,Settings!$C$6,Settings!$C$7)*1)</f>
        <v/>
      </c>
      <c r="U2838">
        <f>IF($A2838="","",IF(COUNTIF($A$2:$A2838,$A2838)=1,1,0))</f>
        <v/>
      </c>
      <c r="V2838">
        <f>IF($U2838=1,SUMPRODUCT(--($X$2:$X$3001&lt;$X2838))+1,"")</f>
        <v/>
      </c>
      <c r="W2838">
        <f>IF($A2838="","",IF(OR($T2838=TRUE(),$T2838="TRUE"),1,0))</f>
        <v/>
      </c>
      <c r="X2838">
        <f>IF($U2838=1,IFERROR(IF(VALUE($A2838)&lt;100000000,VALUE($A2838),1000000000),IFERROR(IF(VALUE(MID($A2838,2,20))&lt;100000000,VALUE(MID($A2838,2,20)),1000000000),1000000000))+ROW()/100000,"")</f>
        <v/>
      </c>
    </row>
    <row r="2839">
      <c r="F2839" s="7">
        <f>IF($A2839="","",E2839*N2839/100)</f>
        <v/>
      </c>
      <c r="J2839" s="7" t="n"/>
      <c r="K2839" s="7">
        <f>IF($A2839="","",S2839*N2839)</f>
        <v/>
      </c>
      <c r="L2839" s="7">
        <f>IF($A2839="","",N2839-K2839)</f>
        <v/>
      </c>
      <c r="M2839" s="7">
        <f>IF($A2839="","",L2839-F2839)</f>
        <v/>
      </c>
      <c r="N2839" s="7" t="n"/>
      <c r="Q2839" s="11" t="n"/>
      <c r="S2839">
        <f>IF($A2839="","",IF($W2839=1,Settings!$C$6,Settings!$C$7)*1)</f>
        <v/>
      </c>
      <c r="U2839">
        <f>IF($A2839="","",IF(COUNTIF($A$2:$A2839,$A2839)=1,1,0))</f>
        <v/>
      </c>
      <c r="V2839">
        <f>IF($U2839=1,SUMPRODUCT(--($X$2:$X$3001&lt;$X2839))+1,"")</f>
        <v/>
      </c>
      <c r="W2839">
        <f>IF($A2839="","",IF(OR($T2839=TRUE(),$T2839="TRUE"),1,0))</f>
        <v/>
      </c>
      <c r="X2839">
        <f>IF($U2839=1,IFERROR(IF(VALUE($A2839)&lt;100000000,VALUE($A2839),1000000000),IFERROR(IF(VALUE(MID($A2839,2,20))&lt;100000000,VALUE(MID($A2839,2,20)),1000000000),1000000000))+ROW()/100000,"")</f>
        <v/>
      </c>
    </row>
    <row r="2840">
      <c r="F2840" s="7">
        <f>IF($A2840="","",E2840*N2840/100)</f>
        <v/>
      </c>
      <c r="J2840" s="7" t="n"/>
      <c r="K2840" s="7">
        <f>IF($A2840="","",S2840*N2840)</f>
        <v/>
      </c>
      <c r="L2840" s="7">
        <f>IF($A2840="","",N2840-K2840)</f>
        <v/>
      </c>
      <c r="M2840" s="7">
        <f>IF($A2840="","",L2840-F2840)</f>
        <v/>
      </c>
      <c r="N2840" s="7" t="n"/>
      <c r="Q2840" s="11" t="n"/>
      <c r="S2840">
        <f>IF($A2840="","",IF($W2840=1,Settings!$C$6,Settings!$C$7)*1)</f>
        <v/>
      </c>
      <c r="U2840">
        <f>IF($A2840="","",IF(COUNTIF($A$2:$A2840,$A2840)=1,1,0))</f>
        <v/>
      </c>
      <c r="V2840">
        <f>IF($U2840=1,SUMPRODUCT(--($X$2:$X$3001&lt;$X2840))+1,"")</f>
        <v/>
      </c>
      <c r="W2840">
        <f>IF($A2840="","",IF(OR($T2840=TRUE(),$T2840="TRUE"),1,0))</f>
        <v/>
      </c>
      <c r="X2840">
        <f>IF($U2840=1,IFERROR(IF(VALUE($A2840)&lt;100000000,VALUE($A2840),1000000000),IFERROR(IF(VALUE(MID($A2840,2,20))&lt;100000000,VALUE(MID($A2840,2,20)),1000000000),1000000000))+ROW()/100000,"")</f>
        <v/>
      </c>
    </row>
    <row r="2841">
      <c r="F2841" s="7">
        <f>IF($A2841="","",E2841*N2841/100)</f>
        <v/>
      </c>
      <c r="J2841" s="7" t="n"/>
      <c r="K2841" s="7">
        <f>IF($A2841="","",S2841*N2841)</f>
        <v/>
      </c>
      <c r="L2841" s="7">
        <f>IF($A2841="","",N2841-K2841)</f>
        <v/>
      </c>
      <c r="M2841" s="7">
        <f>IF($A2841="","",L2841-F2841)</f>
        <v/>
      </c>
      <c r="N2841" s="7" t="n"/>
      <c r="Q2841" s="11" t="n"/>
      <c r="S2841">
        <f>IF($A2841="","",IF($W2841=1,Settings!$C$6,Settings!$C$7)*1)</f>
        <v/>
      </c>
      <c r="U2841">
        <f>IF($A2841="","",IF(COUNTIF($A$2:$A2841,$A2841)=1,1,0))</f>
        <v/>
      </c>
      <c r="V2841">
        <f>IF($U2841=1,SUMPRODUCT(--($X$2:$X$3001&lt;$X2841))+1,"")</f>
        <v/>
      </c>
      <c r="W2841">
        <f>IF($A2841="","",IF(OR($T2841=TRUE(),$T2841="TRUE"),1,0))</f>
        <v/>
      </c>
      <c r="X2841">
        <f>IF($U2841=1,IFERROR(IF(VALUE($A2841)&lt;100000000,VALUE($A2841),1000000000),IFERROR(IF(VALUE(MID($A2841,2,20))&lt;100000000,VALUE(MID($A2841,2,20)),1000000000),1000000000))+ROW()/100000,"")</f>
        <v/>
      </c>
    </row>
    <row r="2842">
      <c r="F2842" s="7">
        <f>IF($A2842="","",E2842*N2842/100)</f>
        <v/>
      </c>
      <c r="J2842" s="7" t="n"/>
      <c r="K2842" s="7">
        <f>IF($A2842="","",S2842*N2842)</f>
        <v/>
      </c>
      <c r="L2842" s="7">
        <f>IF($A2842="","",N2842-K2842)</f>
        <v/>
      </c>
      <c r="M2842" s="7">
        <f>IF($A2842="","",L2842-F2842)</f>
        <v/>
      </c>
      <c r="N2842" s="7" t="n"/>
      <c r="Q2842" s="11" t="n"/>
      <c r="S2842">
        <f>IF($A2842="","",IF($W2842=1,Settings!$C$6,Settings!$C$7)*1)</f>
        <v/>
      </c>
      <c r="U2842">
        <f>IF($A2842="","",IF(COUNTIF($A$2:$A2842,$A2842)=1,1,0))</f>
        <v/>
      </c>
      <c r="V2842">
        <f>IF($U2842=1,SUMPRODUCT(--($X$2:$X$3001&lt;$X2842))+1,"")</f>
        <v/>
      </c>
      <c r="W2842">
        <f>IF($A2842="","",IF(OR($T2842=TRUE(),$T2842="TRUE"),1,0))</f>
        <v/>
      </c>
      <c r="X2842">
        <f>IF($U2842=1,IFERROR(IF(VALUE($A2842)&lt;100000000,VALUE($A2842),1000000000),IFERROR(IF(VALUE(MID($A2842,2,20))&lt;100000000,VALUE(MID($A2842,2,20)),1000000000),1000000000))+ROW()/100000,"")</f>
        <v/>
      </c>
    </row>
    <row r="2843">
      <c r="F2843" s="7">
        <f>IF($A2843="","",E2843*N2843/100)</f>
        <v/>
      </c>
      <c r="J2843" s="7" t="n"/>
      <c r="K2843" s="7">
        <f>IF($A2843="","",S2843*N2843)</f>
        <v/>
      </c>
      <c r="L2843" s="7">
        <f>IF($A2843="","",N2843-K2843)</f>
        <v/>
      </c>
      <c r="M2843" s="7">
        <f>IF($A2843="","",L2843-F2843)</f>
        <v/>
      </c>
      <c r="N2843" s="7" t="n"/>
      <c r="Q2843" s="11" t="n"/>
      <c r="S2843">
        <f>IF($A2843="","",IF($W2843=1,Settings!$C$6,Settings!$C$7)*1)</f>
        <v/>
      </c>
      <c r="U2843">
        <f>IF($A2843="","",IF(COUNTIF($A$2:$A2843,$A2843)=1,1,0))</f>
        <v/>
      </c>
      <c r="V2843">
        <f>IF($U2843=1,SUMPRODUCT(--($X$2:$X$3001&lt;$X2843))+1,"")</f>
        <v/>
      </c>
      <c r="W2843">
        <f>IF($A2843="","",IF(OR($T2843=TRUE(),$T2843="TRUE"),1,0))</f>
        <v/>
      </c>
      <c r="X2843">
        <f>IF($U2843=1,IFERROR(IF(VALUE($A2843)&lt;100000000,VALUE($A2843),1000000000),IFERROR(IF(VALUE(MID($A2843,2,20))&lt;100000000,VALUE(MID($A2843,2,20)),1000000000),1000000000))+ROW()/100000,"")</f>
        <v/>
      </c>
    </row>
    <row r="2844">
      <c r="F2844" s="7">
        <f>IF($A2844="","",E2844*N2844/100)</f>
        <v/>
      </c>
      <c r="J2844" s="7" t="n"/>
      <c r="K2844" s="7">
        <f>IF($A2844="","",S2844*N2844)</f>
        <v/>
      </c>
      <c r="L2844" s="7">
        <f>IF($A2844="","",N2844-K2844)</f>
        <v/>
      </c>
      <c r="M2844" s="7">
        <f>IF($A2844="","",L2844-F2844)</f>
        <v/>
      </c>
      <c r="N2844" s="7" t="n"/>
      <c r="Q2844" s="11" t="n"/>
      <c r="S2844">
        <f>IF($A2844="","",IF($W2844=1,Settings!$C$6,Settings!$C$7)*1)</f>
        <v/>
      </c>
      <c r="U2844">
        <f>IF($A2844="","",IF(COUNTIF($A$2:$A2844,$A2844)=1,1,0))</f>
        <v/>
      </c>
      <c r="V2844">
        <f>IF($U2844=1,SUMPRODUCT(--($X$2:$X$3001&lt;$X2844))+1,"")</f>
        <v/>
      </c>
      <c r="W2844">
        <f>IF($A2844="","",IF(OR($T2844=TRUE(),$T2844="TRUE"),1,0))</f>
        <v/>
      </c>
      <c r="X2844">
        <f>IF($U2844=1,IFERROR(IF(VALUE($A2844)&lt;100000000,VALUE($A2844),1000000000),IFERROR(IF(VALUE(MID($A2844,2,20))&lt;100000000,VALUE(MID($A2844,2,20)),1000000000),1000000000))+ROW()/100000,"")</f>
        <v/>
      </c>
    </row>
    <row r="2845">
      <c r="F2845" s="7">
        <f>IF($A2845="","",E2845*N2845/100)</f>
        <v/>
      </c>
      <c r="J2845" s="7" t="n"/>
      <c r="K2845" s="7">
        <f>IF($A2845="","",S2845*N2845)</f>
        <v/>
      </c>
      <c r="L2845" s="7">
        <f>IF($A2845="","",N2845-K2845)</f>
        <v/>
      </c>
      <c r="M2845" s="7">
        <f>IF($A2845="","",L2845-F2845)</f>
        <v/>
      </c>
      <c r="N2845" s="7" t="n"/>
      <c r="Q2845" s="11" t="n"/>
      <c r="S2845">
        <f>IF($A2845="","",IF($W2845=1,Settings!$C$6,Settings!$C$7)*1)</f>
        <v/>
      </c>
      <c r="U2845">
        <f>IF($A2845="","",IF(COUNTIF($A$2:$A2845,$A2845)=1,1,0))</f>
        <v/>
      </c>
      <c r="V2845">
        <f>IF($U2845=1,SUMPRODUCT(--($X$2:$X$3001&lt;$X2845))+1,"")</f>
        <v/>
      </c>
      <c r="W2845">
        <f>IF($A2845="","",IF(OR($T2845=TRUE(),$T2845="TRUE"),1,0))</f>
        <v/>
      </c>
      <c r="X2845">
        <f>IF($U2845=1,IFERROR(IF(VALUE($A2845)&lt;100000000,VALUE($A2845),1000000000),IFERROR(IF(VALUE(MID($A2845,2,20))&lt;100000000,VALUE(MID($A2845,2,20)),1000000000),1000000000))+ROW()/100000,"")</f>
        <v/>
      </c>
    </row>
    <row r="2846">
      <c r="F2846" s="7">
        <f>IF($A2846="","",E2846*N2846/100)</f>
        <v/>
      </c>
      <c r="J2846" s="7" t="n"/>
      <c r="K2846" s="7">
        <f>IF($A2846="","",S2846*N2846)</f>
        <v/>
      </c>
      <c r="L2846" s="7">
        <f>IF($A2846="","",N2846-K2846)</f>
        <v/>
      </c>
      <c r="M2846" s="7">
        <f>IF($A2846="","",L2846-F2846)</f>
        <v/>
      </c>
      <c r="N2846" s="7" t="n"/>
      <c r="Q2846" s="11" t="n"/>
      <c r="S2846">
        <f>IF($A2846="","",IF($W2846=1,Settings!$C$6,Settings!$C$7)*1)</f>
        <v/>
      </c>
      <c r="U2846">
        <f>IF($A2846="","",IF(COUNTIF($A$2:$A2846,$A2846)=1,1,0))</f>
        <v/>
      </c>
      <c r="V2846">
        <f>IF($U2846=1,SUMPRODUCT(--($X$2:$X$3001&lt;$X2846))+1,"")</f>
        <v/>
      </c>
      <c r="W2846">
        <f>IF($A2846="","",IF(OR($T2846=TRUE(),$T2846="TRUE"),1,0))</f>
        <v/>
      </c>
      <c r="X2846">
        <f>IF($U2846=1,IFERROR(IF(VALUE($A2846)&lt;100000000,VALUE($A2846),1000000000),IFERROR(IF(VALUE(MID($A2846,2,20))&lt;100000000,VALUE(MID($A2846,2,20)),1000000000),1000000000))+ROW()/100000,"")</f>
        <v/>
      </c>
    </row>
    <row r="2847">
      <c r="F2847" s="7">
        <f>IF($A2847="","",E2847*N2847/100)</f>
        <v/>
      </c>
      <c r="J2847" s="7" t="n"/>
      <c r="K2847" s="7">
        <f>IF($A2847="","",S2847*N2847)</f>
        <v/>
      </c>
      <c r="L2847" s="7">
        <f>IF($A2847="","",N2847-K2847)</f>
        <v/>
      </c>
      <c r="M2847" s="7">
        <f>IF($A2847="","",L2847-F2847)</f>
        <v/>
      </c>
      <c r="N2847" s="7" t="n"/>
      <c r="Q2847" s="11" t="n"/>
      <c r="S2847">
        <f>IF($A2847="","",IF($W2847=1,Settings!$C$6,Settings!$C$7)*1)</f>
        <v/>
      </c>
      <c r="U2847">
        <f>IF($A2847="","",IF(COUNTIF($A$2:$A2847,$A2847)=1,1,0))</f>
        <v/>
      </c>
      <c r="V2847">
        <f>IF($U2847=1,SUMPRODUCT(--($X$2:$X$3001&lt;$X2847))+1,"")</f>
        <v/>
      </c>
      <c r="W2847">
        <f>IF($A2847="","",IF(OR($T2847=TRUE(),$T2847="TRUE"),1,0))</f>
        <v/>
      </c>
      <c r="X2847">
        <f>IF($U2847=1,IFERROR(IF(VALUE($A2847)&lt;100000000,VALUE($A2847),1000000000),IFERROR(IF(VALUE(MID($A2847,2,20))&lt;100000000,VALUE(MID($A2847,2,20)),1000000000),1000000000))+ROW()/100000,"")</f>
        <v/>
      </c>
    </row>
    <row r="2848">
      <c r="F2848" s="7">
        <f>IF($A2848="","",E2848*N2848/100)</f>
        <v/>
      </c>
      <c r="J2848" s="7" t="n"/>
      <c r="K2848" s="7">
        <f>IF($A2848="","",S2848*N2848)</f>
        <v/>
      </c>
      <c r="L2848" s="7">
        <f>IF($A2848="","",N2848-K2848)</f>
        <v/>
      </c>
      <c r="M2848" s="7">
        <f>IF($A2848="","",L2848-F2848)</f>
        <v/>
      </c>
      <c r="N2848" s="7" t="n"/>
      <c r="Q2848" s="11" t="n"/>
      <c r="S2848">
        <f>IF($A2848="","",IF($W2848=1,Settings!$C$6,Settings!$C$7)*1)</f>
        <v/>
      </c>
      <c r="U2848">
        <f>IF($A2848="","",IF(COUNTIF($A$2:$A2848,$A2848)=1,1,0))</f>
        <v/>
      </c>
      <c r="V2848">
        <f>IF($U2848=1,SUMPRODUCT(--($X$2:$X$3001&lt;$X2848))+1,"")</f>
        <v/>
      </c>
      <c r="W2848">
        <f>IF($A2848="","",IF(OR($T2848=TRUE(),$T2848="TRUE"),1,0))</f>
        <v/>
      </c>
      <c r="X2848">
        <f>IF($U2848=1,IFERROR(IF(VALUE($A2848)&lt;100000000,VALUE($A2848),1000000000),IFERROR(IF(VALUE(MID($A2848,2,20))&lt;100000000,VALUE(MID($A2848,2,20)),1000000000),1000000000))+ROW()/100000,"")</f>
        <v/>
      </c>
    </row>
    <row r="2849">
      <c r="F2849" s="7">
        <f>IF($A2849="","",E2849*N2849/100)</f>
        <v/>
      </c>
      <c r="J2849" s="7" t="n"/>
      <c r="K2849" s="7">
        <f>IF($A2849="","",S2849*N2849)</f>
        <v/>
      </c>
      <c r="L2849" s="7">
        <f>IF($A2849="","",N2849-K2849)</f>
        <v/>
      </c>
      <c r="M2849" s="7">
        <f>IF($A2849="","",L2849-F2849)</f>
        <v/>
      </c>
      <c r="N2849" s="7" t="n"/>
      <c r="Q2849" s="11" t="n"/>
      <c r="S2849">
        <f>IF($A2849="","",IF($W2849=1,Settings!$C$6,Settings!$C$7)*1)</f>
        <v/>
      </c>
      <c r="U2849">
        <f>IF($A2849="","",IF(COUNTIF($A$2:$A2849,$A2849)=1,1,0))</f>
        <v/>
      </c>
      <c r="V2849">
        <f>IF($U2849=1,SUMPRODUCT(--($X$2:$X$3001&lt;$X2849))+1,"")</f>
        <v/>
      </c>
      <c r="W2849">
        <f>IF($A2849="","",IF(OR($T2849=TRUE(),$T2849="TRUE"),1,0))</f>
        <v/>
      </c>
      <c r="X2849">
        <f>IF($U2849=1,IFERROR(IF(VALUE($A2849)&lt;100000000,VALUE($A2849),1000000000),IFERROR(IF(VALUE(MID($A2849,2,20))&lt;100000000,VALUE(MID($A2849,2,20)),1000000000),1000000000))+ROW()/100000,"")</f>
        <v/>
      </c>
    </row>
    <row r="2850">
      <c r="F2850" s="7">
        <f>IF($A2850="","",E2850*N2850/100)</f>
        <v/>
      </c>
      <c r="J2850" s="7" t="n"/>
      <c r="K2850" s="7">
        <f>IF($A2850="","",S2850*N2850)</f>
        <v/>
      </c>
      <c r="L2850" s="7">
        <f>IF($A2850="","",N2850-K2850)</f>
        <v/>
      </c>
      <c r="M2850" s="7">
        <f>IF($A2850="","",L2850-F2850)</f>
        <v/>
      </c>
      <c r="N2850" s="7" t="n"/>
      <c r="Q2850" s="11" t="n"/>
      <c r="S2850">
        <f>IF($A2850="","",IF($W2850=1,Settings!$C$6,Settings!$C$7)*1)</f>
        <v/>
      </c>
      <c r="U2850">
        <f>IF($A2850="","",IF(COUNTIF($A$2:$A2850,$A2850)=1,1,0))</f>
        <v/>
      </c>
      <c r="V2850">
        <f>IF($U2850=1,SUMPRODUCT(--($X$2:$X$3001&lt;$X2850))+1,"")</f>
        <v/>
      </c>
      <c r="W2850">
        <f>IF($A2850="","",IF(OR($T2850=TRUE(),$T2850="TRUE"),1,0))</f>
        <v/>
      </c>
      <c r="X2850">
        <f>IF($U2850=1,IFERROR(IF(VALUE($A2850)&lt;100000000,VALUE($A2850),1000000000),IFERROR(IF(VALUE(MID($A2850,2,20))&lt;100000000,VALUE(MID($A2850,2,20)),1000000000),1000000000))+ROW()/100000,"")</f>
        <v/>
      </c>
    </row>
    <row r="2851">
      <c r="F2851" s="7">
        <f>IF($A2851="","",E2851*N2851/100)</f>
        <v/>
      </c>
      <c r="J2851" s="7" t="n"/>
      <c r="K2851" s="7">
        <f>IF($A2851="","",S2851*N2851)</f>
        <v/>
      </c>
      <c r="L2851" s="7">
        <f>IF($A2851="","",N2851-K2851)</f>
        <v/>
      </c>
      <c r="M2851" s="7">
        <f>IF($A2851="","",L2851-F2851)</f>
        <v/>
      </c>
      <c r="N2851" s="7" t="n"/>
      <c r="Q2851" s="11" t="n"/>
      <c r="S2851">
        <f>IF($A2851="","",IF($W2851=1,Settings!$C$6,Settings!$C$7)*1)</f>
        <v/>
      </c>
      <c r="U2851">
        <f>IF($A2851="","",IF(COUNTIF($A$2:$A2851,$A2851)=1,1,0))</f>
        <v/>
      </c>
      <c r="V2851">
        <f>IF($U2851=1,SUMPRODUCT(--($X$2:$X$3001&lt;$X2851))+1,"")</f>
        <v/>
      </c>
      <c r="W2851">
        <f>IF($A2851="","",IF(OR($T2851=TRUE(),$T2851="TRUE"),1,0))</f>
        <v/>
      </c>
      <c r="X2851">
        <f>IF($U2851=1,IFERROR(IF(VALUE($A2851)&lt;100000000,VALUE($A2851),1000000000),IFERROR(IF(VALUE(MID($A2851,2,20))&lt;100000000,VALUE(MID($A2851,2,20)),1000000000),1000000000))+ROW()/100000,"")</f>
        <v/>
      </c>
    </row>
    <row r="2852">
      <c r="F2852" s="7">
        <f>IF($A2852="","",E2852*N2852/100)</f>
        <v/>
      </c>
      <c r="J2852" s="7" t="n"/>
      <c r="K2852" s="7">
        <f>IF($A2852="","",S2852*N2852)</f>
        <v/>
      </c>
      <c r="L2852" s="7">
        <f>IF($A2852="","",N2852-K2852)</f>
        <v/>
      </c>
      <c r="M2852" s="7">
        <f>IF($A2852="","",L2852-F2852)</f>
        <v/>
      </c>
      <c r="N2852" s="7" t="n"/>
      <c r="Q2852" s="11" t="n"/>
      <c r="S2852">
        <f>IF($A2852="","",IF($W2852=1,Settings!$C$6,Settings!$C$7)*1)</f>
        <v/>
      </c>
      <c r="U2852">
        <f>IF($A2852="","",IF(COUNTIF($A$2:$A2852,$A2852)=1,1,0))</f>
        <v/>
      </c>
      <c r="V2852">
        <f>IF($U2852=1,SUMPRODUCT(--($X$2:$X$3001&lt;$X2852))+1,"")</f>
        <v/>
      </c>
      <c r="W2852">
        <f>IF($A2852="","",IF(OR($T2852=TRUE(),$T2852="TRUE"),1,0))</f>
        <v/>
      </c>
      <c r="X2852">
        <f>IF($U2852=1,IFERROR(IF(VALUE($A2852)&lt;100000000,VALUE($A2852),1000000000),IFERROR(IF(VALUE(MID($A2852,2,20))&lt;100000000,VALUE(MID($A2852,2,20)),1000000000),1000000000))+ROW()/100000,"")</f>
        <v/>
      </c>
    </row>
    <row r="2853">
      <c r="F2853" s="7">
        <f>IF($A2853="","",E2853*N2853/100)</f>
        <v/>
      </c>
      <c r="J2853" s="7" t="n"/>
      <c r="K2853" s="7">
        <f>IF($A2853="","",S2853*N2853)</f>
        <v/>
      </c>
      <c r="L2853" s="7">
        <f>IF($A2853="","",N2853-K2853)</f>
        <v/>
      </c>
      <c r="M2853" s="7">
        <f>IF($A2853="","",L2853-F2853)</f>
        <v/>
      </c>
      <c r="N2853" s="7" t="n"/>
      <c r="Q2853" s="11" t="n"/>
      <c r="S2853">
        <f>IF($A2853="","",IF($W2853=1,Settings!$C$6,Settings!$C$7)*1)</f>
        <v/>
      </c>
      <c r="U2853">
        <f>IF($A2853="","",IF(COUNTIF($A$2:$A2853,$A2853)=1,1,0))</f>
        <v/>
      </c>
      <c r="V2853">
        <f>IF($U2853=1,SUMPRODUCT(--($X$2:$X$3001&lt;$X2853))+1,"")</f>
        <v/>
      </c>
      <c r="W2853">
        <f>IF($A2853="","",IF(OR($T2853=TRUE(),$T2853="TRUE"),1,0))</f>
        <v/>
      </c>
      <c r="X2853">
        <f>IF($U2853=1,IFERROR(IF(VALUE($A2853)&lt;100000000,VALUE($A2853),1000000000),IFERROR(IF(VALUE(MID($A2853,2,20))&lt;100000000,VALUE(MID($A2853,2,20)),1000000000),1000000000))+ROW()/100000,"")</f>
        <v/>
      </c>
    </row>
    <row r="2854">
      <c r="F2854" s="7">
        <f>IF($A2854="","",E2854*N2854/100)</f>
        <v/>
      </c>
      <c r="J2854" s="7" t="n"/>
      <c r="K2854" s="7">
        <f>IF($A2854="","",S2854*N2854)</f>
        <v/>
      </c>
      <c r="L2854" s="7">
        <f>IF($A2854="","",N2854-K2854)</f>
        <v/>
      </c>
      <c r="M2854" s="7">
        <f>IF($A2854="","",L2854-F2854)</f>
        <v/>
      </c>
      <c r="N2854" s="7" t="n"/>
      <c r="Q2854" s="11" t="n"/>
      <c r="S2854">
        <f>IF($A2854="","",IF($W2854=1,Settings!$C$6,Settings!$C$7)*1)</f>
        <v/>
      </c>
      <c r="U2854">
        <f>IF($A2854="","",IF(COUNTIF($A$2:$A2854,$A2854)=1,1,0))</f>
        <v/>
      </c>
      <c r="V2854">
        <f>IF($U2854=1,SUMPRODUCT(--($X$2:$X$3001&lt;$X2854))+1,"")</f>
        <v/>
      </c>
      <c r="W2854">
        <f>IF($A2854="","",IF(OR($T2854=TRUE(),$T2854="TRUE"),1,0))</f>
        <v/>
      </c>
      <c r="X2854">
        <f>IF($U2854=1,IFERROR(IF(VALUE($A2854)&lt;100000000,VALUE($A2854),1000000000),IFERROR(IF(VALUE(MID($A2854,2,20))&lt;100000000,VALUE(MID($A2854,2,20)),1000000000),1000000000))+ROW()/100000,"")</f>
        <v/>
      </c>
    </row>
    <row r="2855">
      <c r="F2855" s="7">
        <f>IF($A2855="","",E2855*N2855/100)</f>
        <v/>
      </c>
      <c r="J2855" s="7" t="n"/>
      <c r="K2855" s="7">
        <f>IF($A2855="","",S2855*N2855)</f>
        <v/>
      </c>
      <c r="L2855" s="7">
        <f>IF($A2855="","",N2855-K2855)</f>
        <v/>
      </c>
      <c r="M2855" s="7">
        <f>IF($A2855="","",L2855-F2855)</f>
        <v/>
      </c>
      <c r="N2855" s="7" t="n"/>
      <c r="Q2855" s="11" t="n"/>
      <c r="S2855">
        <f>IF($A2855="","",IF($W2855=1,Settings!$C$6,Settings!$C$7)*1)</f>
        <v/>
      </c>
      <c r="U2855">
        <f>IF($A2855="","",IF(COUNTIF($A$2:$A2855,$A2855)=1,1,0))</f>
        <v/>
      </c>
      <c r="V2855">
        <f>IF($U2855=1,SUMPRODUCT(--($X$2:$X$3001&lt;$X2855))+1,"")</f>
        <v/>
      </c>
      <c r="W2855">
        <f>IF($A2855="","",IF(OR($T2855=TRUE(),$T2855="TRUE"),1,0))</f>
        <v/>
      </c>
      <c r="X2855">
        <f>IF($U2855=1,IFERROR(IF(VALUE($A2855)&lt;100000000,VALUE($A2855),1000000000),IFERROR(IF(VALUE(MID($A2855,2,20))&lt;100000000,VALUE(MID($A2855,2,20)),1000000000),1000000000))+ROW()/100000,"")</f>
        <v/>
      </c>
    </row>
    <row r="2856">
      <c r="F2856" s="7">
        <f>IF($A2856="","",E2856*N2856/100)</f>
        <v/>
      </c>
      <c r="J2856" s="7" t="n"/>
      <c r="K2856" s="7">
        <f>IF($A2856="","",S2856*N2856)</f>
        <v/>
      </c>
      <c r="L2856" s="7">
        <f>IF($A2856="","",N2856-K2856)</f>
        <v/>
      </c>
      <c r="M2856" s="7">
        <f>IF($A2856="","",L2856-F2856)</f>
        <v/>
      </c>
      <c r="N2856" s="7" t="n"/>
      <c r="Q2856" s="11" t="n"/>
      <c r="S2856">
        <f>IF($A2856="","",IF($W2856=1,Settings!$C$6,Settings!$C$7)*1)</f>
        <v/>
      </c>
      <c r="U2856">
        <f>IF($A2856="","",IF(COUNTIF($A$2:$A2856,$A2856)=1,1,0))</f>
        <v/>
      </c>
      <c r="V2856">
        <f>IF($U2856=1,SUMPRODUCT(--($X$2:$X$3001&lt;$X2856))+1,"")</f>
        <v/>
      </c>
      <c r="W2856">
        <f>IF($A2856="","",IF(OR($T2856=TRUE(),$T2856="TRUE"),1,0))</f>
        <v/>
      </c>
      <c r="X2856">
        <f>IF($U2856=1,IFERROR(IF(VALUE($A2856)&lt;100000000,VALUE($A2856),1000000000),IFERROR(IF(VALUE(MID($A2856,2,20))&lt;100000000,VALUE(MID($A2856,2,20)),1000000000),1000000000))+ROW()/100000,"")</f>
        <v/>
      </c>
    </row>
    <row r="2857">
      <c r="F2857" s="7">
        <f>IF($A2857="","",E2857*N2857/100)</f>
        <v/>
      </c>
      <c r="J2857" s="7" t="n"/>
      <c r="K2857" s="7">
        <f>IF($A2857="","",S2857*N2857)</f>
        <v/>
      </c>
      <c r="L2857" s="7">
        <f>IF($A2857="","",N2857-K2857)</f>
        <v/>
      </c>
      <c r="M2857" s="7">
        <f>IF($A2857="","",L2857-F2857)</f>
        <v/>
      </c>
      <c r="N2857" s="7" t="n"/>
      <c r="Q2857" s="11" t="n"/>
      <c r="S2857">
        <f>IF($A2857="","",IF($W2857=1,Settings!$C$6,Settings!$C$7)*1)</f>
        <v/>
      </c>
      <c r="U2857">
        <f>IF($A2857="","",IF(COUNTIF($A$2:$A2857,$A2857)=1,1,0))</f>
        <v/>
      </c>
      <c r="V2857">
        <f>IF($U2857=1,SUMPRODUCT(--($X$2:$X$3001&lt;$X2857))+1,"")</f>
        <v/>
      </c>
      <c r="W2857">
        <f>IF($A2857="","",IF(OR($T2857=TRUE(),$T2857="TRUE"),1,0))</f>
        <v/>
      </c>
      <c r="X2857">
        <f>IF($U2857=1,IFERROR(IF(VALUE($A2857)&lt;100000000,VALUE($A2857),1000000000),IFERROR(IF(VALUE(MID($A2857,2,20))&lt;100000000,VALUE(MID($A2857,2,20)),1000000000),1000000000))+ROW()/100000,"")</f>
        <v/>
      </c>
    </row>
    <row r="2858">
      <c r="F2858" s="7">
        <f>IF($A2858="","",E2858*N2858/100)</f>
        <v/>
      </c>
      <c r="J2858" s="7" t="n"/>
      <c r="K2858" s="7">
        <f>IF($A2858="","",S2858*N2858)</f>
        <v/>
      </c>
      <c r="L2858" s="7">
        <f>IF($A2858="","",N2858-K2858)</f>
        <v/>
      </c>
      <c r="M2858" s="7">
        <f>IF($A2858="","",L2858-F2858)</f>
        <v/>
      </c>
      <c r="N2858" s="7" t="n"/>
      <c r="Q2858" s="11" t="n"/>
      <c r="S2858">
        <f>IF($A2858="","",IF($W2858=1,Settings!$C$6,Settings!$C$7)*1)</f>
        <v/>
      </c>
      <c r="U2858">
        <f>IF($A2858="","",IF(COUNTIF($A$2:$A2858,$A2858)=1,1,0))</f>
        <v/>
      </c>
      <c r="V2858">
        <f>IF($U2858=1,SUMPRODUCT(--($X$2:$X$3001&lt;$X2858))+1,"")</f>
        <v/>
      </c>
      <c r="W2858">
        <f>IF($A2858="","",IF(OR($T2858=TRUE(),$T2858="TRUE"),1,0))</f>
        <v/>
      </c>
      <c r="X2858">
        <f>IF($U2858=1,IFERROR(IF(VALUE($A2858)&lt;100000000,VALUE($A2858),1000000000),IFERROR(IF(VALUE(MID($A2858,2,20))&lt;100000000,VALUE(MID($A2858,2,20)),1000000000),1000000000))+ROW()/100000,"")</f>
        <v/>
      </c>
    </row>
    <row r="2859">
      <c r="F2859" s="7">
        <f>IF($A2859="","",E2859*N2859/100)</f>
        <v/>
      </c>
      <c r="J2859" s="7" t="n"/>
      <c r="K2859" s="7">
        <f>IF($A2859="","",S2859*N2859)</f>
        <v/>
      </c>
      <c r="L2859" s="7">
        <f>IF($A2859="","",N2859-K2859)</f>
        <v/>
      </c>
      <c r="M2859" s="7">
        <f>IF($A2859="","",L2859-F2859)</f>
        <v/>
      </c>
      <c r="N2859" s="7" t="n"/>
      <c r="Q2859" s="11" t="n"/>
      <c r="S2859">
        <f>IF($A2859="","",IF($W2859=1,Settings!$C$6,Settings!$C$7)*1)</f>
        <v/>
      </c>
      <c r="U2859">
        <f>IF($A2859="","",IF(COUNTIF($A$2:$A2859,$A2859)=1,1,0))</f>
        <v/>
      </c>
      <c r="V2859">
        <f>IF($U2859=1,SUMPRODUCT(--($X$2:$X$3001&lt;$X2859))+1,"")</f>
        <v/>
      </c>
      <c r="W2859">
        <f>IF($A2859="","",IF(OR($T2859=TRUE(),$T2859="TRUE"),1,0))</f>
        <v/>
      </c>
      <c r="X2859">
        <f>IF($U2859=1,IFERROR(IF(VALUE($A2859)&lt;100000000,VALUE($A2859),1000000000),IFERROR(IF(VALUE(MID($A2859,2,20))&lt;100000000,VALUE(MID($A2859,2,20)),1000000000),1000000000))+ROW()/100000,"")</f>
        <v/>
      </c>
    </row>
    <row r="2860">
      <c r="F2860" s="7">
        <f>IF($A2860="","",E2860*N2860/100)</f>
        <v/>
      </c>
      <c r="J2860" s="7" t="n"/>
      <c r="K2860" s="7">
        <f>IF($A2860="","",S2860*N2860)</f>
        <v/>
      </c>
      <c r="L2860" s="7">
        <f>IF($A2860="","",N2860-K2860)</f>
        <v/>
      </c>
      <c r="M2860" s="7">
        <f>IF($A2860="","",L2860-F2860)</f>
        <v/>
      </c>
      <c r="N2860" s="7" t="n"/>
      <c r="Q2860" s="11" t="n"/>
      <c r="S2860">
        <f>IF($A2860="","",IF($W2860=1,Settings!$C$6,Settings!$C$7)*1)</f>
        <v/>
      </c>
      <c r="U2860">
        <f>IF($A2860="","",IF(COUNTIF($A$2:$A2860,$A2860)=1,1,0))</f>
        <v/>
      </c>
      <c r="V2860">
        <f>IF($U2860=1,SUMPRODUCT(--($X$2:$X$3001&lt;$X2860))+1,"")</f>
        <v/>
      </c>
      <c r="W2860">
        <f>IF($A2860="","",IF(OR($T2860=TRUE(),$T2860="TRUE"),1,0))</f>
        <v/>
      </c>
      <c r="X2860">
        <f>IF($U2860=1,IFERROR(IF(VALUE($A2860)&lt;100000000,VALUE($A2860),1000000000),IFERROR(IF(VALUE(MID($A2860,2,20))&lt;100000000,VALUE(MID($A2860,2,20)),1000000000),1000000000))+ROW()/100000,"")</f>
        <v/>
      </c>
    </row>
    <row r="2861">
      <c r="F2861" s="7">
        <f>IF($A2861="","",E2861*N2861/100)</f>
        <v/>
      </c>
      <c r="J2861" s="7" t="n"/>
      <c r="K2861" s="7">
        <f>IF($A2861="","",S2861*N2861)</f>
        <v/>
      </c>
      <c r="L2861" s="7">
        <f>IF($A2861="","",N2861-K2861)</f>
        <v/>
      </c>
      <c r="M2861" s="7">
        <f>IF($A2861="","",L2861-F2861)</f>
        <v/>
      </c>
      <c r="N2861" s="7" t="n"/>
      <c r="Q2861" s="11" t="n"/>
      <c r="S2861">
        <f>IF($A2861="","",IF($W2861=1,Settings!$C$6,Settings!$C$7)*1)</f>
        <v/>
      </c>
      <c r="U2861">
        <f>IF($A2861="","",IF(COUNTIF($A$2:$A2861,$A2861)=1,1,0))</f>
        <v/>
      </c>
      <c r="V2861">
        <f>IF($U2861=1,SUMPRODUCT(--($X$2:$X$3001&lt;$X2861))+1,"")</f>
        <v/>
      </c>
      <c r="W2861">
        <f>IF($A2861="","",IF(OR($T2861=TRUE(),$T2861="TRUE"),1,0))</f>
        <v/>
      </c>
      <c r="X2861">
        <f>IF($U2861=1,IFERROR(IF(VALUE($A2861)&lt;100000000,VALUE($A2861),1000000000),IFERROR(IF(VALUE(MID($A2861,2,20))&lt;100000000,VALUE(MID($A2861,2,20)),1000000000),1000000000))+ROW()/100000,"")</f>
        <v/>
      </c>
    </row>
    <row r="2862">
      <c r="F2862" s="7">
        <f>IF($A2862="","",E2862*N2862/100)</f>
        <v/>
      </c>
      <c r="J2862" s="7" t="n"/>
      <c r="K2862" s="7">
        <f>IF($A2862="","",S2862*N2862)</f>
        <v/>
      </c>
      <c r="L2862" s="7">
        <f>IF($A2862="","",N2862-K2862)</f>
        <v/>
      </c>
      <c r="M2862" s="7">
        <f>IF($A2862="","",L2862-F2862)</f>
        <v/>
      </c>
      <c r="N2862" s="7" t="n"/>
      <c r="Q2862" s="11" t="n"/>
      <c r="S2862">
        <f>IF($A2862="","",IF($W2862=1,Settings!$C$6,Settings!$C$7)*1)</f>
        <v/>
      </c>
      <c r="U2862">
        <f>IF($A2862="","",IF(COUNTIF($A$2:$A2862,$A2862)=1,1,0))</f>
        <v/>
      </c>
      <c r="V2862">
        <f>IF($U2862=1,SUMPRODUCT(--($X$2:$X$3001&lt;$X2862))+1,"")</f>
        <v/>
      </c>
      <c r="W2862">
        <f>IF($A2862="","",IF(OR($T2862=TRUE(),$T2862="TRUE"),1,0))</f>
        <v/>
      </c>
      <c r="X2862">
        <f>IF($U2862=1,IFERROR(IF(VALUE($A2862)&lt;100000000,VALUE($A2862),1000000000),IFERROR(IF(VALUE(MID($A2862,2,20))&lt;100000000,VALUE(MID($A2862,2,20)),1000000000),1000000000))+ROW()/100000,"")</f>
        <v/>
      </c>
    </row>
    <row r="2863">
      <c r="F2863" s="7">
        <f>IF($A2863="","",E2863*N2863/100)</f>
        <v/>
      </c>
      <c r="J2863" s="7" t="n"/>
      <c r="K2863" s="7">
        <f>IF($A2863="","",S2863*N2863)</f>
        <v/>
      </c>
      <c r="L2863" s="7">
        <f>IF($A2863="","",N2863-K2863)</f>
        <v/>
      </c>
      <c r="M2863" s="7">
        <f>IF($A2863="","",L2863-F2863)</f>
        <v/>
      </c>
      <c r="N2863" s="7" t="n"/>
      <c r="Q2863" s="11" t="n"/>
      <c r="S2863">
        <f>IF($A2863="","",IF($W2863=1,Settings!$C$6,Settings!$C$7)*1)</f>
        <v/>
      </c>
      <c r="U2863">
        <f>IF($A2863="","",IF(COUNTIF($A$2:$A2863,$A2863)=1,1,0))</f>
        <v/>
      </c>
      <c r="V2863">
        <f>IF($U2863=1,SUMPRODUCT(--($X$2:$X$3001&lt;$X2863))+1,"")</f>
        <v/>
      </c>
      <c r="W2863">
        <f>IF($A2863="","",IF(OR($T2863=TRUE(),$T2863="TRUE"),1,0))</f>
        <v/>
      </c>
      <c r="X2863">
        <f>IF($U2863=1,IFERROR(IF(VALUE($A2863)&lt;100000000,VALUE($A2863),1000000000),IFERROR(IF(VALUE(MID($A2863,2,20))&lt;100000000,VALUE(MID($A2863,2,20)),1000000000),1000000000))+ROW()/100000,"")</f>
        <v/>
      </c>
    </row>
    <row r="2864">
      <c r="F2864" s="7">
        <f>IF($A2864="","",E2864*N2864/100)</f>
        <v/>
      </c>
      <c r="J2864" s="7" t="n"/>
      <c r="K2864" s="7">
        <f>IF($A2864="","",S2864*N2864)</f>
        <v/>
      </c>
      <c r="L2864" s="7">
        <f>IF($A2864="","",N2864-K2864)</f>
        <v/>
      </c>
      <c r="M2864" s="7">
        <f>IF($A2864="","",L2864-F2864)</f>
        <v/>
      </c>
      <c r="N2864" s="7" t="n"/>
      <c r="Q2864" s="11" t="n"/>
      <c r="S2864">
        <f>IF($A2864="","",IF($W2864=1,Settings!$C$6,Settings!$C$7)*1)</f>
        <v/>
      </c>
      <c r="U2864">
        <f>IF($A2864="","",IF(COUNTIF($A$2:$A2864,$A2864)=1,1,0))</f>
        <v/>
      </c>
      <c r="V2864">
        <f>IF($U2864=1,SUMPRODUCT(--($X$2:$X$3001&lt;$X2864))+1,"")</f>
        <v/>
      </c>
      <c r="W2864">
        <f>IF($A2864="","",IF(OR($T2864=TRUE(),$T2864="TRUE"),1,0))</f>
        <v/>
      </c>
      <c r="X2864">
        <f>IF($U2864=1,IFERROR(IF(VALUE($A2864)&lt;100000000,VALUE($A2864),1000000000),IFERROR(IF(VALUE(MID($A2864,2,20))&lt;100000000,VALUE(MID($A2864,2,20)),1000000000),1000000000))+ROW()/100000,"")</f>
        <v/>
      </c>
    </row>
    <row r="2865">
      <c r="F2865" s="7">
        <f>IF($A2865="","",E2865*N2865/100)</f>
        <v/>
      </c>
      <c r="J2865" s="7" t="n"/>
      <c r="K2865" s="7">
        <f>IF($A2865="","",S2865*N2865)</f>
        <v/>
      </c>
      <c r="L2865" s="7">
        <f>IF($A2865="","",N2865-K2865)</f>
        <v/>
      </c>
      <c r="M2865" s="7">
        <f>IF($A2865="","",L2865-F2865)</f>
        <v/>
      </c>
      <c r="N2865" s="7" t="n"/>
      <c r="Q2865" s="11" t="n"/>
      <c r="S2865">
        <f>IF($A2865="","",IF($W2865=1,Settings!$C$6,Settings!$C$7)*1)</f>
        <v/>
      </c>
      <c r="U2865">
        <f>IF($A2865="","",IF(COUNTIF($A$2:$A2865,$A2865)=1,1,0))</f>
        <v/>
      </c>
      <c r="V2865">
        <f>IF($U2865=1,SUMPRODUCT(--($X$2:$X$3001&lt;$X2865))+1,"")</f>
        <v/>
      </c>
      <c r="W2865">
        <f>IF($A2865="","",IF(OR($T2865=TRUE(),$T2865="TRUE"),1,0))</f>
        <v/>
      </c>
      <c r="X2865">
        <f>IF($U2865=1,IFERROR(IF(VALUE($A2865)&lt;100000000,VALUE($A2865),1000000000),IFERROR(IF(VALUE(MID($A2865,2,20))&lt;100000000,VALUE(MID($A2865,2,20)),1000000000),1000000000))+ROW()/100000,"")</f>
        <v/>
      </c>
    </row>
    <row r="2866">
      <c r="F2866" s="7">
        <f>IF($A2866="","",E2866*N2866/100)</f>
        <v/>
      </c>
      <c r="J2866" s="7" t="n"/>
      <c r="K2866" s="7">
        <f>IF($A2866="","",S2866*N2866)</f>
        <v/>
      </c>
      <c r="L2866" s="7">
        <f>IF($A2866="","",N2866-K2866)</f>
        <v/>
      </c>
      <c r="M2866" s="7">
        <f>IF($A2866="","",L2866-F2866)</f>
        <v/>
      </c>
      <c r="N2866" s="7" t="n"/>
      <c r="Q2866" s="11" t="n"/>
      <c r="S2866">
        <f>IF($A2866="","",IF($W2866=1,Settings!$C$6,Settings!$C$7)*1)</f>
        <v/>
      </c>
      <c r="U2866">
        <f>IF($A2866="","",IF(COUNTIF($A$2:$A2866,$A2866)=1,1,0))</f>
        <v/>
      </c>
      <c r="V2866">
        <f>IF($U2866=1,SUMPRODUCT(--($X$2:$X$3001&lt;$X2866))+1,"")</f>
        <v/>
      </c>
      <c r="W2866">
        <f>IF($A2866="","",IF(OR($T2866=TRUE(),$T2866="TRUE"),1,0))</f>
        <v/>
      </c>
      <c r="X2866">
        <f>IF($U2866=1,IFERROR(IF(VALUE($A2866)&lt;100000000,VALUE($A2866),1000000000),IFERROR(IF(VALUE(MID($A2866,2,20))&lt;100000000,VALUE(MID($A2866,2,20)),1000000000),1000000000))+ROW()/100000,"")</f>
        <v/>
      </c>
    </row>
    <row r="2867">
      <c r="F2867" s="7">
        <f>IF($A2867="","",E2867*N2867/100)</f>
        <v/>
      </c>
      <c r="J2867" s="7" t="n"/>
      <c r="K2867" s="7">
        <f>IF($A2867="","",S2867*N2867)</f>
        <v/>
      </c>
      <c r="L2867" s="7">
        <f>IF($A2867="","",N2867-K2867)</f>
        <v/>
      </c>
      <c r="M2867" s="7">
        <f>IF($A2867="","",L2867-F2867)</f>
        <v/>
      </c>
      <c r="N2867" s="7" t="n"/>
      <c r="Q2867" s="11" t="n"/>
      <c r="S2867">
        <f>IF($A2867="","",IF($W2867=1,Settings!$C$6,Settings!$C$7)*1)</f>
        <v/>
      </c>
      <c r="U2867">
        <f>IF($A2867="","",IF(COUNTIF($A$2:$A2867,$A2867)=1,1,0))</f>
        <v/>
      </c>
      <c r="V2867">
        <f>IF($U2867=1,SUMPRODUCT(--($X$2:$X$3001&lt;$X2867))+1,"")</f>
        <v/>
      </c>
      <c r="W2867">
        <f>IF($A2867="","",IF(OR($T2867=TRUE(),$T2867="TRUE"),1,0))</f>
        <v/>
      </c>
      <c r="X2867">
        <f>IF($U2867=1,IFERROR(IF(VALUE($A2867)&lt;100000000,VALUE($A2867),1000000000),IFERROR(IF(VALUE(MID($A2867,2,20))&lt;100000000,VALUE(MID($A2867,2,20)),1000000000),1000000000))+ROW()/100000,"")</f>
        <v/>
      </c>
    </row>
    <row r="2868">
      <c r="F2868" s="7">
        <f>IF($A2868="","",E2868*N2868/100)</f>
        <v/>
      </c>
      <c r="J2868" s="7" t="n"/>
      <c r="K2868" s="7">
        <f>IF($A2868="","",S2868*N2868)</f>
        <v/>
      </c>
      <c r="L2868" s="7">
        <f>IF($A2868="","",N2868-K2868)</f>
        <v/>
      </c>
      <c r="M2868" s="7">
        <f>IF($A2868="","",L2868-F2868)</f>
        <v/>
      </c>
      <c r="N2868" s="7" t="n"/>
      <c r="Q2868" s="11" t="n"/>
      <c r="S2868">
        <f>IF($A2868="","",IF($W2868=1,Settings!$C$6,Settings!$C$7)*1)</f>
        <v/>
      </c>
      <c r="U2868">
        <f>IF($A2868="","",IF(COUNTIF($A$2:$A2868,$A2868)=1,1,0))</f>
        <v/>
      </c>
      <c r="V2868">
        <f>IF($U2868=1,SUMPRODUCT(--($X$2:$X$3001&lt;$X2868))+1,"")</f>
        <v/>
      </c>
      <c r="W2868">
        <f>IF($A2868="","",IF(OR($T2868=TRUE(),$T2868="TRUE"),1,0))</f>
        <v/>
      </c>
      <c r="X2868">
        <f>IF($U2868=1,IFERROR(IF(VALUE($A2868)&lt;100000000,VALUE($A2868),1000000000),IFERROR(IF(VALUE(MID($A2868,2,20))&lt;100000000,VALUE(MID($A2868,2,20)),1000000000),1000000000))+ROW()/100000,"")</f>
        <v/>
      </c>
    </row>
    <row r="2869">
      <c r="F2869" s="7">
        <f>IF($A2869="","",E2869*N2869/100)</f>
        <v/>
      </c>
      <c r="J2869" s="7" t="n"/>
      <c r="K2869" s="7">
        <f>IF($A2869="","",S2869*N2869)</f>
        <v/>
      </c>
      <c r="L2869" s="7">
        <f>IF($A2869="","",N2869-K2869)</f>
        <v/>
      </c>
      <c r="M2869" s="7">
        <f>IF($A2869="","",L2869-F2869)</f>
        <v/>
      </c>
      <c r="N2869" s="7" t="n"/>
      <c r="Q2869" s="11" t="n"/>
      <c r="S2869">
        <f>IF($A2869="","",IF($W2869=1,Settings!$C$6,Settings!$C$7)*1)</f>
        <v/>
      </c>
      <c r="U2869">
        <f>IF($A2869="","",IF(COUNTIF($A$2:$A2869,$A2869)=1,1,0))</f>
        <v/>
      </c>
      <c r="V2869">
        <f>IF($U2869=1,SUMPRODUCT(--($X$2:$X$3001&lt;$X2869))+1,"")</f>
        <v/>
      </c>
      <c r="W2869">
        <f>IF($A2869="","",IF(OR($T2869=TRUE(),$T2869="TRUE"),1,0))</f>
        <v/>
      </c>
      <c r="X2869">
        <f>IF($U2869=1,IFERROR(IF(VALUE($A2869)&lt;100000000,VALUE($A2869),1000000000),IFERROR(IF(VALUE(MID($A2869,2,20))&lt;100000000,VALUE(MID($A2869,2,20)),1000000000),1000000000))+ROW()/100000,"")</f>
        <v/>
      </c>
    </row>
    <row r="2870">
      <c r="F2870" s="7">
        <f>IF($A2870="","",E2870*N2870/100)</f>
        <v/>
      </c>
      <c r="J2870" s="7" t="n"/>
      <c r="K2870" s="7">
        <f>IF($A2870="","",S2870*N2870)</f>
        <v/>
      </c>
      <c r="L2870" s="7">
        <f>IF($A2870="","",N2870-K2870)</f>
        <v/>
      </c>
      <c r="M2870" s="7">
        <f>IF($A2870="","",L2870-F2870)</f>
        <v/>
      </c>
      <c r="N2870" s="7" t="n"/>
      <c r="Q2870" s="11" t="n"/>
      <c r="S2870">
        <f>IF($A2870="","",IF($W2870=1,Settings!$C$6,Settings!$C$7)*1)</f>
        <v/>
      </c>
      <c r="U2870">
        <f>IF($A2870="","",IF(COUNTIF($A$2:$A2870,$A2870)=1,1,0))</f>
        <v/>
      </c>
      <c r="V2870">
        <f>IF($U2870=1,SUMPRODUCT(--($X$2:$X$3001&lt;$X2870))+1,"")</f>
        <v/>
      </c>
      <c r="W2870">
        <f>IF($A2870="","",IF(OR($T2870=TRUE(),$T2870="TRUE"),1,0))</f>
        <v/>
      </c>
      <c r="X2870">
        <f>IF($U2870=1,IFERROR(IF(VALUE($A2870)&lt;100000000,VALUE($A2870),1000000000),IFERROR(IF(VALUE(MID($A2870,2,20))&lt;100000000,VALUE(MID($A2870,2,20)),1000000000),1000000000))+ROW()/100000,"")</f>
        <v/>
      </c>
    </row>
    <row r="2871">
      <c r="F2871" s="7">
        <f>IF($A2871="","",E2871*N2871/100)</f>
        <v/>
      </c>
      <c r="J2871" s="7" t="n"/>
      <c r="K2871" s="7">
        <f>IF($A2871="","",S2871*N2871)</f>
        <v/>
      </c>
      <c r="L2871" s="7">
        <f>IF($A2871="","",N2871-K2871)</f>
        <v/>
      </c>
      <c r="M2871" s="7">
        <f>IF($A2871="","",L2871-F2871)</f>
        <v/>
      </c>
      <c r="N2871" s="7" t="n"/>
      <c r="Q2871" s="11" t="n"/>
      <c r="S2871">
        <f>IF($A2871="","",IF($W2871=1,Settings!$C$6,Settings!$C$7)*1)</f>
        <v/>
      </c>
      <c r="U2871">
        <f>IF($A2871="","",IF(COUNTIF($A$2:$A2871,$A2871)=1,1,0))</f>
        <v/>
      </c>
      <c r="V2871">
        <f>IF($U2871=1,SUMPRODUCT(--($X$2:$X$3001&lt;$X2871))+1,"")</f>
        <v/>
      </c>
      <c r="W2871">
        <f>IF($A2871="","",IF(OR($T2871=TRUE(),$T2871="TRUE"),1,0))</f>
        <v/>
      </c>
      <c r="X2871">
        <f>IF($U2871=1,IFERROR(IF(VALUE($A2871)&lt;100000000,VALUE($A2871),1000000000),IFERROR(IF(VALUE(MID($A2871,2,20))&lt;100000000,VALUE(MID($A2871,2,20)),1000000000),1000000000))+ROW()/100000,"")</f>
        <v/>
      </c>
    </row>
    <row r="2872">
      <c r="F2872" s="7">
        <f>IF($A2872="","",E2872*N2872/100)</f>
        <v/>
      </c>
      <c r="J2872" s="7" t="n"/>
      <c r="K2872" s="7">
        <f>IF($A2872="","",S2872*N2872)</f>
        <v/>
      </c>
      <c r="L2872" s="7">
        <f>IF($A2872="","",N2872-K2872)</f>
        <v/>
      </c>
      <c r="M2872" s="7">
        <f>IF($A2872="","",L2872-F2872)</f>
        <v/>
      </c>
      <c r="N2872" s="7" t="n"/>
      <c r="Q2872" s="11" t="n"/>
      <c r="S2872">
        <f>IF($A2872="","",IF($W2872=1,Settings!$C$6,Settings!$C$7)*1)</f>
        <v/>
      </c>
      <c r="U2872">
        <f>IF($A2872="","",IF(COUNTIF($A$2:$A2872,$A2872)=1,1,0))</f>
        <v/>
      </c>
      <c r="V2872">
        <f>IF($U2872=1,SUMPRODUCT(--($X$2:$X$3001&lt;$X2872))+1,"")</f>
        <v/>
      </c>
      <c r="W2872">
        <f>IF($A2872="","",IF(OR($T2872=TRUE(),$T2872="TRUE"),1,0))</f>
        <v/>
      </c>
      <c r="X2872">
        <f>IF($U2872=1,IFERROR(IF(VALUE($A2872)&lt;100000000,VALUE($A2872),1000000000),IFERROR(IF(VALUE(MID($A2872,2,20))&lt;100000000,VALUE(MID($A2872,2,20)),1000000000),1000000000))+ROW()/100000,"")</f>
        <v/>
      </c>
    </row>
    <row r="2873">
      <c r="F2873" s="7">
        <f>IF($A2873="","",E2873*N2873/100)</f>
        <v/>
      </c>
      <c r="J2873" s="7" t="n"/>
      <c r="K2873" s="7">
        <f>IF($A2873="","",S2873*N2873)</f>
        <v/>
      </c>
      <c r="L2873" s="7">
        <f>IF($A2873="","",N2873-K2873)</f>
        <v/>
      </c>
      <c r="M2873" s="7">
        <f>IF($A2873="","",L2873-F2873)</f>
        <v/>
      </c>
      <c r="N2873" s="7" t="n"/>
      <c r="Q2873" s="11" t="n"/>
      <c r="S2873">
        <f>IF($A2873="","",IF($W2873=1,Settings!$C$6,Settings!$C$7)*1)</f>
        <v/>
      </c>
      <c r="U2873">
        <f>IF($A2873="","",IF(COUNTIF($A$2:$A2873,$A2873)=1,1,0))</f>
        <v/>
      </c>
      <c r="V2873">
        <f>IF($U2873=1,SUMPRODUCT(--($X$2:$X$3001&lt;$X2873))+1,"")</f>
        <v/>
      </c>
      <c r="W2873">
        <f>IF($A2873="","",IF(OR($T2873=TRUE(),$T2873="TRUE"),1,0))</f>
        <v/>
      </c>
      <c r="X2873">
        <f>IF($U2873=1,IFERROR(IF(VALUE($A2873)&lt;100000000,VALUE($A2873),1000000000),IFERROR(IF(VALUE(MID($A2873,2,20))&lt;100000000,VALUE(MID($A2873,2,20)),1000000000),1000000000))+ROW()/100000,"")</f>
        <v/>
      </c>
    </row>
    <row r="2874">
      <c r="F2874" s="7">
        <f>IF($A2874="","",E2874*N2874/100)</f>
        <v/>
      </c>
      <c r="J2874" s="7" t="n"/>
      <c r="K2874" s="7">
        <f>IF($A2874="","",S2874*N2874)</f>
        <v/>
      </c>
      <c r="L2874" s="7">
        <f>IF($A2874="","",N2874-K2874)</f>
        <v/>
      </c>
      <c r="M2874" s="7">
        <f>IF($A2874="","",L2874-F2874)</f>
        <v/>
      </c>
      <c r="N2874" s="7" t="n"/>
      <c r="Q2874" s="11" t="n"/>
      <c r="S2874">
        <f>IF($A2874="","",IF($W2874=1,Settings!$C$6,Settings!$C$7)*1)</f>
        <v/>
      </c>
      <c r="U2874">
        <f>IF($A2874="","",IF(COUNTIF($A$2:$A2874,$A2874)=1,1,0))</f>
        <v/>
      </c>
      <c r="V2874">
        <f>IF($U2874=1,SUMPRODUCT(--($X$2:$X$3001&lt;$X2874))+1,"")</f>
        <v/>
      </c>
      <c r="W2874">
        <f>IF($A2874="","",IF(OR($T2874=TRUE(),$T2874="TRUE"),1,0))</f>
        <v/>
      </c>
      <c r="X2874">
        <f>IF($U2874=1,IFERROR(IF(VALUE($A2874)&lt;100000000,VALUE($A2874),1000000000),IFERROR(IF(VALUE(MID($A2874,2,20))&lt;100000000,VALUE(MID($A2874,2,20)),1000000000),1000000000))+ROW()/100000,"")</f>
        <v/>
      </c>
    </row>
    <row r="2875">
      <c r="F2875" s="7">
        <f>IF($A2875="","",E2875*N2875/100)</f>
        <v/>
      </c>
      <c r="J2875" s="7" t="n"/>
      <c r="K2875" s="7">
        <f>IF($A2875="","",S2875*N2875)</f>
        <v/>
      </c>
      <c r="L2875" s="7">
        <f>IF($A2875="","",N2875-K2875)</f>
        <v/>
      </c>
      <c r="M2875" s="7">
        <f>IF($A2875="","",L2875-F2875)</f>
        <v/>
      </c>
      <c r="N2875" s="7" t="n"/>
      <c r="Q2875" s="11" t="n"/>
      <c r="S2875">
        <f>IF($A2875="","",IF($W2875=1,Settings!$C$6,Settings!$C$7)*1)</f>
        <v/>
      </c>
      <c r="U2875">
        <f>IF($A2875="","",IF(COUNTIF($A$2:$A2875,$A2875)=1,1,0))</f>
        <v/>
      </c>
      <c r="V2875">
        <f>IF($U2875=1,SUMPRODUCT(--($X$2:$X$3001&lt;$X2875))+1,"")</f>
        <v/>
      </c>
      <c r="W2875">
        <f>IF($A2875="","",IF(OR($T2875=TRUE(),$T2875="TRUE"),1,0))</f>
        <v/>
      </c>
      <c r="X2875">
        <f>IF($U2875=1,IFERROR(IF(VALUE($A2875)&lt;100000000,VALUE($A2875),1000000000),IFERROR(IF(VALUE(MID($A2875,2,20))&lt;100000000,VALUE(MID($A2875,2,20)),1000000000),1000000000))+ROW()/100000,"")</f>
        <v/>
      </c>
    </row>
    <row r="2876">
      <c r="F2876" s="7">
        <f>IF($A2876="","",E2876*N2876/100)</f>
        <v/>
      </c>
      <c r="J2876" s="7" t="n"/>
      <c r="K2876" s="7">
        <f>IF($A2876="","",S2876*N2876)</f>
        <v/>
      </c>
      <c r="L2876" s="7">
        <f>IF($A2876="","",N2876-K2876)</f>
        <v/>
      </c>
      <c r="M2876" s="7">
        <f>IF($A2876="","",L2876-F2876)</f>
        <v/>
      </c>
      <c r="N2876" s="7" t="n"/>
      <c r="Q2876" s="11" t="n"/>
      <c r="S2876">
        <f>IF($A2876="","",IF($W2876=1,Settings!$C$6,Settings!$C$7)*1)</f>
        <v/>
      </c>
      <c r="U2876">
        <f>IF($A2876="","",IF(COUNTIF($A$2:$A2876,$A2876)=1,1,0))</f>
        <v/>
      </c>
      <c r="V2876">
        <f>IF($U2876=1,SUMPRODUCT(--($X$2:$X$3001&lt;$X2876))+1,"")</f>
        <v/>
      </c>
      <c r="W2876">
        <f>IF($A2876="","",IF(OR($T2876=TRUE(),$T2876="TRUE"),1,0))</f>
        <v/>
      </c>
      <c r="X2876">
        <f>IF($U2876=1,IFERROR(IF(VALUE($A2876)&lt;100000000,VALUE($A2876),1000000000),IFERROR(IF(VALUE(MID($A2876,2,20))&lt;100000000,VALUE(MID($A2876,2,20)),1000000000),1000000000))+ROW()/100000,"")</f>
        <v/>
      </c>
    </row>
    <row r="2877">
      <c r="F2877" s="7">
        <f>IF($A2877="","",E2877*N2877/100)</f>
        <v/>
      </c>
      <c r="J2877" s="7" t="n"/>
      <c r="K2877" s="7">
        <f>IF($A2877="","",S2877*N2877)</f>
        <v/>
      </c>
      <c r="L2877" s="7">
        <f>IF($A2877="","",N2877-K2877)</f>
        <v/>
      </c>
      <c r="M2877" s="7">
        <f>IF($A2877="","",L2877-F2877)</f>
        <v/>
      </c>
      <c r="N2877" s="7" t="n"/>
      <c r="Q2877" s="11" t="n"/>
      <c r="S2877">
        <f>IF($A2877="","",IF($W2877=1,Settings!$C$6,Settings!$C$7)*1)</f>
        <v/>
      </c>
      <c r="U2877">
        <f>IF($A2877="","",IF(COUNTIF($A$2:$A2877,$A2877)=1,1,0))</f>
        <v/>
      </c>
      <c r="V2877">
        <f>IF($U2877=1,SUMPRODUCT(--($X$2:$X$3001&lt;$X2877))+1,"")</f>
        <v/>
      </c>
      <c r="W2877">
        <f>IF($A2877="","",IF(OR($T2877=TRUE(),$T2877="TRUE"),1,0))</f>
        <v/>
      </c>
      <c r="X2877">
        <f>IF($U2877=1,IFERROR(IF(VALUE($A2877)&lt;100000000,VALUE($A2877),1000000000),IFERROR(IF(VALUE(MID($A2877,2,20))&lt;100000000,VALUE(MID($A2877,2,20)),1000000000),1000000000))+ROW()/100000,"")</f>
        <v/>
      </c>
    </row>
    <row r="2878">
      <c r="F2878" s="7">
        <f>IF($A2878="","",E2878*N2878/100)</f>
        <v/>
      </c>
      <c r="J2878" s="7" t="n"/>
      <c r="K2878" s="7">
        <f>IF($A2878="","",S2878*N2878)</f>
        <v/>
      </c>
      <c r="L2878" s="7">
        <f>IF($A2878="","",N2878-K2878)</f>
        <v/>
      </c>
      <c r="M2878" s="7">
        <f>IF($A2878="","",L2878-F2878)</f>
        <v/>
      </c>
      <c r="N2878" s="7" t="n"/>
      <c r="Q2878" s="11" t="n"/>
      <c r="S2878">
        <f>IF($A2878="","",IF($W2878=1,Settings!$C$6,Settings!$C$7)*1)</f>
        <v/>
      </c>
      <c r="U2878">
        <f>IF($A2878="","",IF(COUNTIF($A$2:$A2878,$A2878)=1,1,0))</f>
        <v/>
      </c>
      <c r="V2878">
        <f>IF($U2878=1,SUMPRODUCT(--($X$2:$X$3001&lt;$X2878))+1,"")</f>
        <v/>
      </c>
      <c r="W2878">
        <f>IF($A2878="","",IF(OR($T2878=TRUE(),$T2878="TRUE"),1,0))</f>
        <v/>
      </c>
      <c r="X2878">
        <f>IF($U2878=1,IFERROR(IF(VALUE($A2878)&lt;100000000,VALUE($A2878),1000000000),IFERROR(IF(VALUE(MID($A2878,2,20))&lt;100000000,VALUE(MID($A2878,2,20)),1000000000),1000000000))+ROW()/100000,"")</f>
        <v/>
      </c>
    </row>
    <row r="2879">
      <c r="F2879" s="7">
        <f>IF($A2879="","",E2879*N2879/100)</f>
        <v/>
      </c>
      <c r="J2879" s="7" t="n"/>
      <c r="K2879" s="7">
        <f>IF($A2879="","",S2879*N2879)</f>
        <v/>
      </c>
      <c r="L2879" s="7">
        <f>IF($A2879="","",N2879-K2879)</f>
        <v/>
      </c>
      <c r="M2879" s="7">
        <f>IF($A2879="","",L2879-F2879)</f>
        <v/>
      </c>
      <c r="N2879" s="7" t="n"/>
      <c r="Q2879" s="11" t="n"/>
      <c r="S2879">
        <f>IF($A2879="","",IF($W2879=1,Settings!$C$6,Settings!$C$7)*1)</f>
        <v/>
      </c>
      <c r="U2879">
        <f>IF($A2879="","",IF(COUNTIF($A$2:$A2879,$A2879)=1,1,0))</f>
        <v/>
      </c>
      <c r="V2879">
        <f>IF($U2879=1,SUMPRODUCT(--($X$2:$X$3001&lt;$X2879))+1,"")</f>
        <v/>
      </c>
      <c r="W2879">
        <f>IF($A2879="","",IF(OR($T2879=TRUE(),$T2879="TRUE"),1,0))</f>
        <v/>
      </c>
      <c r="X2879">
        <f>IF($U2879=1,IFERROR(IF(VALUE($A2879)&lt;100000000,VALUE($A2879),1000000000),IFERROR(IF(VALUE(MID($A2879,2,20))&lt;100000000,VALUE(MID($A2879,2,20)),1000000000),1000000000))+ROW()/100000,"")</f>
        <v/>
      </c>
    </row>
    <row r="2880">
      <c r="F2880" s="7">
        <f>IF($A2880="","",E2880*N2880/100)</f>
        <v/>
      </c>
      <c r="J2880" s="7" t="n"/>
      <c r="K2880" s="7">
        <f>IF($A2880="","",S2880*N2880)</f>
        <v/>
      </c>
      <c r="L2880" s="7">
        <f>IF($A2880="","",N2880-K2880)</f>
        <v/>
      </c>
      <c r="M2880" s="7">
        <f>IF($A2880="","",L2880-F2880)</f>
        <v/>
      </c>
      <c r="N2880" s="7" t="n"/>
      <c r="Q2880" s="11" t="n"/>
      <c r="S2880">
        <f>IF($A2880="","",IF($W2880=1,Settings!$C$6,Settings!$C$7)*1)</f>
        <v/>
      </c>
      <c r="U2880">
        <f>IF($A2880="","",IF(COUNTIF($A$2:$A2880,$A2880)=1,1,0))</f>
        <v/>
      </c>
      <c r="V2880">
        <f>IF($U2880=1,SUMPRODUCT(--($X$2:$X$3001&lt;$X2880))+1,"")</f>
        <v/>
      </c>
      <c r="W2880">
        <f>IF($A2880="","",IF(OR($T2880=TRUE(),$T2880="TRUE"),1,0))</f>
        <v/>
      </c>
      <c r="X2880">
        <f>IF($U2880=1,IFERROR(IF(VALUE($A2880)&lt;100000000,VALUE($A2880),1000000000),IFERROR(IF(VALUE(MID($A2880,2,20))&lt;100000000,VALUE(MID($A2880,2,20)),1000000000),1000000000))+ROW()/100000,"")</f>
        <v/>
      </c>
    </row>
    <row r="2881">
      <c r="F2881" s="7">
        <f>IF($A2881="","",E2881*N2881/100)</f>
        <v/>
      </c>
      <c r="J2881" s="7" t="n"/>
      <c r="K2881" s="7">
        <f>IF($A2881="","",S2881*N2881)</f>
        <v/>
      </c>
      <c r="L2881" s="7">
        <f>IF($A2881="","",N2881-K2881)</f>
        <v/>
      </c>
      <c r="M2881" s="7">
        <f>IF($A2881="","",L2881-F2881)</f>
        <v/>
      </c>
      <c r="N2881" s="7" t="n"/>
      <c r="Q2881" s="11" t="n"/>
      <c r="S2881">
        <f>IF($A2881="","",IF($W2881=1,Settings!$C$6,Settings!$C$7)*1)</f>
        <v/>
      </c>
      <c r="U2881">
        <f>IF($A2881="","",IF(COUNTIF($A$2:$A2881,$A2881)=1,1,0))</f>
        <v/>
      </c>
      <c r="V2881">
        <f>IF($U2881=1,SUMPRODUCT(--($X$2:$X$3001&lt;$X2881))+1,"")</f>
        <v/>
      </c>
      <c r="W2881">
        <f>IF($A2881="","",IF(OR($T2881=TRUE(),$T2881="TRUE"),1,0))</f>
        <v/>
      </c>
      <c r="X2881">
        <f>IF($U2881=1,IFERROR(IF(VALUE($A2881)&lt;100000000,VALUE($A2881),1000000000),IFERROR(IF(VALUE(MID($A2881,2,20))&lt;100000000,VALUE(MID($A2881,2,20)),1000000000),1000000000))+ROW()/100000,"")</f>
        <v/>
      </c>
    </row>
    <row r="2882">
      <c r="F2882" s="7">
        <f>IF($A2882="","",E2882*N2882/100)</f>
        <v/>
      </c>
      <c r="J2882" s="7" t="n"/>
      <c r="K2882" s="7">
        <f>IF($A2882="","",S2882*N2882)</f>
        <v/>
      </c>
      <c r="L2882" s="7">
        <f>IF($A2882="","",N2882-K2882)</f>
        <v/>
      </c>
      <c r="M2882" s="7">
        <f>IF($A2882="","",L2882-F2882)</f>
        <v/>
      </c>
      <c r="N2882" s="7" t="n"/>
      <c r="Q2882" s="11" t="n"/>
      <c r="S2882">
        <f>IF($A2882="","",IF($W2882=1,Settings!$C$6,Settings!$C$7)*1)</f>
        <v/>
      </c>
      <c r="U2882">
        <f>IF($A2882="","",IF(COUNTIF($A$2:$A2882,$A2882)=1,1,0))</f>
        <v/>
      </c>
      <c r="V2882">
        <f>IF($U2882=1,SUMPRODUCT(--($X$2:$X$3001&lt;$X2882))+1,"")</f>
        <v/>
      </c>
      <c r="W2882">
        <f>IF($A2882="","",IF(OR($T2882=TRUE(),$T2882="TRUE"),1,0))</f>
        <v/>
      </c>
      <c r="X2882">
        <f>IF($U2882=1,IFERROR(IF(VALUE($A2882)&lt;100000000,VALUE($A2882),1000000000),IFERROR(IF(VALUE(MID($A2882,2,20))&lt;100000000,VALUE(MID($A2882,2,20)),1000000000),1000000000))+ROW()/100000,"")</f>
        <v/>
      </c>
    </row>
    <row r="2883">
      <c r="F2883" s="7">
        <f>IF($A2883="","",E2883*N2883/100)</f>
        <v/>
      </c>
      <c r="J2883" s="7" t="n"/>
      <c r="K2883" s="7">
        <f>IF($A2883="","",S2883*N2883)</f>
        <v/>
      </c>
      <c r="L2883" s="7">
        <f>IF($A2883="","",N2883-K2883)</f>
        <v/>
      </c>
      <c r="M2883" s="7">
        <f>IF($A2883="","",L2883-F2883)</f>
        <v/>
      </c>
      <c r="N2883" s="7" t="n"/>
      <c r="Q2883" s="11" t="n"/>
      <c r="S2883">
        <f>IF($A2883="","",IF($W2883=1,Settings!$C$6,Settings!$C$7)*1)</f>
        <v/>
      </c>
      <c r="U2883">
        <f>IF($A2883="","",IF(COUNTIF($A$2:$A2883,$A2883)=1,1,0))</f>
        <v/>
      </c>
      <c r="V2883">
        <f>IF($U2883=1,SUMPRODUCT(--($X$2:$X$3001&lt;$X2883))+1,"")</f>
        <v/>
      </c>
      <c r="W2883">
        <f>IF($A2883="","",IF(OR($T2883=TRUE(),$T2883="TRUE"),1,0))</f>
        <v/>
      </c>
      <c r="X2883">
        <f>IF($U2883=1,IFERROR(IF(VALUE($A2883)&lt;100000000,VALUE($A2883),1000000000),IFERROR(IF(VALUE(MID($A2883,2,20))&lt;100000000,VALUE(MID($A2883,2,20)),1000000000),1000000000))+ROW()/100000,"")</f>
        <v/>
      </c>
    </row>
    <row r="2884">
      <c r="F2884" s="7">
        <f>IF($A2884="","",E2884*N2884/100)</f>
        <v/>
      </c>
      <c r="J2884" s="7" t="n"/>
      <c r="K2884" s="7">
        <f>IF($A2884="","",S2884*N2884)</f>
        <v/>
      </c>
      <c r="L2884" s="7">
        <f>IF($A2884="","",N2884-K2884)</f>
        <v/>
      </c>
      <c r="M2884" s="7">
        <f>IF($A2884="","",L2884-F2884)</f>
        <v/>
      </c>
      <c r="N2884" s="7" t="n"/>
      <c r="Q2884" s="11" t="n"/>
      <c r="S2884">
        <f>IF($A2884="","",IF($W2884=1,Settings!$C$6,Settings!$C$7)*1)</f>
        <v/>
      </c>
      <c r="U2884">
        <f>IF($A2884="","",IF(COUNTIF($A$2:$A2884,$A2884)=1,1,0))</f>
        <v/>
      </c>
      <c r="V2884">
        <f>IF($U2884=1,SUMPRODUCT(--($X$2:$X$3001&lt;$X2884))+1,"")</f>
        <v/>
      </c>
      <c r="W2884">
        <f>IF($A2884="","",IF(OR($T2884=TRUE(),$T2884="TRUE"),1,0))</f>
        <v/>
      </c>
      <c r="X2884">
        <f>IF($U2884=1,IFERROR(IF(VALUE($A2884)&lt;100000000,VALUE($A2884),1000000000),IFERROR(IF(VALUE(MID($A2884,2,20))&lt;100000000,VALUE(MID($A2884,2,20)),1000000000),1000000000))+ROW()/100000,"")</f>
        <v/>
      </c>
    </row>
    <row r="2885">
      <c r="F2885" s="7">
        <f>IF($A2885="","",E2885*N2885/100)</f>
        <v/>
      </c>
      <c r="J2885" s="7" t="n"/>
      <c r="K2885" s="7">
        <f>IF($A2885="","",S2885*N2885)</f>
        <v/>
      </c>
      <c r="L2885" s="7">
        <f>IF($A2885="","",N2885-K2885)</f>
        <v/>
      </c>
      <c r="M2885" s="7">
        <f>IF($A2885="","",L2885-F2885)</f>
        <v/>
      </c>
      <c r="N2885" s="7" t="n"/>
      <c r="Q2885" s="11" t="n"/>
      <c r="S2885">
        <f>IF($A2885="","",IF($W2885=1,Settings!$C$6,Settings!$C$7)*1)</f>
        <v/>
      </c>
      <c r="U2885">
        <f>IF($A2885="","",IF(COUNTIF($A$2:$A2885,$A2885)=1,1,0))</f>
        <v/>
      </c>
      <c r="V2885">
        <f>IF($U2885=1,SUMPRODUCT(--($X$2:$X$3001&lt;$X2885))+1,"")</f>
        <v/>
      </c>
      <c r="W2885">
        <f>IF($A2885="","",IF(OR($T2885=TRUE(),$T2885="TRUE"),1,0))</f>
        <v/>
      </c>
      <c r="X2885">
        <f>IF($U2885=1,IFERROR(IF(VALUE($A2885)&lt;100000000,VALUE($A2885),1000000000),IFERROR(IF(VALUE(MID($A2885,2,20))&lt;100000000,VALUE(MID($A2885,2,20)),1000000000),1000000000))+ROW()/100000,"")</f>
        <v/>
      </c>
    </row>
    <row r="2886">
      <c r="F2886" s="7">
        <f>IF($A2886="","",E2886*N2886/100)</f>
        <v/>
      </c>
      <c r="J2886" s="7" t="n"/>
      <c r="K2886" s="7">
        <f>IF($A2886="","",S2886*N2886)</f>
        <v/>
      </c>
      <c r="L2886" s="7">
        <f>IF($A2886="","",N2886-K2886)</f>
        <v/>
      </c>
      <c r="M2886" s="7">
        <f>IF($A2886="","",L2886-F2886)</f>
        <v/>
      </c>
      <c r="N2886" s="7" t="n"/>
      <c r="Q2886" s="11" t="n"/>
      <c r="S2886">
        <f>IF($A2886="","",IF($W2886=1,Settings!$C$6,Settings!$C$7)*1)</f>
        <v/>
      </c>
      <c r="U2886">
        <f>IF($A2886="","",IF(COUNTIF($A$2:$A2886,$A2886)=1,1,0))</f>
        <v/>
      </c>
      <c r="V2886">
        <f>IF($U2886=1,SUMPRODUCT(--($X$2:$X$3001&lt;$X2886))+1,"")</f>
        <v/>
      </c>
      <c r="W2886">
        <f>IF($A2886="","",IF(OR($T2886=TRUE(),$T2886="TRUE"),1,0))</f>
        <v/>
      </c>
      <c r="X2886">
        <f>IF($U2886=1,IFERROR(IF(VALUE($A2886)&lt;100000000,VALUE($A2886),1000000000),IFERROR(IF(VALUE(MID($A2886,2,20))&lt;100000000,VALUE(MID($A2886,2,20)),1000000000),1000000000))+ROW()/100000,"")</f>
        <v/>
      </c>
    </row>
    <row r="2887">
      <c r="F2887" s="7">
        <f>IF($A2887="","",E2887*N2887/100)</f>
        <v/>
      </c>
      <c r="J2887" s="7" t="n"/>
      <c r="K2887" s="7">
        <f>IF($A2887="","",S2887*N2887)</f>
        <v/>
      </c>
      <c r="L2887" s="7">
        <f>IF($A2887="","",N2887-K2887)</f>
        <v/>
      </c>
      <c r="M2887" s="7">
        <f>IF($A2887="","",L2887-F2887)</f>
        <v/>
      </c>
      <c r="N2887" s="7" t="n"/>
      <c r="Q2887" s="11" t="n"/>
      <c r="S2887">
        <f>IF($A2887="","",IF($W2887=1,Settings!$C$6,Settings!$C$7)*1)</f>
        <v/>
      </c>
      <c r="U2887">
        <f>IF($A2887="","",IF(COUNTIF($A$2:$A2887,$A2887)=1,1,0))</f>
        <v/>
      </c>
      <c r="V2887">
        <f>IF($U2887=1,SUMPRODUCT(--($X$2:$X$3001&lt;$X2887))+1,"")</f>
        <v/>
      </c>
      <c r="W2887">
        <f>IF($A2887="","",IF(OR($T2887=TRUE(),$T2887="TRUE"),1,0))</f>
        <v/>
      </c>
      <c r="X2887">
        <f>IF($U2887=1,IFERROR(IF(VALUE($A2887)&lt;100000000,VALUE($A2887),1000000000),IFERROR(IF(VALUE(MID($A2887,2,20))&lt;100000000,VALUE(MID($A2887,2,20)),1000000000),1000000000))+ROW()/100000,"")</f>
        <v/>
      </c>
    </row>
    <row r="2888">
      <c r="F2888" s="7">
        <f>IF($A2888="","",E2888*N2888/100)</f>
        <v/>
      </c>
      <c r="J2888" s="7" t="n"/>
      <c r="K2888" s="7">
        <f>IF($A2888="","",S2888*N2888)</f>
        <v/>
      </c>
      <c r="L2888" s="7">
        <f>IF($A2888="","",N2888-K2888)</f>
        <v/>
      </c>
      <c r="M2888" s="7">
        <f>IF($A2888="","",L2888-F2888)</f>
        <v/>
      </c>
      <c r="N2888" s="7" t="n"/>
      <c r="Q2888" s="11" t="n"/>
      <c r="S2888">
        <f>IF($A2888="","",IF($W2888=1,Settings!$C$6,Settings!$C$7)*1)</f>
        <v/>
      </c>
      <c r="U2888">
        <f>IF($A2888="","",IF(COUNTIF($A$2:$A2888,$A2888)=1,1,0))</f>
        <v/>
      </c>
      <c r="V2888">
        <f>IF($U2888=1,SUMPRODUCT(--($X$2:$X$3001&lt;$X2888))+1,"")</f>
        <v/>
      </c>
      <c r="W2888">
        <f>IF($A2888="","",IF(OR($T2888=TRUE(),$T2888="TRUE"),1,0))</f>
        <v/>
      </c>
      <c r="X2888">
        <f>IF($U2888=1,IFERROR(IF(VALUE($A2888)&lt;100000000,VALUE($A2888),1000000000),IFERROR(IF(VALUE(MID($A2888,2,20))&lt;100000000,VALUE(MID($A2888,2,20)),1000000000),1000000000))+ROW()/100000,"")</f>
        <v/>
      </c>
    </row>
    <row r="2889">
      <c r="F2889" s="7">
        <f>IF($A2889="","",E2889*N2889/100)</f>
        <v/>
      </c>
      <c r="J2889" s="7" t="n"/>
      <c r="K2889" s="7">
        <f>IF($A2889="","",S2889*N2889)</f>
        <v/>
      </c>
      <c r="L2889" s="7">
        <f>IF($A2889="","",N2889-K2889)</f>
        <v/>
      </c>
      <c r="M2889" s="7">
        <f>IF($A2889="","",L2889-F2889)</f>
        <v/>
      </c>
      <c r="N2889" s="7" t="n"/>
      <c r="Q2889" s="11" t="n"/>
      <c r="S2889">
        <f>IF($A2889="","",IF($W2889=1,Settings!$C$6,Settings!$C$7)*1)</f>
        <v/>
      </c>
      <c r="U2889">
        <f>IF($A2889="","",IF(COUNTIF($A$2:$A2889,$A2889)=1,1,0))</f>
        <v/>
      </c>
      <c r="V2889">
        <f>IF($U2889=1,SUMPRODUCT(--($X$2:$X$3001&lt;$X2889))+1,"")</f>
        <v/>
      </c>
      <c r="W2889">
        <f>IF($A2889="","",IF(OR($T2889=TRUE(),$T2889="TRUE"),1,0))</f>
        <v/>
      </c>
      <c r="X2889">
        <f>IF($U2889=1,IFERROR(IF(VALUE($A2889)&lt;100000000,VALUE($A2889),1000000000),IFERROR(IF(VALUE(MID($A2889,2,20))&lt;100000000,VALUE(MID($A2889,2,20)),1000000000),1000000000))+ROW()/100000,"")</f>
        <v/>
      </c>
    </row>
    <row r="2890">
      <c r="F2890" s="7">
        <f>IF($A2890="","",E2890*N2890/100)</f>
        <v/>
      </c>
      <c r="J2890" s="7" t="n"/>
      <c r="K2890" s="7">
        <f>IF($A2890="","",S2890*N2890)</f>
        <v/>
      </c>
      <c r="L2890" s="7">
        <f>IF($A2890="","",N2890-K2890)</f>
        <v/>
      </c>
      <c r="M2890" s="7">
        <f>IF($A2890="","",L2890-F2890)</f>
        <v/>
      </c>
      <c r="N2890" s="7" t="n"/>
      <c r="Q2890" s="11" t="n"/>
      <c r="S2890">
        <f>IF($A2890="","",IF($W2890=1,Settings!$C$6,Settings!$C$7)*1)</f>
        <v/>
      </c>
      <c r="U2890">
        <f>IF($A2890="","",IF(COUNTIF($A$2:$A2890,$A2890)=1,1,0))</f>
        <v/>
      </c>
      <c r="V2890">
        <f>IF($U2890=1,SUMPRODUCT(--($X$2:$X$3001&lt;$X2890))+1,"")</f>
        <v/>
      </c>
      <c r="W2890">
        <f>IF($A2890="","",IF(OR($T2890=TRUE(),$T2890="TRUE"),1,0))</f>
        <v/>
      </c>
      <c r="X2890">
        <f>IF($U2890=1,IFERROR(IF(VALUE($A2890)&lt;100000000,VALUE($A2890),1000000000),IFERROR(IF(VALUE(MID($A2890,2,20))&lt;100000000,VALUE(MID($A2890,2,20)),1000000000),1000000000))+ROW()/100000,"")</f>
        <v/>
      </c>
    </row>
    <row r="2891">
      <c r="F2891" s="7">
        <f>IF($A2891="","",E2891*N2891/100)</f>
        <v/>
      </c>
      <c r="J2891" s="7" t="n"/>
      <c r="K2891" s="7">
        <f>IF($A2891="","",S2891*N2891)</f>
        <v/>
      </c>
      <c r="L2891" s="7">
        <f>IF($A2891="","",N2891-K2891)</f>
        <v/>
      </c>
      <c r="M2891" s="7">
        <f>IF($A2891="","",L2891-F2891)</f>
        <v/>
      </c>
      <c r="N2891" s="7" t="n"/>
      <c r="Q2891" s="11" t="n"/>
      <c r="S2891">
        <f>IF($A2891="","",IF($W2891=1,Settings!$C$6,Settings!$C$7)*1)</f>
        <v/>
      </c>
      <c r="U2891">
        <f>IF($A2891="","",IF(COUNTIF($A$2:$A2891,$A2891)=1,1,0))</f>
        <v/>
      </c>
      <c r="V2891">
        <f>IF($U2891=1,SUMPRODUCT(--($X$2:$X$3001&lt;$X2891))+1,"")</f>
        <v/>
      </c>
      <c r="W2891">
        <f>IF($A2891="","",IF(OR($T2891=TRUE(),$T2891="TRUE"),1,0))</f>
        <v/>
      </c>
      <c r="X2891">
        <f>IF($U2891=1,IFERROR(IF(VALUE($A2891)&lt;100000000,VALUE($A2891),1000000000),IFERROR(IF(VALUE(MID($A2891,2,20))&lt;100000000,VALUE(MID($A2891,2,20)),1000000000),1000000000))+ROW()/100000,"")</f>
        <v/>
      </c>
    </row>
    <row r="2892">
      <c r="F2892" s="7">
        <f>IF($A2892="","",E2892*N2892/100)</f>
        <v/>
      </c>
      <c r="J2892" s="7" t="n"/>
      <c r="K2892" s="7">
        <f>IF($A2892="","",S2892*N2892)</f>
        <v/>
      </c>
      <c r="L2892" s="7">
        <f>IF($A2892="","",N2892-K2892)</f>
        <v/>
      </c>
      <c r="M2892" s="7">
        <f>IF($A2892="","",L2892-F2892)</f>
        <v/>
      </c>
      <c r="N2892" s="7" t="n"/>
      <c r="Q2892" s="11" t="n"/>
      <c r="S2892">
        <f>IF($A2892="","",IF($W2892=1,Settings!$C$6,Settings!$C$7)*1)</f>
        <v/>
      </c>
      <c r="U2892">
        <f>IF($A2892="","",IF(COUNTIF($A$2:$A2892,$A2892)=1,1,0))</f>
        <v/>
      </c>
      <c r="V2892">
        <f>IF($U2892=1,SUMPRODUCT(--($X$2:$X$3001&lt;$X2892))+1,"")</f>
        <v/>
      </c>
      <c r="W2892">
        <f>IF($A2892="","",IF(OR($T2892=TRUE(),$T2892="TRUE"),1,0))</f>
        <v/>
      </c>
      <c r="X2892">
        <f>IF($U2892=1,IFERROR(IF(VALUE($A2892)&lt;100000000,VALUE($A2892),1000000000),IFERROR(IF(VALUE(MID($A2892,2,20))&lt;100000000,VALUE(MID($A2892,2,20)),1000000000),1000000000))+ROW()/100000,"")</f>
        <v/>
      </c>
    </row>
    <row r="2893">
      <c r="F2893" s="7">
        <f>IF($A2893="","",E2893*N2893/100)</f>
        <v/>
      </c>
      <c r="J2893" s="7" t="n"/>
      <c r="K2893" s="7">
        <f>IF($A2893="","",S2893*N2893)</f>
        <v/>
      </c>
      <c r="L2893" s="7">
        <f>IF($A2893="","",N2893-K2893)</f>
        <v/>
      </c>
      <c r="M2893" s="7">
        <f>IF($A2893="","",L2893-F2893)</f>
        <v/>
      </c>
      <c r="N2893" s="7" t="n"/>
      <c r="Q2893" s="11" t="n"/>
      <c r="S2893">
        <f>IF($A2893="","",IF($W2893=1,Settings!$C$6,Settings!$C$7)*1)</f>
        <v/>
      </c>
      <c r="U2893">
        <f>IF($A2893="","",IF(COUNTIF($A$2:$A2893,$A2893)=1,1,0))</f>
        <v/>
      </c>
      <c r="V2893">
        <f>IF($U2893=1,SUMPRODUCT(--($X$2:$X$3001&lt;$X2893))+1,"")</f>
        <v/>
      </c>
      <c r="W2893">
        <f>IF($A2893="","",IF(OR($T2893=TRUE(),$T2893="TRUE"),1,0))</f>
        <v/>
      </c>
      <c r="X2893">
        <f>IF($U2893=1,IFERROR(IF(VALUE($A2893)&lt;100000000,VALUE($A2893),1000000000),IFERROR(IF(VALUE(MID($A2893,2,20))&lt;100000000,VALUE(MID($A2893,2,20)),1000000000),1000000000))+ROW()/100000,"")</f>
        <v/>
      </c>
    </row>
    <row r="2894">
      <c r="F2894" s="7">
        <f>IF($A2894="","",E2894*N2894/100)</f>
        <v/>
      </c>
      <c r="J2894" s="7" t="n"/>
      <c r="K2894" s="7">
        <f>IF($A2894="","",S2894*N2894)</f>
        <v/>
      </c>
      <c r="L2894" s="7">
        <f>IF($A2894="","",N2894-K2894)</f>
        <v/>
      </c>
      <c r="M2894" s="7">
        <f>IF($A2894="","",L2894-F2894)</f>
        <v/>
      </c>
      <c r="N2894" s="7" t="n"/>
      <c r="Q2894" s="11" t="n"/>
      <c r="S2894">
        <f>IF($A2894="","",IF($W2894=1,Settings!$C$6,Settings!$C$7)*1)</f>
        <v/>
      </c>
      <c r="U2894">
        <f>IF($A2894="","",IF(COUNTIF($A$2:$A2894,$A2894)=1,1,0))</f>
        <v/>
      </c>
      <c r="V2894">
        <f>IF($U2894=1,SUMPRODUCT(--($X$2:$X$3001&lt;$X2894))+1,"")</f>
        <v/>
      </c>
      <c r="W2894">
        <f>IF($A2894="","",IF(OR($T2894=TRUE(),$T2894="TRUE"),1,0))</f>
        <v/>
      </c>
      <c r="X2894">
        <f>IF($U2894=1,IFERROR(IF(VALUE($A2894)&lt;100000000,VALUE($A2894),1000000000),IFERROR(IF(VALUE(MID($A2894,2,20))&lt;100000000,VALUE(MID($A2894,2,20)),1000000000),1000000000))+ROW()/100000,"")</f>
        <v/>
      </c>
    </row>
    <row r="2895">
      <c r="F2895" s="7">
        <f>IF($A2895="","",E2895*N2895/100)</f>
        <v/>
      </c>
      <c r="J2895" s="7" t="n"/>
      <c r="K2895" s="7">
        <f>IF($A2895="","",S2895*N2895)</f>
        <v/>
      </c>
      <c r="L2895" s="7">
        <f>IF($A2895="","",N2895-K2895)</f>
        <v/>
      </c>
      <c r="M2895" s="7">
        <f>IF($A2895="","",L2895-F2895)</f>
        <v/>
      </c>
      <c r="N2895" s="7" t="n"/>
      <c r="Q2895" s="11" t="n"/>
      <c r="S2895">
        <f>IF($A2895="","",IF($W2895=1,Settings!$C$6,Settings!$C$7)*1)</f>
        <v/>
      </c>
      <c r="U2895">
        <f>IF($A2895="","",IF(COUNTIF($A$2:$A2895,$A2895)=1,1,0))</f>
        <v/>
      </c>
      <c r="V2895">
        <f>IF($U2895=1,SUMPRODUCT(--($X$2:$X$3001&lt;$X2895))+1,"")</f>
        <v/>
      </c>
      <c r="W2895">
        <f>IF($A2895="","",IF(OR($T2895=TRUE(),$T2895="TRUE"),1,0))</f>
        <v/>
      </c>
      <c r="X2895">
        <f>IF($U2895=1,IFERROR(IF(VALUE($A2895)&lt;100000000,VALUE($A2895),1000000000),IFERROR(IF(VALUE(MID($A2895,2,20))&lt;100000000,VALUE(MID($A2895,2,20)),1000000000),1000000000))+ROW()/100000,"")</f>
        <v/>
      </c>
    </row>
    <row r="2896">
      <c r="F2896" s="7">
        <f>IF($A2896="","",E2896*N2896/100)</f>
        <v/>
      </c>
      <c r="J2896" s="7" t="n"/>
      <c r="K2896" s="7">
        <f>IF($A2896="","",S2896*N2896)</f>
        <v/>
      </c>
      <c r="L2896" s="7">
        <f>IF($A2896="","",N2896-K2896)</f>
        <v/>
      </c>
      <c r="M2896" s="7">
        <f>IF($A2896="","",L2896-F2896)</f>
        <v/>
      </c>
      <c r="N2896" s="7" t="n"/>
      <c r="Q2896" s="11" t="n"/>
      <c r="S2896">
        <f>IF($A2896="","",IF($W2896=1,Settings!$C$6,Settings!$C$7)*1)</f>
        <v/>
      </c>
      <c r="U2896">
        <f>IF($A2896="","",IF(COUNTIF($A$2:$A2896,$A2896)=1,1,0))</f>
        <v/>
      </c>
      <c r="V2896">
        <f>IF($U2896=1,SUMPRODUCT(--($X$2:$X$3001&lt;$X2896))+1,"")</f>
        <v/>
      </c>
      <c r="W2896">
        <f>IF($A2896="","",IF(OR($T2896=TRUE(),$T2896="TRUE"),1,0))</f>
        <v/>
      </c>
      <c r="X2896">
        <f>IF($U2896=1,IFERROR(IF(VALUE($A2896)&lt;100000000,VALUE($A2896),1000000000),IFERROR(IF(VALUE(MID($A2896,2,20))&lt;100000000,VALUE(MID($A2896,2,20)),1000000000),1000000000))+ROW()/100000,"")</f>
        <v/>
      </c>
    </row>
    <row r="2897">
      <c r="F2897" s="7">
        <f>IF($A2897="","",E2897*N2897/100)</f>
        <v/>
      </c>
      <c r="J2897" s="7" t="n"/>
      <c r="K2897" s="7">
        <f>IF($A2897="","",S2897*N2897)</f>
        <v/>
      </c>
      <c r="L2897" s="7">
        <f>IF($A2897="","",N2897-K2897)</f>
        <v/>
      </c>
      <c r="M2897" s="7">
        <f>IF($A2897="","",L2897-F2897)</f>
        <v/>
      </c>
      <c r="N2897" s="7" t="n"/>
      <c r="Q2897" s="11" t="n"/>
      <c r="S2897">
        <f>IF($A2897="","",IF($W2897=1,Settings!$C$6,Settings!$C$7)*1)</f>
        <v/>
      </c>
      <c r="U2897">
        <f>IF($A2897="","",IF(COUNTIF($A$2:$A2897,$A2897)=1,1,0))</f>
        <v/>
      </c>
      <c r="V2897">
        <f>IF($U2897=1,SUMPRODUCT(--($X$2:$X$3001&lt;$X2897))+1,"")</f>
        <v/>
      </c>
      <c r="W2897">
        <f>IF($A2897="","",IF(OR($T2897=TRUE(),$T2897="TRUE"),1,0))</f>
        <v/>
      </c>
      <c r="X2897">
        <f>IF($U2897=1,IFERROR(IF(VALUE($A2897)&lt;100000000,VALUE($A2897),1000000000),IFERROR(IF(VALUE(MID($A2897,2,20))&lt;100000000,VALUE(MID($A2897,2,20)),1000000000),1000000000))+ROW()/100000,"")</f>
        <v/>
      </c>
    </row>
    <row r="2898">
      <c r="F2898" s="7">
        <f>IF($A2898="","",E2898*N2898/100)</f>
        <v/>
      </c>
      <c r="J2898" s="7" t="n"/>
      <c r="K2898" s="7">
        <f>IF($A2898="","",S2898*N2898)</f>
        <v/>
      </c>
      <c r="L2898" s="7">
        <f>IF($A2898="","",N2898-K2898)</f>
        <v/>
      </c>
      <c r="M2898" s="7">
        <f>IF($A2898="","",L2898-F2898)</f>
        <v/>
      </c>
      <c r="N2898" s="7" t="n"/>
      <c r="Q2898" s="11" t="n"/>
      <c r="S2898">
        <f>IF($A2898="","",IF($W2898=1,Settings!$C$6,Settings!$C$7)*1)</f>
        <v/>
      </c>
      <c r="U2898">
        <f>IF($A2898="","",IF(COUNTIF($A$2:$A2898,$A2898)=1,1,0))</f>
        <v/>
      </c>
      <c r="V2898">
        <f>IF($U2898=1,SUMPRODUCT(--($X$2:$X$3001&lt;$X2898))+1,"")</f>
        <v/>
      </c>
      <c r="W2898">
        <f>IF($A2898="","",IF(OR($T2898=TRUE(),$T2898="TRUE"),1,0))</f>
        <v/>
      </c>
      <c r="X2898">
        <f>IF($U2898=1,IFERROR(IF(VALUE($A2898)&lt;100000000,VALUE($A2898),1000000000),IFERROR(IF(VALUE(MID($A2898,2,20))&lt;100000000,VALUE(MID($A2898,2,20)),1000000000),1000000000))+ROW()/100000,"")</f>
        <v/>
      </c>
    </row>
    <row r="2899">
      <c r="F2899" s="7">
        <f>IF($A2899="","",E2899*N2899/100)</f>
        <v/>
      </c>
      <c r="J2899" s="7" t="n"/>
      <c r="K2899" s="7">
        <f>IF($A2899="","",S2899*N2899)</f>
        <v/>
      </c>
      <c r="L2899" s="7">
        <f>IF($A2899="","",N2899-K2899)</f>
        <v/>
      </c>
      <c r="M2899" s="7">
        <f>IF($A2899="","",L2899-F2899)</f>
        <v/>
      </c>
      <c r="N2899" s="7" t="n"/>
      <c r="Q2899" s="11" t="n"/>
      <c r="S2899">
        <f>IF($A2899="","",IF($W2899=1,Settings!$C$6,Settings!$C$7)*1)</f>
        <v/>
      </c>
      <c r="U2899">
        <f>IF($A2899="","",IF(COUNTIF($A$2:$A2899,$A2899)=1,1,0))</f>
        <v/>
      </c>
      <c r="V2899">
        <f>IF($U2899=1,SUMPRODUCT(--($X$2:$X$3001&lt;$X2899))+1,"")</f>
        <v/>
      </c>
      <c r="W2899">
        <f>IF($A2899="","",IF(OR($T2899=TRUE(),$T2899="TRUE"),1,0))</f>
        <v/>
      </c>
      <c r="X2899">
        <f>IF($U2899=1,IFERROR(IF(VALUE($A2899)&lt;100000000,VALUE($A2899),1000000000),IFERROR(IF(VALUE(MID($A2899,2,20))&lt;100000000,VALUE(MID($A2899,2,20)),1000000000),1000000000))+ROW()/100000,"")</f>
        <v/>
      </c>
    </row>
    <row r="2900">
      <c r="F2900" s="7">
        <f>IF($A2900="","",E2900*N2900/100)</f>
        <v/>
      </c>
      <c r="J2900" s="7" t="n"/>
      <c r="K2900" s="7">
        <f>IF($A2900="","",S2900*N2900)</f>
        <v/>
      </c>
      <c r="L2900" s="7">
        <f>IF($A2900="","",N2900-K2900)</f>
        <v/>
      </c>
      <c r="M2900" s="7">
        <f>IF($A2900="","",L2900-F2900)</f>
        <v/>
      </c>
      <c r="N2900" s="7" t="n"/>
      <c r="Q2900" s="11" t="n"/>
      <c r="S2900">
        <f>IF($A2900="","",IF($W2900=1,Settings!$C$6,Settings!$C$7)*1)</f>
        <v/>
      </c>
      <c r="U2900">
        <f>IF($A2900="","",IF(COUNTIF($A$2:$A2900,$A2900)=1,1,0))</f>
        <v/>
      </c>
      <c r="V2900">
        <f>IF($U2900=1,SUMPRODUCT(--($X$2:$X$3001&lt;$X2900))+1,"")</f>
        <v/>
      </c>
      <c r="W2900">
        <f>IF($A2900="","",IF(OR($T2900=TRUE(),$T2900="TRUE"),1,0))</f>
        <v/>
      </c>
      <c r="X2900">
        <f>IF($U2900=1,IFERROR(IF(VALUE($A2900)&lt;100000000,VALUE($A2900),1000000000),IFERROR(IF(VALUE(MID($A2900,2,20))&lt;100000000,VALUE(MID($A2900,2,20)),1000000000),1000000000))+ROW()/100000,"")</f>
        <v/>
      </c>
    </row>
    <row r="2901">
      <c r="F2901" s="7">
        <f>IF($A2901="","",E2901*N2901/100)</f>
        <v/>
      </c>
      <c r="J2901" s="7" t="n"/>
      <c r="K2901" s="7">
        <f>IF($A2901="","",S2901*N2901)</f>
        <v/>
      </c>
      <c r="L2901" s="7">
        <f>IF($A2901="","",N2901-K2901)</f>
        <v/>
      </c>
      <c r="M2901" s="7">
        <f>IF($A2901="","",L2901-F2901)</f>
        <v/>
      </c>
      <c r="N2901" s="7" t="n"/>
      <c r="Q2901" s="11" t="n"/>
      <c r="S2901">
        <f>IF($A2901="","",IF($W2901=1,Settings!$C$6,Settings!$C$7)*1)</f>
        <v/>
      </c>
      <c r="U2901">
        <f>IF($A2901="","",IF(COUNTIF($A$2:$A2901,$A2901)=1,1,0))</f>
        <v/>
      </c>
      <c r="V2901">
        <f>IF($U2901=1,SUMPRODUCT(--($X$2:$X$3001&lt;$X2901))+1,"")</f>
        <v/>
      </c>
      <c r="W2901">
        <f>IF($A2901="","",IF(OR($T2901=TRUE(),$T2901="TRUE"),1,0))</f>
        <v/>
      </c>
      <c r="X2901">
        <f>IF($U2901=1,IFERROR(IF(VALUE($A2901)&lt;100000000,VALUE($A2901),1000000000),IFERROR(IF(VALUE(MID($A2901,2,20))&lt;100000000,VALUE(MID($A2901,2,20)),1000000000),1000000000))+ROW()/100000,"")</f>
        <v/>
      </c>
    </row>
    <row r="2902">
      <c r="F2902" s="7">
        <f>IF($A2902="","",E2902*N2902/100)</f>
        <v/>
      </c>
      <c r="J2902" s="7" t="n"/>
      <c r="K2902" s="7">
        <f>IF($A2902="","",S2902*N2902)</f>
        <v/>
      </c>
      <c r="L2902" s="7">
        <f>IF($A2902="","",N2902-K2902)</f>
        <v/>
      </c>
      <c r="M2902" s="7">
        <f>IF($A2902="","",L2902-F2902)</f>
        <v/>
      </c>
      <c r="N2902" s="7" t="n"/>
      <c r="Q2902" s="11" t="n"/>
      <c r="S2902">
        <f>IF($A2902="","",IF($W2902=1,Settings!$C$6,Settings!$C$7)*1)</f>
        <v/>
      </c>
      <c r="U2902">
        <f>IF($A2902="","",IF(COUNTIF($A$2:$A2902,$A2902)=1,1,0))</f>
        <v/>
      </c>
      <c r="V2902">
        <f>IF($U2902=1,SUMPRODUCT(--($X$2:$X$3001&lt;$X2902))+1,"")</f>
        <v/>
      </c>
      <c r="W2902">
        <f>IF($A2902="","",IF(OR($T2902=TRUE(),$T2902="TRUE"),1,0))</f>
        <v/>
      </c>
      <c r="X2902">
        <f>IF($U2902=1,IFERROR(IF(VALUE($A2902)&lt;100000000,VALUE($A2902),1000000000),IFERROR(IF(VALUE(MID($A2902,2,20))&lt;100000000,VALUE(MID($A2902,2,20)),1000000000),1000000000))+ROW()/100000,"")</f>
        <v/>
      </c>
    </row>
    <row r="2903">
      <c r="F2903" s="7">
        <f>IF($A2903="","",E2903*N2903/100)</f>
        <v/>
      </c>
      <c r="J2903" s="7" t="n"/>
      <c r="K2903" s="7">
        <f>IF($A2903="","",S2903*N2903)</f>
        <v/>
      </c>
      <c r="L2903" s="7">
        <f>IF($A2903="","",N2903-K2903)</f>
        <v/>
      </c>
      <c r="M2903" s="7">
        <f>IF($A2903="","",L2903-F2903)</f>
        <v/>
      </c>
      <c r="N2903" s="7" t="n"/>
      <c r="Q2903" s="11" t="n"/>
      <c r="S2903">
        <f>IF($A2903="","",IF($W2903=1,Settings!$C$6,Settings!$C$7)*1)</f>
        <v/>
      </c>
      <c r="U2903">
        <f>IF($A2903="","",IF(COUNTIF($A$2:$A2903,$A2903)=1,1,0))</f>
        <v/>
      </c>
      <c r="V2903">
        <f>IF($U2903=1,SUMPRODUCT(--($X$2:$X$3001&lt;$X2903))+1,"")</f>
        <v/>
      </c>
      <c r="W2903">
        <f>IF($A2903="","",IF(OR($T2903=TRUE(),$T2903="TRUE"),1,0))</f>
        <v/>
      </c>
      <c r="X2903">
        <f>IF($U2903=1,IFERROR(IF(VALUE($A2903)&lt;100000000,VALUE($A2903),1000000000),IFERROR(IF(VALUE(MID($A2903,2,20))&lt;100000000,VALUE(MID($A2903,2,20)),1000000000),1000000000))+ROW()/100000,"")</f>
        <v/>
      </c>
    </row>
    <row r="2904">
      <c r="F2904" s="7">
        <f>IF($A2904="","",E2904*N2904/100)</f>
        <v/>
      </c>
      <c r="J2904" s="7" t="n"/>
      <c r="K2904" s="7">
        <f>IF($A2904="","",S2904*N2904)</f>
        <v/>
      </c>
      <c r="L2904" s="7">
        <f>IF($A2904="","",N2904-K2904)</f>
        <v/>
      </c>
      <c r="M2904" s="7">
        <f>IF($A2904="","",L2904-F2904)</f>
        <v/>
      </c>
      <c r="N2904" s="7" t="n"/>
      <c r="Q2904" s="11" t="n"/>
      <c r="S2904">
        <f>IF($A2904="","",IF($W2904=1,Settings!$C$6,Settings!$C$7)*1)</f>
        <v/>
      </c>
      <c r="U2904">
        <f>IF($A2904="","",IF(COUNTIF($A$2:$A2904,$A2904)=1,1,0))</f>
        <v/>
      </c>
      <c r="V2904">
        <f>IF($U2904=1,SUMPRODUCT(--($X$2:$X$3001&lt;$X2904))+1,"")</f>
        <v/>
      </c>
      <c r="W2904">
        <f>IF($A2904="","",IF(OR($T2904=TRUE(),$T2904="TRUE"),1,0))</f>
        <v/>
      </c>
      <c r="X2904">
        <f>IF($U2904=1,IFERROR(IF(VALUE($A2904)&lt;100000000,VALUE($A2904),1000000000),IFERROR(IF(VALUE(MID($A2904,2,20))&lt;100000000,VALUE(MID($A2904,2,20)),1000000000),1000000000))+ROW()/100000,"")</f>
        <v/>
      </c>
    </row>
    <row r="2905">
      <c r="F2905" s="7">
        <f>IF($A2905="","",E2905*N2905/100)</f>
        <v/>
      </c>
      <c r="J2905" s="7" t="n"/>
      <c r="K2905" s="7">
        <f>IF($A2905="","",S2905*N2905)</f>
        <v/>
      </c>
      <c r="L2905" s="7">
        <f>IF($A2905="","",N2905-K2905)</f>
        <v/>
      </c>
      <c r="M2905" s="7">
        <f>IF($A2905="","",L2905-F2905)</f>
        <v/>
      </c>
      <c r="N2905" s="7" t="n"/>
      <c r="Q2905" s="11" t="n"/>
      <c r="S2905">
        <f>IF($A2905="","",IF($W2905=1,Settings!$C$6,Settings!$C$7)*1)</f>
        <v/>
      </c>
      <c r="U2905">
        <f>IF($A2905="","",IF(COUNTIF($A$2:$A2905,$A2905)=1,1,0))</f>
        <v/>
      </c>
      <c r="V2905">
        <f>IF($U2905=1,SUMPRODUCT(--($X$2:$X$3001&lt;$X2905))+1,"")</f>
        <v/>
      </c>
      <c r="W2905">
        <f>IF($A2905="","",IF(OR($T2905=TRUE(),$T2905="TRUE"),1,0))</f>
        <v/>
      </c>
      <c r="X2905">
        <f>IF($U2905=1,IFERROR(IF(VALUE($A2905)&lt;100000000,VALUE($A2905),1000000000),IFERROR(IF(VALUE(MID($A2905,2,20))&lt;100000000,VALUE(MID($A2905,2,20)),1000000000),1000000000))+ROW()/100000,"")</f>
        <v/>
      </c>
    </row>
    <row r="2906">
      <c r="F2906" s="7">
        <f>IF($A2906="","",E2906*N2906/100)</f>
        <v/>
      </c>
      <c r="J2906" s="7" t="n"/>
      <c r="K2906" s="7">
        <f>IF($A2906="","",S2906*N2906)</f>
        <v/>
      </c>
      <c r="L2906" s="7">
        <f>IF($A2906="","",N2906-K2906)</f>
        <v/>
      </c>
      <c r="M2906" s="7">
        <f>IF($A2906="","",L2906-F2906)</f>
        <v/>
      </c>
      <c r="N2906" s="7" t="n"/>
      <c r="Q2906" s="11" t="n"/>
      <c r="S2906">
        <f>IF($A2906="","",IF($W2906=1,Settings!$C$6,Settings!$C$7)*1)</f>
        <v/>
      </c>
      <c r="U2906">
        <f>IF($A2906="","",IF(COUNTIF($A$2:$A2906,$A2906)=1,1,0))</f>
        <v/>
      </c>
      <c r="V2906">
        <f>IF($U2906=1,SUMPRODUCT(--($X$2:$X$3001&lt;$X2906))+1,"")</f>
        <v/>
      </c>
      <c r="W2906">
        <f>IF($A2906="","",IF(OR($T2906=TRUE(),$T2906="TRUE"),1,0))</f>
        <v/>
      </c>
      <c r="X2906">
        <f>IF($U2906=1,IFERROR(IF(VALUE($A2906)&lt;100000000,VALUE($A2906),1000000000),IFERROR(IF(VALUE(MID($A2906,2,20))&lt;100000000,VALUE(MID($A2906,2,20)),1000000000),1000000000))+ROW()/100000,"")</f>
        <v/>
      </c>
    </row>
    <row r="2907">
      <c r="F2907" s="7">
        <f>IF($A2907="","",E2907*N2907/100)</f>
        <v/>
      </c>
      <c r="J2907" s="7" t="n"/>
      <c r="K2907" s="7">
        <f>IF($A2907="","",S2907*N2907)</f>
        <v/>
      </c>
      <c r="L2907" s="7">
        <f>IF($A2907="","",N2907-K2907)</f>
        <v/>
      </c>
      <c r="M2907" s="7">
        <f>IF($A2907="","",L2907-F2907)</f>
        <v/>
      </c>
      <c r="N2907" s="7" t="n"/>
      <c r="Q2907" s="11" t="n"/>
      <c r="S2907">
        <f>IF($A2907="","",IF($W2907=1,Settings!$C$6,Settings!$C$7)*1)</f>
        <v/>
      </c>
      <c r="U2907">
        <f>IF($A2907="","",IF(COUNTIF($A$2:$A2907,$A2907)=1,1,0))</f>
        <v/>
      </c>
      <c r="V2907">
        <f>IF($U2907=1,SUMPRODUCT(--($X$2:$X$3001&lt;$X2907))+1,"")</f>
        <v/>
      </c>
      <c r="W2907">
        <f>IF($A2907="","",IF(OR($T2907=TRUE(),$T2907="TRUE"),1,0))</f>
        <v/>
      </c>
      <c r="X2907">
        <f>IF($U2907=1,IFERROR(IF(VALUE($A2907)&lt;100000000,VALUE($A2907),1000000000),IFERROR(IF(VALUE(MID($A2907,2,20))&lt;100000000,VALUE(MID($A2907,2,20)),1000000000),1000000000))+ROW()/100000,"")</f>
        <v/>
      </c>
    </row>
    <row r="2908">
      <c r="F2908" s="7">
        <f>IF($A2908="","",E2908*N2908/100)</f>
        <v/>
      </c>
      <c r="J2908" s="7" t="n"/>
      <c r="K2908" s="7">
        <f>IF($A2908="","",S2908*N2908)</f>
        <v/>
      </c>
      <c r="L2908" s="7">
        <f>IF($A2908="","",N2908-K2908)</f>
        <v/>
      </c>
      <c r="M2908" s="7">
        <f>IF($A2908="","",L2908-F2908)</f>
        <v/>
      </c>
      <c r="N2908" s="7" t="n"/>
      <c r="Q2908" s="11" t="n"/>
      <c r="S2908">
        <f>IF($A2908="","",IF($W2908=1,Settings!$C$6,Settings!$C$7)*1)</f>
        <v/>
      </c>
      <c r="U2908">
        <f>IF($A2908="","",IF(COUNTIF($A$2:$A2908,$A2908)=1,1,0))</f>
        <v/>
      </c>
      <c r="V2908">
        <f>IF($U2908=1,SUMPRODUCT(--($X$2:$X$3001&lt;$X2908))+1,"")</f>
        <v/>
      </c>
      <c r="W2908">
        <f>IF($A2908="","",IF(OR($T2908=TRUE(),$T2908="TRUE"),1,0))</f>
        <v/>
      </c>
      <c r="X2908">
        <f>IF($U2908=1,IFERROR(IF(VALUE($A2908)&lt;100000000,VALUE($A2908),1000000000),IFERROR(IF(VALUE(MID($A2908,2,20))&lt;100000000,VALUE(MID($A2908,2,20)),1000000000),1000000000))+ROW()/100000,"")</f>
        <v/>
      </c>
    </row>
    <row r="2909">
      <c r="F2909" s="7">
        <f>IF($A2909="","",E2909*N2909/100)</f>
        <v/>
      </c>
      <c r="J2909" s="7" t="n"/>
      <c r="K2909" s="7">
        <f>IF($A2909="","",S2909*N2909)</f>
        <v/>
      </c>
      <c r="L2909" s="7">
        <f>IF($A2909="","",N2909-K2909)</f>
        <v/>
      </c>
      <c r="M2909" s="7">
        <f>IF($A2909="","",L2909-F2909)</f>
        <v/>
      </c>
      <c r="N2909" s="7" t="n"/>
      <c r="Q2909" s="11" t="n"/>
      <c r="S2909">
        <f>IF($A2909="","",IF($W2909=1,Settings!$C$6,Settings!$C$7)*1)</f>
        <v/>
      </c>
      <c r="U2909">
        <f>IF($A2909="","",IF(COUNTIF($A$2:$A2909,$A2909)=1,1,0))</f>
        <v/>
      </c>
      <c r="V2909">
        <f>IF($U2909=1,SUMPRODUCT(--($X$2:$X$3001&lt;$X2909))+1,"")</f>
        <v/>
      </c>
      <c r="W2909">
        <f>IF($A2909="","",IF(OR($T2909=TRUE(),$T2909="TRUE"),1,0))</f>
        <v/>
      </c>
      <c r="X2909">
        <f>IF($U2909=1,IFERROR(IF(VALUE($A2909)&lt;100000000,VALUE($A2909),1000000000),IFERROR(IF(VALUE(MID($A2909,2,20))&lt;100000000,VALUE(MID($A2909,2,20)),1000000000),1000000000))+ROW()/100000,"")</f>
        <v/>
      </c>
    </row>
    <row r="2910">
      <c r="F2910" s="7">
        <f>IF($A2910="","",E2910*N2910/100)</f>
        <v/>
      </c>
      <c r="J2910" s="7" t="n"/>
      <c r="K2910" s="7">
        <f>IF($A2910="","",S2910*N2910)</f>
        <v/>
      </c>
      <c r="L2910" s="7">
        <f>IF($A2910="","",N2910-K2910)</f>
        <v/>
      </c>
      <c r="M2910" s="7">
        <f>IF($A2910="","",L2910-F2910)</f>
        <v/>
      </c>
      <c r="N2910" s="7" t="n"/>
      <c r="Q2910" s="11" t="n"/>
      <c r="S2910">
        <f>IF($A2910="","",IF($W2910=1,Settings!$C$6,Settings!$C$7)*1)</f>
        <v/>
      </c>
      <c r="U2910">
        <f>IF($A2910="","",IF(COUNTIF($A$2:$A2910,$A2910)=1,1,0))</f>
        <v/>
      </c>
      <c r="V2910">
        <f>IF($U2910=1,SUMPRODUCT(--($X$2:$X$3001&lt;$X2910))+1,"")</f>
        <v/>
      </c>
      <c r="W2910">
        <f>IF($A2910="","",IF(OR($T2910=TRUE(),$T2910="TRUE"),1,0))</f>
        <v/>
      </c>
      <c r="X2910">
        <f>IF($U2910=1,IFERROR(IF(VALUE($A2910)&lt;100000000,VALUE($A2910),1000000000),IFERROR(IF(VALUE(MID($A2910,2,20))&lt;100000000,VALUE(MID($A2910,2,20)),1000000000),1000000000))+ROW()/100000,"")</f>
        <v/>
      </c>
    </row>
    <row r="2911">
      <c r="F2911" s="7">
        <f>IF($A2911="","",E2911*N2911/100)</f>
        <v/>
      </c>
      <c r="J2911" s="7" t="n"/>
      <c r="K2911" s="7">
        <f>IF($A2911="","",S2911*N2911)</f>
        <v/>
      </c>
      <c r="L2911" s="7">
        <f>IF($A2911="","",N2911-K2911)</f>
        <v/>
      </c>
      <c r="M2911" s="7">
        <f>IF($A2911="","",L2911-F2911)</f>
        <v/>
      </c>
      <c r="N2911" s="7" t="n"/>
      <c r="Q2911" s="11" t="n"/>
      <c r="S2911">
        <f>IF($A2911="","",IF($W2911=1,Settings!$C$6,Settings!$C$7)*1)</f>
        <v/>
      </c>
      <c r="U2911">
        <f>IF($A2911="","",IF(COUNTIF($A$2:$A2911,$A2911)=1,1,0))</f>
        <v/>
      </c>
      <c r="V2911">
        <f>IF($U2911=1,SUMPRODUCT(--($X$2:$X$3001&lt;$X2911))+1,"")</f>
        <v/>
      </c>
      <c r="W2911">
        <f>IF($A2911="","",IF(OR($T2911=TRUE(),$T2911="TRUE"),1,0))</f>
        <v/>
      </c>
      <c r="X2911">
        <f>IF($U2911=1,IFERROR(IF(VALUE($A2911)&lt;100000000,VALUE($A2911),1000000000),IFERROR(IF(VALUE(MID($A2911,2,20))&lt;100000000,VALUE(MID($A2911,2,20)),1000000000),1000000000))+ROW()/100000,"")</f>
        <v/>
      </c>
    </row>
    <row r="2912">
      <c r="F2912" s="7">
        <f>IF($A2912="","",E2912*N2912/100)</f>
        <v/>
      </c>
      <c r="J2912" s="7" t="n"/>
      <c r="K2912" s="7">
        <f>IF($A2912="","",S2912*N2912)</f>
        <v/>
      </c>
      <c r="L2912" s="7">
        <f>IF($A2912="","",N2912-K2912)</f>
        <v/>
      </c>
      <c r="M2912" s="7">
        <f>IF($A2912="","",L2912-F2912)</f>
        <v/>
      </c>
      <c r="N2912" s="7" t="n"/>
      <c r="Q2912" s="11" t="n"/>
      <c r="S2912">
        <f>IF($A2912="","",IF($W2912=1,Settings!$C$6,Settings!$C$7)*1)</f>
        <v/>
      </c>
      <c r="U2912">
        <f>IF($A2912="","",IF(COUNTIF($A$2:$A2912,$A2912)=1,1,0))</f>
        <v/>
      </c>
      <c r="V2912">
        <f>IF($U2912=1,SUMPRODUCT(--($X$2:$X$3001&lt;$X2912))+1,"")</f>
        <v/>
      </c>
      <c r="W2912">
        <f>IF($A2912="","",IF(OR($T2912=TRUE(),$T2912="TRUE"),1,0))</f>
        <v/>
      </c>
      <c r="X2912">
        <f>IF($U2912=1,IFERROR(IF(VALUE($A2912)&lt;100000000,VALUE($A2912),1000000000),IFERROR(IF(VALUE(MID($A2912,2,20))&lt;100000000,VALUE(MID($A2912,2,20)),1000000000),1000000000))+ROW()/100000,"")</f>
        <v/>
      </c>
    </row>
    <row r="2913">
      <c r="F2913" s="7">
        <f>IF($A2913="","",E2913*N2913/100)</f>
        <v/>
      </c>
      <c r="J2913" s="7" t="n"/>
      <c r="K2913" s="7">
        <f>IF($A2913="","",S2913*N2913)</f>
        <v/>
      </c>
      <c r="L2913" s="7">
        <f>IF($A2913="","",N2913-K2913)</f>
        <v/>
      </c>
      <c r="M2913" s="7">
        <f>IF($A2913="","",L2913-F2913)</f>
        <v/>
      </c>
      <c r="N2913" s="7" t="n"/>
      <c r="Q2913" s="11" t="n"/>
      <c r="S2913">
        <f>IF($A2913="","",IF($W2913=1,Settings!$C$6,Settings!$C$7)*1)</f>
        <v/>
      </c>
      <c r="U2913">
        <f>IF($A2913="","",IF(COUNTIF($A$2:$A2913,$A2913)=1,1,0))</f>
        <v/>
      </c>
      <c r="V2913">
        <f>IF($U2913=1,SUMPRODUCT(--($X$2:$X$3001&lt;$X2913))+1,"")</f>
        <v/>
      </c>
      <c r="W2913">
        <f>IF($A2913="","",IF(OR($T2913=TRUE(),$T2913="TRUE"),1,0))</f>
        <v/>
      </c>
      <c r="X2913">
        <f>IF($U2913=1,IFERROR(IF(VALUE($A2913)&lt;100000000,VALUE($A2913),1000000000),IFERROR(IF(VALUE(MID($A2913,2,20))&lt;100000000,VALUE(MID($A2913,2,20)),1000000000),1000000000))+ROW()/100000,"")</f>
        <v/>
      </c>
    </row>
    <row r="2914">
      <c r="F2914" s="7">
        <f>IF($A2914="","",E2914*N2914/100)</f>
        <v/>
      </c>
      <c r="J2914" s="7" t="n"/>
      <c r="K2914" s="7">
        <f>IF($A2914="","",S2914*N2914)</f>
        <v/>
      </c>
      <c r="L2914" s="7">
        <f>IF($A2914="","",N2914-K2914)</f>
        <v/>
      </c>
      <c r="M2914" s="7">
        <f>IF($A2914="","",L2914-F2914)</f>
        <v/>
      </c>
      <c r="N2914" s="7" t="n"/>
      <c r="Q2914" s="11" t="n"/>
      <c r="S2914">
        <f>IF($A2914="","",IF($W2914=1,Settings!$C$6,Settings!$C$7)*1)</f>
        <v/>
      </c>
      <c r="U2914">
        <f>IF($A2914="","",IF(COUNTIF($A$2:$A2914,$A2914)=1,1,0))</f>
        <v/>
      </c>
      <c r="V2914">
        <f>IF($U2914=1,SUMPRODUCT(--($X$2:$X$3001&lt;$X2914))+1,"")</f>
        <v/>
      </c>
      <c r="W2914">
        <f>IF($A2914="","",IF(OR($T2914=TRUE(),$T2914="TRUE"),1,0))</f>
        <v/>
      </c>
      <c r="X2914">
        <f>IF($U2914=1,IFERROR(IF(VALUE($A2914)&lt;100000000,VALUE($A2914),1000000000),IFERROR(IF(VALUE(MID($A2914,2,20))&lt;100000000,VALUE(MID($A2914,2,20)),1000000000),1000000000))+ROW()/100000,"")</f>
        <v/>
      </c>
    </row>
    <row r="2915">
      <c r="F2915" s="7">
        <f>IF($A2915="","",E2915*N2915/100)</f>
        <v/>
      </c>
      <c r="J2915" s="7" t="n"/>
      <c r="K2915" s="7">
        <f>IF($A2915="","",S2915*N2915)</f>
        <v/>
      </c>
      <c r="L2915" s="7">
        <f>IF($A2915="","",N2915-K2915)</f>
        <v/>
      </c>
      <c r="M2915" s="7">
        <f>IF($A2915="","",L2915-F2915)</f>
        <v/>
      </c>
      <c r="N2915" s="7" t="n"/>
      <c r="Q2915" s="11" t="n"/>
      <c r="S2915">
        <f>IF($A2915="","",IF($W2915=1,Settings!$C$6,Settings!$C$7)*1)</f>
        <v/>
      </c>
      <c r="U2915">
        <f>IF($A2915="","",IF(COUNTIF($A$2:$A2915,$A2915)=1,1,0))</f>
        <v/>
      </c>
      <c r="V2915">
        <f>IF($U2915=1,SUMPRODUCT(--($X$2:$X$3001&lt;$X2915))+1,"")</f>
        <v/>
      </c>
      <c r="W2915">
        <f>IF($A2915="","",IF(OR($T2915=TRUE(),$T2915="TRUE"),1,0))</f>
        <v/>
      </c>
      <c r="X2915">
        <f>IF($U2915=1,IFERROR(IF(VALUE($A2915)&lt;100000000,VALUE($A2915),1000000000),IFERROR(IF(VALUE(MID($A2915,2,20))&lt;100000000,VALUE(MID($A2915,2,20)),1000000000),1000000000))+ROW()/100000,"")</f>
        <v/>
      </c>
    </row>
    <row r="2916">
      <c r="F2916" s="7">
        <f>IF($A2916="","",E2916*N2916/100)</f>
        <v/>
      </c>
      <c r="J2916" s="7" t="n"/>
      <c r="K2916" s="7">
        <f>IF($A2916="","",S2916*N2916)</f>
        <v/>
      </c>
      <c r="L2916" s="7">
        <f>IF($A2916="","",N2916-K2916)</f>
        <v/>
      </c>
      <c r="M2916" s="7">
        <f>IF($A2916="","",L2916-F2916)</f>
        <v/>
      </c>
      <c r="N2916" s="7" t="n"/>
      <c r="Q2916" s="11" t="n"/>
      <c r="S2916">
        <f>IF($A2916="","",IF($W2916=1,Settings!$C$6,Settings!$C$7)*1)</f>
        <v/>
      </c>
      <c r="U2916">
        <f>IF($A2916="","",IF(COUNTIF($A$2:$A2916,$A2916)=1,1,0))</f>
        <v/>
      </c>
      <c r="V2916">
        <f>IF($U2916=1,SUMPRODUCT(--($X$2:$X$3001&lt;$X2916))+1,"")</f>
        <v/>
      </c>
      <c r="W2916">
        <f>IF($A2916="","",IF(OR($T2916=TRUE(),$T2916="TRUE"),1,0))</f>
        <v/>
      </c>
      <c r="X2916">
        <f>IF($U2916=1,IFERROR(IF(VALUE($A2916)&lt;100000000,VALUE($A2916),1000000000),IFERROR(IF(VALUE(MID($A2916,2,20))&lt;100000000,VALUE(MID($A2916,2,20)),1000000000),1000000000))+ROW()/100000,"")</f>
        <v/>
      </c>
    </row>
    <row r="2917">
      <c r="F2917" s="7">
        <f>IF($A2917="","",E2917*N2917/100)</f>
        <v/>
      </c>
      <c r="J2917" s="7" t="n"/>
      <c r="K2917" s="7">
        <f>IF($A2917="","",S2917*N2917)</f>
        <v/>
      </c>
      <c r="L2917" s="7">
        <f>IF($A2917="","",N2917-K2917)</f>
        <v/>
      </c>
      <c r="M2917" s="7">
        <f>IF($A2917="","",L2917-F2917)</f>
        <v/>
      </c>
      <c r="N2917" s="7" t="n"/>
      <c r="Q2917" s="11" t="n"/>
      <c r="S2917">
        <f>IF($A2917="","",IF($W2917=1,Settings!$C$6,Settings!$C$7)*1)</f>
        <v/>
      </c>
      <c r="U2917">
        <f>IF($A2917="","",IF(COUNTIF($A$2:$A2917,$A2917)=1,1,0))</f>
        <v/>
      </c>
      <c r="V2917">
        <f>IF($U2917=1,SUMPRODUCT(--($X$2:$X$3001&lt;$X2917))+1,"")</f>
        <v/>
      </c>
      <c r="W2917">
        <f>IF($A2917="","",IF(OR($T2917=TRUE(),$T2917="TRUE"),1,0))</f>
        <v/>
      </c>
      <c r="X2917">
        <f>IF($U2917=1,IFERROR(IF(VALUE($A2917)&lt;100000000,VALUE($A2917),1000000000),IFERROR(IF(VALUE(MID($A2917,2,20))&lt;100000000,VALUE(MID($A2917,2,20)),1000000000),1000000000))+ROW()/100000,"")</f>
        <v/>
      </c>
    </row>
    <row r="2918">
      <c r="F2918" s="7">
        <f>IF($A2918="","",E2918*N2918/100)</f>
        <v/>
      </c>
      <c r="J2918" s="7" t="n"/>
      <c r="K2918" s="7">
        <f>IF($A2918="","",S2918*N2918)</f>
        <v/>
      </c>
      <c r="L2918" s="7">
        <f>IF($A2918="","",N2918-K2918)</f>
        <v/>
      </c>
      <c r="M2918" s="7">
        <f>IF($A2918="","",L2918-F2918)</f>
        <v/>
      </c>
      <c r="N2918" s="7" t="n"/>
      <c r="Q2918" s="11" t="n"/>
      <c r="S2918">
        <f>IF($A2918="","",IF($W2918=1,Settings!$C$6,Settings!$C$7)*1)</f>
        <v/>
      </c>
      <c r="U2918">
        <f>IF($A2918="","",IF(COUNTIF($A$2:$A2918,$A2918)=1,1,0))</f>
        <v/>
      </c>
      <c r="V2918">
        <f>IF($U2918=1,SUMPRODUCT(--($X$2:$X$3001&lt;$X2918))+1,"")</f>
        <v/>
      </c>
      <c r="W2918">
        <f>IF($A2918="","",IF(OR($T2918=TRUE(),$T2918="TRUE"),1,0))</f>
        <v/>
      </c>
      <c r="X2918">
        <f>IF($U2918=1,IFERROR(IF(VALUE($A2918)&lt;100000000,VALUE($A2918),1000000000),IFERROR(IF(VALUE(MID($A2918,2,20))&lt;100000000,VALUE(MID($A2918,2,20)),1000000000),1000000000))+ROW()/100000,"")</f>
        <v/>
      </c>
    </row>
    <row r="2919">
      <c r="F2919" s="7">
        <f>IF($A2919="","",E2919*N2919/100)</f>
        <v/>
      </c>
      <c r="J2919" s="7" t="n"/>
      <c r="K2919" s="7">
        <f>IF($A2919="","",S2919*N2919)</f>
        <v/>
      </c>
      <c r="L2919" s="7">
        <f>IF($A2919="","",N2919-K2919)</f>
        <v/>
      </c>
      <c r="M2919" s="7">
        <f>IF($A2919="","",L2919-F2919)</f>
        <v/>
      </c>
      <c r="N2919" s="7" t="n"/>
      <c r="Q2919" s="11" t="n"/>
      <c r="S2919">
        <f>IF($A2919="","",IF($W2919=1,Settings!$C$6,Settings!$C$7)*1)</f>
        <v/>
      </c>
      <c r="U2919">
        <f>IF($A2919="","",IF(COUNTIF($A$2:$A2919,$A2919)=1,1,0))</f>
        <v/>
      </c>
      <c r="V2919">
        <f>IF($U2919=1,SUMPRODUCT(--($X$2:$X$3001&lt;$X2919))+1,"")</f>
        <v/>
      </c>
      <c r="W2919">
        <f>IF($A2919="","",IF(OR($T2919=TRUE(),$T2919="TRUE"),1,0))</f>
        <v/>
      </c>
      <c r="X2919">
        <f>IF($U2919=1,IFERROR(IF(VALUE($A2919)&lt;100000000,VALUE($A2919),1000000000),IFERROR(IF(VALUE(MID($A2919,2,20))&lt;100000000,VALUE(MID($A2919,2,20)),1000000000),1000000000))+ROW()/100000,"")</f>
        <v/>
      </c>
    </row>
    <row r="2920">
      <c r="F2920" s="7">
        <f>IF($A2920="","",E2920*N2920/100)</f>
        <v/>
      </c>
      <c r="J2920" s="7" t="n"/>
      <c r="K2920" s="7">
        <f>IF($A2920="","",S2920*N2920)</f>
        <v/>
      </c>
      <c r="L2920" s="7">
        <f>IF($A2920="","",N2920-K2920)</f>
        <v/>
      </c>
      <c r="M2920" s="7">
        <f>IF($A2920="","",L2920-F2920)</f>
        <v/>
      </c>
      <c r="N2920" s="7" t="n"/>
      <c r="Q2920" s="11" t="n"/>
      <c r="S2920">
        <f>IF($A2920="","",IF($W2920=1,Settings!$C$6,Settings!$C$7)*1)</f>
        <v/>
      </c>
      <c r="U2920">
        <f>IF($A2920="","",IF(COUNTIF($A$2:$A2920,$A2920)=1,1,0))</f>
        <v/>
      </c>
      <c r="V2920">
        <f>IF($U2920=1,SUMPRODUCT(--($X$2:$X$3001&lt;$X2920))+1,"")</f>
        <v/>
      </c>
      <c r="W2920">
        <f>IF($A2920="","",IF(OR($T2920=TRUE(),$T2920="TRUE"),1,0))</f>
        <v/>
      </c>
      <c r="X2920">
        <f>IF($U2920=1,IFERROR(IF(VALUE($A2920)&lt;100000000,VALUE($A2920),1000000000),IFERROR(IF(VALUE(MID($A2920,2,20))&lt;100000000,VALUE(MID($A2920,2,20)),1000000000),1000000000))+ROW()/100000,"")</f>
        <v/>
      </c>
    </row>
    <row r="2921">
      <c r="F2921" s="7">
        <f>IF($A2921="","",E2921*N2921/100)</f>
        <v/>
      </c>
      <c r="J2921" s="7" t="n"/>
      <c r="K2921" s="7">
        <f>IF($A2921="","",S2921*N2921)</f>
        <v/>
      </c>
      <c r="L2921" s="7">
        <f>IF($A2921="","",N2921-K2921)</f>
        <v/>
      </c>
      <c r="M2921" s="7">
        <f>IF($A2921="","",L2921-F2921)</f>
        <v/>
      </c>
      <c r="N2921" s="7" t="n"/>
      <c r="Q2921" s="11" t="n"/>
      <c r="S2921">
        <f>IF($A2921="","",IF($W2921=1,Settings!$C$6,Settings!$C$7)*1)</f>
        <v/>
      </c>
      <c r="U2921">
        <f>IF($A2921="","",IF(COUNTIF($A$2:$A2921,$A2921)=1,1,0))</f>
        <v/>
      </c>
      <c r="V2921">
        <f>IF($U2921=1,SUMPRODUCT(--($X$2:$X$3001&lt;$X2921))+1,"")</f>
        <v/>
      </c>
      <c r="W2921">
        <f>IF($A2921="","",IF(OR($T2921=TRUE(),$T2921="TRUE"),1,0))</f>
        <v/>
      </c>
      <c r="X2921">
        <f>IF($U2921=1,IFERROR(IF(VALUE($A2921)&lt;100000000,VALUE($A2921),1000000000),IFERROR(IF(VALUE(MID($A2921,2,20))&lt;100000000,VALUE(MID($A2921,2,20)),1000000000),1000000000))+ROW()/100000,"")</f>
        <v/>
      </c>
    </row>
    <row r="2922">
      <c r="F2922" s="7">
        <f>IF($A2922="","",E2922*N2922/100)</f>
        <v/>
      </c>
      <c r="J2922" s="7" t="n"/>
      <c r="K2922" s="7">
        <f>IF($A2922="","",S2922*N2922)</f>
        <v/>
      </c>
      <c r="L2922" s="7">
        <f>IF($A2922="","",N2922-K2922)</f>
        <v/>
      </c>
      <c r="M2922" s="7">
        <f>IF($A2922="","",L2922-F2922)</f>
        <v/>
      </c>
      <c r="N2922" s="7" t="n"/>
      <c r="Q2922" s="11" t="n"/>
      <c r="S2922">
        <f>IF($A2922="","",IF($W2922=1,Settings!$C$6,Settings!$C$7)*1)</f>
        <v/>
      </c>
      <c r="U2922">
        <f>IF($A2922="","",IF(COUNTIF($A$2:$A2922,$A2922)=1,1,0))</f>
        <v/>
      </c>
      <c r="V2922">
        <f>IF($U2922=1,SUMPRODUCT(--($X$2:$X$3001&lt;$X2922))+1,"")</f>
        <v/>
      </c>
      <c r="W2922">
        <f>IF($A2922="","",IF(OR($T2922=TRUE(),$T2922="TRUE"),1,0))</f>
        <v/>
      </c>
      <c r="X2922">
        <f>IF($U2922=1,IFERROR(IF(VALUE($A2922)&lt;100000000,VALUE($A2922),1000000000),IFERROR(IF(VALUE(MID($A2922,2,20))&lt;100000000,VALUE(MID($A2922,2,20)),1000000000),1000000000))+ROW()/100000,"")</f>
        <v/>
      </c>
    </row>
    <row r="2923">
      <c r="F2923" s="7">
        <f>IF($A2923="","",E2923*N2923/100)</f>
        <v/>
      </c>
      <c r="J2923" s="7" t="n"/>
      <c r="K2923" s="7">
        <f>IF($A2923="","",S2923*N2923)</f>
        <v/>
      </c>
      <c r="L2923" s="7">
        <f>IF($A2923="","",N2923-K2923)</f>
        <v/>
      </c>
      <c r="M2923" s="7">
        <f>IF($A2923="","",L2923-F2923)</f>
        <v/>
      </c>
      <c r="N2923" s="7" t="n"/>
      <c r="Q2923" s="11" t="n"/>
      <c r="S2923">
        <f>IF($A2923="","",IF($W2923=1,Settings!$C$6,Settings!$C$7)*1)</f>
        <v/>
      </c>
      <c r="U2923">
        <f>IF($A2923="","",IF(COUNTIF($A$2:$A2923,$A2923)=1,1,0))</f>
        <v/>
      </c>
      <c r="V2923">
        <f>IF($U2923=1,SUMPRODUCT(--($X$2:$X$3001&lt;$X2923))+1,"")</f>
        <v/>
      </c>
      <c r="W2923">
        <f>IF($A2923="","",IF(OR($T2923=TRUE(),$T2923="TRUE"),1,0))</f>
        <v/>
      </c>
      <c r="X2923">
        <f>IF($U2923=1,IFERROR(IF(VALUE($A2923)&lt;100000000,VALUE($A2923),1000000000),IFERROR(IF(VALUE(MID($A2923,2,20))&lt;100000000,VALUE(MID($A2923,2,20)),1000000000),1000000000))+ROW()/100000,"")</f>
        <v/>
      </c>
    </row>
    <row r="2924">
      <c r="F2924" s="7">
        <f>IF($A2924="","",E2924*N2924/100)</f>
        <v/>
      </c>
      <c r="J2924" s="7" t="n"/>
      <c r="K2924" s="7">
        <f>IF($A2924="","",S2924*N2924)</f>
        <v/>
      </c>
      <c r="L2924" s="7">
        <f>IF($A2924="","",N2924-K2924)</f>
        <v/>
      </c>
      <c r="M2924" s="7">
        <f>IF($A2924="","",L2924-F2924)</f>
        <v/>
      </c>
      <c r="N2924" s="7" t="n"/>
      <c r="Q2924" s="11" t="n"/>
      <c r="S2924">
        <f>IF($A2924="","",IF($W2924=1,Settings!$C$6,Settings!$C$7)*1)</f>
        <v/>
      </c>
      <c r="U2924">
        <f>IF($A2924="","",IF(COUNTIF($A$2:$A2924,$A2924)=1,1,0))</f>
        <v/>
      </c>
      <c r="V2924">
        <f>IF($U2924=1,SUMPRODUCT(--($X$2:$X$3001&lt;$X2924))+1,"")</f>
        <v/>
      </c>
      <c r="W2924">
        <f>IF($A2924="","",IF(OR($T2924=TRUE(),$T2924="TRUE"),1,0))</f>
        <v/>
      </c>
      <c r="X2924">
        <f>IF($U2924=1,IFERROR(IF(VALUE($A2924)&lt;100000000,VALUE($A2924),1000000000),IFERROR(IF(VALUE(MID($A2924,2,20))&lt;100000000,VALUE(MID($A2924,2,20)),1000000000),1000000000))+ROW()/100000,"")</f>
        <v/>
      </c>
    </row>
    <row r="2925">
      <c r="F2925" s="7">
        <f>IF($A2925="","",E2925*N2925/100)</f>
        <v/>
      </c>
      <c r="J2925" s="7" t="n"/>
      <c r="K2925" s="7">
        <f>IF($A2925="","",S2925*N2925)</f>
        <v/>
      </c>
      <c r="L2925" s="7">
        <f>IF($A2925="","",N2925-K2925)</f>
        <v/>
      </c>
      <c r="M2925" s="7">
        <f>IF($A2925="","",L2925-F2925)</f>
        <v/>
      </c>
      <c r="N2925" s="7" t="n"/>
      <c r="Q2925" s="11" t="n"/>
      <c r="S2925">
        <f>IF($A2925="","",IF($W2925=1,Settings!$C$6,Settings!$C$7)*1)</f>
        <v/>
      </c>
      <c r="U2925">
        <f>IF($A2925="","",IF(COUNTIF($A$2:$A2925,$A2925)=1,1,0))</f>
        <v/>
      </c>
      <c r="V2925">
        <f>IF($U2925=1,SUMPRODUCT(--($X$2:$X$3001&lt;$X2925))+1,"")</f>
        <v/>
      </c>
      <c r="W2925">
        <f>IF($A2925="","",IF(OR($T2925=TRUE(),$T2925="TRUE"),1,0))</f>
        <v/>
      </c>
      <c r="X2925">
        <f>IF($U2925=1,IFERROR(IF(VALUE($A2925)&lt;100000000,VALUE($A2925),1000000000),IFERROR(IF(VALUE(MID($A2925,2,20))&lt;100000000,VALUE(MID($A2925,2,20)),1000000000),1000000000))+ROW()/100000,"")</f>
        <v/>
      </c>
    </row>
    <row r="2926">
      <c r="F2926" s="7">
        <f>IF($A2926="","",E2926*N2926/100)</f>
        <v/>
      </c>
      <c r="J2926" s="7" t="n"/>
      <c r="K2926" s="7">
        <f>IF($A2926="","",S2926*N2926)</f>
        <v/>
      </c>
      <c r="L2926" s="7">
        <f>IF($A2926="","",N2926-K2926)</f>
        <v/>
      </c>
      <c r="M2926" s="7">
        <f>IF($A2926="","",L2926-F2926)</f>
        <v/>
      </c>
      <c r="N2926" s="7" t="n"/>
      <c r="Q2926" s="11" t="n"/>
      <c r="S2926">
        <f>IF($A2926="","",IF($W2926=1,Settings!$C$6,Settings!$C$7)*1)</f>
        <v/>
      </c>
      <c r="U2926">
        <f>IF($A2926="","",IF(COUNTIF($A$2:$A2926,$A2926)=1,1,0))</f>
        <v/>
      </c>
      <c r="V2926">
        <f>IF($U2926=1,SUMPRODUCT(--($X$2:$X$3001&lt;$X2926))+1,"")</f>
        <v/>
      </c>
      <c r="W2926">
        <f>IF($A2926="","",IF(OR($T2926=TRUE(),$T2926="TRUE"),1,0))</f>
        <v/>
      </c>
      <c r="X2926">
        <f>IF($U2926=1,IFERROR(IF(VALUE($A2926)&lt;100000000,VALUE($A2926),1000000000),IFERROR(IF(VALUE(MID($A2926,2,20))&lt;100000000,VALUE(MID($A2926,2,20)),1000000000),1000000000))+ROW()/100000,"")</f>
        <v/>
      </c>
    </row>
    <row r="2927">
      <c r="F2927" s="7">
        <f>IF($A2927="","",E2927*N2927/100)</f>
        <v/>
      </c>
      <c r="J2927" s="7" t="n"/>
      <c r="K2927" s="7">
        <f>IF($A2927="","",S2927*N2927)</f>
        <v/>
      </c>
      <c r="L2927" s="7">
        <f>IF($A2927="","",N2927-K2927)</f>
        <v/>
      </c>
      <c r="M2927" s="7">
        <f>IF($A2927="","",L2927-F2927)</f>
        <v/>
      </c>
      <c r="N2927" s="7" t="n"/>
      <c r="Q2927" s="11" t="n"/>
      <c r="S2927">
        <f>IF($A2927="","",IF($W2927=1,Settings!$C$6,Settings!$C$7)*1)</f>
        <v/>
      </c>
      <c r="U2927">
        <f>IF($A2927="","",IF(COUNTIF($A$2:$A2927,$A2927)=1,1,0))</f>
        <v/>
      </c>
      <c r="V2927">
        <f>IF($U2927=1,SUMPRODUCT(--($X$2:$X$3001&lt;$X2927))+1,"")</f>
        <v/>
      </c>
      <c r="W2927">
        <f>IF($A2927="","",IF(OR($T2927=TRUE(),$T2927="TRUE"),1,0))</f>
        <v/>
      </c>
      <c r="X2927">
        <f>IF($U2927=1,IFERROR(IF(VALUE($A2927)&lt;100000000,VALUE($A2927),1000000000),IFERROR(IF(VALUE(MID($A2927,2,20))&lt;100000000,VALUE(MID($A2927,2,20)),1000000000),1000000000))+ROW()/100000,"")</f>
        <v/>
      </c>
    </row>
    <row r="2928">
      <c r="F2928" s="7">
        <f>IF($A2928="","",E2928*N2928/100)</f>
        <v/>
      </c>
      <c r="J2928" s="7" t="n"/>
      <c r="K2928" s="7">
        <f>IF($A2928="","",S2928*N2928)</f>
        <v/>
      </c>
      <c r="L2928" s="7">
        <f>IF($A2928="","",N2928-K2928)</f>
        <v/>
      </c>
      <c r="M2928" s="7">
        <f>IF($A2928="","",L2928-F2928)</f>
        <v/>
      </c>
      <c r="N2928" s="7" t="n"/>
      <c r="Q2928" s="11" t="n"/>
      <c r="S2928">
        <f>IF($A2928="","",IF($W2928=1,Settings!$C$6,Settings!$C$7)*1)</f>
        <v/>
      </c>
      <c r="U2928">
        <f>IF($A2928="","",IF(COUNTIF($A$2:$A2928,$A2928)=1,1,0))</f>
        <v/>
      </c>
      <c r="V2928">
        <f>IF($U2928=1,SUMPRODUCT(--($X$2:$X$3001&lt;$X2928))+1,"")</f>
        <v/>
      </c>
      <c r="W2928">
        <f>IF($A2928="","",IF(OR($T2928=TRUE(),$T2928="TRUE"),1,0))</f>
        <v/>
      </c>
      <c r="X2928">
        <f>IF($U2928=1,IFERROR(IF(VALUE($A2928)&lt;100000000,VALUE($A2928),1000000000),IFERROR(IF(VALUE(MID($A2928,2,20))&lt;100000000,VALUE(MID($A2928,2,20)),1000000000),1000000000))+ROW()/100000,"")</f>
        <v/>
      </c>
    </row>
    <row r="2929">
      <c r="F2929" s="7">
        <f>IF($A2929="","",E2929*N2929/100)</f>
        <v/>
      </c>
      <c r="J2929" s="7" t="n"/>
      <c r="K2929" s="7">
        <f>IF($A2929="","",S2929*N2929)</f>
        <v/>
      </c>
      <c r="L2929" s="7">
        <f>IF($A2929="","",N2929-K2929)</f>
        <v/>
      </c>
      <c r="M2929" s="7">
        <f>IF($A2929="","",L2929-F2929)</f>
        <v/>
      </c>
      <c r="N2929" s="7" t="n"/>
      <c r="Q2929" s="11" t="n"/>
      <c r="S2929">
        <f>IF($A2929="","",IF($W2929=1,Settings!$C$6,Settings!$C$7)*1)</f>
        <v/>
      </c>
      <c r="U2929">
        <f>IF($A2929="","",IF(COUNTIF($A$2:$A2929,$A2929)=1,1,0))</f>
        <v/>
      </c>
      <c r="V2929">
        <f>IF($U2929=1,SUMPRODUCT(--($X$2:$X$3001&lt;$X2929))+1,"")</f>
        <v/>
      </c>
      <c r="W2929">
        <f>IF($A2929="","",IF(OR($T2929=TRUE(),$T2929="TRUE"),1,0))</f>
        <v/>
      </c>
      <c r="X2929">
        <f>IF($U2929=1,IFERROR(IF(VALUE($A2929)&lt;100000000,VALUE($A2929),1000000000),IFERROR(IF(VALUE(MID($A2929,2,20))&lt;100000000,VALUE(MID($A2929,2,20)),1000000000),1000000000))+ROW()/100000,"")</f>
        <v/>
      </c>
    </row>
    <row r="2930">
      <c r="F2930" s="7">
        <f>IF($A2930="","",E2930*N2930/100)</f>
        <v/>
      </c>
      <c r="J2930" s="7" t="n"/>
      <c r="K2930" s="7">
        <f>IF($A2930="","",S2930*N2930)</f>
        <v/>
      </c>
      <c r="L2930" s="7">
        <f>IF($A2930="","",N2930-K2930)</f>
        <v/>
      </c>
      <c r="M2930" s="7">
        <f>IF($A2930="","",L2930-F2930)</f>
        <v/>
      </c>
      <c r="N2930" s="7" t="n"/>
      <c r="Q2930" s="11" t="n"/>
      <c r="S2930">
        <f>IF($A2930="","",IF($W2930=1,Settings!$C$6,Settings!$C$7)*1)</f>
        <v/>
      </c>
      <c r="U2930">
        <f>IF($A2930="","",IF(COUNTIF($A$2:$A2930,$A2930)=1,1,0))</f>
        <v/>
      </c>
      <c r="V2930">
        <f>IF($U2930=1,SUMPRODUCT(--($X$2:$X$3001&lt;$X2930))+1,"")</f>
        <v/>
      </c>
      <c r="W2930">
        <f>IF($A2930="","",IF(OR($T2930=TRUE(),$T2930="TRUE"),1,0))</f>
        <v/>
      </c>
      <c r="X2930">
        <f>IF($U2930=1,IFERROR(IF(VALUE($A2930)&lt;100000000,VALUE($A2930),1000000000),IFERROR(IF(VALUE(MID($A2930,2,20))&lt;100000000,VALUE(MID($A2930,2,20)),1000000000),1000000000))+ROW()/100000,"")</f>
        <v/>
      </c>
    </row>
    <row r="2931">
      <c r="F2931" s="7">
        <f>IF($A2931="","",E2931*N2931/100)</f>
        <v/>
      </c>
      <c r="J2931" s="7" t="n"/>
      <c r="K2931" s="7">
        <f>IF($A2931="","",S2931*N2931)</f>
        <v/>
      </c>
      <c r="L2931" s="7">
        <f>IF($A2931="","",N2931-K2931)</f>
        <v/>
      </c>
      <c r="M2931" s="7">
        <f>IF($A2931="","",L2931-F2931)</f>
        <v/>
      </c>
      <c r="N2931" s="7" t="n"/>
      <c r="Q2931" s="11" t="n"/>
      <c r="S2931">
        <f>IF($A2931="","",IF($W2931=1,Settings!$C$6,Settings!$C$7)*1)</f>
        <v/>
      </c>
      <c r="U2931">
        <f>IF($A2931="","",IF(COUNTIF($A$2:$A2931,$A2931)=1,1,0))</f>
        <v/>
      </c>
      <c r="V2931">
        <f>IF($U2931=1,SUMPRODUCT(--($X$2:$X$3001&lt;$X2931))+1,"")</f>
        <v/>
      </c>
      <c r="W2931">
        <f>IF($A2931="","",IF(OR($T2931=TRUE(),$T2931="TRUE"),1,0))</f>
        <v/>
      </c>
      <c r="X2931">
        <f>IF($U2931=1,IFERROR(IF(VALUE($A2931)&lt;100000000,VALUE($A2931),1000000000),IFERROR(IF(VALUE(MID($A2931,2,20))&lt;100000000,VALUE(MID($A2931,2,20)),1000000000),1000000000))+ROW()/100000,"")</f>
        <v/>
      </c>
    </row>
    <row r="2932">
      <c r="F2932" s="7">
        <f>IF($A2932="","",E2932*N2932/100)</f>
        <v/>
      </c>
      <c r="J2932" s="7" t="n"/>
      <c r="K2932" s="7">
        <f>IF($A2932="","",S2932*N2932)</f>
        <v/>
      </c>
      <c r="L2932" s="7">
        <f>IF($A2932="","",N2932-K2932)</f>
        <v/>
      </c>
      <c r="M2932" s="7">
        <f>IF($A2932="","",L2932-F2932)</f>
        <v/>
      </c>
      <c r="N2932" s="7" t="n"/>
      <c r="Q2932" s="11" t="n"/>
      <c r="S2932">
        <f>IF($A2932="","",IF($W2932=1,Settings!$C$6,Settings!$C$7)*1)</f>
        <v/>
      </c>
      <c r="U2932">
        <f>IF($A2932="","",IF(COUNTIF($A$2:$A2932,$A2932)=1,1,0))</f>
        <v/>
      </c>
      <c r="V2932">
        <f>IF($U2932=1,SUMPRODUCT(--($X$2:$X$3001&lt;$X2932))+1,"")</f>
        <v/>
      </c>
      <c r="W2932">
        <f>IF($A2932="","",IF(OR($T2932=TRUE(),$T2932="TRUE"),1,0))</f>
        <v/>
      </c>
      <c r="X2932">
        <f>IF($U2932=1,IFERROR(IF(VALUE($A2932)&lt;100000000,VALUE($A2932),1000000000),IFERROR(IF(VALUE(MID($A2932,2,20))&lt;100000000,VALUE(MID($A2932,2,20)),1000000000),1000000000))+ROW()/100000,"")</f>
        <v/>
      </c>
    </row>
    <row r="2933">
      <c r="F2933" s="7">
        <f>IF($A2933="","",E2933*N2933/100)</f>
        <v/>
      </c>
      <c r="J2933" s="7" t="n"/>
      <c r="K2933" s="7">
        <f>IF($A2933="","",S2933*N2933)</f>
        <v/>
      </c>
      <c r="L2933" s="7">
        <f>IF($A2933="","",N2933-K2933)</f>
        <v/>
      </c>
      <c r="M2933" s="7">
        <f>IF($A2933="","",L2933-F2933)</f>
        <v/>
      </c>
      <c r="N2933" s="7" t="n"/>
      <c r="Q2933" s="11" t="n"/>
      <c r="S2933">
        <f>IF($A2933="","",IF($W2933=1,Settings!$C$6,Settings!$C$7)*1)</f>
        <v/>
      </c>
      <c r="U2933">
        <f>IF($A2933="","",IF(COUNTIF($A$2:$A2933,$A2933)=1,1,0))</f>
        <v/>
      </c>
      <c r="V2933">
        <f>IF($U2933=1,SUMPRODUCT(--($X$2:$X$3001&lt;$X2933))+1,"")</f>
        <v/>
      </c>
      <c r="W2933">
        <f>IF($A2933="","",IF(OR($T2933=TRUE(),$T2933="TRUE"),1,0))</f>
        <v/>
      </c>
      <c r="X2933">
        <f>IF($U2933=1,IFERROR(IF(VALUE($A2933)&lt;100000000,VALUE($A2933),1000000000),IFERROR(IF(VALUE(MID($A2933,2,20))&lt;100000000,VALUE(MID($A2933,2,20)),1000000000),1000000000))+ROW()/100000,"")</f>
        <v/>
      </c>
    </row>
    <row r="2934">
      <c r="F2934" s="7">
        <f>IF($A2934="","",E2934*N2934/100)</f>
        <v/>
      </c>
      <c r="J2934" s="7" t="n"/>
      <c r="K2934" s="7">
        <f>IF($A2934="","",S2934*N2934)</f>
        <v/>
      </c>
      <c r="L2934" s="7">
        <f>IF($A2934="","",N2934-K2934)</f>
        <v/>
      </c>
      <c r="M2934" s="7">
        <f>IF($A2934="","",L2934-F2934)</f>
        <v/>
      </c>
      <c r="N2934" s="7" t="n"/>
      <c r="Q2934" s="11" t="n"/>
      <c r="S2934">
        <f>IF($A2934="","",IF($W2934=1,Settings!$C$6,Settings!$C$7)*1)</f>
        <v/>
      </c>
      <c r="U2934">
        <f>IF($A2934="","",IF(COUNTIF($A$2:$A2934,$A2934)=1,1,0))</f>
        <v/>
      </c>
      <c r="V2934">
        <f>IF($U2934=1,SUMPRODUCT(--($X$2:$X$3001&lt;$X2934))+1,"")</f>
        <v/>
      </c>
      <c r="W2934">
        <f>IF($A2934="","",IF(OR($T2934=TRUE(),$T2934="TRUE"),1,0))</f>
        <v/>
      </c>
      <c r="X2934">
        <f>IF($U2934=1,IFERROR(IF(VALUE($A2934)&lt;100000000,VALUE($A2934),1000000000),IFERROR(IF(VALUE(MID($A2934,2,20))&lt;100000000,VALUE(MID($A2934,2,20)),1000000000),1000000000))+ROW()/100000,"")</f>
        <v/>
      </c>
    </row>
    <row r="2935">
      <c r="F2935" s="7">
        <f>IF($A2935="","",E2935*N2935/100)</f>
        <v/>
      </c>
      <c r="J2935" s="7" t="n"/>
      <c r="K2935" s="7">
        <f>IF($A2935="","",S2935*N2935)</f>
        <v/>
      </c>
      <c r="L2935" s="7">
        <f>IF($A2935="","",N2935-K2935)</f>
        <v/>
      </c>
      <c r="M2935" s="7">
        <f>IF($A2935="","",L2935-F2935)</f>
        <v/>
      </c>
      <c r="N2935" s="7" t="n"/>
      <c r="Q2935" s="11" t="n"/>
      <c r="S2935">
        <f>IF($A2935="","",IF($W2935=1,Settings!$C$6,Settings!$C$7)*1)</f>
        <v/>
      </c>
      <c r="U2935">
        <f>IF($A2935="","",IF(COUNTIF($A$2:$A2935,$A2935)=1,1,0))</f>
        <v/>
      </c>
      <c r="V2935">
        <f>IF($U2935=1,SUMPRODUCT(--($X$2:$X$3001&lt;$X2935))+1,"")</f>
        <v/>
      </c>
      <c r="W2935">
        <f>IF($A2935="","",IF(OR($T2935=TRUE(),$T2935="TRUE"),1,0))</f>
        <v/>
      </c>
      <c r="X2935">
        <f>IF($U2935=1,IFERROR(IF(VALUE($A2935)&lt;100000000,VALUE($A2935),1000000000),IFERROR(IF(VALUE(MID($A2935,2,20))&lt;100000000,VALUE(MID($A2935,2,20)),1000000000),1000000000))+ROW()/100000,"")</f>
        <v/>
      </c>
    </row>
    <row r="2936">
      <c r="F2936" s="7">
        <f>IF($A2936="","",E2936*N2936/100)</f>
        <v/>
      </c>
      <c r="J2936" s="7" t="n"/>
      <c r="K2936" s="7">
        <f>IF($A2936="","",S2936*N2936)</f>
        <v/>
      </c>
      <c r="L2936" s="7">
        <f>IF($A2936="","",N2936-K2936)</f>
        <v/>
      </c>
      <c r="M2936" s="7">
        <f>IF($A2936="","",L2936-F2936)</f>
        <v/>
      </c>
      <c r="N2936" s="7" t="n"/>
      <c r="Q2936" s="11" t="n"/>
      <c r="S2936">
        <f>IF($A2936="","",IF($W2936=1,Settings!$C$6,Settings!$C$7)*1)</f>
        <v/>
      </c>
      <c r="U2936">
        <f>IF($A2936="","",IF(COUNTIF($A$2:$A2936,$A2936)=1,1,0))</f>
        <v/>
      </c>
      <c r="V2936">
        <f>IF($U2936=1,SUMPRODUCT(--($X$2:$X$3001&lt;$X2936))+1,"")</f>
        <v/>
      </c>
      <c r="W2936">
        <f>IF($A2936="","",IF(OR($T2936=TRUE(),$T2936="TRUE"),1,0))</f>
        <v/>
      </c>
      <c r="X2936">
        <f>IF($U2936=1,IFERROR(IF(VALUE($A2936)&lt;100000000,VALUE($A2936),1000000000),IFERROR(IF(VALUE(MID($A2936,2,20))&lt;100000000,VALUE(MID($A2936,2,20)),1000000000),1000000000))+ROW()/100000,"")</f>
        <v/>
      </c>
    </row>
    <row r="2937">
      <c r="F2937" s="7">
        <f>IF($A2937="","",E2937*N2937/100)</f>
        <v/>
      </c>
      <c r="J2937" s="7" t="n"/>
      <c r="K2937" s="7">
        <f>IF($A2937="","",S2937*N2937)</f>
        <v/>
      </c>
      <c r="L2937" s="7">
        <f>IF($A2937="","",N2937-K2937)</f>
        <v/>
      </c>
      <c r="M2937" s="7">
        <f>IF($A2937="","",L2937-F2937)</f>
        <v/>
      </c>
      <c r="N2937" s="7" t="n"/>
      <c r="Q2937" s="11" t="n"/>
      <c r="S2937">
        <f>IF($A2937="","",IF($W2937=1,Settings!$C$6,Settings!$C$7)*1)</f>
        <v/>
      </c>
      <c r="U2937">
        <f>IF($A2937="","",IF(COUNTIF($A$2:$A2937,$A2937)=1,1,0))</f>
        <v/>
      </c>
      <c r="V2937">
        <f>IF($U2937=1,SUMPRODUCT(--($X$2:$X$3001&lt;$X2937))+1,"")</f>
        <v/>
      </c>
      <c r="W2937">
        <f>IF($A2937="","",IF(OR($T2937=TRUE(),$T2937="TRUE"),1,0))</f>
        <v/>
      </c>
      <c r="X2937">
        <f>IF($U2937=1,IFERROR(IF(VALUE($A2937)&lt;100000000,VALUE($A2937),1000000000),IFERROR(IF(VALUE(MID($A2937,2,20))&lt;100000000,VALUE(MID($A2937,2,20)),1000000000),1000000000))+ROW()/100000,"")</f>
        <v/>
      </c>
    </row>
    <row r="2938">
      <c r="F2938" s="7">
        <f>IF($A2938="","",E2938*N2938/100)</f>
        <v/>
      </c>
      <c r="J2938" s="7" t="n"/>
      <c r="K2938" s="7">
        <f>IF($A2938="","",S2938*N2938)</f>
        <v/>
      </c>
      <c r="L2938" s="7">
        <f>IF($A2938="","",N2938-K2938)</f>
        <v/>
      </c>
      <c r="M2938" s="7">
        <f>IF($A2938="","",L2938-F2938)</f>
        <v/>
      </c>
      <c r="N2938" s="7" t="n"/>
      <c r="Q2938" s="11" t="n"/>
      <c r="S2938">
        <f>IF($A2938="","",IF($W2938=1,Settings!$C$6,Settings!$C$7)*1)</f>
        <v/>
      </c>
      <c r="U2938">
        <f>IF($A2938="","",IF(COUNTIF($A$2:$A2938,$A2938)=1,1,0))</f>
        <v/>
      </c>
      <c r="V2938">
        <f>IF($U2938=1,SUMPRODUCT(--($X$2:$X$3001&lt;$X2938))+1,"")</f>
        <v/>
      </c>
      <c r="W2938">
        <f>IF($A2938="","",IF(OR($T2938=TRUE(),$T2938="TRUE"),1,0))</f>
        <v/>
      </c>
      <c r="X2938">
        <f>IF($U2938=1,IFERROR(IF(VALUE($A2938)&lt;100000000,VALUE($A2938),1000000000),IFERROR(IF(VALUE(MID($A2938,2,20))&lt;100000000,VALUE(MID($A2938,2,20)),1000000000),1000000000))+ROW()/100000,"")</f>
        <v/>
      </c>
    </row>
    <row r="2939">
      <c r="F2939" s="7">
        <f>IF($A2939="","",E2939*N2939/100)</f>
        <v/>
      </c>
      <c r="J2939" s="7" t="n"/>
      <c r="K2939" s="7">
        <f>IF($A2939="","",S2939*N2939)</f>
        <v/>
      </c>
      <c r="L2939" s="7">
        <f>IF($A2939="","",N2939-K2939)</f>
        <v/>
      </c>
      <c r="M2939" s="7">
        <f>IF($A2939="","",L2939-F2939)</f>
        <v/>
      </c>
      <c r="N2939" s="7" t="n"/>
      <c r="Q2939" s="11" t="n"/>
      <c r="S2939">
        <f>IF($A2939="","",IF($W2939=1,Settings!$C$6,Settings!$C$7)*1)</f>
        <v/>
      </c>
      <c r="U2939">
        <f>IF($A2939="","",IF(COUNTIF($A$2:$A2939,$A2939)=1,1,0))</f>
        <v/>
      </c>
      <c r="V2939">
        <f>IF($U2939=1,SUMPRODUCT(--($X$2:$X$3001&lt;$X2939))+1,"")</f>
        <v/>
      </c>
      <c r="W2939">
        <f>IF($A2939="","",IF(OR($T2939=TRUE(),$T2939="TRUE"),1,0))</f>
        <v/>
      </c>
      <c r="X2939">
        <f>IF($U2939=1,IFERROR(IF(VALUE($A2939)&lt;100000000,VALUE($A2939),1000000000),IFERROR(IF(VALUE(MID($A2939,2,20))&lt;100000000,VALUE(MID($A2939,2,20)),1000000000),1000000000))+ROW()/100000,"")</f>
        <v/>
      </c>
    </row>
    <row r="2940">
      <c r="F2940" s="7">
        <f>IF($A2940="","",E2940*N2940/100)</f>
        <v/>
      </c>
      <c r="J2940" s="7" t="n"/>
      <c r="K2940" s="7">
        <f>IF($A2940="","",S2940*N2940)</f>
        <v/>
      </c>
      <c r="L2940" s="7">
        <f>IF($A2940="","",N2940-K2940)</f>
        <v/>
      </c>
      <c r="M2940" s="7">
        <f>IF($A2940="","",L2940-F2940)</f>
        <v/>
      </c>
      <c r="N2940" s="7" t="n"/>
      <c r="Q2940" s="11" t="n"/>
      <c r="S2940">
        <f>IF($A2940="","",IF($W2940=1,Settings!$C$6,Settings!$C$7)*1)</f>
        <v/>
      </c>
      <c r="U2940">
        <f>IF($A2940="","",IF(COUNTIF($A$2:$A2940,$A2940)=1,1,0))</f>
        <v/>
      </c>
      <c r="V2940">
        <f>IF($U2940=1,SUMPRODUCT(--($X$2:$X$3001&lt;$X2940))+1,"")</f>
        <v/>
      </c>
      <c r="W2940">
        <f>IF($A2940="","",IF(OR($T2940=TRUE(),$T2940="TRUE"),1,0))</f>
        <v/>
      </c>
      <c r="X2940">
        <f>IF($U2940=1,IFERROR(IF(VALUE($A2940)&lt;100000000,VALUE($A2940),1000000000),IFERROR(IF(VALUE(MID($A2940,2,20))&lt;100000000,VALUE(MID($A2940,2,20)),1000000000),1000000000))+ROW()/100000,"")</f>
        <v/>
      </c>
    </row>
    <row r="2941">
      <c r="F2941" s="7">
        <f>IF($A2941="","",E2941*N2941/100)</f>
        <v/>
      </c>
      <c r="J2941" s="7" t="n"/>
      <c r="K2941" s="7">
        <f>IF($A2941="","",S2941*N2941)</f>
        <v/>
      </c>
      <c r="L2941" s="7">
        <f>IF($A2941="","",N2941-K2941)</f>
        <v/>
      </c>
      <c r="M2941" s="7">
        <f>IF($A2941="","",L2941-F2941)</f>
        <v/>
      </c>
      <c r="N2941" s="7" t="n"/>
      <c r="Q2941" s="11" t="n"/>
      <c r="S2941">
        <f>IF($A2941="","",IF($W2941=1,Settings!$C$6,Settings!$C$7)*1)</f>
        <v/>
      </c>
      <c r="U2941">
        <f>IF($A2941="","",IF(COUNTIF($A$2:$A2941,$A2941)=1,1,0))</f>
        <v/>
      </c>
      <c r="V2941">
        <f>IF($U2941=1,SUMPRODUCT(--($X$2:$X$3001&lt;$X2941))+1,"")</f>
        <v/>
      </c>
      <c r="W2941">
        <f>IF($A2941="","",IF(OR($T2941=TRUE(),$T2941="TRUE"),1,0))</f>
        <v/>
      </c>
      <c r="X2941">
        <f>IF($U2941=1,IFERROR(IF(VALUE($A2941)&lt;100000000,VALUE($A2941),1000000000),IFERROR(IF(VALUE(MID($A2941,2,20))&lt;100000000,VALUE(MID($A2941,2,20)),1000000000),1000000000))+ROW()/100000,"")</f>
        <v/>
      </c>
    </row>
    <row r="2942">
      <c r="F2942" s="7">
        <f>IF($A2942="","",E2942*N2942/100)</f>
        <v/>
      </c>
      <c r="J2942" s="7" t="n"/>
      <c r="K2942" s="7">
        <f>IF($A2942="","",S2942*N2942)</f>
        <v/>
      </c>
      <c r="L2942" s="7">
        <f>IF($A2942="","",N2942-K2942)</f>
        <v/>
      </c>
      <c r="M2942" s="7">
        <f>IF($A2942="","",L2942-F2942)</f>
        <v/>
      </c>
      <c r="N2942" s="7" t="n"/>
      <c r="Q2942" s="11" t="n"/>
      <c r="S2942">
        <f>IF($A2942="","",IF($W2942=1,Settings!$C$6,Settings!$C$7)*1)</f>
        <v/>
      </c>
      <c r="U2942">
        <f>IF($A2942="","",IF(COUNTIF($A$2:$A2942,$A2942)=1,1,0))</f>
        <v/>
      </c>
      <c r="V2942">
        <f>IF($U2942=1,SUMPRODUCT(--($X$2:$X$3001&lt;$X2942))+1,"")</f>
        <v/>
      </c>
      <c r="W2942">
        <f>IF($A2942="","",IF(OR($T2942=TRUE(),$T2942="TRUE"),1,0))</f>
        <v/>
      </c>
      <c r="X2942">
        <f>IF($U2942=1,IFERROR(IF(VALUE($A2942)&lt;100000000,VALUE($A2942),1000000000),IFERROR(IF(VALUE(MID($A2942,2,20))&lt;100000000,VALUE(MID($A2942,2,20)),1000000000),1000000000))+ROW()/100000,"")</f>
        <v/>
      </c>
    </row>
    <row r="2943">
      <c r="F2943" s="7">
        <f>IF($A2943="","",E2943*N2943/100)</f>
        <v/>
      </c>
      <c r="J2943" s="7" t="n"/>
      <c r="K2943" s="7">
        <f>IF($A2943="","",S2943*N2943)</f>
        <v/>
      </c>
      <c r="L2943" s="7">
        <f>IF($A2943="","",N2943-K2943)</f>
        <v/>
      </c>
      <c r="M2943" s="7">
        <f>IF($A2943="","",L2943-F2943)</f>
        <v/>
      </c>
      <c r="N2943" s="7" t="n"/>
      <c r="Q2943" s="11" t="n"/>
      <c r="S2943">
        <f>IF($A2943="","",IF($W2943=1,Settings!$C$6,Settings!$C$7)*1)</f>
        <v/>
      </c>
      <c r="U2943">
        <f>IF($A2943="","",IF(COUNTIF($A$2:$A2943,$A2943)=1,1,0))</f>
        <v/>
      </c>
      <c r="V2943">
        <f>IF($U2943=1,SUMPRODUCT(--($X$2:$X$3001&lt;$X2943))+1,"")</f>
        <v/>
      </c>
      <c r="W2943">
        <f>IF($A2943="","",IF(OR($T2943=TRUE(),$T2943="TRUE"),1,0))</f>
        <v/>
      </c>
      <c r="X2943">
        <f>IF($U2943=1,IFERROR(IF(VALUE($A2943)&lt;100000000,VALUE($A2943),1000000000),IFERROR(IF(VALUE(MID($A2943,2,20))&lt;100000000,VALUE(MID($A2943,2,20)),1000000000),1000000000))+ROW()/100000,"")</f>
        <v/>
      </c>
    </row>
    <row r="2944">
      <c r="F2944" s="7">
        <f>IF($A2944="","",E2944*N2944/100)</f>
        <v/>
      </c>
      <c r="J2944" s="7" t="n"/>
      <c r="K2944" s="7">
        <f>IF($A2944="","",S2944*N2944)</f>
        <v/>
      </c>
      <c r="L2944" s="7">
        <f>IF($A2944="","",N2944-K2944)</f>
        <v/>
      </c>
      <c r="M2944" s="7">
        <f>IF($A2944="","",L2944-F2944)</f>
        <v/>
      </c>
      <c r="N2944" s="7" t="n"/>
      <c r="Q2944" s="11" t="n"/>
      <c r="S2944">
        <f>IF($A2944="","",IF($W2944=1,Settings!$C$6,Settings!$C$7)*1)</f>
        <v/>
      </c>
      <c r="U2944">
        <f>IF($A2944="","",IF(COUNTIF($A$2:$A2944,$A2944)=1,1,0))</f>
        <v/>
      </c>
      <c r="V2944">
        <f>IF($U2944=1,SUMPRODUCT(--($X$2:$X$3001&lt;$X2944))+1,"")</f>
        <v/>
      </c>
      <c r="W2944">
        <f>IF($A2944="","",IF(OR($T2944=TRUE(),$T2944="TRUE"),1,0))</f>
        <v/>
      </c>
      <c r="X2944">
        <f>IF($U2944=1,IFERROR(IF(VALUE($A2944)&lt;100000000,VALUE($A2944),1000000000),IFERROR(IF(VALUE(MID($A2944,2,20))&lt;100000000,VALUE(MID($A2944,2,20)),1000000000),1000000000))+ROW()/100000,"")</f>
        <v/>
      </c>
    </row>
    <row r="2945">
      <c r="F2945" s="7">
        <f>IF($A2945="","",E2945*N2945/100)</f>
        <v/>
      </c>
      <c r="J2945" s="7" t="n"/>
      <c r="K2945" s="7">
        <f>IF($A2945="","",S2945*N2945)</f>
        <v/>
      </c>
      <c r="L2945" s="7">
        <f>IF($A2945="","",N2945-K2945)</f>
        <v/>
      </c>
      <c r="M2945" s="7">
        <f>IF($A2945="","",L2945-F2945)</f>
        <v/>
      </c>
      <c r="N2945" s="7" t="n"/>
      <c r="Q2945" s="11" t="n"/>
      <c r="S2945">
        <f>IF($A2945="","",IF($W2945=1,Settings!$C$6,Settings!$C$7)*1)</f>
        <v/>
      </c>
      <c r="U2945">
        <f>IF($A2945="","",IF(COUNTIF($A$2:$A2945,$A2945)=1,1,0))</f>
        <v/>
      </c>
      <c r="V2945">
        <f>IF($U2945=1,SUMPRODUCT(--($X$2:$X$3001&lt;$X2945))+1,"")</f>
        <v/>
      </c>
      <c r="W2945">
        <f>IF($A2945="","",IF(OR($T2945=TRUE(),$T2945="TRUE"),1,0))</f>
        <v/>
      </c>
      <c r="X2945">
        <f>IF($U2945=1,IFERROR(IF(VALUE($A2945)&lt;100000000,VALUE($A2945),1000000000),IFERROR(IF(VALUE(MID($A2945,2,20))&lt;100000000,VALUE(MID($A2945,2,20)),1000000000),1000000000))+ROW()/100000,"")</f>
        <v/>
      </c>
    </row>
    <row r="2946">
      <c r="F2946" s="7">
        <f>IF($A2946="","",E2946*N2946/100)</f>
        <v/>
      </c>
      <c r="J2946" s="7" t="n"/>
      <c r="K2946" s="7">
        <f>IF($A2946="","",S2946*N2946)</f>
        <v/>
      </c>
      <c r="L2946" s="7">
        <f>IF($A2946="","",N2946-K2946)</f>
        <v/>
      </c>
      <c r="M2946" s="7">
        <f>IF($A2946="","",L2946-F2946)</f>
        <v/>
      </c>
      <c r="N2946" s="7" t="n"/>
      <c r="Q2946" s="11" t="n"/>
      <c r="S2946">
        <f>IF($A2946="","",IF($W2946=1,Settings!$C$6,Settings!$C$7)*1)</f>
        <v/>
      </c>
      <c r="U2946">
        <f>IF($A2946="","",IF(COUNTIF($A$2:$A2946,$A2946)=1,1,0))</f>
        <v/>
      </c>
      <c r="V2946">
        <f>IF($U2946=1,SUMPRODUCT(--($X$2:$X$3001&lt;$X2946))+1,"")</f>
        <v/>
      </c>
      <c r="W2946">
        <f>IF($A2946="","",IF(OR($T2946=TRUE(),$T2946="TRUE"),1,0))</f>
        <v/>
      </c>
      <c r="X2946">
        <f>IF($U2946=1,IFERROR(IF(VALUE($A2946)&lt;100000000,VALUE($A2946),1000000000),IFERROR(IF(VALUE(MID($A2946,2,20))&lt;100000000,VALUE(MID($A2946,2,20)),1000000000),1000000000))+ROW()/100000,"")</f>
        <v/>
      </c>
    </row>
    <row r="2947">
      <c r="F2947" s="7">
        <f>IF($A2947="","",E2947*N2947/100)</f>
        <v/>
      </c>
      <c r="J2947" s="7" t="n"/>
      <c r="K2947" s="7">
        <f>IF($A2947="","",S2947*N2947)</f>
        <v/>
      </c>
      <c r="L2947" s="7">
        <f>IF($A2947="","",N2947-K2947)</f>
        <v/>
      </c>
      <c r="M2947" s="7">
        <f>IF($A2947="","",L2947-F2947)</f>
        <v/>
      </c>
      <c r="N2947" s="7" t="n"/>
      <c r="Q2947" s="11" t="n"/>
      <c r="S2947">
        <f>IF($A2947="","",IF($W2947=1,Settings!$C$6,Settings!$C$7)*1)</f>
        <v/>
      </c>
      <c r="U2947">
        <f>IF($A2947="","",IF(COUNTIF($A$2:$A2947,$A2947)=1,1,0))</f>
        <v/>
      </c>
      <c r="V2947">
        <f>IF($U2947=1,SUMPRODUCT(--($X$2:$X$3001&lt;$X2947))+1,"")</f>
        <v/>
      </c>
      <c r="W2947">
        <f>IF($A2947="","",IF(OR($T2947=TRUE(),$T2947="TRUE"),1,0))</f>
        <v/>
      </c>
      <c r="X2947">
        <f>IF($U2947=1,IFERROR(IF(VALUE($A2947)&lt;100000000,VALUE($A2947),1000000000),IFERROR(IF(VALUE(MID($A2947,2,20))&lt;100000000,VALUE(MID($A2947,2,20)),1000000000),1000000000))+ROW()/100000,"")</f>
        <v/>
      </c>
    </row>
    <row r="2948">
      <c r="F2948" s="7">
        <f>IF($A2948="","",E2948*N2948/100)</f>
        <v/>
      </c>
      <c r="J2948" s="7" t="n"/>
      <c r="K2948" s="7">
        <f>IF($A2948="","",S2948*N2948)</f>
        <v/>
      </c>
      <c r="L2948" s="7">
        <f>IF($A2948="","",N2948-K2948)</f>
        <v/>
      </c>
      <c r="M2948" s="7">
        <f>IF($A2948="","",L2948-F2948)</f>
        <v/>
      </c>
      <c r="N2948" s="7" t="n"/>
      <c r="Q2948" s="11" t="n"/>
      <c r="S2948">
        <f>IF($A2948="","",IF($W2948=1,Settings!$C$6,Settings!$C$7)*1)</f>
        <v/>
      </c>
      <c r="U2948">
        <f>IF($A2948="","",IF(COUNTIF($A$2:$A2948,$A2948)=1,1,0))</f>
        <v/>
      </c>
      <c r="V2948">
        <f>IF($U2948=1,SUMPRODUCT(--($X$2:$X$3001&lt;$X2948))+1,"")</f>
        <v/>
      </c>
      <c r="W2948">
        <f>IF($A2948="","",IF(OR($T2948=TRUE(),$T2948="TRUE"),1,0))</f>
        <v/>
      </c>
      <c r="X2948">
        <f>IF($U2948=1,IFERROR(IF(VALUE($A2948)&lt;100000000,VALUE($A2948),1000000000),IFERROR(IF(VALUE(MID($A2948,2,20))&lt;100000000,VALUE(MID($A2948,2,20)),1000000000),1000000000))+ROW()/100000,"")</f>
        <v/>
      </c>
    </row>
    <row r="2949">
      <c r="F2949" s="7">
        <f>IF($A2949="","",E2949*N2949/100)</f>
        <v/>
      </c>
      <c r="J2949" s="7" t="n"/>
      <c r="K2949" s="7">
        <f>IF($A2949="","",S2949*N2949)</f>
        <v/>
      </c>
      <c r="L2949" s="7">
        <f>IF($A2949="","",N2949-K2949)</f>
        <v/>
      </c>
      <c r="M2949" s="7">
        <f>IF($A2949="","",L2949-F2949)</f>
        <v/>
      </c>
      <c r="N2949" s="7" t="n"/>
      <c r="Q2949" s="11" t="n"/>
      <c r="S2949">
        <f>IF($A2949="","",IF($W2949=1,Settings!$C$6,Settings!$C$7)*1)</f>
        <v/>
      </c>
      <c r="U2949">
        <f>IF($A2949="","",IF(COUNTIF($A$2:$A2949,$A2949)=1,1,0))</f>
        <v/>
      </c>
      <c r="V2949">
        <f>IF($U2949=1,SUMPRODUCT(--($X$2:$X$3001&lt;$X2949))+1,"")</f>
        <v/>
      </c>
      <c r="W2949">
        <f>IF($A2949="","",IF(OR($T2949=TRUE(),$T2949="TRUE"),1,0))</f>
        <v/>
      </c>
      <c r="X2949">
        <f>IF($U2949=1,IFERROR(IF(VALUE($A2949)&lt;100000000,VALUE($A2949),1000000000),IFERROR(IF(VALUE(MID($A2949,2,20))&lt;100000000,VALUE(MID($A2949,2,20)),1000000000),1000000000))+ROW()/100000,"")</f>
        <v/>
      </c>
    </row>
    <row r="2950">
      <c r="F2950" s="7">
        <f>IF($A2950="","",E2950*N2950/100)</f>
        <v/>
      </c>
      <c r="J2950" s="7" t="n"/>
      <c r="K2950" s="7">
        <f>IF($A2950="","",S2950*N2950)</f>
        <v/>
      </c>
      <c r="L2950" s="7">
        <f>IF($A2950="","",N2950-K2950)</f>
        <v/>
      </c>
      <c r="M2950" s="7">
        <f>IF($A2950="","",L2950-F2950)</f>
        <v/>
      </c>
      <c r="N2950" s="7" t="n"/>
      <c r="Q2950" s="11" t="n"/>
      <c r="S2950">
        <f>IF($A2950="","",IF($W2950=1,Settings!$C$6,Settings!$C$7)*1)</f>
        <v/>
      </c>
      <c r="U2950">
        <f>IF($A2950="","",IF(COUNTIF($A$2:$A2950,$A2950)=1,1,0))</f>
        <v/>
      </c>
      <c r="V2950">
        <f>IF($U2950=1,SUMPRODUCT(--($X$2:$X$3001&lt;$X2950))+1,"")</f>
        <v/>
      </c>
      <c r="W2950">
        <f>IF($A2950="","",IF(OR($T2950=TRUE(),$T2950="TRUE"),1,0))</f>
        <v/>
      </c>
      <c r="X2950">
        <f>IF($U2950=1,IFERROR(IF(VALUE($A2950)&lt;100000000,VALUE($A2950),1000000000),IFERROR(IF(VALUE(MID($A2950,2,20))&lt;100000000,VALUE(MID($A2950,2,20)),1000000000),1000000000))+ROW()/100000,"")</f>
        <v/>
      </c>
    </row>
    <row r="2951">
      <c r="F2951" s="7">
        <f>IF($A2951="","",E2951*N2951/100)</f>
        <v/>
      </c>
      <c r="J2951" s="7" t="n"/>
      <c r="K2951" s="7">
        <f>IF($A2951="","",S2951*N2951)</f>
        <v/>
      </c>
      <c r="L2951" s="7">
        <f>IF($A2951="","",N2951-K2951)</f>
        <v/>
      </c>
      <c r="M2951" s="7">
        <f>IF($A2951="","",L2951-F2951)</f>
        <v/>
      </c>
      <c r="N2951" s="7" t="n"/>
      <c r="Q2951" s="11" t="n"/>
      <c r="S2951">
        <f>IF($A2951="","",IF($W2951=1,Settings!$C$6,Settings!$C$7)*1)</f>
        <v/>
      </c>
      <c r="U2951">
        <f>IF($A2951="","",IF(COUNTIF($A$2:$A2951,$A2951)=1,1,0))</f>
        <v/>
      </c>
      <c r="V2951">
        <f>IF($U2951=1,SUMPRODUCT(--($X$2:$X$3001&lt;$X2951))+1,"")</f>
        <v/>
      </c>
      <c r="W2951">
        <f>IF($A2951="","",IF(OR($T2951=TRUE(),$T2951="TRUE"),1,0))</f>
        <v/>
      </c>
      <c r="X2951">
        <f>IF($U2951=1,IFERROR(IF(VALUE($A2951)&lt;100000000,VALUE($A2951),1000000000),IFERROR(IF(VALUE(MID($A2951,2,20))&lt;100000000,VALUE(MID($A2951,2,20)),1000000000),1000000000))+ROW()/100000,"")</f>
        <v/>
      </c>
    </row>
    <row r="2952">
      <c r="F2952" s="7">
        <f>IF($A2952="","",E2952*N2952/100)</f>
        <v/>
      </c>
      <c r="J2952" s="7" t="n"/>
      <c r="K2952" s="7">
        <f>IF($A2952="","",S2952*N2952)</f>
        <v/>
      </c>
      <c r="L2952" s="7">
        <f>IF($A2952="","",N2952-K2952)</f>
        <v/>
      </c>
      <c r="M2952" s="7">
        <f>IF($A2952="","",L2952-F2952)</f>
        <v/>
      </c>
      <c r="N2952" s="7" t="n"/>
      <c r="Q2952" s="11" t="n"/>
      <c r="S2952">
        <f>IF($A2952="","",IF($W2952=1,Settings!$C$6,Settings!$C$7)*1)</f>
        <v/>
      </c>
      <c r="U2952">
        <f>IF($A2952="","",IF(COUNTIF($A$2:$A2952,$A2952)=1,1,0))</f>
        <v/>
      </c>
      <c r="V2952">
        <f>IF($U2952=1,SUMPRODUCT(--($X$2:$X$3001&lt;$X2952))+1,"")</f>
        <v/>
      </c>
      <c r="W2952">
        <f>IF($A2952="","",IF(OR($T2952=TRUE(),$T2952="TRUE"),1,0))</f>
        <v/>
      </c>
      <c r="X2952">
        <f>IF($U2952=1,IFERROR(IF(VALUE($A2952)&lt;100000000,VALUE($A2952),1000000000),IFERROR(IF(VALUE(MID($A2952,2,20))&lt;100000000,VALUE(MID($A2952,2,20)),1000000000),1000000000))+ROW()/100000,"")</f>
        <v/>
      </c>
    </row>
    <row r="2953">
      <c r="F2953" s="7">
        <f>IF($A2953="","",E2953*N2953/100)</f>
        <v/>
      </c>
      <c r="J2953" s="7" t="n"/>
      <c r="K2953" s="7">
        <f>IF($A2953="","",S2953*N2953)</f>
        <v/>
      </c>
      <c r="L2953" s="7">
        <f>IF($A2953="","",N2953-K2953)</f>
        <v/>
      </c>
      <c r="M2953" s="7">
        <f>IF($A2953="","",L2953-F2953)</f>
        <v/>
      </c>
      <c r="N2953" s="7" t="n"/>
      <c r="Q2953" s="11" t="n"/>
      <c r="S2953">
        <f>IF($A2953="","",IF($W2953=1,Settings!$C$6,Settings!$C$7)*1)</f>
        <v/>
      </c>
      <c r="U2953">
        <f>IF($A2953="","",IF(COUNTIF($A$2:$A2953,$A2953)=1,1,0))</f>
        <v/>
      </c>
      <c r="V2953">
        <f>IF($U2953=1,SUMPRODUCT(--($X$2:$X$3001&lt;$X2953))+1,"")</f>
        <v/>
      </c>
      <c r="W2953">
        <f>IF($A2953="","",IF(OR($T2953=TRUE(),$T2953="TRUE"),1,0))</f>
        <v/>
      </c>
      <c r="X2953">
        <f>IF($U2953=1,IFERROR(IF(VALUE($A2953)&lt;100000000,VALUE($A2953),1000000000),IFERROR(IF(VALUE(MID($A2953,2,20))&lt;100000000,VALUE(MID($A2953,2,20)),1000000000),1000000000))+ROW()/100000,"")</f>
        <v/>
      </c>
    </row>
    <row r="2954">
      <c r="F2954" s="7">
        <f>IF($A2954="","",E2954*N2954/100)</f>
        <v/>
      </c>
      <c r="J2954" s="7" t="n"/>
      <c r="K2954" s="7">
        <f>IF($A2954="","",S2954*N2954)</f>
        <v/>
      </c>
      <c r="L2954" s="7">
        <f>IF($A2954="","",N2954-K2954)</f>
        <v/>
      </c>
      <c r="M2954" s="7">
        <f>IF($A2954="","",L2954-F2954)</f>
        <v/>
      </c>
      <c r="N2954" s="7" t="n"/>
      <c r="Q2954" s="11" t="n"/>
      <c r="S2954">
        <f>IF($A2954="","",IF($W2954=1,Settings!$C$6,Settings!$C$7)*1)</f>
        <v/>
      </c>
      <c r="U2954">
        <f>IF($A2954="","",IF(COUNTIF($A$2:$A2954,$A2954)=1,1,0))</f>
        <v/>
      </c>
      <c r="V2954">
        <f>IF($U2954=1,SUMPRODUCT(--($X$2:$X$3001&lt;$X2954))+1,"")</f>
        <v/>
      </c>
      <c r="W2954">
        <f>IF($A2954="","",IF(OR($T2954=TRUE(),$T2954="TRUE"),1,0))</f>
        <v/>
      </c>
      <c r="X2954">
        <f>IF($U2954=1,IFERROR(IF(VALUE($A2954)&lt;100000000,VALUE($A2954),1000000000),IFERROR(IF(VALUE(MID($A2954,2,20))&lt;100000000,VALUE(MID($A2954,2,20)),1000000000),1000000000))+ROW()/100000,"")</f>
        <v/>
      </c>
    </row>
    <row r="2955">
      <c r="F2955" s="7">
        <f>IF($A2955="","",E2955*N2955/100)</f>
        <v/>
      </c>
      <c r="J2955" s="7" t="n"/>
      <c r="K2955" s="7">
        <f>IF($A2955="","",S2955*N2955)</f>
        <v/>
      </c>
      <c r="L2955" s="7">
        <f>IF($A2955="","",N2955-K2955)</f>
        <v/>
      </c>
      <c r="M2955" s="7">
        <f>IF($A2955="","",L2955-F2955)</f>
        <v/>
      </c>
      <c r="N2955" s="7" t="n"/>
      <c r="Q2955" s="11" t="n"/>
      <c r="S2955">
        <f>IF($A2955="","",IF($W2955=1,Settings!$C$6,Settings!$C$7)*1)</f>
        <v/>
      </c>
      <c r="U2955">
        <f>IF($A2955="","",IF(COUNTIF($A$2:$A2955,$A2955)=1,1,0))</f>
        <v/>
      </c>
      <c r="V2955">
        <f>IF($U2955=1,SUMPRODUCT(--($X$2:$X$3001&lt;$X2955))+1,"")</f>
        <v/>
      </c>
      <c r="W2955">
        <f>IF($A2955="","",IF(OR($T2955=TRUE(),$T2955="TRUE"),1,0))</f>
        <v/>
      </c>
      <c r="X2955">
        <f>IF($U2955=1,IFERROR(IF(VALUE($A2955)&lt;100000000,VALUE($A2955),1000000000),IFERROR(IF(VALUE(MID($A2955,2,20))&lt;100000000,VALUE(MID($A2955,2,20)),1000000000),1000000000))+ROW()/100000,"")</f>
        <v/>
      </c>
    </row>
    <row r="2956">
      <c r="F2956" s="7">
        <f>IF($A2956="","",E2956*N2956/100)</f>
        <v/>
      </c>
      <c r="J2956" s="7" t="n"/>
      <c r="K2956" s="7">
        <f>IF($A2956="","",S2956*N2956)</f>
        <v/>
      </c>
      <c r="L2956" s="7">
        <f>IF($A2956="","",N2956-K2956)</f>
        <v/>
      </c>
      <c r="M2956" s="7">
        <f>IF($A2956="","",L2956-F2956)</f>
        <v/>
      </c>
      <c r="N2956" s="7" t="n"/>
      <c r="Q2956" s="11" t="n"/>
      <c r="S2956">
        <f>IF($A2956="","",IF($W2956=1,Settings!$C$6,Settings!$C$7)*1)</f>
        <v/>
      </c>
      <c r="U2956">
        <f>IF($A2956="","",IF(COUNTIF($A$2:$A2956,$A2956)=1,1,0))</f>
        <v/>
      </c>
      <c r="V2956">
        <f>IF($U2956=1,SUMPRODUCT(--($X$2:$X$3001&lt;$X2956))+1,"")</f>
        <v/>
      </c>
      <c r="W2956">
        <f>IF($A2956="","",IF(OR($T2956=TRUE(),$T2956="TRUE"),1,0))</f>
        <v/>
      </c>
      <c r="X2956">
        <f>IF($U2956=1,IFERROR(IF(VALUE($A2956)&lt;100000000,VALUE($A2956),1000000000),IFERROR(IF(VALUE(MID($A2956,2,20))&lt;100000000,VALUE(MID($A2956,2,20)),1000000000),1000000000))+ROW()/100000,"")</f>
        <v/>
      </c>
    </row>
    <row r="2957">
      <c r="F2957" s="7">
        <f>IF($A2957="","",E2957*N2957/100)</f>
        <v/>
      </c>
      <c r="J2957" s="7" t="n"/>
      <c r="K2957" s="7">
        <f>IF($A2957="","",S2957*N2957)</f>
        <v/>
      </c>
      <c r="L2957" s="7">
        <f>IF($A2957="","",N2957-K2957)</f>
        <v/>
      </c>
      <c r="M2957" s="7">
        <f>IF($A2957="","",L2957-F2957)</f>
        <v/>
      </c>
      <c r="N2957" s="7" t="n"/>
      <c r="Q2957" s="11" t="n"/>
      <c r="S2957">
        <f>IF($A2957="","",IF($W2957=1,Settings!$C$6,Settings!$C$7)*1)</f>
        <v/>
      </c>
      <c r="U2957">
        <f>IF($A2957="","",IF(COUNTIF($A$2:$A2957,$A2957)=1,1,0))</f>
        <v/>
      </c>
      <c r="V2957">
        <f>IF($U2957=1,SUMPRODUCT(--($X$2:$X$3001&lt;$X2957))+1,"")</f>
        <v/>
      </c>
      <c r="W2957">
        <f>IF($A2957="","",IF(OR($T2957=TRUE(),$T2957="TRUE"),1,0))</f>
        <v/>
      </c>
      <c r="X2957">
        <f>IF($U2957=1,IFERROR(IF(VALUE($A2957)&lt;100000000,VALUE($A2957),1000000000),IFERROR(IF(VALUE(MID($A2957,2,20))&lt;100000000,VALUE(MID($A2957,2,20)),1000000000),1000000000))+ROW()/100000,"")</f>
        <v/>
      </c>
    </row>
    <row r="2958">
      <c r="F2958" s="7">
        <f>IF($A2958="","",E2958*N2958/100)</f>
        <v/>
      </c>
      <c r="J2958" s="7" t="n"/>
      <c r="K2958" s="7">
        <f>IF($A2958="","",S2958*N2958)</f>
        <v/>
      </c>
      <c r="L2958" s="7">
        <f>IF($A2958="","",N2958-K2958)</f>
        <v/>
      </c>
      <c r="M2958" s="7">
        <f>IF($A2958="","",L2958-F2958)</f>
        <v/>
      </c>
      <c r="N2958" s="7" t="n"/>
      <c r="Q2958" s="11" t="n"/>
      <c r="S2958">
        <f>IF($A2958="","",IF($W2958=1,Settings!$C$6,Settings!$C$7)*1)</f>
        <v/>
      </c>
      <c r="U2958">
        <f>IF($A2958="","",IF(COUNTIF($A$2:$A2958,$A2958)=1,1,0))</f>
        <v/>
      </c>
      <c r="V2958">
        <f>IF($U2958=1,SUMPRODUCT(--($X$2:$X$3001&lt;$X2958))+1,"")</f>
        <v/>
      </c>
      <c r="W2958">
        <f>IF($A2958="","",IF(OR($T2958=TRUE(),$T2958="TRUE"),1,0))</f>
        <v/>
      </c>
      <c r="X2958">
        <f>IF($U2958=1,IFERROR(IF(VALUE($A2958)&lt;100000000,VALUE($A2958),1000000000),IFERROR(IF(VALUE(MID($A2958,2,20))&lt;100000000,VALUE(MID($A2958,2,20)),1000000000),1000000000))+ROW()/100000,"")</f>
        <v/>
      </c>
    </row>
    <row r="2959">
      <c r="F2959" s="7">
        <f>IF($A2959="","",E2959*N2959/100)</f>
        <v/>
      </c>
      <c r="J2959" s="7" t="n"/>
      <c r="K2959" s="7">
        <f>IF($A2959="","",S2959*N2959)</f>
        <v/>
      </c>
      <c r="L2959" s="7">
        <f>IF($A2959="","",N2959-K2959)</f>
        <v/>
      </c>
      <c r="M2959" s="7">
        <f>IF($A2959="","",L2959-F2959)</f>
        <v/>
      </c>
      <c r="N2959" s="7" t="n"/>
      <c r="Q2959" s="11" t="n"/>
      <c r="S2959">
        <f>IF($A2959="","",IF($W2959=1,Settings!$C$6,Settings!$C$7)*1)</f>
        <v/>
      </c>
      <c r="U2959">
        <f>IF($A2959="","",IF(COUNTIF($A$2:$A2959,$A2959)=1,1,0))</f>
        <v/>
      </c>
      <c r="V2959">
        <f>IF($U2959=1,SUMPRODUCT(--($X$2:$X$3001&lt;$X2959))+1,"")</f>
        <v/>
      </c>
      <c r="W2959">
        <f>IF($A2959="","",IF(OR($T2959=TRUE(),$T2959="TRUE"),1,0))</f>
        <v/>
      </c>
      <c r="X2959">
        <f>IF($U2959=1,IFERROR(IF(VALUE($A2959)&lt;100000000,VALUE($A2959),1000000000),IFERROR(IF(VALUE(MID($A2959,2,20))&lt;100000000,VALUE(MID($A2959,2,20)),1000000000),1000000000))+ROW()/100000,"")</f>
        <v/>
      </c>
    </row>
    <row r="2960">
      <c r="F2960" s="7">
        <f>IF($A2960="","",E2960*N2960/100)</f>
        <v/>
      </c>
      <c r="J2960" s="7" t="n"/>
      <c r="K2960" s="7">
        <f>IF($A2960="","",S2960*N2960)</f>
        <v/>
      </c>
      <c r="L2960" s="7">
        <f>IF($A2960="","",N2960-K2960)</f>
        <v/>
      </c>
      <c r="M2960" s="7">
        <f>IF($A2960="","",L2960-F2960)</f>
        <v/>
      </c>
      <c r="N2960" s="7" t="n"/>
      <c r="Q2960" s="11" t="n"/>
      <c r="S2960">
        <f>IF($A2960="","",IF($W2960=1,Settings!$C$6,Settings!$C$7)*1)</f>
        <v/>
      </c>
      <c r="U2960">
        <f>IF($A2960="","",IF(COUNTIF($A$2:$A2960,$A2960)=1,1,0))</f>
        <v/>
      </c>
      <c r="V2960">
        <f>IF($U2960=1,SUMPRODUCT(--($X$2:$X$3001&lt;$X2960))+1,"")</f>
        <v/>
      </c>
      <c r="W2960">
        <f>IF($A2960="","",IF(OR($T2960=TRUE(),$T2960="TRUE"),1,0))</f>
        <v/>
      </c>
      <c r="X2960">
        <f>IF($U2960=1,IFERROR(IF(VALUE($A2960)&lt;100000000,VALUE($A2960),1000000000),IFERROR(IF(VALUE(MID($A2960,2,20))&lt;100000000,VALUE(MID($A2960,2,20)),1000000000),1000000000))+ROW()/100000,"")</f>
        <v/>
      </c>
    </row>
    <row r="2961">
      <c r="F2961" s="7">
        <f>IF($A2961="","",E2961*N2961/100)</f>
        <v/>
      </c>
      <c r="J2961" s="7" t="n"/>
      <c r="K2961" s="7">
        <f>IF($A2961="","",S2961*N2961)</f>
        <v/>
      </c>
      <c r="L2961" s="7">
        <f>IF($A2961="","",N2961-K2961)</f>
        <v/>
      </c>
      <c r="M2961" s="7">
        <f>IF($A2961="","",L2961-F2961)</f>
        <v/>
      </c>
      <c r="N2961" s="7" t="n"/>
      <c r="Q2961" s="11" t="n"/>
      <c r="S2961">
        <f>IF($A2961="","",IF($W2961=1,Settings!$C$6,Settings!$C$7)*1)</f>
        <v/>
      </c>
      <c r="U2961">
        <f>IF($A2961="","",IF(COUNTIF($A$2:$A2961,$A2961)=1,1,0))</f>
        <v/>
      </c>
      <c r="V2961">
        <f>IF($U2961=1,SUMPRODUCT(--($X$2:$X$3001&lt;$X2961))+1,"")</f>
        <v/>
      </c>
      <c r="W2961">
        <f>IF($A2961="","",IF(OR($T2961=TRUE(),$T2961="TRUE"),1,0))</f>
        <v/>
      </c>
      <c r="X2961">
        <f>IF($U2961=1,IFERROR(IF(VALUE($A2961)&lt;100000000,VALUE($A2961),1000000000),IFERROR(IF(VALUE(MID($A2961,2,20))&lt;100000000,VALUE(MID($A2961,2,20)),1000000000),1000000000))+ROW()/100000,"")</f>
        <v/>
      </c>
    </row>
    <row r="2962">
      <c r="F2962" s="7">
        <f>IF($A2962="","",E2962*N2962/100)</f>
        <v/>
      </c>
      <c r="J2962" s="7" t="n"/>
      <c r="K2962" s="7">
        <f>IF($A2962="","",S2962*N2962)</f>
        <v/>
      </c>
      <c r="L2962" s="7">
        <f>IF($A2962="","",N2962-K2962)</f>
        <v/>
      </c>
      <c r="M2962" s="7">
        <f>IF($A2962="","",L2962-F2962)</f>
        <v/>
      </c>
      <c r="N2962" s="7" t="n"/>
      <c r="Q2962" s="11" t="n"/>
      <c r="S2962">
        <f>IF($A2962="","",IF($W2962=1,Settings!$C$6,Settings!$C$7)*1)</f>
        <v/>
      </c>
      <c r="U2962">
        <f>IF($A2962="","",IF(COUNTIF($A$2:$A2962,$A2962)=1,1,0))</f>
        <v/>
      </c>
      <c r="V2962">
        <f>IF($U2962=1,SUMPRODUCT(--($X$2:$X$3001&lt;$X2962))+1,"")</f>
        <v/>
      </c>
      <c r="W2962">
        <f>IF($A2962="","",IF(OR($T2962=TRUE(),$T2962="TRUE"),1,0))</f>
        <v/>
      </c>
      <c r="X2962">
        <f>IF($U2962=1,IFERROR(IF(VALUE($A2962)&lt;100000000,VALUE($A2962),1000000000),IFERROR(IF(VALUE(MID($A2962,2,20))&lt;100000000,VALUE(MID($A2962,2,20)),1000000000),1000000000))+ROW()/100000,"")</f>
        <v/>
      </c>
    </row>
    <row r="2963">
      <c r="F2963" s="7">
        <f>IF($A2963="","",E2963*N2963/100)</f>
        <v/>
      </c>
      <c r="J2963" s="7" t="n"/>
      <c r="K2963" s="7">
        <f>IF($A2963="","",S2963*N2963)</f>
        <v/>
      </c>
      <c r="L2963" s="7">
        <f>IF($A2963="","",N2963-K2963)</f>
        <v/>
      </c>
      <c r="M2963" s="7">
        <f>IF($A2963="","",L2963-F2963)</f>
        <v/>
      </c>
      <c r="N2963" s="7" t="n"/>
      <c r="Q2963" s="11" t="n"/>
      <c r="S2963">
        <f>IF($A2963="","",IF($W2963=1,Settings!$C$6,Settings!$C$7)*1)</f>
        <v/>
      </c>
      <c r="U2963">
        <f>IF($A2963="","",IF(COUNTIF($A$2:$A2963,$A2963)=1,1,0))</f>
        <v/>
      </c>
      <c r="V2963">
        <f>IF($U2963=1,SUMPRODUCT(--($X$2:$X$3001&lt;$X2963))+1,"")</f>
        <v/>
      </c>
      <c r="W2963">
        <f>IF($A2963="","",IF(OR($T2963=TRUE(),$T2963="TRUE"),1,0))</f>
        <v/>
      </c>
      <c r="X2963">
        <f>IF($U2963=1,IFERROR(IF(VALUE($A2963)&lt;100000000,VALUE($A2963),1000000000),IFERROR(IF(VALUE(MID($A2963,2,20))&lt;100000000,VALUE(MID($A2963,2,20)),1000000000),1000000000))+ROW()/100000,"")</f>
        <v/>
      </c>
    </row>
    <row r="2964">
      <c r="F2964" s="7">
        <f>IF($A2964="","",E2964*N2964/100)</f>
        <v/>
      </c>
      <c r="J2964" s="7" t="n"/>
      <c r="K2964" s="7">
        <f>IF($A2964="","",S2964*N2964)</f>
        <v/>
      </c>
      <c r="L2964" s="7">
        <f>IF($A2964="","",N2964-K2964)</f>
        <v/>
      </c>
      <c r="M2964" s="7">
        <f>IF($A2964="","",L2964-F2964)</f>
        <v/>
      </c>
      <c r="N2964" s="7" t="n"/>
      <c r="Q2964" s="11" t="n"/>
      <c r="S2964">
        <f>IF($A2964="","",IF($W2964=1,Settings!$C$6,Settings!$C$7)*1)</f>
        <v/>
      </c>
      <c r="U2964">
        <f>IF($A2964="","",IF(COUNTIF($A$2:$A2964,$A2964)=1,1,0))</f>
        <v/>
      </c>
      <c r="V2964">
        <f>IF($U2964=1,SUMPRODUCT(--($X$2:$X$3001&lt;$X2964))+1,"")</f>
        <v/>
      </c>
      <c r="W2964">
        <f>IF($A2964="","",IF(OR($T2964=TRUE(),$T2964="TRUE"),1,0))</f>
        <v/>
      </c>
      <c r="X2964">
        <f>IF($U2964=1,IFERROR(IF(VALUE($A2964)&lt;100000000,VALUE($A2964),1000000000),IFERROR(IF(VALUE(MID($A2964,2,20))&lt;100000000,VALUE(MID($A2964,2,20)),1000000000),1000000000))+ROW()/100000,"")</f>
        <v/>
      </c>
    </row>
    <row r="2965">
      <c r="F2965" s="7">
        <f>IF($A2965="","",E2965*N2965/100)</f>
        <v/>
      </c>
      <c r="J2965" s="7" t="n"/>
      <c r="K2965" s="7">
        <f>IF($A2965="","",S2965*N2965)</f>
        <v/>
      </c>
      <c r="L2965" s="7">
        <f>IF($A2965="","",N2965-K2965)</f>
        <v/>
      </c>
      <c r="M2965" s="7">
        <f>IF($A2965="","",L2965-F2965)</f>
        <v/>
      </c>
      <c r="N2965" s="7" t="n"/>
      <c r="Q2965" s="11" t="n"/>
      <c r="S2965">
        <f>IF($A2965="","",IF($W2965=1,Settings!$C$6,Settings!$C$7)*1)</f>
        <v/>
      </c>
      <c r="U2965">
        <f>IF($A2965="","",IF(COUNTIF($A$2:$A2965,$A2965)=1,1,0))</f>
        <v/>
      </c>
      <c r="V2965">
        <f>IF($U2965=1,SUMPRODUCT(--($X$2:$X$3001&lt;$X2965))+1,"")</f>
        <v/>
      </c>
      <c r="W2965">
        <f>IF($A2965="","",IF(OR($T2965=TRUE(),$T2965="TRUE"),1,0))</f>
        <v/>
      </c>
      <c r="X2965">
        <f>IF($U2965=1,IFERROR(IF(VALUE($A2965)&lt;100000000,VALUE($A2965),1000000000),IFERROR(IF(VALUE(MID($A2965,2,20))&lt;100000000,VALUE(MID($A2965,2,20)),1000000000),1000000000))+ROW()/100000,"")</f>
        <v/>
      </c>
    </row>
    <row r="2966">
      <c r="F2966" s="7">
        <f>IF($A2966="","",E2966*N2966/100)</f>
        <v/>
      </c>
      <c r="J2966" s="7" t="n"/>
      <c r="K2966" s="7">
        <f>IF($A2966="","",S2966*N2966)</f>
        <v/>
      </c>
      <c r="L2966" s="7">
        <f>IF($A2966="","",N2966-K2966)</f>
        <v/>
      </c>
      <c r="M2966" s="7">
        <f>IF($A2966="","",L2966-F2966)</f>
        <v/>
      </c>
      <c r="N2966" s="7" t="n"/>
      <c r="Q2966" s="11" t="n"/>
      <c r="S2966">
        <f>IF($A2966="","",IF($W2966=1,Settings!$C$6,Settings!$C$7)*1)</f>
        <v/>
      </c>
      <c r="U2966">
        <f>IF($A2966="","",IF(COUNTIF($A$2:$A2966,$A2966)=1,1,0))</f>
        <v/>
      </c>
      <c r="V2966">
        <f>IF($U2966=1,SUMPRODUCT(--($X$2:$X$3001&lt;$X2966))+1,"")</f>
        <v/>
      </c>
      <c r="W2966">
        <f>IF($A2966="","",IF(OR($T2966=TRUE(),$T2966="TRUE"),1,0))</f>
        <v/>
      </c>
      <c r="X2966">
        <f>IF($U2966=1,IFERROR(IF(VALUE($A2966)&lt;100000000,VALUE($A2966),1000000000),IFERROR(IF(VALUE(MID($A2966,2,20))&lt;100000000,VALUE(MID($A2966,2,20)),1000000000),1000000000))+ROW()/100000,"")</f>
        <v/>
      </c>
    </row>
    <row r="2967">
      <c r="F2967" s="7">
        <f>IF($A2967="","",E2967*N2967/100)</f>
        <v/>
      </c>
      <c r="J2967" s="7" t="n"/>
      <c r="K2967" s="7">
        <f>IF($A2967="","",S2967*N2967)</f>
        <v/>
      </c>
      <c r="L2967" s="7">
        <f>IF($A2967="","",N2967-K2967)</f>
        <v/>
      </c>
      <c r="M2967" s="7">
        <f>IF($A2967="","",L2967-F2967)</f>
        <v/>
      </c>
      <c r="N2967" s="7" t="n"/>
      <c r="Q2967" s="11" t="n"/>
      <c r="S2967">
        <f>IF($A2967="","",IF($W2967=1,Settings!$C$6,Settings!$C$7)*1)</f>
        <v/>
      </c>
      <c r="U2967">
        <f>IF($A2967="","",IF(COUNTIF($A$2:$A2967,$A2967)=1,1,0))</f>
        <v/>
      </c>
      <c r="V2967">
        <f>IF($U2967=1,SUMPRODUCT(--($X$2:$X$3001&lt;$X2967))+1,"")</f>
        <v/>
      </c>
      <c r="W2967">
        <f>IF($A2967="","",IF(OR($T2967=TRUE(),$T2967="TRUE"),1,0))</f>
        <v/>
      </c>
      <c r="X2967">
        <f>IF($U2967=1,IFERROR(IF(VALUE($A2967)&lt;100000000,VALUE($A2967),1000000000),IFERROR(IF(VALUE(MID($A2967,2,20))&lt;100000000,VALUE(MID($A2967,2,20)),1000000000),1000000000))+ROW()/100000,"")</f>
        <v/>
      </c>
    </row>
    <row r="2968">
      <c r="F2968" s="7">
        <f>IF($A2968="","",E2968*N2968/100)</f>
        <v/>
      </c>
      <c r="J2968" s="7" t="n"/>
      <c r="K2968" s="7">
        <f>IF($A2968="","",S2968*N2968)</f>
        <v/>
      </c>
      <c r="L2968" s="7">
        <f>IF($A2968="","",N2968-K2968)</f>
        <v/>
      </c>
      <c r="M2968" s="7">
        <f>IF($A2968="","",L2968-F2968)</f>
        <v/>
      </c>
      <c r="N2968" s="7" t="n"/>
      <c r="Q2968" s="11" t="n"/>
      <c r="S2968">
        <f>IF($A2968="","",IF($W2968=1,Settings!$C$6,Settings!$C$7)*1)</f>
        <v/>
      </c>
      <c r="U2968">
        <f>IF($A2968="","",IF(COUNTIF($A$2:$A2968,$A2968)=1,1,0))</f>
        <v/>
      </c>
      <c r="V2968">
        <f>IF($U2968=1,SUMPRODUCT(--($X$2:$X$3001&lt;$X2968))+1,"")</f>
        <v/>
      </c>
      <c r="W2968">
        <f>IF($A2968="","",IF(OR($T2968=TRUE(),$T2968="TRUE"),1,0))</f>
        <v/>
      </c>
      <c r="X2968">
        <f>IF($U2968=1,IFERROR(IF(VALUE($A2968)&lt;100000000,VALUE($A2968),1000000000),IFERROR(IF(VALUE(MID($A2968,2,20))&lt;100000000,VALUE(MID($A2968,2,20)),1000000000),1000000000))+ROW()/100000,"")</f>
        <v/>
      </c>
    </row>
    <row r="2969">
      <c r="F2969" s="7">
        <f>IF($A2969="","",E2969*N2969/100)</f>
        <v/>
      </c>
      <c r="J2969" s="7" t="n"/>
      <c r="K2969" s="7">
        <f>IF($A2969="","",S2969*N2969)</f>
        <v/>
      </c>
      <c r="L2969" s="7">
        <f>IF($A2969="","",N2969-K2969)</f>
        <v/>
      </c>
      <c r="M2969" s="7">
        <f>IF($A2969="","",L2969-F2969)</f>
        <v/>
      </c>
      <c r="N2969" s="7" t="n"/>
      <c r="Q2969" s="11" t="n"/>
      <c r="S2969">
        <f>IF($A2969="","",IF($W2969=1,Settings!$C$6,Settings!$C$7)*1)</f>
        <v/>
      </c>
      <c r="U2969">
        <f>IF($A2969="","",IF(COUNTIF($A$2:$A2969,$A2969)=1,1,0))</f>
        <v/>
      </c>
      <c r="V2969">
        <f>IF($U2969=1,SUMPRODUCT(--($X$2:$X$3001&lt;$X2969))+1,"")</f>
        <v/>
      </c>
      <c r="W2969">
        <f>IF($A2969="","",IF(OR($T2969=TRUE(),$T2969="TRUE"),1,0))</f>
        <v/>
      </c>
      <c r="X2969">
        <f>IF($U2969=1,IFERROR(IF(VALUE($A2969)&lt;100000000,VALUE($A2969),1000000000),IFERROR(IF(VALUE(MID($A2969,2,20))&lt;100000000,VALUE(MID($A2969,2,20)),1000000000),1000000000))+ROW()/100000,"")</f>
        <v/>
      </c>
    </row>
    <row r="2970">
      <c r="F2970" s="7">
        <f>IF($A2970="","",E2970*N2970/100)</f>
        <v/>
      </c>
      <c r="J2970" s="7" t="n"/>
      <c r="K2970" s="7">
        <f>IF($A2970="","",S2970*N2970)</f>
        <v/>
      </c>
      <c r="L2970" s="7">
        <f>IF($A2970="","",N2970-K2970)</f>
        <v/>
      </c>
      <c r="M2970" s="7">
        <f>IF($A2970="","",L2970-F2970)</f>
        <v/>
      </c>
      <c r="N2970" s="7" t="n"/>
      <c r="Q2970" s="11" t="n"/>
      <c r="S2970">
        <f>IF($A2970="","",IF($W2970=1,Settings!$C$6,Settings!$C$7)*1)</f>
        <v/>
      </c>
      <c r="U2970">
        <f>IF($A2970="","",IF(COUNTIF($A$2:$A2970,$A2970)=1,1,0))</f>
        <v/>
      </c>
      <c r="V2970">
        <f>IF($U2970=1,SUMPRODUCT(--($X$2:$X$3001&lt;$X2970))+1,"")</f>
        <v/>
      </c>
      <c r="W2970">
        <f>IF($A2970="","",IF(OR($T2970=TRUE(),$T2970="TRUE"),1,0))</f>
        <v/>
      </c>
      <c r="X2970">
        <f>IF($U2970=1,IFERROR(IF(VALUE($A2970)&lt;100000000,VALUE($A2970),1000000000),IFERROR(IF(VALUE(MID($A2970,2,20))&lt;100000000,VALUE(MID($A2970,2,20)),1000000000),1000000000))+ROW()/100000,"")</f>
        <v/>
      </c>
    </row>
    <row r="2971">
      <c r="F2971" s="7">
        <f>IF($A2971="","",E2971*N2971/100)</f>
        <v/>
      </c>
      <c r="J2971" s="7" t="n"/>
      <c r="K2971" s="7">
        <f>IF($A2971="","",S2971*N2971)</f>
        <v/>
      </c>
      <c r="L2971" s="7">
        <f>IF($A2971="","",N2971-K2971)</f>
        <v/>
      </c>
      <c r="M2971" s="7">
        <f>IF($A2971="","",L2971-F2971)</f>
        <v/>
      </c>
      <c r="N2971" s="7" t="n"/>
      <c r="Q2971" s="11" t="n"/>
      <c r="S2971">
        <f>IF($A2971="","",IF($W2971=1,Settings!$C$6,Settings!$C$7)*1)</f>
        <v/>
      </c>
      <c r="U2971">
        <f>IF($A2971="","",IF(COUNTIF($A$2:$A2971,$A2971)=1,1,0))</f>
        <v/>
      </c>
      <c r="V2971">
        <f>IF($U2971=1,SUMPRODUCT(--($X$2:$X$3001&lt;$X2971))+1,"")</f>
        <v/>
      </c>
      <c r="W2971">
        <f>IF($A2971="","",IF(OR($T2971=TRUE(),$T2971="TRUE"),1,0))</f>
        <v/>
      </c>
      <c r="X2971">
        <f>IF($U2971=1,IFERROR(IF(VALUE($A2971)&lt;100000000,VALUE($A2971),1000000000),IFERROR(IF(VALUE(MID($A2971,2,20))&lt;100000000,VALUE(MID($A2971,2,20)),1000000000),1000000000))+ROW()/100000,"")</f>
        <v/>
      </c>
    </row>
    <row r="2972">
      <c r="F2972" s="7">
        <f>IF($A2972="","",E2972*N2972/100)</f>
        <v/>
      </c>
      <c r="J2972" s="7" t="n"/>
      <c r="K2972" s="7">
        <f>IF($A2972="","",S2972*N2972)</f>
        <v/>
      </c>
      <c r="L2972" s="7">
        <f>IF($A2972="","",N2972-K2972)</f>
        <v/>
      </c>
      <c r="M2972" s="7">
        <f>IF($A2972="","",L2972-F2972)</f>
        <v/>
      </c>
      <c r="N2972" s="7" t="n"/>
      <c r="Q2972" s="11" t="n"/>
      <c r="S2972">
        <f>IF($A2972="","",IF($W2972=1,Settings!$C$6,Settings!$C$7)*1)</f>
        <v/>
      </c>
      <c r="U2972">
        <f>IF($A2972="","",IF(COUNTIF($A$2:$A2972,$A2972)=1,1,0))</f>
        <v/>
      </c>
      <c r="V2972">
        <f>IF($U2972=1,SUMPRODUCT(--($X$2:$X$3001&lt;$X2972))+1,"")</f>
        <v/>
      </c>
      <c r="W2972">
        <f>IF($A2972="","",IF(OR($T2972=TRUE(),$T2972="TRUE"),1,0))</f>
        <v/>
      </c>
      <c r="X2972">
        <f>IF($U2972=1,IFERROR(IF(VALUE($A2972)&lt;100000000,VALUE($A2972),1000000000),IFERROR(IF(VALUE(MID($A2972,2,20))&lt;100000000,VALUE(MID($A2972,2,20)),1000000000),1000000000))+ROW()/100000,"")</f>
        <v/>
      </c>
    </row>
    <row r="2973">
      <c r="F2973" s="7">
        <f>IF($A2973="","",E2973*N2973/100)</f>
        <v/>
      </c>
      <c r="J2973" s="7" t="n"/>
      <c r="K2973" s="7">
        <f>IF($A2973="","",S2973*N2973)</f>
        <v/>
      </c>
      <c r="L2973" s="7">
        <f>IF($A2973="","",N2973-K2973)</f>
        <v/>
      </c>
      <c r="M2973" s="7">
        <f>IF($A2973="","",L2973-F2973)</f>
        <v/>
      </c>
      <c r="N2973" s="7" t="n"/>
      <c r="Q2973" s="11" t="n"/>
      <c r="S2973">
        <f>IF($A2973="","",IF($W2973=1,Settings!$C$6,Settings!$C$7)*1)</f>
        <v/>
      </c>
      <c r="U2973">
        <f>IF($A2973="","",IF(COUNTIF($A$2:$A2973,$A2973)=1,1,0))</f>
        <v/>
      </c>
      <c r="V2973">
        <f>IF($U2973=1,SUMPRODUCT(--($X$2:$X$3001&lt;$X2973))+1,"")</f>
        <v/>
      </c>
      <c r="W2973">
        <f>IF($A2973="","",IF(OR($T2973=TRUE(),$T2973="TRUE"),1,0))</f>
        <v/>
      </c>
      <c r="X2973">
        <f>IF($U2973=1,IFERROR(IF(VALUE($A2973)&lt;100000000,VALUE($A2973),1000000000),IFERROR(IF(VALUE(MID($A2973,2,20))&lt;100000000,VALUE(MID($A2973,2,20)),1000000000),1000000000))+ROW()/100000,"")</f>
        <v/>
      </c>
    </row>
    <row r="2974">
      <c r="F2974" s="7">
        <f>IF($A2974="","",E2974*N2974/100)</f>
        <v/>
      </c>
      <c r="J2974" s="7" t="n"/>
      <c r="K2974" s="7">
        <f>IF($A2974="","",S2974*N2974)</f>
        <v/>
      </c>
      <c r="L2974" s="7">
        <f>IF($A2974="","",N2974-K2974)</f>
        <v/>
      </c>
      <c r="M2974" s="7">
        <f>IF($A2974="","",L2974-F2974)</f>
        <v/>
      </c>
      <c r="N2974" s="7" t="n"/>
      <c r="Q2974" s="11" t="n"/>
      <c r="S2974">
        <f>IF($A2974="","",IF($W2974=1,Settings!$C$6,Settings!$C$7)*1)</f>
        <v/>
      </c>
      <c r="U2974">
        <f>IF($A2974="","",IF(COUNTIF($A$2:$A2974,$A2974)=1,1,0))</f>
        <v/>
      </c>
      <c r="V2974">
        <f>IF($U2974=1,SUMPRODUCT(--($X$2:$X$3001&lt;$X2974))+1,"")</f>
        <v/>
      </c>
      <c r="W2974">
        <f>IF($A2974="","",IF(OR($T2974=TRUE(),$T2974="TRUE"),1,0))</f>
        <v/>
      </c>
      <c r="X2974">
        <f>IF($U2974=1,IFERROR(IF(VALUE($A2974)&lt;100000000,VALUE($A2974),1000000000),IFERROR(IF(VALUE(MID($A2974,2,20))&lt;100000000,VALUE(MID($A2974,2,20)),1000000000),1000000000))+ROW()/100000,"")</f>
        <v/>
      </c>
    </row>
    <row r="2975">
      <c r="F2975" s="7">
        <f>IF($A2975="","",E2975*N2975/100)</f>
        <v/>
      </c>
      <c r="J2975" s="7" t="n"/>
      <c r="K2975" s="7">
        <f>IF($A2975="","",S2975*N2975)</f>
        <v/>
      </c>
      <c r="L2975" s="7">
        <f>IF($A2975="","",N2975-K2975)</f>
        <v/>
      </c>
      <c r="M2975" s="7">
        <f>IF($A2975="","",L2975-F2975)</f>
        <v/>
      </c>
      <c r="N2975" s="7" t="n"/>
      <c r="Q2975" s="11" t="n"/>
      <c r="S2975">
        <f>IF($A2975="","",IF($W2975=1,Settings!$C$6,Settings!$C$7)*1)</f>
        <v/>
      </c>
      <c r="U2975">
        <f>IF($A2975="","",IF(COUNTIF($A$2:$A2975,$A2975)=1,1,0))</f>
        <v/>
      </c>
      <c r="V2975">
        <f>IF($U2975=1,SUMPRODUCT(--($X$2:$X$3001&lt;$X2975))+1,"")</f>
        <v/>
      </c>
      <c r="W2975">
        <f>IF($A2975="","",IF(OR($T2975=TRUE(),$T2975="TRUE"),1,0))</f>
        <v/>
      </c>
      <c r="X2975">
        <f>IF($U2975=1,IFERROR(IF(VALUE($A2975)&lt;100000000,VALUE($A2975),1000000000),IFERROR(IF(VALUE(MID($A2975,2,20))&lt;100000000,VALUE(MID($A2975,2,20)),1000000000),1000000000))+ROW()/100000,"")</f>
        <v/>
      </c>
    </row>
    <row r="2976">
      <c r="F2976" s="7">
        <f>IF($A2976="","",E2976*N2976/100)</f>
        <v/>
      </c>
      <c r="J2976" s="7" t="n"/>
      <c r="K2976" s="7">
        <f>IF($A2976="","",S2976*N2976)</f>
        <v/>
      </c>
      <c r="L2976" s="7">
        <f>IF($A2976="","",N2976-K2976)</f>
        <v/>
      </c>
      <c r="M2976" s="7">
        <f>IF($A2976="","",L2976-F2976)</f>
        <v/>
      </c>
      <c r="N2976" s="7" t="n"/>
      <c r="Q2976" s="11" t="n"/>
      <c r="S2976">
        <f>IF($A2976="","",IF($W2976=1,Settings!$C$6,Settings!$C$7)*1)</f>
        <v/>
      </c>
      <c r="U2976">
        <f>IF($A2976="","",IF(COUNTIF($A$2:$A2976,$A2976)=1,1,0))</f>
        <v/>
      </c>
      <c r="V2976">
        <f>IF($U2976=1,SUMPRODUCT(--($X$2:$X$3001&lt;$X2976))+1,"")</f>
        <v/>
      </c>
      <c r="W2976">
        <f>IF($A2976="","",IF(OR($T2976=TRUE(),$T2976="TRUE"),1,0))</f>
        <v/>
      </c>
      <c r="X2976">
        <f>IF($U2976=1,IFERROR(IF(VALUE($A2976)&lt;100000000,VALUE($A2976),1000000000),IFERROR(IF(VALUE(MID($A2976,2,20))&lt;100000000,VALUE(MID($A2976,2,20)),1000000000),1000000000))+ROW()/100000,"")</f>
        <v/>
      </c>
    </row>
    <row r="2977">
      <c r="F2977" s="7">
        <f>IF($A2977="","",E2977*N2977/100)</f>
        <v/>
      </c>
      <c r="J2977" s="7" t="n"/>
      <c r="K2977" s="7">
        <f>IF($A2977="","",S2977*N2977)</f>
        <v/>
      </c>
      <c r="L2977" s="7">
        <f>IF($A2977="","",N2977-K2977)</f>
        <v/>
      </c>
      <c r="M2977" s="7">
        <f>IF($A2977="","",L2977-F2977)</f>
        <v/>
      </c>
      <c r="N2977" s="7" t="n"/>
      <c r="Q2977" s="11" t="n"/>
      <c r="S2977">
        <f>IF($A2977="","",IF($W2977=1,Settings!$C$6,Settings!$C$7)*1)</f>
        <v/>
      </c>
      <c r="U2977">
        <f>IF($A2977="","",IF(COUNTIF($A$2:$A2977,$A2977)=1,1,0))</f>
        <v/>
      </c>
      <c r="V2977">
        <f>IF($U2977=1,SUMPRODUCT(--($X$2:$X$3001&lt;$X2977))+1,"")</f>
        <v/>
      </c>
      <c r="W2977">
        <f>IF($A2977="","",IF(OR($T2977=TRUE(),$T2977="TRUE"),1,0))</f>
        <v/>
      </c>
      <c r="X2977">
        <f>IF($U2977=1,IFERROR(IF(VALUE($A2977)&lt;100000000,VALUE($A2977),1000000000),IFERROR(IF(VALUE(MID($A2977,2,20))&lt;100000000,VALUE(MID($A2977,2,20)),1000000000),1000000000))+ROW()/100000,"")</f>
        <v/>
      </c>
    </row>
    <row r="2978">
      <c r="F2978" s="7">
        <f>IF($A2978="","",E2978*N2978/100)</f>
        <v/>
      </c>
      <c r="J2978" s="7" t="n"/>
      <c r="K2978" s="7">
        <f>IF($A2978="","",S2978*N2978)</f>
        <v/>
      </c>
      <c r="L2978" s="7">
        <f>IF($A2978="","",N2978-K2978)</f>
        <v/>
      </c>
      <c r="M2978" s="7">
        <f>IF($A2978="","",L2978-F2978)</f>
        <v/>
      </c>
      <c r="N2978" s="7" t="n"/>
      <c r="Q2978" s="11" t="n"/>
      <c r="S2978">
        <f>IF($A2978="","",IF($W2978=1,Settings!$C$6,Settings!$C$7)*1)</f>
        <v/>
      </c>
      <c r="U2978">
        <f>IF($A2978="","",IF(COUNTIF($A$2:$A2978,$A2978)=1,1,0))</f>
        <v/>
      </c>
      <c r="V2978">
        <f>IF($U2978=1,SUMPRODUCT(--($X$2:$X$3001&lt;$X2978))+1,"")</f>
        <v/>
      </c>
      <c r="W2978">
        <f>IF($A2978="","",IF(OR($T2978=TRUE(),$T2978="TRUE"),1,0))</f>
        <v/>
      </c>
      <c r="X2978">
        <f>IF($U2978=1,IFERROR(IF(VALUE($A2978)&lt;100000000,VALUE($A2978),1000000000),IFERROR(IF(VALUE(MID($A2978,2,20))&lt;100000000,VALUE(MID($A2978,2,20)),1000000000),1000000000))+ROW()/100000,"")</f>
        <v/>
      </c>
    </row>
    <row r="2979">
      <c r="F2979" s="7">
        <f>IF($A2979="","",E2979*N2979/100)</f>
        <v/>
      </c>
      <c r="J2979" s="7" t="n"/>
      <c r="K2979" s="7">
        <f>IF($A2979="","",S2979*N2979)</f>
        <v/>
      </c>
      <c r="L2979" s="7">
        <f>IF($A2979="","",N2979-K2979)</f>
        <v/>
      </c>
      <c r="M2979" s="7">
        <f>IF($A2979="","",L2979-F2979)</f>
        <v/>
      </c>
      <c r="N2979" s="7" t="n"/>
      <c r="Q2979" s="11" t="n"/>
      <c r="S2979">
        <f>IF($A2979="","",IF($W2979=1,Settings!$C$6,Settings!$C$7)*1)</f>
        <v/>
      </c>
      <c r="U2979">
        <f>IF($A2979="","",IF(COUNTIF($A$2:$A2979,$A2979)=1,1,0))</f>
        <v/>
      </c>
      <c r="V2979">
        <f>IF($U2979=1,SUMPRODUCT(--($X$2:$X$3001&lt;$X2979))+1,"")</f>
        <v/>
      </c>
      <c r="W2979">
        <f>IF($A2979="","",IF(OR($T2979=TRUE(),$T2979="TRUE"),1,0))</f>
        <v/>
      </c>
      <c r="X2979">
        <f>IF($U2979=1,IFERROR(IF(VALUE($A2979)&lt;100000000,VALUE($A2979),1000000000),IFERROR(IF(VALUE(MID($A2979,2,20))&lt;100000000,VALUE(MID($A2979,2,20)),1000000000),1000000000))+ROW()/100000,"")</f>
        <v/>
      </c>
    </row>
    <row r="2980">
      <c r="F2980" s="7">
        <f>IF($A2980="","",E2980*N2980/100)</f>
        <v/>
      </c>
      <c r="J2980" s="7" t="n"/>
      <c r="K2980" s="7">
        <f>IF($A2980="","",S2980*N2980)</f>
        <v/>
      </c>
      <c r="L2980" s="7">
        <f>IF($A2980="","",N2980-K2980)</f>
        <v/>
      </c>
      <c r="M2980" s="7">
        <f>IF($A2980="","",L2980-F2980)</f>
        <v/>
      </c>
      <c r="N2980" s="7" t="n"/>
      <c r="Q2980" s="11" t="n"/>
      <c r="S2980">
        <f>IF($A2980="","",IF($W2980=1,Settings!$C$6,Settings!$C$7)*1)</f>
        <v/>
      </c>
      <c r="U2980">
        <f>IF($A2980="","",IF(COUNTIF($A$2:$A2980,$A2980)=1,1,0))</f>
        <v/>
      </c>
      <c r="V2980">
        <f>IF($U2980=1,SUMPRODUCT(--($X$2:$X$3001&lt;$X2980))+1,"")</f>
        <v/>
      </c>
      <c r="W2980">
        <f>IF($A2980="","",IF(OR($T2980=TRUE(),$T2980="TRUE"),1,0))</f>
        <v/>
      </c>
      <c r="X2980">
        <f>IF($U2980=1,IFERROR(IF(VALUE($A2980)&lt;100000000,VALUE($A2980),1000000000),IFERROR(IF(VALUE(MID($A2980,2,20))&lt;100000000,VALUE(MID($A2980,2,20)),1000000000),1000000000))+ROW()/100000,"")</f>
        <v/>
      </c>
    </row>
    <row r="2981">
      <c r="F2981" s="7">
        <f>IF($A2981="","",E2981*N2981/100)</f>
        <v/>
      </c>
      <c r="J2981" s="7" t="n"/>
      <c r="K2981" s="7">
        <f>IF($A2981="","",S2981*N2981)</f>
        <v/>
      </c>
      <c r="L2981" s="7">
        <f>IF($A2981="","",N2981-K2981)</f>
        <v/>
      </c>
      <c r="M2981" s="7">
        <f>IF($A2981="","",L2981-F2981)</f>
        <v/>
      </c>
      <c r="N2981" s="7" t="n"/>
      <c r="Q2981" s="11" t="n"/>
      <c r="S2981">
        <f>IF($A2981="","",IF($W2981=1,Settings!$C$6,Settings!$C$7)*1)</f>
        <v/>
      </c>
      <c r="U2981">
        <f>IF($A2981="","",IF(COUNTIF($A$2:$A2981,$A2981)=1,1,0))</f>
        <v/>
      </c>
      <c r="V2981">
        <f>IF($U2981=1,SUMPRODUCT(--($X$2:$X$3001&lt;$X2981))+1,"")</f>
        <v/>
      </c>
      <c r="W2981">
        <f>IF($A2981="","",IF(OR($T2981=TRUE(),$T2981="TRUE"),1,0))</f>
        <v/>
      </c>
      <c r="X2981">
        <f>IF($U2981=1,IFERROR(IF(VALUE($A2981)&lt;100000000,VALUE($A2981),1000000000),IFERROR(IF(VALUE(MID($A2981,2,20))&lt;100000000,VALUE(MID($A2981,2,20)),1000000000),1000000000))+ROW()/100000,"")</f>
        <v/>
      </c>
    </row>
    <row r="2982">
      <c r="F2982" s="7">
        <f>IF($A2982="","",E2982*N2982/100)</f>
        <v/>
      </c>
      <c r="J2982" s="7" t="n"/>
      <c r="K2982" s="7">
        <f>IF($A2982="","",S2982*N2982)</f>
        <v/>
      </c>
      <c r="L2982" s="7">
        <f>IF($A2982="","",N2982-K2982)</f>
        <v/>
      </c>
      <c r="M2982" s="7">
        <f>IF($A2982="","",L2982-F2982)</f>
        <v/>
      </c>
      <c r="N2982" s="7" t="n"/>
      <c r="Q2982" s="11" t="n"/>
      <c r="S2982">
        <f>IF($A2982="","",IF($W2982=1,Settings!$C$6,Settings!$C$7)*1)</f>
        <v/>
      </c>
      <c r="U2982">
        <f>IF($A2982="","",IF(COUNTIF($A$2:$A2982,$A2982)=1,1,0))</f>
        <v/>
      </c>
      <c r="V2982">
        <f>IF($U2982=1,SUMPRODUCT(--($X$2:$X$3001&lt;$X2982))+1,"")</f>
        <v/>
      </c>
      <c r="W2982">
        <f>IF($A2982="","",IF(OR($T2982=TRUE(),$T2982="TRUE"),1,0))</f>
        <v/>
      </c>
      <c r="X2982">
        <f>IF($U2982=1,IFERROR(IF(VALUE($A2982)&lt;100000000,VALUE($A2982),1000000000),IFERROR(IF(VALUE(MID($A2982,2,20))&lt;100000000,VALUE(MID($A2982,2,20)),1000000000),1000000000))+ROW()/100000,"")</f>
        <v/>
      </c>
    </row>
    <row r="2983">
      <c r="F2983" s="7">
        <f>IF($A2983="","",E2983*N2983/100)</f>
        <v/>
      </c>
      <c r="J2983" s="7" t="n"/>
      <c r="K2983" s="7">
        <f>IF($A2983="","",S2983*N2983)</f>
        <v/>
      </c>
      <c r="L2983" s="7">
        <f>IF($A2983="","",N2983-K2983)</f>
        <v/>
      </c>
      <c r="M2983" s="7">
        <f>IF($A2983="","",L2983-F2983)</f>
        <v/>
      </c>
      <c r="N2983" s="7" t="n"/>
      <c r="Q2983" s="11" t="n"/>
      <c r="S2983">
        <f>IF($A2983="","",IF($W2983=1,Settings!$C$6,Settings!$C$7)*1)</f>
        <v/>
      </c>
      <c r="U2983">
        <f>IF($A2983="","",IF(COUNTIF($A$2:$A2983,$A2983)=1,1,0))</f>
        <v/>
      </c>
      <c r="V2983">
        <f>IF($U2983=1,SUMPRODUCT(--($X$2:$X$3001&lt;$X2983))+1,"")</f>
        <v/>
      </c>
      <c r="W2983">
        <f>IF($A2983="","",IF(OR($T2983=TRUE(),$T2983="TRUE"),1,0))</f>
        <v/>
      </c>
      <c r="X2983">
        <f>IF($U2983=1,IFERROR(IF(VALUE($A2983)&lt;100000000,VALUE($A2983),1000000000),IFERROR(IF(VALUE(MID($A2983,2,20))&lt;100000000,VALUE(MID($A2983,2,20)),1000000000),1000000000))+ROW()/100000,"")</f>
        <v/>
      </c>
    </row>
    <row r="2984">
      <c r="F2984" s="7">
        <f>IF($A2984="","",E2984*N2984/100)</f>
        <v/>
      </c>
      <c r="J2984" s="7" t="n"/>
      <c r="K2984" s="7">
        <f>IF($A2984="","",S2984*N2984)</f>
        <v/>
      </c>
      <c r="L2984" s="7">
        <f>IF($A2984="","",N2984-K2984)</f>
        <v/>
      </c>
      <c r="M2984" s="7">
        <f>IF($A2984="","",L2984-F2984)</f>
        <v/>
      </c>
      <c r="N2984" s="7" t="n"/>
      <c r="Q2984" s="11" t="n"/>
      <c r="S2984">
        <f>IF($A2984="","",IF($W2984=1,Settings!$C$6,Settings!$C$7)*1)</f>
        <v/>
      </c>
      <c r="U2984">
        <f>IF($A2984="","",IF(COUNTIF($A$2:$A2984,$A2984)=1,1,0))</f>
        <v/>
      </c>
      <c r="V2984">
        <f>IF($U2984=1,SUMPRODUCT(--($X$2:$X$3001&lt;$X2984))+1,"")</f>
        <v/>
      </c>
      <c r="W2984">
        <f>IF($A2984="","",IF(OR($T2984=TRUE(),$T2984="TRUE"),1,0))</f>
        <v/>
      </c>
      <c r="X2984">
        <f>IF($U2984=1,IFERROR(IF(VALUE($A2984)&lt;100000000,VALUE($A2984),1000000000),IFERROR(IF(VALUE(MID($A2984,2,20))&lt;100000000,VALUE(MID($A2984,2,20)),1000000000),1000000000))+ROW()/100000,"")</f>
        <v/>
      </c>
    </row>
    <row r="2985">
      <c r="F2985" s="7">
        <f>IF($A2985="","",E2985*N2985/100)</f>
        <v/>
      </c>
      <c r="J2985" s="7" t="n"/>
      <c r="K2985" s="7">
        <f>IF($A2985="","",S2985*N2985)</f>
        <v/>
      </c>
      <c r="L2985" s="7">
        <f>IF($A2985="","",N2985-K2985)</f>
        <v/>
      </c>
      <c r="M2985" s="7">
        <f>IF($A2985="","",L2985-F2985)</f>
        <v/>
      </c>
      <c r="N2985" s="7" t="n"/>
      <c r="Q2985" s="11" t="n"/>
      <c r="S2985">
        <f>IF($A2985="","",IF($W2985=1,Settings!$C$6,Settings!$C$7)*1)</f>
        <v/>
      </c>
      <c r="U2985">
        <f>IF($A2985="","",IF(COUNTIF($A$2:$A2985,$A2985)=1,1,0))</f>
        <v/>
      </c>
      <c r="V2985">
        <f>IF($U2985=1,SUMPRODUCT(--($X$2:$X$3001&lt;$X2985))+1,"")</f>
        <v/>
      </c>
      <c r="W2985">
        <f>IF($A2985="","",IF(OR($T2985=TRUE(),$T2985="TRUE"),1,0))</f>
        <v/>
      </c>
      <c r="X2985">
        <f>IF($U2985=1,IFERROR(IF(VALUE($A2985)&lt;100000000,VALUE($A2985),1000000000),IFERROR(IF(VALUE(MID($A2985,2,20))&lt;100000000,VALUE(MID($A2985,2,20)),1000000000),1000000000))+ROW()/100000,"")</f>
        <v/>
      </c>
    </row>
    <row r="2986">
      <c r="F2986" s="7">
        <f>IF($A2986="","",E2986*N2986/100)</f>
        <v/>
      </c>
      <c r="J2986" s="7" t="n"/>
      <c r="K2986" s="7">
        <f>IF($A2986="","",S2986*N2986)</f>
        <v/>
      </c>
      <c r="L2986" s="7">
        <f>IF($A2986="","",N2986-K2986)</f>
        <v/>
      </c>
      <c r="M2986" s="7">
        <f>IF($A2986="","",L2986-F2986)</f>
        <v/>
      </c>
      <c r="N2986" s="7" t="n"/>
      <c r="Q2986" s="11" t="n"/>
      <c r="S2986">
        <f>IF($A2986="","",IF($W2986=1,Settings!$C$6,Settings!$C$7)*1)</f>
        <v/>
      </c>
      <c r="U2986">
        <f>IF($A2986="","",IF(COUNTIF($A$2:$A2986,$A2986)=1,1,0))</f>
        <v/>
      </c>
      <c r="V2986">
        <f>IF($U2986=1,SUMPRODUCT(--($X$2:$X$3001&lt;$X2986))+1,"")</f>
        <v/>
      </c>
      <c r="W2986">
        <f>IF($A2986="","",IF(OR($T2986=TRUE(),$T2986="TRUE"),1,0))</f>
        <v/>
      </c>
      <c r="X2986">
        <f>IF($U2986=1,IFERROR(IF(VALUE($A2986)&lt;100000000,VALUE($A2986),1000000000),IFERROR(IF(VALUE(MID($A2986,2,20))&lt;100000000,VALUE(MID($A2986,2,20)),1000000000),1000000000))+ROW()/100000,"")</f>
        <v/>
      </c>
    </row>
    <row r="2987">
      <c r="F2987" s="7">
        <f>IF($A2987="","",E2987*N2987/100)</f>
        <v/>
      </c>
      <c r="J2987" s="7" t="n"/>
      <c r="K2987" s="7">
        <f>IF($A2987="","",S2987*N2987)</f>
        <v/>
      </c>
      <c r="L2987" s="7">
        <f>IF($A2987="","",N2987-K2987)</f>
        <v/>
      </c>
      <c r="M2987" s="7">
        <f>IF($A2987="","",L2987-F2987)</f>
        <v/>
      </c>
      <c r="N2987" s="7" t="n"/>
      <c r="Q2987" s="11" t="n"/>
      <c r="S2987">
        <f>IF($A2987="","",IF($W2987=1,Settings!$C$6,Settings!$C$7)*1)</f>
        <v/>
      </c>
      <c r="U2987">
        <f>IF($A2987="","",IF(COUNTIF($A$2:$A2987,$A2987)=1,1,0))</f>
        <v/>
      </c>
      <c r="V2987">
        <f>IF($U2987=1,SUMPRODUCT(--($X$2:$X$3001&lt;$X2987))+1,"")</f>
        <v/>
      </c>
      <c r="W2987">
        <f>IF($A2987="","",IF(OR($T2987=TRUE(),$T2987="TRUE"),1,0))</f>
        <v/>
      </c>
      <c r="X2987">
        <f>IF($U2987=1,IFERROR(IF(VALUE($A2987)&lt;100000000,VALUE($A2987),1000000000),IFERROR(IF(VALUE(MID($A2987,2,20))&lt;100000000,VALUE(MID($A2987,2,20)),1000000000),1000000000))+ROW()/100000,"")</f>
        <v/>
      </c>
    </row>
    <row r="2988">
      <c r="F2988" s="7">
        <f>IF($A2988="","",E2988*N2988/100)</f>
        <v/>
      </c>
      <c r="J2988" s="7" t="n"/>
      <c r="K2988" s="7">
        <f>IF($A2988="","",S2988*N2988)</f>
        <v/>
      </c>
      <c r="L2988" s="7">
        <f>IF($A2988="","",N2988-K2988)</f>
        <v/>
      </c>
      <c r="M2988" s="7">
        <f>IF($A2988="","",L2988-F2988)</f>
        <v/>
      </c>
      <c r="N2988" s="7" t="n"/>
      <c r="Q2988" s="11" t="n"/>
      <c r="S2988">
        <f>IF($A2988="","",IF($W2988=1,Settings!$C$6,Settings!$C$7)*1)</f>
        <v/>
      </c>
      <c r="U2988">
        <f>IF($A2988="","",IF(COUNTIF($A$2:$A2988,$A2988)=1,1,0))</f>
        <v/>
      </c>
      <c r="V2988">
        <f>IF($U2988=1,SUMPRODUCT(--($X$2:$X$3001&lt;$X2988))+1,"")</f>
        <v/>
      </c>
      <c r="W2988">
        <f>IF($A2988="","",IF(OR($T2988=TRUE(),$T2988="TRUE"),1,0))</f>
        <v/>
      </c>
      <c r="X2988">
        <f>IF($U2988=1,IFERROR(IF(VALUE($A2988)&lt;100000000,VALUE($A2988),1000000000),IFERROR(IF(VALUE(MID($A2988,2,20))&lt;100000000,VALUE(MID($A2988,2,20)),1000000000),1000000000))+ROW()/100000,"")</f>
        <v/>
      </c>
    </row>
    <row r="2989">
      <c r="F2989" s="7">
        <f>IF($A2989="","",E2989*N2989/100)</f>
        <v/>
      </c>
      <c r="J2989" s="7" t="n"/>
      <c r="K2989" s="7">
        <f>IF($A2989="","",S2989*N2989)</f>
        <v/>
      </c>
      <c r="L2989" s="7">
        <f>IF($A2989="","",N2989-K2989)</f>
        <v/>
      </c>
      <c r="M2989" s="7">
        <f>IF($A2989="","",L2989-F2989)</f>
        <v/>
      </c>
      <c r="N2989" s="7" t="n"/>
      <c r="Q2989" s="11" t="n"/>
      <c r="S2989">
        <f>IF($A2989="","",IF($W2989=1,Settings!$C$6,Settings!$C$7)*1)</f>
        <v/>
      </c>
      <c r="U2989">
        <f>IF($A2989="","",IF(COUNTIF($A$2:$A2989,$A2989)=1,1,0))</f>
        <v/>
      </c>
      <c r="V2989">
        <f>IF($U2989=1,SUMPRODUCT(--($X$2:$X$3001&lt;$X2989))+1,"")</f>
        <v/>
      </c>
      <c r="W2989">
        <f>IF($A2989="","",IF(OR($T2989=TRUE(),$T2989="TRUE"),1,0))</f>
        <v/>
      </c>
      <c r="X2989">
        <f>IF($U2989=1,IFERROR(IF(VALUE($A2989)&lt;100000000,VALUE($A2989),1000000000),IFERROR(IF(VALUE(MID($A2989,2,20))&lt;100000000,VALUE(MID($A2989,2,20)),1000000000),1000000000))+ROW()/100000,"")</f>
        <v/>
      </c>
    </row>
    <row r="2990">
      <c r="F2990" s="7">
        <f>IF($A2990="","",E2990*N2990/100)</f>
        <v/>
      </c>
      <c r="J2990" s="7" t="n"/>
      <c r="K2990" s="7">
        <f>IF($A2990="","",S2990*N2990)</f>
        <v/>
      </c>
      <c r="L2990" s="7">
        <f>IF($A2990="","",N2990-K2990)</f>
        <v/>
      </c>
      <c r="M2990" s="7">
        <f>IF($A2990="","",L2990-F2990)</f>
        <v/>
      </c>
      <c r="N2990" s="7" t="n"/>
      <c r="Q2990" s="11" t="n"/>
      <c r="S2990">
        <f>IF($A2990="","",IF($W2990=1,Settings!$C$6,Settings!$C$7)*1)</f>
        <v/>
      </c>
      <c r="U2990">
        <f>IF($A2990="","",IF(COUNTIF($A$2:$A2990,$A2990)=1,1,0))</f>
        <v/>
      </c>
      <c r="V2990">
        <f>IF($U2990=1,SUMPRODUCT(--($X$2:$X$3001&lt;$X2990))+1,"")</f>
        <v/>
      </c>
      <c r="W2990">
        <f>IF($A2990="","",IF(OR($T2990=TRUE(),$T2990="TRUE"),1,0))</f>
        <v/>
      </c>
      <c r="X2990">
        <f>IF($U2990=1,IFERROR(IF(VALUE($A2990)&lt;100000000,VALUE($A2990),1000000000),IFERROR(IF(VALUE(MID($A2990,2,20))&lt;100000000,VALUE(MID($A2990,2,20)),1000000000),1000000000))+ROW()/100000,"")</f>
        <v/>
      </c>
    </row>
    <row r="2991">
      <c r="F2991" s="7">
        <f>IF($A2991="","",E2991*N2991/100)</f>
        <v/>
      </c>
      <c r="J2991" s="7" t="n"/>
      <c r="K2991" s="7">
        <f>IF($A2991="","",S2991*N2991)</f>
        <v/>
      </c>
      <c r="L2991" s="7">
        <f>IF($A2991="","",N2991-K2991)</f>
        <v/>
      </c>
      <c r="M2991" s="7">
        <f>IF($A2991="","",L2991-F2991)</f>
        <v/>
      </c>
      <c r="N2991" s="7" t="n"/>
      <c r="Q2991" s="11" t="n"/>
      <c r="S2991">
        <f>IF($A2991="","",IF($W2991=1,Settings!$C$6,Settings!$C$7)*1)</f>
        <v/>
      </c>
      <c r="U2991">
        <f>IF($A2991="","",IF(COUNTIF($A$2:$A2991,$A2991)=1,1,0))</f>
        <v/>
      </c>
      <c r="V2991">
        <f>IF($U2991=1,SUMPRODUCT(--($X$2:$X$3001&lt;$X2991))+1,"")</f>
        <v/>
      </c>
      <c r="W2991">
        <f>IF($A2991="","",IF(OR($T2991=TRUE(),$T2991="TRUE"),1,0))</f>
        <v/>
      </c>
      <c r="X2991">
        <f>IF($U2991=1,IFERROR(IF(VALUE($A2991)&lt;100000000,VALUE($A2991),1000000000),IFERROR(IF(VALUE(MID($A2991,2,20))&lt;100000000,VALUE(MID($A2991,2,20)),1000000000),1000000000))+ROW()/100000,"")</f>
        <v/>
      </c>
    </row>
    <row r="2992">
      <c r="F2992" s="7">
        <f>IF($A2992="","",E2992*N2992/100)</f>
        <v/>
      </c>
      <c r="J2992" s="7" t="n"/>
      <c r="K2992" s="7">
        <f>IF($A2992="","",S2992*N2992)</f>
        <v/>
      </c>
      <c r="L2992" s="7">
        <f>IF($A2992="","",N2992-K2992)</f>
        <v/>
      </c>
      <c r="M2992" s="7">
        <f>IF($A2992="","",L2992-F2992)</f>
        <v/>
      </c>
      <c r="N2992" s="7" t="n"/>
      <c r="Q2992" s="11" t="n"/>
      <c r="S2992">
        <f>IF($A2992="","",IF($W2992=1,Settings!$C$6,Settings!$C$7)*1)</f>
        <v/>
      </c>
      <c r="U2992">
        <f>IF($A2992="","",IF(COUNTIF($A$2:$A2992,$A2992)=1,1,0))</f>
        <v/>
      </c>
      <c r="V2992">
        <f>IF($U2992=1,SUMPRODUCT(--($X$2:$X$3001&lt;$X2992))+1,"")</f>
        <v/>
      </c>
      <c r="W2992">
        <f>IF($A2992="","",IF(OR($T2992=TRUE(),$T2992="TRUE"),1,0))</f>
        <v/>
      </c>
      <c r="X2992">
        <f>IF($U2992=1,IFERROR(IF(VALUE($A2992)&lt;100000000,VALUE($A2992),1000000000),IFERROR(IF(VALUE(MID($A2992,2,20))&lt;100000000,VALUE(MID($A2992,2,20)),1000000000),1000000000))+ROW()/100000,"")</f>
        <v/>
      </c>
    </row>
    <row r="2993">
      <c r="F2993" s="7">
        <f>IF($A2993="","",E2993*N2993/100)</f>
        <v/>
      </c>
      <c r="J2993" s="7" t="n"/>
      <c r="K2993" s="7">
        <f>IF($A2993="","",S2993*N2993)</f>
        <v/>
      </c>
      <c r="L2993" s="7">
        <f>IF($A2993="","",N2993-K2993)</f>
        <v/>
      </c>
      <c r="M2993" s="7">
        <f>IF($A2993="","",L2993-F2993)</f>
        <v/>
      </c>
      <c r="N2993" s="7" t="n"/>
      <c r="Q2993" s="11" t="n"/>
      <c r="S2993">
        <f>IF($A2993="","",IF($W2993=1,Settings!$C$6,Settings!$C$7)*1)</f>
        <v/>
      </c>
      <c r="U2993">
        <f>IF($A2993="","",IF(COUNTIF($A$2:$A2993,$A2993)=1,1,0))</f>
        <v/>
      </c>
      <c r="V2993">
        <f>IF($U2993=1,SUMPRODUCT(--($X$2:$X$3001&lt;$X2993))+1,"")</f>
        <v/>
      </c>
      <c r="W2993">
        <f>IF($A2993="","",IF(OR($T2993=TRUE(),$T2993="TRUE"),1,0))</f>
        <v/>
      </c>
      <c r="X2993">
        <f>IF($U2993=1,IFERROR(IF(VALUE($A2993)&lt;100000000,VALUE($A2993),1000000000),IFERROR(IF(VALUE(MID($A2993,2,20))&lt;100000000,VALUE(MID($A2993,2,20)),1000000000),1000000000))+ROW()/100000,"")</f>
        <v/>
      </c>
    </row>
    <row r="2994">
      <c r="F2994" s="7">
        <f>IF($A2994="","",E2994*N2994/100)</f>
        <v/>
      </c>
      <c r="J2994" s="7" t="n"/>
      <c r="K2994" s="7">
        <f>IF($A2994="","",S2994*N2994)</f>
        <v/>
      </c>
      <c r="L2994" s="7">
        <f>IF($A2994="","",N2994-K2994)</f>
        <v/>
      </c>
      <c r="M2994" s="7">
        <f>IF($A2994="","",L2994-F2994)</f>
        <v/>
      </c>
      <c r="N2994" s="7" t="n"/>
      <c r="Q2994" s="11" t="n"/>
      <c r="S2994">
        <f>IF($A2994="","",IF($W2994=1,Settings!$C$6,Settings!$C$7)*1)</f>
        <v/>
      </c>
      <c r="U2994">
        <f>IF($A2994="","",IF(COUNTIF($A$2:$A2994,$A2994)=1,1,0))</f>
        <v/>
      </c>
      <c r="V2994">
        <f>IF($U2994=1,SUMPRODUCT(--($X$2:$X$3001&lt;$X2994))+1,"")</f>
        <v/>
      </c>
      <c r="W2994">
        <f>IF($A2994="","",IF(OR($T2994=TRUE(),$T2994="TRUE"),1,0))</f>
        <v/>
      </c>
      <c r="X2994">
        <f>IF($U2994=1,IFERROR(IF(VALUE($A2994)&lt;100000000,VALUE($A2994),1000000000),IFERROR(IF(VALUE(MID($A2994,2,20))&lt;100000000,VALUE(MID($A2994,2,20)),1000000000),1000000000))+ROW()/100000,"")</f>
        <v/>
      </c>
    </row>
    <row r="2995">
      <c r="F2995" s="7">
        <f>IF($A2995="","",E2995*N2995/100)</f>
        <v/>
      </c>
      <c r="J2995" s="7" t="n"/>
      <c r="K2995" s="7">
        <f>IF($A2995="","",S2995*N2995)</f>
        <v/>
      </c>
      <c r="L2995" s="7">
        <f>IF($A2995="","",N2995-K2995)</f>
        <v/>
      </c>
      <c r="M2995" s="7">
        <f>IF($A2995="","",L2995-F2995)</f>
        <v/>
      </c>
      <c r="N2995" s="7" t="n"/>
      <c r="Q2995" s="11" t="n"/>
      <c r="S2995">
        <f>IF($A2995="","",IF($W2995=1,Settings!$C$6,Settings!$C$7)*1)</f>
        <v/>
      </c>
      <c r="U2995">
        <f>IF($A2995="","",IF(COUNTIF($A$2:$A2995,$A2995)=1,1,0))</f>
        <v/>
      </c>
      <c r="V2995">
        <f>IF($U2995=1,SUMPRODUCT(--($X$2:$X$3001&lt;$X2995))+1,"")</f>
        <v/>
      </c>
      <c r="W2995">
        <f>IF($A2995="","",IF(OR($T2995=TRUE(),$T2995="TRUE"),1,0))</f>
        <v/>
      </c>
      <c r="X2995">
        <f>IF($U2995=1,IFERROR(IF(VALUE($A2995)&lt;100000000,VALUE($A2995),1000000000),IFERROR(IF(VALUE(MID($A2995,2,20))&lt;100000000,VALUE(MID($A2995,2,20)),1000000000),1000000000))+ROW()/100000,"")</f>
        <v/>
      </c>
    </row>
    <row r="2996">
      <c r="F2996" s="7">
        <f>IF($A2996="","",E2996*N2996/100)</f>
        <v/>
      </c>
      <c r="J2996" s="7" t="n"/>
      <c r="K2996" s="7">
        <f>IF($A2996="","",S2996*N2996)</f>
        <v/>
      </c>
      <c r="L2996" s="7">
        <f>IF($A2996="","",N2996-K2996)</f>
        <v/>
      </c>
      <c r="M2996" s="7">
        <f>IF($A2996="","",L2996-F2996)</f>
        <v/>
      </c>
      <c r="N2996" s="7" t="n"/>
      <c r="Q2996" s="11" t="n"/>
      <c r="S2996">
        <f>IF($A2996="","",IF($W2996=1,Settings!$C$6,Settings!$C$7)*1)</f>
        <v/>
      </c>
      <c r="U2996">
        <f>IF($A2996="","",IF(COUNTIF($A$2:$A2996,$A2996)=1,1,0))</f>
        <v/>
      </c>
      <c r="V2996">
        <f>IF($U2996=1,SUMPRODUCT(--($X$2:$X$3001&lt;$X2996))+1,"")</f>
        <v/>
      </c>
      <c r="W2996">
        <f>IF($A2996="","",IF(OR($T2996=TRUE(),$T2996="TRUE"),1,0))</f>
        <v/>
      </c>
      <c r="X2996">
        <f>IF($U2996=1,IFERROR(IF(VALUE($A2996)&lt;100000000,VALUE($A2996),1000000000),IFERROR(IF(VALUE(MID($A2996,2,20))&lt;100000000,VALUE(MID($A2996,2,20)),1000000000),1000000000))+ROW()/100000,"")</f>
        <v/>
      </c>
    </row>
    <row r="2997">
      <c r="F2997" s="7">
        <f>IF($A2997="","",E2997*N2997/100)</f>
        <v/>
      </c>
      <c r="J2997" s="7" t="n"/>
      <c r="K2997" s="7">
        <f>IF($A2997="","",S2997*N2997)</f>
        <v/>
      </c>
      <c r="L2997" s="7">
        <f>IF($A2997="","",N2997-K2997)</f>
        <v/>
      </c>
      <c r="M2997" s="7">
        <f>IF($A2997="","",L2997-F2997)</f>
        <v/>
      </c>
      <c r="N2997" s="7" t="n"/>
      <c r="Q2997" s="11" t="n"/>
      <c r="S2997">
        <f>IF($A2997="","",IF($W2997=1,Settings!$C$6,Settings!$C$7)*1)</f>
        <v/>
      </c>
      <c r="U2997">
        <f>IF($A2997="","",IF(COUNTIF($A$2:$A2997,$A2997)=1,1,0))</f>
        <v/>
      </c>
      <c r="V2997">
        <f>IF($U2997=1,SUMPRODUCT(--($X$2:$X$3001&lt;$X2997))+1,"")</f>
        <v/>
      </c>
      <c r="W2997">
        <f>IF($A2997="","",IF(OR($T2997=TRUE(),$T2997="TRUE"),1,0))</f>
        <v/>
      </c>
      <c r="X2997">
        <f>IF($U2997=1,IFERROR(IF(VALUE($A2997)&lt;100000000,VALUE($A2997),1000000000),IFERROR(IF(VALUE(MID($A2997,2,20))&lt;100000000,VALUE(MID($A2997,2,20)),1000000000),1000000000))+ROW()/100000,"")</f>
        <v/>
      </c>
    </row>
    <row r="2998">
      <c r="F2998" s="7">
        <f>IF($A2998="","",E2998*N2998/100)</f>
        <v/>
      </c>
      <c r="J2998" s="7" t="n"/>
      <c r="K2998" s="7">
        <f>IF($A2998="","",S2998*N2998)</f>
        <v/>
      </c>
      <c r="L2998" s="7">
        <f>IF($A2998="","",N2998-K2998)</f>
        <v/>
      </c>
      <c r="M2998" s="7">
        <f>IF($A2998="","",L2998-F2998)</f>
        <v/>
      </c>
      <c r="N2998" s="7" t="n"/>
      <c r="Q2998" s="11" t="n"/>
      <c r="S2998">
        <f>IF($A2998="","",IF($W2998=1,Settings!$C$6,Settings!$C$7)*1)</f>
        <v/>
      </c>
      <c r="U2998">
        <f>IF($A2998="","",IF(COUNTIF($A$2:$A2998,$A2998)=1,1,0))</f>
        <v/>
      </c>
      <c r="V2998">
        <f>IF($U2998=1,SUMPRODUCT(--($X$2:$X$3001&lt;$X2998))+1,"")</f>
        <v/>
      </c>
      <c r="W2998">
        <f>IF($A2998="","",IF(OR($T2998=TRUE(),$T2998="TRUE"),1,0))</f>
        <v/>
      </c>
      <c r="X2998">
        <f>IF($U2998=1,IFERROR(IF(VALUE($A2998)&lt;100000000,VALUE($A2998),1000000000),IFERROR(IF(VALUE(MID($A2998,2,20))&lt;100000000,VALUE(MID($A2998,2,20)),1000000000),1000000000))+ROW()/100000,"")</f>
        <v/>
      </c>
    </row>
    <row r="2999">
      <c r="F2999" s="7">
        <f>IF($A2999="","",E2999*N2999/100)</f>
        <v/>
      </c>
      <c r="J2999" s="7" t="n"/>
      <c r="K2999" s="7">
        <f>IF($A2999="","",S2999*N2999)</f>
        <v/>
      </c>
      <c r="L2999" s="7">
        <f>IF($A2999="","",N2999-K2999)</f>
        <v/>
      </c>
      <c r="M2999" s="7">
        <f>IF($A2999="","",L2999-F2999)</f>
        <v/>
      </c>
      <c r="N2999" s="7" t="n"/>
      <c r="Q2999" s="11" t="n"/>
      <c r="S2999">
        <f>IF($A2999="","",IF($W2999=1,Settings!$C$6,Settings!$C$7)*1)</f>
        <v/>
      </c>
      <c r="U2999">
        <f>IF($A2999="","",IF(COUNTIF($A$2:$A2999,$A2999)=1,1,0))</f>
        <v/>
      </c>
      <c r="V2999">
        <f>IF($U2999=1,SUMPRODUCT(--($X$2:$X$3001&lt;$X2999))+1,"")</f>
        <v/>
      </c>
      <c r="W2999">
        <f>IF($A2999="","",IF(OR($T2999=TRUE(),$T2999="TRUE"),1,0))</f>
        <v/>
      </c>
      <c r="X2999">
        <f>IF($U2999=1,IFERROR(IF(VALUE($A2999)&lt;100000000,VALUE($A2999),1000000000),IFERROR(IF(VALUE(MID($A2999,2,20))&lt;100000000,VALUE(MID($A2999,2,20)),1000000000),1000000000))+ROW()/100000,"")</f>
        <v/>
      </c>
    </row>
    <row r="3000">
      <c r="F3000" s="7">
        <f>IF($A3000="","",E3000*N3000/100)</f>
        <v/>
      </c>
      <c r="J3000" s="7" t="n"/>
      <c r="K3000" s="7">
        <f>IF($A3000="","",S3000*N3000)</f>
        <v/>
      </c>
      <c r="L3000" s="7">
        <f>IF($A3000="","",N3000-K3000)</f>
        <v/>
      </c>
      <c r="M3000" s="7">
        <f>IF($A3000="","",L3000-F3000)</f>
        <v/>
      </c>
      <c r="N3000" s="7" t="n"/>
      <c r="Q3000" s="11" t="n"/>
      <c r="S3000">
        <f>IF($A3000="","",IF($W3000=1,Settings!$C$6,Settings!$C$7)*1)</f>
        <v/>
      </c>
      <c r="U3000">
        <f>IF($A3000="","",IF(COUNTIF($A$2:$A3000,$A3000)=1,1,0))</f>
        <v/>
      </c>
      <c r="V3000">
        <f>IF($U3000=1,SUMPRODUCT(--($X$2:$X$3001&lt;$X3000))+1,"")</f>
        <v/>
      </c>
      <c r="W3000">
        <f>IF($A3000="","",IF(OR($T3000=TRUE(),$T3000="TRUE"),1,0))</f>
        <v/>
      </c>
      <c r="X3000">
        <f>IF($U3000=1,IFERROR(IF(VALUE($A3000)&lt;100000000,VALUE($A3000),1000000000),IFERROR(IF(VALUE(MID($A3000,2,20))&lt;100000000,VALUE(MID($A3000,2,20)),1000000000),1000000000))+ROW()/100000,"")</f>
        <v/>
      </c>
    </row>
    <row r="3001">
      <c r="F3001" s="7">
        <f>IF($A3001="","",E3001*N3001/100)</f>
        <v/>
      </c>
      <c r="J3001" s="7" t="n"/>
      <c r="K3001" s="7">
        <f>IF($A3001="","",S3001*N3001)</f>
        <v/>
      </c>
      <c r="L3001" s="7">
        <f>IF($A3001="","",N3001-K3001)</f>
        <v/>
      </c>
      <c r="M3001" s="7">
        <f>IF($A3001="","",L3001-F3001)</f>
        <v/>
      </c>
      <c r="N3001" s="7" t="n"/>
      <c r="Q3001" s="11" t="n"/>
      <c r="S3001">
        <f>IF($A3001="","",IF($W3001=1,Settings!$C$6,Settings!$C$7)*1)</f>
        <v/>
      </c>
      <c r="U3001">
        <f>IF($A3001="","",IF(COUNTIF($A$2:$A3001,$A3001)=1,1,0))</f>
        <v/>
      </c>
      <c r="V3001">
        <f>IF($U3001=1,SUMPRODUCT(--($X$2:$X$3001&lt;$X3001))+1,"")</f>
        <v/>
      </c>
      <c r="W3001">
        <f>IF($A3001="","",IF(OR($T3001=TRUE(),$T3001="TRUE"),1,0))</f>
        <v/>
      </c>
      <c r="X3001">
        <f>IF($U3001=1,IFERROR(IF(VALUE($A3001)&lt;100000000,VALUE($A3001),1000000000),IFERROR(IF(VALUE(MID($A3001,2,20))&lt;100000000,VALUE(MID($A3001,2,20)),1000000000),1000000000))+ROW()/100000,"")</f>
        <v/>
      </c>
    </row>
  </sheetData>
  <autoFilter ref="A1:X30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8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8" customWidth="1" min="3" max="3"/>
    <col width="26" customWidth="1" min="4" max="4"/>
    <col width="13" customWidth="1" min="5" max="5"/>
    <col width="12" customWidth="1" min="6" max="6"/>
    <col width="12" customWidth="1" min="7" max="7"/>
    <col width="13" customWidth="1" min="8" max="8"/>
    <col width="17" customWidth="1" min="9" max="9"/>
    <col width="28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3" customWidth="1" min="21" max="21"/>
  </cols>
  <sheetData>
    <row r="1" ht="32" customHeight="1">
      <c r="A1" s="9" t="inlineStr">
        <is>
          <t>Pos Reference</t>
        </is>
      </c>
      <c r="B1" s="8" t="inlineStr">
        <is>
          <t>Invoice</t>
        </is>
      </c>
      <c r="C1" s="9" t="inlineStr">
        <is>
          <t>Insurance Company</t>
        </is>
      </c>
      <c r="D1" s="9" t="inlineStr">
        <is>
          <t>Name</t>
        </is>
      </c>
      <c r="E1" s="9" t="inlineStr">
        <is>
          <t>Card Number</t>
        </is>
      </c>
      <c r="F1" s="9" t="inlineStr">
        <is>
          <t>Co Payment %</t>
        </is>
      </c>
      <c r="G1" s="9" t="inlineStr">
        <is>
          <t>Co val</t>
        </is>
      </c>
      <c r="H1" s="9" t="inlineStr">
        <is>
          <t>Payment Type</t>
        </is>
      </c>
      <c r="I1" s="9" t="inlineStr">
        <is>
          <t>Create Date</t>
        </is>
      </c>
      <c r="J1" s="9" t="inlineStr">
        <is>
          <t>Order Reference</t>
        </is>
      </c>
      <c r="K1" s="9" t="inlineStr">
        <is>
          <t>IMP%</t>
        </is>
      </c>
      <c r="L1" s="9" t="inlineStr">
        <is>
          <t>IMP</t>
        </is>
      </c>
      <c r="M1" s="9" t="inlineStr">
        <is>
          <t>IMP VAL</t>
        </is>
      </c>
      <c r="N1" s="9" t="inlineStr">
        <is>
          <t>LOC</t>
        </is>
      </c>
      <c r="O1" s="9" t="inlineStr">
        <is>
          <t>LOC</t>
        </is>
      </c>
      <c r="P1" s="9" t="inlineStr">
        <is>
          <t>LOC VAL</t>
        </is>
      </c>
      <c r="Q1" s="9" t="inlineStr">
        <is>
          <t>TOTAL VAL</t>
        </is>
      </c>
      <c r="R1" s="9" t="inlineStr">
        <is>
          <t>SUBTOTAL</t>
        </is>
      </c>
      <c r="S1" s="9" t="inlineStr">
        <is>
          <t>Grand Total</t>
        </is>
      </c>
      <c r="T1" s="9" t="inlineStr">
        <is>
          <t>NET</t>
        </is>
      </c>
      <c r="U1" s="10" t="inlineStr">
        <is>
          <t>Src Row (helper)</t>
        </is>
      </c>
    </row>
    <row r="2">
      <c r="A2">
        <f>IF($U2="","",INDEX('Per Line'!$A$2:$A$3001,$U2)&amp;"")</f>
        <v/>
      </c>
      <c r="B2" s="12" t="n"/>
      <c r="C2">
        <f>IF($U2="","",INDEX('Per Line'!$B$2:$B$3001,$U2)&amp;"")</f>
        <v/>
      </c>
      <c r="D2">
        <f>IF($U2="","",INDEX('Per Line'!$C$2:$C$3001,$U2)&amp;"")</f>
        <v/>
      </c>
      <c r="E2">
        <f>IF($U2="","",INDEX('Per Line'!$D$2:$D$3001,$U2)&amp;"")</f>
        <v/>
      </c>
      <c r="F2">
        <f>IF($U2="","",INDEX('Per Line'!$E$2:$E$3001,$U2))</f>
        <v/>
      </c>
      <c r="G2" s="7">
        <f>IF($U2="","",F2*S2/100)</f>
        <v/>
      </c>
      <c r="H2">
        <f>IF($U2="","",INDEX('Per Line'!$O$2:$O$3001,$U2)&amp;"")</f>
        <v/>
      </c>
      <c r="I2" s="11">
        <f>IF($U2="","",INDEX('Per Line'!$Q$2:$Q$3001,$U2))</f>
        <v/>
      </c>
      <c r="J2">
        <f>IF($U2="","",INDEX('Per Line'!$R$2:$R$3001,$U2)&amp;"")</f>
        <v/>
      </c>
      <c r="K2">
        <f>IF($U2="","",Settings!$C$7)</f>
        <v/>
      </c>
      <c r="L2" s="7">
        <f>IF($U2="","",SUMIFS('Per Line'!$N$2:$N$3001,'Per Line'!$A$2:$A$3001,$A2,'Per Line'!$W$2:$W$3001,0))</f>
        <v/>
      </c>
      <c r="M2" s="7">
        <f>IF($U2="","",L2*K2)</f>
        <v/>
      </c>
      <c r="N2">
        <f>IF($U2="","",Settings!$C$6)</f>
        <v/>
      </c>
      <c r="O2" s="7">
        <f>IF($U2="","",SUMIFS('Per Line'!$N$2:$N$3001,'Per Line'!$A$2:$A$3001,$A2,'Per Line'!$W$2:$W$3001,1))</f>
        <v/>
      </c>
      <c r="P2" s="7">
        <f>IF($U2="","",O2*N2)</f>
        <v/>
      </c>
      <c r="Q2" s="7">
        <f>IF($U2="","",P2+M2)</f>
        <v/>
      </c>
      <c r="R2" s="7">
        <f>IF($U2="","",S2-Q2)</f>
        <v/>
      </c>
      <c r="S2" s="7">
        <f>IF($U2="","",L2+O2)</f>
        <v/>
      </c>
      <c r="T2" s="7">
        <f>IF($U2="","",S2-Q2-G2)</f>
        <v/>
      </c>
      <c r="U2" s="13">
        <f>IF(ROWS($U$2:$U2)&lt;=MAX('Per Line'!$V$2:$V$3001),MATCH(ROWS($U$2:$U2),'Per Line'!$V$2:$V$3001,0),"")</f>
        <v/>
      </c>
    </row>
    <row r="3">
      <c r="A3">
        <f>IF($U3="","",INDEX('Per Line'!$A$2:$A$3001,$U3)&amp;"")</f>
        <v/>
      </c>
      <c r="B3" s="12" t="n"/>
      <c r="C3">
        <f>IF($U3="","",INDEX('Per Line'!$B$2:$B$3001,$U3)&amp;"")</f>
        <v/>
      </c>
      <c r="D3">
        <f>IF($U3="","",INDEX('Per Line'!$C$2:$C$3001,$U3)&amp;"")</f>
        <v/>
      </c>
      <c r="E3">
        <f>IF($U3="","",INDEX('Per Line'!$D$2:$D$3001,$U3)&amp;"")</f>
        <v/>
      </c>
      <c r="F3">
        <f>IF($U3="","",INDEX('Per Line'!$E$2:$E$3001,$U3))</f>
        <v/>
      </c>
      <c r="G3" s="7">
        <f>IF($U3="","",F3*S3/100)</f>
        <v/>
      </c>
      <c r="H3">
        <f>IF($U3="","",INDEX('Per Line'!$O$2:$O$3001,$U3)&amp;"")</f>
        <v/>
      </c>
      <c r="I3" s="11">
        <f>IF($U3="","",INDEX('Per Line'!$Q$2:$Q$3001,$U3))</f>
        <v/>
      </c>
      <c r="J3">
        <f>IF($U3="","",INDEX('Per Line'!$R$2:$R$3001,$U3)&amp;"")</f>
        <v/>
      </c>
      <c r="K3">
        <f>IF($U3="","",Settings!$C$7)</f>
        <v/>
      </c>
      <c r="L3" s="7">
        <f>IF($U3="","",SUMIFS('Per Line'!$N$2:$N$3001,'Per Line'!$A$2:$A$3001,$A3,'Per Line'!$W$2:$W$3001,0))</f>
        <v/>
      </c>
      <c r="M3" s="7">
        <f>IF($U3="","",L3*K3)</f>
        <v/>
      </c>
      <c r="N3">
        <f>IF($U3="","",Settings!$C$6)</f>
        <v/>
      </c>
      <c r="O3" s="7">
        <f>IF($U3="","",SUMIFS('Per Line'!$N$2:$N$3001,'Per Line'!$A$2:$A$3001,$A3,'Per Line'!$W$2:$W$3001,1))</f>
        <v/>
      </c>
      <c r="P3" s="7">
        <f>IF($U3="","",O3*N3)</f>
        <v/>
      </c>
      <c r="Q3" s="7">
        <f>IF($U3="","",P3+M3)</f>
        <v/>
      </c>
      <c r="R3" s="7">
        <f>IF($U3="","",S3-Q3)</f>
        <v/>
      </c>
      <c r="S3" s="7">
        <f>IF($U3="","",L3+O3)</f>
        <v/>
      </c>
      <c r="T3" s="7">
        <f>IF($U3="","",S3-Q3-G3)</f>
        <v/>
      </c>
      <c r="U3" s="13">
        <f>IF(ROWS($U$2:$U3)&lt;=MAX('Per Line'!$V$2:$V$3001),MATCH(ROWS($U$2:$U3),'Per Line'!$V$2:$V$3001,0),"")</f>
        <v/>
      </c>
    </row>
    <row r="4">
      <c r="A4">
        <f>IF($U4="","",INDEX('Per Line'!$A$2:$A$3001,$U4)&amp;"")</f>
        <v/>
      </c>
      <c r="B4" s="12" t="n"/>
      <c r="C4">
        <f>IF($U4="","",INDEX('Per Line'!$B$2:$B$3001,$U4)&amp;"")</f>
        <v/>
      </c>
      <c r="D4">
        <f>IF($U4="","",INDEX('Per Line'!$C$2:$C$3001,$U4)&amp;"")</f>
        <v/>
      </c>
      <c r="E4">
        <f>IF($U4="","",INDEX('Per Line'!$D$2:$D$3001,$U4)&amp;"")</f>
        <v/>
      </c>
      <c r="F4">
        <f>IF($U4="","",INDEX('Per Line'!$E$2:$E$3001,$U4))</f>
        <v/>
      </c>
      <c r="G4" s="7">
        <f>IF($U4="","",F4*S4/100)</f>
        <v/>
      </c>
      <c r="H4">
        <f>IF($U4="","",INDEX('Per Line'!$O$2:$O$3001,$U4)&amp;"")</f>
        <v/>
      </c>
      <c r="I4" s="11">
        <f>IF($U4="","",INDEX('Per Line'!$Q$2:$Q$3001,$U4))</f>
        <v/>
      </c>
      <c r="J4">
        <f>IF($U4="","",INDEX('Per Line'!$R$2:$R$3001,$U4)&amp;"")</f>
        <v/>
      </c>
      <c r="K4">
        <f>IF($U4="","",Settings!$C$7)</f>
        <v/>
      </c>
      <c r="L4" s="7">
        <f>IF($U4="","",SUMIFS('Per Line'!$N$2:$N$3001,'Per Line'!$A$2:$A$3001,$A4,'Per Line'!$W$2:$W$3001,0))</f>
        <v/>
      </c>
      <c r="M4" s="7">
        <f>IF($U4="","",L4*K4)</f>
        <v/>
      </c>
      <c r="N4">
        <f>IF($U4="","",Settings!$C$6)</f>
        <v/>
      </c>
      <c r="O4" s="7">
        <f>IF($U4="","",SUMIFS('Per Line'!$N$2:$N$3001,'Per Line'!$A$2:$A$3001,$A4,'Per Line'!$W$2:$W$3001,1))</f>
        <v/>
      </c>
      <c r="P4" s="7">
        <f>IF($U4="","",O4*N4)</f>
        <v/>
      </c>
      <c r="Q4" s="7">
        <f>IF($U4="","",P4+M4)</f>
        <v/>
      </c>
      <c r="R4" s="7">
        <f>IF($U4="","",S4-Q4)</f>
        <v/>
      </c>
      <c r="S4" s="7">
        <f>IF($U4="","",L4+O4)</f>
        <v/>
      </c>
      <c r="T4" s="7">
        <f>IF($U4="","",S4-Q4-G4)</f>
        <v/>
      </c>
      <c r="U4" s="13">
        <f>IF(ROWS($U$2:$U4)&lt;=MAX('Per Line'!$V$2:$V$3001),MATCH(ROWS($U$2:$U4),'Per Line'!$V$2:$V$3001,0),"")</f>
        <v/>
      </c>
    </row>
    <row r="5">
      <c r="A5">
        <f>IF($U5="","",INDEX('Per Line'!$A$2:$A$3001,$U5)&amp;"")</f>
        <v/>
      </c>
      <c r="B5" s="12" t="n"/>
      <c r="C5">
        <f>IF($U5="","",INDEX('Per Line'!$B$2:$B$3001,$U5)&amp;"")</f>
        <v/>
      </c>
      <c r="D5">
        <f>IF($U5="","",INDEX('Per Line'!$C$2:$C$3001,$U5)&amp;"")</f>
        <v/>
      </c>
      <c r="E5">
        <f>IF($U5="","",INDEX('Per Line'!$D$2:$D$3001,$U5)&amp;"")</f>
        <v/>
      </c>
      <c r="F5">
        <f>IF($U5="","",INDEX('Per Line'!$E$2:$E$3001,$U5))</f>
        <v/>
      </c>
      <c r="G5" s="7">
        <f>IF($U5="","",F5*S5/100)</f>
        <v/>
      </c>
      <c r="H5">
        <f>IF($U5="","",INDEX('Per Line'!$O$2:$O$3001,$U5)&amp;"")</f>
        <v/>
      </c>
      <c r="I5" s="11">
        <f>IF($U5="","",INDEX('Per Line'!$Q$2:$Q$3001,$U5))</f>
        <v/>
      </c>
      <c r="J5">
        <f>IF($U5="","",INDEX('Per Line'!$R$2:$R$3001,$U5)&amp;"")</f>
        <v/>
      </c>
      <c r="K5">
        <f>IF($U5="","",Settings!$C$7)</f>
        <v/>
      </c>
      <c r="L5" s="7">
        <f>IF($U5="","",SUMIFS('Per Line'!$N$2:$N$3001,'Per Line'!$A$2:$A$3001,$A5,'Per Line'!$W$2:$W$3001,0))</f>
        <v/>
      </c>
      <c r="M5" s="7">
        <f>IF($U5="","",L5*K5)</f>
        <v/>
      </c>
      <c r="N5">
        <f>IF($U5="","",Settings!$C$6)</f>
        <v/>
      </c>
      <c r="O5" s="7">
        <f>IF($U5="","",SUMIFS('Per Line'!$N$2:$N$3001,'Per Line'!$A$2:$A$3001,$A5,'Per Line'!$W$2:$W$3001,1))</f>
        <v/>
      </c>
      <c r="P5" s="7">
        <f>IF($U5="","",O5*N5)</f>
        <v/>
      </c>
      <c r="Q5" s="7">
        <f>IF($U5="","",P5+M5)</f>
        <v/>
      </c>
      <c r="R5" s="7">
        <f>IF($U5="","",S5-Q5)</f>
        <v/>
      </c>
      <c r="S5" s="7">
        <f>IF($U5="","",L5+O5)</f>
        <v/>
      </c>
      <c r="T5" s="7">
        <f>IF($U5="","",S5-Q5-G5)</f>
        <v/>
      </c>
      <c r="U5" s="13">
        <f>IF(ROWS($U$2:$U5)&lt;=MAX('Per Line'!$V$2:$V$3001),MATCH(ROWS($U$2:$U5),'Per Line'!$V$2:$V$3001,0),"")</f>
        <v/>
      </c>
    </row>
    <row r="6">
      <c r="A6">
        <f>IF($U6="","",INDEX('Per Line'!$A$2:$A$3001,$U6)&amp;"")</f>
        <v/>
      </c>
      <c r="B6" s="12" t="n"/>
      <c r="C6">
        <f>IF($U6="","",INDEX('Per Line'!$B$2:$B$3001,$U6)&amp;"")</f>
        <v/>
      </c>
      <c r="D6">
        <f>IF($U6="","",INDEX('Per Line'!$C$2:$C$3001,$U6)&amp;"")</f>
        <v/>
      </c>
      <c r="E6">
        <f>IF($U6="","",INDEX('Per Line'!$D$2:$D$3001,$U6)&amp;"")</f>
        <v/>
      </c>
      <c r="F6">
        <f>IF($U6="","",INDEX('Per Line'!$E$2:$E$3001,$U6))</f>
        <v/>
      </c>
      <c r="G6" s="7">
        <f>IF($U6="","",F6*S6/100)</f>
        <v/>
      </c>
      <c r="H6">
        <f>IF($U6="","",INDEX('Per Line'!$O$2:$O$3001,$U6)&amp;"")</f>
        <v/>
      </c>
      <c r="I6" s="11">
        <f>IF($U6="","",INDEX('Per Line'!$Q$2:$Q$3001,$U6))</f>
        <v/>
      </c>
      <c r="J6">
        <f>IF($U6="","",INDEX('Per Line'!$R$2:$R$3001,$U6)&amp;"")</f>
        <v/>
      </c>
      <c r="K6">
        <f>IF($U6="","",Settings!$C$7)</f>
        <v/>
      </c>
      <c r="L6" s="7">
        <f>IF($U6="","",SUMIFS('Per Line'!$N$2:$N$3001,'Per Line'!$A$2:$A$3001,$A6,'Per Line'!$W$2:$W$3001,0))</f>
        <v/>
      </c>
      <c r="M6" s="7">
        <f>IF($U6="","",L6*K6)</f>
        <v/>
      </c>
      <c r="N6">
        <f>IF($U6="","",Settings!$C$6)</f>
        <v/>
      </c>
      <c r="O6" s="7">
        <f>IF($U6="","",SUMIFS('Per Line'!$N$2:$N$3001,'Per Line'!$A$2:$A$3001,$A6,'Per Line'!$W$2:$W$3001,1))</f>
        <v/>
      </c>
      <c r="P6" s="7">
        <f>IF($U6="","",O6*N6)</f>
        <v/>
      </c>
      <c r="Q6" s="7">
        <f>IF($U6="","",P6+M6)</f>
        <v/>
      </c>
      <c r="R6" s="7">
        <f>IF($U6="","",S6-Q6)</f>
        <v/>
      </c>
      <c r="S6" s="7">
        <f>IF($U6="","",L6+O6)</f>
        <v/>
      </c>
      <c r="T6" s="7">
        <f>IF($U6="","",S6-Q6-G6)</f>
        <v/>
      </c>
      <c r="U6" s="13">
        <f>IF(ROWS($U$2:$U6)&lt;=MAX('Per Line'!$V$2:$V$3001),MATCH(ROWS($U$2:$U6),'Per Line'!$V$2:$V$3001,0),"")</f>
        <v/>
      </c>
    </row>
    <row r="7">
      <c r="A7">
        <f>IF($U7="","",INDEX('Per Line'!$A$2:$A$3001,$U7)&amp;"")</f>
        <v/>
      </c>
      <c r="B7" s="12" t="n"/>
      <c r="C7">
        <f>IF($U7="","",INDEX('Per Line'!$B$2:$B$3001,$U7)&amp;"")</f>
        <v/>
      </c>
      <c r="D7">
        <f>IF($U7="","",INDEX('Per Line'!$C$2:$C$3001,$U7)&amp;"")</f>
        <v/>
      </c>
      <c r="E7">
        <f>IF($U7="","",INDEX('Per Line'!$D$2:$D$3001,$U7)&amp;"")</f>
        <v/>
      </c>
      <c r="F7">
        <f>IF($U7="","",INDEX('Per Line'!$E$2:$E$3001,$U7))</f>
        <v/>
      </c>
      <c r="G7" s="7">
        <f>IF($U7="","",F7*S7/100)</f>
        <v/>
      </c>
      <c r="H7">
        <f>IF($U7="","",INDEX('Per Line'!$O$2:$O$3001,$U7)&amp;"")</f>
        <v/>
      </c>
      <c r="I7" s="11">
        <f>IF($U7="","",INDEX('Per Line'!$Q$2:$Q$3001,$U7))</f>
        <v/>
      </c>
      <c r="J7">
        <f>IF($U7="","",INDEX('Per Line'!$R$2:$R$3001,$U7)&amp;"")</f>
        <v/>
      </c>
      <c r="K7">
        <f>IF($U7="","",Settings!$C$7)</f>
        <v/>
      </c>
      <c r="L7" s="7">
        <f>IF($U7="","",SUMIFS('Per Line'!$N$2:$N$3001,'Per Line'!$A$2:$A$3001,$A7,'Per Line'!$W$2:$W$3001,0))</f>
        <v/>
      </c>
      <c r="M7" s="7">
        <f>IF($U7="","",L7*K7)</f>
        <v/>
      </c>
      <c r="N7">
        <f>IF($U7="","",Settings!$C$6)</f>
        <v/>
      </c>
      <c r="O7" s="7">
        <f>IF($U7="","",SUMIFS('Per Line'!$N$2:$N$3001,'Per Line'!$A$2:$A$3001,$A7,'Per Line'!$W$2:$W$3001,1))</f>
        <v/>
      </c>
      <c r="P7" s="7">
        <f>IF($U7="","",O7*N7)</f>
        <v/>
      </c>
      <c r="Q7" s="7">
        <f>IF($U7="","",P7+M7)</f>
        <v/>
      </c>
      <c r="R7" s="7">
        <f>IF($U7="","",S7-Q7)</f>
        <v/>
      </c>
      <c r="S7" s="7">
        <f>IF($U7="","",L7+O7)</f>
        <v/>
      </c>
      <c r="T7" s="7">
        <f>IF($U7="","",S7-Q7-G7)</f>
        <v/>
      </c>
      <c r="U7" s="13">
        <f>IF(ROWS($U$2:$U7)&lt;=MAX('Per Line'!$V$2:$V$3001),MATCH(ROWS($U$2:$U7),'Per Line'!$V$2:$V$3001,0),"")</f>
        <v/>
      </c>
    </row>
    <row r="8">
      <c r="A8">
        <f>IF($U8="","",INDEX('Per Line'!$A$2:$A$3001,$U8)&amp;"")</f>
        <v/>
      </c>
      <c r="B8" s="12" t="n"/>
      <c r="C8">
        <f>IF($U8="","",INDEX('Per Line'!$B$2:$B$3001,$U8)&amp;"")</f>
        <v/>
      </c>
      <c r="D8">
        <f>IF($U8="","",INDEX('Per Line'!$C$2:$C$3001,$U8)&amp;"")</f>
        <v/>
      </c>
      <c r="E8">
        <f>IF($U8="","",INDEX('Per Line'!$D$2:$D$3001,$U8)&amp;"")</f>
        <v/>
      </c>
      <c r="F8">
        <f>IF($U8="","",INDEX('Per Line'!$E$2:$E$3001,$U8))</f>
        <v/>
      </c>
      <c r="G8" s="7">
        <f>IF($U8="","",F8*S8/100)</f>
        <v/>
      </c>
      <c r="H8">
        <f>IF($U8="","",INDEX('Per Line'!$O$2:$O$3001,$U8)&amp;"")</f>
        <v/>
      </c>
      <c r="I8" s="11">
        <f>IF($U8="","",INDEX('Per Line'!$Q$2:$Q$3001,$U8))</f>
        <v/>
      </c>
      <c r="J8">
        <f>IF($U8="","",INDEX('Per Line'!$R$2:$R$3001,$U8)&amp;"")</f>
        <v/>
      </c>
      <c r="K8">
        <f>IF($U8="","",Settings!$C$7)</f>
        <v/>
      </c>
      <c r="L8" s="7">
        <f>IF($U8="","",SUMIFS('Per Line'!$N$2:$N$3001,'Per Line'!$A$2:$A$3001,$A8,'Per Line'!$W$2:$W$3001,0))</f>
        <v/>
      </c>
      <c r="M8" s="7">
        <f>IF($U8="","",L8*K8)</f>
        <v/>
      </c>
      <c r="N8">
        <f>IF($U8="","",Settings!$C$6)</f>
        <v/>
      </c>
      <c r="O8" s="7">
        <f>IF($U8="","",SUMIFS('Per Line'!$N$2:$N$3001,'Per Line'!$A$2:$A$3001,$A8,'Per Line'!$W$2:$W$3001,1))</f>
        <v/>
      </c>
      <c r="P8" s="7">
        <f>IF($U8="","",O8*N8)</f>
        <v/>
      </c>
      <c r="Q8" s="7">
        <f>IF($U8="","",P8+M8)</f>
        <v/>
      </c>
      <c r="R8" s="7">
        <f>IF($U8="","",S8-Q8)</f>
        <v/>
      </c>
      <c r="S8" s="7">
        <f>IF($U8="","",L8+O8)</f>
        <v/>
      </c>
      <c r="T8" s="7">
        <f>IF($U8="","",S8-Q8-G8)</f>
        <v/>
      </c>
      <c r="U8" s="13">
        <f>IF(ROWS($U$2:$U8)&lt;=MAX('Per Line'!$V$2:$V$3001),MATCH(ROWS($U$2:$U8),'Per Line'!$V$2:$V$3001,0),"")</f>
        <v/>
      </c>
    </row>
    <row r="9">
      <c r="A9">
        <f>IF($U9="","",INDEX('Per Line'!$A$2:$A$3001,$U9)&amp;"")</f>
        <v/>
      </c>
      <c r="B9" s="12" t="n"/>
      <c r="C9">
        <f>IF($U9="","",INDEX('Per Line'!$B$2:$B$3001,$U9)&amp;"")</f>
        <v/>
      </c>
      <c r="D9">
        <f>IF($U9="","",INDEX('Per Line'!$C$2:$C$3001,$U9)&amp;"")</f>
        <v/>
      </c>
      <c r="E9">
        <f>IF($U9="","",INDEX('Per Line'!$D$2:$D$3001,$U9)&amp;"")</f>
        <v/>
      </c>
      <c r="F9">
        <f>IF($U9="","",INDEX('Per Line'!$E$2:$E$3001,$U9))</f>
        <v/>
      </c>
      <c r="G9" s="7">
        <f>IF($U9="","",F9*S9/100)</f>
        <v/>
      </c>
      <c r="H9">
        <f>IF($U9="","",INDEX('Per Line'!$O$2:$O$3001,$U9)&amp;"")</f>
        <v/>
      </c>
      <c r="I9" s="11">
        <f>IF($U9="","",INDEX('Per Line'!$Q$2:$Q$3001,$U9))</f>
        <v/>
      </c>
      <c r="J9">
        <f>IF($U9="","",INDEX('Per Line'!$R$2:$R$3001,$U9)&amp;"")</f>
        <v/>
      </c>
      <c r="K9">
        <f>IF($U9="","",Settings!$C$7)</f>
        <v/>
      </c>
      <c r="L9" s="7">
        <f>IF($U9="","",SUMIFS('Per Line'!$N$2:$N$3001,'Per Line'!$A$2:$A$3001,$A9,'Per Line'!$W$2:$W$3001,0))</f>
        <v/>
      </c>
      <c r="M9" s="7">
        <f>IF($U9="","",L9*K9)</f>
        <v/>
      </c>
      <c r="N9">
        <f>IF($U9="","",Settings!$C$6)</f>
        <v/>
      </c>
      <c r="O9" s="7">
        <f>IF($U9="","",SUMIFS('Per Line'!$N$2:$N$3001,'Per Line'!$A$2:$A$3001,$A9,'Per Line'!$W$2:$W$3001,1))</f>
        <v/>
      </c>
      <c r="P9" s="7">
        <f>IF($U9="","",O9*N9)</f>
        <v/>
      </c>
      <c r="Q9" s="7">
        <f>IF($U9="","",P9+M9)</f>
        <v/>
      </c>
      <c r="R9" s="7">
        <f>IF($U9="","",S9-Q9)</f>
        <v/>
      </c>
      <c r="S9" s="7">
        <f>IF($U9="","",L9+O9)</f>
        <v/>
      </c>
      <c r="T9" s="7">
        <f>IF($U9="","",S9-Q9-G9)</f>
        <v/>
      </c>
      <c r="U9" s="13">
        <f>IF(ROWS($U$2:$U9)&lt;=MAX('Per Line'!$V$2:$V$3001),MATCH(ROWS($U$2:$U9),'Per Line'!$V$2:$V$3001,0),"")</f>
        <v/>
      </c>
    </row>
    <row r="10">
      <c r="A10">
        <f>IF($U10="","",INDEX('Per Line'!$A$2:$A$3001,$U10)&amp;"")</f>
        <v/>
      </c>
      <c r="B10" s="12" t="n"/>
      <c r="C10">
        <f>IF($U10="","",INDEX('Per Line'!$B$2:$B$3001,$U10)&amp;"")</f>
        <v/>
      </c>
      <c r="D10">
        <f>IF($U10="","",INDEX('Per Line'!$C$2:$C$3001,$U10)&amp;"")</f>
        <v/>
      </c>
      <c r="E10">
        <f>IF($U10="","",INDEX('Per Line'!$D$2:$D$3001,$U10)&amp;"")</f>
        <v/>
      </c>
      <c r="F10">
        <f>IF($U10="","",INDEX('Per Line'!$E$2:$E$3001,$U10))</f>
        <v/>
      </c>
      <c r="G10" s="7">
        <f>IF($U10="","",F10*S10/100)</f>
        <v/>
      </c>
      <c r="H10">
        <f>IF($U10="","",INDEX('Per Line'!$O$2:$O$3001,$U10)&amp;"")</f>
        <v/>
      </c>
      <c r="I10" s="11">
        <f>IF($U10="","",INDEX('Per Line'!$Q$2:$Q$3001,$U10))</f>
        <v/>
      </c>
      <c r="J10">
        <f>IF($U10="","",INDEX('Per Line'!$R$2:$R$3001,$U10)&amp;"")</f>
        <v/>
      </c>
      <c r="K10">
        <f>IF($U10="","",Settings!$C$7)</f>
        <v/>
      </c>
      <c r="L10" s="7">
        <f>IF($U10="","",SUMIFS('Per Line'!$N$2:$N$3001,'Per Line'!$A$2:$A$3001,$A10,'Per Line'!$W$2:$W$3001,0))</f>
        <v/>
      </c>
      <c r="M10" s="7">
        <f>IF($U10="","",L10*K10)</f>
        <v/>
      </c>
      <c r="N10">
        <f>IF($U10="","",Settings!$C$6)</f>
        <v/>
      </c>
      <c r="O10" s="7">
        <f>IF($U10="","",SUMIFS('Per Line'!$N$2:$N$3001,'Per Line'!$A$2:$A$3001,$A10,'Per Line'!$W$2:$W$3001,1))</f>
        <v/>
      </c>
      <c r="P10" s="7">
        <f>IF($U10="","",O10*N10)</f>
        <v/>
      </c>
      <c r="Q10" s="7">
        <f>IF($U10="","",P10+M10)</f>
        <v/>
      </c>
      <c r="R10" s="7">
        <f>IF($U10="","",S10-Q10)</f>
        <v/>
      </c>
      <c r="S10" s="7">
        <f>IF($U10="","",L10+O10)</f>
        <v/>
      </c>
      <c r="T10" s="7">
        <f>IF($U10="","",S10-Q10-G10)</f>
        <v/>
      </c>
      <c r="U10" s="13">
        <f>IF(ROWS($U$2:$U10)&lt;=MAX('Per Line'!$V$2:$V$3001),MATCH(ROWS($U$2:$U10),'Per Line'!$V$2:$V$3001,0),"")</f>
        <v/>
      </c>
    </row>
    <row r="11">
      <c r="A11">
        <f>IF($U11="","",INDEX('Per Line'!$A$2:$A$3001,$U11)&amp;"")</f>
        <v/>
      </c>
      <c r="B11" s="12" t="n"/>
      <c r="C11">
        <f>IF($U11="","",INDEX('Per Line'!$B$2:$B$3001,$U11)&amp;"")</f>
        <v/>
      </c>
      <c r="D11">
        <f>IF($U11="","",INDEX('Per Line'!$C$2:$C$3001,$U11)&amp;"")</f>
        <v/>
      </c>
      <c r="E11">
        <f>IF($U11="","",INDEX('Per Line'!$D$2:$D$3001,$U11)&amp;"")</f>
        <v/>
      </c>
      <c r="F11">
        <f>IF($U11="","",INDEX('Per Line'!$E$2:$E$3001,$U11))</f>
        <v/>
      </c>
      <c r="G11" s="7">
        <f>IF($U11="","",F11*S11/100)</f>
        <v/>
      </c>
      <c r="H11">
        <f>IF($U11="","",INDEX('Per Line'!$O$2:$O$3001,$U11)&amp;"")</f>
        <v/>
      </c>
      <c r="I11" s="11">
        <f>IF($U11="","",INDEX('Per Line'!$Q$2:$Q$3001,$U11))</f>
        <v/>
      </c>
      <c r="J11">
        <f>IF($U11="","",INDEX('Per Line'!$R$2:$R$3001,$U11)&amp;"")</f>
        <v/>
      </c>
      <c r="K11">
        <f>IF($U11="","",Settings!$C$7)</f>
        <v/>
      </c>
      <c r="L11" s="7">
        <f>IF($U11="","",SUMIFS('Per Line'!$N$2:$N$3001,'Per Line'!$A$2:$A$3001,$A11,'Per Line'!$W$2:$W$3001,0))</f>
        <v/>
      </c>
      <c r="M11" s="7">
        <f>IF($U11="","",L11*K11)</f>
        <v/>
      </c>
      <c r="N11">
        <f>IF($U11="","",Settings!$C$6)</f>
        <v/>
      </c>
      <c r="O11" s="7">
        <f>IF($U11="","",SUMIFS('Per Line'!$N$2:$N$3001,'Per Line'!$A$2:$A$3001,$A11,'Per Line'!$W$2:$W$3001,1))</f>
        <v/>
      </c>
      <c r="P11" s="7">
        <f>IF($U11="","",O11*N11)</f>
        <v/>
      </c>
      <c r="Q11" s="7">
        <f>IF($U11="","",P11+M11)</f>
        <v/>
      </c>
      <c r="R11" s="7">
        <f>IF($U11="","",S11-Q11)</f>
        <v/>
      </c>
      <c r="S11" s="7">
        <f>IF($U11="","",L11+O11)</f>
        <v/>
      </c>
      <c r="T11" s="7">
        <f>IF($U11="","",S11-Q11-G11)</f>
        <v/>
      </c>
      <c r="U11" s="13">
        <f>IF(ROWS($U$2:$U11)&lt;=MAX('Per Line'!$V$2:$V$3001),MATCH(ROWS($U$2:$U11),'Per Line'!$V$2:$V$3001,0),"")</f>
        <v/>
      </c>
    </row>
    <row r="12">
      <c r="A12">
        <f>IF($U12="","",INDEX('Per Line'!$A$2:$A$3001,$U12)&amp;"")</f>
        <v/>
      </c>
      <c r="B12" s="12" t="n"/>
      <c r="C12">
        <f>IF($U12="","",INDEX('Per Line'!$B$2:$B$3001,$U12)&amp;"")</f>
        <v/>
      </c>
      <c r="D12">
        <f>IF($U12="","",INDEX('Per Line'!$C$2:$C$3001,$U12)&amp;"")</f>
        <v/>
      </c>
      <c r="E12">
        <f>IF($U12="","",INDEX('Per Line'!$D$2:$D$3001,$U12)&amp;"")</f>
        <v/>
      </c>
      <c r="F12">
        <f>IF($U12="","",INDEX('Per Line'!$E$2:$E$3001,$U12))</f>
        <v/>
      </c>
      <c r="G12" s="7">
        <f>IF($U12="","",F12*S12/100)</f>
        <v/>
      </c>
      <c r="H12">
        <f>IF($U12="","",INDEX('Per Line'!$O$2:$O$3001,$U12)&amp;"")</f>
        <v/>
      </c>
      <c r="I12" s="11">
        <f>IF($U12="","",INDEX('Per Line'!$Q$2:$Q$3001,$U12))</f>
        <v/>
      </c>
      <c r="J12">
        <f>IF($U12="","",INDEX('Per Line'!$R$2:$R$3001,$U12)&amp;"")</f>
        <v/>
      </c>
      <c r="K12">
        <f>IF($U12="","",Settings!$C$7)</f>
        <v/>
      </c>
      <c r="L12" s="7">
        <f>IF($U12="","",SUMIFS('Per Line'!$N$2:$N$3001,'Per Line'!$A$2:$A$3001,$A12,'Per Line'!$W$2:$W$3001,0))</f>
        <v/>
      </c>
      <c r="M12" s="7">
        <f>IF($U12="","",L12*K12)</f>
        <v/>
      </c>
      <c r="N12">
        <f>IF($U12="","",Settings!$C$6)</f>
        <v/>
      </c>
      <c r="O12" s="7">
        <f>IF($U12="","",SUMIFS('Per Line'!$N$2:$N$3001,'Per Line'!$A$2:$A$3001,$A12,'Per Line'!$W$2:$W$3001,1))</f>
        <v/>
      </c>
      <c r="P12" s="7">
        <f>IF($U12="","",O12*N12)</f>
        <v/>
      </c>
      <c r="Q12" s="7">
        <f>IF($U12="","",P12+M12)</f>
        <v/>
      </c>
      <c r="R12" s="7">
        <f>IF($U12="","",S12-Q12)</f>
        <v/>
      </c>
      <c r="S12" s="7">
        <f>IF($U12="","",L12+O12)</f>
        <v/>
      </c>
      <c r="T12" s="7">
        <f>IF($U12="","",S12-Q12-G12)</f>
        <v/>
      </c>
      <c r="U12" s="13">
        <f>IF(ROWS($U$2:$U12)&lt;=MAX('Per Line'!$V$2:$V$3001),MATCH(ROWS($U$2:$U12),'Per Line'!$V$2:$V$3001,0),"")</f>
        <v/>
      </c>
    </row>
    <row r="13">
      <c r="A13">
        <f>IF($U13="","",INDEX('Per Line'!$A$2:$A$3001,$U13)&amp;"")</f>
        <v/>
      </c>
      <c r="B13" s="12" t="n"/>
      <c r="C13">
        <f>IF($U13="","",INDEX('Per Line'!$B$2:$B$3001,$U13)&amp;"")</f>
        <v/>
      </c>
      <c r="D13">
        <f>IF($U13="","",INDEX('Per Line'!$C$2:$C$3001,$U13)&amp;"")</f>
        <v/>
      </c>
      <c r="E13">
        <f>IF($U13="","",INDEX('Per Line'!$D$2:$D$3001,$U13)&amp;"")</f>
        <v/>
      </c>
      <c r="F13">
        <f>IF($U13="","",INDEX('Per Line'!$E$2:$E$3001,$U13))</f>
        <v/>
      </c>
      <c r="G13" s="7">
        <f>IF($U13="","",F13*S13/100)</f>
        <v/>
      </c>
      <c r="H13">
        <f>IF($U13="","",INDEX('Per Line'!$O$2:$O$3001,$U13)&amp;"")</f>
        <v/>
      </c>
      <c r="I13" s="11">
        <f>IF($U13="","",INDEX('Per Line'!$Q$2:$Q$3001,$U13))</f>
        <v/>
      </c>
      <c r="J13">
        <f>IF($U13="","",INDEX('Per Line'!$R$2:$R$3001,$U13)&amp;"")</f>
        <v/>
      </c>
      <c r="K13">
        <f>IF($U13="","",Settings!$C$7)</f>
        <v/>
      </c>
      <c r="L13" s="7">
        <f>IF($U13="","",SUMIFS('Per Line'!$N$2:$N$3001,'Per Line'!$A$2:$A$3001,$A13,'Per Line'!$W$2:$W$3001,0))</f>
        <v/>
      </c>
      <c r="M13" s="7">
        <f>IF($U13="","",L13*K13)</f>
        <v/>
      </c>
      <c r="N13">
        <f>IF($U13="","",Settings!$C$6)</f>
        <v/>
      </c>
      <c r="O13" s="7">
        <f>IF($U13="","",SUMIFS('Per Line'!$N$2:$N$3001,'Per Line'!$A$2:$A$3001,$A13,'Per Line'!$W$2:$W$3001,1))</f>
        <v/>
      </c>
      <c r="P13" s="7">
        <f>IF($U13="","",O13*N13)</f>
        <v/>
      </c>
      <c r="Q13" s="7">
        <f>IF($U13="","",P13+M13)</f>
        <v/>
      </c>
      <c r="R13" s="7">
        <f>IF($U13="","",S13-Q13)</f>
        <v/>
      </c>
      <c r="S13" s="7">
        <f>IF($U13="","",L13+O13)</f>
        <v/>
      </c>
      <c r="T13" s="7">
        <f>IF($U13="","",S13-Q13-G13)</f>
        <v/>
      </c>
      <c r="U13" s="13">
        <f>IF(ROWS($U$2:$U13)&lt;=MAX('Per Line'!$V$2:$V$3001),MATCH(ROWS($U$2:$U13),'Per Line'!$V$2:$V$3001,0),"")</f>
        <v/>
      </c>
    </row>
    <row r="14">
      <c r="A14">
        <f>IF($U14="","",INDEX('Per Line'!$A$2:$A$3001,$U14)&amp;"")</f>
        <v/>
      </c>
      <c r="B14" s="12" t="n"/>
      <c r="C14">
        <f>IF($U14="","",INDEX('Per Line'!$B$2:$B$3001,$U14)&amp;"")</f>
        <v/>
      </c>
      <c r="D14">
        <f>IF($U14="","",INDEX('Per Line'!$C$2:$C$3001,$U14)&amp;"")</f>
        <v/>
      </c>
      <c r="E14">
        <f>IF($U14="","",INDEX('Per Line'!$D$2:$D$3001,$U14)&amp;"")</f>
        <v/>
      </c>
      <c r="F14">
        <f>IF($U14="","",INDEX('Per Line'!$E$2:$E$3001,$U14))</f>
        <v/>
      </c>
      <c r="G14" s="7">
        <f>IF($U14="","",F14*S14/100)</f>
        <v/>
      </c>
      <c r="H14">
        <f>IF($U14="","",INDEX('Per Line'!$O$2:$O$3001,$U14)&amp;"")</f>
        <v/>
      </c>
      <c r="I14" s="11">
        <f>IF($U14="","",INDEX('Per Line'!$Q$2:$Q$3001,$U14))</f>
        <v/>
      </c>
      <c r="J14">
        <f>IF($U14="","",INDEX('Per Line'!$R$2:$R$3001,$U14)&amp;"")</f>
        <v/>
      </c>
      <c r="K14">
        <f>IF($U14="","",Settings!$C$7)</f>
        <v/>
      </c>
      <c r="L14" s="7">
        <f>IF($U14="","",SUMIFS('Per Line'!$N$2:$N$3001,'Per Line'!$A$2:$A$3001,$A14,'Per Line'!$W$2:$W$3001,0))</f>
        <v/>
      </c>
      <c r="M14" s="7">
        <f>IF($U14="","",L14*K14)</f>
        <v/>
      </c>
      <c r="N14">
        <f>IF($U14="","",Settings!$C$6)</f>
        <v/>
      </c>
      <c r="O14" s="7">
        <f>IF($U14="","",SUMIFS('Per Line'!$N$2:$N$3001,'Per Line'!$A$2:$A$3001,$A14,'Per Line'!$W$2:$W$3001,1))</f>
        <v/>
      </c>
      <c r="P14" s="7">
        <f>IF($U14="","",O14*N14)</f>
        <v/>
      </c>
      <c r="Q14" s="7">
        <f>IF($U14="","",P14+M14)</f>
        <v/>
      </c>
      <c r="R14" s="7">
        <f>IF($U14="","",S14-Q14)</f>
        <v/>
      </c>
      <c r="S14" s="7">
        <f>IF($U14="","",L14+O14)</f>
        <v/>
      </c>
      <c r="T14" s="7">
        <f>IF($U14="","",S14-Q14-G14)</f>
        <v/>
      </c>
      <c r="U14" s="13">
        <f>IF(ROWS($U$2:$U14)&lt;=MAX('Per Line'!$V$2:$V$3001),MATCH(ROWS($U$2:$U14),'Per Line'!$V$2:$V$3001,0),"")</f>
        <v/>
      </c>
    </row>
    <row r="15">
      <c r="A15">
        <f>IF($U15="","",INDEX('Per Line'!$A$2:$A$3001,$U15)&amp;"")</f>
        <v/>
      </c>
      <c r="B15" s="12" t="n"/>
      <c r="C15">
        <f>IF($U15="","",INDEX('Per Line'!$B$2:$B$3001,$U15)&amp;"")</f>
        <v/>
      </c>
      <c r="D15">
        <f>IF($U15="","",INDEX('Per Line'!$C$2:$C$3001,$U15)&amp;"")</f>
        <v/>
      </c>
      <c r="E15">
        <f>IF($U15="","",INDEX('Per Line'!$D$2:$D$3001,$U15)&amp;"")</f>
        <v/>
      </c>
      <c r="F15">
        <f>IF($U15="","",INDEX('Per Line'!$E$2:$E$3001,$U15))</f>
        <v/>
      </c>
      <c r="G15" s="7">
        <f>IF($U15="","",F15*S15/100)</f>
        <v/>
      </c>
      <c r="H15">
        <f>IF($U15="","",INDEX('Per Line'!$O$2:$O$3001,$U15)&amp;"")</f>
        <v/>
      </c>
      <c r="I15" s="11">
        <f>IF($U15="","",INDEX('Per Line'!$Q$2:$Q$3001,$U15))</f>
        <v/>
      </c>
      <c r="J15">
        <f>IF($U15="","",INDEX('Per Line'!$R$2:$R$3001,$U15)&amp;"")</f>
        <v/>
      </c>
      <c r="K15">
        <f>IF($U15="","",Settings!$C$7)</f>
        <v/>
      </c>
      <c r="L15" s="7">
        <f>IF($U15="","",SUMIFS('Per Line'!$N$2:$N$3001,'Per Line'!$A$2:$A$3001,$A15,'Per Line'!$W$2:$W$3001,0))</f>
        <v/>
      </c>
      <c r="M15" s="7">
        <f>IF($U15="","",L15*K15)</f>
        <v/>
      </c>
      <c r="N15">
        <f>IF($U15="","",Settings!$C$6)</f>
        <v/>
      </c>
      <c r="O15" s="7">
        <f>IF($U15="","",SUMIFS('Per Line'!$N$2:$N$3001,'Per Line'!$A$2:$A$3001,$A15,'Per Line'!$W$2:$W$3001,1))</f>
        <v/>
      </c>
      <c r="P15" s="7">
        <f>IF($U15="","",O15*N15)</f>
        <v/>
      </c>
      <c r="Q15" s="7">
        <f>IF($U15="","",P15+M15)</f>
        <v/>
      </c>
      <c r="R15" s="7">
        <f>IF($U15="","",S15-Q15)</f>
        <v/>
      </c>
      <c r="S15" s="7">
        <f>IF($U15="","",L15+O15)</f>
        <v/>
      </c>
      <c r="T15" s="7">
        <f>IF($U15="","",S15-Q15-G15)</f>
        <v/>
      </c>
      <c r="U15" s="13">
        <f>IF(ROWS($U$2:$U15)&lt;=MAX('Per Line'!$V$2:$V$3001),MATCH(ROWS($U$2:$U15),'Per Line'!$V$2:$V$3001,0),"")</f>
        <v/>
      </c>
    </row>
    <row r="16">
      <c r="A16">
        <f>IF($U16="","",INDEX('Per Line'!$A$2:$A$3001,$U16)&amp;"")</f>
        <v/>
      </c>
      <c r="B16" s="12" t="n"/>
      <c r="C16">
        <f>IF($U16="","",INDEX('Per Line'!$B$2:$B$3001,$U16)&amp;"")</f>
        <v/>
      </c>
      <c r="D16">
        <f>IF($U16="","",INDEX('Per Line'!$C$2:$C$3001,$U16)&amp;"")</f>
        <v/>
      </c>
      <c r="E16">
        <f>IF($U16="","",INDEX('Per Line'!$D$2:$D$3001,$U16)&amp;"")</f>
        <v/>
      </c>
      <c r="F16">
        <f>IF($U16="","",INDEX('Per Line'!$E$2:$E$3001,$U16))</f>
        <v/>
      </c>
      <c r="G16" s="7">
        <f>IF($U16="","",F16*S16/100)</f>
        <v/>
      </c>
      <c r="H16">
        <f>IF($U16="","",INDEX('Per Line'!$O$2:$O$3001,$U16)&amp;"")</f>
        <v/>
      </c>
      <c r="I16" s="11">
        <f>IF($U16="","",INDEX('Per Line'!$Q$2:$Q$3001,$U16))</f>
        <v/>
      </c>
      <c r="J16">
        <f>IF($U16="","",INDEX('Per Line'!$R$2:$R$3001,$U16)&amp;"")</f>
        <v/>
      </c>
      <c r="K16">
        <f>IF($U16="","",Settings!$C$7)</f>
        <v/>
      </c>
      <c r="L16" s="7">
        <f>IF($U16="","",SUMIFS('Per Line'!$N$2:$N$3001,'Per Line'!$A$2:$A$3001,$A16,'Per Line'!$W$2:$W$3001,0))</f>
        <v/>
      </c>
      <c r="M16" s="7">
        <f>IF($U16="","",L16*K16)</f>
        <v/>
      </c>
      <c r="N16">
        <f>IF($U16="","",Settings!$C$6)</f>
        <v/>
      </c>
      <c r="O16" s="7">
        <f>IF($U16="","",SUMIFS('Per Line'!$N$2:$N$3001,'Per Line'!$A$2:$A$3001,$A16,'Per Line'!$W$2:$W$3001,1))</f>
        <v/>
      </c>
      <c r="P16" s="7">
        <f>IF($U16="","",O16*N16)</f>
        <v/>
      </c>
      <c r="Q16" s="7">
        <f>IF($U16="","",P16+M16)</f>
        <v/>
      </c>
      <c r="R16" s="7">
        <f>IF($U16="","",S16-Q16)</f>
        <v/>
      </c>
      <c r="S16" s="7">
        <f>IF($U16="","",L16+O16)</f>
        <v/>
      </c>
      <c r="T16" s="7">
        <f>IF($U16="","",S16-Q16-G16)</f>
        <v/>
      </c>
      <c r="U16" s="13">
        <f>IF(ROWS($U$2:$U16)&lt;=MAX('Per Line'!$V$2:$V$3001),MATCH(ROWS($U$2:$U16),'Per Line'!$V$2:$V$3001,0),"")</f>
        <v/>
      </c>
    </row>
    <row r="17">
      <c r="A17">
        <f>IF($U17="","",INDEX('Per Line'!$A$2:$A$3001,$U17)&amp;"")</f>
        <v/>
      </c>
      <c r="B17" s="12" t="n"/>
      <c r="C17">
        <f>IF($U17="","",INDEX('Per Line'!$B$2:$B$3001,$U17)&amp;"")</f>
        <v/>
      </c>
      <c r="D17">
        <f>IF($U17="","",INDEX('Per Line'!$C$2:$C$3001,$U17)&amp;"")</f>
        <v/>
      </c>
      <c r="E17">
        <f>IF($U17="","",INDEX('Per Line'!$D$2:$D$3001,$U17)&amp;"")</f>
        <v/>
      </c>
      <c r="F17">
        <f>IF($U17="","",INDEX('Per Line'!$E$2:$E$3001,$U17))</f>
        <v/>
      </c>
      <c r="G17" s="7">
        <f>IF($U17="","",F17*S17/100)</f>
        <v/>
      </c>
      <c r="H17">
        <f>IF($U17="","",INDEX('Per Line'!$O$2:$O$3001,$U17)&amp;"")</f>
        <v/>
      </c>
      <c r="I17" s="11">
        <f>IF($U17="","",INDEX('Per Line'!$Q$2:$Q$3001,$U17))</f>
        <v/>
      </c>
      <c r="J17">
        <f>IF($U17="","",INDEX('Per Line'!$R$2:$R$3001,$U17)&amp;"")</f>
        <v/>
      </c>
      <c r="K17">
        <f>IF($U17="","",Settings!$C$7)</f>
        <v/>
      </c>
      <c r="L17" s="7">
        <f>IF($U17="","",SUMIFS('Per Line'!$N$2:$N$3001,'Per Line'!$A$2:$A$3001,$A17,'Per Line'!$W$2:$W$3001,0))</f>
        <v/>
      </c>
      <c r="M17" s="7">
        <f>IF($U17="","",L17*K17)</f>
        <v/>
      </c>
      <c r="N17">
        <f>IF($U17="","",Settings!$C$6)</f>
        <v/>
      </c>
      <c r="O17" s="7">
        <f>IF($U17="","",SUMIFS('Per Line'!$N$2:$N$3001,'Per Line'!$A$2:$A$3001,$A17,'Per Line'!$W$2:$W$3001,1))</f>
        <v/>
      </c>
      <c r="P17" s="7">
        <f>IF($U17="","",O17*N17)</f>
        <v/>
      </c>
      <c r="Q17" s="7">
        <f>IF($U17="","",P17+M17)</f>
        <v/>
      </c>
      <c r="R17" s="7">
        <f>IF($U17="","",S17-Q17)</f>
        <v/>
      </c>
      <c r="S17" s="7">
        <f>IF($U17="","",L17+O17)</f>
        <v/>
      </c>
      <c r="T17" s="7">
        <f>IF($U17="","",S17-Q17-G17)</f>
        <v/>
      </c>
      <c r="U17" s="13">
        <f>IF(ROWS($U$2:$U17)&lt;=MAX('Per Line'!$V$2:$V$3001),MATCH(ROWS($U$2:$U17),'Per Line'!$V$2:$V$3001,0),"")</f>
        <v/>
      </c>
    </row>
    <row r="18">
      <c r="A18">
        <f>IF($U18="","",INDEX('Per Line'!$A$2:$A$3001,$U18)&amp;"")</f>
        <v/>
      </c>
      <c r="B18" s="12" t="n"/>
      <c r="C18">
        <f>IF($U18="","",INDEX('Per Line'!$B$2:$B$3001,$U18)&amp;"")</f>
        <v/>
      </c>
      <c r="D18">
        <f>IF($U18="","",INDEX('Per Line'!$C$2:$C$3001,$U18)&amp;"")</f>
        <v/>
      </c>
      <c r="E18">
        <f>IF($U18="","",INDEX('Per Line'!$D$2:$D$3001,$U18)&amp;"")</f>
        <v/>
      </c>
      <c r="F18">
        <f>IF($U18="","",INDEX('Per Line'!$E$2:$E$3001,$U18))</f>
        <v/>
      </c>
      <c r="G18" s="7">
        <f>IF($U18="","",F18*S18/100)</f>
        <v/>
      </c>
      <c r="H18">
        <f>IF($U18="","",INDEX('Per Line'!$O$2:$O$3001,$U18)&amp;"")</f>
        <v/>
      </c>
      <c r="I18" s="11">
        <f>IF($U18="","",INDEX('Per Line'!$Q$2:$Q$3001,$U18))</f>
        <v/>
      </c>
      <c r="J18">
        <f>IF($U18="","",INDEX('Per Line'!$R$2:$R$3001,$U18)&amp;"")</f>
        <v/>
      </c>
      <c r="K18">
        <f>IF($U18="","",Settings!$C$7)</f>
        <v/>
      </c>
      <c r="L18" s="7">
        <f>IF($U18="","",SUMIFS('Per Line'!$N$2:$N$3001,'Per Line'!$A$2:$A$3001,$A18,'Per Line'!$W$2:$W$3001,0))</f>
        <v/>
      </c>
      <c r="M18" s="7">
        <f>IF($U18="","",L18*K18)</f>
        <v/>
      </c>
      <c r="N18">
        <f>IF($U18="","",Settings!$C$6)</f>
        <v/>
      </c>
      <c r="O18" s="7">
        <f>IF($U18="","",SUMIFS('Per Line'!$N$2:$N$3001,'Per Line'!$A$2:$A$3001,$A18,'Per Line'!$W$2:$W$3001,1))</f>
        <v/>
      </c>
      <c r="P18" s="7">
        <f>IF($U18="","",O18*N18)</f>
        <v/>
      </c>
      <c r="Q18" s="7">
        <f>IF($U18="","",P18+M18)</f>
        <v/>
      </c>
      <c r="R18" s="7">
        <f>IF($U18="","",S18-Q18)</f>
        <v/>
      </c>
      <c r="S18" s="7">
        <f>IF($U18="","",L18+O18)</f>
        <v/>
      </c>
      <c r="T18" s="7">
        <f>IF($U18="","",S18-Q18-G18)</f>
        <v/>
      </c>
      <c r="U18" s="13">
        <f>IF(ROWS($U$2:$U18)&lt;=MAX('Per Line'!$V$2:$V$3001),MATCH(ROWS($U$2:$U18),'Per Line'!$V$2:$V$3001,0),"")</f>
        <v/>
      </c>
    </row>
    <row r="19">
      <c r="A19">
        <f>IF($U19="","",INDEX('Per Line'!$A$2:$A$3001,$U19)&amp;"")</f>
        <v/>
      </c>
      <c r="B19" s="12" t="n"/>
      <c r="C19">
        <f>IF($U19="","",INDEX('Per Line'!$B$2:$B$3001,$U19)&amp;"")</f>
        <v/>
      </c>
      <c r="D19">
        <f>IF($U19="","",INDEX('Per Line'!$C$2:$C$3001,$U19)&amp;"")</f>
        <v/>
      </c>
      <c r="E19">
        <f>IF($U19="","",INDEX('Per Line'!$D$2:$D$3001,$U19)&amp;"")</f>
        <v/>
      </c>
      <c r="F19">
        <f>IF($U19="","",INDEX('Per Line'!$E$2:$E$3001,$U19))</f>
        <v/>
      </c>
      <c r="G19" s="7">
        <f>IF($U19="","",F19*S19/100)</f>
        <v/>
      </c>
      <c r="H19">
        <f>IF($U19="","",INDEX('Per Line'!$O$2:$O$3001,$U19)&amp;"")</f>
        <v/>
      </c>
      <c r="I19" s="11">
        <f>IF($U19="","",INDEX('Per Line'!$Q$2:$Q$3001,$U19))</f>
        <v/>
      </c>
      <c r="J19">
        <f>IF($U19="","",INDEX('Per Line'!$R$2:$R$3001,$U19)&amp;"")</f>
        <v/>
      </c>
      <c r="K19">
        <f>IF($U19="","",Settings!$C$7)</f>
        <v/>
      </c>
      <c r="L19" s="7">
        <f>IF($U19="","",SUMIFS('Per Line'!$N$2:$N$3001,'Per Line'!$A$2:$A$3001,$A19,'Per Line'!$W$2:$W$3001,0))</f>
        <v/>
      </c>
      <c r="M19" s="7">
        <f>IF($U19="","",L19*K19)</f>
        <v/>
      </c>
      <c r="N19">
        <f>IF($U19="","",Settings!$C$6)</f>
        <v/>
      </c>
      <c r="O19" s="7">
        <f>IF($U19="","",SUMIFS('Per Line'!$N$2:$N$3001,'Per Line'!$A$2:$A$3001,$A19,'Per Line'!$W$2:$W$3001,1))</f>
        <v/>
      </c>
      <c r="P19" s="7">
        <f>IF($U19="","",O19*N19)</f>
        <v/>
      </c>
      <c r="Q19" s="7">
        <f>IF($U19="","",P19+M19)</f>
        <v/>
      </c>
      <c r="R19" s="7">
        <f>IF($U19="","",S19-Q19)</f>
        <v/>
      </c>
      <c r="S19" s="7">
        <f>IF($U19="","",L19+O19)</f>
        <v/>
      </c>
      <c r="T19" s="7">
        <f>IF($U19="","",S19-Q19-G19)</f>
        <v/>
      </c>
      <c r="U19" s="13">
        <f>IF(ROWS($U$2:$U19)&lt;=MAX('Per Line'!$V$2:$V$3001),MATCH(ROWS($U$2:$U19),'Per Line'!$V$2:$V$3001,0),"")</f>
        <v/>
      </c>
    </row>
    <row r="20">
      <c r="A20">
        <f>IF($U20="","",INDEX('Per Line'!$A$2:$A$3001,$U20)&amp;"")</f>
        <v/>
      </c>
      <c r="B20" s="12" t="n"/>
      <c r="C20">
        <f>IF($U20="","",INDEX('Per Line'!$B$2:$B$3001,$U20)&amp;"")</f>
        <v/>
      </c>
      <c r="D20">
        <f>IF($U20="","",INDEX('Per Line'!$C$2:$C$3001,$U20)&amp;"")</f>
        <v/>
      </c>
      <c r="E20">
        <f>IF($U20="","",INDEX('Per Line'!$D$2:$D$3001,$U20)&amp;"")</f>
        <v/>
      </c>
      <c r="F20">
        <f>IF($U20="","",INDEX('Per Line'!$E$2:$E$3001,$U20))</f>
        <v/>
      </c>
      <c r="G20" s="7">
        <f>IF($U20="","",F20*S20/100)</f>
        <v/>
      </c>
      <c r="H20">
        <f>IF($U20="","",INDEX('Per Line'!$O$2:$O$3001,$U20)&amp;"")</f>
        <v/>
      </c>
      <c r="I20" s="11">
        <f>IF($U20="","",INDEX('Per Line'!$Q$2:$Q$3001,$U20))</f>
        <v/>
      </c>
      <c r="J20">
        <f>IF($U20="","",INDEX('Per Line'!$R$2:$R$3001,$U20)&amp;"")</f>
        <v/>
      </c>
      <c r="K20">
        <f>IF($U20="","",Settings!$C$7)</f>
        <v/>
      </c>
      <c r="L20" s="7">
        <f>IF($U20="","",SUMIFS('Per Line'!$N$2:$N$3001,'Per Line'!$A$2:$A$3001,$A20,'Per Line'!$W$2:$W$3001,0))</f>
        <v/>
      </c>
      <c r="M20" s="7">
        <f>IF($U20="","",L20*K20)</f>
        <v/>
      </c>
      <c r="N20">
        <f>IF($U20="","",Settings!$C$6)</f>
        <v/>
      </c>
      <c r="O20" s="7">
        <f>IF($U20="","",SUMIFS('Per Line'!$N$2:$N$3001,'Per Line'!$A$2:$A$3001,$A20,'Per Line'!$W$2:$W$3001,1))</f>
        <v/>
      </c>
      <c r="P20" s="7">
        <f>IF($U20="","",O20*N20)</f>
        <v/>
      </c>
      <c r="Q20" s="7">
        <f>IF($U20="","",P20+M20)</f>
        <v/>
      </c>
      <c r="R20" s="7">
        <f>IF($U20="","",S20-Q20)</f>
        <v/>
      </c>
      <c r="S20" s="7">
        <f>IF($U20="","",L20+O20)</f>
        <v/>
      </c>
      <c r="T20" s="7">
        <f>IF($U20="","",S20-Q20-G20)</f>
        <v/>
      </c>
      <c r="U20" s="13">
        <f>IF(ROWS($U$2:$U20)&lt;=MAX('Per Line'!$V$2:$V$3001),MATCH(ROWS($U$2:$U20),'Per Line'!$V$2:$V$3001,0),"")</f>
        <v/>
      </c>
    </row>
    <row r="21">
      <c r="A21">
        <f>IF($U21="","",INDEX('Per Line'!$A$2:$A$3001,$U21)&amp;"")</f>
        <v/>
      </c>
      <c r="B21" s="12" t="n"/>
      <c r="C21">
        <f>IF($U21="","",INDEX('Per Line'!$B$2:$B$3001,$U21)&amp;"")</f>
        <v/>
      </c>
      <c r="D21">
        <f>IF($U21="","",INDEX('Per Line'!$C$2:$C$3001,$U21)&amp;"")</f>
        <v/>
      </c>
      <c r="E21">
        <f>IF($U21="","",INDEX('Per Line'!$D$2:$D$3001,$U21)&amp;"")</f>
        <v/>
      </c>
      <c r="F21">
        <f>IF($U21="","",INDEX('Per Line'!$E$2:$E$3001,$U21))</f>
        <v/>
      </c>
      <c r="G21" s="7">
        <f>IF($U21="","",F21*S21/100)</f>
        <v/>
      </c>
      <c r="H21">
        <f>IF($U21="","",INDEX('Per Line'!$O$2:$O$3001,$U21)&amp;"")</f>
        <v/>
      </c>
      <c r="I21" s="11">
        <f>IF($U21="","",INDEX('Per Line'!$Q$2:$Q$3001,$U21))</f>
        <v/>
      </c>
      <c r="J21">
        <f>IF($U21="","",INDEX('Per Line'!$R$2:$R$3001,$U21)&amp;"")</f>
        <v/>
      </c>
      <c r="K21">
        <f>IF($U21="","",Settings!$C$7)</f>
        <v/>
      </c>
      <c r="L21" s="7">
        <f>IF($U21="","",SUMIFS('Per Line'!$N$2:$N$3001,'Per Line'!$A$2:$A$3001,$A21,'Per Line'!$W$2:$W$3001,0))</f>
        <v/>
      </c>
      <c r="M21" s="7">
        <f>IF($U21="","",L21*K21)</f>
        <v/>
      </c>
      <c r="N21">
        <f>IF($U21="","",Settings!$C$6)</f>
        <v/>
      </c>
      <c r="O21" s="7">
        <f>IF($U21="","",SUMIFS('Per Line'!$N$2:$N$3001,'Per Line'!$A$2:$A$3001,$A21,'Per Line'!$W$2:$W$3001,1))</f>
        <v/>
      </c>
      <c r="P21" s="7">
        <f>IF($U21="","",O21*N21)</f>
        <v/>
      </c>
      <c r="Q21" s="7">
        <f>IF($U21="","",P21+M21)</f>
        <v/>
      </c>
      <c r="R21" s="7">
        <f>IF($U21="","",S21-Q21)</f>
        <v/>
      </c>
      <c r="S21" s="7">
        <f>IF($U21="","",L21+O21)</f>
        <v/>
      </c>
      <c r="T21" s="7">
        <f>IF($U21="","",S21-Q21-G21)</f>
        <v/>
      </c>
      <c r="U21" s="13">
        <f>IF(ROWS($U$2:$U21)&lt;=MAX('Per Line'!$V$2:$V$3001),MATCH(ROWS($U$2:$U21),'Per Line'!$V$2:$V$3001,0),"")</f>
        <v/>
      </c>
    </row>
    <row r="22">
      <c r="A22">
        <f>IF($U22="","",INDEX('Per Line'!$A$2:$A$3001,$U22)&amp;"")</f>
        <v/>
      </c>
      <c r="B22" s="12" t="n"/>
      <c r="C22">
        <f>IF($U22="","",INDEX('Per Line'!$B$2:$B$3001,$U22)&amp;"")</f>
        <v/>
      </c>
      <c r="D22">
        <f>IF($U22="","",INDEX('Per Line'!$C$2:$C$3001,$U22)&amp;"")</f>
        <v/>
      </c>
      <c r="E22">
        <f>IF($U22="","",INDEX('Per Line'!$D$2:$D$3001,$U22)&amp;"")</f>
        <v/>
      </c>
      <c r="F22">
        <f>IF($U22="","",INDEX('Per Line'!$E$2:$E$3001,$U22))</f>
        <v/>
      </c>
      <c r="G22" s="7">
        <f>IF($U22="","",F22*S22/100)</f>
        <v/>
      </c>
      <c r="H22">
        <f>IF($U22="","",INDEX('Per Line'!$O$2:$O$3001,$U22)&amp;"")</f>
        <v/>
      </c>
      <c r="I22" s="11">
        <f>IF($U22="","",INDEX('Per Line'!$Q$2:$Q$3001,$U22))</f>
        <v/>
      </c>
      <c r="J22">
        <f>IF($U22="","",INDEX('Per Line'!$R$2:$R$3001,$U22)&amp;"")</f>
        <v/>
      </c>
      <c r="K22">
        <f>IF($U22="","",Settings!$C$7)</f>
        <v/>
      </c>
      <c r="L22" s="7">
        <f>IF($U22="","",SUMIFS('Per Line'!$N$2:$N$3001,'Per Line'!$A$2:$A$3001,$A22,'Per Line'!$W$2:$W$3001,0))</f>
        <v/>
      </c>
      <c r="M22" s="7">
        <f>IF($U22="","",L22*K22)</f>
        <v/>
      </c>
      <c r="N22">
        <f>IF($U22="","",Settings!$C$6)</f>
        <v/>
      </c>
      <c r="O22" s="7">
        <f>IF($U22="","",SUMIFS('Per Line'!$N$2:$N$3001,'Per Line'!$A$2:$A$3001,$A22,'Per Line'!$W$2:$W$3001,1))</f>
        <v/>
      </c>
      <c r="P22" s="7">
        <f>IF($U22="","",O22*N22)</f>
        <v/>
      </c>
      <c r="Q22" s="7">
        <f>IF($U22="","",P22+M22)</f>
        <v/>
      </c>
      <c r="R22" s="7">
        <f>IF($U22="","",S22-Q22)</f>
        <v/>
      </c>
      <c r="S22" s="7">
        <f>IF($U22="","",L22+O22)</f>
        <v/>
      </c>
      <c r="T22" s="7">
        <f>IF($U22="","",S22-Q22-G22)</f>
        <v/>
      </c>
      <c r="U22" s="13">
        <f>IF(ROWS($U$2:$U22)&lt;=MAX('Per Line'!$V$2:$V$3001),MATCH(ROWS($U$2:$U22),'Per Line'!$V$2:$V$3001,0),"")</f>
        <v/>
      </c>
    </row>
    <row r="23">
      <c r="A23">
        <f>IF($U23="","",INDEX('Per Line'!$A$2:$A$3001,$U23)&amp;"")</f>
        <v/>
      </c>
      <c r="B23" s="12" t="n"/>
      <c r="C23">
        <f>IF($U23="","",INDEX('Per Line'!$B$2:$B$3001,$U23)&amp;"")</f>
        <v/>
      </c>
      <c r="D23">
        <f>IF($U23="","",INDEX('Per Line'!$C$2:$C$3001,$U23)&amp;"")</f>
        <v/>
      </c>
      <c r="E23">
        <f>IF($U23="","",INDEX('Per Line'!$D$2:$D$3001,$U23)&amp;"")</f>
        <v/>
      </c>
      <c r="F23">
        <f>IF($U23="","",INDEX('Per Line'!$E$2:$E$3001,$U23))</f>
        <v/>
      </c>
      <c r="G23" s="7">
        <f>IF($U23="","",F23*S23/100)</f>
        <v/>
      </c>
      <c r="H23">
        <f>IF($U23="","",INDEX('Per Line'!$O$2:$O$3001,$U23)&amp;"")</f>
        <v/>
      </c>
      <c r="I23" s="11">
        <f>IF($U23="","",INDEX('Per Line'!$Q$2:$Q$3001,$U23))</f>
        <v/>
      </c>
      <c r="J23">
        <f>IF($U23="","",INDEX('Per Line'!$R$2:$R$3001,$U23)&amp;"")</f>
        <v/>
      </c>
      <c r="K23">
        <f>IF($U23="","",Settings!$C$7)</f>
        <v/>
      </c>
      <c r="L23" s="7">
        <f>IF($U23="","",SUMIFS('Per Line'!$N$2:$N$3001,'Per Line'!$A$2:$A$3001,$A23,'Per Line'!$W$2:$W$3001,0))</f>
        <v/>
      </c>
      <c r="M23" s="7">
        <f>IF($U23="","",L23*K23)</f>
        <v/>
      </c>
      <c r="N23">
        <f>IF($U23="","",Settings!$C$6)</f>
        <v/>
      </c>
      <c r="O23" s="7">
        <f>IF($U23="","",SUMIFS('Per Line'!$N$2:$N$3001,'Per Line'!$A$2:$A$3001,$A23,'Per Line'!$W$2:$W$3001,1))</f>
        <v/>
      </c>
      <c r="P23" s="7">
        <f>IF($U23="","",O23*N23)</f>
        <v/>
      </c>
      <c r="Q23" s="7">
        <f>IF($U23="","",P23+M23)</f>
        <v/>
      </c>
      <c r="R23" s="7">
        <f>IF($U23="","",S23-Q23)</f>
        <v/>
      </c>
      <c r="S23" s="7">
        <f>IF($U23="","",L23+O23)</f>
        <v/>
      </c>
      <c r="T23" s="7">
        <f>IF($U23="","",S23-Q23-G23)</f>
        <v/>
      </c>
      <c r="U23" s="13">
        <f>IF(ROWS($U$2:$U23)&lt;=MAX('Per Line'!$V$2:$V$3001),MATCH(ROWS($U$2:$U23),'Per Line'!$V$2:$V$3001,0),"")</f>
        <v/>
      </c>
    </row>
    <row r="24">
      <c r="A24">
        <f>IF($U24="","",INDEX('Per Line'!$A$2:$A$3001,$U24)&amp;"")</f>
        <v/>
      </c>
      <c r="B24" s="12" t="n"/>
      <c r="C24">
        <f>IF($U24="","",INDEX('Per Line'!$B$2:$B$3001,$U24)&amp;"")</f>
        <v/>
      </c>
      <c r="D24">
        <f>IF($U24="","",INDEX('Per Line'!$C$2:$C$3001,$U24)&amp;"")</f>
        <v/>
      </c>
      <c r="E24">
        <f>IF($U24="","",INDEX('Per Line'!$D$2:$D$3001,$U24)&amp;"")</f>
        <v/>
      </c>
      <c r="F24">
        <f>IF($U24="","",INDEX('Per Line'!$E$2:$E$3001,$U24))</f>
        <v/>
      </c>
      <c r="G24" s="7">
        <f>IF($U24="","",F24*S24/100)</f>
        <v/>
      </c>
      <c r="H24">
        <f>IF($U24="","",INDEX('Per Line'!$O$2:$O$3001,$U24)&amp;"")</f>
        <v/>
      </c>
      <c r="I24" s="11">
        <f>IF($U24="","",INDEX('Per Line'!$Q$2:$Q$3001,$U24))</f>
        <v/>
      </c>
      <c r="J24">
        <f>IF($U24="","",INDEX('Per Line'!$R$2:$R$3001,$U24)&amp;"")</f>
        <v/>
      </c>
      <c r="K24">
        <f>IF($U24="","",Settings!$C$7)</f>
        <v/>
      </c>
      <c r="L24" s="7">
        <f>IF($U24="","",SUMIFS('Per Line'!$N$2:$N$3001,'Per Line'!$A$2:$A$3001,$A24,'Per Line'!$W$2:$W$3001,0))</f>
        <v/>
      </c>
      <c r="M24" s="7">
        <f>IF($U24="","",L24*K24)</f>
        <v/>
      </c>
      <c r="N24">
        <f>IF($U24="","",Settings!$C$6)</f>
        <v/>
      </c>
      <c r="O24" s="7">
        <f>IF($U24="","",SUMIFS('Per Line'!$N$2:$N$3001,'Per Line'!$A$2:$A$3001,$A24,'Per Line'!$W$2:$W$3001,1))</f>
        <v/>
      </c>
      <c r="P24" s="7">
        <f>IF($U24="","",O24*N24)</f>
        <v/>
      </c>
      <c r="Q24" s="7">
        <f>IF($U24="","",P24+M24)</f>
        <v/>
      </c>
      <c r="R24" s="7">
        <f>IF($U24="","",S24-Q24)</f>
        <v/>
      </c>
      <c r="S24" s="7">
        <f>IF($U24="","",L24+O24)</f>
        <v/>
      </c>
      <c r="T24" s="7">
        <f>IF($U24="","",S24-Q24-G24)</f>
        <v/>
      </c>
      <c r="U24" s="13">
        <f>IF(ROWS($U$2:$U24)&lt;=MAX('Per Line'!$V$2:$V$3001),MATCH(ROWS($U$2:$U24),'Per Line'!$V$2:$V$3001,0),"")</f>
        <v/>
      </c>
    </row>
    <row r="25">
      <c r="A25">
        <f>IF($U25="","",INDEX('Per Line'!$A$2:$A$3001,$U25)&amp;"")</f>
        <v/>
      </c>
      <c r="B25" s="12" t="n"/>
      <c r="C25">
        <f>IF($U25="","",INDEX('Per Line'!$B$2:$B$3001,$U25)&amp;"")</f>
        <v/>
      </c>
      <c r="D25">
        <f>IF($U25="","",INDEX('Per Line'!$C$2:$C$3001,$U25)&amp;"")</f>
        <v/>
      </c>
      <c r="E25">
        <f>IF($U25="","",INDEX('Per Line'!$D$2:$D$3001,$U25)&amp;"")</f>
        <v/>
      </c>
      <c r="F25">
        <f>IF($U25="","",INDEX('Per Line'!$E$2:$E$3001,$U25))</f>
        <v/>
      </c>
      <c r="G25" s="7">
        <f>IF($U25="","",F25*S25/100)</f>
        <v/>
      </c>
      <c r="H25">
        <f>IF($U25="","",INDEX('Per Line'!$O$2:$O$3001,$U25)&amp;"")</f>
        <v/>
      </c>
      <c r="I25" s="11">
        <f>IF($U25="","",INDEX('Per Line'!$Q$2:$Q$3001,$U25))</f>
        <v/>
      </c>
      <c r="J25">
        <f>IF($U25="","",INDEX('Per Line'!$R$2:$R$3001,$U25)&amp;"")</f>
        <v/>
      </c>
      <c r="K25">
        <f>IF($U25="","",Settings!$C$7)</f>
        <v/>
      </c>
      <c r="L25" s="7">
        <f>IF($U25="","",SUMIFS('Per Line'!$N$2:$N$3001,'Per Line'!$A$2:$A$3001,$A25,'Per Line'!$W$2:$W$3001,0))</f>
        <v/>
      </c>
      <c r="M25" s="7">
        <f>IF($U25="","",L25*K25)</f>
        <v/>
      </c>
      <c r="N25">
        <f>IF($U25="","",Settings!$C$6)</f>
        <v/>
      </c>
      <c r="O25" s="7">
        <f>IF($U25="","",SUMIFS('Per Line'!$N$2:$N$3001,'Per Line'!$A$2:$A$3001,$A25,'Per Line'!$W$2:$W$3001,1))</f>
        <v/>
      </c>
      <c r="P25" s="7">
        <f>IF($U25="","",O25*N25)</f>
        <v/>
      </c>
      <c r="Q25" s="7">
        <f>IF($U25="","",P25+M25)</f>
        <v/>
      </c>
      <c r="R25" s="7">
        <f>IF($U25="","",S25-Q25)</f>
        <v/>
      </c>
      <c r="S25" s="7">
        <f>IF($U25="","",L25+O25)</f>
        <v/>
      </c>
      <c r="T25" s="7">
        <f>IF($U25="","",S25-Q25-G25)</f>
        <v/>
      </c>
      <c r="U25" s="13">
        <f>IF(ROWS($U$2:$U25)&lt;=MAX('Per Line'!$V$2:$V$3001),MATCH(ROWS($U$2:$U25),'Per Line'!$V$2:$V$3001,0),"")</f>
        <v/>
      </c>
    </row>
    <row r="26">
      <c r="A26">
        <f>IF($U26="","",INDEX('Per Line'!$A$2:$A$3001,$U26)&amp;"")</f>
        <v/>
      </c>
      <c r="B26" s="12" t="n"/>
      <c r="C26">
        <f>IF($U26="","",INDEX('Per Line'!$B$2:$B$3001,$U26)&amp;"")</f>
        <v/>
      </c>
      <c r="D26">
        <f>IF($U26="","",INDEX('Per Line'!$C$2:$C$3001,$U26)&amp;"")</f>
        <v/>
      </c>
      <c r="E26">
        <f>IF($U26="","",INDEX('Per Line'!$D$2:$D$3001,$U26)&amp;"")</f>
        <v/>
      </c>
      <c r="F26">
        <f>IF($U26="","",INDEX('Per Line'!$E$2:$E$3001,$U26))</f>
        <v/>
      </c>
      <c r="G26" s="7">
        <f>IF($U26="","",F26*S26/100)</f>
        <v/>
      </c>
      <c r="H26">
        <f>IF($U26="","",INDEX('Per Line'!$O$2:$O$3001,$U26)&amp;"")</f>
        <v/>
      </c>
      <c r="I26" s="11">
        <f>IF($U26="","",INDEX('Per Line'!$Q$2:$Q$3001,$U26))</f>
        <v/>
      </c>
      <c r="J26">
        <f>IF($U26="","",INDEX('Per Line'!$R$2:$R$3001,$U26)&amp;"")</f>
        <v/>
      </c>
      <c r="K26">
        <f>IF($U26="","",Settings!$C$7)</f>
        <v/>
      </c>
      <c r="L26" s="7">
        <f>IF($U26="","",SUMIFS('Per Line'!$N$2:$N$3001,'Per Line'!$A$2:$A$3001,$A26,'Per Line'!$W$2:$W$3001,0))</f>
        <v/>
      </c>
      <c r="M26" s="7">
        <f>IF($U26="","",L26*K26)</f>
        <v/>
      </c>
      <c r="N26">
        <f>IF($U26="","",Settings!$C$6)</f>
        <v/>
      </c>
      <c r="O26" s="7">
        <f>IF($U26="","",SUMIFS('Per Line'!$N$2:$N$3001,'Per Line'!$A$2:$A$3001,$A26,'Per Line'!$W$2:$W$3001,1))</f>
        <v/>
      </c>
      <c r="P26" s="7">
        <f>IF($U26="","",O26*N26)</f>
        <v/>
      </c>
      <c r="Q26" s="7">
        <f>IF($U26="","",P26+M26)</f>
        <v/>
      </c>
      <c r="R26" s="7">
        <f>IF($U26="","",S26-Q26)</f>
        <v/>
      </c>
      <c r="S26" s="7">
        <f>IF($U26="","",L26+O26)</f>
        <v/>
      </c>
      <c r="T26" s="7">
        <f>IF($U26="","",S26-Q26-G26)</f>
        <v/>
      </c>
      <c r="U26" s="13">
        <f>IF(ROWS($U$2:$U26)&lt;=MAX('Per Line'!$V$2:$V$3001),MATCH(ROWS($U$2:$U26),'Per Line'!$V$2:$V$3001,0),"")</f>
        <v/>
      </c>
    </row>
    <row r="27">
      <c r="A27">
        <f>IF($U27="","",INDEX('Per Line'!$A$2:$A$3001,$U27)&amp;"")</f>
        <v/>
      </c>
      <c r="B27" s="12" t="n"/>
      <c r="C27">
        <f>IF($U27="","",INDEX('Per Line'!$B$2:$B$3001,$U27)&amp;"")</f>
        <v/>
      </c>
      <c r="D27">
        <f>IF($U27="","",INDEX('Per Line'!$C$2:$C$3001,$U27)&amp;"")</f>
        <v/>
      </c>
      <c r="E27">
        <f>IF($U27="","",INDEX('Per Line'!$D$2:$D$3001,$U27)&amp;"")</f>
        <v/>
      </c>
      <c r="F27">
        <f>IF($U27="","",INDEX('Per Line'!$E$2:$E$3001,$U27))</f>
        <v/>
      </c>
      <c r="G27" s="7">
        <f>IF($U27="","",F27*S27/100)</f>
        <v/>
      </c>
      <c r="H27">
        <f>IF($U27="","",INDEX('Per Line'!$O$2:$O$3001,$U27)&amp;"")</f>
        <v/>
      </c>
      <c r="I27" s="11">
        <f>IF($U27="","",INDEX('Per Line'!$Q$2:$Q$3001,$U27))</f>
        <v/>
      </c>
      <c r="J27">
        <f>IF($U27="","",INDEX('Per Line'!$R$2:$R$3001,$U27)&amp;"")</f>
        <v/>
      </c>
      <c r="K27">
        <f>IF($U27="","",Settings!$C$7)</f>
        <v/>
      </c>
      <c r="L27" s="7">
        <f>IF($U27="","",SUMIFS('Per Line'!$N$2:$N$3001,'Per Line'!$A$2:$A$3001,$A27,'Per Line'!$W$2:$W$3001,0))</f>
        <v/>
      </c>
      <c r="M27" s="7">
        <f>IF($U27="","",L27*K27)</f>
        <v/>
      </c>
      <c r="N27">
        <f>IF($U27="","",Settings!$C$6)</f>
        <v/>
      </c>
      <c r="O27" s="7">
        <f>IF($U27="","",SUMIFS('Per Line'!$N$2:$N$3001,'Per Line'!$A$2:$A$3001,$A27,'Per Line'!$W$2:$W$3001,1))</f>
        <v/>
      </c>
      <c r="P27" s="7">
        <f>IF($U27="","",O27*N27)</f>
        <v/>
      </c>
      <c r="Q27" s="7">
        <f>IF($U27="","",P27+M27)</f>
        <v/>
      </c>
      <c r="R27" s="7">
        <f>IF($U27="","",S27-Q27)</f>
        <v/>
      </c>
      <c r="S27" s="7">
        <f>IF($U27="","",L27+O27)</f>
        <v/>
      </c>
      <c r="T27" s="7">
        <f>IF($U27="","",S27-Q27-G27)</f>
        <v/>
      </c>
      <c r="U27" s="13">
        <f>IF(ROWS($U$2:$U27)&lt;=MAX('Per Line'!$V$2:$V$3001),MATCH(ROWS($U$2:$U27),'Per Line'!$V$2:$V$3001,0),"")</f>
        <v/>
      </c>
    </row>
    <row r="28">
      <c r="A28">
        <f>IF($U28="","",INDEX('Per Line'!$A$2:$A$3001,$U28)&amp;"")</f>
        <v/>
      </c>
      <c r="B28" s="12" t="n"/>
      <c r="C28">
        <f>IF($U28="","",INDEX('Per Line'!$B$2:$B$3001,$U28)&amp;"")</f>
        <v/>
      </c>
      <c r="D28">
        <f>IF($U28="","",INDEX('Per Line'!$C$2:$C$3001,$U28)&amp;"")</f>
        <v/>
      </c>
      <c r="E28">
        <f>IF($U28="","",INDEX('Per Line'!$D$2:$D$3001,$U28)&amp;"")</f>
        <v/>
      </c>
      <c r="F28">
        <f>IF($U28="","",INDEX('Per Line'!$E$2:$E$3001,$U28))</f>
        <v/>
      </c>
      <c r="G28" s="7">
        <f>IF($U28="","",F28*S28/100)</f>
        <v/>
      </c>
      <c r="H28">
        <f>IF($U28="","",INDEX('Per Line'!$O$2:$O$3001,$U28)&amp;"")</f>
        <v/>
      </c>
      <c r="I28" s="11">
        <f>IF($U28="","",INDEX('Per Line'!$Q$2:$Q$3001,$U28))</f>
        <v/>
      </c>
      <c r="J28">
        <f>IF($U28="","",INDEX('Per Line'!$R$2:$R$3001,$U28)&amp;"")</f>
        <v/>
      </c>
      <c r="K28">
        <f>IF($U28="","",Settings!$C$7)</f>
        <v/>
      </c>
      <c r="L28" s="7">
        <f>IF($U28="","",SUMIFS('Per Line'!$N$2:$N$3001,'Per Line'!$A$2:$A$3001,$A28,'Per Line'!$W$2:$W$3001,0))</f>
        <v/>
      </c>
      <c r="M28" s="7">
        <f>IF($U28="","",L28*K28)</f>
        <v/>
      </c>
      <c r="N28">
        <f>IF($U28="","",Settings!$C$6)</f>
        <v/>
      </c>
      <c r="O28" s="7">
        <f>IF($U28="","",SUMIFS('Per Line'!$N$2:$N$3001,'Per Line'!$A$2:$A$3001,$A28,'Per Line'!$W$2:$W$3001,1))</f>
        <v/>
      </c>
      <c r="P28" s="7">
        <f>IF($U28="","",O28*N28)</f>
        <v/>
      </c>
      <c r="Q28" s="7">
        <f>IF($U28="","",P28+M28)</f>
        <v/>
      </c>
      <c r="R28" s="7">
        <f>IF($U28="","",S28-Q28)</f>
        <v/>
      </c>
      <c r="S28" s="7">
        <f>IF($U28="","",L28+O28)</f>
        <v/>
      </c>
      <c r="T28" s="7">
        <f>IF($U28="","",S28-Q28-G28)</f>
        <v/>
      </c>
      <c r="U28" s="13">
        <f>IF(ROWS($U$2:$U28)&lt;=MAX('Per Line'!$V$2:$V$3001),MATCH(ROWS($U$2:$U28),'Per Line'!$V$2:$V$3001,0),"")</f>
        <v/>
      </c>
    </row>
    <row r="29">
      <c r="A29">
        <f>IF($U29="","",INDEX('Per Line'!$A$2:$A$3001,$U29)&amp;"")</f>
        <v/>
      </c>
      <c r="B29" s="12" t="n"/>
      <c r="C29">
        <f>IF($U29="","",INDEX('Per Line'!$B$2:$B$3001,$U29)&amp;"")</f>
        <v/>
      </c>
      <c r="D29">
        <f>IF($U29="","",INDEX('Per Line'!$C$2:$C$3001,$U29)&amp;"")</f>
        <v/>
      </c>
      <c r="E29">
        <f>IF($U29="","",INDEX('Per Line'!$D$2:$D$3001,$U29)&amp;"")</f>
        <v/>
      </c>
      <c r="F29">
        <f>IF($U29="","",INDEX('Per Line'!$E$2:$E$3001,$U29))</f>
        <v/>
      </c>
      <c r="G29" s="7">
        <f>IF($U29="","",F29*S29/100)</f>
        <v/>
      </c>
      <c r="H29">
        <f>IF($U29="","",INDEX('Per Line'!$O$2:$O$3001,$U29)&amp;"")</f>
        <v/>
      </c>
      <c r="I29" s="11">
        <f>IF($U29="","",INDEX('Per Line'!$Q$2:$Q$3001,$U29))</f>
        <v/>
      </c>
      <c r="J29">
        <f>IF($U29="","",INDEX('Per Line'!$R$2:$R$3001,$U29)&amp;"")</f>
        <v/>
      </c>
      <c r="K29">
        <f>IF($U29="","",Settings!$C$7)</f>
        <v/>
      </c>
      <c r="L29" s="7">
        <f>IF($U29="","",SUMIFS('Per Line'!$N$2:$N$3001,'Per Line'!$A$2:$A$3001,$A29,'Per Line'!$W$2:$W$3001,0))</f>
        <v/>
      </c>
      <c r="M29" s="7">
        <f>IF($U29="","",L29*K29)</f>
        <v/>
      </c>
      <c r="N29">
        <f>IF($U29="","",Settings!$C$6)</f>
        <v/>
      </c>
      <c r="O29" s="7">
        <f>IF($U29="","",SUMIFS('Per Line'!$N$2:$N$3001,'Per Line'!$A$2:$A$3001,$A29,'Per Line'!$W$2:$W$3001,1))</f>
        <v/>
      </c>
      <c r="P29" s="7">
        <f>IF($U29="","",O29*N29)</f>
        <v/>
      </c>
      <c r="Q29" s="7">
        <f>IF($U29="","",P29+M29)</f>
        <v/>
      </c>
      <c r="R29" s="7">
        <f>IF($U29="","",S29-Q29)</f>
        <v/>
      </c>
      <c r="S29" s="7">
        <f>IF($U29="","",L29+O29)</f>
        <v/>
      </c>
      <c r="T29" s="7">
        <f>IF($U29="","",S29-Q29-G29)</f>
        <v/>
      </c>
      <c r="U29" s="13">
        <f>IF(ROWS($U$2:$U29)&lt;=MAX('Per Line'!$V$2:$V$3001),MATCH(ROWS($U$2:$U29),'Per Line'!$V$2:$V$3001,0),"")</f>
        <v/>
      </c>
    </row>
    <row r="30">
      <c r="A30">
        <f>IF($U30="","",INDEX('Per Line'!$A$2:$A$3001,$U30)&amp;"")</f>
        <v/>
      </c>
      <c r="B30" s="12" t="n"/>
      <c r="C30">
        <f>IF($U30="","",INDEX('Per Line'!$B$2:$B$3001,$U30)&amp;"")</f>
        <v/>
      </c>
      <c r="D30">
        <f>IF($U30="","",INDEX('Per Line'!$C$2:$C$3001,$U30)&amp;"")</f>
        <v/>
      </c>
      <c r="E30">
        <f>IF($U30="","",INDEX('Per Line'!$D$2:$D$3001,$U30)&amp;"")</f>
        <v/>
      </c>
      <c r="F30">
        <f>IF($U30="","",INDEX('Per Line'!$E$2:$E$3001,$U30))</f>
        <v/>
      </c>
      <c r="G30" s="7">
        <f>IF($U30="","",F30*S30/100)</f>
        <v/>
      </c>
      <c r="H30">
        <f>IF($U30="","",INDEX('Per Line'!$O$2:$O$3001,$U30)&amp;"")</f>
        <v/>
      </c>
      <c r="I30" s="11">
        <f>IF($U30="","",INDEX('Per Line'!$Q$2:$Q$3001,$U30))</f>
        <v/>
      </c>
      <c r="J30">
        <f>IF($U30="","",INDEX('Per Line'!$R$2:$R$3001,$U30)&amp;"")</f>
        <v/>
      </c>
      <c r="K30">
        <f>IF($U30="","",Settings!$C$7)</f>
        <v/>
      </c>
      <c r="L30" s="7">
        <f>IF($U30="","",SUMIFS('Per Line'!$N$2:$N$3001,'Per Line'!$A$2:$A$3001,$A30,'Per Line'!$W$2:$W$3001,0))</f>
        <v/>
      </c>
      <c r="M30" s="7">
        <f>IF($U30="","",L30*K30)</f>
        <v/>
      </c>
      <c r="N30">
        <f>IF($U30="","",Settings!$C$6)</f>
        <v/>
      </c>
      <c r="O30" s="7">
        <f>IF($U30="","",SUMIFS('Per Line'!$N$2:$N$3001,'Per Line'!$A$2:$A$3001,$A30,'Per Line'!$W$2:$W$3001,1))</f>
        <v/>
      </c>
      <c r="P30" s="7">
        <f>IF($U30="","",O30*N30)</f>
        <v/>
      </c>
      <c r="Q30" s="7">
        <f>IF($U30="","",P30+M30)</f>
        <v/>
      </c>
      <c r="R30" s="7">
        <f>IF($U30="","",S30-Q30)</f>
        <v/>
      </c>
      <c r="S30" s="7">
        <f>IF($U30="","",L30+O30)</f>
        <v/>
      </c>
      <c r="T30" s="7">
        <f>IF($U30="","",S30-Q30-G30)</f>
        <v/>
      </c>
      <c r="U30" s="13">
        <f>IF(ROWS($U$2:$U30)&lt;=MAX('Per Line'!$V$2:$V$3001),MATCH(ROWS($U$2:$U30),'Per Line'!$V$2:$V$3001,0),"")</f>
        <v/>
      </c>
    </row>
    <row r="31">
      <c r="A31">
        <f>IF($U31="","",INDEX('Per Line'!$A$2:$A$3001,$U31)&amp;"")</f>
        <v/>
      </c>
      <c r="B31" s="12" t="n"/>
      <c r="C31">
        <f>IF($U31="","",INDEX('Per Line'!$B$2:$B$3001,$U31)&amp;"")</f>
        <v/>
      </c>
      <c r="D31">
        <f>IF($U31="","",INDEX('Per Line'!$C$2:$C$3001,$U31)&amp;"")</f>
        <v/>
      </c>
      <c r="E31">
        <f>IF($U31="","",INDEX('Per Line'!$D$2:$D$3001,$U31)&amp;"")</f>
        <v/>
      </c>
      <c r="F31">
        <f>IF($U31="","",INDEX('Per Line'!$E$2:$E$3001,$U31))</f>
        <v/>
      </c>
      <c r="G31" s="7">
        <f>IF($U31="","",F31*S31/100)</f>
        <v/>
      </c>
      <c r="H31">
        <f>IF($U31="","",INDEX('Per Line'!$O$2:$O$3001,$U31)&amp;"")</f>
        <v/>
      </c>
      <c r="I31" s="11">
        <f>IF($U31="","",INDEX('Per Line'!$Q$2:$Q$3001,$U31))</f>
        <v/>
      </c>
      <c r="J31">
        <f>IF($U31="","",INDEX('Per Line'!$R$2:$R$3001,$U31)&amp;"")</f>
        <v/>
      </c>
      <c r="K31">
        <f>IF($U31="","",Settings!$C$7)</f>
        <v/>
      </c>
      <c r="L31" s="7">
        <f>IF($U31="","",SUMIFS('Per Line'!$N$2:$N$3001,'Per Line'!$A$2:$A$3001,$A31,'Per Line'!$W$2:$W$3001,0))</f>
        <v/>
      </c>
      <c r="M31" s="7">
        <f>IF($U31="","",L31*K31)</f>
        <v/>
      </c>
      <c r="N31">
        <f>IF($U31="","",Settings!$C$6)</f>
        <v/>
      </c>
      <c r="O31" s="7">
        <f>IF($U31="","",SUMIFS('Per Line'!$N$2:$N$3001,'Per Line'!$A$2:$A$3001,$A31,'Per Line'!$W$2:$W$3001,1))</f>
        <v/>
      </c>
      <c r="P31" s="7">
        <f>IF($U31="","",O31*N31)</f>
        <v/>
      </c>
      <c r="Q31" s="7">
        <f>IF($U31="","",P31+M31)</f>
        <v/>
      </c>
      <c r="R31" s="7">
        <f>IF($U31="","",S31-Q31)</f>
        <v/>
      </c>
      <c r="S31" s="7">
        <f>IF($U31="","",L31+O31)</f>
        <v/>
      </c>
      <c r="T31" s="7">
        <f>IF($U31="","",S31-Q31-G31)</f>
        <v/>
      </c>
      <c r="U31" s="13">
        <f>IF(ROWS($U$2:$U31)&lt;=MAX('Per Line'!$V$2:$V$3001),MATCH(ROWS($U$2:$U31),'Per Line'!$V$2:$V$3001,0),"")</f>
        <v/>
      </c>
    </row>
    <row r="32">
      <c r="A32">
        <f>IF($U32="","",INDEX('Per Line'!$A$2:$A$3001,$U32)&amp;"")</f>
        <v/>
      </c>
      <c r="B32" s="12" t="n"/>
      <c r="C32">
        <f>IF($U32="","",INDEX('Per Line'!$B$2:$B$3001,$U32)&amp;"")</f>
        <v/>
      </c>
      <c r="D32">
        <f>IF($U32="","",INDEX('Per Line'!$C$2:$C$3001,$U32)&amp;"")</f>
        <v/>
      </c>
      <c r="E32">
        <f>IF($U32="","",INDEX('Per Line'!$D$2:$D$3001,$U32)&amp;"")</f>
        <v/>
      </c>
      <c r="F32">
        <f>IF($U32="","",INDEX('Per Line'!$E$2:$E$3001,$U32))</f>
        <v/>
      </c>
      <c r="G32" s="7">
        <f>IF($U32="","",F32*S32/100)</f>
        <v/>
      </c>
      <c r="H32">
        <f>IF($U32="","",INDEX('Per Line'!$O$2:$O$3001,$U32)&amp;"")</f>
        <v/>
      </c>
      <c r="I32" s="11">
        <f>IF($U32="","",INDEX('Per Line'!$Q$2:$Q$3001,$U32))</f>
        <v/>
      </c>
      <c r="J32">
        <f>IF($U32="","",INDEX('Per Line'!$R$2:$R$3001,$U32)&amp;"")</f>
        <v/>
      </c>
      <c r="K32">
        <f>IF($U32="","",Settings!$C$7)</f>
        <v/>
      </c>
      <c r="L32" s="7">
        <f>IF($U32="","",SUMIFS('Per Line'!$N$2:$N$3001,'Per Line'!$A$2:$A$3001,$A32,'Per Line'!$W$2:$W$3001,0))</f>
        <v/>
      </c>
      <c r="M32" s="7">
        <f>IF($U32="","",L32*K32)</f>
        <v/>
      </c>
      <c r="N32">
        <f>IF($U32="","",Settings!$C$6)</f>
        <v/>
      </c>
      <c r="O32" s="7">
        <f>IF($U32="","",SUMIFS('Per Line'!$N$2:$N$3001,'Per Line'!$A$2:$A$3001,$A32,'Per Line'!$W$2:$W$3001,1))</f>
        <v/>
      </c>
      <c r="P32" s="7">
        <f>IF($U32="","",O32*N32)</f>
        <v/>
      </c>
      <c r="Q32" s="7">
        <f>IF($U32="","",P32+M32)</f>
        <v/>
      </c>
      <c r="R32" s="7">
        <f>IF($U32="","",S32-Q32)</f>
        <v/>
      </c>
      <c r="S32" s="7">
        <f>IF($U32="","",L32+O32)</f>
        <v/>
      </c>
      <c r="T32" s="7">
        <f>IF($U32="","",S32-Q32-G32)</f>
        <v/>
      </c>
      <c r="U32" s="13">
        <f>IF(ROWS($U$2:$U32)&lt;=MAX('Per Line'!$V$2:$V$3001),MATCH(ROWS($U$2:$U32),'Per Line'!$V$2:$V$3001,0),"")</f>
        <v/>
      </c>
    </row>
    <row r="33">
      <c r="A33">
        <f>IF($U33="","",INDEX('Per Line'!$A$2:$A$3001,$U33)&amp;"")</f>
        <v/>
      </c>
      <c r="B33" s="12" t="n"/>
      <c r="C33">
        <f>IF($U33="","",INDEX('Per Line'!$B$2:$B$3001,$U33)&amp;"")</f>
        <v/>
      </c>
      <c r="D33">
        <f>IF($U33="","",INDEX('Per Line'!$C$2:$C$3001,$U33)&amp;"")</f>
        <v/>
      </c>
      <c r="E33">
        <f>IF($U33="","",INDEX('Per Line'!$D$2:$D$3001,$U33)&amp;"")</f>
        <v/>
      </c>
      <c r="F33">
        <f>IF($U33="","",INDEX('Per Line'!$E$2:$E$3001,$U33))</f>
        <v/>
      </c>
      <c r="G33" s="7">
        <f>IF($U33="","",F33*S33/100)</f>
        <v/>
      </c>
      <c r="H33">
        <f>IF($U33="","",INDEX('Per Line'!$O$2:$O$3001,$U33)&amp;"")</f>
        <v/>
      </c>
      <c r="I33" s="11">
        <f>IF($U33="","",INDEX('Per Line'!$Q$2:$Q$3001,$U33))</f>
        <v/>
      </c>
      <c r="J33">
        <f>IF($U33="","",INDEX('Per Line'!$R$2:$R$3001,$U33)&amp;"")</f>
        <v/>
      </c>
      <c r="K33">
        <f>IF($U33="","",Settings!$C$7)</f>
        <v/>
      </c>
      <c r="L33" s="7">
        <f>IF($U33="","",SUMIFS('Per Line'!$N$2:$N$3001,'Per Line'!$A$2:$A$3001,$A33,'Per Line'!$W$2:$W$3001,0))</f>
        <v/>
      </c>
      <c r="M33" s="7">
        <f>IF($U33="","",L33*K33)</f>
        <v/>
      </c>
      <c r="N33">
        <f>IF($U33="","",Settings!$C$6)</f>
        <v/>
      </c>
      <c r="O33" s="7">
        <f>IF($U33="","",SUMIFS('Per Line'!$N$2:$N$3001,'Per Line'!$A$2:$A$3001,$A33,'Per Line'!$W$2:$W$3001,1))</f>
        <v/>
      </c>
      <c r="P33" s="7">
        <f>IF($U33="","",O33*N33)</f>
        <v/>
      </c>
      <c r="Q33" s="7">
        <f>IF($U33="","",P33+M33)</f>
        <v/>
      </c>
      <c r="R33" s="7">
        <f>IF($U33="","",S33-Q33)</f>
        <v/>
      </c>
      <c r="S33" s="7">
        <f>IF($U33="","",L33+O33)</f>
        <v/>
      </c>
      <c r="T33" s="7">
        <f>IF($U33="","",S33-Q33-G33)</f>
        <v/>
      </c>
      <c r="U33" s="13">
        <f>IF(ROWS($U$2:$U33)&lt;=MAX('Per Line'!$V$2:$V$3001),MATCH(ROWS($U$2:$U33),'Per Line'!$V$2:$V$3001,0),"")</f>
        <v/>
      </c>
    </row>
    <row r="34">
      <c r="A34">
        <f>IF($U34="","",INDEX('Per Line'!$A$2:$A$3001,$U34)&amp;"")</f>
        <v/>
      </c>
      <c r="B34" s="12" t="n"/>
      <c r="C34">
        <f>IF($U34="","",INDEX('Per Line'!$B$2:$B$3001,$U34)&amp;"")</f>
        <v/>
      </c>
      <c r="D34">
        <f>IF($U34="","",INDEX('Per Line'!$C$2:$C$3001,$U34)&amp;"")</f>
        <v/>
      </c>
      <c r="E34">
        <f>IF($U34="","",INDEX('Per Line'!$D$2:$D$3001,$U34)&amp;"")</f>
        <v/>
      </c>
      <c r="F34">
        <f>IF($U34="","",INDEX('Per Line'!$E$2:$E$3001,$U34))</f>
        <v/>
      </c>
      <c r="G34" s="7">
        <f>IF($U34="","",F34*S34/100)</f>
        <v/>
      </c>
      <c r="H34">
        <f>IF($U34="","",INDEX('Per Line'!$O$2:$O$3001,$U34)&amp;"")</f>
        <v/>
      </c>
      <c r="I34" s="11">
        <f>IF($U34="","",INDEX('Per Line'!$Q$2:$Q$3001,$U34))</f>
        <v/>
      </c>
      <c r="J34">
        <f>IF($U34="","",INDEX('Per Line'!$R$2:$R$3001,$U34)&amp;"")</f>
        <v/>
      </c>
      <c r="K34">
        <f>IF($U34="","",Settings!$C$7)</f>
        <v/>
      </c>
      <c r="L34" s="7">
        <f>IF($U34="","",SUMIFS('Per Line'!$N$2:$N$3001,'Per Line'!$A$2:$A$3001,$A34,'Per Line'!$W$2:$W$3001,0))</f>
        <v/>
      </c>
      <c r="M34" s="7">
        <f>IF($U34="","",L34*K34)</f>
        <v/>
      </c>
      <c r="N34">
        <f>IF($U34="","",Settings!$C$6)</f>
        <v/>
      </c>
      <c r="O34" s="7">
        <f>IF($U34="","",SUMIFS('Per Line'!$N$2:$N$3001,'Per Line'!$A$2:$A$3001,$A34,'Per Line'!$W$2:$W$3001,1))</f>
        <v/>
      </c>
      <c r="P34" s="7">
        <f>IF($U34="","",O34*N34)</f>
        <v/>
      </c>
      <c r="Q34" s="7">
        <f>IF($U34="","",P34+M34)</f>
        <v/>
      </c>
      <c r="R34" s="7">
        <f>IF($U34="","",S34-Q34)</f>
        <v/>
      </c>
      <c r="S34" s="7">
        <f>IF($U34="","",L34+O34)</f>
        <v/>
      </c>
      <c r="T34" s="7">
        <f>IF($U34="","",S34-Q34-G34)</f>
        <v/>
      </c>
      <c r="U34" s="13">
        <f>IF(ROWS($U$2:$U34)&lt;=MAX('Per Line'!$V$2:$V$3001),MATCH(ROWS($U$2:$U34),'Per Line'!$V$2:$V$3001,0),"")</f>
        <v/>
      </c>
    </row>
    <row r="35">
      <c r="A35">
        <f>IF($U35="","",INDEX('Per Line'!$A$2:$A$3001,$U35)&amp;"")</f>
        <v/>
      </c>
      <c r="B35" s="12" t="n"/>
      <c r="C35">
        <f>IF($U35="","",INDEX('Per Line'!$B$2:$B$3001,$U35)&amp;"")</f>
        <v/>
      </c>
      <c r="D35">
        <f>IF($U35="","",INDEX('Per Line'!$C$2:$C$3001,$U35)&amp;"")</f>
        <v/>
      </c>
      <c r="E35">
        <f>IF($U35="","",INDEX('Per Line'!$D$2:$D$3001,$U35)&amp;"")</f>
        <v/>
      </c>
      <c r="F35">
        <f>IF($U35="","",INDEX('Per Line'!$E$2:$E$3001,$U35))</f>
        <v/>
      </c>
      <c r="G35" s="7">
        <f>IF($U35="","",F35*S35/100)</f>
        <v/>
      </c>
      <c r="H35">
        <f>IF($U35="","",INDEX('Per Line'!$O$2:$O$3001,$U35)&amp;"")</f>
        <v/>
      </c>
      <c r="I35" s="11">
        <f>IF($U35="","",INDEX('Per Line'!$Q$2:$Q$3001,$U35))</f>
        <v/>
      </c>
      <c r="J35">
        <f>IF($U35="","",INDEX('Per Line'!$R$2:$R$3001,$U35)&amp;"")</f>
        <v/>
      </c>
      <c r="K35">
        <f>IF($U35="","",Settings!$C$7)</f>
        <v/>
      </c>
      <c r="L35" s="7">
        <f>IF($U35="","",SUMIFS('Per Line'!$N$2:$N$3001,'Per Line'!$A$2:$A$3001,$A35,'Per Line'!$W$2:$W$3001,0))</f>
        <v/>
      </c>
      <c r="M35" s="7">
        <f>IF($U35="","",L35*K35)</f>
        <v/>
      </c>
      <c r="N35">
        <f>IF($U35="","",Settings!$C$6)</f>
        <v/>
      </c>
      <c r="O35" s="7">
        <f>IF($U35="","",SUMIFS('Per Line'!$N$2:$N$3001,'Per Line'!$A$2:$A$3001,$A35,'Per Line'!$W$2:$W$3001,1))</f>
        <v/>
      </c>
      <c r="P35" s="7">
        <f>IF($U35="","",O35*N35)</f>
        <v/>
      </c>
      <c r="Q35" s="7">
        <f>IF($U35="","",P35+M35)</f>
        <v/>
      </c>
      <c r="R35" s="7">
        <f>IF($U35="","",S35-Q35)</f>
        <v/>
      </c>
      <c r="S35" s="7">
        <f>IF($U35="","",L35+O35)</f>
        <v/>
      </c>
      <c r="T35" s="7">
        <f>IF($U35="","",S35-Q35-G35)</f>
        <v/>
      </c>
      <c r="U35" s="13">
        <f>IF(ROWS($U$2:$U35)&lt;=MAX('Per Line'!$V$2:$V$3001),MATCH(ROWS($U$2:$U35),'Per Line'!$V$2:$V$3001,0),"")</f>
        <v/>
      </c>
    </row>
    <row r="36">
      <c r="A36">
        <f>IF($U36="","",INDEX('Per Line'!$A$2:$A$3001,$U36)&amp;"")</f>
        <v/>
      </c>
      <c r="B36" s="12" t="n"/>
      <c r="C36">
        <f>IF($U36="","",INDEX('Per Line'!$B$2:$B$3001,$U36)&amp;"")</f>
        <v/>
      </c>
      <c r="D36">
        <f>IF($U36="","",INDEX('Per Line'!$C$2:$C$3001,$U36)&amp;"")</f>
        <v/>
      </c>
      <c r="E36">
        <f>IF($U36="","",INDEX('Per Line'!$D$2:$D$3001,$U36)&amp;"")</f>
        <v/>
      </c>
      <c r="F36">
        <f>IF($U36="","",INDEX('Per Line'!$E$2:$E$3001,$U36))</f>
        <v/>
      </c>
      <c r="G36" s="7">
        <f>IF($U36="","",F36*S36/100)</f>
        <v/>
      </c>
      <c r="H36">
        <f>IF($U36="","",INDEX('Per Line'!$O$2:$O$3001,$U36)&amp;"")</f>
        <v/>
      </c>
      <c r="I36" s="11">
        <f>IF($U36="","",INDEX('Per Line'!$Q$2:$Q$3001,$U36))</f>
        <v/>
      </c>
      <c r="J36">
        <f>IF($U36="","",INDEX('Per Line'!$R$2:$R$3001,$U36)&amp;"")</f>
        <v/>
      </c>
      <c r="K36">
        <f>IF($U36="","",Settings!$C$7)</f>
        <v/>
      </c>
      <c r="L36" s="7">
        <f>IF($U36="","",SUMIFS('Per Line'!$N$2:$N$3001,'Per Line'!$A$2:$A$3001,$A36,'Per Line'!$W$2:$W$3001,0))</f>
        <v/>
      </c>
      <c r="M36" s="7">
        <f>IF($U36="","",L36*K36)</f>
        <v/>
      </c>
      <c r="N36">
        <f>IF($U36="","",Settings!$C$6)</f>
        <v/>
      </c>
      <c r="O36" s="7">
        <f>IF($U36="","",SUMIFS('Per Line'!$N$2:$N$3001,'Per Line'!$A$2:$A$3001,$A36,'Per Line'!$W$2:$W$3001,1))</f>
        <v/>
      </c>
      <c r="P36" s="7">
        <f>IF($U36="","",O36*N36)</f>
        <v/>
      </c>
      <c r="Q36" s="7">
        <f>IF($U36="","",P36+M36)</f>
        <v/>
      </c>
      <c r="R36" s="7">
        <f>IF($U36="","",S36-Q36)</f>
        <v/>
      </c>
      <c r="S36" s="7">
        <f>IF($U36="","",L36+O36)</f>
        <v/>
      </c>
      <c r="T36" s="7">
        <f>IF($U36="","",S36-Q36-G36)</f>
        <v/>
      </c>
      <c r="U36" s="13">
        <f>IF(ROWS($U$2:$U36)&lt;=MAX('Per Line'!$V$2:$V$3001),MATCH(ROWS($U$2:$U36),'Per Line'!$V$2:$V$3001,0),"")</f>
        <v/>
      </c>
    </row>
    <row r="37">
      <c r="A37">
        <f>IF($U37="","",INDEX('Per Line'!$A$2:$A$3001,$U37)&amp;"")</f>
        <v/>
      </c>
      <c r="B37" s="12" t="n"/>
      <c r="C37">
        <f>IF($U37="","",INDEX('Per Line'!$B$2:$B$3001,$U37)&amp;"")</f>
        <v/>
      </c>
      <c r="D37">
        <f>IF($U37="","",INDEX('Per Line'!$C$2:$C$3001,$U37)&amp;"")</f>
        <v/>
      </c>
      <c r="E37">
        <f>IF($U37="","",INDEX('Per Line'!$D$2:$D$3001,$U37)&amp;"")</f>
        <v/>
      </c>
      <c r="F37">
        <f>IF($U37="","",INDEX('Per Line'!$E$2:$E$3001,$U37))</f>
        <v/>
      </c>
      <c r="G37" s="7">
        <f>IF($U37="","",F37*S37/100)</f>
        <v/>
      </c>
      <c r="H37">
        <f>IF($U37="","",INDEX('Per Line'!$O$2:$O$3001,$U37)&amp;"")</f>
        <v/>
      </c>
      <c r="I37" s="11">
        <f>IF($U37="","",INDEX('Per Line'!$Q$2:$Q$3001,$U37))</f>
        <v/>
      </c>
      <c r="J37">
        <f>IF($U37="","",INDEX('Per Line'!$R$2:$R$3001,$U37)&amp;"")</f>
        <v/>
      </c>
      <c r="K37">
        <f>IF($U37="","",Settings!$C$7)</f>
        <v/>
      </c>
      <c r="L37" s="7">
        <f>IF($U37="","",SUMIFS('Per Line'!$N$2:$N$3001,'Per Line'!$A$2:$A$3001,$A37,'Per Line'!$W$2:$W$3001,0))</f>
        <v/>
      </c>
      <c r="M37" s="7">
        <f>IF($U37="","",L37*K37)</f>
        <v/>
      </c>
      <c r="N37">
        <f>IF($U37="","",Settings!$C$6)</f>
        <v/>
      </c>
      <c r="O37" s="7">
        <f>IF($U37="","",SUMIFS('Per Line'!$N$2:$N$3001,'Per Line'!$A$2:$A$3001,$A37,'Per Line'!$W$2:$W$3001,1))</f>
        <v/>
      </c>
      <c r="P37" s="7">
        <f>IF($U37="","",O37*N37)</f>
        <v/>
      </c>
      <c r="Q37" s="7">
        <f>IF($U37="","",P37+M37)</f>
        <v/>
      </c>
      <c r="R37" s="7">
        <f>IF($U37="","",S37-Q37)</f>
        <v/>
      </c>
      <c r="S37" s="7">
        <f>IF($U37="","",L37+O37)</f>
        <v/>
      </c>
      <c r="T37" s="7">
        <f>IF($U37="","",S37-Q37-G37)</f>
        <v/>
      </c>
      <c r="U37" s="13">
        <f>IF(ROWS($U$2:$U37)&lt;=MAX('Per Line'!$V$2:$V$3001),MATCH(ROWS($U$2:$U37),'Per Line'!$V$2:$V$3001,0),"")</f>
        <v/>
      </c>
    </row>
    <row r="38">
      <c r="A38">
        <f>IF($U38="","",INDEX('Per Line'!$A$2:$A$3001,$U38)&amp;"")</f>
        <v/>
      </c>
      <c r="B38" s="12" t="n"/>
      <c r="C38">
        <f>IF($U38="","",INDEX('Per Line'!$B$2:$B$3001,$U38)&amp;"")</f>
        <v/>
      </c>
      <c r="D38">
        <f>IF($U38="","",INDEX('Per Line'!$C$2:$C$3001,$U38)&amp;"")</f>
        <v/>
      </c>
      <c r="E38">
        <f>IF($U38="","",INDEX('Per Line'!$D$2:$D$3001,$U38)&amp;"")</f>
        <v/>
      </c>
      <c r="F38">
        <f>IF($U38="","",INDEX('Per Line'!$E$2:$E$3001,$U38))</f>
        <v/>
      </c>
      <c r="G38" s="7">
        <f>IF($U38="","",F38*S38/100)</f>
        <v/>
      </c>
      <c r="H38">
        <f>IF($U38="","",INDEX('Per Line'!$O$2:$O$3001,$U38)&amp;"")</f>
        <v/>
      </c>
      <c r="I38" s="11">
        <f>IF($U38="","",INDEX('Per Line'!$Q$2:$Q$3001,$U38))</f>
        <v/>
      </c>
      <c r="J38">
        <f>IF($U38="","",INDEX('Per Line'!$R$2:$R$3001,$U38)&amp;"")</f>
        <v/>
      </c>
      <c r="K38">
        <f>IF($U38="","",Settings!$C$7)</f>
        <v/>
      </c>
      <c r="L38" s="7">
        <f>IF($U38="","",SUMIFS('Per Line'!$N$2:$N$3001,'Per Line'!$A$2:$A$3001,$A38,'Per Line'!$W$2:$W$3001,0))</f>
        <v/>
      </c>
      <c r="M38" s="7">
        <f>IF($U38="","",L38*K38)</f>
        <v/>
      </c>
      <c r="N38">
        <f>IF($U38="","",Settings!$C$6)</f>
        <v/>
      </c>
      <c r="O38" s="7">
        <f>IF($U38="","",SUMIFS('Per Line'!$N$2:$N$3001,'Per Line'!$A$2:$A$3001,$A38,'Per Line'!$W$2:$W$3001,1))</f>
        <v/>
      </c>
      <c r="P38" s="7">
        <f>IF($U38="","",O38*N38)</f>
        <v/>
      </c>
      <c r="Q38" s="7">
        <f>IF($U38="","",P38+M38)</f>
        <v/>
      </c>
      <c r="R38" s="7">
        <f>IF($U38="","",S38-Q38)</f>
        <v/>
      </c>
      <c r="S38" s="7">
        <f>IF($U38="","",L38+O38)</f>
        <v/>
      </c>
      <c r="T38" s="7">
        <f>IF($U38="","",S38-Q38-G38)</f>
        <v/>
      </c>
      <c r="U38" s="13">
        <f>IF(ROWS($U$2:$U38)&lt;=MAX('Per Line'!$V$2:$V$3001),MATCH(ROWS($U$2:$U38),'Per Line'!$V$2:$V$3001,0),"")</f>
        <v/>
      </c>
    </row>
    <row r="39">
      <c r="A39">
        <f>IF($U39="","",INDEX('Per Line'!$A$2:$A$3001,$U39)&amp;"")</f>
        <v/>
      </c>
      <c r="B39" s="12" t="n"/>
      <c r="C39">
        <f>IF($U39="","",INDEX('Per Line'!$B$2:$B$3001,$U39)&amp;"")</f>
        <v/>
      </c>
      <c r="D39">
        <f>IF($U39="","",INDEX('Per Line'!$C$2:$C$3001,$U39)&amp;"")</f>
        <v/>
      </c>
      <c r="E39">
        <f>IF($U39="","",INDEX('Per Line'!$D$2:$D$3001,$U39)&amp;"")</f>
        <v/>
      </c>
      <c r="F39">
        <f>IF($U39="","",INDEX('Per Line'!$E$2:$E$3001,$U39))</f>
        <v/>
      </c>
      <c r="G39" s="7">
        <f>IF($U39="","",F39*S39/100)</f>
        <v/>
      </c>
      <c r="H39">
        <f>IF($U39="","",INDEX('Per Line'!$O$2:$O$3001,$U39)&amp;"")</f>
        <v/>
      </c>
      <c r="I39" s="11">
        <f>IF($U39="","",INDEX('Per Line'!$Q$2:$Q$3001,$U39))</f>
        <v/>
      </c>
      <c r="J39">
        <f>IF($U39="","",INDEX('Per Line'!$R$2:$R$3001,$U39)&amp;"")</f>
        <v/>
      </c>
      <c r="K39">
        <f>IF($U39="","",Settings!$C$7)</f>
        <v/>
      </c>
      <c r="L39" s="7">
        <f>IF($U39="","",SUMIFS('Per Line'!$N$2:$N$3001,'Per Line'!$A$2:$A$3001,$A39,'Per Line'!$W$2:$W$3001,0))</f>
        <v/>
      </c>
      <c r="M39" s="7">
        <f>IF($U39="","",L39*K39)</f>
        <v/>
      </c>
      <c r="N39">
        <f>IF($U39="","",Settings!$C$6)</f>
        <v/>
      </c>
      <c r="O39" s="7">
        <f>IF($U39="","",SUMIFS('Per Line'!$N$2:$N$3001,'Per Line'!$A$2:$A$3001,$A39,'Per Line'!$W$2:$W$3001,1))</f>
        <v/>
      </c>
      <c r="P39" s="7">
        <f>IF($U39="","",O39*N39)</f>
        <v/>
      </c>
      <c r="Q39" s="7">
        <f>IF($U39="","",P39+M39)</f>
        <v/>
      </c>
      <c r="R39" s="7">
        <f>IF($U39="","",S39-Q39)</f>
        <v/>
      </c>
      <c r="S39" s="7">
        <f>IF($U39="","",L39+O39)</f>
        <v/>
      </c>
      <c r="T39" s="7">
        <f>IF($U39="","",S39-Q39-G39)</f>
        <v/>
      </c>
      <c r="U39" s="13">
        <f>IF(ROWS($U$2:$U39)&lt;=MAX('Per Line'!$V$2:$V$3001),MATCH(ROWS($U$2:$U39),'Per Line'!$V$2:$V$3001,0),"")</f>
        <v/>
      </c>
    </row>
    <row r="40">
      <c r="A40">
        <f>IF($U40="","",INDEX('Per Line'!$A$2:$A$3001,$U40)&amp;"")</f>
        <v/>
      </c>
      <c r="B40" s="12" t="n"/>
      <c r="C40">
        <f>IF($U40="","",INDEX('Per Line'!$B$2:$B$3001,$U40)&amp;"")</f>
        <v/>
      </c>
      <c r="D40">
        <f>IF($U40="","",INDEX('Per Line'!$C$2:$C$3001,$U40)&amp;"")</f>
        <v/>
      </c>
      <c r="E40">
        <f>IF($U40="","",INDEX('Per Line'!$D$2:$D$3001,$U40)&amp;"")</f>
        <v/>
      </c>
      <c r="F40">
        <f>IF($U40="","",INDEX('Per Line'!$E$2:$E$3001,$U40))</f>
        <v/>
      </c>
      <c r="G40" s="7">
        <f>IF($U40="","",F40*S40/100)</f>
        <v/>
      </c>
      <c r="H40">
        <f>IF($U40="","",INDEX('Per Line'!$O$2:$O$3001,$U40)&amp;"")</f>
        <v/>
      </c>
      <c r="I40" s="11">
        <f>IF($U40="","",INDEX('Per Line'!$Q$2:$Q$3001,$U40))</f>
        <v/>
      </c>
      <c r="J40">
        <f>IF($U40="","",INDEX('Per Line'!$R$2:$R$3001,$U40)&amp;"")</f>
        <v/>
      </c>
      <c r="K40">
        <f>IF($U40="","",Settings!$C$7)</f>
        <v/>
      </c>
      <c r="L40" s="7">
        <f>IF($U40="","",SUMIFS('Per Line'!$N$2:$N$3001,'Per Line'!$A$2:$A$3001,$A40,'Per Line'!$W$2:$W$3001,0))</f>
        <v/>
      </c>
      <c r="M40" s="7">
        <f>IF($U40="","",L40*K40)</f>
        <v/>
      </c>
      <c r="N40">
        <f>IF($U40="","",Settings!$C$6)</f>
        <v/>
      </c>
      <c r="O40" s="7">
        <f>IF($U40="","",SUMIFS('Per Line'!$N$2:$N$3001,'Per Line'!$A$2:$A$3001,$A40,'Per Line'!$W$2:$W$3001,1))</f>
        <v/>
      </c>
      <c r="P40" s="7">
        <f>IF($U40="","",O40*N40)</f>
        <v/>
      </c>
      <c r="Q40" s="7">
        <f>IF($U40="","",P40+M40)</f>
        <v/>
      </c>
      <c r="R40" s="7">
        <f>IF($U40="","",S40-Q40)</f>
        <v/>
      </c>
      <c r="S40" s="7">
        <f>IF($U40="","",L40+O40)</f>
        <v/>
      </c>
      <c r="T40" s="7">
        <f>IF($U40="","",S40-Q40-G40)</f>
        <v/>
      </c>
      <c r="U40" s="13">
        <f>IF(ROWS($U$2:$U40)&lt;=MAX('Per Line'!$V$2:$V$3001),MATCH(ROWS($U$2:$U40),'Per Line'!$V$2:$V$3001,0),"")</f>
        <v/>
      </c>
    </row>
    <row r="41">
      <c r="A41">
        <f>IF($U41="","",INDEX('Per Line'!$A$2:$A$3001,$U41)&amp;"")</f>
        <v/>
      </c>
      <c r="B41" s="12" t="n"/>
      <c r="C41">
        <f>IF($U41="","",INDEX('Per Line'!$B$2:$B$3001,$U41)&amp;"")</f>
        <v/>
      </c>
      <c r="D41">
        <f>IF($U41="","",INDEX('Per Line'!$C$2:$C$3001,$U41)&amp;"")</f>
        <v/>
      </c>
      <c r="E41">
        <f>IF($U41="","",INDEX('Per Line'!$D$2:$D$3001,$U41)&amp;"")</f>
        <v/>
      </c>
      <c r="F41">
        <f>IF($U41="","",INDEX('Per Line'!$E$2:$E$3001,$U41))</f>
        <v/>
      </c>
      <c r="G41" s="7">
        <f>IF($U41="","",F41*S41/100)</f>
        <v/>
      </c>
      <c r="H41">
        <f>IF($U41="","",INDEX('Per Line'!$O$2:$O$3001,$U41)&amp;"")</f>
        <v/>
      </c>
      <c r="I41" s="11">
        <f>IF($U41="","",INDEX('Per Line'!$Q$2:$Q$3001,$U41))</f>
        <v/>
      </c>
      <c r="J41">
        <f>IF($U41="","",INDEX('Per Line'!$R$2:$R$3001,$U41)&amp;"")</f>
        <v/>
      </c>
      <c r="K41">
        <f>IF($U41="","",Settings!$C$7)</f>
        <v/>
      </c>
      <c r="L41" s="7">
        <f>IF($U41="","",SUMIFS('Per Line'!$N$2:$N$3001,'Per Line'!$A$2:$A$3001,$A41,'Per Line'!$W$2:$W$3001,0))</f>
        <v/>
      </c>
      <c r="M41" s="7">
        <f>IF($U41="","",L41*K41)</f>
        <v/>
      </c>
      <c r="N41">
        <f>IF($U41="","",Settings!$C$6)</f>
        <v/>
      </c>
      <c r="O41" s="7">
        <f>IF($U41="","",SUMIFS('Per Line'!$N$2:$N$3001,'Per Line'!$A$2:$A$3001,$A41,'Per Line'!$W$2:$W$3001,1))</f>
        <v/>
      </c>
      <c r="P41" s="7">
        <f>IF($U41="","",O41*N41)</f>
        <v/>
      </c>
      <c r="Q41" s="7">
        <f>IF($U41="","",P41+M41)</f>
        <v/>
      </c>
      <c r="R41" s="7">
        <f>IF($U41="","",S41-Q41)</f>
        <v/>
      </c>
      <c r="S41" s="7">
        <f>IF($U41="","",L41+O41)</f>
        <v/>
      </c>
      <c r="T41" s="7">
        <f>IF($U41="","",S41-Q41-G41)</f>
        <v/>
      </c>
      <c r="U41" s="13">
        <f>IF(ROWS($U$2:$U41)&lt;=MAX('Per Line'!$V$2:$V$3001),MATCH(ROWS($U$2:$U41),'Per Line'!$V$2:$V$3001,0),"")</f>
        <v/>
      </c>
    </row>
    <row r="42">
      <c r="A42">
        <f>IF($U42="","",INDEX('Per Line'!$A$2:$A$3001,$U42)&amp;"")</f>
        <v/>
      </c>
      <c r="B42" s="12" t="n"/>
      <c r="C42">
        <f>IF($U42="","",INDEX('Per Line'!$B$2:$B$3001,$U42)&amp;"")</f>
        <v/>
      </c>
      <c r="D42">
        <f>IF($U42="","",INDEX('Per Line'!$C$2:$C$3001,$U42)&amp;"")</f>
        <v/>
      </c>
      <c r="E42">
        <f>IF($U42="","",INDEX('Per Line'!$D$2:$D$3001,$U42)&amp;"")</f>
        <v/>
      </c>
      <c r="F42">
        <f>IF($U42="","",INDEX('Per Line'!$E$2:$E$3001,$U42))</f>
        <v/>
      </c>
      <c r="G42" s="7">
        <f>IF($U42="","",F42*S42/100)</f>
        <v/>
      </c>
      <c r="H42">
        <f>IF($U42="","",INDEX('Per Line'!$O$2:$O$3001,$U42)&amp;"")</f>
        <v/>
      </c>
      <c r="I42" s="11">
        <f>IF($U42="","",INDEX('Per Line'!$Q$2:$Q$3001,$U42))</f>
        <v/>
      </c>
      <c r="J42">
        <f>IF($U42="","",INDEX('Per Line'!$R$2:$R$3001,$U42)&amp;"")</f>
        <v/>
      </c>
      <c r="K42">
        <f>IF($U42="","",Settings!$C$7)</f>
        <v/>
      </c>
      <c r="L42" s="7">
        <f>IF($U42="","",SUMIFS('Per Line'!$N$2:$N$3001,'Per Line'!$A$2:$A$3001,$A42,'Per Line'!$W$2:$W$3001,0))</f>
        <v/>
      </c>
      <c r="M42" s="7">
        <f>IF($U42="","",L42*K42)</f>
        <v/>
      </c>
      <c r="N42">
        <f>IF($U42="","",Settings!$C$6)</f>
        <v/>
      </c>
      <c r="O42" s="7">
        <f>IF($U42="","",SUMIFS('Per Line'!$N$2:$N$3001,'Per Line'!$A$2:$A$3001,$A42,'Per Line'!$W$2:$W$3001,1))</f>
        <v/>
      </c>
      <c r="P42" s="7">
        <f>IF($U42="","",O42*N42)</f>
        <v/>
      </c>
      <c r="Q42" s="7">
        <f>IF($U42="","",P42+M42)</f>
        <v/>
      </c>
      <c r="R42" s="7">
        <f>IF($U42="","",S42-Q42)</f>
        <v/>
      </c>
      <c r="S42" s="7">
        <f>IF($U42="","",L42+O42)</f>
        <v/>
      </c>
      <c r="T42" s="7">
        <f>IF($U42="","",S42-Q42-G42)</f>
        <v/>
      </c>
      <c r="U42" s="13">
        <f>IF(ROWS($U$2:$U42)&lt;=MAX('Per Line'!$V$2:$V$3001),MATCH(ROWS($U$2:$U42),'Per Line'!$V$2:$V$3001,0),"")</f>
        <v/>
      </c>
    </row>
    <row r="43">
      <c r="A43">
        <f>IF($U43="","",INDEX('Per Line'!$A$2:$A$3001,$U43)&amp;"")</f>
        <v/>
      </c>
      <c r="B43" s="12" t="n"/>
      <c r="C43">
        <f>IF($U43="","",INDEX('Per Line'!$B$2:$B$3001,$U43)&amp;"")</f>
        <v/>
      </c>
      <c r="D43">
        <f>IF($U43="","",INDEX('Per Line'!$C$2:$C$3001,$U43)&amp;"")</f>
        <v/>
      </c>
      <c r="E43">
        <f>IF($U43="","",INDEX('Per Line'!$D$2:$D$3001,$U43)&amp;"")</f>
        <v/>
      </c>
      <c r="F43">
        <f>IF($U43="","",INDEX('Per Line'!$E$2:$E$3001,$U43))</f>
        <v/>
      </c>
      <c r="G43" s="7">
        <f>IF($U43="","",F43*S43/100)</f>
        <v/>
      </c>
      <c r="H43">
        <f>IF($U43="","",INDEX('Per Line'!$O$2:$O$3001,$U43)&amp;"")</f>
        <v/>
      </c>
      <c r="I43" s="11">
        <f>IF($U43="","",INDEX('Per Line'!$Q$2:$Q$3001,$U43))</f>
        <v/>
      </c>
      <c r="J43">
        <f>IF($U43="","",INDEX('Per Line'!$R$2:$R$3001,$U43)&amp;"")</f>
        <v/>
      </c>
      <c r="K43">
        <f>IF($U43="","",Settings!$C$7)</f>
        <v/>
      </c>
      <c r="L43" s="7">
        <f>IF($U43="","",SUMIFS('Per Line'!$N$2:$N$3001,'Per Line'!$A$2:$A$3001,$A43,'Per Line'!$W$2:$W$3001,0))</f>
        <v/>
      </c>
      <c r="M43" s="7">
        <f>IF($U43="","",L43*K43)</f>
        <v/>
      </c>
      <c r="N43">
        <f>IF($U43="","",Settings!$C$6)</f>
        <v/>
      </c>
      <c r="O43" s="7">
        <f>IF($U43="","",SUMIFS('Per Line'!$N$2:$N$3001,'Per Line'!$A$2:$A$3001,$A43,'Per Line'!$W$2:$W$3001,1))</f>
        <v/>
      </c>
      <c r="P43" s="7">
        <f>IF($U43="","",O43*N43)</f>
        <v/>
      </c>
      <c r="Q43" s="7">
        <f>IF($U43="","",P43+M43)</f>
        <v/>
      </c>
      <c r="R43" s="7">
        <f>IF($U43="","",S43-Q43)</f>
        <v/>
      </c>
      <c r="S43" s="7">
        <f>IF($U43="","",L43+O43)</f>
        <v/>
      </c>
      <c r="T43" s="7">
        <f>IF($U43="","",S43-Q43-G43)</f>
        <v/>
      </c>
      <c r="U43" s="13">
        <f>IF(ROWS($U$2:$U43)&lt;=MAX('Per Line'!$V$2:$V$3001),MATCH(ROWS($U$2:$U43),'Per Line'!$V$2:$V$3001,0),"")</f>
        <v/>
      </c>
    </row>
    <row r="44">
      <c r="A44">
        <f>IF($U44="","",INDEX('Per Line'!$A$2:$A$3001,$U44)&amp;"")</f>
        <v/>
      </c>
      <c r="B44" s="12" t="n"/>
      <c r="C44">
        <f>IF($U44="","",INDEX('Per Line'!$B$2:$B$3001,$U44)&amp;"")</f>
        <v/>
      </c>
      <c r="D44">
        <f>IF($U44="","",INDEX('Per Line'!$C$2:$C$3001,$U44)&amp;"")</f>
        <v/>
      </c>
      <c r="E44">
        <f>IF($U44="","",INDEX('Per Line'!$D$2:$D$3001,$U44)&amp;"")</f>
        <v/>
      </c>
      <c r="F44">
        <f>IF($U44="","",INDEX('Per Line'!$E$2:$E$3001,$U44))</f>
        <v/>
      </c>
      <c r="G44" s="7">
        <f>IF($U44="","",F44*S44/100)</f>
        <v/>
      </c>
      <c r="H44">
        <f>IF($U44="","",INDEX('Per Line'!$O$2:$O$3001,$U44)&amp;"")</f>
        <v/>
      </c>
      <c r="I44" s="11">
        <f>IF($U44="","",INDEX('Per Line'!$Q$2:$Q$3001,$U44))</f>
        <v/>
      </c>
      <c r="J44">
        <f>IF($U44="","",INDEX('Per Line'!$R$2:$R$3001,$U44)&amp;"")</f>
        <v/>
      </c>
      <c r="K44">
        <f>IF($U44="","",Settings!$C$7)</f>
        <v/>
      </c>
      <c r="L44" s="7">
        <f>IF($U44="","",SUMIFS('Per Line'!$N$2:$N$3001,'Per Line'!$A$2:$A$3001,$A44,'Per Line'!$W$2:$W$3001,0))</f>
        <v/>
      </c>
      <c r="M44" s="7">
        <f>IF($U44="","",L44*K44)</f>
        <v/>
      </c>
      <c r="N44">
        <f>IF($U44="","",Settings!$C$6)</f>
        <v/>
      </c>
      <c r="O44" s="7">
        <f>IF($U44="","",SUMIFS('Per Line'!$N$2:$N$3001,'Per Line'!$A$2:$A$3001,$A44,'Per Line'!$W$2:$W$3001,1))</f>
        <v/>
      </c>
      <c r="P44" s="7">
        <f>IF($U44="","",O44*N44)</f>
        <v/>
      </c>
      <c r="Q44" s="7">
        <f>IF($U44="","",P44+M44)</f>
        <v/>
      </c>
      <c r="R44" s="7">
        <f>IF($U44="","",S44-Q44)</f>
        <v/>
      </c>
      <c r="S44" s="7">
        <f>IF($U44="","",L44+O44)</f>
        <v/>
      </c>
      <c r="T44" s="7">
        <f>IF($U44="","",S44-Q44-G44)</f>
        <v/>
      </c>
      <c r="U44" s="13">
        <f>IF(ROWS($U$2:$U44)&lt;=MAX('Per Line'!$V$2:$V$3001),MATCH(ROWS($U$2:$U44),'Per Line'!$V$2:$V$3001,0),"")</f>
        <v/>
      </c>
    </row>
    <row r="45">
      <c r="A45">
        <f>IF($U45="","",INDEX('Per Line'!$A$2:$A$3001,$U45)&amp;"")</f>
        <v/>
      </c>
      <c r="B45" s="12" t="n"/>
      <c r="C45">
        <f>IF($U45="","",INDEX('Per Line'!$B$2:$B$3001,$U45)&amp;"")</f>
        <v/>
      </c>
      <c r="D45">
        <f>IF($U45="","",INDEX('Per Line'!$C$2:$C$3001,$U45)&amp;"")</f>
        <v/>
      </c>
      <c r="E45">
        <f>IF($U45="","",INDEX('Per Line'!$D$2:$D$3001,$U45)&amp;"")</f>
        <v/>
      </c>
      <c r="F45">
        <f>IF($U45="","",INDEX('Per Line'!$E$2:$E$3001,$U45))</f>
        <v/>
      </c>
      <c r="G45" s="7">
        <f>IF($U45="","",F45*S45/100)</f>
        <v/>
      </c>
      <c r="H45">
        <f>IF($U45="","",INDEX('Per Line'!$O$2:$O$3001,$U45)&amp;"")</f>
        <v/>
      </c>
      <c r="I45" s="11">
        <f>IF($U45="","",INDEX('Per Line'!$Q$2:$Q$3001,$U45))</f>
        <v/>
      </c>
      <c r="J45">
        <f>IF($U45="","",INDEX('Per Line'!$R$2:$R$3001,$U45)&amp;"")</f>
        <v/>
      </c>
      <c r="K45">
        <f>IF($U45="","",Settings!$C$7)</f>
        <v/>
      </c>
      <c r="L45" s="7">
        <f>IF($U45="","",SUMIFS('Per Line'!$N$2:$N$3001,'Per Line'!$A$2:$A$3001,$A45,'Per Line'!$W$2:$W$3001,0))</f>
        <v/>
      </c>
      <c r="M45" s="7">
        <f>IF($U45="","",L45*K45)</f>
        <v/>
      </c>
      <c r="N45">
        <f>IF($U45="","",Settings!$C$6)</f>
        <v/>
      </c>
      <c r="O45" s="7">
        <f>IF($U45="","",SUMIFS('Per Line'!$N$2:$N$3001,'Per Line'!$A$2:$A$3001,$A45,'Per Line'!$W$2:$W$3001,1))</f>
        <v/>
      </c>
      <c r="P45" s="7">
        <f>IF($U45="","",O45*N45)</f>
        <v/>
      </c>
      <c r="Q45" s="7">
        <f>IF($U45="","",P45+M45)</f>
        <v/>
      </c>
      <c r="R45" s="7">
        <f>IF($U45="","",S45-Q45)</f>
        <v/>
      </c>
      <c r="S45" s="7">
        <f>IF($U45="","",L45+O45)</f>
        <v/>
      </c>
      <c r="T45" s="7">
        <f>IF($U45="","",S45-Q45-G45)</f>
        <v/>
      </c>
      <c r="U45" s="13">
        <f>IF(ROWS($U$2:$U45)&lt;=MAX('Per Line'!$V$2:$V$3001),MATCH(ROWS($U$2:$U45),'Per Line'!$V$2:$V$3001,0),"")</f>
        <v/>
      </c>
    </row>
    <row r="46">
      <c r="A46">
        <f>IF($U46="","",INDEX('Per Line'!$A$2:$A$3001,$U46)&amp;"")</f>
        <v/>
      </c>
      <c r="B46" s="12" t="n"/>
      <c r="C46">
        <f>IF($U46="","",INDEX('Per Line'!$B$2:$B$3001,$U46)&amp;"")</f>
        <v/>
      </c>
      <c r="D46">
        <f>IF($U46="","",INDEX('Per Line'!$C$2:$C$3001,$U46)&amp;"")</f>
        <v/>
      </c>
      <c r="E46">
        <f>IF($U46="","",INDEX('Per Line'!$D$2:$D$3001,$U46)&amp;"")</f>
        <v/>
      </c>
      <c r="F46">
        <f>IF($U46="","",INDEX('Per Line'!$E$2:$E$3001,$U46))</f>
        <v/>
      </c>
      <c r="G46" s="7">
        <f>IF($U46="","",F46*S46/100)</f>
        <v/>
      </c>
      <c r="H46">
        <f>IF($U46="","",INDEX('Per Line'!$O$2:$O$3001,$U46)&amp;"")</f>
        <v/>
      </c>
      <c r="I46" s="11">
        <f>IF($U46="","",INDEX('Per Line'!$Q$2:$Q$3001,$U46))</f>
        <v/>
      </c>
      <c r="J46">
        <f>IF($U46="","",INDEX('Per Line'!$R$2:$R$3001,$U46)&amp;"")</f>
        <v/>
      </c>
      <c r="K46">
        <f>IF($U46="","",Settings!$C$7)</f>
        <v/>
      </c>
      <c r="L46" s="7">
        <f>IF($U46="","",SUMIFS('Per Line'!$N$2:$N$3001,'Per Line'!$A$2:$A$3001,$A46,'Per Line'!$W$2:$W$3001,0))</f>
        <v/>
      </c>
      <c r="M46" s="7">
        <f>IF($U46="","",L46*K46)</f>
        <v/>
      </c>
      <c r="N46">
        <f>IF($U46="","",Settings!$C$6)</f>
        <v/>
      </c>
      <c r="O46" s="7">
        <f>IF($U46="","",SUMIFS('Per Line'!$N$2:$N$3001,'Per Line'!$A$2:$A$3001,$A46,'Per Line'!$W$2:$W$3001,1))</f>
        <v/>
      </c>
      <c r="P46" s="7">
        <f>IF($U46="","",O46*N46)</f>
        <v/>
      </c>
      <c r="Q46" s="7">
        <f>IF($U46="","",P46+M46)</f>
        <v/>
      </c>
      <c r="R46" s="7">
        <f>IF($U46="","",S46-Q46)</f>
        <v/>
      </c>
      <c r="S46" s="7">
        <f>IF($U46="","",L46+O46)</f>
        <v/>
      </c>
      <c r="T46" s="7">
        <f>IF($U46="","",S46-Q46-G46)</f>
        <v/>
      </c>
      <c r="U46" s="13">
        <f>IF(ROWS($U$2:$U46)&lt;=MAX('Per Line'!$V$2:$V$3001),MATCH(ROWS($U$2:$U46),'Per Line'!$V$2:$V$3001,0),"")</f>
        <v/>
      </c>
    </row>
    <row r="47">
      <c r="A47">
        <f>IF($U47="","",INDEX('Per Line'!$A$2:$A$3001,$U47)&amp;"")</f>
        <v/>
      </c>
      <c r="B47" s="12" t="n"/>
      <c r="C47">
        <f>IF($U47="","",INDEX('Per Line'!$B$2:$B$3001,$U47)&amp;"")</f>
        <v/>
      </c>
      <c r="D47">
        <f>IF($U47="","",INDEX('Per Line'!$C$2:$C$3001,$U47)&amp;"")</f>
        <v/>
      </c>
      <c r="E47">
        <f>IF($U47="","",INDEX('Per Line'!$D$2:$D$3001,$U47)&amp;"")</f>
        <v/>
      </c>
      <c r="F47">
        <f>IF($U47="","",INDEX('Per Line'!$E$2:$E$3001,$U47))</f>
        <v/>
      </c>
      <c r="G47" s="7">
        <f>IF($U47="","",F47*S47/100)</f>
        <v/>
      </c>
      <c r="H47">
        <f>IF($U47="","",INDEX('Per Line'!$O$2:$O$3001,$U47)&amp;"")</f>
        <v/>
      </c>
      <c r="I47" s="11">
        <f>IF($U47="","",INDEX('Per Line'!$Q$2:$Q$3001,$U47))</f>
        <v/>
      </c>
      <c r="J47">
        <f>IF($U47="","",INDEX('Per Line'!$R$2:$R$3001,$U47)&amp;"")</f>
        <v/>
      </c>
      <c r="K47">
        <f>IF($U47="","",Settings!$C$7)</f>
        <v/>
      </c>
      <c r="L47" s="7">
        <f>IF($U47="","",SUMIFS('Per Line'!$N$2:$N$3001,'Per Line'!$A$2:$A$3001,$A47,'Per Line'!$W$2:$W$3001,0))</f>
        <v/>
      </c>
      <c r="M47" s="7">
        <f>IF($U47="","",L47*K47)</f>
        <v/>
      </c>
      <c r="N47">
        <f>IF($U47="","",Settings!$C$6)</f>
        <v/>
      </c>
      <c r="O47" s="7">
        <f>IF($U47="","",SUMIFS('Per Line'!$N$2:$N$3001,'Per Line'!$A$2:$A$3001,$A47,'Per Line'!$W$2:$W$3001,1))</f>
        <v/>
      </c>
      <c r="P47" s="7">
        <f>IF($U47="","",O47*N47)</f>
        <v/>
      </c>
      <c r="Q47" s="7">
        <f>IF($U47="","",P47+M47)</f>
        <v/>
      </c>
      <c r="R47" s="7">
        <f>IF($U47="","",S47-Q47)</f>
        <v/>
      </c>
      <c r="S47" s="7">
        <f>IF($U47="","",L47+O47)</f>
        <v/>
      </c>
      <c r="T47" s="7">
        <f>IF($U47="","",S47-Q47-G47)</f>
        <v/>
      </c>
      <c r="U47" s="13">
        <f>IF(ROWS($U$2:$U47)&lt;=MAX('Per Line'!$V$2:$V$3001),MATCH(ROWS($U$2:$U47),'Per Line'!$V$2:$V$3001,0),"")</f>
        <v/>
      </c>
    </row>
    <row r="48">
      <c r="A48">
        <f>IF($U48="","",INDEX('Per Line'!$A$2:$A$3001,$U48)&amp;"")</f>
        <v/>
      </c>
      <c r="B48" s="12" t="n"/>
      <c r="C48">
        <f>IF($U48="","",INDEX('Per Line'!$B$2:$B$3001,$U48)&amp;"")</f>
        <v/>
      </c>
      <c r="D48">
        <f>IF($U48="","",INDEX('Per Line'!$C$2:$C$3001,$U48)&amp;"")</f>
        <v/>
      </c>
      <c r="E48">
        <f>IF($U48="","",INDEX('Per Line'!$D$2:$D$3001,$U48)&amp;"")</f>
        <v/>
      </c>
      <c r="F48">
        <f>IF($U48="","",INDEX('Per Line'!$E$2:$E$3001,$U48))</f>
        <v/>
      </c>
      <c r="G48" s="7">
        <f>IF($U48="","",F48*S48/100)</f>
        <v/>
      </c>
      <c r="H48">
        <f>IF($U48="","",INDEX('Per Line'!$O$2:$O$3001,$U48)&amp;"")</f>
        <v/>
      </c>
      <c r="I48" s="11">
        <f>IF($U48="","",INDEX('Per Line'!$Q$2:$Q$3001,$U48))</f>
        <v/>
      </c>
      <c r="J48">
        <f>IF($U48="","",INDEX('Per Line'!$R$2:$R$3001,$U48)&amp;"")</f>
        <v/>
      </c>
      <c r="K48">
        <f>IF($U48="","",Settings!$C$7)</f>
        <v/>
      </c>
      <c r="L48" s="7">
        <f>IF($U48="","",SUMIFS('Per Line'!$N$2:$N$3001,'Per Line'!$A$2:$A$3001,$A48,'Per Line'!$W$2:$W$3001,0))</f>
        <v/>
      </c>
      <c r="M48" s="7">
        <f>IF($U48="","",L48*K48)</f>
        <v/>
      </c>
      <c r="N48">
        <f>IF($U48="","",Settings!$C$6)</f>
        <v/>
      </c>
      <c r="O48" s="7">
        <f>IF($U48="","",SUMIFS('Per Line'!$N$2:$N$3001,'Per Line'!$A$2:$A$3001,$A48,'Per Line'!$W$2:$W$3001,1))</f>
        <v/>
      </c>
      <c r="P48" s="7">
        <f>IF($U48="","",O48*N48)</f>
        <v/>
      </c>
      <c r="Q48" s="7">
        <f>IF($U48="","",P48+M48)</f>
        <v/>
      </c>
      <c r="R48" s="7">
        <f>IF($U48="","",S48-Q48)</f>
        <v/>
      </c>
      <c r="S48" s="7">
        <f>IF($U48="","",L48+O48)</f>
        <v/>
      </c>
      <c r="T48" s="7">
        <f>IF($U48="","",S48-Q48-G48)</f>
        <v/>
      </c>
      <c r="U48" s="13">
        <f>IF(ROWS($U$2:$U48)&lt;=MAX('Per Line'!$V$2:$V$3001),MATCH(ROWS($U$2:$U48),'Per Line'!$V$2:$V$3001,0),"")</f>
        <v/>
      </c>
    </row>
    <row r="49">
      <c r="A49">
        <f>IF($U49="","",INDEX('Per Line'!$A$2:$A$3001,$U49)&amp;"")</f>
        <v/>
      </c>
      <c r="B49" s="12" t="n"/>
      <c r="C49">
        <f>IF($U49="","",INDEX('Per Line'!$B$2:$B$3001,$U49)&amp;"")</f>
        <v/>
      </c>
      <c r="D49">
        <f>IF($U49="","",INDEX('Per Line'!$C$2:$C$3001,$U49)&amp;"")</f>
        <v/>
      </c>
      <c r="E49">
        <f>IF($U49="","",INDEX('Per Line'!$D$2:$D$3001,$U49)&amp;"")</f>
        <v/>
      </c>
      <c r="F49">
        <f>IF($U49="","",INDEX('Per Line'!$E$2:$E$3001,$U49))</f>
        <v/>
      </c>
      <c r="G49" s="7">
        <f>IF($U49="","",F49*S49/100)</f>
        <v/>
      </c>
      <c r="H49">
        <f>IF($U49="","",INDEX('Per Line'!$O$2:$O$3001,$U49)&amp;"")</f>
        <v/>
      </c>
      <c r="I49" s="11">
        <f>IF($U49="","",INDEX('Per Line'!$Q$2:$Q$3001,$U49))</f>
        <v/>
      </c>
      <c r="J49">
        <f>IF($U49="","",INDEX('Per Line'!$R$2:$R$3001,$U49)&amp;"")</f>
        <v/>
      </c>
      <c r="K49">
        <f>IF($U49="","",Settings!$C$7)</f>
        <v/>
      </c>
      <c r="L49" s="7">
        <f>IF($U49="","",SUMIFS('Per Line'!$N$2:$N$3001,'Per Line'!$A$2:$A$3001,$A49,'Per Line'!$W$2:$W$3001,0))</f>
        <v/>
      </c>
      <c r="M49" s="7">
        <f>IF($U49="","",L49*K49)</f>
        <v/>
      </c>
      <c r="N49">
        <f>IF($U49="","",Settings!$C$6)</f>
        <v/>
      </c>
      <c r="O49" s="7">
        <f>IF($U49="","",SUMIFS('Per Line'!$N$2:$N$3001,'Per Line'!$A$2:$A$3001,$A49,'Per Line'!$W$2:$W$3001,1))</f>
        <v/>
      </c>
      <c r="P49" s="7">
        <f>IF($U49="","",O49*N49)</f>
        <v/>
      </c>
      <c r="Q49" s="7">
        <f>IF($U49="","",P49+M49)</f>
        <v/>
      </c>
      <c r="R49" s="7">
        <f>IF($U49="","",S49-Q49)</f>
        <v/>
      </c>
      <c r="S49" s="7">
        <f>IF($U49="","",L49+O49)</f>
        <v/>
      </c>
      <c r="T49" s="7">
        <f>IF($U49="","",S49-Q49-G49)</f>
        <v/>
      </c>
      <c r="U49" s="13">
        <f>IF(ROWS($U$2:$U49)&lt;=MAX('Per Line'!$V$2:$V$3001),MATCH(ROWS($U$2:$U49),'Per Line'!$V$2:$V$3001,0),"")</f>
        <v/>
      </c>
    </row>
    <row r="50">
      <c r="A50">
        <f>IF($U50="","",INDEX('Per Line'!$A$2:$A$3001,$U50)&amp;"")</f>
        <v/>
      </c>
      <c r="B50" s="12" t="n"/>
      <c r="C50">
        <f>IF($U50="","",INDEX('Per Line'!$B$2:$B$3001,$U50)&amp;"")</f>
        <v/>
      </c>
      <c r="D50">
        <f>IF($U50="","",INDEX('Per Line'!$C$2:$C$3001,$U50)&amp;"")</f>
        <v/>
      </c>
      <c r="E50">
        <f>IF($U50="","",INDEX('Per Line'!$D$2:$D$3001,$U50)&amp;"")</f>
        <v/>
      </c>
      <c r="F50">
        <f>IF($U50="","",INDEX('Per Line'!$E$2:$E$3001,$U50))</f>
        <v/>
      </c>
      <c r="G50" s="7">
        <f>IF($U50="","",F50*S50/100)</f>
        <v/>
      </c>
      <c r="H50">
        <f>IF($U50="","",INDEX('Per Line'!$O$2:$O$3001,$U50)&amp;"")</f>
        <v/>
      </c>
      <c r="I50" s="11">
        <f>IF($U50="","",INDEX('Per Line'!$Q$2:$Q$3001,$U50))</f>
        <v/>
      </c>
      <c r="J50">
        <f>IF($U50="","",INDEX('Per Line'!$R$2:$R$3001,$U50)&amp;"")</f>
        <v/>
      </c>
      <c r="K50">
        <f>IF($U50="","",Settings!$C$7)</f>
        <v/>
      </c>
      <c r="L50" s="7">
        <f>IF($U50="","",SUMIFS('Per Line'!$N$2:$N$3001,'Per Line'!$A$2:$A$3001,$A50,'Per Line'!$W$2:$W$3001,0))</f>
        <v/>
      </c>
      <c r="M50" s="7">
        <f>IF($U50="","",L50*K50)</f>
        <v/>
      </c>
      <c r="N50">
        <f>IF($U50="","",Settings!$C$6)</f>
        <v/>
      </c>
      <c r="O50" s="7">
        <f>IF($U50="","",SUMIFS('Per Line'!$N$2:$N$3001,'Per Line'!$A$2:$A$3001,$A50,'Per Line'!$W$2:$W$3001,1))</f>
        <v/>
      </c>
      <c r="P50" s="7">
        <f>IF($U50="","",O50*N50)</f>
        <v/>
      </c>
      <c r="Q50" s="7">
        <f>IF($U50="","",P50+M50)</f>
        <v/>
      </c>
      <c r="R50" s="7">
        <f>IF($U50="","",S50-Q50)</f>
        <v/>
      </c>
      <c r="S50" s="7">
        <f>IF($U50="","",L50+O50)</f>
        <v/>
      </c>
      <c r="T50" s="7">
        <f>IF($U50="","",S50-Q50-G50)</f>
        <v/>
      </c>
      <c r="U50" s="13">
        <f>IF(ROWS($U$2:$U50)&lt;=MAX('Per Line'!$V$2:$V$3001),MATCH(ROWS($U$2:$U50),'Per Line'!$V$2:$V$3001,0),"")</f>
        <v/>
      </c>
    </row>
    <row r="51">
      <c r="A51">
        <f>IF($U51="","",INDEX('Per Line'!$A$2:$A$3001,$U51)&amp;"")</f>
        <v/>
      </c>
      <c r="B51" s="12" t="n"/>
      <c r="C51">
        <f>IF($U51="","",INDEX('Per Line'!$B$2:$B$3001,$U51)&amp;"")</f>
        <v/>
      </c>
      <c r="D51">
        <f>IF($U51="","",INDEX('Per Line'!$C$2:$C$3001,$U51)&amp;"")</f>
        <v/>
      </c>
      <c r="E51">
        <f>IF($U51="","",INDEX('Per Line'!$D$2:$D$3001,$U51)&amp;"")</f>
        <v/>
      </c>
      <c r="F51">
        <f>IF($U51="","",INDEX('Per Line'!$E$2:$E$3001,$U51))</f>
        <v/>
      </c>
      <c r="G51" s="7">
        <f>IF($U51="","",F51*S51/100)</f>
        <v/>
      </c>
      <c r="H51">
        <f>IF($U51="","",INDEX('Per Line'!$O$2:$O$3001,$U51)&amp;"")</f>
        <v/>
      </c>
      <c r="I51" s="11">
        <f>IF($U51="","",INDEX('Per Line'!$Q$2:$Q$3001,$U51))</f>
        <v/>
      </c>
      <c r="J51">
        <f>IF($U51="","",INDEX('Per Line'!$R$2:$R$3001,$U51)&amp;"")</f>
        <v/>
      </c>
      <c r="K51">
        <f>IF($U51="","",Settings!$C$7)</f>
        <v/>
      </c>
      <c r="L51" s="7">
        <f>IF($U51="","",SUMIFS('Per Line'!$N$2:$N$3001,'Per Line'!$A$2:$A$3001,$A51,'Per Line'!$W$2:$W$3001,0))</f>
        <v/>
      </c>
      <c r="M51" s="7">
        <f>IF($U51="","",L51*K51)</f>
        <v/>
      </c>
      <c r="N51">
        <f>IF($U51="","",Settings!$C$6)</f>
        <v/>
      </c>
      <c r="O51" s="7">
        <f>IF($U51="","",SUMIFS('Per Line'!$N$2:$N$3001,'Per Line'!$A$2:$A$3001,$A51,'Per Line'!$W$2:$W$3001,1))</f>
        <v/>
      </c>
      <c r="P51" s="7">
        <f>IF($U51="","",O51*N51)</f>
        <v/>
      </c>
      <c r="Q51" s="7">
        <f>IF($U51="","",P51+M51)</f>
        <v/>
      </c>
      <c r="R51" s="7">
        <f>IF($U51="","",S51-Q51)</f>
        <v/>
      </c>
      <c r="S51" s="7">
        <f>IF($U51="","",L51+O51)</f>
        <v/>
      </c>
      <c r="T51" s="7">
        <f>IF($U51="","",S51-Q51-G51)</f>
        <v/>
      </c>
      <c r="U51" s="13">
        <f>IF(ROWS($U$2:$U51)&lt;=MAX('Per Line'!$V$2:$V$3001),MATCH(ROWS($U$2:$U51),'Per Line'!$V$2:$V$3001,0),"")</f>
        <v/>
      </c>
    </row>
    <row r="52">
      <c r="A52">
        <f>IF($U52="","",INDEX('Per Line'!$A$2:$A$3001,$U52)&amp;"")</f>
        <v/>
      </c>
      <c r="B52" s="12" t="n"/>
      <c r="C52">
        <f>IF($U52="","",INDEX('Per Line'!$B$2:$B$3001,$U52)&amp;"")</f>
        <v/>
      </c>
      <c r="D52">
        <f>IF($U52="","",INDEX('Per Line'!$C$2:$C$3001,$U52)&amp;"")</f>
        <v/>
      </c>
      <c r="E52">
        <f>IF($U52="","",INDEX('Per Line'!$D$2:$D$3001,$U52)&amp;"")</f>
        <v/>
      </c>
      <c r="F52">
        <f>IF($U52="","",INDEX('Per Line'!$E$2:$E$3001,$U52))</f>
        <v/>
      </c>
      <c r="G52" s="7">
        <f>IF($U52="","",F52*S52/100)</f>
        <v/>
      </c>
      <c r="H52">
        <f>IF($U52="","",INDEX('Per Line'!$O$2:$O$3001,$U52)&amp;"")</f>
        <v/>
      </c>
      <c r="I52" s="11">
        <f>IF($U52="","",INDEX('Per Line'!$Q$2:$Q$3001,$U52))</f>
        <v/>
      </c>
      <c r="J52">
        <f>IF($U52="","",INDEX('Per Line'!$R$2:$R$3001,$U52)&amp;"")</f>
        <v/>
      </c>
      <c r="K52">
        <f>IF($U52="","",Settings!$C$7)</f>
        <v/>
      </c>
      <c r="L52" s="7">
        <f>IF($U52="","",SUMIFS('Per Line'!$N$2:$N$3001,'Per Line'!$A$2:$A$3001,$A52,'Per Line'!$W$2:$W$3001,0))</f>
        <v/>
      </c>
      <c r="M52" s="7">
        <f>IF($U52="","",L52*K52)</f>
        <v/>
      </c>
      <c r="N52">
        <f>IF($U52="","",Settings!$C$6)</f>
        <v/>
      </c>
      <c r="O52" s="7">
        <f>IF($U52="","",SUMIFS('Per Line'!$N$2:$N$3001,'Per Line'!$A$2:$A$3001,$A52,'Per Line'!$W$2:$W$3001,1))</f>
        <v/>
      </c>
      <c r="P52" s="7">
        <f>IF($U52="","",O52*N52)</f>
        <v/>
      </c>
      <c r="Q52" s="7">
        <f>IF($U52="","",P52+M52)</f>
        <v/>
      </c>
      <c r="R52" s="7">
        <f>IF($U52="","",S52-Q52)</f>
        <v/>
      </c>
      <c r="S52" s="7">
        <f>IF($U52="","",L52+O52)</f>
        <v/>
      </c>
      <c r="T52" s="7">
        <f>IF($U52="","",S52-Q52-G52)</f>
        <v/>
      </c>
      <c r="U52" s="13">
        <f>IF(ROWS($U$2:$U52)&lt;=MAX('Per Line'!$V$2:$V$3001),MATCH(ROWS($U$2:$U52),'Per Line'!$V$2:$V$3001,0),"")</f>
        <v/>
      </c>
    </row>
    <row r="53">
      <c r="A53">
        <f>IF($U53="","",INDEX('Per Line'!$A$2:$A$3001,$U53)&amp;"")</f>
        <v/>
      </c>
      <c r="B53" s="12" t="n"/>
      <c r="C53">
        <f>IF($U53="","",INDEX('Per Line'!$B$2:$B$3001,$U53)&amp;"")</f>
        <v/>
      </c>
      <c r="D53">
        <f>IF($U53="","",INDEX('Per Line'!$C$2:$C$3001,$U53)&amp;"")</f>
        <v/>
      </c>
      <c r="E53">
        <f>IF($U53="","",INDEX('Per Line'!$D$2:$D$3001,$U53)&amp;"")</f>
        <v/>
      </c>
      <c r="F53">
        <f>IF($U53="","",INDEX('Per Line'!$E$2:$E$3001,$U53))</f>
        <v/>
      </c>
      <c r="G53" s="7">
        <f>IF($U53="","",F53*S53/100)</f>
        <v/>
      </c>
      <c r="H53">
        <f>IF($U53="","",INDEX('Per Line'!$O$2:$O$3001,$U53)&amp;"")</f>
        <v/>
      </c>
      <c r="I53" s="11">
        <f>IF($U53="","",INDEX('Per Line'!$Q$2:$Q$3001,$U53))</f>
        <v/>
      </c>
      <c r="J53">
        <f>IF($U53="","",INDEX('Per Line'!$R$2:$R$3001,$U53)&amp;"")</f>
        <v/>
      </c>
      <c r="K53">
        <f>IF($U53="","",Settings!$C$7)</f>
        <v/>
      </c>
      <c r="L53" s="7">
        <f>IF($U53="","",SUMIFS('Per Line'!$N$2:$N$3001,'Per Line'!$A$2:$A$3001,$A53,'Per Line'!$W$2:$W$3001,0))</f>
        <v/>
      </c>
      <c r="M53" s="7">
        <f>IF($U53="","",L53*K53)</f>
        <v/>
      </c>
      <c r="N53">
        <f>IF($U53="","",Settings!$C$6)</f>
        <v/>
      </c>
      <c r="O53" s="7">
        <f>IF($U53="","",SUMIFS('Per Line'!$N$2:$N$3001,'Per Line'!$A$2:$A$3001,$A53,'Per Line'!$W$2:$W$3001,1))</f>
        <v/>
      </c>
      <c r="P53" s="7">
        <f>IF($U53="","",O53*N53)</f>
        <v/>
      </c>
      <c r="Q53" s="7">
        <f>IF($U53="","",P53+M53)</f>
        <v/>
      </c>
      <c r="R53" s="7">
        <f>IF($U53="","",S53-Q53)</f>
        <v/>
      </c>
      <c r="S53" s="7">
        <f>IF($U53="","",L53+O53)</f>
        <v/>
      </c>
      <c r="T53" s="7">
        <f>IF($U53="","",S53-Q53-G53)</f>
        <v/>
      </c>
      <c r="U53" s="13">
        <f>IF(ROWS($U$2:$U53)&lt;=MAX('Per Line'!$V$2:$V$3001),MATCH(ROWS($U$2:$U53),'Per Line'!$V$2:$V$3001,0),"")</f>
        <v/>
      </c>
    </row>
    <row r="54">
      <c r="A54">
        <f>IF($U54="","",INDEX('Per Line'!$A$2:$A$3001,$U54)&amp;"")</f>
        <v/>
      </c>
      <c r="B54" s="12" t="n"/>
      <c r="C54">
        <f>IF($U54="","",INDEX('Per Line'!$B$2:$B$3001,$U54)&amp;"")</f>
        <v/>
      </c>
      <c r="D54">
        <f>IF($U54="","",INDEX('Per Line'!$C$2:$C$3001,$U54)&amp;"")</f>
        <v/>
      </c>
      <c r="E54">
        <f>IF($U54="","",INDEX('Per Line'!$D$2:$D$3001,$U54)&amp;"")</f>
        <v/>
      </c>
      <c r="F54">
        <f>IF($U54="","",INDEX('Per Line'!$E$2:$E$3001,$U54))</f>
        <v/>
      </c>
      <c r="G54" s="7">
        <f>IF($U54="","",F54*S54/100)</f>
        <v/>
      </c>
      <c r="H54">
        <f>IF($U54="","",INDEX('Per Line'!$O$2:$O$3001,$U54)&amp;"")</f>
        <v/>
      </c>
      <c r="I54" s="11">
        <f>IF($U54="","",INDEX('Per Line'!$Q$2:$Q$3001,$U54))</f>
        <v/>
      </c>
      <c r="J54">
        <f>IF($U54="","",INDEX('Per Line'!$R$2:$R$3001,$U54)&amp;"")</f>
        <v/>
      </c>
      <c r="K54">
        <f>IF($U54="","",Settings!$C$7)</f>
        <v/>
      </c>
      <c r="L54" s="7">
        <f>IF($U54="","",SUMIFS('Per Line'!$N$2:$N$3001,'Per Line'!$A$2:$A$3001,$A54,'Per Line'!$W$2:$W$3001,0))</f>
        <v/>
      </c>
      <c r="M54" s="7">
        <f>IF($U54="","",L54*K54)</f>
        <v/>
      </c>
      <c r="N54">
        <f>IF($U54="","",Settings!$C$6)</f>
        <v/>
      </c>
      <c r="O54" s="7">
        <f>IF($U54="","",SUMIFS('Per Line'!$N$2:$N$3001,'Per Line'!$A$2:$A$3001,$A54,'Per Line'!$W$2:$W$3001,1))</f>
        <v/>
      </c>
      <c r="P54" s="7">
        <f>IF($U54="","",O54*N54)</f>
        <v/>
      </c>
      <c r="Q54" s="7">
        <f>IF($U54="","",P54+M54)</f>
        <v/>
      </c>
      <c r="R54" s="7">
        <f>IF($U54="","",S54-Q54)</f>
        <v/>
      </c>
      <c r="S54" s="7">
        <f>IF($U54="","",L54+O54)</f>
        <v/>
      </c>
      <c r="T54" s="7">
        <f>IF($U54="","",S54-Q54-G54)</f>
        <v/>
      </c>
      <c r="U54" s="13">
        <f>IF(ROWS($U$2:$U54)&lt;=MAX('Per Line'!$V$2:$V$3001),MATCH(ROWS($U$2:$U54),'Per Line'!$V$2:$V$3001,0),"")</f>
        <v/>
      </c>
    </row>
    <row r="55">
      <c r="A55">
        <f>IF($U55="","",INDEX('Per Line'!$A$2:$A$3001,$U55)&amp;"")</f>
        <v/>
      </c>
      <c r="B55" s="12" t="n"/>
      <c r="C55">
        <f>IF($U55="","",INDEX('Per Line'!$B$2:$B$3001,$U55)&amp;"")</f>
        <v/>
      </c>
      <c r="D55">
        <f>IF($U55="","",INDEX('Per Line'!$C$2:$C$3001,$U55)&amp;"")</f>
        <v/>
      </c>
      <c r="E55">
        <f>IF($U55="","",INDEX('Per Line'!$D$2:$D$3001,$U55)&amp;"")</f>
        <v/>
      </c>
      <c r="F55">
        <f>IF($U55="","",INDEX('Per Line'!$E$2:$E$3001,$U55))</f>
        <v/>
      </c>
      <c r="G55" s="7">
        <f>IF($U55="","",F55*S55/100)</f>
        <v/>
      </c>
      <c r="H55">
        <f>IF($U55="","",INDEX('Per Line'!$O$2:$O$3001,$U55)&amp;"")</f>
        <v/>
      </c>
      <c r="I55" s="11">
        <f>IF($U55="","",INDEX('Per Line'!$Q$2:$Q$3001,$U55))</f>
        <v/>
      </c>
      <c r="J55">
        <f>IF($U55="","",INDEX('Per Line'!$R$2:$R$3001,$U55)&amp;"")</f>
        <v/>
      </c>
      <c r="K55">
        <f>IF($U55="","",Settings!$C$7)</f>
        <v/>
      </c>
      <c r="L55" s="7">
        <f>IF($U55="","",SUMIFS('Per Line'!$N$2:$N$3001,'Per Line'!$A$2:$A$3001,$A55,'Per Line'!$W$2:$W$3001,0))</f>
        <v/>
      </c>
      <c r="M55" s="7">
        <f>IF($U55="","",L55*K55)</f>
        <v/>
      </c>
      <c r="N55">
        <f>IF($U55="","",Settings!$C$6)</f>
        <v/>
      </c>
      <c r="O55" s="7">
        <f>IF($U55="","",SUMIFS('Per Line'!$N$2:$N$3001,'Per Line'!$A$2:$A$3001,$A55,'Per Line'!$W$2:$W$3001,1))</f>
        <v/>
      </c>
      <c r="P55" s="7">
        <f>IF($U55="","",O55*N55)</f>
        <v/>
      </c>
      <c r="Q55" s="7">
        <f>IF($U55="","",P55+M55)</f>
        <v/>
      </c>
      <c r="R55" s="7">
        <f>IF($U55="","",S55-Q55)</f>
        <v/>
      </c>
      <c r="S55" s="7">
        <f>IF($U55="","",L55+O55)</f>
        <v/>
      </c>
      <c r="T55" s="7">
        <f>IF($U55="","",S55-Q55-G55)</f>
        <v/>
      </c>
      <c r="U55" s="13">
        <f>IF(ROWS($U$2:$U55)&lt;=MAX('Per Line'!$V$2:$V$3001),MATCH(ROWS($U$2:$U55),'Per Line'!$V$2:$V$3001,0),"")</f>
        <v/>
      </c>
    </row>
    <row r="56">
      <c r="A56">
        <f>IF($U56="","",INDEX('Per Line'!$A$2:$A$3001,$U56)&amp;"")</f>
        <v/>
      </c>
      <c r="B56" s="12" t="n"/>
      <c r="C56">
        <f>IF($U56="","",INDEX('Per Line'!$B$2:$B$3001,$U56)&amp;"")</f>
        <v/>
      </c>
      <c r="D56">
        <f>IF($U56="","",INDEX('Per Line'!$C$2:$C$3001,$U56)&amp;"")</f>
        <v/>
      </c>
      <c r="E56">
        <f>IF($U56="","",INDEX('Per Line'!$D$2:$D$3001,$U56)&amp;"")</f>
        <v/>
      </c>
      <c r="F56">
        <f>IF($U56="","",INDEX('Per Line'!$E$2:$E$3001,$U56))</f>
        <v/>
      </c>
      <c r="G56" s="7">
        <f>IF($U56="","",F56*S56/100)</f>
        <v/>
      </c>
      <c r="H56">
        <f>IF($U56="","",INDEX('Per Line'!$O$2:$O$3001,$U56)&amp;"")</f>
        <v/>
      </c>
      <c r="I56" s="11">
        <f>IF($U56="","",INDEX('Per Line'!$Q$2:$Q$3001,$U56))</f>
        <v/>
      </c>
      <c r="J56">
        <f>IF($U56="","",INDEX('Per Line'!$R$2:$R$3001,$U56)&amp;"")</f>
        <v/>
      </c>
      <c r="K56">
        <f>IF($U56="","",Settings!$C$7)</f>
        <v/>
      </c>
      <c r="L56" s="7">
        <f>IF($U56="","",SUMIFS('Per Line'!$N$2:$N$3001,'Per Line'!$A$2:$A$3001,$A56,'Per Line'!$W$2:$W$3001,0))</f>
        <v/>
      </c>
      <c r="M56" s="7">
        <f>IF($U56="","",L56*K56)</f>
        <v/>
      </c>
      <c r="N56">
        <f>IF($U56="","",Settings!$C$6)</f>
        <v/>
      </c>
      <c r="O56" s="7">
        <f>IF($U56="","",SUMIFS('Per Line'!$N$2:$N$3001,'Per Line'!$A$2:$A$3001,$A56,'Per Line'!$W$2:$W$3001,1))</f>
        <v/>
      </c>
      <c r="P56" s="7">
        <f>IF($U56="","",O56*N56)</f>
        <v/>
      </c>
      <c r="Q56" s="7">
        <f>IF($U56="","",P56+M56)</f>
        <v/>
      </c>
      <c r="R56" s="7">
        <f>IF($U56="","",S56-Q56)</f>
        <v/>
      </c>
      <c r="S56" s="7">
        <f>IF($U56="","",L56+O56)</f>
        <v/>
      </c>
      <c r="T56" s="7">
        <f>IF($U56="","",S56-Q56-G56)</f>
        <v/>
      </c>
      <c r="U56" s="13">
        <f>IF(ROWS($U$2:$U56)&lt;=MAX('Per Line'!$V$2:$V$3001),MATCH(ROWS($U$2:$U56),'Per Line'!$V$2:$V$3001,0),"")</f>
        <v/>
      </c>
    </row>
    <row r="57">
      <c r="A57">
        <f>IF($U57="","",INDEX('Per Line'!$A$2:$A$3001,$U57)&amp;"")</f>
        <v/>
      </c>
      <c r="B57" s="12" t="n"/>
      <c r="C57">
        <f>IF($U57="","",INDEX('Per Line'!$B$2:$B$3001,$U57)&amp;"")</f>
        <v/>
      </c>
      <c r="D57">
        <f>IF($U57="","",INDEX('Per Line'!$C$2:$C$3001,$U57)&amp;"")</f>
        <v/>
      </c>
      <c r="E57">
        <f>IF($U57="","",INDEX('Per Line'!$D$2:$D$3001,$U57)&amp;"")</f>
        <v/>
      </c>
      <c r="F57">
        <f>IF($U57="","",INDEX('Per Line'!$E$2:$E$3001,$U57))</f>
        <v/>
      </c>
      <c r="G57" s="7">
        <f>IF($U57="","",F57*S57/100)</f>
        <v/>
      </c>
      <c r="H57">
        <f>IF($U57="","",INDEX('Per Line'!$O$2:$O$3001,$U57)&amp;"")</f>
        <v/>
      </c>
      <c r="I57" s="11">
        <f>IF($U57="","",INDEX('Per Line'!$Q$2:$Q$3001,$U57))</f>
        <v/>
      </c>
      <c r="J57">
        <f>IF($U57="","",INDEX('Per Line'!$R$2:$R$3001,$U57)&amp;"")</f>
        <v/>
      </c>
      <c r="K57">
        <f>IF($U57="","",Settings!$C$7)</f>
        <v/>
      </c>
      <c r="L57" s="7">
        <f>IF($U57="","",SUMIFS('Per Line'!$N$2:$N$3001,'Per Line'!$A$2:$A$3001,$A57,'Per Line'!$W$2:$W$3001,0))</f>
        <v/>
      </c>
      <c r="M57" s="7">
        <f>IF($U57="","",L57*K57)</f>
        <v/>
      </c>
      <c r="N57">
        <f>IF($U57="","",Settings!$C$6)</f>
        <v/>
      </c>
      <c r="O57" s="7">
        <f>IF($U57="","",SUMIFS('Per Line'!$N$2:$N$3001,'Per Line'!$A$2:$A$3001,$A57,'Per Line'!$W$2:$W$3001,1))</f>
        <v/>
      </c>
      <c r="P57" s="7">
        <f>IF($U57="","",O57*N57)</f>
        <v/>
      </c>
      <c r="Q57" s="7">
        <f>IF($U57="","",P57+M57)</f>
        <v/>
      </c>
      <c r="R57" s="7">
        <f>IF($U57="","",S57-Q57)</f>
        <v/>
      </c>
      <c r="S57" s="7">
        <f>IF($U57="","",L57+O57)</f>
        <v/>
      </c>
      <c r="T57" s="7">
        <f>IF($U57="","",S57-Q57-G57)</f>
        <v/>
      </c>
      <c r="U57" s="13">
        <f>IF(ROWS($U$2:$U57)&lt;=MAX('Per Line'!$V$2:$V$3001),MATCH(ROWS($U$2:$U57),'Per Line'!$V$2:$V$3001,0),"")</f>
        <v/>
      </c>
    </row>
    <row r="58">
      <c r="A58">
        <f>IF($U58="","",INDEX('Per Line'!$A$2:$A$3001,$U58)&amp;"")</f>
        <v/>
      </c>
      <c r="B58" s="12" t="n"/>
      <c r="C58">
        <f>IF($U58="","",INDEX('Per Line'!$B$2:$B$3001,$U58)&amp;"")</f>
        <v/>
      </c>
      <c r="D58">
        <f>IF($U58="","",INDEX('Per Line'!$C$2:$C$3001,$U58)&amp;"")</f>
        <v/>
      </c>
      <c r="E58">
        <f>IF($U58="","",INDEX('Per Line'!$D$2:$D$3001,$U58)&amp;"")</f>
        <v/>
      </c>
      <c r="F58">
        <f>IF($U58="","",INDEX('Per Line'!$E$2:$E$3001,$U58))</f>
        <v/>
      </c>
      <c r="G58" s="7">
        <f>IF($U58="","",F58*S58/100)</f>
        <v/>
      </c>
      <c r="H58">
        <f>IF($U58="","",INDEX('Per Line'!$O$2:$O$3001,$U58)&amp;"")</f>
        <v/>
      </c>
      <c r="I58" s="11">
        <f>IF($U58="","",INDEX('Per Line'!$Q$2:$Q$3001,$U58))</f>
        <v/>
      </c>
      <c r="J58">
        <f>IF($U58="","",INDEX('Per Line'!$R$2:$R$3001,$U58)&amp;"")</f>
        <v/>
      </c>
      <c r="K58">
        <f>IF($U58="","",Settings!$C$7)</f>
        <v/>
      </c>
      <c r="L58" s="7">
        <f>IF($U58="","",SUMIFS('Per Line'!$N$2:$N$3001,'Per Line'!$A$2:$A$3001,$A58,'Per Line'!$W$2:$W$3001,0))</f>
        <v/>
      </c>
      <c r="M58" s="7">
        <f>IF($U58="","",L58*K58)</f>
        <v/>
      </c>
      <c r="N58">
        <f>IF($U58="","",Settings!$C$6)</f>
        <v/>
      </c>
      <c r="O58" s="7">
        <f>IF($U58="","",SUMIFS('Per Line'!$N$2:$N$3001,'Per Line'!$A$2:$A$3001,$A58,'Per Line'!$W$2:$W$3001,1))</f>
        <v/>
      </c>
      <c r="P58" s="7">
        <f>IF($U58="","",O58*N58)</f>
        <v/>
      </c>
      <c r="Q58" s="7">
        <f>IF($U58="","",P58+M58)</f>
        <v/>
      </c>
      <c r="R58" s="7">
        <f>IF($U58="","",S58-Q58)</f>
        <v/>
      </c>
      <c r="S58" s="7">
        <f>IF($U58="","",L58+O58)</f>
        <v/>
      </c>
      <c r="T58" s="7">
        <f>IF($U58="","",S58-Q58-G58)</f>
        <v/>
      </c>
      <c r="U58" s="13">
        <f>IF(ROWS($U$2:$U58)&lt;=MAX('Per Line'!$V$2:$V$3001),MATCH(ROWS($U$2:$U58),'Per Line'!$V$2:$V$3001,0),"")</f>
        <v/>
      </c>
    </row>
    <row r="59">
      <c r="A59">
        <f>IF($U59="","",INDEX('Per Line'!$A$2:$A$3001,$U59)&amp;"")</f>
        <v/>
      </c>
      <c r="B59" s="12" t="n"/>
      <c r="C59">
        <f>IF($U59="","",INDEX('Per Line'!$B$2:$B$3001,$U59)&amp;"")</f>
        <v/>
      </c>
      <c r="D59">
        <f>IF($U59="","",INDEX('Per Line'!$C$2:$C$3001,$U59)&amp;"")</f>
        <v/>
      </c>
      <c r="E59">
        <f>IF($U59="","",INDEX('Per Line'!$D$2:$D$3001,$U59)&amp;"")</f>
        <v/>
      </c>
      <c r="F59">
        <f>IF($U59="","",INDEX('Per Line'!$E$2:$E$3001,$U59))</f>
        <v/>
      </c>
      <c r="G59" s="7">
        <f>IF($U59="","",F59*S59/100)</f>
        <v/>
      </c>
      <c r="H59">
        <f>IF($U59="","",INDEX('Per Line'!$O$2:$O$3001,$U59)&amp;"")</f>
        <v/>
      </c>
      <c r="I59" s="11">
        <f>IF($U59="","",INDEX('Per Line'!$Q$2:$Q$3001,$U59))</f>
        <v/>
      </c>
      <c r="J59">
        <f>IF($U59="","",INDEX('Per Line'!$R$2:$R$3001,$U59)&amp;"")</f>
        <v/>
      </c>
      <c r="K59">
        <f>IF($U59="","",Settings!$C$7)</f>
        <v/>
      </c>
      <c r="L59" s="7">
        <f>IF($U59="","",SUMIFS('Per Line'!$N$2:$N$3001,'Per Line'!$A$2:$A$3001,$A59,'Per Line'!$W$2:$W$3001,0))</f>
        <v/>
      </c>
      <c r="M59" s="7">
        <f>IF($U59="","",L59*K59)</f>
        <v/>
      </c>
      <c r="N59">
        <f>IF($U59="","",Settings!$C$6)</f>
        <v/>
      </c>
      <c r="O59" s="7">
        <f>IF($U59="","",SUMIFS('Per Line'!$N$2:$N$3001,'Per Line'!$A$2:$A$3001,$A59,'Per Line'!$W$2:$W$3001,1))</f>
        <v/>
      </c>
      <c r="P59" s="7">
        <f>IF($U59="","",O59*N59)</f>
        <v/>
      </c>
      <c r="Q59" s="7">
        <f>IF($U59="","",P59+M59)</f>
        <v/>
      </c>
      <c r="R59" s="7">
        <f>IF($U59="","",S59-Q59)</f>
        <v/>
      </c>
      <c r="S59" s="7">
        <f>IF($U59="","",L59+O59)</f>
        <v/>
      </c>
      <c r="T59" s="7">
        <f>IF($U59="","",S59-Q59-G59)</f>
        <v/>
      </c>
      <c r="U59" s="13">
        <f>IF(ROWS($U$2:$U59)&lt;=MAX('Per Line'!$V$2:$V$3001),MATCH(ROWS($U$2:$U59),'Per Line'!$V$2:$V$3001,0),"")</f>
        <v/>
      </c>
    </row>
    <row r="60">
      <c r="A60">
        <f>IF($U60="","",INDEX('Per Line'!$A$2:$A$3001,$U60)&amp;"")</f>
        <v/>
      </c>
      <c r="B60" s="12" t="n"/>
      <c r="C60">
        <f>IF($U60="","",INDEX('Per Line'!$B$2:$B$3001,$U60)&amp;"")</f>
        <v/>
      </c>
      <c r="D60">
        <f>IF($U60="","",INDEX('Per Line'!$C$2:$C$3001,$U60)&amp;"")</f>
        <v/>
      </c>
      <c r="E60">
        <f>IF($U60="","",INDEX('Per Line'!$D$2:$D$3001,$U60)&amp;"")</f>
        <v/>
      </c>
      <c r="F60">
        <f>IF($U60="","",INDEX('Per Line'!$E$2:$E$3001,$U60))</f>
        <v/>
      </c>
      <c r="G60" s="7">
        <f>IF($U60="","",F60*S60/100)</f>
        <v/>
      </c>
      <c r="H60">
        <f>IF($U60="","",INDEX('Per Line'!$O$2:$O$3001,$U60)&amp;"")</f>
        <v/>
      </c>
      <c r="I60" s="11">
        <f>IF($U60="","",INDEX('Per Line'!$Q$2:$Q$3001,$U60))</f>
        <v/>
      </c>
      <c r="J60">
        <f>IF($U60="","",INDEX('Per Line'!$R$2:$R$3001,$U60)&amp;"")</f>
        <v/>
      </c>
      <c r="K60">
        <f>IF($U60="","",Settings!$C$7)</f>
        <v/>
      </c>
      <c r="L60" s="7">
        <f>IF($U60="","",SUMIFS('Per Line'!$N$2:$N$3001,'Per Line'!$A$2:$A$3001,$A60,'Per Line'!$W$2:$W$3001,0))</f>
        <v/>
      </c>
      <c r="M60" s="7">
        <f>IF($U60="","",L60*K60)</f>
        <v/>
      </c>
      <c r="N60">
        <f>IF($U60="","",Settings!$C$6)</f>
        <v/>
      </c>
      <c r="O60" s="7">
        <f>IF($U60="","",SUMIFS('Per Line'!$N$2:$N$3001,'Per Line'!$A$2:$A$3001,$A60,'Per Line'!$W$2:$W$3001,1))</f>
        <v/>
      </c>
      <c r="P60" s="7">
        <f>IF($U60="","",O60*N60)</f>
        <v/>
      </c>
      <c r="Q60" s="7">
        <f>IF($U60="","",P60+M60)</f>
        <v/>
      </c>
      <c r="R60" s="7">
        <f>IF($U60="","",S60-Q60)</f>
        <v/>
      </c>
      <c r="S60" s="7">
        <f>IF($U60="","",L60+O60)</f>
        <v/>
      </c>
      <c r="T60" s="7">
        <f>IF($U60="","",S60-Q60-G60)</f>
        <v/>
      </c>
      <c r="U60" s="13">
        <f>IF(ROWS($U$2:$U60)&lt;=MAX('Per Line'!$V$2:$V$3001),MATCH(ROWS($U$2:$U60),'Per Line'!$V$2:$V$3001,0),"")</f>
        <v/>
      </c>
    </row>
    <row r="61">
      <c r="A61">
        <f>IF($U61="","",INDEX('Per Line'!$A$2:$A$3001,$U61)&amp;"")</f>
        <v/>
      </c>
      <c r="B61" s="12" t="n"/>
      <c r="C61">
        <f>IF($U61="","",INDEX('Per Line'!$B$2:$B$3001,$U61)&amp;"")</f>
        <v/>
      </c>
      <c r="D61">
        <f>IF($U61="","",INDEX('Per Line'!$C$2:$C$3001,$U61)&amp;"")</f>
        <v/>
      </c>
      <c r="E61">
        <f>IF($U61="","",INDEX('Per Line'!$D$2:$D$3001,$U61)&amp;"")</f>
        <v/>
      </c>
      <c r="F61">
        <f>IF($U61="","",INDEX('Per Line'!$E$2:$E$3001,$U61))</f>
        <v/>
      </c>
      <c r="G61" s="7">
        <f>IF($U61="","",F61*S61/100)</f>
        <v/>
      </c>
      <c r="H61">
        <f>IF($U61="","",INDEX('Per Line'!$O$2:$O$3001,$U61)&amp;"")</f>
        <v/>
      </c>
      <c r="I61" s="11">
        <f>IF($U61="","",INDEX('Per Line'!$Q$2:$Q$3001,$U61))</f>
        <v/>
      </c>
      <c r="J61">
        <f>IF($U61="","",INDEX('Per Line'!$R$2:$R$3001,$U61)&amp;"")</f>
        <v/>
      </c>
      <c r="K61">
        <f>IF($U61="","",Settings!$C$7)</f>
        <v/>
      </c>
      <c r="L61" s="7">
        <f>IF($U61="","",SUMIFS('Per Line'!$N$2:$N$3001,'Per Line'!$A$2:$A$3001,$A61,'Per Line'!$W$2:$W$3001,0))</f>
        <v/>
      </c>
      <c r="M61" s="7">
        <f>IF($U61="","",L61*K61)</f>
        <v/>
      </c>
      <c r="N61">
        <f>IF($U61="","",Settings!$C$6)</f>
        <v/>
      </c>
      <c r="O61" s="7">
        <f>IF($U61="","",SUMIFS('Per Line'!$N$2:$N$3001,'Per Line'!$A$2:$A$3001,$A61,'Per Line'!$W$2:$W$3001,1))</f>
        <v/>
      </c>
      <c r="P61" s="7">
        <f>IF($U61="","",O61*N61)</f>
        <v/>
      </c>
      <c r="Q61" s="7">
        <f>IF($U61="","",P61+M61)</f>
        <v/>
      </c>
      <c r="R61" s="7">
        <f>IF($U61="","",S61-Q61)</f>
        <v/>
      </c>
      <c r="S61" s="7">
        <f>IF($U61="","",L61+O61)</f>
        <v/>
      </c>
      <c r="T61" s="7">
        <f>IF($U61="","",S61-Q61-G61)</f>
        <v/>
      </c>
      <c r="U61" s="13">
        <f>IF(ROWS($U$2:$U61)&lt;=MAX('Per Line'!$V$2:$V$3001),MATCH(ROWS($U$2:$U61),'Per Line'!$V$2:$V$3001,0),"")</f>
        <v/>
      </c>
    </row>
    <row r="62">
      <c r="A62">
        <f>IF($U62="","",INDEX('Per Line'!$A$2:$A$3001,$U62)&amp;"")</f>
        <v/>
      </c>
      <c r="B62" s="12" t="n"/>
      <c r="C62">
        <f>IF($U62="","",INDEX('Per Line'!$B$2:$B$3001,$U62)&amp;"")</f>
        <v/>
      </c>
      <c r="D62">
        <f>IF($U62="","",INDEX('Per Line'!$C$2:$C$3001,$U62)&amp;"")</f>
        <v/>
      </c>
      <c r="E62">
        <f>IF($U62="","",INDEX('Per Line'!$D$2:$D$3001,$U62)&amp;"")</f>
        <v/>
      </c>
      <c r="F62">
        <f>IF($U62="","",INDEX('Per Line'!$E$2:$E$3001,$U62))</f>
        <v/>
      </c>
      <c r="G62" s="7">
        <f>IF($U62="","",F62*S62/100)</f>
        <v/>
      </c>
      <c r="H62">
        <f>IF($U62="","",INDEX('Per Line'!$O$2:$O$3001,$U62)&amp;"")</f>
        <v/>
      </c>
      <c r="I62" s="11">
        <f>IF($U62="","",INDEX('Per Line'!$Q$2:$Q$3001,$U62))</f>
        <v/>
      </c>
      <c r="J62">
        <f>IF($U62="","",INDEX('Per Line'!$R$2:$R$3001,$U62)&amp;"")</f>
        <v/>
      </c>
      <c r="K62">
        <f>IF($U62="","",Settings!$C$7)</f>
        <v/>
      </c>
      <c r="L62" s="7">
        <f>IF($U62="","",SUMIFS('Per Line'!$N$2:$N$3001,'Per Line'!$A$2:$A$3001,$A62,'Per Line'!$W$2:$W$3001,0))</f>
        <v/>
      </c>
      <c r="M62" s="7">
        <f>IF($U62="","",L62*K62)</f>
        <v/>
      </c>
      <c r="N62">
        <f>IF($U62="","",Settings!$C$6)</f>
        <v/>
      </c>
      <c r="O62" s="7">
        <f>IF($U62="","",SUMIFS('Per Line'!$N$2:$N$3001,'Per Line'!$A$2:$A$3001,$A62,'Per Line'!$W$2:$W$3001,1))</f>
        <v/>
      </c>
      <c r="P62" s="7">
        <f>IF($U62="","",O62*N62)</f>
        <v/>
      </c>
      <c r="Q62" s="7">
        <f>IF($U62="","",P62+M62)</f>
        <v/>
      </c>
      <c r="R62" s="7">
        <f>IF($U62="","",S62-Q62)</f>
        <v/>
      </c>
      <c r="S62" s="7">
        <f>IF($U62="","",L62+O62)</f>
        <v/>
      </c>
      <c r="T62" s="7">
        <f>IF($U62="","",S62-Q62-G62)</f>
        <v/>
      </c>
      <c r="U62" s="13">
        <f>IF(ROWS($U$2:$U62)&lt;=MAX('Per Line'!$V$2:$V$3001),MATCH(ROWS($U$2:$U62),'Per Line'!$V$2:$V$3001,0),"")</f>
        <v/>
      </c>
    </row>
    <row r="63">
      <c r="A63">
        <f>IF($U63="","",INDEX('Per Line'!$A$2:$A$3001,$U63)&amp;"")</f>
        <v/>
      </c>
      <c r="B63" s="12" t="n"/>
      <c r="C63">
        <f>IF($U63="","",INDEX('Per Line'!$B$2:$B$3001,$U63)&amp;"")</f>
        <v/>
      </c>
      <c r="D63">
        <f>IF($U63="","",INDEX('Per Line'!$C$2:$C$3001,$U63)&amp;"")</f>
        <v/>
      </c>
      <c r="E63">
        <f>IF($U63="","",INDEX('Per Line'!$D$2:$D$3001,$U63)&amp;"")</f>
        <v/>
      </c>
      <c r="F63">
        <f>IF($U63="","",INDEX('Per Line'!$E$2:$E$3001,$U63))</f>
        <v/>
      </c>
      <c r="G63" s="7">
        <f>IF($U63="","",F63*S63/100)</f>
        <v/>
      </c>
      <c r="H63">
        <f>IF($U63="","",INDEX('Per Line'!$O$2:$O$3001,$U63)&amp;"")</f>
        <v/>
      </c>
      <c r="I63" s="11">
        <f>IF($U63="","",INDEX('Per Line'!$Q$2:$Q$3001,$U63))</f>
        <v/>
      </c>
      <c r="J63">
        <f>IF($U63="","",INDEX('Per Line'!$R$2:$R$3001,$U63)&amp;"")</f>
        <v/>
      </c>
      <c r="K63">
        <f>IF($U63="","",Settings!$C$7)</f>
        <v/>
      </c>
      <c r="L63" s="7">
        <f>IF($U63="","",SUMIFS('Per Line'!$N$2:$N$3001,'Per Line'!$A$2:$A$3001,$A63,'Per Line'!$W$2:$W$3001,0))</f>
        <v/>
      </c>
      <c r="M63" s="7">
        <f>IF($U63="","",L63*K63)</f>
        <v/>
      </c>
      <c r="N63">
        <f>IF($U63="","",Settings!$C$6)</f>
        <v/>
      </c>
      <c r="O63" s="7">
        <f>IF($U63="","",SUMIFS('Per Line'!$N$2:$N$3001,'Per Line'!$A$2:$A$3001,$A63,'Per Line'!$W$2:$W$3001,1))</f>
        <v/>
      </c>
      <c r="P63" s="7">
        <f>IF($U63="","",O63*N63)</f>
        <v/>
      </c>
      <c r="Q63" s="7">
        <f>IF($U63="","",P63+M63)</f>
        <v/>
      </c>
      <c r="R63" s="7">
        <f>IF($U63="","",S63-Q63)</f>
        <v/>
      </c>
      <c r="S63" s="7">
        <f>IF($U63="","",L63+O63)</f>
        <v/>
      </c>
      <c r="T63" s="7">
        <f>IF($U63="","",S63-Q63-G63)</f>
        <v/>
      </c>
      <c r="U63" s="13">
        <f>IF(ROWS($U$2:$U63)&lt;=MAX('Per Line'!$V$2:$V$3001),MATCH(ROWS($U$2:$U63),'Per Line'!$V$2:$V$3001,0),"")</f>
        <v/>
      </c>
    </row>
    <row r="64">
      <c r="A64">
        <f>IF($U64="","",INDEX('Per Line'!$A$2:$A$3001,$U64)&amp;"")</f>
        <v/>
      </c>
      <c r="B64" s="12" t="n"/>
      <c r="C64">
        <f>IF($U64="","",INDEX('Per Line'!$B$2:$B$3001,$U64)&amp;"")</f>
        <v/>
      </c>
      <c r="D64">
        <f>IF($U64="","",INDEX('Per Line'!$C$2:$C$3001,$U64)&amp;"")</f>
        <v/>
      </c>
      <c r="E64">
        <f>IF($U64="","",INDEX('Per Line'!$D$2:$D$3001,$U64)&amp;"")</f>
        <v/>
      </c>
      <c r="F64">
        <f>IF($U64="","",INDEX('Per Line'!$E$2:$E$3001,$U64))</f>
        <v/>
      </c>
      <c r="G64" s="7">
        <f>IF($U64="","",F64*S64/100)</f>
        <v/>
      </c>
      <c r="H64">
        <f>IF($U64="","",INDEX('Per Line'!$O$2:$O$3001,$U64)&amp;"")</f>
        <v/>
      </c>
      <c r="I64" s="11">
        <f>IF($U64="","",INDEX('Per Line'!$Q$2:$Q$3001,$U64))</f>
        <v/>
      </c>
      <c r="J64">
        <f>IF($U64="","",INDEX('Per Line'!$R$2:$R$3001,$U64)&amp;"")</f>
        <v/>
      </c>
      <c r="K64">
        <f>IF($U64="","",Settings!$C$7)</f>
        <v/>
      </c>
      <c r="L64" s="7">
        <f>IF($U64="","",SUMIFS('Per Line'!$N$2:$N$3001,'Per Line'!$A$2:$A$3001,$A64,'Per Line'!$W$2:$W$3001,0))</f>
        <v/>
      </c>
      <c r="M64" s="7">
        <f>IF($U64="","",L64*K64)</f>
        <v/>
      </c>
      <c r="N64">
        <f>IF($U64="","",Settings!$C$6)</f>
        <v/>
      </c>
      <c r="O64" s="7">
        <f>IF($U64="","",SUMIFS('Per Line'!$N$2:$N$3001,'Per Line'!$A$2:$A$3001,$A64,'Per Line'!$W$2:$W$3001,1))</f>
        <v/>
      </c>
      <c r="P64" s="7">
        <f>IF($U64="","",O64*N64)</f>
        <v/>
      </c>
      <c r="Q64" s="7">
        <f>IF($U64="","",P64+M64)</f>
        <v/>
      </c>
      <c r="R64" s="7">
        <f>IF($U64="","",S64-Q64)</f>
        <v/>
      </c>
      <c r="S64" s="7">
        <f>IF($U64="","",L64+O64)</f>
        <v/>
      </c>
      <c r="T64" s="7">
        <f>IF($U64="","",S64-Q64-G64)</f>
        <v/>
      </c>
      <c r="U64" s="13">
        <f>IF(ROWS($U$2:$U64)&lt;=MAX('Per Line'!$V$2:$V$3001),MATCH(ROWS($U$2:$U64),'Per Line'!$V$2:$V$3001,0),"")</f>
        <v/>
      </c>
    </row>
    <row r="65">
      <c r="A65">
        <f>IF($U65="","",INDEX('Per Line'!$A$2:$A$3001,$U65)&amp;"")</f>
        <v/>
      </c>
      <c r="B65" s="12" t="n"/>
      <c r="C65">
        <f>IF($U65="","",INDEX('Per Line'!$B$2:$B$3001,$U65)&amp;"")</f>
        <v/>
      </c>
      <c r="D65">
        <f>IF($U65="","",INDEX('Per Line'!$C$2:$C$3001,$U65)&amp;"")</f>
        <v/>
      </c>
      <c r="E65">
        <f>IF($U65="","",INDEX('Per Line'!$D$2:$D$3001,$U65)&amp;"")</f>
        <v/>
      </c>
      <c r="F65">
        <f>IF($U65="","",INDEX('Per Line'!$E$2:$E$3001,$U65))</f>
        <v/>
      </c>
      <c r="G65" s="7">
        <f>IF($U65="","",F65*S65/100)</f>
        <v/>
      </c>
      <c r="H65">
        <f>IF($U65="","",INDEX('Per Line'!$O$2:$O$3001,$U65)&amp;"")</f>
        <v/>
      </c>
      <c r="I65" s="11">
        <f>IF($U65="","",INDEX('Per Line'!$Q$2:$Q$3001,$U65))</f>
        <v/>
      </c>
      <c r="J65">
        <f>IF($U65="","",INDEX('Per Line'!$R$2:$R$3001,$U65)&amp;"")</f>
        <v/>
      </c>
      <c r="K65">
        <f>IF($U65="","",Settings!$C$7)</f>
        <v/>
      </c>
      <c r="L65" s="7">
        <f>IF($U65="","",SUMIFS('Per Line'!$N$2:$N$3001,'Per Line'!$A$2:$A$3001,$A65,'Per Line'!$W$2:$W$3001,0))</f>
        <v/>
      </c>
      <c r="M65" s="7">
        <f>IF($U65="","",L65*K65)</f>
        <v/>
      </c>
      <c r="N65">
        <f>IF($U65="","",Settings!$C$6)</f>
        <v/>
      </c>
      <c r="O65" s="7">
        <f>IF($U65="","",SUMIFS('Per Line'!$N$2:$N$3001,'Per Line'!$A$2:$A$3001,$A65,'Per Line'!$W$2:$W$3001,1))</f>
        <v/>
      </c>
      <c r="P65" s="7">
        <f>IF($U65="","",O65*N65)</f>
        <v/>
      </c>
      <c r="Q65" s="7">
        <f>IF($U65="","",P65+M65)</f>
        <v/>
      </c>
      <c r="R65" s="7">
        <f>IF($U65="","",S65-Q65)</f>
        <v/>
      </c>
      <c r="S65" s="7">
        <f>IF($U65="","",L65+O65)</f>
        <v/>
      </c>
      <c r="T65" s="7">
        <f>IF($U65="","",S65-Q65-G65)</f>
        <v/>
      </c>
      <c r="U65" s="13">
        <f>IF(ROWS($U$2:$U65)&lt;=MAX('Per Line'!$V$2:$V$3001),MATCH(ROWS($U$2:$U65),'Per Line'!$V$2:$V$3001,0),"")</f>
        <v/>
      </c>
    </row>
    <row r="66">
      <c r="A66">
        <f>IF($U66="","",INDEX('Per Line'!$A$2:$A$3001,$U66)&amp;"")</f>
        <v/>
      </c>
      <c r="B66" s="12" t="n"/>
      <c r="C66">
        <f>IF($U66="","",INDEX('Per Line'!$B$2:$B$3001,$U66)&amp;"")</f>
        <v/>
      </c>
      <c r="D66">
        <f>IF($U66="","",INDEX('Per Line'!$C$2:$C$3001,$U66)&amp;"")</f>
        <v/>
      </c>
      <c r="E66">
        <f>IF($U66="","",INDEX('Per Line'!$D$2:$D$3001,$U66)&amp;"")</f>
        <v/>
      </c>
      <c r="F66">
        <f>IF($U66="","",INDEX('Per Line'!$E$2:$E$3001,$U66))</f>
        <v/>
      </c>
      <c r="G66" s="7">
        <f>IF($U66="","",F66*S66/100)</f>
        <v/>
      </c>
      <c r="H66">
        <f>IF($U66="","",INDEX('Per Line'!$O$2:$O$3001,$U66)&amp;"")</f>
        <v/>
      </c>
      <c r="I66" s="11">
        <f>IF($U66="","",INDEX('Per Line'!$Q$2:$Q$3001,$U66))</f>
        <v/>
      </c>
      <c r="J66">
        <f>IF($U66="","",INDEX('Per Line'!$R$2:$R$3001,$U66)&amp;"")</f>
        <v/>
      </c>
      <c r="K66">
        <f>IF($U66="","",Settings!$C$7)</f>
        <v/>
      </c>
      <c r="L66" s="7">
        <f>IF($U66="","",SUMIFS('Per Line'!$N$2:$N$3001,'Per Line'!$A$2:$A$3001,$A66,'Per Line'!$W$2:$W$3001,0))</f>
        <v/>
      </c>
      <c r="M66" s="7">
        <f>IF($U66="","",L66*K66)</f>
        <v/>
      </c>
      <c r="N66">
        <f>IF($U66="","",Settings!$C$6)</f>
        <v/>
      </c>
      <c r="O66" s="7">
        <f>IF($U66="","",SUMIFS('Per Line'!$N$2:$N$3001,'Per Line'!$A$2:$A$3001,$A66,'Per Line'!$W$2:$W$3001,1))</f>
        <v/>
      </c>
      <c r="P66" s="7">
        <f>IF($U66="","",O66*N66)</f>
        <v/>
      </c>
      <c r="Q66" s="7">
        <f>IF($U66="","",P66+M66)</f>
        <v/>
      </c>
      <c r="R66" s="7">
        <f>IF($U66="","",S66-Q66)</f>
        <v/>
      </c>
      <c r="S66" s="7">
        <f>IF($U66="","",L66+O66)</f>
        <v/>
      </c>
      <c r="T66" s="7">
        <f>IF($U66="","",S66-Q66-G66)</f>
        <v/>
      </c>
      <c r="U66" s="13">
        <f>IF(ROWS($U$2:$U66)&lt;=MAX('Per Line'!$V$2:$V$3001),MATCH(ROWS($U$2:$U66),'Per Line'!$V$2:$V$3001,0),"")</f>
        <v/>
      </c>
    </row>
    <row r="67">
      <c r="A67">
        <f>IF($U67="","",INDEX('Per Line'!$A$2:$A$3001,$U67)&amp;"")</f>
        <v/>
      </c>
      <c r="B67" s="12" t="n"/>
      <c r="C67">
        <f>IF($U67="","",INDEX('Per Line'!$B$2:$B$3001,$U67)&amp;"")</f>
        <v/>
      </c>
      <c r="D67">
        <f>IF($U67="","",INDEX('Per Line'!$C$2:$C$3001,$U67)&amp;"")</f>
        <v/>
      </c>
      <c r="E67">
        <f>IF($U67="","",INDEX('Per Line'!$D$2:$D$3001,$U67)&amp;"")</f>
        <v/>
      </c>
      <c r="F67">
        <f>IF($U67="","",INDEX('Per Line'!$E$2:$E$3001,$U67))</f>
        <v/>
      </c>
      <c r="G67" s="7">
        <f>IF($U67="","",F67*S67/100)</f>
        <v/>
      </c>
      <c r="H67">
        <f>IF($U67="","",INDEX('Per Line'!$O$2:$O$3001,$U67)&amp;"")</f>
        <v/>
      </c>
      <c r="I67" s="11">
        <f>IF($U67="","",INDEX('Per Line'!$Q$2:$Q$3001,$U67))</f>
        <v/>
      </c>
      <c r="J67">
        <f>IF($U67="","",INDEX('Per Line'!$R$2:$R$3001,$U67)&amp;"")</f>
        <v/>
      </c>
      <c r="K67">
        <f>IF($U67="","",Settings!$C$7)</f>
        <v/>
      </c>
      <c r="L67" s="7">
        <f>IF($U67="","",SUMIFS('Per Line'!$N$2:$N$3001,'Per Line'!$A$2:$A$3001,$A67,'Per Line'!$W$2:$W$3001,0))</f>
        <v/>
      </c>
      <c r="M67" s="7">
        <f>IF($U67="","",L67*K67)</f>
        <v/>
      </c>
      <c r="N67">
        <f>IF($U67="","",Settings!$C$6)</f>
        <v/>
      </c>
      <c r="O67" s="7">
        <f>IF($U67="","",SUMIFS('Per Line'!$N$2:$N$3001,'Per Line'!$A$2:$A$3001,$A67,'Per Line'!$W$2:$W$3001,1))</f>
        <v/>
      </c>
      <c r="P67" s="7">
        <f>IF($U67="","",O67*N67)</f>
        <v/>
      </c>
      <c r="Q67" s="7">
        <f>IF($U67="","",P67+M67)</f>
        <v/>
      </c>
      <c r="R67" s="7">
        <f>IF($U67="","",S67-Q67)</f>
        <v/>
      </c>
      <c r="S67" s="7">
        <f>IF($U67="","",L67+O67)</f>
        <v/>
      </c>
      <c r="T67" s="7">
        <f>IF($U67="","",S67-Q67-G67)</f>
        <v/>
      </c>
      <c r="U67" s="13">
        <f>IF(ROWS($U$2:$U67)&lt;=MAX('Per Line'!$V$2:$V$3001),MATCH(ROWS($U$2:$U67),'Per Line'!$V$2:$V$3001,0),"")</f>
        <v/>
      </c>
    </row>
    <row r="68">
      <c r="A68">
        <f>IF($U68="","",INDEX('Per Line'!$A$2:$A$3001,$U68)&amp;"")</f>
        <v/>
      </c>
      <c r="B68" s="12" t="n"/>
      <c r="C68">
        <f>IF($U68="","",INDEX('Per Line'!$B$2:$B$3001,$U68)&amp;"")</f>
        <v/>
      </c>
      <c r="D68">
        <f>IF($U68="","",INDEX('Per Line'!$C$2:$C$3001,$U68)&amp;"")</f>
        <v/>
      </c>
      <c r="E68">
        <f>IF($U68="","",INDEX('Per Line'!$D$2:$D$3001,$U68)&amp;"")</f>
        <v/>
      </c>
      <c r="F68">
        <f>IF($U68="","",INDEX('Per Line'!$E$2:$E$3001,$U68))</f>
        <v/>
      </c>
      <c r="G68" s="7">
        <f>IF($U68="","",F68*S68/100)</f>
        <v/>
      </c>
      <c r="H68">
        <f>IF($U68="","",INDEX('Per Line'!$O$2:$O$3001,$U68)&amp;"")</f>
        <v/>
      </c>
      <c r="I68" s="11">
        <f>IF($U68="","",INDEX('Per Line'!$Q$2:$Q$3001,$U68))</f>
        <v/>
      </c>
      <c r="J68">
        <f>IF($U68="","",INDEX('Per Line'!$R$2:$R$3001,$U68)&amp;"")</f>
        <v/>
      </c>
      <c r="K68">
        <f>IF($U68="","",Settings!$C$7)</f>
        <v/>
      </c>
      <c r="L68" s="7">
        <f>IF($U68="","",SUMIFS('Per Line'!$N$2:$N$3001,'Per Line'!$A$2:$A$3001,$A68,'Per Line'!$W$2:$W$3001,0))</f>
        <v/>
      </c>
      <c r="M68" s="7">
        <f>IF($U68="","",L68*K68)</f>
        <v/>
      </c>
      <c r="N68">
        <f>IF($U68="","",Settings!$C$6)</f>
        <v/>
      </c>
      <c r="O68" s="7">
        <f>IF($U68="","",SUMIFS('Per Line'!$N$2:$N$3001,'Per Line'!$A$2:$A$3001,$A68,'Per Line'!$W$2:$W$3001,1))</f>
        <v/>
      </c>
      <c r="P68" s="7">
        <f>IF($U68="","",O68*N68)</f>
        <v/>
      </c>
      <c r="Q68" s="7">
        <f>IF($U68="","",P68+M68)</f>
        <v/>
      </c>
      <c r="R68" s="7">
        <f>IF($U68="","",S68-Q68)</f>
        <v/>
      </c>
      <c r="S68" s="7">
        <f>IF($U68="","",L68+O68)</f>
        <v/>
      </c>
      <c r="T68" s="7">
        <f>IF($U68="","",S68-Q68-G68)</f>
        <v/>
      </c>
      <c r="U68" s="13">
        <f>IF(ROWS($U$2:$U68)&lt;=MAX('Per Line'!$V$2:$V$3001),MATCH(ROWS($U$2:$U68),'Per Line'!$V$2:$V$3001,0),"")</f>
        <v/>
      </c>
    </row>
    <row r="69">
      <c r="A69">
        <f>IF($U69="","",INDEX('Per Line'!$A$2:$A$3001,$U69)&amp;"")</f>
        <v/>
      </c>
      <c r="B69" s="12" t="n"/>
      <c r="C69">
        <f>IF($U69="","",INDEX('Per Line'!$B$2:$B$3001,$U69)&amp;"")</f>
        <v/>
      </c>
      <c r="D69">
        <f>IF($U69="","",INDEX('Per Line'!$C$2:$C$3001,$U69)&amp;"")</f>
        <v/>
      </c>
      <c r="E69">
        <f>IF($U69="","",INDEX('Per Line'!$D$2:$D$3001,$U69)&amp;"")</f>
        <v/>
      </c>
      <c r="F69">
        <f>IF($U69="","",INDEX('Per Line'!$E$2:$E$3001,$U69))</f>
        <v/>
      </c>
      <c r="G69" s="7">
        <f>IF($U69="","",F69*S69/100)</f>
        <v/>
      </c>
      <c r="H69">
        <f>IF($U69="","",INDEX('Per Line'!$O$2:$O$3001,$U69)&amp;"")</f>
        <v/>
      </c>
      <c r="I69" s="11">
        <f>IF($U69="","",INDEX('Per Line'!$Q$2:$Q$3001,$U69))</f>
        <v/>
      </c>
      <c r="J69">
        <f>IF($U69="","",INDEX('Per Line'!$R$2:$R$3001,$U69)&amp;"")</f>
        <v/>
      </c>
      <c r="K69">
        <f>IF($U69="","",Settings!$C$7)</f>
        <v/>
      </c>
      <c r="L69" s="7">
        <f>IF($U69="","",SUMIFS('Per Line'!$N$2:$N$3001,'Per Line'!$A$2:$A$3001,$A69,'Per Line'!$W$2:$W$3001,0))</f>
        <v/>
      </c>
      <c r="M69" s="7">
        <f>IF($U69="","",L69*K69)</f>
        <v/>
      </c>
      <c r="N69">
        <f>IF($U69="","",Settings!$C$6)</f>
        <v/>
      </c>
      <c r="O69" s="7">
        <f>IF($U69="","",SUMIFS('Per Line'!$N$2:$N$3001,'Per Line'!$A$2:$A$3001,$A69,'Per Line'!$W$2:$W$3001,1))</f>
        <v/>
      </c>
      <c r="P69" s="7">
        <f>IF($U69="","",O69*N69)</f>
        <v/>
      </c>
      <c r="Q69" s="7">
        <f>IF($U69="","",P69+M69)</f>
        <v/>
      </c>
      <c r="R69" s="7">
        <f>IF($U69="","",S69-Q69)</f>
        <v/>
      </c>
      <c r="S69" s="7">
        <f>IF($U69="","",L69+O69)</f>
        <v/>
      </c>
      <c r="T69" s="7">
        <f>IF($U69="","",S69-Q69-G69)</f>
        <v/>
      </c>
      <c r="U69" s="13">
        <f>IF(ROWS($U$2:$U69)&lt;=MAX('Per Line'!$V$2:$V$3001),MATCH(ROWS($U$2:$U69),'Per Line'!$V$2:$V$3001,0),"")</f>
        <v/>
      </c>
    </row>
    <row r="70">
      <c r="A70">
        <f>IF($U70="","",INDEX('Per Line'!$A$2:$A$3001,$U70)&amp;"")</f>
        <v/>
      </c>
      <c r="B70" s="12" t="n"/>
      <c r="C70">
        <f>IF($U70="","",INDEX('Per Line'!$B$2:$B$3001,$U70)&amp;"")</f>
        <v/>
      </c>
      <c r="D70">
        <f>IF($U70="","",INDEX('Per Line'!$C$2:$C$3001,$U70)&amp;"")</f>
        <v/>
      </c>
      <c r="E70">
        <f>IF($U70="","",INDEX('Per Line'!$D$2:$D$3001,$U70)&amp;"")</f>
        <v/>
      </c>
      <c r="F70">
        <f>IF($U70="","",INDEX('Per Line'!$E$2:$E$3001,$U70))</f>
        <v/>
      </c>
      <c r="G70" s="7">
        <f>IF($U70="","",F70*S70/100)</f>
        <v/>
      </c>
      <c r="H70">
        <f>IF($U70="","",INDEX('Per Line'!$O$2:$O$3001,$U70)&amp;"")</f>
        <v/>
      </c>
      <c r="I70" s="11">
        <f>IF($U70="","",INDEX('Per Line'!$Q$2:$Q$3001,$U70))</f>
        <v/>
      </c>
      <c r="J70">
        <f>IF($U70="","",INDEX('Per Line'!$R$2:$R$3001,$U70)&amp;"")</f>
        <v/>
      </c>
      <c r="K70">
        <f>IF($U70="","",Settings!$C$7)</f>
        <v/>
      </c>
      <c r="L70" s="7">
        <f>IF($U70="","",SUMIFS('Per Line'!$N$2:$N$3001,'Per Line'!$A$2:$A$3001,$A70,'Per Line'!$W$2:$W$3001,0))</f>
        <v/>
      </c>
      <c r="M70" s="7">
        <f>IF($U70="","",L70*K70)</f>
        <v/>
      </c>
      <c r="N70">
        <f>IF($U70="","",Settings!$C$6)</f>
        <v/>
      </c>
      <c r="O70" s="7">
        <f>IF($U70="","",SUMIFS('Per Line'!$N$2:$N$3001,'Per Line'!$A$2:$A$3001,$A70,'Per Line'!$W$2:$W$3001,1))</f>
        <v/>
      </c>
      <c r="P70" s="7">
        <f>IF($U70="","",O70*N70)</f>
        <v/>
      </c>
      <c r="Q70" s="7">
        <f>IF($U70="","",P70+M70)</f>
        <v/>
      </c>
      <c r="R70" s="7">
        <f>IF($U70="","",S70-Q70)</f>
        <v/>
      </c>
      <c r="S70" s="7">
        <f>IF($U70="","",L70+O70)</f>
        <v/>
      </c>
      <c r="T70" s="7">
        <f>IF($U70="","",S70-Q70-G70)</f>
        <v/>
      </c>
      <c r="U70" s="13">
        <f>IF(ROWS($U$2:$U70)&lt;=MAX('Per Line'!$V$2:$V$3001),MATCH(ROWS($U$2:$U70),'Per Line'!$V$2:$V$3001,0),"")</f>
        <v/>
      </c>
    </row>
    <row r="71">
      <c r="A71">
        <f>IF($U71="","",INDEX('Per Line'!$A$2:$A$3001,$U71)&amp;"")</f>
        <v/>
      </c>
      <c r="B71" s="12" t="n"/>
      <c r="C71">
        <f>IF($U71="","",INDEX('Per Line'!$B$2:$B$3001,$U71)&amp;"")</f>
        <v/>
      </c>
      <c r="D71">
        <f>IF($U71="","",INDEX('Per Line'!$C$2:$C$3001,$U71)&amp;"")</f>
        <v/>
      </c>
      <c r="E71">
        <f>IF($U71="","",INDEX('Per Line'!$D$2:$D$3001,$U71)&amp;"")</f>
        <v/>
      </c>
      <c r="F71">
        <f>IF($U71="","",INDEX('Per Line'!$E$2:$E$3001,$U71))</f>
        <v/>
      </c>
      <c r="G71" s="7">
        <f>IF($U71="","",F71*S71/100)</f>
        <v/>
      </c>
      <c r="H71">
        <f>IF($U71="","",INDEX('Per Line'!$O$2:$O$3001,$U71)&amp;"")</f>
        <v/>
      </c>
      <c r="I71" s="11">
        <f>IF($U71="","",INDEX('Per Line'!$Q$2:$Q$3001,$U71))</f>
        <v/>
      </c>
      <c r="J71">
        <f>IF($U71="","",INDEX('Per Line'!$R$2:$R$3001,$U71)&amp;"")</f>
        <v/>
      </c>
      <c r="K71">
        <f>IF($U71="","",Settings!$C$7)</f>
        <v/>
      </c>
      <c r="L71" s="7">
        <f>IF($U71="","",SUMIFS('Per Line'!$N$2:$N$3001,'Per Line'!$A$2:$A$3001,$A71,'Per Line'!$W$2:$W$3001,0))</f>
        <v/>
      </c>
      <c r="M71" s="7">
        <f>IF($U71="","",L71*K71)</f>
        <v/>
      </c>
      <c r="N71">
        <f>IF($U71="","",Settings!$C$6)</f>
        <v/>
      </c>
      <c r="O71" s="7">
        <f>IF($U71="","",SUMIFS('Per Line'!$N$2:$N$3001,'Per Line'!$A$2:$A$3001,$A71,'Per Line'!$W$2:$W$3001,1))</f>
        <v/>
      </c>
      <c r="P71" s="7">
        <f>IF($U71="","",O71*N71)</f>
        <v/>
      </c>
      <c r="Q71" s="7">
        <f>IF($U71="","",P71+M71)</f>
        <v/>
      </c>
      <c r="R71" s="7">
        <f>IF($U71="","",S71-Q71)</f>
        <v/>
      </c>
      <c r="S71" s="7">
        <f>IF($U71="","",L71+O71)</f>
        <v/>
      </c>
      <c r="T71" s="7">
        <f>IF($U71="","",S71-Q71-G71)</f>
        <v/>
      </c>
      <c r="U71" s="13">
        <f>IF(ROWS($U$2:$U71)&lt;=MAX('Per Line'!$V$2:$V$3001),MATCH(ROWS($U$2:$U71),'Per Line'!$V$2:$V$3001,0),"")</f>
        <v/>
      </c>
    </row>
    <row r="72">
      <c r="A72">
        <f>IF($U72="","",INDEX('Per Line'!$A$2:$A$3001,$U72)&amp;"")</f>
        <v/>
      </c>
      <c r="B72" s="12" t="n"/>
      <c r="C72">
        <f>IF($U72="","",INDEX('Per Line'!$B$2:$B$3001,$U72)&amp;"")</f>
        <v/>
      </c>
      <c r="D72">
        <f>IF($U72="","",INDEX('Per Line'!$C$2:$C$3001,$U72)&amp;"")</f>
        <v/>
      </c>
      <c r="E72">
        <f>IF($U72="","",INDEX('Per Line'!$D$2:$D$3001,$U72)&amp;"")</f>
        <v/>
      </c>
      <c r="F72">
        <f>IF($U72="","",INDEX('Per Line'!$E$2:$E$3001,$U72))</f>
        <v/>
      </c>
      <c r="G72" s="7">
        <f>IF($U72="","",F72*S72/100)</f>
        <v/>
      </c>
      <c r="H72">
        <f>IF($U72="","",INDEX('Per Line'!$O$2:$O$3001,$U72)&amp;"")</f>
        <v/>
      </c>
      <c r="I72" s="11">
        <f>IF($U72="","",INDEX('Per Line'!$Q$2:$Q$3001,$U72))</f>
        <v/>
      </c>
      <c r="J72">
        <f>IF($U72="","",INDEX('Per Line'!$R$2:$R$3001,$U72)&amp;"")</f>
        <v/>
      </c>
      <c r="K72">
        <f>IF($U72="","",Settings!$C$7)</f>
        <v/>
      </c>
      <c r="L72" s="7">
        <f>IF($U72="","",SUMIFS('Per Line'!$N$2:$N$3001,'Per Line'!$A$2:$A$3001,$A72,'Per Line'!$W$2:$W$3001,0))</f>
        <v/>
      </c>
      <c r="M72" s="7">
        <f>IF($U72="","",L72*K72)</f>
        <v/>
      </c>
      <c r="N72">
        <f>IF($U72="","",Settings!$C$6)</f>
        <v/>
      </c>
      <c r="O72" s="7">
        <f>IF($U72="","",SUMIFS('Per Line'!$N$2:$N$3001,'Per Line'!$A$2:$A$3001,$A72,'Per Line'!$W$2:$W$3001,1))</f>
        <v/>
      </c>
      <c r="P72" s="7">
        <f>IF($U72="","",O72*N72)</f>
        <v/>
      </c>
      <c r="Q72" s="7">
        <f>IF($U72="","",P72+M72)</f>
        <v/>
      </c>
      <c r="R72" s="7">
        <f>IF($U72="","",S72-Q72)</f>
        <v/>
      </c>
      <c r="S72" s="7">
        <f>IF($U72="","",L72+O72)</f>
        <v/>
      </c>
      <c r="T72" s="7">
        <f>IF($U72="","",S72-Q72-G72)</f>
        <v/>
      </c>
      <c r="U72" s="13">
        <f>IF(ROWS($U$2:$U72)&lt;=MAX('Per Line'!$V$2:$V$3001),MATCH(ROWS($U$2:$U72),'Per Line'!$V$2:$V$3001,0),"")</f>
        <v/>
      </c>
    </row>
    <row r="73">
      <c r="A73">
        <f>IF($U73="","",INDEX('Per Line'!$A$2:$A$3001,$U73)&amp;"")</f>
        <v/>
      </c>
      <c r="B73" s="12" t="n"/>
      <c r="C73">
        <f>IF($U73="","",INDEX('Per Line'!$B$2:$B$3001,$U73)&amp;"")</f>
        <v/>
      </c>
      <c r="D73">
        <f>IF($U73="","",INDEX('Per Line'!$C$2:$C$3001,$U73)&amp;"")</f>
        <v/>
      </c>
      <c r="E73">
        <f>IF($U73="","",INDEX('Per Line'!$D$2:$D$3001,$U73)&amp;"")</f>
        <v/>
      </c>
      <c r="F73">
        <f>IF($U73="","",INDEX('Per Line'!$E$2:$E$3001,$U73))</f>
        <v/>
      </c>
      <c r="G73" s="7">
        <f>IF($U73="","",F73*S73/100)</f>
        <v/>
      </c>
      <c r="H73">
        <f>IF($U73="","",INDEX('Per Line'!$O$2:$O$3001,$U73)&amp;"")</f>
        <v/>
      </c>
      <c r="I73" s="11">
        <f>IF($U73="","",INDEX('Per Line'!$Q$2:$Q$3001,$U73))</f>
        <v/>
      </c>
      <c r="J73">
        <f>IF($U73="","",INDEX('Per Line'!$R$2:$R$3001,$U73)&amp;"")</f>
        <v/>
      </c>
      <c r="K73">
        <f>IF($U73="","",Settings!$C$7)</f>
        <v/>
      </c>
      <c r="L73" s="7">
        <f>IF($U73="","",SUMIFS('Per Line'!$N$2:$N$3001,'Per Line'!$A$2:$A$3001,$A73,'Per Line'!$W$2:$W$3001,0))</f>
        <v/>
      </c>
      <c r="M73" s="7">
        <f>IF($U73="","",L73*K73)</f>
        <v/>
      </c>
      <c r="N73">
        <f>IF($U73="","",Settings!$C$6)</f>
        <v/>
      </c>
      <c r="O73" s="7">
        <f>IF($U73="","",SUMIFS('Per Line'!$N$2:$N$3001,'Per Line'!$A$2:$A$3001,$A73,'Per Line'!$W$2:$W$3001,1))</f>
        <v/>
      </c>
      <c r="P73" s="7">
        <f>IF($U73="","",O73*N73)</f>
        <v/>
      </c>
      <c r="Q73" s="7">
        <f>IF($U73="","",P73+M73)</f>
        <v/>
      </c>
      <c r="R73" s="7">
        <f>IF($U73="","",S73-Q73)</f>
        <v/>
      </c>
      <c r="S73" s="7">
        <f>IF($U73="","",L73+O73)</f>
        <v/>
      </c>
      <c r="T73" s="7">
        <f>IF($U73="","",S73-Q73-G73)</f>
        <v/>
      </c>
      <c r="U73" s="13">
        <f>IF(ROWS($U$2:$U73)&lt;=MAX('Per Line'!$V$2:$V$3001),MATCH(ROWS($U$2:$U73),'Per Line'!$V$2:$V$3001,0),"")</f>
        <v/>
      </c>
    </row>
    <row r="74">
      <c r="A74">
        <f>IF($U74="","",INDEX('Per Line'!$A$2:$A$3001,$U74)&amp;"")</f>
        <v/>
      </c>
      <c r="B74" s="12" t="n"/>
      <c r="C74">
        <f>IF($U74="","",INDEX('Per Line'!$B$2:$B$3001,$U74)&amp;"")</f>
        <v/>
      </c>
      <c r="D74">
        <f>IF($U74="","",INDEX('Per Line'!$C$2:$C$3001,$U74)&amp;"")</f>
        <v/>
      </c>
      <c r="E74">
        <f>IF($U74="","",INDEX('Per Line'!$D$2:$D$3001,$U74)&amp;"")</f>
        <v/>
      </c>
      <c r="F74">
        <f>IF($U74="","",INDEX('Per Line'!$E$2:$E$3001,$U74))</f>
        <v/>
      </c>
      <c r="G74" s="7">
        <f>IF($U74="","",F74*S74/100)</f>
        <v/>
      </c>
      <c r="H74">
        <f>IF($U74="","",INDEX('Per Line'!$O$2:$O$3001,$U74)&amp;"")</f>
        <v/>
      </c>
      <c r="I74" s="11">
        <f>IF($U74="","",INDEX('Per Line'!$Q$2:$Q$3001,$U74))</f>
        <v/>
      </c>
      <c r="J74">
        <f>IF($U74="","",INDEX('Per Line'!$R$2:$R$3001,$U74)&amp;"")</f>
        <v/>
      </c>
      <c r="K74">
        <f>IF($U74="","",Settings!$C$7)</f>
        <v/>
      </c>
      <c r="L74" s="7">
        <f>IF($U74="","",SUMIFS('Per Line'!$N$2:$N$3001,'Per Line'!$A$2:$A$3001,$A74,'Per Line'!$W$2:$W$3001,0))</f>
        <v/>
      </c>
      <c r="M74" s="7">
        <f>IF($U74="","",L74*K74)</f>
        <v/>
      </c>
      <c r="N74">
        <f>IF($U74="","",Settings!$C$6)</f>
        <v/>
      </c>
      <c r="O74" s="7">
        <f>IF($U74="","",SUMIFS('Per Line'!$N$2:$N$3001,'Per Line'!$A$2:$A$3001,$A74,'Per Line'!$W$2:$W$3001,1))</f>
        <v/>
      </c>
      <c r="P74" s="7">
        <f>IF($U74="","",O74*N74)</f>
        <v/>
      </c>
      <c r="Q74" s="7">
        <f>IF($U74="","",P74+M74)</f>
        <v/>
      </c>
      <c r="R74" s="7">
        <f>IF($U74="","",S74-Q74)</f>
        <v/>
      </c>
      <c r="S74" s="7">
        <f>IF($U74="","",L74+O74)</f>
        <v/>
      </c>
      <c r="T74" s="7">
        <f>IF($U74="","",S74-Q74-G74)</f>
        <v/>
      </c>
      <c r="U74" s="13">
        <f>IF(ROWS($U$2:$U74)&lt;=MAX('Per Line'!$V$2:$V$3001),MATCH(ROWS($U$2:$U74),'Per Line'!$V$2:$V$3001,0),"")</f>
        <v/>
      </c>
    </row>
    <row r="75">
      <c r="A75">
        <f>IF($U75="","",INDEX('Per Line'!$A$2:$A$3001,$U75)&amp;"")</f>
        <v/>
      </c>
      <c r="B75" s="12" t="n"/>
      <c r="C75">
        <f>IF($U75="","",INDEX('Per Line'!$B$2:$B$3001,$U75)&amp;"")</f>
        <v/>
      </c>
      <c r="D75">
        <f>IF($U75="","",INDEX('Per Line'!$C$2:$C$3001,$U75)&amp;"")</f>
        <v/>
      </c>
      <c r="E75">
        <f>IF($U75="","",INDEX('Per Line'!$D$2:$D$3001,$U75)&amp;"")</f>
        <v/>
      </c>
      <c r="F75">
        <f>IF($U75="","",INDEX('Per Line'!$E$2:$E$3001,$U75))</f>
        <v/>
      </c>
      <c r="G75" s="7">
        <f>IF($U75="","",F75*S75/100)</f>
        <v/>
      </c>
      <c r="H75">
        <f>IF($U75="","",INDEX('Per Line'!$O$2:$O$3001,$U75)&amp;"")</f>
        <v/>
      </c>
      <c r="I75" s="11">
        <f>IF($U75="","",INDEX('Per Line'!$Q$2:$Q$3001,$U75))</f>
        <v/>
      </c>
      <c r="J75">
        <f>IF($U75="","",INDEX('Per Line'!$R$2:$R$3001,$U75)&amp;"")</f>
        <v/>
      </c>
      <c r="K75">
        <f>IF($U75="","",Settings!$C$7)</f>
        <v/>
      </c>
      <c r="L75" s="7">
        <f>IF($U75="","",SUMIFS('Per Line'!$N$2:$N$3001,'Per Line'!$A$2:$A$3001,$A75,'Per Line'!$W$2:$W$3001,0))</f>
        <v/>
      </c>
      <c r="M75" s="7">
        <f>IF($U75="","",L75*K75)</f>
        <v/>
      </c>
      <c r="N75">
        <f>IF($U75="","",Settings!$C$6)</f>
        <v/>
      </c>
      <c r="O75" s="7">
        <f>IF($U75="","",SUMIFS('Per Line'!$N$2:$N$3001,'Per Line'!$A$2:$A$3001,$A75,'Per Line'!$W$2:$W$3001,1))</f>
        <v/>
      </c>
      <c r="P75" s="7">
        <f>IF($U75="","",O75*N75)</f>
        <v/>
      </c>
      <c r="Q75" s="7">
        <f>IF($U75="","",P75+M75)</f>
        <v/>
      </c>
      <c r="R75" s="7">
        <f>IF($U75="","",S75-Q75)</f>
        <v/>
      </c>
      <c r="S75" s="7">
        <f>IF($U75="","",L75+O75)</f>
        <v/>
      </c>
      <c r="T75" s="7">
        <f>IF($U75="","",S75-Q75-G75)</f>
        <v/>
      </c>
      <c r="U75" s="13">
        <f>IF(ROWS($U$2:$U75)&lt;=MAX('Per Line'!$V$2:$V$3001),MATCH(ROWS($U$2:$U75),'Per Line'!$V$2:$V$3001,0),"")</f>
        <v/>
      </c>
    </row>
    <row r="76">
      <c r="A76">
        <f>IF($U76="","",INDEX('Per Line'!$A$2:$A$3001,$U76)&amp;"")</f>
        <v/>
      </c>
      <c r="B76" s="12" t="n"/>
      <c r="C76">
        <f>IF($U76="","",INDEX('Per Line'!$B$2:$B$3001,$U76)&amp;"")</f>
        <v/>
      </c>
      <c r="D76">
        <f>IF($U76="","",INDEX('Per Line'!$C$2:$C$3001,$U76)&amp;"")</f>
        <v/>
      </c>
      <c r="E76">
        <f>IF($U76="","",INDEX('Per Line'!$D$2:$D$3001,$U76)&amp;"")</f>
        <v/>
      </c>
      <c r="F76">
        <f>IF($U76="","",INDEX('Per Line'!$E$2:$E$3001,$U76))</f>
        <v/>
      </c>
      <c r="G76" s="7">
        <f>IF($U76="","",F76*S76/100)</f>
        <v/>
      </c>
      <c r="H76">
        <f>IF($U76="","",INDEX('Per Line'!$O$2:$O$3001,$U76)&amp;"")</f>
        <v/>
      </c>
      <c r="I76" s="11">
        <f>IF($U76="","",INDEX('Per Line'!$Q$2:$Q$3001,$U76))</f>
        <v/>
      </c>
      <c r="J76">
        <f>IF($U76="","",INDEX('Per Line'!$R$2:$R$3001,$U76)&amp;"")</f>
        <v/>
      </c>
      <c r="K76">
        <f>IF($U76="","",Settings!$C$7)</f>
        <v/>
      </c>
      <c r="L76" s="7">
        <f>IF($U76="","",SUMIFS('Per Line'!$N$2:$N$3001,'Per Line'!$A$2:$A$3001,$A76,'Per Line'!$W$2:$W$3001,0))</f>
        <v/>
      </c>
      <c r="M76" s="7">
        <f>IF($U76="","",L76*K76)</f>
        <v/>
      </c>
      <c r="N76">
        <f>IF($U76="","",Settings!$C$6)</f>
        <v/>
      </c>
      <c r="O76" s="7">
        <f>IF($U76="","",SUMIFS('Per Line'!$N$2:$N$3001,'Per Line'!$A$2:$A$3001,$A76,'Per Line'!$W$2:$W$3001,1))</f>
        <v/>
      </c>
      <c r="P76" s="7">
        <f>IF($U76="","",O76*N76)</f>
        <v/>
      </c>
      <c r="Q76" s="7">
        <f>IF($U76="","",P76+M76)</f>
        <v/>
      </c>
      <c r="R76" s="7">
        <f>IF($U76="","",S76-Q76)</f>
        <v/>
      </c>
      <c r="S76" s="7">
        <f>IF($U76="","",L76+O76)</f>
        <v/>
      </c>
      <c r="T76" s="7">
        <f>IF($U76="","",S76-Q76-G76)</f>
        <v/>
      </c>
      <c r="U76" s="13">
        <f>IF(ROWS($U$2:$U76)&lt;=MAX('Per Line'!$V$2:$V$3001),MATCH(ROWS($U$2:$U76),'Per Line'!$V$2:$V$3001,0),"")</f>
        <v/>
      </c>
    </row>
    <row r="77">
      <c r="A77">
        <f>IF($U77="","",INDEX('Per Line'!$A$2:$A$3001,$U77)&amp;"")</f>
        <v/>
      </c>
      <c r="B77" s="12" t="n"/>
      <c r="C77">
        <f>IF($U77="","",INDEX('Per Line'!$B$2:$B$3001,$U77)&amp;"")</f>
        <v/>
      </c>
      <c r="D77">
        <f>IF($U77="","",INDEX('Per Line'!$C$2:$C$3001,$U77)&amp;"")</f>
        <v/>
      </c>
      <c r="E77">
        <f>IF($U77="","",INDEX('Per Line'!$D$2:$D$3001,$U77)&amp;"")</f>
        <v/>
      </c>
      <c r="F77">
        <f>IF($U77="","",INDEX('Per Line'!$E$2:$E$3001,$U77))</f>
        <v/>
      </c>
      <c r="G77" s="7">
        <f>IF($U77="","",F77*S77/100)</f>
        <v/>
      </c>
      <c r="H77">
        <f>IF($U77="","",INDEX('Per Line'!$O$2:$O$3001,$U77)&amp;"")</f>
        <v/>
      </c>
      <c r="I77" s="11">
        <f>IF($U77="","",INDEX('Per Line'!$Q$2:$Q$3001,$U77))</f>
        <v/>
      </c>
      <c r="J77">
        <f>IF($U77="","",INDEX('Per Line'!$R$2:$R$3001,$U77)&amp;"")</f>
        <v/>
      </c>
      <c r="K77">
        <f>IF($U77="","",Settings!$C$7)</f>
        <v/>
      </c>
      <c r="L77" s="7">
        <f>IF($U77="","",SUMIFS('Per Line'!$N$2:$N$3001,'Per Line'!$A$2:$A$3001,$A77,'Per Line'!$W$2:$W$3001,0))</f>
        <v/>
      </c>
      <c r="M77" s="7">
        <f>IF($U77="","",L77*K77)</f>
        <v/>
      </c>
      <c r="N77">
        <f>IF($U77="","",Settings!$C$6)</f>
        <v/>
      </c>
      <c r="O77" s="7">
        <f>IF($U77="","",SUMIFS('Per Line'!$N$2:$N$3001,'Per Line'!$A$2:$A$3001,$A77,'Per Line'!$W$2:$W$3001,1))</f>
        <v/>
      </c>
      <c r="P77" s="7">
        <f>IF($U77="","",O77*N77)</f>
        <v/>
      </c>
      <c r="Q77" s="7">
        <f>IF($U77="","",P77+M77)</f>
        <v/>
      </c>
      <c r="R77" s="7">
        <f>IF($U77="","",S77-Q77)</f>
        <v/>
      </c>
      <c r="S77" s="7">
        <f>IF($U77="","",L77+O77)</f>
        <v/>
      </c>
      <c r="T77" s="7">
        <f>IF($U77="","",S77-Q77-G77)</f>
        <v/>
      </c>
      <c r="U77" s="13">
        <f>IF(ROWS($U$2:$U77)&lt;=MAX('Per Line'!$V$2:$V$3001),MATCH(ROWS($U$2:$U77),'Per Line'!$V$2:$V$3001,0),"")</f>
        <v/>
      </c>
    </row>
    <row r="78">
      <c r="A78">
        <f>IF($U78="","",INDEX('Per Line'!$A$2:$A$3001,$U78)&amp;"")</f>
        <v/>
      </c>
      <c r="B78" s="12" t="n"/>
      <c r="C78">
        <f>IF($U78="","",INDEX('Per Line'!$B$2:$B$3001,$U78)&amp;"")</f>
        <v/>
      </c>
      <c r="D78">
        <f>IF($U78="","",INDEX('Per Line'!$C$2:$C$3001,$U78)&amp;"")</f>
        <v/>
      </c>
      <c r="E78">
        <f>IF($U78="","",INDEX('Per Line'!$D$2:$D$3001,$U78)&amp;"")</f>
        <v/>
      </c>
      <c r="F78">
        <f>IF($U78="","",INDEX('Per Line'!$E$2:$E$3001,$U78))</f>
        <v/>
      </c>
      <c r="G78" s="7">
        <f>IF($U78="","",F78*S78/100)</f>
        <v/>
      </c>
      <c r="H78">
        <f>IF($U78="","",INDEX('Per Line'!$O$2:$O$3001,$U78)&amp;"")</f>
        <v/>
      </c>
      <c r="I78" s="11">
        <f>IF($U78="","",INDEX('Per Line'!$Q$2:$Q$3001,$U78))</f>
        <v/>
      </c>
      <c r="J78">
        <f>IF($U78="","",INDEX('Per Line'!$R$2:$R$3001,$U78)&amp;"")</f>
        <v/>
      </c>
      <c r="K78">
        <f>IF($U78="","",Settings!$C$7)</f>
        <v/>
      </c>
      <c r="L78" s="7">
        <f>IF($U78="","",SUMIFS('Per Line'!$N$2:$N$3001,'Per Line'!$A$2:$A$3001,$A78,'Per Line'!$W$2:$W$3001,0))</f>
        <v/>
      </c>
      <c r="M78" s="7">
        <f>IF($U78="","",L78*K78)</f>
        <v/>
      </c>
      <c r="N78">
        <f>IF($U78="","",Settings!$C$6)</f>
        <v/>
      </c>
      <c r="O78" s="7">
        <f>IF($U78="","",SUMIFS('Per Line'!$N$2:$N$3001,'Per Line'!$A$2:$A$3001,$A78,'Per Line'!$W$2:$W$3001,1))</f>
        <v/>
      </c>
      <c r="P78" s="7">
        <f>IF($U78="","",O78*N78)</f>
        <v/>
      </c>
      <c r="Q78" s="7">
        <f>IF($U78="","",P78+M78)</f>
        <v/>
      </c>
      <c r="R78" s="7">
        <f>IF($U78="","",S78-Q78)</f>
        <v/>
      </c>
      <c r="S78" s="7">
        <f>IF($U78="","",L78+O78)</f>
        <v/>
      </c>
      <c r="T78" s="7">
        <f>IF($U78="","",S78-Q78-G78)</f>
        <v/>
      </c>
      <c r="U78" s="13">
        <f>IF(ROWS($U$2:$U78)&lt;=MAX('Per Line'!$V$2:$V$3001),MATCH(ROWS($U$2:$U78),'Per Line'!$V$2:$V$3001,0),"")</f>
        <v/>
      </c>
    </row>
    <row r="79">
      <c r="A79">
        <f>IF($U79="","",INDEX('Per Line'!$A$2:$A$3001,$U79)&amp;"")</f>
        <v/>
      </c>
      <c r="B79" s="12" t="n"/>
      <c r="C79">
        <f>IF($U79="","",INDEX('Per Line'!$B$2:$B$3001,$U79)&amp;"")</f>
        <v/>
      </c>
      <c r="D79">
        <f>IF($U79="","",INDEX('Per Line'!$C$2:$C$3001,$U79)&amp;"")</f>
        <v/>
      </c>
      <c r="E79">
        <f>IF($U79="","",INDEX('Per Line'!$D$2:$D$3001,$U79)&amp;"")</f>
        <v/>
      </c>
      <c r="F79">
        <f>IF($U79="","",INDEX('Per Line'!$E$2:$E$3001,$U79))</f>
        <v/>
      </c>
      <c r="G79" s="7">
        <f>IF($U79="","",F79*S79/100)</f>
        <v/>
      </c>
      <c r="H79">
        <f>IF($U79="","",INDEX('Per Line'!$O$2:$O$3001,$U79)&amp;"")</f>
        <v/>
      </c>
      <c r="I79" s="11">
        <f>IF($U79="","",INDEX('Per Line'!$Q$2:$Q$3001,$U79))</f>
        <v/>
      </c>
      <c r="J79">
        <f>IF($U79="","",INDEX('Per Line'!$R$2:$R$3001,$U79)&amp;"")</f>
        <v/>
      </c>
      <c r="K79">
        <f>IF($U79="","",Settings!$C$7)</f>
        <v/>
      </c>
      <c r="L79" s="7">
        <f>IF($U79="","",SUMIFS('Per Line'!$N$2:$N$3001,'Per Line'!$A$2:$A$3001,$A79,'Per Line'!$W$2:$W$3001,0))</f>
        <v/>
      </c>
      <c r="M79" s="7">
        <f>IF($U79="","",L79*K79)</f>
        <v/>
      </c>
      <c r="N79">
        <f>IF($U79="","",Settings!$C$6)</f>
        <v/>
      </c>
      <c r="O79" s="7">
        <f>IF($U79="","",SUMIFS('Per Line'!$N$2:$N$3001,'Per Line'!$A$2:$A$3001,$A79,'Per Line'!$W$2:$W$3001,1))</f>
        <v/>
      </c>
      <c r="P79" s="7">
        <f>IF($U79="","",O79*N79)</f>
        <v/>
      </c>
      <c r="Q79" s="7">
        <f>IF($U79="","",P79+M79)</f>
        <v/>
      </c>
      <c r="R79" s="7">
        <f>IF($U79="","",S79-Q79)</f>
        <v/>
      </c>
      <c r="S79" s="7">
        <f>IF($U79="","",L79+O79)</f>
        <v/>
      </c>
      <c r="T79" s="7">
        <f>IF($U79="","",S79-Q79-G79)</f>
        <v/>
      </c>
      <c r="U79" s="13">
        <f>IF(ROWS($U$2:$U79)&lt;=MAX('Per Line'!$V$2:$V$3001),MATCH(ROWS($U$2:$U79),'Per Line'!$V$2:$V$3001,0),"")</f>
        <v/>
      </c>
    </row>
    <row r="80">
      <c r="A80">
        <f>IF($U80="","",INDEX('Per Line'!$A$2:$A$3001,$U80)&amp;"")</f>
        <v/>
      </c>
      <c r="B80" s="12" t="n"/>
      <c r="C80">
        <f>IF($U80="","",INDEX('Per Line'!$B$2:$B$3001,$U80)&amp;"")</f>
        <v/>
      </c>
      <c r="D80">
        <f>IF($U80="","",INDEX('Per Line'!$C$2:$C$3001,$U80)&amp;"")</f>
        <v/>
      </c>
      <c r="E80">
        <f>IF($U80="","",INDEX('Per Line'!$D$2:$D$3001,$U80)&amp;"")</f>
        <v/>
      </c>
      <c r="F80">
        <f>IF($U80="","",INDEX('Per Line'!$E$2:$E$3001,$U80))</f>
        <v/>
      </c>
      <c r="G80" s="7">
        <f>IF($U80="","",F80*S80/100)</f>
        <v/>
      </c>
      <c r="H80">
        <f>IF($U80="","",INDEX('Per Line'!$O$2:$O$3001,$U80)&amp;"")</f>
        <v/>
      </c>
      <c r="I80" s="11">
        <f>IF($U80="","",INDEX('Per Line'!$Q$2:$Q$3001,$U80))</f>
        <v/>
      </c>
      <c r="J80">
        <f>IF($U80="","",INDEX('Per Line'!$R$2:$R$3001,$U80)&amp;"")</f>
        <v/>
      </c>
      <c r="K80">
        <f>IF($U80="","",Settings!$C$7)</f>
        <v/>
      </c>
      <c r="L80" s="7">
        <f>IF($U80="","",SUMIFS('Per Line'!$N$2:$N$3001,'Per Line'!$A$2:$A$3001,$A80,'Per Line'!$W$2:$W$3001,0))</f>
        <v/>
      </c>
      <c r="M80" s="7">
        <f>IF($U80="","",L80*K80)</f>
        <v/>
      </c>
      <c r="N80">
        <f>IF($U80="","",Settings!$C$6)</f>
        <v/>
      </c>
      <c r="O80" s="7">
        <f>IF($U80="","",SUMIFS('Per Line'!$N$2:$N$3001,'Per Line'!$A$2:$A$3001,$A80,'Per Line'!$W$2:$W$3001,1))</f>
        <v/>
      </c>
      <c r="P80" s="7">
        <f>IF($U80="","",O80*N80)</f>
        <v/>
      </c>
      <c r="Q80" s="7">
        <f>IF($U80="","",P80+M80)</f>
        <v/>
      </c>
      <c r="R80" s="7">
        <f>IF($U80="","",S80-Q80)</f>
        <v/>
      </c>
      <c r="S80" s="7">
        <f>IF($U80="","",L80+O80)</f>
        <v/>
      </c>
      <c r="T80" s="7">
        <f>IF($U80="","",S80-Q80-G80)</f>
        <v/>
      </c>
      <c r="U80" s="13">
        <f>IF(ROWS($U$2:$U80)&lt;=MAX('Per Line'!$V$2:$V$3001),MATCH(ROWS($U$2:$U80),'Per Line'!$V$2:$V$3001,0),"")</f>
        <v/>
      </c>
    </row>
    <row r="81">
      <c r="A81">
        <f>IF($U81="","",INDEX('Per Line'!$A$2:$A$3001,$U81)&amp;"")</f>
        <v/>
      </c>
      <c r="B81" s="12" t="n"/>
      <c r="C81">
        <f>IF($U81="","",INDEX('Per Line'!$B$2:$B$3001,$U81)&amp;"")</f>
        <v/>
      </c>
      <c r="D81">
        <f>IF($U81="","",INDEX('Per Line'!$C$2:$C$3001,$U81)&amp;"")</f>
        <v/>
      </c>
      <c r="E81">
        <f>IF($U81="","",INDEX('Per Line'!$D$2:$D$3001,$U81)&amp;"")</f>
        <v/>
      </c>
      <c r="F81">
        <f>IF($U81="","",INDEX('Per Line'!$E$2:$E$3001,$U81))</f>
        <v/>
      </c>
      <c r="G81" s="7">
        <f>IF($U81="","",F81*S81/100)</f>
        <v/>
      </c>
      <c r="H81">
        <f>IF($U81="","",INDEX('Per Line'!$O$2:$O$3001,$U81)&amp;"")</f>
        <v/>
      </c>
      <c r="I81" s="11">
        <f>IF($U81="","",INDEX('Per Line'!$Q$2:$Q$3001,$U81))</f>
        <v/>
      </c>
      <c r="J81">
        <f>IF($U81="","",INDEX('Per Line'!$R$2:$R$3001,$U81)&amp;"")</f>
        <v/>
      </c>
      <c r="K81">
        <f>IF($U81="","",Settings!$C$7)</f>
        <v/>
      </c>
      <c r="L81" s="7">
        <f>IF($U81="","",SUMIFS('Per Line'!$N$2:$N$3001,'Per Line'!$A$2:$A$3001,$A81,'Per Line'!$W$2:$W$3001,0))</f>
        <v/>
      </c>
      <c r="M81" s="7">
        <f>IF($U81="","",L81*K81)</f>
        <v/>
      </c>
      <c r="N81">
        <f>IF($U81="","",Settings!$C$6)</f>
        <v/>
      </c>
      <c r="O81" s="7">
        <f>IF($U81="","",SUMIFS('Per Line'!$N$2:$N$3001,'Per Line'!$A$2:$A$3001,$A81,'Per Line'!$W$2:$W$3001,1))</f>
        <v/>
      </c>
      <c r="P81" s="7">
        <f>IF($U81="","",O81*N81)</f>
        <v/>
      </c>
      <c r="Q81" s="7">
        <f>IF($U81="","",P81+M81)</f>
        <v/>
      </c>
      <c r="R81" s="7">
        <f>IF($U81="","",S81-Q81)</f>
        <v/>
      </c>
      <c r="S81" s="7">
        <f>IF($U81="","",L81+O81)</f>
        <v/>
      </c>
      <c r="T81" s="7">
        <f>IF($U81="","",S81-Q81-G81)</f>
        <v/>
      </c>
      <c r="U81" s="13">
        <f>IF(ROWS($U$2:$U81)&lt;=MAX('Per Line'!$V$2:$V$3001),MATCH(ROWS($U$2:$U81),'Per Line'!$V$2:$V$3001,0),"")</f>
        <v/>
      </c>
    </row>
    <row r="82">
      <c r="A82">
        <f>IF($U82="","",INDEX('Per Line'!$A$2:$A$3001,$U82)&amp;"")</f>
        <v/>
      </c>
      <c r="B82" s="12" t="n"/>
      <c r="C82">
        <f>IF($U82="","",INDEX('Per Line'!$B$2:$B$3001,$U82)&amp;"")</f>
        <v/>
      </c>
      <c r="D82">
        <f>IF($U82="","",INDEX('Per Line'!$C$2:$C$3001,$U82)&amp;"")</f>
        <v/>
      </c>
      <c r="E82">
        <f>IF($U82="","",INDEX('Per Line'!$D$2:$D$3001,$U82)&amp;"")</f>
        <v/>
      </c>
      <c r="F82">
        <f>IF($U82="","",INDEX('Per Line'!$E$2:$E$3001,$U82))</f>
        <v/>
      </c>
      <c r="G82" s="7">
        <f>IF($U82="","",F82*S82/100)</f>
        <v/>
      </c>
      <c r="H82">
        <f>IF($U82="","",INDEX('Per Line'!$O$2:$O$3001,$U82)&amp;"")</f>
        <v/>
      </c>
      <c r="I82" s="11">
        <f>IF($U82="","",INDEX('Per Line'!$Q$2:$Q$3001,$U82))</f>
        <v/>
      </c>
      <c r="J82">
        <f>IF($U82="","",INDEX('Per Line'!$R$2:$R$3001,$U82)&amp;"")</f>
        <v/>
      </c>
      <c r="K82">
        <f>IF($U82="","",Settings!$C$7)</f>
        <v/>
      </c>
      <c r="L82" s="7">
        <f>IF($U82="","",SUMIFS('Per Line'!$N$2:$N$3001,'Per Line'!$A$2:$A$3001,$A82,'Per Line'!$W$2:$W$3001,0))</f>
        <v/>
      </c>
      <c r="M82" s="7">
        <f>IF($U82="","",L82*K82)</f>
        <v/>
      </c>
      <c r="N82">
        <f>IF($U82="","",Settings!$C$6)</f>
        <v/>
      </c>
      <c r="O82" s="7">
        <f>IF($U82="","",SUMIFS('Per Line'!$N$2:$N$3001,'Per Line'!$A$2:$A$3001,$A82,'Per Line'!$W$2:$W$3001,1))</f>
        <v/>
      </c>
      <c r="P82" s="7">
        <f>IF($U82="","",O82*N82)</f>
        <v/>
      </c>
      <c r="Q82" s="7">
        <f>IF($U82="","",P82+M82)</f>
        <v/>
      </c>
      <c r="R82" s="7">
        <f>IF($U82="","",S82-Q82)</f>
        <v/>
      </c>
      <c r="S82" s="7">
        <f>IF($U82="","",L82+O82)</f>
        <v/>
      </c>
      <c r="T82" s="7">
        <f>IF($U82="","",S82-Q82-G82)</f>
        <v/>
      </c>
      <c r="U82" s="13">
        <f>IF(ROWS($U$2:$U82)&lt;=MAX('Per Line'!$V$2:$V$3001),MATCH(ROWS($U$2:$U82),'Per Line'!$V$2:$V$3001,0),"")</f>
        <v/>
      </c>
    </row>
    <row r="83">
      <c r="A83">
        <f>IF($U83="","",INDEX('Per Line'!$A$2:$A$3001,$U83)&amp;"")</f>
        <v/>
      </c>
      <c r="B83" s="12" t="n"/>
      <c r="C83">
        <f>IF($U83="","",INDEX('Per Line'!$B$2:$B$3001,$U83)&amp;"")</f>
        <v/>
      </c>
      <c r="D83">
        <f>IF($U83="","",INDEX('Per Line'!$C$2:$C$3001,$U83)&amp;"")</f>
        <v/>
      </c>
      <c r="E83">
        <f>IF($U83="","",INDEX('Per Line'!$D$2:$D$3001,$U83)&amp;"")</f>
        <v/>
      </c>
      <c r="F83">
        <f>IF($U83="","",INDEX('Per Line'!$E$2:$E$3001,$U83))</f>
        <v/>
      </c>
      <c r="G83" s="7">
        <f>IF($U83="","",F83*S83/100)</f>
        <v/>
      </c>
      <c r="H83">
        <f>IF($U83="","",INDEX('Per Line'!$O$2:$O$3001,$U83)&amp;"")</f>
        <v/>
      </c>
      <c r="I83" s="11">
        <f>IF($U83="","",INDEX('Per Line'!$Q$2:$Q$3001,$U83))</f>
        <v/>
      </c>
      <c r="J83">
        <f>IF($U83="","",INDEX('Per Line'!$R$2:$R$3001,$U83)&amp;"")</f>
        <v/>
      </c>
      <c r="K83">
        <f>IF($U83="","",Settings!$C$7)</f>
        <v/>
      </c>
      <c r="L83" s="7">
        <f>IF($U83="","",SUMIFS('Per Line'!$N$2:$N$3001,'Per Line'!$A$2:$A$3001,$A83,'Per Line'!$W$2:$W$3001,0))</f>
        <v/>
      </c>
      <c r="M83" s="7">
        <f>IF($U83="","",L83*K83)</f>
        <v/>
      </c>
      <c r="N83">
        <f>IF($U83="","",Settings!$C$6)</f>
        <v/>
      </c>
      <c r="O83" s="7">
        <f>IF($U83="","",SUMIFS('Per Line'!$N$2:$N$3001,'Per Line'!$A$2:$A$3001,$A83,'Per Line'!$W$2:$W$3001,1))</f>
        <v/>
      </c>
      <c r="P83" s="7">
        <f>IF($U83="","",O83*N83)</f>
        <v/>
      </c>
      <c r="Q83" s="7">
        <f>IF($U83="","",P83+M83)</f>
        <v/>
      </c>
      <c r="R83" s="7">
        <f>IF($U83="","",S83-Q83)</f>
        <v/>
      </c>
      <c r="S83" s="7">
        <f>IF($U83="","",L83+O83)</f>
        <v/>
      </c>
      <c r="T83" s="7">
        <f>IF($U83="","",S83-Q83-G83)</f>
        <v/>
      </c>
      <c r="U83" s="13">
        <f>IF(ROWS($U$2:$U83)&lt;=MAX('Per Line'!$V$2:$V$3001),MATCH(ROWS($U$2:$U83),'Per Line'!$V$2:$V$3001,0),"")</f>
        <v/>
      </c>
    </row>
    <row r="84">
      <c r="A84">
        <f>IF($U84="","",INDEX('Per Line'!$A$2:$A$3001,$U84)&amp;"")</f>
        <v/>
      </c>
      <c r="B84" s="12" t="n"/>
      <c r="C84">
        <f>IF($U84="","",INDEX('Per Line'!$B$2:$B$3001,$U84)&amp;"")</f>
        <v/>
      </c>
      <c r="D84">
        <f>IF($U84="","",INDEX('Per Line'!$C$2:$C$3001,$U84)&amp;"")</f>
        <v/>
      </c>
      <c r="E84">
        <f>IF($U84="","",INDEX('Per Line'!$D$2:$D$3001,$U84)&amp;"")</f>
        <v/>
      </c>
      <c r="F84">
        <f>IF($U84="","",INDEX('Per Line'!$E$2:$E$3001,$U84))</f>
        <v/>
      </c>
      <c r="G84" s="7">
        <f>IF($U84="","",F84*S84/100)</f>
        <v/>
      </c>
      <c r="H84">
        <f>IF($U84="","",INDEX('Per Line'!$O$2:$O$3001,$U84)&amp;"")</f>
        <v/>
      </c>
      <c r="I84" s="11">
        <f>IF($U84="","",INDEX('Per Line'!$Q$2:$Q$3001,$U84))</f>
        <v/>
      </c>
      <c r="J84">
        <f>IF($U84="","",INDEX('Per Line'!$R$2:$R$3001,$U84)&amp;"")</f>
        <v/>
      </c>
      <c r="K84">
        <f>IF($U84="","",Settings!$C$7)</f>
        <v/>
      </c>
      <c r="L84" s="7">
        <f>IF($U84="","",SUMIFS('Per Line'!$N$2:$N$3001,'Per Line'!$A$2:$A$3001,$A84,'Per Line'!$W$2:$W$3001,0))</f>
        <v/>
      </c>
      <c r="M84" s="7">
        <f>IF($U84="","",L84*K84)</f>
        <v/>
      </c>
      <c r="N84">
        <f>IF($U84="","",Settings!$C$6)</f>
        <v/>
      </c>
      <c r="O84" s="7">
        <f>IF($U84="","",SUMIFS('Per Line'!$N$2:$N$3001,'Per Line'!$A$2:$A$3001,$A84,'Per Line'!$W$2:$W$3001,1))</f>
        <v/>
      </c>
      <c r="P84" s="7">
        <f>IF($U84="","",O84*N84)</f>
        <v/>
      </c>
      <c r="Q84" s="7">
        <f>IF($U84="","",P84+M84)</f>
        <v/>
      </c>
      <c r="R84" s="7">
        <f>IF($U84="","",S84-Q84)</f>
        <v/>
      </c>
      <c r="S84" s="7">
        <f>IF($U84="","",L84+O84)</f>
        <v/>
      </c>
      <c r="T84" s="7">
        <f>IF($U84="","",S84-Q84-G84)</f>
        <v/>
      </c>
      <c r="U84" s="13">
        <f>IF(ROWS($U$2:$U84)&lt;=MAX('Per Line'!$V$2:$V$3001),MATCH(ROWS($U$2:$U84),'Per Line'!$V$2:$V$3001,0),"")</f>
        <v/>
      </c>
    </row>
    <row r="85">
      <c r="A85">
        <f>IF($U85="","",INDEX('Per Line'!$A$2:$A$3001,$U85)&amp;"")</f>
        <v/>
      </c>
      <c r="B85" s="12" t="n"/>
      <c r="C85">
        <f>IF($U85="","",INDEX('Per Line'!$B$2:$B$3001,$U85)&amp;"")</f>
        <v/>
      </c>
      <c r="D85">
        <f>IF($U85="","",INDEX('Per Line'!$C$2:$C$3001,$U85)&amp;"")</f>
        <v/>
      </c>
      <c r="E85">
        <f>IF($U85="","",INDEX('Per Line'!$D$2:$D$3001,$U85)&amp;"")</f>
        <v/>
      </c>
      <c r="F85">
        <f>IF($U85="","",INDEX('Per Line'!$E$2:$E$3001,$U85))</f>
        <v/>
      </c>
      <c r="G85" s="7">
        <f>IF($U85="","",F85*S85/100)</f>
        <v/>
      </c>
      <c r="H85">
        <f>IF($U85="","",INDEX('Per Line'!$O$2:$O$3001,$U85)&amp;"")</f>
        <v/>
      </c>
      <c r="I85" s="11">
        <f>IF($U85="","",INDEX('Per Line'!$Q$2:$Q$3001,$U85))</f>
        <v/>
      </c>
      <c r="J85">
        <f>IF($U85="","",INDEX('Per Line'!$R$2:$R$3001,$U85)&amp;"")</f>
        <v/>
      </c>
      <c r="K85">
        <f>IF($U85="","",Settings!$C$7)</f>
        <v/>
      </c>
      <c r="L85" s="7">
        <f>IF($U85="","",SUMIFS('Per Line'!$N$2:$N$3001,'Per Line'!$A$2:$A$3001,$A85,'Per Line'!$W$2:$W$3001,0))</f>
        <v/>
      </c>
      <c r="M85" s="7">
        <f>IF($U85="","",L85*K85)</f>
        <v/>
      </c>
      <c r="N85">
        <f>IF($U85="","",Settings!$C$6)</f>
        <v/>
      </c>
      <c r="O85" s="7">
        <f>IF($U85="","",SUMIFS('Per Line'!$N$2:$N$3001,'Per Line'!$A$2:$A$3001,$A85,'Per Line'!$W$2:$W$3001,1))</f>
        <v/>
      </c>
      <c r="P85" s="7">
        <f>IF($U85="","",O85*N85)</f>
        <v/>
      </c>
      <c r="Q85" s="7">
        <f>IF($U85="","",P85+M85)</f>
        <v/>
      </c>
      <c r="R85" s="7">
        <f>IF($U85="","",S85-Q85)</f>
        <v/>
      </c>
      <c r="S85" s="7">
        <f>IF($U85="","",L85+O85)</f>
        <v/>
      </c>
      <c r="T85" s="7">
        <f>IF($U85="","",S85-Q85-G85)</f>
        <v/>
      </c>
      <c r="U85" s="13">
        <f>IF(ROWS($U$2:$U85)&lt;=MAX('Per Line'!$V$2:$V$3001),MATCH(ROWS($U$2:$U85),'Per Line'!$V$2:$V$3001,0),"")</f>
        <v/>
      </c>
    </row>
    <row r="86">
      <c r="A86">
        <f>IF($U86="","",INDEX('Per Line'!$A$2:$A$3001,$U86)&amp;"")</f>
        <v/>
      </c>
      <c r="B86" s="12" t="n"/>
      <c r="C86">
        <f>IF($U86="","",INDEX('Per Line'!$B$2:$B$3001,$U86)&amp;"")</f>
        <v/>
      </c>
      <c r="D86">
        <f>IF($U86="","",INDEX('Per Line'!$C$2:$C$3001,$U86)&amp;"")</f>
        <v/>
      </c>
      <c r="E86">
        <f>IF($U86="","",INDEX('Per Line'!$D$2:$D$3001,$U86)&amp;"")</f>
        <v/>
      </c>
      <c r="F86">
        <f>IF($U86="","",INDEX('Per Line'!$E$2:$E$3001,$U86))</f>
        <v/>
      </c>
      <c r="G86" s="7">
        <f>IF($U86="","",F86*S86/100)</f>
        <v/>
      </c>
      <c r="H86">
        <f>IF($U86="","",INDEX('Per Line'!$O$2:$O$3001,$U86)&amp;"")</f>
        <v/>
      </c>
      <c r="I86" s="11">
        <f>IF($U86="","",INDEX('Per Line'!$Q$2:$Q$3001,$U86))</f>
        <v/>
      </c>
      <c r="J86">
        <f>IF($U86="","",INDEX('Per Line'!$R$2:$R$3001,$U86)&amp;"")</f>
        <v/>
      </c>
      <c r="K86">
        <f>IF($U86="","",Settings!$C$7)</f>
        <v/>
      </c>
      <c r="L86" s="7">
        <f>IF($U86="","",SUMIFS('Per Line'!$N$2:$N$3001,'Per Line'!$A$2:$A$3001,$A86,'Per Line'!$W$2:$W$3001,0))</f>
        <v/>
      </c>
      <c r="M86" s="7">
        <f>IF($U86="","",L86*K86)</f>
        <v/>
      </c>
      <c r="N86">
        <f>IF($U86="","",Settings!$C$6)</f>
        <v/>
      </c>
      <c r="O86" s="7">
        <f>IF($U86="","",SUMIFS('Per Line'!$N$2:$N$3001,'Per Line'!$A$2:$A$3001,$A86,'Per Line'!$W$2:$W$3001,1))</f>
        <v/>
      </c>
      <c r="P86" s="7">
        <f>IF($U86="","",O86*N86)</f>
        <v/>
      </c>
      <c r="Q86" s="7">
        <f>IF($U86="","",P86+M86)</f>
        <v/>
      </c>
      <c r="R86" s="7">
        <f>IF($U86="","",S86-Q86)</f>
        <v/>
      </c>
      <c r="S86" s="7">
        <f>IF($U86="","",L86+O86)</f>
        <v/>
      </c>
      <c r="T86" s="7">
        <f>IF($U86="","",S86-Q86-G86)</f>
        <v/>
      </c>
      <c r="U86" s="13">
        <f>IF(ROWS($U$2:$U86)&lt;=MAX('Per Line'!$V$2:$V$3001),MATCH(ROWS($U$2:$U86),'Per Line'!$V$2:$V$3001,0),"")</f>
        <v/>
      </c>
    </row>
    <row r="87">
      <c r="A87">
        <f>IF($U87="","",INDEX('Per Line'!$A$2:$A$3001,$U87)&amp;"")</f>
        <v/>
      </c>
      <c r="B87" s="12" t="n"/>
      <c r="C87">
        <f>IF($U87="","",INDEX('Per Line'!$B$2:$B$3001,$U87)&amp;"")</f>
        <v/>
      </c>
      <c r="D87">
        <f>IF($U87="","",INDEX('Per Line'!$C$2:$C$3001,$U87)&amp;"")</f>
        <v/>
      </c>
      <c r="E87">
        <f>IF($U87="","",INDEX('Per Line'!$D$2:$D$3001,$U87)&amp;"")</f>
        <v/>
      </c>
      <c r="F87">
        <f>IF($U87="","",INDEX('Per Line'!$E$2:$E$3001,$U87))</f>
        <v/>
      </c>
      <c r="G87" s="7">
        <f>IF($U87="","",F87*S87/100)</f>
        <v/>
      </c>
      <c r="H87">
        <f>IF($U87="","",INDEX('Per Line'!$O$2:$O$3001,$U87)&amp;"")</f>
        <v/>
      </c>
      <c r="I87" s="11">
        <f>IF($U87="","",INDEX('Per Line'!$Q$2:$Q$3001,$U87))</f>
        <v/>
      </c>
      <c r="J87">
        <f>IF($U87="","",INDEX('Per Line'!$R$2:$R$3001,$U87)&amp;"")</f>
        <v/>
      </c>
      <c r="K87">
        <f>IF($U87="","",Settings!$C$7)</f>
        <v/>
      </c>
      <c r="L87" s="7">
        <f>IF($U87="","",SUMIFS('Per Line'!$N$2:$N$3001,'Per Line'!$A$2:$A$3001,$A87,'Per Line'!$W$2:$W$3001,0))</f>
        <v/>
      </c>
      <c r="M87" s="7">
        <f>IF($U87="","",L87*K87)</f>
        <v/>
      </c>
      <c r="N87">
        <f>IF($U87="","",Settings!$C$6)</f>
        <v/>
      </c>
      <c r="O87" s="7">
        <f>IF($U87="","",SUMIFS('Per Line'!$N$2:$N$3001,'Per Line'!$A$2:$A$3001,$A87,'Per Line'!$W$2:$W$3001,1))</f>
        <v/>
      </c>
      <c r="P87" s="7">
        <f>IF($U87="","",O87*N87)</f>
        <v/>
      </c>
      <c r="Q87" s="7">
        <f>IF($U87="","",P87+M87)</f>
        <v/>
      </c>
      <c r="R87" s="7">
        <f>IF($U87="","",S87-Q87)</f>
        <v/>
      </c>
      <c r="S87" s="7">
        <f>IF($U87="","",L87+O87)</f>
        <v/>
      </c>
      <c r="T87" s="7">
        <f>IF($U87="","",S87-Q87-G87)</f>
        <v/>
      </c>
      <c r="U87" s="13">
        <f>IF(ROWS($U$2:$U87)&lt;=MAX('Per Line'!$V$2:$V$3001),MATCH(ROWS($U$2:$U87),'Per Line'!$V$2:$V$3001,0),"")</f>
        <v/>
      </c>
    </row>
    <row r="88">
      <c r="A88">
        <f>IF($U88="","",INDEX('Per Line'!$A$2:$A$3001,$U88)&amp;"")</f>
        <v/>
      </c>
      <c r="B88" s="12" t="n"/>
      <c r="C88">
        <f>IF($U88="","",INDEX('Per Line'!$B$2:$B$3001,$U88)&amp;"")</f>
        <v/>
      </c>
      <c r="D88">
        <f>IF($U88="","",INDEX('Per Line'!$C$2:$C$3001,$U88)&amp;"")</f>
        <v/>
      </c>
      <c r="E88">
        <f>IF($U88="","",INDEX('Per Line'!$D$2:$D$3001,$U88)&amp;"")</f>
        <v/>
      </c>
      <c r="F88">
        <f>IF($U88="","",INDEX('Per Line'!$E$2:$E$3001,$U88))</f>
        <v/>
      </c>
      <c r="G88" s="7">
        <f>IF($U88="","",F88*S88/100)</f>
        <v/>
      </c>
      <c r="H88">
        <f>IF($U88="","",INDEX('Per Line'!$O$2:$O$3001,$U88)&amp;"")</f>
        <v/>
      </c>
      <c r="I88" s="11">
        <f>IF($U88="","",INDEX('Per Line'!$Q$2:$Q$3001,$U88))</f>
        <v/>
      </c>
      <c r="J88">
        <f>IF($U88="","",INDEX('Per Line'!$R$2:$R$3001,$U88)&amp;"")</f>
        <v/>
      </c>
      <c r="K88">
        <f>IF($U88="","",Settings!$C$7)</f>
        <v/>
      </c>
      <c r="L88" s="7">
        <f>IF($U88="","",SUMIFS('Per Line'!$N$2:$N$3001,'Per Line'!$A$2:$A$3001,$A88,'Per Line'!$W$2:$W$3001,0))</f>
        <v/>
      </c>
      <c r="M88" s="7">
        <f>IF($U88="","",L88*K88)</f>
        <v/>
      </c>
      <c r="N88">
        <f>IF($U88="","",Settings!$C$6)</f>
        <v/>
      </c>
      <c r="O88" s="7">
        <f>IF($U88="","",SUMIFS('Per Line'!$N$2:$N$3001,'Per Line'!$A$2:$A$3001,$A88,'Per Line'!$W$2:$W$3001,1))</f>
        <v/>
      </c>
      <c r="P88" s="7">
        <f>IF($U88="","",O88*N88)</f>
        <v/>
      </c>
      <c r="Q88" s="7">
        <f>IF($U88="","",P88+M88)</f>
        <v/>
      </c>
      <c r="R88" s="7">
        <f>IF($U88="","",S88-Q88)</f>
        <v/>
      </c>
      <c r="S88" s="7">
        <f>IF($U88="","",L88+O88)</f>
        <v/>
      </c>
      <c r="T88" s="7">
        <f>IF($U88="","",S88-Q88-G88)</f>
        <v/>
      </c>
      <c r="U88" s="13">
        <f>IF(ROWS($U$2:$U88)&lt;=MAX('Per Line'!$V$2:$V$3001),MATCH(ROWS($U$2:$U88),'Per Line'!$V$2:$V$3001,0),"")</f>
        <v/>
      </c>
    </row>
    <row r="89">
      <c r="A89">
        <f>IF($U89="","",INDEX('Per Line'!$A$2:$A$3001,$U89)&amp;"")</f>
        <v/>
      </c>
      <c r="B89" s="12" t="n"/>
      <c r="C89">
        <f>IF($U89="","",INDEX('Per Line'!$B$2:$B$3001,$U89)&amp;"")</f>
        <v/>
      </c>
      <c r="D89">
        <f>IF($U89="","",INDEX('Per Line'!$C$2:$C$3001,$U89)&amp;"")</f>
        <v/>
      </c>
      <c r="E89">
        <f>IF($U89="","",INDEX('Per Line'!$D$2:$D$3001,$U89)&amp;"")</f>
        <v/>
      </c>
      <c r="F89">
        <f>IF($U89="","",INDEX('Per Line'!$E$2:$E$3001,$U89))</f>
        <v/>
      </c>
      <c r="G89" s="7">
        <f>IF($U89="","",F89*S89/100)</f>
        <v/>
      </c>
      <c r="H89">
        <f>IF($U89="","",INDEX('Per Line'!$O$2:$O$3001,$U89)&amp;"")</f>
        <v/>
      </c>
      <c r="I89" s="11">
        <f>IF($U89="","",INDEX('Per Line'!$Q$2:$Q$3001,$U89))</f>
        <v/>
      </c>
      <c r="J89">
        <f>IF($U89="","",INDEX('Per Line'!$R$2:$R$3001,$U89)&amp;"")</f>
        <v/>
      </c>
      <c r="K89">
        <f>IF($U89="","",Settings!$C$7)</f>
        <v/>
      </c>
      <c r="L89" s="7">
        <f>IF($U89="","",SUMIFS('Per Line'!$N$2:$N$3001,'Per Line'!$A$2:$A$3001,$A89,'Per Line'!$W$2:$W$3001,0))</f>
        <v/>
      </c>
      <c r="M89" s="7">
        <f>IF($U89="","",L89*K89)</f>
        <v/>
      </c>
      <c r="N89">
        <f>IF($U89="","",Settings!$C$6)</f>
        <v/>
      </c>
      <c r="O89" s="7">
        <f>IF($U89="","",SUMIFS('Per Line'!$N$2:$N$3001,'Per Line'!$A$2:$A$3001,$A89,'Per Line'!$W$2:$W$3001,1))</f>
        <v/>
      </c>
      <c r="P89" s="7">
        <f>IF($U89="","",O89*N89)</f>
        <v/>
      </c>
      <c r="Q89" s="7">
        <f>IF($U89="","",P89+M89)</f>
        <v/>
      </c>
      <c r="R89" s="7">
        <f>IF($U89="","",S89-Q89)</f>
        <v/>
      </c>
      <c r="S89" s="7">
        <f>IF($U89="","",L89+O89)</f>
        <v/>
      </c>
      <c r="T89" s="7">
        <f>IF($U89="","",S89-Q89-G89)</f>
        <v/>
      </c>
      <c r="U89" s="13">
        <f>IF(ROWS($U$2:$U89)&lt;=MAX('Per Line'!$V$2:$V$3001),MATCH(ROWS($U$2:$U89),'Per Line'!$V$2:$V$3001,0),"")</f>
        <v/>
      </c>
    </row>
    <row r="90">
      <c r="A90">
        <f>IF($U90="","",INDEX('Per Line'!$A$2:$A$3001,$U90)&amp;"")</f>
        <v/>
      </c>
      <c r="B90" s="12" t="n"/>
      <c r="C90">
        <f>IF($U90="","",INDEX('Per Line'!$B$2:$B$3001,$U90)&amp;"")</f>
        <v/>
      </c>
      <c r="D90">
        <f>IF($U90="","",INDEX('Per Line'!$C$2:$C$3001,$U90)&amp;"")</f>
        <v/>
      </c>
      <c r="E90">
        <f>IF($U90="","",INDEX('Per Line'!$D$2:$D$3001,$U90)&amp;"")</f>
        <v/>
      </c>
      <c r="F90">
        <f>IF($U90="","",INDEX('Per Line'!$E$2:$E$3001,$U90))</f>
        <v/>
      </c>
      <c r="G90" s="7">
        <f>IF($U90="","",F90*S90/100)</f>
        <v/>
      </c>
      <c r="H90">
        <f>IF($U90="","",INDEX('Per Line'!$O$2:$O$3001,$U90)&amp;"")</f>
        <v/>
      </c>
      <c r="I90" s="11">
        <f>IF($U90="","",INDEX('Per Line'!$Q$2:$Q$3001,$U90))</f>
        <v/>
      </c>
      <c r="J90">
        <f>IF($U90="","",INDEX('Per Line'!$R$2:$R$3001,$U90)&amp;"")</f>
        <v/>
      </c>
      <c r="K90">
        <f>IF($U90="","",Settings!$C$7)</f>
        <v/>
      </c>
      <c r="L90" s="7">
        <f>IF($U90="","",SUMIFS('Per Line'!$N$2:$N$3001,'Per Line'!$A$2:$A$3001,$A90,'Per Line'!$W$2:$W$3001,0))</f>
        <v/>
      </c>
      <c r="M90" s="7">
        <f>IF($U90="","",L90*K90)</f>
        <v/>
      </c>
      <c r="N90">
        <f>IF($U90="","",Settings!$C$6)</f>
        <v/>
      </c>
      <c r="O90" s="7">
        <f>IF($U90="","",SUMIFS('Per Line'!$N$2:$N$3001,'Per Line'!$A$2:$A$3001,$A90,'Per Line'!$W$2:$W$3001,1))</f>
        <v/>
      </c>
      <c r="P90" s="7">
        <f>IF($U90="","",O90*N90)</f>
        <v/>
      </c>
      <c r="Q90" s="7">
        <f>IF($U90="","",P90+M90)</f>
        <v/>
      </c>
      <c r="R90" s="7">
        <f>IF($U90="","",S90-Q90)</f>
        <v/>
      </c>
      <c r="S90" s="7">
        <f>IF($U90="","",L90+O90)</f>
        <v/>
      </c>
      <c r="T90" s="7">
        <f>IF($U90="","",S90-Q90-G90)</f>
        <v/>
      </c>
      <c r="U90" s="13">
        <f>IF(ROWS($U$2:$U90)&lt;=MAX('Per Line'!$V$2:$V$3001),MATCH(ROWS($U$2:$U90),'Per Line'!$V$2:$V$3001,0),"")</f>
        <v/>
      </c>
    </row>
    <row r="91">
      <c r="A91">
        <f>IF($U91="","",INDEX('Per Line'!$A$2:$A$3001,$U91)&amp;"")</f>
        <v/>
      </c>
      <c r="B91" s="12" t="n"/>
      <c r="C91">
        <f>IF($U91="","",INDEX('Per Line'!$B$2:$B$3001,$U91)&amp;"")</f>
        <v/>
      </c>
      <c r="D91">
        <f>IF($U91="","",INDEX('Per Line'!$C$2:$C$3001,$U91)&amp;"")</f>
        <v/>
      </c>
      <c r="E91">
        <f>IF($U91="","",INDEX('Per Line'!$D$2:$D$3001,$U91)&amp;"")</f>
        <v/>
      </c>
      <c r="F91">
        <f>IF($U91="","",INDEX('Per Line'!$E$2:$E$3001,$U91))</f>
        <v/>
      </c>
      <c r="G91" s="7">
        <f>IF($U91="","",F91*S91/100)</f>
        <v/>
      </c>
      <c r="H91">
        <f>IF($U91="","",INDEX('Per Line'!$O$2:$O$3001,$U91)&amp;"")</f>
        <v/>
      </c>
      <c r="I91" s="11">
        <f>IF($U91="","",INDEX('Per Line'!$Q$2:$Q$3001,$U91))</f>
        <v/>
      </c>
      <c r="J91">
        <f>IF($U91="","",INDEX('Per Line'!$R$2:$R$3001,$U91)&amp;"")</f>
        <v/>
      </c>
      <c r="K91">
        <f>IF($U91="","",Settings!$C$7)</f>
        <v/>
      </c>
      <c r="L91" s="7">
        <f>IF($U91="","",SUMIFS('Per Line'!$N$2:$N$3001,'Per Line'!$A$2:$A$3001,$A91,'Per Line'!$W$2:$W$3001,0))</f>
        <v/>
      </c>
      <c r="M91" s="7">
        <f>IF($U91="","",L91*K91)</f>
        <v/>
      </c>
      <c r="N91">
        <f>IF($U91="","",Settings!$C$6)</f>
        <v/>
      </c>
      <c r="O91" s="7">
        <f>IF($U91="","",SUMIFS('Per Line'!$N$2:$N$3001,'Per Line'!$A$2:$A$3001,$A91,'Per Line'!$W$2:$W$3001,1))</f>
        <v/>
      </c>
      <c r="P91" s="7">
        <f>IF($U91="","",O91*N91)</f>
        <v/>
      </c>
      <c r="Q91" s="7">
        <f>IF($U91="","",P91+M91)</f>
        <v/>
      </c>
      <c r="R91" s="7">
        <f>IF($U91="","",S91-Q91)</f>
        <v/>
      </c>
      <c r="S91" s="7">
        <f>IF($U91="","",L91+O91)</f>
        <v/>
      </c>
      <c r="T91" s="7">
        <f>IF($U91="","",S91-Q91-G91)</f>
        <v/>
      </c>
      <c r="U91" s="13">
        <f>IF(ROWS($U$2:$U91)&lt;=MAX('Per Line'!$V$2:$V$3001),MATCH(ROWS($U$2:$U91),'Per Line'!$V$2:$V$3001,0),"")</f>
        <v/>
      </c>
    </row>
    <row r="92">
      <c r="A92">
        <f>IF($U92="","",INDEX('Per Line'!$A$2:$A$3001,$U92)&amp;"")</f>
        <v/>
      </c>
      <c r="B92" s="12" t="n"/>
      <c r="C92">
        <f>IF($U92="","",INDEX('Per Line'!$B$2:$B$3001,$U92)&amp;"")</f>
        <v/>
      </c>
      <c r="D92">
        <f>IF($U92="","",INDEX('Per Line'!$C$2:$C$3001,$U92)&amp;"")</f>
        <v/>
      </c>
      <c r="E92">
        <f>IF($U92="","",INDEX('Per Line'!$D$2:$D$3001,$U92)&amp;"")</f>
        <v/>
      </c>
      <c r="F92">
        <f>IF($U92="","",INDEX('Per Line'!$E$2:$E$3001,$U92))</f>
        <v/>
      </c>
      <c r="G92" s="7">
        <f>IF($U92="","",F92*S92/100)</f>
        <v/>
      </c>
      <c r="H92">
        <f>IF($U92="","",INDEX('Per Line'!$O$2:$O$3001,$U92)&amp;"")</f>
        <v/>
      </c>
      <c r="I92" s="11">
        <f>IF($U92="","",INDEX('Per Line'!$Q$2:$Q$3001,$U92))</f>
        <v/>
      </c>
      <c r="J92">
        <f>IF($U92="","",INDEX('Per Line'!$R$2:$R$3001,$U92)&amp;"")</f>
        <v/>
      </c>
      <c r="K92">
        <f>IF($U92="","",Settings!$C$7)</f>
        <v/>
      </c>
      <c r="L92" s="7">
        <f>IF($U92="","",SUMIFS('Per Line'!$N$2:$N$3001,'Per Line'!$A$2:$A$3001,$A92,'Per Line'!$W$2:$W$3001,0))</f>
        <v/>
      </c>
      <c r="M92" s="7">
        <f>IF($U92="","",L92*K92)</f>
        <v/>
      </c>
      <c r="N92">
        <f>IF($U92="","",Settings!$C$6)</f>
        <v/>
      </c>
      <c r="O92" s="7">
        <f>IF($U92="","",SUMIFS('Per Line'!$N$2:$N$3001,'Per Line'!$A$2:$A$3001,$A92,'Per Line'!$W$2:$W$3001,1))</f>
        <v/>
      </c>
      <c r="P92" s="7">
        <f>IF($U92="","",O92*N92)</f>
        <v/>
      </c>
      <c r="Q92" s="7">
        <f>IF($U92="","",P92+M92)</f>
        <v/>
      </c>
      <c r="R92" s="7">
        <f>IF($U92="","",S92-Q92)</f>
        <v/>
      </c>
      <c r="S92" s="7">
        <f>IF($U92="","",L92+O92)</f>
        <v/>
      </c>
      <c r="T92" s="7">
        <f>IF($U92="","",S92-Q92-G92)</f>
        <v/>
      </c>
      <c r="U92" s="13">
        <f>IF(ROWS($U$2:$U92)&lt;=MAX('Per Line'!$V$2:$V$3001),MATCH(ROWS($U$2:$U92),'Per Line'!$V$2:$V$3001,0),"")</f>
        <v/>
      </c>
    </row>
    <row r="93">
      <c r="A93">
        <f>IF($U93="","",INDEX('Per Line'!$A$2:$A$3001,$U93)&amp;"")</f>
        <v/>
      </c>
      <c r="B93" s="12" t="n"/>
      <c r="C93">
        <f>IF($U93="","",INDEX('Per Line'!$B$2:$B$3001,$U93)&amp;"")</f>
        <v/>
      </c>
      <c r="D93">
        <f>IF($U93="","",INDEX('Per Line'!$C$2:$C$3001,$U93)&amp;"")</f>
        <v/>
      </c>
      <c r="E93">
        <f>IF($U93="","",INDEX('Per Line'!$D$2:$D$3001,$U93)&amp;"")</f>
        <v/>
      </c>
      <c r="F93">
        <f>IF($U93="","",INDEX('Per Line'!$E$2:$E$3001,$U93))</f>
        <v/>
      </c>
      <c r="G93" s="7">
        <f>IF($U93="","",F93*S93/100)</f>
        <v/>
      </c>
      <c r="H93">
        <f>IF($U93="","",INDEX('Per Line'!$O$2:$O$3001,$U93)&amp;"")</f>
        <v/>
      </c>
      <c r="I93" s="11">
        <f>IF($U93="","",INDEX('Per Line'!$Q$2:$Q$3001,$U93))</f>
        <v/>
      </c>
      <c r="J93">
        <f>IF($U93="","",INDEX('Per Line'!$R$2:$R$3001,$U93)&amp;"")</f>
        <v/>
      </c>
      <c r="K93">
        <f>IF($U93="","",Settings!$C$7)</f>
        <v/>
      </c>
      <c r="L93" s="7">
        <f>IF($U93="","",SUMIFS('Per Line'!$N$2:$N$3001,'Per Line'!$A$2:$A$3001,$A93,'Per Line'!$W$2:$W$3001,0))</f>
        <v/>
      </c>
      <c r="M93" s="7">
        <f>IF($U93="","",L93*K93)</f>
        <v/>
      </c>
      <c r="N93">
        <f>IF($U93="","",Settings!$C$6)</f>
        <v/>
      </c>
      <c r="O93" s="7">
        <f>IF($U93="","",SUMIFS('Per Line'!$N$2:$N$3001,'Per Line'!$A$2:$A$3001,$A93,'Per Line'!$W$2:$W$3001,1))</f>
        <v/>
      </c>
      <c r="P93" s="7">
        <f>IF($U93="","",O93*N93)</f>
        <v/>
      </c>
      <c r="Q93" s="7">
        <f>IF($U93="","",P93+M93)</f>
        <v/>
      </c>
      <c r="R93" s="7">
        <f>IF($U93="","",S93-Q93)</f>
        <v/>
      </c>
      <c r="S93" s="7">
        <f>IF($U93="","",L93+O93)</f>
        <v/>
      </c>
      <c r="T93" s="7">
        <f>IF($U93="","",S93-Q93-G93)</f>
        <v/>
      </c>
      <c r="U93" s="13">
        <f>IF(ROWS($U$2:$U93)&lt;=MAX('Per Line'!$V$2:$V$3001),MATCH(ROWS($U$2:$U93),'Per Line'!$V$2:$V$3001,0),"")</f>
        <v/>
      </c>
    </row>
    <row r="94">
      <c r="A94">
        <f>IF($U94="","",INDEX('Per Line'!$A$2:$A$3001,$U94)&amp;"")</f>
        <v/>
      </c>
      <c r="B94" s="12" t="n"/>
      <c r="C94">
        <f>IF($U94="","",INDEX('Per Line'!$B$2:$B$3001,$U94)&amp;"")</f>
        <v/>
      </c>
      <c r="D94">
        <f>IF($U94="","",INDEX('Per Line'!$C$2:$C$3001,$U94)&amp;"")</f>
        <v/>
      </c>
      <c r="E94">
        <f>IF($U94="","",INDEX('Per Line'!$D$2:$D$3001,$U94)&amp;"")</f>
        <v/>
      </c>
      <c r="F94">
        <f>IF($U94="","",INDEX('Per Line'!$E$2:$E$3001,$U94))</f>
        <v/>
      </c>
      <c r="G94" s="7">
        <f>IF($U94="","",F94*S94/100)</f>
        <v/>
      </c>
      <c r="H94">
        <f>IF($U94="","",INDEX('Per Line'!$O$2:$O$3001,$U94)&amp;"")</f>
        <v/>
      </c>
      <c r="I94" s="11">
        <f>IF($U94="","",INDEX('Per Line'!$Q$2:$Q$3001,$U94))</f>
        <v/>
      </c>
      <c r="J94">
        <f>IF($U94="","",INDEX('Per Line'!$R$2:$R$3001,$U94)&amp;"")</f>
        <v/>
      </c>
      <c r="K94">
        <f>IF($U94="","",Settings!$C$7)</f>
        <v/>
      </c>
      <c r="L94" s="7">
        <f>IF($U94="","",SUMIFS('Per Line'!$N$2:$N$3001,'Per Line'!$A$2:$A$3001,$A94,'Per Line'!$W$2:$W$3001,0))</f>
        <v/>
      </c>
      <c r="M94" s="7">
        <f>IF($U94="","",L94*K94)</f>
        <v/>
      </c>
      <c r="N94">
        <f>IF($U94="","",Settings!$C$6)</f>
        <v/>
      </c>
      <c r="O94" s="7">
        <f>IF($U94="","",SUMIFS('Per Line'!$N$2:$N$3001,'Per Line'!$A$2:$A$3001,$A94,'Per Line'!$W$2:$W$3001,1))</f>
        <v/>
      </c>
      <c r="P94" s="7">
        <f>IF($U94="","",O94*N94)</f>
        <v/>
      </c>
      <c r="Q94" s="7">
        <f>IF($U94="","",P94+M94)</f>
        <v/>
      </c>
      <c r="R94" s="7">
        <f>IF($U94="","",S94-Q94)</f>
        <v/>
      </c>
      <c r="S94" s="7">
        <f>IF($U94="","",L94+O94)</f>
        <v/>
      </c>
      <c r="T94" s="7">
        <f>IF($U94="","",S94-Q94-G94)</f>
        <v/>
      </c>
      <c r="U94" s="13">
        <f>IF(ROWS($U$2:$U94)&lt;=MAX('Per Line'!$V$2:$V$3001),MATCH(ROWS($U$2:$U94),'Per Line'!$V$2:$V$3001,0),"")</f>
        <v/>
      </c>
    </row>
    <row r="95">
      <c r="A95">
        <f>IF($U95="","",INDEX('Per Line'!$A$2:$A$3001,$U95)&amp;"")</f>
        <v/>
      </c>
      <c r="B95" s="12" t="n"/>
      <c r="C95">
        <f>IF($U95="","",INDEX('Per Line'!$B$2:$B$3001,$U95)&amp;"")</f>
        <v/>
      </c>
      <c r="D95">
        <f>IF($U95="","",INDEX('Per Line'!$C$2:$C$3001,$U95)&amp;"")</f>
        <v/>
      </c>
      <c r="E95">
        <f>IF($U95="","",INDEX('Per Line'!$D$2:$D$3001,$U95)&amp;"")</f>
        <v/>
      </c>
      <c r="F95">
        <f>IF($U95="","",INDEX('Per Line'!$E$2:$E$3001,$U95))</f>
        <v/>
      </c>
      <c r="G95" s="7">
        <f>IF($U95="","",F95*S95/100)</f>
        <v/>
      </c>
      <c r="H95">
        <f>IF($U95="","",INDEX('Per Line'!$O$2:$O$3001,$U95)&amp;"")</f>
        <v/>
      </c>
      <c r="I95" s="11">
        <f>IF($U95="","",INDEX('Per Line'!$Q$2:$Q$3001,$U95))</f>
        <v/>
      </c>
      <c r="J95">
        <f>IF($U95="","",INDEX('Per Line'!$R$2:$R$3001,$U95)&amp;"")</f>
        <v/>
      </c>
      <c r="K95">
        <f>IF($U95="","",Settings!$C$7)</f>
        <v/>
      </c>
      <c r="L95" s="7">
        <f>IF($U95="","",SUMIFS('Per Line'!$N$2:$N$3001,'Per Line'!$A$2:$A$3001,$A95,'Per Line'!$W$2:$W$3001,0))</f>
        <v/>
      </c>
      <c r="M95" s="7">
        <f>IF($U95="","",L95*K95)</f>
        <v/>
      </c>
      <c r="N95">
        <f>IF($U95="","",Settings!$C$6)</f>
        <v/>
      </c>
      <c r="O95" s="7">
        <f>IF($U95="","",SUMIFS('Per Line'!$N$2:$N$3001,'Per Line'!$A$2:$A$3001,$A95,'Per Line'!$W$2:$W$3001,1))</f>
        <v/>
      </c>
      <c r="P95" s="7">
        <f>IF($U95="","",O95*N95)</f>
        <v/>
      </c>
      <c r="Q95" s="7">
        <f>IF($U95="","",P95+M95)</f>
        <v/>
      </c>
      <c r="R95" s="7">
        <f>IF($U95="","",S95-Q95)</f>
        <v/>
      </c>
      <c r="S95" s="7">
        <f>IF($U95="","",L95+O95)</f>
        <v/>
      </c>
      <c r="T95" s="7">
        <f>IF($U95="","",S95-Q95-G95)</f>
        <v/>
      </c>
      <c r="U95" s="13">
        <f>IF(ROWS($U$2:$U95)&lt;=MAX('Per Line'!$V$2:$V$3001),MATCH(ROWS($U$2:$U95),'Per Line'!$V$2:$V$3001,0),"")</f>
        <v/>
      </c>
    </row>
    <row r="96">
      <c r="A96">
        <f>IF($U96="","",INDEX('Per Line'!$A$2:$A$3001,$U96)&amp;"")</f>
        <v/>
      </c>
      <c r="B96" s="12" t="n"/>
      <c r="C96">
        <f>IF($U96="","",INDEX('Per Line'!$B$2:$B$3001,$U96)&amp;"")</f>
        <v/>
      </c>
      <c r="D96">
        <f>IF($U96="","",INDEX('Per Line'!$C$2:$C$3001,$U96)&amp;"")</f>
        <v/>
      </c>
      <c r="E96">
        <f>IF($U96="","",INDEX('Per Line'!$D$2:$D$3001,$U96)&amp;"")</f>
        <v/>
      </c>
      <c r="F96">
        <f>IF($U96="","",INDEX('Per Line'!$E$2:$E$3001,$U96))</f>
        <v/>
      </c>
      <c r="G96" s="7">
        <f>IF($U96="","",F96*S96/100)</f>
        <v/>
      </c>
      <c r="H96">
        <f>IF($U96="","",INDEX('Per Line'!$O$2:$O$3001,$U96)&amp;"")</f>
        <v/>
      </c>
      <c r="I96" s="11">
        <f>IF($U96="","",INDEX('Per Line'!$Q$2:$Q$3001,$U96))</f>
        <v/>
      </c>
      <c r="J96">
        <f>IF($U96="","",INDEX('Per Line'!$R$2:$R$3001,$U96)&amp;"")</f>
        <v/>
      </c>
      <c r="K96">
        <f>IF($U96="","",Settings!$C$7)</f>
        <v/>
      </c>
      <c r="L96" s="7">
        <f>IF($U96="","",SUMIFS('Per Line'!$N$2:$N$3001,'Per Line'!$A$2:$A$3001,$A96,'Per Line'!$W$2:$W$3001,0))</f>
        <v/>
      </c>
      <c r="M96" s="7">
        <f>IF($U96="","",L96*K96)</f>
        <v/>
      </c>
      <c r="N96">
        <f>IF($U96="","",Settings!$C$6)</f>
        <v/>
      </c>
      <c r="O96" s="7">
        <f>IF($U96="","",SUMIFS('Per Line'!$N$2:$N$3001,'Per Line'!$A$2:$A$3001,$A96,'Per Line'!$W$2:$W$3001,1))</f>
        <v/>
      </c>
      <c r="P96" s="7">
        <f>IF($U96="","",O96*N96)</f>
        <v/>
      </c>
      <c r="Q96" s="7">
        <f>IF($U96="","",P96+M96)</f>
        <v/>
      </c>
      <c r="R96" s="7">
        <f>IF($U96="","",S96-Q96)</f>
        <v/>
      </c>
      <c r="S96" s="7">
        <f>IF($U96="","",L96+O96)</f>
        <v/>
      </c>
      <c r="T96" s="7">
        <f>IF($U96="","",S96-Q96-G96)</f>
        <v/>
      </c>
      <c r="U96" s="13">
        <f>IF(ROWS($U$2:$U96)&lt;=MAX('Per Line'!$V$2:$V$3001),MATCH(ROWS($U$2:$U96),'Per Line'!$V$2:$V$3001,0),"")</f>
        <v/>
      </c>
    </row>
    <row r="97">
      <c r="A97">
        <f>IF($U97="","",INDEX('Per Line'!$A$2:$A$3001,$U97)&amp;"")</f>
        <v/>
      </c>
      <c r="B97" s="12" t="n"/>
      <c r="C97">
        <f>IF($U97="","",INDEX('Per Line'!$B$2:$B$3001,$U97)&amp;"")</f>
        <v/>
      </c>
      <c r="D97">
        <f>IF($U97="","",INDEX('Per Line'!$C$2:$C$3001,$U97)&amp;"")</f>
        <v/>
      </c>
      <c r="E97">
        <f>IF($U97="","",INDEX('Per Line'!$D$2:$D$3001,$U97)&amp;"")</f>
        <v/>
      </c>
      <c r="F97">
        <f>IF($U97="","",INDEX('Per Line'!$E$2:$E$3001,$U97))</f>
        <v/>
      </c>
      <c r="G97" s="7">
        <f>IF($U97="","",F97*S97/100)</f>
        <v/>
      </c>
      <c r="H97">
        <f>IF($U97="","",INDEX('Per Line'!$O$2:$O$3001,$U97)&amp;"")</f>
        <v/>
      </c>
      <c r="I97" s="11">
        <f>IF($U97="","",INDEX('Per Line'!$Q$2:$Q$3001,$U97))</f>
        <v/>
      </c>
      <c r="J97">
        <f>IF($U97="","",INDEX('Per Line'!$R$2:$R$3001,$U97)&amp;"")</f>
        <v/>
      </c>
      <c r="K97">
        <f>IF($U97="","",Settings!$C$7)</f>
        <v/>
      </c>
      <c r="L97" s="7">
        <f>IF($U97="","",SUMIFS('Per Line'!$N$2:$N$3001,'Per Line'!$A$2:$A$3001,$A97,'Per Line'!$W$2:$W$3001,0))</f>
        <v/>
      </c>
      <c r="M97" s="7">
        <f>IF($U97="","",L97*K97)</f>
        <v/>
      </c>
      <c r="N97">
        <f>IF($U97="","",Settings!$C$6)</f>
        <v/>
      </c>
      <c r="O97" s="7">
        <f>IF($U97="","",SUMIFS('Per Line'!$N$2:$N$3001,'Per Line'!$A$2:$A$3001,$A97,'Per Line'!$W$2:$W$3001,1))</f>
        <v/>
      </c>
      <c r="P97" s="7">
        <f>IF($U97="","",O97*N97)</f>
        <v/>
      </c>
      <c r="Q97" s="7">
        <f>IF($U97="","",P97+M97)</f>
        <v/>
      </c>
      <c r="R97" s="7">
        <f>IF($U97="","",S97-Q97)</f>
        <v/>
      </c>
      <c r="S97" s="7">
        <f>IF($U97="","",L97+O97)</f>
        <v/>
      </c>
      <c r="T97" s="7">
        <f>IF($U97="","",S97-Q97-G97)</f>
        <v/>
      </c>
      <c r="U97" s="13">
        <f>IF(ROWS($U$2:$U97)&lt;=MAX('Per Line'!$V$2:$V$3001),MATCH(ROWS($U$2:$U97),'Per Line'!$V$2:$V$3001,0),"")</f>
        <v/>
      </c>
    </row>
    <row r="98">
      <c r="A98">
        <f>IF($U98="","",INDEX('Per Line'!$A$2:$A$3001,$U98)&amp;"")</f>
        <v/>
      </c>
      <c r="B98" s="12" t="n"/>
      <c r="C98">
        <f>IF($U98="","",INDEX('Per Line'!$B$2:$B$3001,$U98)&amp;"")</f>
        <v/>
      </c>
      <c r="D98">
        <f>IF($U98="","",INDEX('Per Line'!$C$2:$C$3001,$U98)&amp;"")</f>
        <v/>
      </c>
      <c r="E98">
        <f>IF($U98="","",INDEX('Per Line'!$D$2:$D$3001,$U98)&amp;"")</f>
        <v/>
      </c>
      <c r="F98">
        <f>IF($U98="","",INDEX('Per Line'!$E$2:$E$3001,$U98))</f>
        <v/>
      </c>
      <c r="G98" s="7">
        <f>IF($U98="","",F98*S98/100)</f>
        <v/>
      </c>
      <c r="H98">
        <f>IF($U98="","",INDEX('Per Line'!$O$2:$O$3001,$U98)&amp;"")</f>
        <v/>
      </c>
      <c r="I98" s="11">
        <f>IF($U98="","",INDEX('Per Line'!$Q$2:$Q$3001,$U98))</f>
        <v/>
      </c>
      <c r="J98">
        <f>IF($U98="","",INDEX('Per Line'!$R$2:$R$3001,$U98)&amp;"")</f>
        <v/>
      </c>
      <c r="K98">
        <f>IF($U98="","",Settings!$C$7)</f>
        <v/>
      </c>
      <c r="L98" s="7">
        <f>IF($U98="","",SUMIFS('Per Line'!$N$2:$N$3001,'Per Line'!$A$2:$A$3001,$A98,'Per Line'!$W$2:$W$3001,0))</f>
        <v/>
      </c>
      <c r="M98" s="7">
        <f>IF($U98="","",L98*K98)</f>
        <v/>
      </c>
      <c r="N98">
        <f>IF($U98="","",Settings!$C$6)</f>
        <v/>
      </c>
      <c r="O98" s="7">
        <f>IF($U98="","",SUMIFS('Per Line'!$N$2:$N$3001,'Per Line'!$A$2:$A$3001,$A98,'Per Line'!$W$2:$W$3001,1))</f>
        <v/>
      </c>
      <c r="P98" s="7">
        <f>IF($U98="","",O98*N98)</f>
        <v/>
      </c>
      <c r="Q98" s="7">
        <f>IF($U98="","",P98+M98)</f>
        <v/>
      </c>
      <c r="R98" s="7">
        <f>IF($U98="","",S98-Q98)</f>
        <v/>
      </c>
      <c r="S98" s="7">
        <f>IF($U98="","",L98+O98)</f>
        <v/>
      </c>
      <c r="T98" s="7">
        <f>IF($U98="","",S98-Q98-G98)</f>
        <v/>
      </c>
      <c r="U98" s="13">
        <f>IF(ROWS($U$2:$U98)&lt;=MAX('Per Line'!$V$2:$V$3001),MATCH(ROWS($U$2:$U98),'Per Line'!$V$2:$V$3001,0),"")</f>
        <v/>
      </c>
    </row>
    <row r="99">
      <c r="A99">
        <f>IF($U99="","",INDEX('Per Line'!$A$2:$A$3001,$U99)&amp;"")</f>
        <v/>
      </c>
      <c r="B99" s="12" t="n"/>
      <c r="C99">
        <f>IF($U99="","",INDEX('Per Line'!$B$2:$B$3001,$U99)&amp;"")</f>
        <v/>
      </c>
      <c r="D99">
        <f>IF($U99="","",INDEX('Per Line'!$C$2:$C$3001,$U99)&amp;"")</f>
        <v/>
      </c>
      <c r="E99">
        <f>IF($U99="","",INDEX('Per Line'!$D$2:$D$3001,$U99)&amp;"")</f>
        <v/>
      </c>
      <c r="F99">
        <f>IF($U99="","",INDEX('Per Line'!$E$2:$E$3001,$U99))</f>
        <v/>
      </c>
      <c r="G99" s="7">
        <f>IF($U99="","",F99*S99/100)</f>
        <v/>
      </c>
      <c r="H99">
        <f>IF($U99="","",INDEX('Per Line'!$O$2:$O$3001,$U99)&amp;"")</f>
        <v/>
      </c>
      <c r="I99" s="11">
        <f>IF($U99="","",INDEX('Per Line'!$Q$2:$Q$3001,$U99))</f>
        <v/>
      </c>
      <c r="J99">
        <f>IF($U99="","",INDEX('Per Line'!$R$2:$R$3001,$U99)&amp;"")</f>
        <v/>
      </c>
      <c r="K99">
        <f>IF($U99="","",Settings!$C$7)</f>
        <v/>
      </c>
      <c r="L99" s="7">
        <f>IF($U99="","",SUMIFS('Per Line'!$N$2:$N$3001,'Per Line'!$A$2:$A$3001,$A99,'Per Line'!$W$2:$W$3001,0))</f>
        <v/>
      </c>
      <c r="M99" s="7">
        <f>IF($U99="","",L99*K99)</f>
        <v/>
      </c>
      <c r="N99">
        <f>IF($U99="","",Settings!$C$6)</f>
        <v/>
      </c>
      <c r="O99" s="7">
        <f>IF($U99="","",SUMIFS('Per Line'!$N$2:$N$3001,'Per Line'!$A$2:$A$3001,$A99,'Per Line'!$W$2:$W$3001,1))</f>
        <v/>
      </c>
      <c r="P99" s="7">
        <f>IF($U99="","",O99*N99)</f>
        <v/>
      </c>
      <c r="Q99" s="7">
        <f>IF($U99="","",P99+M99)</f>
        <v/>
      </c>
      <c r="R99" s="7">
        <f>IF($U99="","",S99-Q99)</f>
        <v/>
      </c>
      <c r="S99" s="7">
        <f>IF($U99="","",L99+O99)</f>
        <v/>
      </c>
      <c r="T99" s="7">
        <f>IF($U99="","",S99-Q99-G99)</f>
        <v/>
      </c>
      <c r="U99" s="13">
        <f>IF(ROWS($U$2:$U99)&lt;=MAX('Per Line'!$V$2:$V$3001),MATCH(ROWS($U$2:$U99),'Per Line'!$V$2:$V$3001,0),"")</f>
        <v/>
      </c>
    </row>
    <row r="100">
      <c r="A100">
        <f>IF($U100="","",INDEX('Per Line'!$A$2:$A$3001,$U100)&amp;"")</f>
        <v/>
      </c>
      <c r="B100" s="12" t="n"/>
      <c r="C100">
        <f>IF($U100="","",INDEX('Per Line'!$B$2:$B$3001,$U100)&amp;"")</f>
        <v/>
      </c>
      <c r="D100">
        <f>IF($U100="","",INDEX('Per Line'!$C$2:$C$3001,$U100)&amp;"")</f>
        <v/>
      </c>
      <c r="E100">
        <f>IF($U100="","",INDEX('Per Line'!$D$2:$D$3001,$U100)&amp;"")</f>
        <v/>
      </c>
      <c r="F100">
        <f>IF($U100="","",INDEX('Per Line'!$E$2:$E$3001,$U100))</f>
        <v/>
      </c>
      <c r="G100" s="7">
        <f>IF($U100="","",F100*S100/100)</f>
        <v/>
      </c>
      <c r="H100">
        <f>IF($U100="","",INDEX('Per Line'!$O$2:$O$3001,$U100)&amp;"")</f>
        <v/>
      </c>
      <c r="I100" s="11">
        <f>IF($U100="","",INDEX('Per Line'!$Q$2:$Q$3001,$U100))</f>
        <v/>
      </c>
      <c r="J100">
        <f>IF($U100="","",INDEX('Per Line'!$R$2:$R$3001,$U100)&amp;"")</f>
        <v/>
      </c>
      <c r="K100">
        <f>IF($U100="","",Settings!$C$7)</f>
        <v/>
      </c>
      <c r="L100" s="7">
        <f>IF($U100="","",SUMIFS('Per Line'!$N$2:$N$3001,'Per Line'!$A$2:$A$3001,$A100,'Per Line'!$W$2:$W$3001,0))</f>
        <v/>
      </c>
      <c r="M100" s="7">
        <f>IF($U100="","",L100*K100)</f>
        <v/>
      </c>
      <c r="N100">
        <f>IF($U100="","",Settings!$C$6)</f>
        <v/>
      </c>
      <c r="O100" s="7">
        <f>IF($U100="","",SUMIFS('Per Line'!$N$2:$N$3001,'Per Line'!$A$2:$A$3001,$A100,'Per Line'!$W$2:$W$3001,1))</f>
        <v/>
      </c>
      <c r="P100" s="7">
        <f>IF($U100="","",O100*N100)</f>
        <v/>
      </c>
      <c r="Q100" s="7">
        <f>IF($U100="","",P100+M100)</f>
        <v/>
      </c>
      <c r="R100" s="7">
        <f>IF($U100="","",S100-Q100)</f>
        <v/>
      </c>
      <c r="S100" s="7">
        <f>IF($U100="","",L100+O100)</f>
        <v/>
      </c>
      <c r="T100" s="7">
        <f>IF($U100="","",S100-Q100-G100)</f>
        <v/>
      </c>
      <c r="U100" s="13">
        <f>IF(ROWS($U$2:$U100)&lt;=MAX('Per Line'!$V$2:$V$3001),MATCH(ROWS($U$2:$U100),'Per Line'!$V$2:$V$3001,0),"")</f>
        <v/>
      </c>
    </row>
    <row r="101">
      <c r="A101">
        <f>IF($U101="","",INDEX('Per Line'!$A$2:$A$3001,$U101)&amp;"")</f>
        <v/>
      </c>
      <c r="B101" s="12" t="n"/>
      <c r="C101">
        <f>IF($U101="","",INDEX('Per Line'!$B$2:$B$3001,$U101)&amp;"")</f>
        <v/>
      </c>
      <c r="D101">
        <f>IF($U101="","",INDEX('Per Line'!$C$2:$C$3001,$U101)&amp;"")</f>
        <v/>
      </c>
      <c r="E101">
        <f>IF($U101="","",INDEX('Per Line'!$D$2:$D$3001,$U101)&amp;"")</f>
        <v/>
      </c>
      <c r="F101">
        <f>IF($U101="","",INDEX('Per Line'!$E$2:$E$3001,$U101))</f>
        <v/>
      </c>
      <c r="G101" s="7">
        <f>IF($U101="","",F101*S101/100)</f>
        <v/>
      </c>
      <c r="H101">
        <f>IF($U101="","",INDEX('Per Line'!$O$2:$O$3001,$U101)&amp;"")</f>
        <v/>
      </c>
      <c r="I101" s="11">
        <f>IF($U101="","",INDEX('Per Line'!$Q$2:$Q$3001,$U101))</f>
        <v/>
      </c>
      <c r="J101">
        <f>IF($U101="","",INDEX('Per Line'!$R$2:$R$3001,$U101)&amp;"")</f>
        <v/>
      </c>
      <c r="K101">
        <f>IF($U101="","",Settings!$C$7)</f>
        <v/>
      </c>
      <c r="L101" s="7">
        <f>IF($U101="","",SUMIFS('Per Line'!$N$2:$N$3001,'Per Line'!$A$2:$A$3001,$A101,'Per Line'!$W$2:$W$3001,0))</f>
        <v/>
      </c>
      <c r="M101" s="7">
        <f>IF($U101="","",L101*K101)</f>
        <v/>
      </c>
      <c r="N101">
        <f>IF($U101="","",Settings!$C$6)</f>
        <v/>
      </c>
      <c r="O101" s="7">
        <f>IF($U101="","",SUMIFS('Per Line'!$N$2:$N$3001,'Per Line'!$A$2:$A$3001,$A101,'Per Line'!$W$2:$W$3001,1))</f>
        <v/>
      </c>
      <c r="P101" s="7">
        <f>IF($U101="","",O101*N101)</f>
        <v/>
      </c>
      <c r="Q101" s="7">
        <f>IF($U101="","",P101+M101)</f>
        <v/>
      </c>
      <c r="R101" s="7">
        <f>IF($U101="","",S101-Q101)</f>
        <v/>
      </c>
      <c r="S101" s="7">
        <f>IF($U101="","",L101+O101)</f>
        <v/>
      </c>
      <c r="T101" s="7">
        <f>IF($U101="","",S101-Q101-G101)</f>
        <v/>
      </c>
      <c r="U101" s="13">
        <f>IF(ROWS($U$2:$U101)&lt;=MAX('Per Line'!$V$2:$V$3001),MATCH(ROWS($U$2:$U101),'Per Line'!$V$2:$V$3001,0),"")</f>
        <v/>
      </c>
    </row>
    <row r="102">
      <c r="A102">
        <f>IF($U102="","",INDEX('Per Line'!$A$2:$A$3001,$U102)&amp;"")</f>
        <v/>
      </c>
      <c r="B102" s="12" t="n"/>
      <c r="C102">
        <f>IF($U102="","",INDEX('Per Line'!$B$2:$B$3001,$U102)&amp;"")</f>
        <v/>
      </c>
      <c r="D102">
        <f>IF($U102="","",INDEX('Per Line'!$C$2:$C$3001,$U102)&amp;"")</f>
        <v/>
      </c>
      <c r="E102">
        <f>IF($U102="","",INDEX('Per Line'!$D$2:$D$3001,$U102)&amp;"")</f>
        <v/>
      </c>
      <c r="F102">
        <f>IF($U102="","",INDEX('Per Line'!$E$2:$E$3001,$U102))</f>
        <v/>
      </c>
      <c r="G102" s="7">
        <f>IF($U102="","",F102*S102/100)</f>
        <v/>
      </c>
      <c r="H102">
        <f>IF($U102="","",INDEX('Per Line'!$O$2:$O$3001,$U102)&amp;"")</f>
        <v/>
      </c>
      <c r="I102" s="11">
        <f>IF($U102="","",INDEX('Per Line'!$Q$2:$Q$3001,$U102))</f>
        <v/>
      </c>
      <c r="J102">
        <f>IF($U102="","",INDEX('Per Line'!$R$2:$R$3001,$U102)&amp;"")</f>
        <v/>
      </c>
      <c r="K102">
        <f>IF($U102="","",Settings!$C$7)</f>
        <v/>
      </c>
      <c r="L102" s="7">
        <f>IF($U102="","",SUMIFS('Per Line'!$N$2:$N$3001,'Per Line'!$A$2:$A$3001,$A102,'Per Line'!$W$2:$W$3001,0))</f>
        <v/>
      </c>
      <c r="M102" s="7">
        <f>IF($U102="","",L102*K102)</f>
        <v/>
      </c>
      <c r="N102">
        <f>IF($U102="","",Settings!$C$6)</f>
        <v/>
      </c>
      <c r="O102" s="7">
        <f>IF($U102="","",SUMIFS('Per Line'!$N$2:$N$3001,'Per Line'!$A$2:$A$3001,$A102,'Per Line'!$W$2:$W$3001,1))</f>
        <v/>
      </c>
      <c r="P102" s="7">
        <f>IF($U102="","",O102*N102)</f>
        <v/>
      </c>
      <c r="Q102" s="7">
        <f>IF($U102="","",P102+M102)</f>
        <v/>
      </c>
      <c r="R102" s="7">
        <f>IF($U102="","",S102-Q102)</f>
        <v/>
      </c>
      <c r="S102" s="7">
        <f>IF($U102="","",L102+O102)</f>
        <v/>
      </c>
      <c r="T102" s="7">
        <f>IF($U102="","",S102-Q102-G102)</f>
        <v/>
      </c>
      <c r="U102" s="13">
        <f>IF(ROWS($U$2:$U102)&lt;=MAX('Per Line'!$V$2:$V$3001),MATCH(ROWS($U$2:$U102),'Per Line'!$V$2:$V$3001,0),"")</f>
        <v/>
      </c>
    </row>
    <row r="103">
      <c r="A103">
        <f>IF($U103="","",INDEX('Per Line'!$A$2:$A$3001,$U103)&amp;"")</f>
        <v/>
      </c>
      <c r="B103" s="12" t="n"/>
      <c r="C103">
        <f>IF($U103="","",INDEX('Per Line'!$B$2:$B$3001,$U103)&amp;"")</f>
        <v/>
      </c>
      <c r="D103">
        <f>IF($U103="","",INDEX('Per Line'!$C$2:$C$3001,$U103)&amp;"")</f>
        <v/>
      </c>
      <c r="E103">
        <f>IF($U103="","",INDEX('Per Line'!$D$2:$D$3001,$U103)&amp;"")</f>
        <v/>
      </c>
      <c r="F103">
        <f>IF($U103="","",INDEX('Per Line'!$E$2:$E$3001,$U103))</f>
        <v/>
      </c>
      <c r="G103" s="7">
        <f>IF($U103="","",F103*S103/100)</f>
        <v/>
      </c>
      <c r="H103">
        <f>IF($U103="","",INDEX('Per Line'!$O$2:$O$3001,$U103)&amp;"")</f>
        <v/>
      </c>
      <c r="I103" s="11">
        <f>IF($U103="","",INDEX('Per Line'!$Q$2:$Q$3001,$U103))</f>
        <v/>
      </c>
      <c r="J103">
        <f>IF($U103="","",INDEX('Per Line'!$R$2:$R$3001,$U103)&amp;"")</f>
        <v/>
      </c>
      <c r="K103">
        <f>IF($U103="","",Settings!$C$7)</f>
        <v/>
      </c>
      <c r="L103" s="7">
        <f>IF($U103="","",SUMIFS('Per Line'!$N$2:$N$3001,'Per Line'!$A$2:$A$3001,$A103,'Per Line'!$W$2:$W$3001,0))</f>
        <v/>
      </c>
      <c r="M103" s="7">
        <f>IF($U103="","",L103*K103)</f>
        <v/>
      </c>
      <c r="N103">
        <f>IF($U103="","",Settings!$C$6)</f>
        <v/>
      </c>
      <c r="O103" s="7">
        <f>IF($U103="","",SUMIFS('Per Line'!$N$2:$N$3001,'Per Line'!$A$2:$A$3001,$A103,'Per Line'!$W$2:$W$3001,1))</f>
        <v/>
      </c>
      <c r="P103" s="7">
        <f>IF($U103="","",O103*N103)</f>
        <v/>
      </c>
      <c r="Q103" s="7">
        <f>IF($U103="","",P103+M103)</f>
        <v/>
      </c>
      <c r="R103" s="7">
        <f>IF($U103="","",S103-Q103)</f>
        <v/>
      </c>
      <c r="S103" s="7">
        <f>IF($U103="","",L103+O103)</f>
        <v/>
      </c>
      <c r="T103" s="7">
        <f>IF($U103="","",S103-Q103-G103)</f>
        <v/>
      </c>
      <c r="U103" s="13">
        <f>IF(ROWS($U$2:$U103)&lt;=MAX('Per Line'!$V$2:$V$3001),MATCH(ROWS($U$2:$U103),'Per Line'!$V$2:$V$3001,0),"")</f>
        <v/>
      </c>
    </row>
    <row r="104">
      <c r="A104">
        <f>IF($U104="","",INDEX('Per Line'!$A$2:$A$3001,$U104)&amp;"")</f>
        <v/>
      </c>
      <c r="B104" s="12" t="n"/>
      <c r="C104">
        <f>IF($U104="","",INDEX('Per Line'!$B$2:$B$3001,$U104)&amp;"")</f>
        <v/>
      </c>
      <c r="D104">
        <f>IF($U104="","",INDEX('Per Line'!$C$2:$C$3001,$U104)&amp;"")</f>
        <v/>
      </c>
      <c r="E104">
        <f>IF($U104="","",INDEX('Per Line'!$D$2:$D$3001,$U104)&amp;"")</f>
        <v/>
      </c>
      <c r="F104">
        <f>IF($U104="","",INDEX('Per Line'!$E$2:$E$3001,$U104))</f>
        <v/>
      </c>
      <c r="G104" s="7">
        <f>IF($U104="","",F104*S104/100)</f>
        <v/>
      </c>
      <c r="H104">
        <f>IF($U104="","",INDEX('Per Line'!$O$2:$O$3001,$U104)&amp;"")</f>
        <v/>
      </c>
      <c r="I104" s="11">
        <f>IF($U104="","",INDEX('Per Line'!$Q$2:$Q$3001,$U104))</f>
        <v/>
      </c>
      <c r="J104">
        <f>IF($U104="","",INDEX('Per Line'!$R$2:$R$3001,$U104)&amp;"")</f>
        <v/>
      </c>
      <c r="K104">
        <f>IF($U104="","",Settings!$C$7)</f>
        <v/>
      </c>
      <c r="L104" s="7">
        <f>IF($U104="","",SUMIFS('Per Line'!$N$2:$N$3001,'Per Line'!$A$2:$A$3001,$A104,'Per Line'!$W$2:$W$3001,0))</f>
        <v/>
      </c>
      <c r="M104" s="7">
        <f>IF($U104="","",L104*K104)</f>
        <v/>
      </c>
      <c r="N104">
        <f>IF($U104="","",Settings!$C$6)</f>
        <v/>
      </c>
      <c r="O104" s="7">
        <f>IF($U104="","",SUMIFS('Per Line'!$N$2:$N$3001,'Per Line'!$A$2:$A$3001,$A104,'Per Line'!$W$2:$W$3001,1))</f>
        <v/>
      </c>
      <c r="P104" s="7">
        <f>IF($U104="","",O104*N104)</f>
        <v/>
      </c>
      <c r="Q104" s="7">
        <f>IF($U104="","",P104+M104)</f>
        <v/>
      </c>
      <c r="R104" s="7">
        <f>IF($U104="","",S104-Q104)</f>
        <v/>
      </c>
      <c r="S104" s="7">
        <f>IF($U104="","",L104+O104)</f>
        <v/>
      </c>
      <c r="T104" s="7">
        <f>IF($U104="","",S104-Q104-G104)</f>
        <v/>
      </c>
      <c r="U104" s="13">
        <f>IF(ROWS($U$2:$U104)&lt;=MAX('Per Line'!$V$2:$V$3001),MATCH(ROWS($U$2:$U104),'Per Line'!$V$2:$V$3001,0),"")</f>
        <v/>
      </c>
    </row>
    <row r="105">
      <c r="A105">
        <f>IF($U105="","",INDEX('Per Line'!$A$2:$A$3001,$U105)&amp;"")</f>
        <v/>
      </c>
      <c r="B105" s="12" t="n"/>
      <c r="C105">
        <f>IF($U105="","",INDEX('Per Line'!$B$2:$B$3001,$U105)&amp;"")</f>
        <v/>
      </c>
      <c r="D105">
        <f>IF($U105="","",INDEX('Per Line'!$C$2:$C$3001,$U105)&amp;"")</f>
        <v/>
      </c>
      <c r="E105">
        <f>IF($U105="","",INDEX('Per Line'!$D$2:$D$3001,$U105)&amp;"")</f>
        <v/>
      </c>
      <c r="F105">
        <f>IF($U105="","",INDEX('Per Line'!$E$2:$E$3001,$U105))</f>
        <v/>
      </c>
      <c r="G105" s="7">
        <f>IF($U105="","",F105*S105/100)</f>
        <v/>
      </c>
      <c r="H105">
        <f>IF($U105="","",INDEX('Per Line'!$O$2:$O$3001,$U105)&amp;"")</f>
        <v/>
      </c>
      <c r="I105" s="11">
        <f>IF($U105="","",INDEX('Per Line'!$Q$2:$Q$3001,$U105))</f>
        <v/>
      </c>
      <c r="J105">
        <f>IF($U105="","",INDEX('Per Line'!$R$2:$R$3001,$U105)&amp;"")</f>
        <v/>
      </c>
      <c r="K105">
        <f>IF($U105="","",Settings!$C$7)</f>
        <v/>
      </c>
      <c r="L105" s="7">
        <f>IF($U105="","",SUMIFS('Per Line'!$N$2:$N$3001,'Per Line'!$A$2:$A$3001,$A105,'Per Line'!$W$2:$W$3001,0))</f>
        <v/>
      </c>
      <c r="M105" s="7">
        <f>IF($U105="","",L105*K105)</f>
        <v/>
      </c>
      <c r="N105">
        <f>IF($U105="","",Settings!$C$6)</f>
        <v/>
      </c>
      <c r="O105" s="7">
        <f>IF($U105="","",SUMIFS('Per Line'!$N$2:$N$3001,'Per Line'!$A$2:$A$3001,$A105,'Per Line'!$W$2:$W$3001,1))</f>
        <v/>
      </c>
      <c r="P105" s="7">
        <f>IF($U105="","",O105*N105)</f>
        <v/>
      </c>
      <c r="Q105" s="7">
        <f>IF($U105="","",P105+M105)</f>
        <v/>
      </c>
      <c r="R105" s="7">
        <f>IF($U105="","",S105-Q105)</f>
        <v/>
      </c>
      <c r="S105" s="7">
        <f>IF($U105="","",L105+O105)</f>
        <v/>
      </c>
      <c r="T105" s="7">
        <f>IF($U105="","",S105-Q105-G105)</f>
        <v/>
      </c>
      <c r="U105" s="13">
        <f>IF(ROWS($U$2:$U105)&lt;=MAX('Per Line'!$V$2:$V$3001),MATCH(ROWS($U$2:$U105),'Per Line'!$V$2:$V$3001,0),"")</f>
        <v/>
      </c>
    </row>
    <row r="106">
      <c r="A106">
        <f>IF($U106="","",INDEX('Per Line'!$A$2:$A$3001,$U106)&amp;"")</f>
        <v/>
      </c>
      <c r="B106" s="12" t="n"/>
      <c r="C106">
        <f>IF($U106="","",INDEX('Per Line'!$B$2:$B$3001,$U106)&amp;"")</f>
        <v/>
      </c>
      <c r="D106">
        <f>IF($U106="","",INDEX('Per Line'!$C$2:$C$3001,$U106)&amp;"")</f>
        <v/>
      </c>
      <c r="E106">
        <f>IF($U106="","",INDEX('Per Line'!$D$2:$D$3001,$U106)&amp;"")</f>
        <v/>
      </c>
      <c r="F106">
        <f>IF($U106="","",INDEX('Per Line'!$E$2:$E$3001,$U106))</f>
        <v/>
      </c>
      <c r="G106" s="7">
        <f>IF($U106="","",F106*S106/100)</f>
        <v/>
      </c>
      <c r="H106">
        <f>IF($U106="","",INDEX('Per Line'!$O$2:$O$3001,$U106)&amp;"")</f>
        <v/>
      </c>
      <c r="I106" s="11">
        <f>IF($U106="","",INDEX('Per Line'!$Q$2:$Q$3001,$U106))</f>
        <v/>
      </c>
      <c r="J106">
        <f>IF($U106="","",INDEX('Per Line'!$R$2:$R$3001,$U106)&amp;"")</f>
        <v/>
      </c>
      <c r="K106">
        <f>IF($U106="","",Settings!$C$7)</f>
        <v/>
      </c>
      <c r="L106" s="7">
        <f>IF($U106="","",SUMIFS('Per Line'!$N$2:$N$3001,'Per Line'!$A$2:$A$3001,$A106,'Per Line'!$W$2:$W$3001,0))</f>
        <v/>
      </c>
      <c r="M106" s="7">
        <f>IF($U106="","",L106*K106)</f>
        <v/>
      </c>
      <c r="N106">
        <f>IF($U106="","",Settings!$C$6)</f>
        <v/>
      </c>
      <c r="O106" s="7">
        <f>IF($U106="","",SUMIFS('Per Line'!$N$2:$N$3001,'Per Line'!$A$2:$A$3001,$A106,'Per Line'!$W$2:$W$3001,1))</f>
        <v/>
      </c>
      <c r="P106" s="7">
        <f>IF($U106="","",O106*N106)</f>
        <v/>
      </c>
      <c r="Q106" s="7">
        <f>IF($U106="","",P106+M106)</f>
        <v/>
      </c>
      <c r="R106" s="7">
        <f>IF($U106="","",S106-Q106)</f>
        <v/>
      </c>
      <c r="S106" s="7">
        <f>IF($U106="","",L106+O106)</f>
        <v/>
      </c>
      <c r="T106" s="7">
        <f>IF($U106="","",S106-Q106-G106)</f>
        <v/>
      </c>
      <c r="U106" s="13">
        <f>IF(ROWS($U$2:$U106)&lt;=MAX('Per Line'!$V$2:$V$3001),MATCH(ROWS($U$2:$U106),'Per Line'!$V$2:$V$3001,0),"")</f>
        <v/>
      </c>
    </row>
    <row r="107">
      <c r="A107">
        <f>IF($U107="","",INDEX('Per Line'!$A$2:$A$3001,$U107)&amp;"")</f>
        <v/>
      </c>
      <c r="B107" s="12" t="n"/>
      <c r="C107">
        <f>IF($U107="","",INDEX('Per Line'!$B$2:$B$3001,$U107)&amp;"")</f>
        <v/>
      </c>
      <c r="D107">
        <f>IF($U107="","",INDEX('Per Line'!$C$2:$C$3001,$U107)&amp;"")</f>
        <v/>
      </c>
      <c r="E107">
        <f>IF($U107="","",INDEX('Per Line'!$D$2:$D$3001,$U107)&amp;"")</f>
        <v/>
      </c>
      <c r="F107">
        <f>IF($U107="","",INDEX('Per Line'!$E$2:$E$3001,$U107))</f>
        <v/>
      </c>
      <c r="G107" s="7">
        <f>IF($U107="","",F107*S107/100)</f>
        <v/>
      </c>
      <c r="H107">
        <f>IF($U107="","",INDEX('Per Line'!$O$2:$O$3001,$U107)&amp;"")</f>
        <v/>
      </c>
      <c r="I107" s="11">
        <f>IF($U107="","",INDEX('Per Line'!$Q$2:$Q$3001,$U107))</f>
        <v/>
      </c>
      <c r="J107">
        <f>IF($U107="","",INDEX('Per Line'!$R$2:$R$3001,$U107)&amp;"")</f>
        <v/>
      </c>
      <c r="K107">
        <f>IF($U107="","",Settings!$C$7)</f>
        <v/>
      </c>
      <c r="L107" s="7">
        <f>IF($U107="","",SUMIFS('Per Line'!$N$2:$N$3001,'Per Line'!$A$2:$A$3001,$A107,'Per Line'!$W$2:$W$3001,0))</f>
        <v/>
      </c>
      <c r="M107" s="7">
        <f>IF($U107="","",L107*K107)</f>
        <v/>
      </c>
      <c r="N107">
        <f>IF($U107="","",Settings!$C$6)</f>
        <v/>
      </c>
      <c r="O107" s="7">
        <f>IF($U107="","",SUMIFS('Per Line'!$N$2:$N$3001,'Per Line'!$A$2:$A$3001,$A107,'Per Line'!$W$2:$W$3001,1))</f>
        <v/>
      </c>
      <c r="P107" s="7">
        <f>IF($U107="","",O107*N107)</f>
        <v/>
      </c>
      <c r="Q107" s="7">
        <f>IF($U107="","",P107+M107)</f>
        <v/>
      </c>
      <c r="R107" s="7">
        <f>IF($U107="","",S107-Q107)</f>
        <v/>
      </c>
      <c r="S107" s="7">
        <f>IF($U107="","",L107+O107)</f>
        <v/>
      </c>
      <c r="T107" s="7">
        <f>IF($U107="","",S107-Q107-G107)</f>
        <v/>
      </c>
      <c r="U107" s="13">
        <f>IF(ROWS($U$2:$U107)&lt;=MAX('Per Line'!$V$2:$V$3001),MATCH(ROWS($U$2:$U107),'Per Line'!$V$2:$V$3001,0),"")</f>
        <v/>
      </c>
    </row>
    <row r="108">
      <c r="A108">
        <f>IF($U108="","",INDEX('Per Line'!$A$2:$A$3001,$U108)&amp;"")</f>
        <v/>
      </c>
      <c r="B108" s="12" t="n"/>
      <c r="C108">
        <f>IF($U108="","",INDEX('Per Line'!$B$2:$B$3001,$U108)&amp;"")</f>
        <v/>
      </c>
      <c r="D108">
        <f>IF($U108="","",INDEX('Per Line'!$C$2:$C$3001,$U108)&amp;"")</f>
        <v/>
      </c>
      <c r="E108">
        <f>IF($U108="","",INDEX('Per Line'!$D$2:$D$3001,$U108)&amp;"")</f>
        <v/>
      </c>
      <c r="F108">
        <f>IF($U108="","",INDEX('Per Line'!$E$2:$E$3001,$U108))</f>
        <v/>
      </c>
      <c r="G108" s="7">
        <f>IF($U108="","",F108*S108/100)</f>
        <v/>
      </c>
      <c r="H108">
        <f>IF($U108="","",INDEX('Per Line'!$O$2:$O$3001,$U108)&amp;"")</f>
        <v/>
      </c>
      <c r="I108" s="11">
        <f>IF($U108="","",INDEX('Per Line'!$Q$2:$Q$3001,$U108))</f>
        <v/>
      </c>
      <c r="J108">
        <f>IF($U108="","",INDEX('Per Line'!$R$2:$R$3001,$U108)&amp;"")</f>
        <v/>
      </c>
      <c r="K108">
        <f>IF($U108="","",Settings!$C$7)</f>
        <v/>
      </c>
      <c r="L108" s="7">
        <f>IF($U108="","",SUMIFS('Per Line'!$N$2:$N$3001,'Per Line'!$A$2:$A$3001,$A108,'Per Line'!$W$2:$W$3001,0))</f>
        <v/>
      </c>
      <c r="M108" s="7">
        <f>IF($U108="","",L108*K108)</f>
        <v/>
      </c>
      <c r="N108">
        <f>IF($U108="","",Settings!$C$6)</f>
        <v/>
      </c>
      <c r="O108" s="7">
        <f>IF($U108="","",SUMIFS('Per Line'!$N$2:$N$3001,'Per Line'!$A$2:$A$3001,$A108,'Per Line'!$W$2:$W$3001,1))</f>
        <v/>
      </c>
      <c r="P108" s="7">
        <f>IF($U108="","",O108*N108)</f>
        <v/>
      </c>
      <c r="Q108" s="7">
        <f>IF($U108="","",P108+M108)</f>
        <v/>
      </c>
      <c r="R108" s="7">
        <f>IF($U108="","",S108-Q108)</f>
        <v/>
      </c>
      <c r="S108" s="7">
        <f>IF($U108="","",L108+O108)</f>
        <v/>
      </c>
      <c r="T108" s="7">
        <f>IF($U108="","",S108-Q108-G108)</f>
        <v/>
      </c>
      <c r="U108" s="13">
        <f>IF(ROWS($U$2:$U108)&lt;=MAX('Per Line'!$V$2:$V$3001),MATCH(ROWS($U$2:$U108),'Per Line'!$V$2:$V$3001,0),"")</f>
        <v/>
      </c>
    </row>
    <row r="109">
      <c r="A109">
        <f>IF($U109="","",INDEX('Per Line'!$A$2:$A$3001,$U109)&amp;"")</f>
        <v/>
      </c>
      <c r="B109" s="12" t="n"/>
      <c r="C109">
        <f>IF($U109="","",INDEX('Per Line'!$B$2:$B$3001,$U109)&amp;"")</f>
        <v/>
      </c>
      <c r="D109">
        <f>IF($U109="","",INDEX('Per Line'!$C$2:$C$3001,$U109)&amp;"")</f>
        <v/>
      </c>
      <c r="E109">
        <f>IF($U109="","",INDEX('Per Line'!$D$2:$D$3001,$U109)&amp;"")</f>
        <v/>
      </c>
      <c r="F109">
        <f>IF($U109="","",INDEX('Per Line'!$E$2:$E$3001,$U109))</f>
        <v/>
      </c>
      <c r="G109" s="7">
        <f>IF($U109="","",F109*S109/100)</f>
        <v/>
      </c>
      <c r="H109">
        <f>IF($U109="","",INDEX('Per Line'!$O$2:$O$3001,$U109)&amp;"")</f>
        <v/>
      </c>
      <c r="I109" s="11">
        <f>IF($U109="","",INDEX('Per Line'!$Q$2:$Q$3001,$U109))</f>
        <v/>
      </c>
      <c r="J109">
        <f>IF($U109="","",INDEX('Per Line'!$R$2:$R$3001,$U109)&amp;"")</f>
        <v/>
      </c>
      <c r="K109">
        <f>IF($U109="","",Settings!$C$7)</f>
        <v/>
      </c>
      <c r="L109" s="7">
        <f>IF($U109="","",SUMIFS('Per Line'!$N$2:$N$3001,'Per Line'!$A$2:$A$3001,$A109,'Per Line'!$W$2:$W$3001,0))</f>
        <v/>
      </c>
      <c r="M109" s="7">
        <f>IF($U109="","",L109*K109)</f>
        <v/>
      </c>
      <c r="N109">
        <f>IF($U109="","",Settings!$C$6)</f>
        <v/>
      </c>
      <c r="O109" s="7">
        <f>IF($U109="","",SUMIFS('Per Line'!$N$2:$N$3001,'Per Line'!$A$2:$A$3001,$A109,'Per Line'!$W$2:$W$3001,1))</f>
        <v/>
      </c>
      <c r="P109" s="7">
        <f>IF($U109="","",O109*N109)</f>
        <v/>
      </c>
      <c r="Q109" s="7">
        <f>IF($U109="","",P109+M109)</f>
        <v/>
      </c>
      <c r="R109" s="7">
        <f>IF($U109="","",S109-Q109)</f>
        <v/>
      </c>
      <c r="S109" s="7">
        <f>IF($U109="","",L109+O109)</f>
        <v/>
      </c>
      <c r="T109" s="7">
        <f>IF($U109="","",S109-Q109-G109)</f>
        <v/>
      </c>
      <c r="U109" s="13">
        <f>IF(ROWS($U$2:$U109)&lt;=MAX('Per Line'!$V$2:$V$3001),MATCH(ROWS($U$2:$U109),'Per Line'!$V$2:$V$3001,0),"")</f>
        <v/>
      </c>
    </row>
    <row r="110">
      <c r="A110">
        <f>IF($U110="","",INDEX('Per Line'!$A$2:$A$3001,$U110)&amp;"")</f>
        <v/>
      </c>
      <c r="B110" s="12" t="n"/>
      <c r="C110">
        <f>IF($U110="","",INDEX('Per Line'!$B$2:$B$3001,$U110)&amp;"")</f>
        <v/>
      </c>
      <c r="D110">
        <f>IF($U110="","",INDEX('Per Line'!$C$2:$C$3001,$U110)&amp;"")</f>
        <v/>
      </c>
      <c r="E110">
        <f>IF($U110="","",INDEX('Per Line'!$D$2:$D$3001,$U110)&amp;"")</f>
        <v/>
      </c>
      <c r="F110">
        <f>IF($U110="","",INDEX('Per Line'!$E$2:$E$3001,$U110))</f>
        <v/>
      </c>
      <c r="G110" s="7">
        <f>IF($U110="","",F110*S110/100)</f>
        <v/>
      </c>
      <c r="H110">
        <f>IF($U110="","",INDEX('Per Line'!$O$2:$O$3001,$U110)&amp;"")</f>
        <v/>
      </c>
      <c r="I110" s="11">
        <f>IF($U110="","",INDEX('Per Line'!$Q$2:$Q$3001,$U110))</f>
        <v/>
      </c>
      <c r="J110">
        <f>IF($U110="","",INDEX('Per Line'!$R$2:$R$3001,$U110)&amp;"")</f>
        <v/>
      </c>
      <c r="K110">
        <f>IF($U110="","",Settings!$C$7)</f>
        <v/>
      </c>
      <c r="L110" s="7">
        <f>IF($U110="","",SUMIFS('Per Line'!$N$2:$N$3001,'Per Line'!$A$2:$A$3001,$A110,'Per Line'!$W$2:$W$3001,0))</f>
        <v/>
      </c>
      <c r="M110" s="7">
        <f>IF($U110="","",L110*K110)</f>
        <v/>
      </c>
      <c r="N110">
        <f>IF($U110="","",Settings!$C$6)</f>
        <v/>
      </c>
      <c r="O110" s="7">
        <f>IF($U110="","",SUMIFS('Per Line'!$N$2:$N$3001,'Per Line'!$A$2:$A$3001,$A110,'Per Line'!$W$2:$W$3001,1))</f>
        <v/>
      </c>
      <c r="P110" s="7">
        <f>IF($U110="","",O110*N110)</f>
        <v/>
      </c>
      <c r="Q110" s="7">
        <f>IF($U110="","",P110+M110)</f>
        <v/>
      </c>
      <c r="R110" s="7">
        <f>IF($U110="","",S110-Q110)</f>
        <v/>
      </c>
      <c r="S110" s="7">
        <f>IF($U110="","",L110+O110)</f>
        <v/>
      </c>
      <c r="T110" s="7">
        <f>IF($U110="","",S110-Q110-G110)</f>
        <v/>
      </c>
      <c r="U110" s="13">
        <f>IF(ROWS($U$2:$U110)&lt;=MAX('Per Line'!$V$2:$V$3001),MATCH(ROWS($U$2:$U110),'Per Line'!$V$2:$V$3001,0),"")</f>
        <v/>
      </c>
    </row>
    <row r="111">
      <c r="A111">
        <f>IF($U111="","",INDEX('Per Line'!$A$2:$A$3001,$U111)&amp;"")</f>
        <v/>
      </c>
      <c r="B111" s="12" t="n"/>
      <c r="C111">
        <f>IF($U111="","",INDEX('Per Line'!$B$2:$B$3001,$U111)&amp;"")</f>
        <v/>
      </c>
      <c r="D111">
        <f>IF($U111="","",INDEX('Per Line'!$C$2:$C$3001,$U111)&amp;"")</f>
        <v/>
      </c>
      <c r="E111">
        <f>IF($U111="","",INDEX('Per Line'!$D$2:$D$3001,$U111)&amp;"")</f>
        <v/>
      </c>
      <c r="F111">
        <f>IF($U111="","",INDEX('Per Line'!$E$2:$E$3001,$U111))</f>
        <v/>
      </c>
      <c r="G111" s="7">
        <f>IF($U111="","",F111*S111/100)</f>
        <v/>
      </c>
      <c r="H111">
        <f>IF($U111="","",INDEX('Per Line'!$O$2:$O$3001,$U111)&amp;"")</f>
        <v/>
      </c>
      <c r="I111" s="11">
        <f>IF($U111="","",INDEX('Per Line'!$Q$2:$Q$3001,$U111))</f>
        <v/>
      </c>
      <c r="J111">
        <f>IF($U111="","",INDEX('Per Line'!$R$2:$R$3001,$U111)&amp;"")</f>
        <v/>
      </c>
      <c r="K111">
        <f>IF($U111="","",Settings!$C$7)</f>
        <v/>
      </c>
      <c r="L111" s="7">
        <f>IF($U111="","",SUMIFS('Per Line'!$N$2:$N$3001,'Per Line'!$A$2:$A$3001,$A111,'Per Line'!$W$2:$W$3001,0))</f>
        <v/>
      </c>
      <c r="M111" s="7">
        <f>IF($U111="","",L111*K111)</f>
        <v/>
      </c>
      <c r="N111">
        <f>IF($U111="","",Settings!$C$6)</f>
        <v/>
      </c>
      <c r="O111" s="7">
        <f>IF($U111="","",SUMIFS('Per Line'!$N$2:$N$3001,'Per Line'!$A$2:$A$3001,$A111,'Per Line'!$W$2:$W$3001,1))</f>
        <v/>
      </c>
      <c r="P111" s="7">
        <f>IF($U111="","",O111*N111)</f>
        <v/>
      </c>
      <c r="Q111" s="7">
        <f>IF($U111="","",P111+M111)</f>
        <v/>
      </c>
      <c r="R111" s="7">
        <f>IF($U111="","",S111-Q111)</f>
        <v/>
      </c>
      <c r="S111" s="7">
        <f>IF($U111="","",L111+O111)</f>
        <v/>
      </c>
      <c r="T111" s="7">
        <f>IF($U111="","",S111-Q111-G111)</f>
        <v/>
      </c>
      <c r="U111" s="13">
        <f>IF(ROWS($U$2:$U111)&lt;=MAX('Per Line'!$V$2:$V$3001),MATCH(ROWS($U$2:$U111),'Per Line'!$V$2:$V$3001,0),"")</f>
        <v/>
      </c>
    </row>
    <row r="112">
      <c r="A112">
        <f>IF($U112="","",INDEX('Per Line'!$A$2:$A$3001,$U112)&amp;"")</f>
        <v/>
      </c>
      <c r="B112" s="12" t="n"/>
      <c r="C112">
        <f>IF($U112="","",INDEX('Per Line'!$B$2:$B$3001,$U112)&amp;"")</f>
        <v/>
      </c>
      <c r="D112">
        <f>IF($U112="","",INDEX('Per Line'!$C$2:$C$3001,$U112)&amp;"")</f>
        <v/>
      </c>
      <c r="E112">
        <f>IF($U112="","",INDEX('Per Line'!$D$2:$D$3001,$U112)&amp;"")</f>
        <v/>
      </c>
      <c r="F112">
        <f>IF($U112="","",INDEX('Per Line'!$E$2:$E$3001,$U112))</f>
        <v/>
      </c>
      <c r="G112" s="7">
        <f>IF($U112="","",F112*S112/100)</f>
        <v/>
      </c>
      <c r="H112">
        <f>IF($U112="","",INDEX('Per Line'!$O$2:$O$3001,$U112)&amp;"")</f>
        <v/>
      </c>
      <c r="I112" s="11">
        <f>IF($U112="","",INDEX('Per Line'!$Q$2:$Q$3001,$U112))</f>
        <v/>
      </c>
      <c r="J112">
        <f>IF($U112="","",INDEX('Per Line'!$R$2:$R$3001,$U112)&amp;"")</f>
        <v/>
      </c>
      <c r="K112">
        <f>IF($U112="","",Settings!$C$7)</f>
        <v/>
      </c>
      <c r="L112" s="7">
        <f>IF($U112="","",SUMIFS('Per Line'!$N$2:$N$3001,'Per Line'!$A$2:$A$3001,$A112,'Per Line'!$W$2:$W$3001,0))</f>
        <v/>
      </c>
      <c r="M112" s="7">
        <f>IF($U112="","",L112*K112)</f>
        <v/>
      </c>
      <c r="N112">
        <f>IF($U112="","",Settings!$C$6)</f>
        <v/>
      </c>
      <c r="O112" s="7">
        <f>IF($U112="","",SUMIFS('Per Line'!$N$2:$N$3001,'Per Line'!$A$2:$A$3001,$A112,'Per Line'!$W$2:$W$3001,1))</f>
        <v/>
      </c>
      <c r="P112" s="7">
        <f>IF($U112="","",O112*N112)</f>
        <v/>
      </c>
      <c r="Q112" s="7">
        <f>IF($U112="","",P112+M112)</f>
        <v/>
      </c>
      <c r="R112" s="7">
        <f>IF($U112="","",S112-Q112)</f>
        <v/>
      </c>
      <c r="S112" s="7">
        <f>IF($U112="","",L112+O112)</f>
        <v/>
      </c>
      <c r="T112" s="7">
        <f>IF($U112="","",S112-Q112-G112)</f>
        <v/>
      </c>
      <c r="U112" s="13">
        <f>IF(ROWS($U$2:$U112)&lt;=MAX('Per Line'!$V$2:$V$3001),MATCH(ROWS($U$2:$U112),'Per Line'!$V$2:$V$3001,0),"")</f>
        <v/>
      </c>
    </row>
    <row r="113">
      <c r="A113">
        <f>IF($U113="","",INDEX('Per Line'!$A$2:$A$3001,$U113)&amp;"")</f>
        <v/>
      </c>
      <c r="B113" s="12" t="n"/>
      <c r="C113">
        <f>IF($U113="","",INDEX('Per Line'!$B$2:$B$3001,$U113)&amp;"")</f>
        <v/>
      </c>
      <c r="D113">
        <f>IF($U113="","",INDEX('Per Line'!$C$2:$C$3001,$U113)&amp;"")</f>
        <v/>
      </c>
      <c r="E113">
        <f>IF($U113="","",INDEX('Per Line'!$D$2:$D$3001,$U113)&amp;"")</f>
        <v/>
      </c>
      <c r="F113">
        <f>IF($U113="","",INDEX('Per Line'!$E$2:$E$3001,$U113))</f>
        <v/>
      </c>
      <c r="G113" s="7">
        <f>IF($U113="","",F113*S113/100)</f>
        <v/>
      </c>
      <c r="H113">
        <f>IF($U113="","",INDEX('Per Line'!$O$2:$O$3001,$U113)&amp;"")</f>
        <v/>
      </c>
      <c r="I113" s="11">
        <f>IF($U113="","",INDEX('Per Line'!$Q$2:$Q$3001,$U113))</f>
        <v/>
      </c>
      <c r="J113">
        <f>IF($U113="","",INDEX('Per Line'!$R$2:$R$3001,$U113)&amp;"")</f>
        <v/>
      </c>
      <c r="K113">
        <f>IF($U113="","",Settings!$C$7)</f>
        <v/>
      </c>
      <c r="L113" s="7">
        <f>IF($U113="","",SUMIFS('Per Line'!$N$2:$N$3001,'Per Line'!$A$2:$A$3001,$A113,'Per Line'!$W$2:$W$3001,0))</f>
        <v/>
      </c>
      <c r="M113" s="7">
        <f>IF($U113="","",L113*K113)</f>
        <v/>
      </c>
      <c r="N113">
        <f>IF($U113="","",Settings!$C$6)</f>
        <v/>
      </c>
      <c r="O113" s="7">
        <f>IF($U113="","",SUMIFS('Per Line'!$N$2:$N$3001,'Per Line'!$A$2:$A$3001,$A113,'Per Line'!$W$2:$W$3001,1))</f>
        <v/>
      </c>
      <c r="P113" s="7">
        <f>IF($U113="","",O113*N113)</f>
        <v/>
      </c>
      <c r="Q113" s="7">
        <f>IF($U113="","",P113+M113)</f>
        <v/>
      </c>
      <c r="R113" s="7">
        <f>IF($U113="","",S113-Q113)</f>
        <v/>
      </c>
      <c r="S113" s="7">
        <f>IF($U113="","",L113+O113)</f>
        <v/>
      </c>
      <c r="T113" s="7">
        <f>IF($U113="","",S113-Q113-G113)</f>
        <v/>
      </c>
      <c r="U113" s="13">
        <f>IF(ROWS($U$2:$U113)&lt;=MAX('Per Line'!$V$2:$V$3001),MATCH(ROWS($U$2:$U113),'Per Line'!$V$2:$V$3001,0),"")</f>
        <v/>
      </c>
    </row>
    <row r="114">
      <c r="A114">
        <f>IF($U114="","",INDEX('Per Line'!$A$2:$A$3001,$U114)&amp;"")</f>
        <v/>
      </c>
      <c r="B114" s="12" t="n"/>
      <c r="C114">
        <f>IF($U114="","",INDEX('Per Line'!$B$2:$B$3001,$U114)&amp;"")</f>
        <v/>
      </c>
      <c r="D114">
        <f>IF($U114="","",INDEX('Per Line'!$C$2:$C$3001,$U114)&amp;"")</f>
        <v/>
      </c>
      <c r="E114">
        <f>IF($U114="","",INDEX('Per Line'!$D$2:$D$3001,$U114)&amp;"")</f>
        <v/>
      </c>
      <c r="F114">
        <f>IF($U114="","",INDEX('Per Line'!$E$2:$E$3001,$U114))</f>
        <v/>
      </c>
      <c r="G114" s="7">
        <f>IF($U114="","",F114*S114/100)</f>
        <v/>
      </c>
      <c r="H114">
        <f>IF($U114="","",INDEX('Per Line'!$O$2:$O$3001,$U114)&amp;"")</f>
        <v/>
      </c>
      <c r="I114" s="11">
        <f>IF($U114="","",INDEX('Per Line'!$Q$2:$Q$3001,$U114))</f>
        <v/>
      </c>
      <c r="J114">
        <f>IF($U114="","",INDEX('Per Line'!$R$2:$R$3001,$U114)&amp;"")</f>
        <v/>
      </c>
      <c r="K114">
        <f>IF($U114="","",Settings!$C$7)</f>
        <v/>
      </c>
      <c r="L114" s="7">
        <f>IF($U114="","",SUMIFS('Per Line'!$N$2:$N$3001,'Per Line'!$A$2:$A$3001,$A114,'Per Line'!$W$2:$W$3001,0))</f>
        <v/>
      </c>
      <c r="M114" s="7">
        <f>IF($U114="","",L114*K114)</f>
        <v/>
      </c>
      <c r="N114">
        <f>IF($U114="","",Settings!$C$6)</f>
        <v/>
      </c>
      <c r="O114" s="7">
        <f>IF($U114="","",SUMIFS('Per Line'!$N$2:$N$3001,'Per Line'!$A$2:$A$3001,$A114,'Per Line'!$W$2:$W$3001,1))</f>
        <v/>
      </c>
      <c r="P114" s="7">
        <f>IF($U114="","",O114*N114)</f>
        <v/>
      </c>
      <c r="Q114" s="7">
        <f>IF($U114="","",P114+M114)</f>
        <v/>
      </c>
      <c r="R114" s="7">
        <f>IF($U114="","",S114-Q114)</f>
        <v/>
      </c>
      <c r="S114" s="7">
        <f>IF($U114="","",L114+O114)</f>
        <v/>
      </c>
      <c r="T114" s="7">
        <f>IF($U114="","",S114-Q114-G114)</f>
        <v/>
      </c>
      <c r="U114" s="13">
        <f>IF(ROWS($U$2:$U114)&lt;=MAX('Per Line'!$V$2:$V$3001),MATCH(ROWS($U$2:$U114),'Per Line'!$V$2:$V$3001,0),"")</f>
        <v/>
      </c>
    </row>
    <row r="115">
      <c r="A115">
        <f>IF($U115="","",INDEX('Per Line'!$A$2:$A$3001,$U115)&amp;"")</f>
        <v/>
      </c>
      <c r="B115" s="12" t="n"/>
      <c r="C115">
        <f>IF($U115="","",INDEX('Per Line'!$B$2:$B$3001,$U115)&amp;"")</f>
        <v/>
      </c>
      <c r="D115">
        <f>IF($U115="","",INDEX('Per Line'!$C$2:$C$3001,$U115)&amp;"")</f>
        <v/>
      </c>
      <c r="E115">
        <f>IF($U115="","",INDEX('Per Line'!$D$2:$D$3001,$U115)&amp;"")</f>
        <v/>
      </c>
      <c r="F115">
        <f>IF($U115="","",INDEX('Per Line'!$E$2:$E$3001,$U115))</f>
        <v/>
      </c>
      <c r="G115" s="7">
        <f>IF($U115="","",F115*S115/100)</f>
        <v/>
      </c>
      <c r="H115">
        <f>IF($U115="","",INDEX('Per Line'!$O$2:$O$3001,$U115)&amp;"")</f>
        <v/>
      </c>
      <c r="I115" s="11">
        <f>IF($U115="","",INDEX('Per Line'!$Q$2:$Q$3001,$U115))</f>
        <v/>
      </c>
      <c r="J115">
        <f>IF($U115="","",INDEX('Per Line'!$R$2:$R$3001,$U115)&amp;"")</f>
        <v/>
      </c>
      <c r="K115">
        <f>IF($U115="","",Settings!$C$7)</f>
        <v/>
      </c>
      <c r="L115" s="7">
        <f>IF($U115="","",SUMIFS('Per Line'!$N$2:$N$3001,'Per Line'!$A$2:$A$3001,$A115,'Per Line'!$W$2:$W$3001,0))</f>
        <v/>
      </c>
      <c r="M115" s="7">
        <f>IF($U115="","",L115*K115)</f>
        <v/>
      </c>
      <c r="N115">
        <f>IF($U115="","",Settings!$C$6)</f>
        <v/>
      </c>
      <c r="O115" s="7">
        <f>IF($U115="","",SUMIFS('Per Line'!$N$2:$N$3001,'Per Line'!$A$2:$A$3001,$A115,'Per Line'!$W$2:$W$3001,1))</f>
        <v/>
      </c>
      <c r="P115" s="7">
        <f>IF($U115="","",O115*N115)</f>
        <v/>
      </c>
      <c r="Q115" s="7">
        <f>IF($U115="","",P115+M115)</f>
        <v/>
      </c>
      <c r="R115" s="7">
        <f>IF($U115="","",S115-Q115)</f>
        <v/>
      </c>
      <c r="S115" s="7">
        <f>IF($U115="","",L115+O115)</f>
        <v/>
      </c>
      <c r="T115" s="7">
        <f>IF($U115="","",S115-Q115-G115)</f>
        <v/>
      </c>
      <c r="U115" s="13">
        <f>IF(ROWS($U$2:$U115)&lt;=MAX('Per Line'!$V$2:$V$3001),MATCH(ROWS($U$2:$U115),'Per Line'!$V$2:$V$3001,0),"")</f>
        <v/>
      </c>
    </row>
    <row r="116">
      <c r="A116">
        <f>IF($U116="","",INDEX('Per Line'!$A$2:$A$3001,$U116)&amp;"")</f>
        <v/>
      </c>
      <c r="B116" s="12" t="n"/>
      <c r="C116">
        <f>IF($U116="","",INDEX('Per Line'!$B$2:$B$3001,$U116)&amp;"")</f>
        <v/>
      </c>
      <c r="D116">
        <f>IF($U116="","",INDEX('Per Line'!$C$2:$C$3001,$U116)&amp;"")</f>
        <v/>
      </c>
      <c r="E116">
        <f>IF($U116="","",INDEX('Per Line'!$D$2:$D$3001,$U116)&amp;"")</f>
        <v/>
      </c>
      <c r="F116">
        <f>IF($U116="","",INDEX('Per Line'!$E$2:$E$3001,$U116))</f>
        <v/>
      </c>
      <c r="G116" s="7">
        <f>IF($U116="","",F116*S116/100)</f>
        <v/>
      </c>
      <c r="H116">
        <f>IF($U116="","",INDEX('Per Line'!$O$2:$O$3001,$U116)&amp;"")</f>
        <v/>
      </c>
      <c r="I116" s="11">
        <f>IF($U116="","",INDEX('Per Line'!$Q$2:$Q$3001,$U116))</f>
        <v/>
      </c>
      <c r="J116">
        <f>IF($U116="","",INDEX('Per Line'!$R$2:$R$3001,$U116)&amp;"")</f>
        <v/>
      </c>
      <c r="K116">
        <f>IF($U116="","",Settings!$C$7)</f>
        <v/>
      </c>
      <c r="L116" s="7">
        <f>IF($U116="","",SUMIFS('Per Line'!$N$2:$N$3001,'Per Line'!$A$2:$A$3001,$A116,'Per Line'!$W$2:$W$3001,0))</f>
        <v/>
      </c>
      <c r="M116" s="7">
        <f>IF($U116="","",L116*K116)</f>
        <v/>
      </c>
      <c r="N116">
        <f>IF($U116="","",Settings!$C$6)</f>
        <v/>
      </c>
      <c r="O116" s="7">
        <f>IF($U116="","",SUMIFS('Per Line'!$N$2:$N$3001,'Per Line'!$A$2:$A$3001,$A116,'Per Line'!$W$2:$W$3001,1))</f>
        <v/>
      </c>
      <c r="P116" s="7">
        <f>IF($U116="","",O116*N116)</f>
        <v/>
      </c>
      <c r="Q116" s="7">
        <f>IF($U116="","",P116+M116)</f>
        <v/>
      </c>
      <c r="R116" s="7">
        <f>IF($U116="","",S116-Q116)</f>
        <v/>
      </c>
      <c r="S116" s="7">
        <f>IF($U116="","",L116+O116)</f>
        <v/>
      </c>
      <c r="T116" s="7">
        <f>IF($U116="","",S116-Q116-G116)</f>
        <v/>
      </c>
      <c r="U116" s="13">
        <f>IF(ROWS($U$2:$U116)&lt;=MAX('Per Line'!$V$2:$V$3001),MATCH(ROWS($U$2:$U116),'Per Line'!$V$2:$V$3001,0),"")</f>
        <v/>
      </c>
    </row>
    <row r="117">
      <c r="A117">
        <f>IF($U117="","",INDEX('Per Line'!$A$2:$A$3001,$U117)&amp;"")</f>
        <v/>
      </c>
      <c r="B117" s="12" t="n"/>
      <c r="C117">
        <f>IF($U117="","",INDEX('Per Line'!$B$2:$B$3001,$U117)&amp;"")</f>
        <v/>
      </c>
      <c r="D117">
        <f>IF($U117="","",INDEX('Per Line'!$C$2:$C$3001,$U117)&amp;"")</f>
        <v/>
      </c>
      <c r="E117">
        <f>IF($U117="","",INDEX('Per Line'!$D$2:$D$3001,$U117)&amp;"")</f>
        <v/>
      </c>
      <c r="F117">
        <f>IF($U117="","",INDEX('Per Line'!$E$2:$E$3001,$U117))</f>
        <v/>
      </c>
      <c r="G117" s="7">
        <f>IF($U117="","",F117*S117/100)</f>
        <v/>
      </c>
      <c r="H117">
        <f>IF($U117="","",INDEX('Per Line'!$O$2:$O$3001,$U117)&amp;"")</f>
        <v/>
      </c>
      <c r="I117" s="11">
        <f>IF($U117="","",INDEX('Per Line'!$Q$2:$Q$3001,$U117))</f>
        <v/>
      </c>
      <c r="J117">
        <f>IF($U117="","",INDEX('Per Line'!$R$2:$R$3001,$U117)&amp;"")</f>
        <v/>
      </c>
      <c r="K117">
        <f>IF($U117="","",Settings!$C$7)</f>
        <v/>
      </c>
      <c r="L117" s="7">
        <f>IF($U117="","",SUMIFS('Per Line'!$N$2:$N$3001,'Per Line'!$A$2:$A$3001,$A117,'Per Line'!$W$2:$W$3001,0))</f>
        <v/>
      </c>
      <c r="M117" s="7">
        <f>IF($U117="","",L117*K117)</f>
        <v/>
      </c>
      <c r="N117">
        <f>IF($U117="","",Settings!$C$6)</f>
        <v/>
      </c>
      <c r="O117" s="7">
        <f>IF($U117="","",SUMIFS('Per Line'!$N$2:$N$3001,'Per Line'!$A$2:$A$3001,$A117,'Per Line'!$W$2:$W$3001,1))</f>
        <v/>
      </c>
      <c r="P117" s="7">
        <f>IF($U117="","",O117*N117)</f>
        <v/>
      </c>
      <c r="Q117" s="7">
        <f>IF($U117="","",P117+M117)</f>
        <v/>
      </c>
      <c r="R117" s="7">
        <f>IF($U117="","",S117-Q117)</f>
        <v/>
      </c>
      <c r="S117" s="7">
        <f>IF($U117="","",L117+O117)</f>
        <v/>
      </c>
      <c r="T117" s="7">
        <f>IF($U117="","",S117-Q117-G117)</f>
        <v/>
      </c>
      <c r="U117" s="13">
        <f>IF(ROWS($U$2:$U117)&lt;=MAX('Per Line'!$V$2:$V$3001),MATCH(ROWS($U$2:$U117),'Per Line'!$V$2:$V$3001,0),"")</f>
        <v/>
      </c>
    </row>
    <row r="118">
      <c r="A118">
        <f>IF($U118="","",INDEX('Per Line'!$A$2:$A$3001,$U118)&amp;"")</f>
        <v/>
      </c>
      <c r="B118" s="12" t="n"/>
      <c r="C118">
        <f>IF($U118="","",INDEX('Per Line'!$B$2:$B$3001,$U118)&amp;"")</f>
        <v/>
      </c>
      <c r="D118">
        <f>IF($U118="","",INDEX('Per Line'!$C$2:$C$3001,$U118)&amp;"")</f>
        <v/>
      </c>
      <c r="E118">
        <f>IF($U118="","",INDEX('Per Line'!$D$2:$D$3001,$U118)&amp;"")</f>
        <v/>
      </c>
      <c r="F118">
        <f>IF($U118="","",INDEX('Per Line'!$E$2:$E$3001,$U118))</f>
        <v/>
      </c>
      <c r="G118" s="7">
        <f>IF($U118="","",F118*S118/100)</f>
        <v/>
      </c>
      <c r="H118">
        <f>IF($U118="","",INDEX('Per Line'!$O$2:$O$3001,$U118)&amp;"")</f>
        <v/>
      </c>
      <c r="I118" s="11">
        <f>IF($U118="","",INDEX('Per Line'!$Q$2:$Q$3001,$U118))</f>
        <v/>
      </c>
      <c r="J118">
        <f>IF($U118="","",INDEX('Per Line'!$R$2:$R$3001,$U118)&amp;"")</f>
        <v/>
      </c>
      <c r="K118">
        <f>IF($U118="","",Settings!$C$7)</f>
        <v/>
      </c>
      <c r="L118" s="7">
        <f>IF($U118="","",SUMIFS('Per Line'!$N$2:$N$3001,'Per Line'!$A$2:$A$3001,$A118,'Per Line'!$W$2:$W$3001,0))</f>
        <v/>
      </c>
      <c r="M118" s="7">
        <f>IF($U118="","",L118*K118)</f>
        <v/>
      </c>
      <c r="N118">
        <f>IF($U118="","",Settings!$C$6)</f>
        <v/>
      </c>
      <c r="O118" s="7">
        <f>IF($U118="","",SUMIFS('Per Line'!$N$2:$N$3001,'Per Line'!$A$2:$A$3001,$A118,'Per Line'!$W$2:$W$3001,1))</f>
        <v/>
      </c>
      <c r="P118" s="7">
        <f>IF($U118="","",O118*N118)</f>
        <v/>
      </c>
      <c r="Q118" s="7">
        <f>IF($U118="","",P118+M118)</f>
        <v/>
      </c>
      <c r="R118" s="7">
        <f>IF($U118="","",S118-Q118)</f>
        <v/>
      </c>
      <c r="S118" s="7">
        <f>IF($U118="","",L118+O118)</f>
        <v/>
      </c>
      <c r="T118" s="7">
        <f>IF($U118="","",S118-Q118-G118)</f>
        <v/>
      </c>
      <c r="U118" s="13">
        <f>IF(ROWS($U$2:$U118)&lt;=MAX('Per Line'!$V$2:$V$3001),MATCH(ROWS($U$2:$U118),'Per Line'!$V$2:$V$3001,0),"")</f>
        <v/>
      </c>
    </row>
    <row r="119">
      <c r="A119">
        <f>IF($U119="","",INDEX('Per Line'!$A$2:$A$3001,$U119)&amp;"")</f>
        <v/>
      </c>
      <c r="B119" s="12" t="n"/>
      <c r="C119">
        <f>IF($U119="","",INDEX('Per Line'!$B$2:$B$3001,$U119)&amp;"")</f>
        <v/>
      </c>
      <c r="D119">
        <f>IF($U119="","",INDEX('Per Line'!$C$2:$C$3001,$U119)&amp;"")</f>
        <v/>
      </c>
      <c r="E119">
        <f>IF($U119="","",INDEX('Per Line'!$D$2:$D$3001,$U119)&amp;"")</f>
        <v/>
      </c>
      <c r="F119">
        <f>IF($U119="","",INDEX('Per Line'!$E$2:$E$3001,$U119))</f>
        <v/>
      </c>
      <c r="G119" s="7">
        <f>IF($U119="","",F119*S119/100)</f>
        <v/>
      </c>
      <c r="H119">
        <f>IF($U119="","",INDEX('Per Line'!$O$2:$O$3001,$U119)&amp;"")</f>
        <v/>
      </c>
      <c r="I119" s="11">
        <f>IF($U119="","",INDEX('Per Line'!$Q$2:$Q$3001,$U119))</f>
        <v/>
      </c>
      <c r="J119">
        <f>IF($U119="","",INDEX('Per Line'!$R$2:$R$3001,$U119)&amp;"")</f>
        <v/>
      </c>
      <c r="K119">
        <f>IF($U119="","",Settings!$C$7)</f>
        <v/>
      </c>
      <c r="L119" s="7">
        <f>IF($U119="","",SUMIFS('Per Line'!$N$2:$N$3001,'Per Line'!$A$2:$A$3001,$A119,'Per Line'!$W$2:$W$3001,0))</f>
        <v/>
      </c>
      <c r="M119" s="7">
        <f>IF($U119="","",L119*K119)</f>
        <v/>
      </c>
      <c r="N119">
        <f>IF($U119="","",Settings!$C$6)</f>
        <v/>
      </c>
      <c r="O119" s="7">
        <f>IF($U119="","",SUMIFS('Per Line'!$N$2:$N$3001,'Per Line'!$A$2:$A$3001,$A119,'Per Line'!$W$2:$W$3001,1))</f>
        <v/>
      </c>
      <c r="P119" s="7">
        <f>IF($U119="","",O119*N119)</f>
        <v/>
      </c>
      <c r="Q119" s="7">
        <f>IF($U119="","",P119+M119)</f>
        <v/>
      </c>
      <c r="R119" s="7">
        <f>IF($U119="","",S119-Q119)</f>
        <v/>
      </c>
      <c r="S119" s="7">
        <f>IF($U119="","",L119+O119)</f>
        <v/>
      </c>
      <c r="T119" s="7">
        <f>IF($U119="","",S119-Q119-G119)</f>
        <v/>
      </c>
      <c r="U119" s="13">
        <f>IF(ROWS($U$2:$U119)&lt;=MAX('Per Line'!$V$2:$V$3001),MATCH(ROWS($U$2:$U119),'Per Line'!$V$2:$V$3001,0),"")</f>
        <v/>
      </c>
    </row>
    <row r="120">
      <c r="A120">
        <f>IF($U120="","",INDEX('Per Line'!$A$2:$A$3001,$U120)&amp;"")</f>
        <v/>
      </c>
      <c r="B120" s="12" t="n"/>
      <c r="C120">
        <f>IF($U120="","",INDEX('Per Line'!$B$2:$B$3001,$U120)&amp;"")</f>
        <v/>
      </c>
      <c r="D120">
        <f>IF($U120="","",INDEX('Per Line'!$C$2:$C$3001,$U120)&amp;"")</f>
        <v/>
      </c>
      <c r="E120">
        <f>IF($U120="","",INDEX('Per Line'!$D$2:$D$3001,$U120)&amp;"")</f>
        <v/>
      </c>
      <c r="F120">
        <f>IF($U120="","",INDEX('Per Line'!$E$2:$E$3001,$U120))</f>
        <v/>
      </c>
      <c r="G120" s="7">
        <f>IF($U120="","",F120*S120/100)</f>
        <v/>
      </c>
      <c r="H120">
        <f>IF($U120="","",INDEX('Per Line'!$O$2:$O$3001,$U120)&amp;"")</f>
        <v/>
      </c>
      <c r="I120" s="11">
        <f>IF($U120="","",INDEX('Per Line'!$Q$2:$Q$3001,$U120))</f>
        <v/>
      </c>
      <c r="J120">
        <f>IF($U120="","",INDEX('Per Line'!$R$2:$R$3001,$U120)&amp;"")</f>
        <v/>
      </c>
      <c r="K120">
        <f>IF($U120="","",Settings!$C$7)</f>
        <v/>
      </c>
      <c r="L120" s="7">
        <f>IF($U120="","",SUMIFS('Per Line'!$N$2:$N$3001,'Per Line'!$A$2:$A$3001,$A120,'Per Line'!$W$2:$W$3001,0))</f>
        <v/>
      </c>
      <c r="M120" s="7">
        <f>IF($U120="","",L120*K120)</f>
        <v/>
      </c>
      <c r="N120">
        <f>IF($U120="","",Settings!$C$6)</f>
        <v/>
      </c>
      <c r="O120" s="7">
        <f>IF($U120="","",SUMIFS('Per Line'!$N$2:$N$3001,'Per Line'!$A$2:$A$3001,$A120,'Per Line'!$W$2:$W$3001,1))</f>
        <v/>
      </c>
      <c r="P120" s="7">
        <f>IF($U120="","",O120*N120)</f>
        <v/>
      </c>
      <c r="Q120" s="7">
        <f>IF($U120="","",P120+M120)</f>
        <v/>
      </c>
      <c r="R120" s="7">
        <f>IF($U120="","",S120-Q120)</f>
        <v/>
      </c>
      <c r="S120" s="7">
        <f>IF($U120="","",L120+O120)</f>
        <v/>
      </c>
      <c r="T120" s="7">
        <f>IF($U120="","",S120-Q120-G120)</f>
        <v/>
      </c>
      <c r="U120" s="13">
        <f>IF(ROWS($U$2:$U120)&lt;=MAX('Per Line'!$V$2:$V$3001),MATCH(ROWS($U$2:$U120),'Per Line'!$V$2:$V$3001,0),"")</f>
        <v/>
      </c>
    </row>
    <row r="121">
      <c r="A121">
        <f>IF($U121="","",INDEX('Per Line'!$A$2:$A$3001,$U121)&amp;"")</f>
        <v/>
      </c>
      <c r="B121" s="12" t="n"/>
      <c r="C121">
        <f>IF($U121="","",INDEX('Per Line'!$B$2:$B$3001,$U121)&amp;"")</f>
        <v/>
      </c>
      <c r="D121">
        <f>IF($U121="","",INDEX('Per Line'!$C$2:$C$3001,$U121)&amp;"")</f>
        <v/>
      </c>
      <c r="E121">
        <f>IF($U121="","",INDEX('Per Line'!$D$2:$D$3001,$U121)&amp;"")</f>
        <v/>
      </c>
      <c r="F121">
        <f>IF($U121="","",INDEX('Per Line'!$E$2:$E$3001,$U121))</f>
        <v/>
      </c>
      <c r="G121" s="7">
        <f>IF($U121="","",F121*S121/100)</f>
        <v/>
      </c>
      <c r="H121">
        <f>IF($U121="","",INDEX('Per Line'!$O$2:$O$3001,$U121)&amp;"")</f>
        <v/>
      </c>
      <c r="I121" s="11">
        <f>IF($U121="","",INDEX('Per Line'!$Q$2:$Q$3001,$U121))</f>
        <v/>
      </c>
      <c r="J121">
        <f>IF($U121="","",INDEX('Per Line'!$R$2:$R$3001,$U121)&amp;"")</f>
        <v/>
      </c>
      <c r="K121">
        <f>IF($U121="","",Settings!$C$7)</f>
        <v/>
      </c>
      <c r="L121" s="7">
        <f>IF($U121="","",SUMIFS('Per Line'!$N$2:$N$3001,'Per Line'!$A$2:$A$3001,$A121,'Per Line'!$W$2:$W$3001,0))</f>
        <v/>
      </c>
      <c r="M121" s="7">
        <f>IF($U121="","",L121*K121)</f>
        <v/>
      </c>
      <c r="N121">
        <f>IF($U121="","",Settings!$C$6)</f>
        <v/>
      </c>
      <c r="O121" s="7">
        <f>IF($U121="","",SUMIFS('Per Line'!$N$2:$N$3001,'Per Line'!$A$2:$A$3001,$A121,'Per Line'!$W$2:$W$3001,1))</f>
        <v/>
      </c>
      <c r="P121" s="7">
        <f>IF($U121="","",O121*N121)</f>
        <v/>
      </c>
      <c r="Q121" s="7">
        <f>IF($U121="","",P121+M121)</f>
        <v/>
      </c>
      <c r="R121" s="7">
        <f>IF($U121="","",S121-Q121)</f>
        <v/>
      </c>
      <c r="S121" s="7">
        <f>IF($U121="","",L121+O121)</f>
        <v/>
      </c>
      <c r="T121" s="7">
        <f>IF($U121="","",S121-Q121-G121)</f>
        <v/>
      </c>
      <c r="U121" s="13">
        <f>IF(ROWS($U$2:$U121)&lt;=MAX('Per Line'!$V$2:$V$3001),MATCH(ROWS($U$2:$U121),'Per Line'!$V$2:$V$3001,0),"")</f>
        <v/>
      </c>
    </row>
    <row r="122">
      <c r="A122">
        <f>IF($U122="","",INDEX('Per Line'!$A$2:$A$3001,$U122)&amp;"")</f>
        <v/>
      </c>
      <c r="B122" s="12" t="n"/>
      <c r="C122">
        <f>IF($U122="","",INDEX('Per Line'!$B$2:$B$3001,$U122)&amp;"")</f>
        <v/>
      </c>
      <c r="D122">
        <f>IF($U122="","",INDEX('Per Line'!$C$2:$C$3001,$U122)&amp;"")</f>
        <v/>
      </c>
      <c r="E122">
        <f>IF($U122="","",INDEX('Per Line'!$D$2:$D$3001,$U122)&amp;"")</f>
        <v/>
      </c>
      <c r="F122">
        <f>IF($U122="","",INDEX('Per Line'!$E$2:$E$3001,$U122))</f>
        <v/>
      </c>
      <c r="G122" s="7">
        <f>IF($U122="","",F122*S122/100)</f>
        <v/>
      </c>
      <c r="H122">
        <f>IF($U122="","",INDEX('Per Line'!$O$2:$O$3001,$U122)&amp;"")</f>
        <v/>
      </c>
      <c r="I122" s="11">
        <f>IF($U122="","",INDEX('Per Line'!$Q$2:$Q$3001,$U122))</f>
        <v/>
      </c>
      <c r="J122">
        <f>IF($U122="","",INDEX('Per Line'!$R$2:$R$3001,$U122)&amp;"")</f>
        <v/>
      </c>
      <c r="K122">
        <f>IF($U122="","",Settings!$C$7)</f>
        <v/>
      </c>
      <c r="L122" s="7">
        <f>IF($U122="","",SUMIFS('Per Line'!$N$2:$N$3001,'Per Line'!$A$2:$A$3001,$A122,'Per Line'!$W$2:$W$3001,0))</f>
        <v/>
      </c>
      <c r="M122" s="7">
        <f>IF($U122="","",L122*K122)</f>
        <v/>
      </c>
      <c r="N122">
        <f>IF($U122="","",Settings!$C$6)</f>
        <v/>
      </c>
      <c r="O122" s="7">
        <f>IF($U122="","",SUMIFS('Per Line'!$N$2:$N$3001,'Per Line'!$A$2:$A$3001,$A122,'Per Line'!$W$2:$W$3001,1))</f>
        <v/>
      </c>
      <c r="P122" s="7">
        <f>IF($U122="","",O122*N122)</f>
        <v/>
      </c>
      <c r="Q122" s="7">
        <f>IF($U122="","",P122+M122)</f>
        <v/>
      </c>
      <c r="R122" s="7">
        <f>IF($U122="","",S122-Q122)</f>
        <v/>
      </c>
      <c r="S122" s="7">
        <f>IF($U122="","",L122+O122)</f>
        <v/>
      </c>
      <c r="T122" s="7">
        <f>IF($U122="","",S122-Q122-G122)</f>
        <v/>
      </c>
      <c r="U122" s="13">
        <f>IF(ROWS($U$2:$U122)&lt;=MAX('Per Line'!$V$2:$V$3001),MATCH(ROWS($U$2:$U122),'Per Line'!$V$2:$V$3001,0),"")</f>
        <v/>
      </c>
    </row>
    <row r="123">
      <c r="A123">
        <f>IF($U123="","",INDEX('Per Line'!$A$2:$A$3001,$U123)&amp;"")</f>
        <v/>
      </c>
      <c r="B123" s="12" t="n"/>
      <c r="C123">
        <f>IF($U123="","",INDEX('Per Line'!$B$2:$B$3001,$U123)&amp;"")</f>
        <v/>
      </c>
      <c r="D123">
        <f>IF($U123="","",INDEX('Per Line'!$C$2:$C$3001,$U123)&amp;"")</f>
        <v/>
      </c>
      <c r="E123">
        <f>IF($U123="","",INDEX('Per Line'!$D$2:$D$3001,$U123)&amp;"")</f>
        <v/>
      </c>
      <c r="F123">
        <f>IF($U123="","",INDEX('Per Line'!$E$2:$E$3001,$U123))</f>
        <v/>
      </c>
      <c r="G123" s="7">
        <f>IF($U123="","",F123*S123/100)</f>
        <v/>
      </c>
      <c r="H123">
        <f>IF($U123="","",INDEX('Per Line'!$O$2:$O$3001,$U123)&amp;"")</f>
        <v/>
      </c>
      <c r="I123" s="11">
        <f>IF($U123="","",INDEX('Per Line'!$Q$2:$Q$3001,$U123))</f>
        <v/>
      </c>
      <c r="J123">
        <f>IF($U123="","",INDEX('Per Line'!$R$2:$R$3001,$U123)&amp;"")</f>
        <v/>
      </c>
      <c r="K123">
        <f>IF($U123="","",Settings!$C$7)</f>
        <v/>
      </c>
      <c r="L123" s="7">
        <f>IF($U123="","",SUMIFS('Per Line'!$N$2:$N$3001,'Per Line'!$A$2:$A$3001,$A123,'Per Line'!$W$2:$W$3001,0))</f>
        <v/>
      </c>
      <c r="M123" s="7">
        <f>IF($U123="","",L123*K123)</f>
        <v/>
      </c>
      <c r="N123">
        <f>IF($U123="","",Settings!$C$6)</f>
        <v/>
      </c>
      <c r="O123" s="7">
        <f>IF($U123="","",SUMIFS('Per Line'!$N$2:$N$3001,'Per Line'!$A$2:$A$3001,$A123,'Per Line'!$W$2:$W$3001,1))</f>
        <v/>
      </c>
      <c r="P123" s="7">
        <f>IF($U123="","",O123*N123)</f>
        <v/>
      </c>
      <c r="Q123" s="7">
        <f>IF($U123="","",P123+M123)</f>
        <v/>
      </c>
      <c r="R123" s="7">
        <f>IF($U123="","",S123-Q123)</f>
        <v/>
      </c>
      <c r="S123" s="7">
        <f>IF($U123="","",L123+O123)</f>
        <v/>
      </c>
      <c r="T123" s="7">
        <f>IF($U123="","",S123-Q123-G123)</f>
        <v/>
      </c>
      <c r="U123" s="13">
        <f>IF(ROWS($U$2:$U123)&lt;=MAX('Per Line'!$V$2:$V$3001),MATCH(ROWS($U$2:$U123),'Per Line'!$V$2:$V$3001,0),"")</f>
        <v/>
      </c>
    </row>
    <row r="124">
      <c r="A124">
        <f>IF($U124="","",INDEX('Per Line'!$A$2:$A$3001,$U124)&amp;"")</f>
        <v/>
      </c>
      <c r="B124" s="12" t="n"/>
      <c r="C124">
        <f>IF($U124="","",INDEX('Per Line'!$B$2:$B$3001,$U124)&amp;"")</f>
        <v/>
      </c>
      <c r="D124">
        <f>IF($U124="","",INDEX('Per Line'!$C$2:$C$3001,$U124)&amp;"")</f>
        <v/>
      </c>
      <c r="E124">
        <f>IF($U124="","",INDEX('Per Line'!$D$2:$D$3001,$U124)&amp;"")</f>
        <v/>
      </c>
      <c r="F124">
        <f>IF($U124="","",INDEX('Per Line'!$E$2:$E$3001,$U124))</f>
        <v/>
      </c>
      <c r="G124" s="7">
        <f>IF($U124="","",F124*S124/100)</f>
        <v/>
      </c>
      <c r="H124">
        <f>IF($U124="","",INDEX('Per Line'!$O$2:$O$3001,$U124)&amp;"")</f>
        <v/>
      </c>
      <c r="I124" s="11">
        <f>IF($U124="","",INDEX('Per Line'!$Q$2:$Q$3001,$U124))</f>
        <v/>
      </c>
      <c r="J124">
        <f>IF($U124="","",INDEX('Per Line'!$R$2:$R$3001,$U124)&amp;"")</f>
        <v/>
      </c>
      <c r="K124">
        <f>IF($U124="","",Settings!$C$7)</f>
        <v/>
      </c>
      <c r="L124" s="7">
        <f>IF($U124="","",SUMIFS('Per Line'!$N$2:$N$3001,'Per Line'!$A$2:$A$3001,$A124,'Per Line'!$W$2:$W$3001,0))</f>
        <v/>
      </c>
      <c r="M124" s="7">
        <f>IF($U124="","",L124*K124)</f>
        <v/>
      </c>
      <c r="N124">
        <f>IF($U124="","",Settings!$C$6)</f>
        <v/>
      </c>
      <c r="O124" s="7">
        <f>IF($U124="","",SUMIFS('Per Line'!$N$2:$N$3001,'Per Line'!$A$2:$A$3001,$A124,'Per Line'!$W$2:$W$3001,1))</f>
        <v/>
      </c>
      <c r="P124" s="7">
        <f>IF($U124="","",O124*N124)</f>
        <v/>
      </c>
      <c r="Q124" s="7">
        <f>IF($U124="","",P124+M124)</f>
        <v/>
      </c>
      <c r="R124" s="7">
        <f>IF($U124="","",S124-Q124)</f>
        <v/>
      </c>
      <c r="S124" s="7">
        <f>IF($U124="","",L124+O124)</f>
        <v/>
      </c>
      <c r="T124" s="7">
        <f>IF($U124="","",S124-Q124-G124)</f>
        <v/>
      </c>
      <c r="U124" s="13">
        <f>IF(ROWS($U$2:$U124)&lt;=MAX('Per Line'!$V$2:$V$3001),MATCH(ROWS($U$2:$U124),'Per Line'!$V$2:$V$3001,0),"")</f>
        <v/>
      </c>
    </row>
    <row r="125">
      <c r="A125">
        <f>IF($U125="","",INDEX('Per Line'!$A$2:$A$3001,$U125)&amp;"")</f>
        <v/>
      </c>
      <c r="B125" s="12" t="n"/>
      <c r="C125">
        <f>IF($U125="","",INDEX('Per Line'!$B$2:$B$3001,$U125)&amp;"")</f>
        <v/>
      </c>
      <c r="D125">
        <f>IF($U125="","",INDEX('Per Line'!$C$2:$C$3001,$U125)&amp;"")</f>
        <v/>
      </c>
      <c r="E125">
        <f>IF($U125="","",INDEX('Per Line'!$D$2:$D$3001,$U125)&amp;"")</f>
        <v/>
      </c>
      <c r="F125">
        <f>IF($U125="","",INDEX('Per Line'!$E$2:$E$3001,$U125))</f>
        <v/>
      </c>
      <c r="G125" s="7">
        <f>IF($U125="","",F125*S125/100)</f>
        <v/>
      </c>
      <c r="H125">
        <f>IF($U125="","",INDEX('Per Line'!$O$2:$O$3001,$U125)&amp;"")</f>
        <v/>
      </c>
      <c r="I125" s="11">
        <f>IF($U125="","",INDEX('Per Line'!$Q$2:$Q$3001,$U125))</f>
        <v/>
      </c>
      <c r="J125">
        <f>IF($U125="","",INDEX('Per Line'!$R$2:$R$3001,$U125)&amp;"")</f>
        <v/>
      </c>
      <c r="K125">
        <f>IF($U125="","",Settings!$C$7)</f>
        <v/>
      </c>
      <c r="L125" s="7">
        <f>IF($U125="","",SUMIFS('Per Line'!$N$2:$N$3001,'Per Line'!$A$2:$A$3001,$A125,'Per Line'!$W$2:$W$3001,0))</f>
        <v/>
      </c>
      <c r="M125" s="7">
        <f>IF($U125="","",L125*K125)</f>
        <v/>
      </c>
      <c r="N125">
        <f>IF($U125="","",Settings!$C$6)</f>
        <v/>
      </c>
      <c r="O125" s="7">
        <f>IF($U125="","",SUMIFS('Per Line'!$N$2:$N$3001,'Per Line'!$A$2:$A$3001,$A125,'Per Line'!$W$2:$W$3001,1))</f>
        <v/>
      </c>
      <c r="P125" s="7">
        <f>IF($U125="","",O125*N125)</f>
        <v/>
      </c>
      <c r="Q125" s="7">
        <f>IF($U125="","",P125+M125)</f>
        <v/>
      </c>
      <c r="R125" s="7">
        <f>IF($U125="","",S125-Q125)</f>
        <v/>
      </c>
      <c r="S125" s="7">
        <f>IF($U125="","",L125+O125)</f>
        <v/>
      </c>
      <c r="T125" s="7">
        <f>IF($U125="","",S125-Q125-G125)</f>
        <v/>
      </c>
      <c r="U125" s="13">
        <f>IF(ROWS($U$2:$U125)&lt;=MAX('Per Line'!$V$2:$V$3001),MATCH(ROWS($U$2:$U125),'Per Line'!$V$2:$V$3001,0),"")</f>
        <v/>
      </c>
    </row>
    <row r="126">
      <c r="A126">
        <f>IF($U126="","",INDEX('Per Line'!$A$2:$A$3001,$U126)&amp;"")</f>
        <v/>
      </c>
      <c r="B126" s="12" t="n"/>
      <c r="C126">
        <f>IF($U126="","",INDEX('Per Line'!$B$2:$B$3001,$U126)&amp;"")</f>
        <v/>
      </c>
      <c r="D126">
        <f>IF($U126="","",INDEX('Per Line'!$C$2:$C$3001,$U126)&amp;"")</f>
        <v/>
      </c>
      <c r="E126">
        <f>IF($U126="","",INDEX('Per Line'!$D$2:$D$3001,$U126)&amp;"")</f>
        <v/>
      </c>
      <c r="F126">
        <f>IF($U126="","",INDEX('Per Line'!$E$2:$E$3001,$U126))</f>
        <v/>
      </c>
      <c r="G126" s="7">
        <f>IF($U126="","",F126*S126/100)</f>
        <v/>
      </c>
      <c r="H126">
        <f>IF($U126="","",INDEX('Per Line'!$O$2:$O$3001,$U126)&amp;"")</f>
        <v/>
      </c>
      <c r="I126" s="11">
        <f>IF($U126="","",INDEX('Per Line'!$Q$2:$Q$3001,$U126))</f>
        <v/>
      </c>
      <c r="J126">
        <f>IF($U126="","",INDEX('Per Line'!$R$2:$R$3001,$U126)&amp;"")</f>
        <v/>
      </c>
      <c r="K126">
        <f>IF($U126="","",Settings!$C$7)</f>
        <v/>
      </c>
      <c r="L126" s="7">
        <f>IF($U126="","",SUMIFS('Per Line'!$N$2:$N$3001,'Per Line'!$A$2:$A$3001,$A126,'Per Line'!$W$2:$W$3001,0))</f>
        <v/>
      </c>
      <c r="M126" s="7">
        <f>IF($U126="","",L126*K126)</f>
        <v/>
      </c>
      <c r="N126">
        <f>IF($U126="","",Settings!$C$6)</f>
        <v/>
      </c>
      <c r="O126" s="7">
        <f>IF($U126="","",SUMIFS('Per Line'!$N$2:$N$3001,'Per Line'!$A$2:$A$3001,$A126,'Per Line'!$W$2:$W$3001,1))</f>
        <v/>
      </c>
      <c r="P126" s="7">
        <f>IF($U126="","",O126*N126)</f>
        <v/>
      </c>
      <c r="Q126" s="7">
        <f>IF($U126="","",P126+M126)</f>
        <v/>
      </c>
      <c r="R126" s="7">
        <f>IF($U126="","",S126-Q126)</f>
        <v/>
      </c>
      <c r="S126" s="7">
        <f>IF($U126="","",L126+O126)</f>
        <v/>
      </c>
      <c r="T126" s="7">
        <f>IF($U126="","",S126-Q126-G126)</f>
        <v/>
      </c>
      <c r="U126" s="13">
        <f>IF(ROWS($U$2:$U126)&lt;=MAX('Per Line'!$V$2:$V$3001),MATCH(ROWS($U$2:$U126),'Per Line'!$V$2:$V$3001,0),"")</f>
        <v/>
      </c>
    </row>
    <row r="127">
      <c r="A127">
        <f>IF($U127="","",INDEX('Per Line'!$A$2:$A$3001,$U127)&amp;"")</f>
        <v/>
      </c>
      <c r="B127" s="12" t="n"/>
      <c r="C127">
        <f>IF($U127="","",INDEX('Per Line'!$B$2:$B$3001,$U127)&amp;"")</f>
        <v/>
      </c>
      <c r="D127">
        <f>IF($U127="","",INDEX('Per Line'!$C$2:$C$3001,$U127)&amp;"")</f>
        <v/>
      </c>
      <c r="E127">
        <f>IF($U127="","",INDEX('Per Line'!$D$2:$D$3001,$U127)&amp;"")</f>
        <v/>
      </c>
      <c r="F127">
        <f>IF($U127="","",INDEX('Per Line'!$E$2:$E$3001,$U127))</f>
        <v/>
      </c>
      <c r="G127" s="7">
        <f>IF($U127="","",F127*S127/100)</f>
        <v/>
      </c>
      <c r="H127">
        <f>IF($U127="","",INDEX('Per Line'!$O$2:$O$3001,$U127)&amp;"")</f>
        <v/>
      </c>
      <c r="I127" s="11">
        <f>IF($U127="","",INDEX('Per Line'!$Q$2:$Q$3001,$U127))</f>
        <v/>
      </c>
      <c r="J127">
        <f>IF($U127="","",INDEX('Per Line'!$R$2:$R$3001,$U127)&amp;"")</f>
        <v/>
      </c>
      <c r="K127">
        <f>IF($U127="","",Settings!$C$7)</f>
        <v/>
      </c>
      <c r="L127" s="7">
        <f>IF($U127="","",SUMIFS('Per Line'!$N$2:$N$3001,'Per Line'!$A$2:$A$3001,$A127,'Per Line'!$W$2:$W$3001,0))</f>
        <v/>
      </c>
      <c r="M127" s="7">
        <f>IF($U127="","",L127*K127)</f>
        <v/>
      </c>
      <c r="N127">
        <f>IF($U127="","",Settings!$C$6)</f>
        <v/>
      </c>
      <c r="O127" s="7">
        <f>IF($U127="","",SUMIFS('Per Line'!$N$2:$N$3001,'Per Line'!$A$2:$A$3001,$A127,'Per Line'!$W$2:$W$3001,1))</f>
        <v/>
      </c>
      <c r="P127" s="7">
        <f>IF($U127="","",O127*N127)</f>
        <v/>
      </c>
      <c r="Q127" s="7">
        <f>IF($U127="","",P127+M127)</f>
        <v/>
      </c>
      <c r="R127" s="7">
        <f>IF($U127="","",S127-Q127)</f>
        <v/>
      </c>
      <c r="S127" s="7">
        <f>IF($U127="","",L127+O127)</f>
        <v/>
      </c>
      <c r="T127" s="7">
        <f>IF($U127="","",S127-Q127-G127)</f>
        <v/>
      </c>
      <c r="U127" s="13">
        <f>IF(ROWS($U$2:$U127)&lt;=MAX('Per Line'!$V$2:$V$3001),MATCH(ROWS($U$2:$U127),'Per Line'!$V$2:$V$3001,0),"")</f>
        <v/>
      </c>
    </row>
    <row r="128">
      <c r="A128">
        <f>IF($U128="","",INDEX('Per Line'!$A$2:$A$3001,$U128)&amp;"")</f>
        <v/>
      </c>
      <c r="B128" s="12" t="n"/>
      <c r="C128">
        <f>IF($U128="","",INDEX('Per Line'!$B$2:$B$3001,$U128)&amp;"")</f>
        <v/>
      </c>
      <c r="D128">
        <f>IF($U128="","",INDEX('Per Line'!$C$2:$C$3001,$U128)&amp;"")</f>
        <v/>
      </c>
      <c r="E128">
        <f>IF($U128="","",INDEX('Per Line'!$D$2:$D$3001,$U128)&amp;"")</f>
        <v/>
      </c>
      <c r="F128">
        <f>IF($U128="","",INDEX('Per Line'!$E$2:$E$3001,$U128))</f>
        <v/>
      </c>
      <c r="G128" s="7">
        <f>IF($U128="","",F128*S128/100)</f>
        <v/>
      </c>
      <c r="H128">
        <f>IF($U128="","",INDEX('Per Line'!$O$2:$O$3001,$U128)&amp;"")</f>
        <v/>
      </c>
      <c r="I128" s="11">
        <f>IF($U128="","",INDEX('Per Line'!$Q$2:$Q$3001,$U128))</f>
        <v/>
      </c>
      <c r="J128">
        <f>IF($U128="","",INDEX('Per Line'!$R$2:$R$3001,$U128)&amp;"")</f>
        <v/>
      </c>
      <c r="K128">
        <f>IF($U128="","",Settings!$C$7)</f>
        <v/>
      </c>
      <c r="L128" s="7">
        <f>IF($U128="","",SUMIFS('Per Line'!$N$2:$N$3001,'Per Line'!$A$2:$A$3001,$A128,'Per Line'!$W$2:$W$3001,0))</f>
        <v/>
      </c>
      <c r="M128" s="7">
        <f>IF($U128="","",L128*K128)</f>
        <v/>
      </c>
      <c r="N128">
        <f>IF($U128="","",Settings!$C$6)</f>
        <v/>
      </c>
      <c r="O128" s="7">
        <f>IF($U128="","",SUMIFS('Per Line'!$N$2:$N$3001,'Per Line'!$A$2:$A$3001,$A128,'Per Line'!$W$2:$W$3001,1))</f>
        <v/>
      </c>
      <c r="P128" s="7">
        <f>IF($U128="","",O128*N128)</f>
        <v/>
      </c>
      <c r="Q128" s="7">
        <f>IF($U128="","",P128+M128)</f>
        <v/>
      </c>
      <c r="R128" s="7">
        <f>IF($U128="","",S128-Q128)</f>
        <v/>
      </c>
      <c r="S128" s="7">
        <f>IF($U128="","",L128+O128)</f>
        <v/>
      </c>
      <c r="T128" s="7">
        <f>IF($U128="","",S128-Q128-G128)</f>
        <v/>
      </c>
      <c r="U128" s="13">
        <f>IF(ROWS($U$2:$U128)&lt;=MAX('Per Line'!$V$2:$V$3001),MATCH(ROWS($U$2:$U128),'Per Line'!$V$2:$V$3001,0),"")</f>
        <v/>
      </c>
    </row>
    <row r="129">
      <c r="A129">
        <f>IF($U129="","",INDEX('Per Line'!$A$2:$A$3001,$U129)&amp;"")</f>
        <v/>
      </c>
      <c r="B129" s="12" t="n"/>
      <c r="C129">
        <f>IF($U129="","",INDEX('Per Line'!$B$2:$B$3001,$U129)&amp;"")</f>
        <v/>
      </c>
      <c r="D129">
        <f>IF($U129="","",INDEX('Per Line'!$C$2:$C$3001,$U129)&amp;"")</f>
        <v/>
      </c>
      <c r="E129">
        <f>IF($U129="","",INDEX('Per Line'!$D$2:$D$3001,$U129)&amp;"")</f>
        <v/>
      </c>
      <c r="F129">
        <f>IF($U129="","",INDEX('Per Line'!$E$2:$E$3001,$U129))</f>
        <v/>
      </c>
      <c r="G129" s="7">
        <f>IF($U129="","",F129*S129/100)</f>
        <v/>
      </c>
      <c r="H129">
        <f>IF($U129="","",INDEX('Per Line'!$O$2:$O$3001,$U129)&amp;"")</f>
        <v/>
      </c>
      <c r="I129" s="11">
        <f>IF($U129="","",INDEX('Per Line'!$Q$2:$Q$3001,$U129))</f>
        <v/>
      </c>
      <c r="J129">
        <f>IF($U129="","",INDEX('Per Line'!$R$2:$R$3001,$U129)&amp;"")</f>
        <v/>
      </c>
      <c r="K129">
        <f>IF($U129="","",Settings!$C$7)</f>
        <v/>
      </c>
      <c r="L129" s="7">
        <f>IF($U129="","",SUMIFS('Per Line'!$N$2:$N$3001,'Per Line'!$A$2:$A$3001,$A129,'Per Line'!$W$2:$W$3001,0))</f>
        <v/>
      </c>
      <c r="M129" s="7">
        <f>IF($U129="","",L129*K129)</f>
        <v/>
      </c>
      <c r="N129">
        <f>IF($U129="","",Settings!$C$6)</f>
        <v/>
      </c>
      <c r="O129" s="7">
        <f>IF($U129="","",SUMIFS('Per Line'!$N$2:$N$3001,'Per Line'!$A$2:$A$3001,$A129,'Per Line'!$W$2:$W$3001,1))</f>
        <v/>
      </c>
      <c r="P129" s="7">
        <f>IF($U129="","",O129*N129)</f>
        <v/>
      </c>
      <c r="Q129" s="7">
        <f>IF($U129="","",P129+M129)</f>
        <v/>
      </c>
      <c r="R129" s="7">
        <f>IF($U129="","",S129-Q129)</f>
        <v/>
      </c>
      <c r="S129" s="7">
        <f>IF($U129="","",L129+O129)</f>
        <v/>
      </c>
      <c r="T129" s="7">
        <f>IF($U129="","",S129-Q129-G129)</f>
        <v/>
      </c>
      <c r="U129" s="13">
        <f>IF(ROWS($U$2:$U129)&lt;=MAX('Per Line'!$V$2:$V$3001),MATCH(ROWS($U$2:$U129),'Per Line'!$V$2:$V$3001,0),"")</f>
        <v/>
      </c>
    </row>
    <row r="130">
      <c r="A130">
        <f>IF($U130="","",INDEX('Per Line'!$A$2:$A$3001,$U130)&amp;"")</f>
        <v/>
      </c>
      <c r="B130" s="12" t="n"/>
      <c r="C130">
        <f>IF($U130="","",INDEX('Per Line'!$B$2:$B$3001,$U130)&amp;"")</f>
        <v/>
      </c>
      <c r="D130">
        <f>IF($U130="","",INDEX('Per Line'!$C$2:$C$3001,$U130)&amp;"")</f>
        <v/>
      </c>
      <c r="E130">
        <f>IF($U130="","",INDEX('Per Line'!$D$2:$D$3001,$U130)&amp;"")</f>
        <v/>
      </c>
      <c r="F130">
        <f>IF($U130="","",INDEX('Per Line'!$E$2:$E$3001,$U130))</f>
        <v/>
      </c>
      <c r="G130" s="7">
        <f>IF($U130="","",F130*S130/100)</f>
        <v/>
      </c>
      <c r="H130">
        <f>IF($U130="","",INDEX('Per Line'!$O$2:$O$3001,$U130)&amp;"")</f>
        <v/>
      </c>
      <c r="I130" s="11">
        <f>IF($U130="","",INDEX('Per Line'!$Q$2:$Q$3001,$U130))</f>
        <v/>
      </c>
      <c r="J130">
        <f>IF($U130="","",INDEX('Per Line'!$R$2:$R$3001,$U130)&amp;"")</f>
        <v/>
      </c>
      <c r="K130">
        <f>IF($U130="","",Settings!$C$7)</f>
        <v/>
      </c>
      <c r="L130" s="7">
        <f>IF($U130="","",SUMIFS('Per Line'!$N$2:$N$3001,'Per Line'!$A$2:$A$3001,$A130,'Per Line'!$W$2:$W$3001,0))</f>
        <v/>
      </c>
      <c r="M130" s="7">
        <f>IF($U130="","",L130*K130)</f>
        <v/>
      </c>
      <c r="N130">
        <f>IF($U130="","",Settings!$C$6)</f>
        <v/>
      </c>
      <c r="O130" s="7">
        <f>IF($U130="","",SUMIFS('Per Line'!$N$2:$N$3001,'Per Line'!$A$2:$A$3001,$A130,'Per Line'!$W$2:$W$3001,1))</f>
        <v/>
      </c>
      <c r="P130" s="7">
        <f>IF($U130="","",O130*N130)</f>
        <v/>
      </c>
      <c r="Q130" s="7">
        <f>IF($U130="","",P130+M130)</f>
        <v/>
      </c>
      <c r="R130" s="7">
        <f>IF($U130="","",S130-Q130)</f>
        <v/>
      </c>
      <c r="S130" s="7">
        <f>IF($U130="","",L130+O130)</f>
        <v/>
      </c>
      <c r="T130" s="7">
        <f>IF($U130="","",S130-Q130-G130)</f>
        <v/>
      </c>
      <c r="U130" s="13">
        <f>IF(ROWS($U$2:$U130)&lt;=MAX('Per Line'!$V$2:$V$3001),MATCH(ROWS($U$2:$U130),'Per Line'!$V$2:$V$3001,0),"")</f>
        <v/>
      </c>
    </row>
    <row r="131">
      <c r="A131">
        <f>IF($U131="","",INDEX('Per Line'!$A$2:$A$3001,$U131)&amp;"")</f>
        <v/>
      </c>
      <c r="B131" s="12" t="n"/>
      <c r="C131">
        <f>IF($U131="","",INDEX('Per Line'!$B$2:$B$3001,$U131)&amp;"")</f>
        <v/>
      </c>
      <c r="D131">
        <f>IF($U131="","",INDEX('Per Line'!$C$2:$C$3001,$U131)&amp;"")</f>
        <v/>
      </c>
      <c r="E131">
        <f>IF($U131="","",INDEX('Per Line'!$D$2:$D$3001,$U131)&amp;"")</f>
        <v/>
      </c>
      <c r="F131">
        <f>IF($U131="","",INDEX('Per Line'!$E$2:$E$3001,$U131))</f>
        <v/>
      </c>
      <c r="G131" s="7">
        <f>IF($U131="","",F131*S131/100)</f>
        <v/>
      </c>
      <c r="H131">
        <f>IF($U131="","",INDEX('Per Line'!$O$2:$O$3001,$U131)&amp;"")</f>
        <v/>
      </c>
      <c r="I131" s="11">
        <f>IF($U131="","",INDEX('Per Line'!$Q$2:$Q$3001,$U131))</f>
        <v/>
      </c>
      <c r="J131">
        <f>IF($U131="","",INDEX('Per Line'!$R$2:$R$3001,$U131)&amp;"")</f>
        <v/>
      </c>
      <c r="K131">
        <f>IF($U131="","",Settings!$C$7)</f>
        <v/>
      </c>
      <c r="L131" s="7">
        <f>IF($U131="","",SUMIFS('Per Line'!$N$2:$N$3001,'Per Line'!$A$2:$A$3001,$A131,'Per Line'!$W$2:$W$3001,0))</f>
        <v/>
      </c>
      <c r="M131" s="7">
        <f>IF($U131="","",L131*K131)</f>
        <v/>
      </c>
      <c r="N131">
        <f>IF($U131="","",Settings!$C$6)</f>
        <v/>
      </c>
      <c r="O131" s="7">
        <f>IF($U131="","",SUMIFS('Per Line'!$N$2:$N$3001,'Per Line'!$A$2:$A$3001,$A131,'Per Line'!$W$2:$W$3001,1))</f>
        <v/>
      </c>
      <c r="P131" s="7">
        <f>IF($U131="","",O131*N131)</f>
        <v/>
      </c>
      <c r="Q131" s="7">
        <f>IF($U131="","",P131+M131)</f>
        <v/>
      </c>
      <c r="R131" s="7">
        <f>IF($U131="","",S131-Q131)</f>
        <v/>
      </c>
      <c r="S131" s="7">
        <f>IF($U131="","",L131+O131)</f>
        <v/>
      </c>
      <c r="T131" s="7">
        <f>IF($U131="","",S131-Q131-G131)</f>
        <v/>
      </c>
      <c r="U131" s="13">
        <f>IF(ROWS($U$2:$U131)&lt;=MAX('Per Line'!$V$2:$V$3001),MATCH(ROWS($U$2:$U131),'Per Line'!$V$2:$V$3001,0),"")</f>
        <v/>
      </c>
    </row>
    <row r="132">
      <c r="A132">
        <f>IF($U132="","",INDEX('Per Line'!$A$2:$A$3001,$U132)&amp;"")</f>
        <v/>
      </c>
      <c r="B132" s="12" t="n"/>
      <c r="C132">
        <f>IF($U132="","",INDEX('Per Line'!$B$2:$B$3001,$U132)&amp;"")</f>
        <v/>
      </c>
      <c r="D132">
        <f>IF($U132="","",INDEX('Per Line'!$C$2:$C$3001,$U132)&amp;"")</f>
        <v/>
      </c>
      <c r="E132">
        <f>IF($U132="","",INDEX('Per Line'!$D$2:$D$3001,$U132)&amp;"")</f>
        <v/>
      </c>
      <c r="F132">
        <f>IF($U132="","",INDEX('Per Line'!$E$2:$E$3001,$U132))</f>
        <v/>
      </c>
      <c r="G132" s="7">
        <f>IF($U132="","",F132*S132/100)</f>
        <v/>
      </c>
      <c r="H132">
        <f>IF($U132="","",INDEX('Per Line'!$O$2:$O$3001,$U132)&amp;"")</f>
        <v/>
      </c>
      <c r="I132" s="11">
        <f>IF($U132="","",INDEX('Per Line'!$Q$2:$Q$3001,$U132))</f>
        <v/>
      </c>
      <c r="J132">
        <f>IF($U132="","",INDEX('Per Line'!$R$2:$R$3001,$U132)&amp;"")</f>
        <v/>
      </c>
      <c r="K132">
        <f>IF($U132="","",Settings!$C$7)</f>
        <v/>
      </c>
      <c r="L132" s="7">
        <f>IF($U132="","",SUMIFS('Per Line'!$N$2:$N$3001,'Per Line'!$A$2:$A$3001,$A132,'Per Line'!$W$2:$W$3001,0))</f>
        <v/>
      </c>
      <c r="M132" s="7">
        <f>IF($U132="","",L132*K132)</f>
        <v/>
      </c>
      <c r="N132">
        <f>IF($U132="","",Settings!$C$6)</f>
        <v/>
      </c>
      <c r="O132" s="7">
        <f>IF($U132="","",SUMIFS('Per Line'!$N$2:$N$3001,'Per Line'!$A$2:$A$3001,$A132,'Per Line'!$W$2:$W$3001,1))</f>
        <v/>
      </c>
      <c r="P132" s="7">
        <f>IF($U132="","",O132*N132)</f>
        <v/>
      </c>
      <c r="Q132" s="7">
        <f>IF($U132="","",P132+M132)</f>
        <v/>
      </c>
      <c r="R132" s="7">
        <f>IF($U132="","",S132-Q132)</f>
        <v/>
      </c>
      <c r="S132" s="7">
        <f>IF($U132="","",L132+O132)</f>
        <v/>
      </c>
      <c r="T132" s="7">
        <f>IF($U132="","",S132-Q132-G132)</f>
        <v/>
      </c>
      <c r="U132" s="13">
        <f>IF(ROWS($U$2:$U132)&lt;=MAX('Per Line'!$V$2:$V$3001),MATCH(ROWS($U$2:$U132),'Per Line'!$V$2:$V$3001,0),"")</f>
        <v/>
      </c>
    </row>
    <row r="133">
      <c r="A133">
        <f>IF($U133="","",INDEX('Per Line'!$A$2:$A$3001,$U133)&amp;"")</f>
        <v/>
      </c>
      <c r="B133" s="12" t="n"/>
      <c r="C133">
        <f>IF($U133="","",INDEX('Per Line'!$B$2:$B$3001,$U133)&amp;"")</f>
        <v/>
      </c>
      <c r="D133">
        <f>IF($U133="","",INDEX('Per Line'!$C$2:$C$3001,$U133)&amp;"")</f>
        <v/>
      </c>
      <c r="E133">
        <f>IF($U133="","",INDEX('Per Line'!$D$2:$D$3001,$U133)&amp;"")</f>
        <v/>
      </c>
      <c r="F133">
        <f>IF($U133="","",INDEX('Per Line'!$E$2:$E$3001,$U133))</f>
        <v/>
      </c>
      <c r="G133" s="7">
        <f>IF($U133="","",F133*S133/100)</f>
        <v/>
      </c>
      <c r="H133">
        <f>IF($U133="","",INDEX('Per Line'!$O$2:$O$3001,$U133)&amp;"")</f>
        <v/>
      </c>
      <c r="I133" s="11">
        <f>IF($U133="","",INDEX('Per Line'!$Q$2:$Q$3001,$U133))</f>
        <v/>
      </c>
      <c r="J133">
        <f>IF($U133="","",INDEX('Per Line'!$R$2:$R$3001,$U133)&amp;"")</f>
        <v/>
      </c>
      <c r="K133">
        <f>IF($U133="","",Settings!$C$7)</f>
        <v/>
      </c>
      <c r="L133" s="7">
        <f>IF($U133="","",SUMIFS('Per Line'!$N$2:$N$3001,'Per Line'!$A$2:$A$3001,$A133,'Per Line'!$W$2:$W$3001,0))</f>
        <v/>
      </c>
      <c r="M133" s="7">
        <f>IF($U133="","",L133*K133)</f>
        <v/>
      </c>
      <c r="N133">
        <f>IF($U133="","",Settings!$C$6)</f>
        <v/>
      </c>
      <c r="O133" s="7">
        <f>IF($U133="","",SUMIFS('Per Line'!$N$2:$N$3001,'Per Line'!$A$2:$A$3001,$A133,'Per Line'!$W$2:$W$3001,1))</f>
        <v/>
      </c>
      <c r="P133" s="7">
        <f>IF($U133="","",O133*N133)</f>
        <v/>
      </c>
      <c r="Q133" s="7">
        <f>IF($U133="","",P133+M133)</f>
        <v/>
      </c>
      <c r="R133" s="7">
        <f>IF($U133="","",S133-Q133)</f>
        <v/>
      </c>
      <c r="S133" s="7">
        <f>IF($U133="","",L133+O133)</f>
        <v/>
      </c>
      <c r="T133" s="7">
        <f>IF($U133="","",S133-Q133-G133)</f>
        <v/>
      </c>
      <c r="U133" s="13">
        <f>IF(ROWS($U$2:$U133)&lt;=MAX('Per Line'!$V$2:$V$3001),MATCH(ROWS($U$2:$U133),'Per Line'!$V$2:$V$3001,0),"")</f>
        <v/>
      </c>
    </row>
    <row r="134">
      <c r="A134">
        <f>IF($U134="","",INDEX('Per Line'!$A$2:$A$3001,$U134)&amp;"")</f>
        <v/>
      </c>
      <c r="B134" s="12" t="n"/>
      <c r="C134">
        <f>IF($U134="","",INDEX('Per Line'!$B$2:$B$3001,$U134)&amp;"")</f>
        <v/>
      </c>
      <c r="D134">
        <f>IF($U134="","",INDEX('Per Line'!$C$2:$C$3001,$U134)&amp;"")</f>
        <v/>
      </c>
      <c r="E134">
        <f>IF($U134="","",INDEX('Per Line'!$D$2:$D$3001,$U134)&amp;"")</f>
        <v/>
      </c>
      <c r="F134">
        <f>IF($U134="","",INDEX('Per Line'!$E$2:$E$3001,$U134))</f>
        <v/>
      </c>
      <c r="G134" s="7">
        <f>IF($U134="","",F134*S134/100)</f>
        <v/>
      </c>
      <c r="H134">
        <f>IF($U134="","",INDEX('Per Line'!$O$2:$O$3001,$U134)&amp;"")</f>
        <v/>
      </c>
      <c r="I134" s="11">
        <f>IF($U134="","",INDEX('Per Line'!$Q$2:$Q$3001,$U134))</f>
        <v/>
      </c>
      <c r="J134">
        <f>IF($U134="","",INDEX('Per Line'!$R$2:$R$3001,$U134)&amp;"")</f>
        <v/>
      </c>
      <c r="K134">
        <f>IF($U134="","",Settings!$C$7)</f>
        <v/>
      </c>
      <c r="L134" s="7">
        <f>IF($U134="","",SUMIFS('Per Line'!$N$2:$N$3001,'Per Line'!$A$2:$A$3001,$A134,'Per Line'!$W$2:$W$3001,0))</f>
        <v/>
      </c>
      <c r="M134" s="7">
        <f>IF($U134="","",L134*K134)</f>
        <v/>
      </c>
      <c r="N134">
        <f>IF($U134="","",Settings!$C$6)</f>
        <v/>
      </c>
      <c r="O134" s="7">
        <f>IF($U134="","",SUMIFS('Per Line'!$N$2:$N$3001,'Per Line'!$A$2:$A$3001,$A134,'Per Line'!$W$2:$W$3001,1))</f>
        <v/>
      </c>
      <c r="P134" s="7">
        <f>IF($U134="","",O134*N134)</f>
        <v/>
      </c>
      <c r="Q134" s="7">
        <f>IF($U134="","",P134+M134)</f>
        <v/>
      </c>
      <c r="R134" s="7">
        <f>IF($U134="","",S134-Q134)</f>
        <v/>
      </c>
      <c r="S134" s="7">
        <f>IF($U134="","",L134+O134)</f>
        <v/>
      </c>
      <c r="T134" s="7">
        <f>IF($U134="","",S134-Q134-G134)</f>
        <v/>
      </c>
      <c r="U134" s="13">
        <f>IF(ROWS($U$2:$U134)&lt;=MAX('Per Line'!$V$2:$V$3001),MATCH(ROWS($U$2:$U134),'Per Line'!$V$2:$V$3001,0),"")</f>
        <v/>
      </c>
    </row>
    <row r="135">
      <c r="A135">
        <f>IF($U135="","",INDEX('Per Line'!$A$2:$A$3001,$U135)&amp;"")</f>
        <v/>
      </c>
      <c r="B135" s="12" t="n"/>
      <c r="C135">
        <f>IF($U135="","",INDEX('Per Line'!$B$2:$B$3001,$U135)&amp;"")</f>
        <v/>
      </c>
      <c r="D135">
        <f>IF($U135="","",INDEX('Per Line'!$C$2:$C$3001,$U135)&amp;"")</f>
        <v/>
      </c>
      <c r="E135">
        <f>IF($U135="","",INDEX('Per Line'!$D$2:$D$3001,$U135)&amp;"")</f>
        <v/>
      </c>
      <c r="F135">
        <f>IF($U135="","",INDEX('Per Line'!$E$2:$E$3001,$U135))</f>
        <v/>
      </c>
      <c r="G135" s="7">
        <f>IF($U135="","",F135*S135/100)</f>
        <v/>
      </c>
      <c r="H135">
        <f>IF($U135="","",INDEX('Per Line'!$O$2:$O$3001,$U135)&amp;"")</f>
        <v/>
      </c>
      <c r="I135" s="11">
        <f>IF($U135="","",INDEX('Per Line'!$Q$2:$Q$3001,$U135))</f>
        <v/>
      </c>
      <c r="J135">
        <f>IF($U135="","",INDEX('Per Line'!$R$2:$R$3001,$U135)&amp;"")</f>
        <v/>
      </c>
      <c r="K135">
        <f>IF($U135="","",Settings!$C$7)</f>
        <v/>
      </c>
      <c r="L135" s="7">
        <f>IF($U135="","",SUMIFS('Per Line'!$N$2:$N$3001,'Per Line'!$A$2:$A$3001,$A135,'Per Line'!$W$2:$W$3001,0))</f>
        <v/>
      </c>
      <c r="M135" s="7">
        <f>IF($U135="","",L135*K135)</f>
        <v/>
      </c>
      <c r="N135">
        <f>IF($U135="","",Settings!$C$6)</f>
        <v/>
      </c>
      <c r="O135" s="7">
        <f>IF($U135="","",SUMIFS('Per Line'!$N$2:$N$3001,'Per Line'!$A$2:$A$3001,$A135,'Per Line'!$W$2:$W$3001,1))</f>
        <v/>
      </c>
      <c r="P135" s="7">
        <f>IF($U135="","",O135*N135)</f>
        <v/>
      </c>
      <c r="Q135" s="7">
        <f>IF($U135="","",P135+M135)</f>
        <v/>
      </c>
      <c r="R135" s="7">
        <f>IF($U135="","",S135-Q135)</f>
        <v/>
      </c>
      <c r="S135" s="7">
        <f>IF($U135="","",L135+O135)</f>
        <v/>
      </c>
      <c r="T135" s="7">
        <f>IF($U135="","",S135-Q135-G135)</f>
        <v/>
      </c>
      <c r="U135" s="13">
        <f>IF(ROWS($U$2:$U135)&lt;=MAX('Per Line'!$V$2:$V$3001),MATCH(ROWS($U$2:$U135),'Per Line'!$V$2:$V$3001,0),"")</f>
        <v/>
      </c>
    </row>
    <row r="136">
      <c r="A136">
        <f>IF($U136="","",INDEX('Per Line'!$A$2:$A$3001,$U136)&amp;"")</f>
        <v/>
      </c>
      <c r="B136" s="12" t="n"/>
      <c r="C136">
        <f>IF($U136="","",INDEX('Per Line'!$B$2:$B$3001,$U136)&amp;"")</f>
        <v/>
      </c>
      <c r="D136">
        <f>IF($U136="","",INDEX('Per Line'!$C$2:$C$3001,$U136)&amp;"")</f>
        <v/>
      </c>
      <c r="E136">
        <f>IF($U136="","",INDEX('Per Line'!$D$2:$D$3001,$U136)&amp;"")</f>
        <v/>
      </c>
      <c r="F136">
        <f>IF($U136="","",INDEX('Per Line'!$E$2:$E$3001,$U136))</f>
        <v/>
      </c>
      <c r="G136" s="7">
        <f>IF($U136="","",F136*S136/100)</f>
        <v/>
      </c>
      <c r="H136">
        <f>IF($U136="","",INDEX('Per Line'!$O$2:$O$3001,$U136)&amp;"")</f>
        <v/>
      </c>
      <c r="I136" s="11">
        <f>IF($U136="","",INDEX('Per Line'!$Q$2:$Q$3001,$U136))</f>
        <v/>
      </c>
      <c r="J136">
        <f>IF($U136="","",INDEX('Per Line'!$R$2:$R$3001,$U136)&amp;"")</f>
        <v/>
      </c>
      <c r="K136">
        <f>IF($U136="","",Settings!$C$7)</f>
        <v/>
      </c>
      <c r="L136" s="7">
        <f>IF($U136="","",SUMIFS('Per Line'!$N$2:$N$3001,'Per Line'!$A$2:$A$3001,$A136,'Per Line'!$W$2:$W$3001,0))</f>
        <v/>
      </c>
      <c r="M136" s="7">
        <f>IF($U136="","",L136*K136)</f>
        <v/>
      </c>
      <c r="N136">
        <f>IF($U136="","",Settings!$C$6)</f>
        <v/>
      </c>
      <c r="O136" s="7">
        <f>IF($U136="","",SUMIFS('Per Line'!$N$2:$N$3001,'Per Line'!$A$2:$A$3001,$A136,'Per Line'!$W$2:$W$3001,1))</f>
        <v/>
      </c>
      <c r="P136" s="7">
        <f>IF($U136="","",O136*N136)</f>
        <v/>
      </c>
      <c r="Q136" s="7">
        <f>IF($U136="","",P136+M136)</f>
        <v/>
      </c>
      <c r="R136" s="7">
        <f>IF($U136="","",S136-Q136)</f>
        <v/>
      </c>
      <c r="S136" s="7">
        <f>IF($U136="","",L136+O136)</f>
        <v/>
      </c>
      <c r="T136" s="7">
        <f>IF($U136="","",S136-Q136-G136)</f>
        <v/>
      </c>
      <c r="U136" s="13">
        <f>IF(ROWS($U$2:$U136)&lt;=MAX('Per Line'!$V$2:$V$3001),MATCH(ROWS($U$2:$U136),'Per Line'!$V$2:$V$3001,0),"")</f>
        <v/>
      </c>
    </row>
    <row r="137">
      <c r="A137">
        <f>IF($U137="","",INDEX('Per Line'!$A$2:$A$3001,$U137)&amp;"")</f>
        <v/>
      </c>
      <c r="B137" s="12" t="n"/>
      <c r="C137">
        <f>IF($U137="","",INDEX('Per Line'!$B$2:$B$3001,$U137)&amp;"")</f>
        <v/>
      </c>
      <c r="D137">
        <f>IF($U137="","",INDEX('Per Line'!$C$2:$C$3001,$U137)&amp;"")</f>
        <v/>
      </c>
      <c r="E137">
        <f>IF($U137="","",INDEX('Per Line'!$D$2:$D$3001,$U137)&amp;"")</f>
        <v/>
      </c>
      <c r="F137">
        <f>IF($U137="","",INDEX('Per Line'!$E$2:$E$3001,$U137))</f>
        <v/>
      </c>
      <c r="G137" s="7">
        <f>IF($U137="","",F137*S137/100)</f>
        <v/>
      </c>
      <c r="H137">
        <f>IF($U137="","",INDEX('Per Line'!$O$2:$O$3001,$U137)&amp;"")</f>
        <v/>
      </c>
      <c r="I137" s="11">
        <f>IF($U137="","",INDEX('Per Line'!$Q$2:$Q$3001,$U137))</f>
        <v/>
      </c>
      <c r="J137">
        <f>IF($U137="","",INDEX('Per Line'!$R$2:$R$3001,$U137)&amp;"")</f>
        <v/>
      </c>
      <c r="K137">
        <f>IF($U137="","",Settings!$C$7)</f>
        <v/>
      </c>
      <c r="L137" s="7">
        <f>IF($U137="","",SUMIFS('Per Line'!$N$2:$N$3001,'Per Line'!$A$2:$A$3001,$A137,'Per Line'!$W$2:$W$3001,0))</f>
        <v/>
      </c>
      <c r="M137" s="7">
        <f>IF($U137="","",L137*K137)</f>
        <v/>
      </c>
      <c r="N137">
        <f>IF($U137="","",Settings!$C$6)</f>
        <v/>
      </c>
      <c r="O137" s="7">
        <f>IF($U137="","",SUMIFS('Per Line'!$N$2:$N$3001,'Per Line'!$A$2:$A$3001,$A137,'Per Line'!$W$2:$W$3001,1))</f>
        <v/>
      </c>
      <c r="P137" s="7">
        <f>IF($U137="","",O137*N137)</f>
        <v/>
      </c>
      <c r="Q137" s="7">
        <f>IF($U137="","",P137+M137)</f>
        <v/>
      </c>
      <c r="R137" s="7">
        <f>IF($U137="","",S137-Q137)</f>
        <v/>
      </c>
      <c r="S137" s="7">
        <f>IF($U137="","",L137+O137)</f>
        <v/>
      </c>
      <c r="T137" s="7">
        <f>IF($U137="","",S137-Q137-G137)</f>
        <v/>
      </c>
      <c r="U137" s="13">
        <f>IF(ROWS($U$2:$U137)&lt;=MAX('Per Line'!$V$2:$V$3001),MATCH(ROWS($U$2:$U137),'Per Line'!$V$2:$V$3001,0),"")</f>
        <v/>
      </c>
    </row>
    <row r="138">
      <c r="A138">
        <f>IF($U138="","",INDEX('Per Line'!$A$2:$A$3001,$U138)&amp;"")</f>
        <v/>
      </c>
      <c r="B138" s="12" t="n"/>
      <c r="C138">
        <f>IF($U138="","",INDEX('Per Line'!$B$2:$B$3001,$U138)&amp;"")</f>
        <v/>
      </c>
      <c r="D138">
        <f>IF($U138="","",INDEX('Per Line'!$C$2:$C$3001,$U138)&amp;"")</f>
        <v/>
      </c>
      <c r="E138">
        <f>IF($U138="","",INDEX('Per Line'!$D$2:$D$3001,$U138)&amp;"")</f>
        <v/>
      </c>
      <c r="F138">
        <f>IF($U138="","",INDEX('Per Line'!$E$2:$E$3001,$U138))</f>
        <v/>
      </c>
      <c r="G138" s="7">
        <f>IF($U138="","",F138*S138/100)</f>
        <v/>
      </c>
      <c r="H138">
        <f>IF($U138="","",INDEX('Per Line'!$O$2:$O$3001,$U138)&amp;"")</f>
        <v/>
      </c>
      <c r="I138" s="11">
        <f>IF($U138="","",INDEX('Per Line'!$Q$2:$Q$3001,$U138))</f>
        <v/>
      </c>
      <c r="J138">
        <f>IF($U138="","",INDEX('Per Line'!$R$2:$R$3001,$U138)&amp;"")</f>
        <v/>
      </c>
      <c r="K138">
        <f>IF($U138="","",Settings!$C$7)</f>
        <v/>
      </c>
      <c r="L138" s="7">
        <f>IF($U138="","",SUMIFS('Per Line'!$N$2:$N$3001,'Per Line'!$A$2:$A$3001,$A138,'Per Line'!$W$2:$W$3001,0))</f>
        <v/>
      </c>
      <c r="M138" s="7">
        <f>IF($U138="","",L138*K138)</f>
        <v/>
      </c>
      <c r="N138">
        <f>IF($U138="","",Settings!$C$6)</f>
        <v/>
      </c>
      <c r="O138" s="7">
        <f>IF($U138="","",SUMIFS('Per Line'!$N$2:$N$3001,'Per Line'!$A$2:$A$3001,$A138,'Per Line'!$W$2:$W$3001,1))</f>
        <v/>
      </c>
      <c r="P138" s="7">
        <f>IF($U138="","",O138*N138)</f>
        <v/>
      </c>
      <c r="Q138" s="7">
        <f>IF($U138="","",P138+M138)</f>
        <v/>
      </c>
      <c r="R138" s="7">
        <f>IF($U138="","",S138-Q138)</f>
        <v/>
      </c>
      <c r="S138" s="7">
        <f>IF($U138="","",L138+O138)</f>
        <v/>
      </c>
      <c r="T138" s="7">
        <f>IF($U138="","",S138-Q138-G138)</f>
        <v/>
      </c>
      <c r="U138" s="13">
        <f>IF(ROWS($U$2:$U138)&lt;=MAX('Per Line'!$V$2:$V$3001),MATCH(ROWS($U$2:$U138),'Per Line'!$V$2:$V$3001,0),"")</f>
        <v/>
      </c>
    </row>
    <row r="139">
      <c r="A139">
        <f>IF($U139="","",INDEX('Per Line'!$A$2:$A$3001,$U139)&amp;"")</f>
        <v/>
      </c>
      <c r="B139" s="12" t="n"/>
      <c r="C139">
        <f>IF($U139="","",INDEX('Per Line'!$B$2:$B$3001,$U139)&amp;"")</f>
        <v/>
      </c>
      <c r="D139">
        <f>IF($U139="","",INDEX('Per Line'!$C$2:$C$3001,$U139)&amp;"")</f>
        <v/>
      </c>
      <c r="E139">
        <f>IF($U139="","",INDEX('Per Line'!$D$2:$D$3001,$U139)&amp;"")</f>
        <v/>
      </c>
      <c r="F139">
        <f>IF($U139="","",INDEX('Per Line'!$E$2:$E$3001,$U139))</f>
        <v/>
      </c>
      <c r="G139" s="7">
        <f>IF($U139="","",F139*S139/100)</f>
        <v/>
      </c>
      <c r="H139">
        <f>IF($U139="","",INDEX('Per Line'!$O$2:$O$3001,$U139)&amp;"")</f>
        <v/>
      </c>
      <c r="I139" s="11">
        <f>IF($U139="","",INDEX('Per Line'!$Q$2:$Q$3001,$U139))</f>
        <v/>
      </c>
      <c r="J139">
        <f>IF($U139="","",INDEX('Per Line'!$R$2:$R$3001,$U139)&amp;"")</f>
        <v/>
      </c>
      <c r="K139">
        <f>IF($U139="","",Settings!$C$7)</f>
        <v/>
      </c>
      <c r="L139" s="7">
        <f>IF($U139="","",SUMIFS('Per Line'!$N$2:$N$3001,'Per Line'!$A$2:$A$3001,$A139,'Per Line'!$W$2:$W$3001,0))</f>
        <v/>
      </c>
      <c r="M139" s="7">
        <f>IF($U139="","",L139*K139)</f>
        <v/>
      </c>
      <c r="N139">
        <f>IF($U139="","",Settings!$C$6)</f>
        <v/>
      </c>
      <c r="O139" s="7">
        <f>IF($U139="","",SUMIFS('Per Line'!$N$2:$N$3001,'Per Line'!$A$2:$A$3001,$A139,'Per Line'!$W$2:$W$3001,1))</f>
        <v/>
      </c>
      <c r="P139" s="7">
        <f>IF($U139="","",O139*N139)</f>
        <v/>
      </c>
      <c r="Q139" s="7">
        <f>IF($U139="","",P139+M139)</f>
        <v/>
      </c>
      <c r="R139" s="7">
        <f>IF($U139="","",S139-Q139)</f>
        <v/>
      </c>
      <c r="S139" s="7">
        <f>IF($U139="","",L139+O139)</f>
        <v/>
      </c>
      <c r="T139" s="7">
        <f>IF($U139="","",S139-Q139-G139)</f>
        <v/>
      </c>
      <c r="U139" s="13">
        <f>IF(ROWS($U$2:$U139)&lt;=MAX('Per Line'!$V$2:$V$3001),MATCH(ROWS($U$2:$U139),'Per Line'!$V$2:$V$3001,0),"")</f>
        <v/>
      </c>
    </row>
    <row r="140">
      <c r="A140">
        <f>IF($U140="","",INDEX('Per Line'!$A$2:$A$3001,$U140)&amp;"")</f>
        <v/>
      </c>
      <c r="B140" s="12" t="n"/>
      <c r="C140">
        <f>IF($U140="","",INDEX('Per Line'!$B$2:$B$3001,$U140)&amp;"")</f>
        <v/>
      </c>
      <c r="D140">
        <f>IF($U140="","",INDEX('Per Line'!$C$2:$C$3001,$U140)&amp;"")</f>
        <v/>
      </c>
      <c r="E140">
        <f>IF($U140="","",INDEX('Per Line'!$D$2:$D$3001,$U140)&amp;"")</f>
        <v/>
      </c>
      <c r="F140">
        <f>IF($U140="","",INDEX('Per Line'!$E$2:$E$3001,$U140))</f>
        <v/>
      </c>
      <c r="G140" s="7">
        <f>IF($U140="","",F140*S140/100)</f>
        <v/>
      </c>
      <c r="H140">
        <f>IF($U140="","",INDEX('Per Line'!$O$2:$O$3001,$U140)&amp;"")</f>
        <v/>
      </c>
      <c r="I140" s="11">
        <f>IF($U140="","",INDEX('Per Line'!$Q$2:$Q$3001,$U140))</f>
        <v/>
      </c>
      <c r="J140">
        <f>IF($U140="","",INDEX('Per Line'!$R$2:$R$3001,$U140)&amp;"")</f>
        <v/>
      </c>
      <c r="K140">
        <f>IF($U140="","",Settings!$C$7)</f>
        <v/>
      </c>
      <c r="L140" s="7">
        <f>IF($U140="","",SUMIFS('Per Line'!$N$2:$N$3001,'Per Line'!$A$2:$A$3001,$A140,'Per Line'!$W$2:$W$3001,0))</f>
        <v/>
      </c>
      <c r="M140" s="7">
        <f>IF($U140="","",L140*K140)</f>
        <v/>
      </c>
      <c r="N140">
        <f>IF($U140="","",Settings!$C$6)</f>
        <v/>
      </c>
      <c r="O140" s="7">
        <f>IF($U140="","",SUMIFS('Per Line'!$N$2:$N$3001,'Per Line'!$A$2:$A$3001,$A140,'Per Line'!$W$2:$W$3001,1))</f>
        <v/>
      </c>
      <c r="P140" s="7">
        <f>IF($U140="","",O140*N140)</f>
        <v/>
      </c>
      <c r="Q140" s="7">
        <f>IF($U140="","",P140+M140)</f>
        <v/>
      </c>
      <c r="R140" s="7">
        <f>IF($U140="","",S140-Q140)</f>
        <v/>
      </c>
      <c r="S140" s="7">
        <f>IF($U140="","",L140+O140)</f>
        <v/>
      </c>
      <c r="T140" s="7">
        <f>IF($U140="","",S140-Q140-G140)</f>
        <v/>
      </c>
      <c r="U140" s="13">
        <f>IF(ROWS($U$2:$U140)&lt;=MAX('Per Line'!$V$2:$V$3001),MATCH(ROWS($U$2:$U140),'Per Line'!$V$2:$V$3001,0),"")</f>
        <v/>
      </c>
    </row>
    <row r="141">
      <c r="A141">
        <f>IF($U141="","",INDEX('Per Line'!$A$2:$A$3001,$U141)&amp;"")</f>
        <v/>
      </c>
      <c r="B141" s="12" t="n"/>
      <c r="C141">
        <f>IF($U141="","",INDEX('Per Line'!$B$2:$B$3001,$U141)&amp;"")</f>
        <v/>
      </c>
      <c r="D141">
        <f>IF($U141="","",INDEX('Per Line'!$C$2:$C$3001,$U141)&amp;"")</f>
        <v/>
      </c>
      <c r="E141">
        <f>IF($U141="","",INDEX('Per Line'!$D$2:$D$3001,$U141)&amp;"")</f>
        <v/>
      </c>
      <c r="F141">
        <f>IF($U141="","",INDEX('Per Line'!$E$2:$E$3001,$U141))</f>
        <v/>
      </c>
      <c r="G141" s="7">
        <f>IF($U141="","",F141*S141/100)</f>
        <v/>
      </c>
      <c r="H141">
        <f>IF($U141="","",INDEX('Per Line'!$O$2:$O$3001,$U141)&amp;"")</f>
        <v/>
      </c>
      <c r="I141" s="11">
        <f>IF($U141="","",INDEX('Per Line'!$Q$2:$Q$3001,$U141))</f>
        <v/>
      </c>
      <c r="J141">
        <f>IF($U141="","",INDEX('Per Line'!$R$2:$R$3001,$U141)&amp;"")</f>
        <v/>
      </c>
      <c r="K141">
        <f>IF($U141="","",Settings!$C$7)</f>
        <v/>
      </c>
      <c r="L141" s="7">
        <f>IF($U141="","",SUMIFS('Per Line'!$N$2:$N$3001,'Per Line'!$A$2:$A$3001,$A141,'Per Line'!$W$2:$W$3001,0))</f>
        <v/>
      </c>
      <c r="M141" s="7">
        <f>IF($U141="","",L141*K141)</f>
        <v/>
      </c>
      <c r="N141">
        <f>IF($U141="","",Settings!$C$6)</f>
        <v/>
      </c>
      <c r="O141" s="7">
        <f>IF($U141="","",SUMIFS('Per Line'!$N$2:$N$3001,'Per Line'!$A$2:$A$3001,$A141,'Per Line'!$W$2:$W$3001,1))</f>
        <v/>
      </c>
      <c r="P141" s="7">
        <f>IF($U141="","",O141*N141)</f>
        <v/>
      </c>
      <c r="Q141" s="7">
        <f>IF($U141="","",P141+M141)</f>
        <v/>
      </c>
      <c r="R141" s="7">
        <f>IF($U141="","",S141-Q141)</f>
        <v/>
      </c>
      <c r="S141" s="7">
        <f>IF($U141="","",L141+O141)</f>
        <v/>
      </c>
      <c r="T141" s="7">
        <f>IF($U141="","",S141-Q141-G141)</f>
        <v/>
      </c>
      <c r="U141" s="13">
        <f>IF(ROWS($U$2:$U141)&lt;=MAX('Per Line'!$V$2:$V$3001),MATCH(ROWS($U$2:$U141),'Per Line'!$V$2:$V$3001,0),"")</f>
        <v/>
      </c>
    </row>
    <row r="142">
      <c r="A142">
        <f>IF($U142="","",INDEX('Per Line'!$A$2:$A$3001,$U142)&amp;"")</f>
        <v/>
      </c>
      <c r="B142" s="12" t="n"/>
      <c r="C142">
        <f>IF($U142="","",INDEX('Per Line'!$B$2:$B$3001,$U142)&amp;"")</f>
        <v/>
      </c>
      <c r="D142">
        <f>IF($U142="","",INDEX('Per Line'!$C$2:$C$3001,$U142)&amp;"")</f>
        <v/>
      </c>
      <c r="E142">
        <f>IF($U142="","",INDEX('Per Line'!$D$2:$D$3001,$U142)&amp;"")</f>
        <v/>
      </c>
      <c r="F142">
        <f>IF($U142="","",INDEX('Per Line'!$E$2:$E$3001,$U142))</f>
        <v/>
      </c>
      <c r="G142" s="7">
        <f>IF($U142="","",F142*S142/100)</f>
        <v/>
      </c>
      <c r="H142">
        <f>IF($U142="","",INDEX('Per Line'!$O$2:$O$3001,$U142)&amp;"")</f>
        <v/>
      </c>
      <c r="I142" s="11">
        <f>IF($U142="","",INDEX('Per Line'!$Q$2:$Q$3001,$U142))</f>
        <v/>
      </c>
      <c r="J142">
        <f>IF($U142="","",INDEX('Per Line'!$R$2:$R$3001,$U142)&amp;"")</f>
        <v/>
      </c>
      <c r="K142">
        <f>IF($U142="","",Settings!$C$7)</f>
        <v/>
      </c>
      <c r="L142" s="7">
        <f>IF($U142="","",SUMIFS('Per Line'!$N$2:$N$3001,'Per Line'!$A$2:$A$3001,$A142,'Per Line'!$W$2:$W$3001,0))</f>
        <v/>
      </c>
      <c r="M142" s="7">
        <f>IF($U142="","",L142*K142)</f>
        <v/>
      </c>
      <c r="N142">
        <f>IF($U142="","",Settings!$C$6)</f>
        <v/>
      </c>
      <c r="O142" s="7">
        <f>IF($U142="","",SUMIFS('Per Line'!$N$2:$N$3001,'Per Line'!$A$2:$A$3001,$A142,'Per Line'!$W$2:$W$3001,1))</f>
        <v/>
      </c>
      <c r="P142" s="7">
        <f>IF($U142="","",O142*N142)</f>
        <v/>
      </c>
      <c r="Q142" s="7">
        <f>IF($U142="","",P142+M142)</f>
        <v/>
      </c>
      <c r="R142" s="7">
        <f>IF($U142="","",S142-Q142)</f>
        <v/>
      </c>
      <c r="S142" s="7">
        <f>IF($U142="","",L142+O142)</f>
        <v/>
      </c>
      <c r="T142" s="7">
        <f>IF($U142="","",S142-Q142-G142)</f>
        <v/>
      </c>
      <c r="U142" s="13">
        <f>IF(ROWS($U$2:$U142)&lt;=MAX('Per Line'!$V$2:$V$3001),MATCH(ROWS($U$2:$U142),'Per Line'!$V$2:$V$3001,0),"")</f>
        <v/>
      </c>
    </row>
    <row r="143">
      <c r="A143">
        <f>IF($U143="","",INDEX('Per Line'!$A$2:$A$3001,$U143)&amp;"")</f>
        <v/>
      </c>
      <c r="B143" s="12" t="n"/>
      <c r="C143">
        <f>IF($U143="","",INDEX('Per Line'!$B$2:$B$3001,$U143)&amp;"")</f>
        <v/>
      </c>
      <c r="D143">
        <f>IF($U143="","",INDEX('Per Line'!$C$2:$C$3001,$U143)&amp;"")</f>
        <v/>
      </c>
      <c r="E143">
        <f>IF($U143="","",INDEX('Per Line'!$D$2:$D$3001,$U143)&amp;"")</f>
        <v/>
      </c>
      <c r="F143">
        <f>IF($U143="","",INDEX('Per Line'!$E$2:$E$3001,$U143))</f>
        <v/>
      </c>
      <c r="G143" s="7">
        <f>IF($U143="","",F143*S143/100)</f>
        <v/>
      </c>
      <c r="H143">
        <f>IF($U143="","",INDEX('Per Line'!$O$2:$O$3001,$U143)&amp;"")</f>
        <v/>
      </c>
      <c r="I143" s="11">
        <f>IF($U143="","",INDEX('Per Line'!$Q$2:$Q$3001,$U143))</f>
        <v/>
      </c>
      <c r="J143">
        <f>IF($U143="","",INDEX('Per Line'!$R$2:$R$3001,$U143)&amp;"")</f>
        <v/>
      </c>
      <c r="K143">
        <f>IF($U143="","",Settings!$C$7)</f>
        <v/>
      </c>
      <c r="L143" s="7">
        <f>IF($U143="","",SUMIFS('Per Line'!$N$2:$N$3001,'Per Line'!$A$2:$A$3001,$A143,'Per Line'!$W$2:$W$3001,0))</f>
        <v/>
      </c>
      <c r="M143" s="7">
        <f>IF($U143="","",L143*K143)</f>
        <v/>
      </c>
      <c r="N143">
        <f>IF($U143="","",Settings!$C$6)</f>
        <v/>
      </c>
      <c r="O143" s="7">
        <f>IF($U143="","",SUMIFS('Per Line'!$N$2:$N$3001,'Per Line'!$A$2:$A$3001,$A143,'Per Line'!$W$2:$W$3001,1))</f>
        <v/>
      </c>
      <c r="P143" s="7">
        <f>IF($U143="","",O143*N143)</f>
        <v/>
      </c>
      <c r="Q143" s="7">
        <f>IF($U143="","",P143+M143)</f>
        <v/>
      </c>
      <c r="R143" s="7">
        <f>IF($U143="","",S143-Q143)</f>
        <v/>
      </c>
      <c r="S143" s="7">
        <f>IF($U143="","",L143+O143)</f>
        <v/>
      </c>
      <c r="T143" s="7">
        <f>IF($U143="","",S143-Q143-G143)</f>
        <v/>
      </c>
      <c r="U143" s="13">
        <f>IF(ROWS($U$2:$U143)&lt;=MAX('Per Line'!$V$2:$V$3001),MATCH(ROWS($U$2:$U143),'Per Line'!$V$2:$V$3001,0),"")</f>
        <v/>
      </c>
    </row>
    <row r="144">
      <c r="A144">
        <f>IF($U144="","",INDEX('Per Line'!$A$2:$A$3001,$U144)&amp;"")</f>
        <v/>
      </c>
      <c r="B144" s="12" t="n"/>
      <c r="C144">
        <f>IF($U144="","",INDEX('Per Line'!$B$2:$B$3001,$U144)&amp;"")</f>
        <v/>
      </c>
      <c r="D144">
        <f>IF($U144="","",INDEX('Per Line'!$C$2:$C$3001,$U144)&amp;"")</f>
        <v/>
      </c>
      <c r="E144">
        <f>IF($U144="","",INDEX('Per Line'!$D$2:$D$3001,$U144)&amp;"")</f>
        <v/>
      </c>
      <c r="F144">
        <f>IF($U144="","",INDEX('Per Line'!$E$2:$E$3001,$U144))</f>
        <v/>
      </c>
      <c r="G144" s="7">
        <f>IF($U144="","",F144*S144/100)</f>
        <v/>
      </c>
      <c r="H144">
        <f>IF($U144="","",INDEX('Per Line'!$O$2:$O$3001,$U144)&amp;"")</f>
        <v/>
      </c>
      <c r="I144" s="11">
        <f>IF($U144="","",INDEX('Per Line'!$Q$2:$Q$3001,$U144))</f>
        <v/>
      </c>
      <c r="J144">
        <f>IF($U144="","",INDEX('Per Line'!$R$2:$R$3001,$U144)&amp;"")</f>
        <v/>
      </c>
      <c r="K144">
        <f>IF($U144="","",Settings!$C$7)</f>
        <v/>
      </c>
      <c r="L144" s="7">
        <f>IF($U144="","",SUMIFS('Per Line'!$N$2:$N$3001,'Per Line'!$A$2:$A$3001,$A144,'Per Line'!$W$2:$W$3001,0))</f>
        <v/>
      </c>
      <c r="M144" s="7">
        <f>IF($U144="","",L144*K144)</f>
        <v/>
      </c>
      <c r="N144">
        <f>IF($U144="","",Settings!$C$6)</f>
        <v/>
      </c>
      <c r="O144" s="7">
        <f>IF($U144="","",SUMIFS('Per Line'!$N$2:$N$3001,'Per Line'!$A$2:$A$3001,$A144,'Per Line'!$W$2:$W$3001,1))</f>
        <v/>
      </c>
      <c r="P144" s="7">
        <f>IF($U144="","",O144*N144)</f>
        <v/>
      </c>
      <c r="Q144" s="7">
        <f>IF($U144="","",P144+M144)</f>
        <v/>
      </c>
      <c r="R144" s="7">
        <f>IF($U144="","",S144-Q144)</f>
        <v/>
      </c>
      <c r="S144" s="7">
        <f>IF($U144="","",L144+O144)</f>
        <v/>
      </c>
      <c r="T144" s="7">
        <f>IF($U144="","",S144-Q144-G144)</f>
        <v/>
      </c>
      <c r="U144" s="13">
        <f>IF(ROWS($U$2:$U144)&lt;=MAX('Per Line'!$V$2:$V$3001),MATCH(ROWS($U$2:$U144),'Per Line'!$V$2:$V$3001,0),"")</f>
        <v/>
      </c>
    </row>
    <row r="145">
      <c r="A145">
        <f>IF($U145="","",INDEX('Per Line'!$A$2:$A$3001,$U145)&amp;"")</f>
        <v/>
      </c>
      <c r="B145" s="12" t="n"/>
      <c r="C145">
        <f>IF($U145="","",INDEX('Per Line'!$B$2:$B$3001,$U145)&amp;"")</f>
        <v/>
      </c>
      <c r="D145">
        <f>IF($U145="","",INDEX('Per Line'!$C$2:$C$3001,$U145)&amp;"")</f>
        <v/>
      </c>
      <c r="E145">
        <f>IF($U145="","",INDEX('Per Line'!$D$2:$D$3001,$U145)&amp;"")</f>
        <v/>
      </c>
      <c r="F145">
        <f>IF($U145="","",INDEX('Per Line'!$E$2:$E$3001,$U145))</f>
        <v/>
      </c>
      <c r="G145" s="7">
        <f>IF($U145="","",F145*S145/100)</f>
        <v/>
      </c>
      <c r="H145">
        <f>IF($U145="","",INDEX('Per Line'!$O$2:$O$3001,$U145)&amp;"")</f>
        <v/>
      </c>
      <c r="I145" s="11">
        <f>IF($U145="","",INDEX('Per Line'!$Q$2:$Q$3001,$U145))</f>
        <v/>
      </c>
      <c r="J145">
        <f>IF($U145="","",INDEX('Per Line'!$R$2:$R$3001,$U145)&amp;"")</f>
        <v/>
      </c>
      <c r="K145">
        <f>IF($U145="","",Settings!$C$7)</f>
        <v/>
      </c>
      <c r="L145" s="7">
        <f>IF($U145="","",SUMIFS('Per Line'!$N$2:$N$3001,'Per Line'!$A$2:$A$3001,$A145,'Per Line'!$W$2:$W$3001,0))</f>
        <v/>
      </c>
      <c r="M145" s="7">
        <f>IF($U145="","",L145*K145)</f>
        <v/>
      </c>
      <c r="N145">
        <f>IF($U145="","",Settings!$C$6)</f>
        <v/>
      </c>
      <c r="O145" s="7">
        <f>IF($U145="","",SUMIFS('Per Line'!$N$2:$N$3001,'Per Line'!$A$2:$A$3001,$A145,'Per Line'!$W$2:$W$3001,1))</f>
        <v/>
      </c>
      <c r="P145" s="7">
        <f>IF($U145="","",O145*N145)</f>
        <v/>
      </c>
      <c r="Q145" s="7">
        <f>IF($U145="","",P145+M145)</f>
        <v/>
      </c>
      <c r="R145" s="7">
        <f>IF($U145="","",S145-Q145)</f>
        <v/>
      </c>
      <c r="S145" s="7">
        <f>IF($U145="","",L145+O145)</f>
        <v/>
      </c>
      <c r="T145" s="7">
        <f>IF($U145="","",S145-Q145-G145)</f>
        <v/>
      </c>
      <c r="U145" s="13">
        <f>IF(ROWS($U$2:$U145)&lt;=MAX('Per Line'!$V$2:$V$3001),MATCH(ROWS($U$2:$U145),'Per Line'!$V$2:$V$3001,0),"")</f>
        <v/>
      </c>
    </row>
    <row r="146">
      <c r="A146">
        <f>IF($U146="","",INDEX('Per Line'!$A$2:$A$3001,$U146)&amp;"")</f>
        <v/>
      </c>
      <c r="B146" s="12" t="n"/>
      <c r="C146">
        <f>IF($U146="","",INDEX('Per Line'!$B$2:$B$3001,$U146)&amp;"")</f>
        <v/>
      </c>
      <c r="D146">
        <f>IF($U146="","",INDEX('Per Line'!$C$2:$C$3001,$U146)&amp;"")</f>
        <v/>
      </c>
      <c r="E146">
        <f>IF($U146="","",INDEX('Per Line'!$D$2:$D$3001,$U146)&amp;"")</f>
        <v/>
      </c>
      <c r="F146">
        <f>IF($U146="","",INDEX('Per Line'!$E$2:$E$3001,$U146))</f>
        <v/>
      </c>
      <c r="G146" s="7">
        <f>IF($U146="","",F146*S146/100)</f>
        <v/>
      </c>
      <c r="H146">
        <f>IF($U146="","",INDEX('Per Line'!$O$2:$O$3001,$U146)&amp;"")</f>
        <v/>
      </c>
      <c r="I146" s="11">
        <f>IF($U146="","",INDEX('Per Line'!$Q$2:$Q$3001,$U146))</f>
        <v/>
      </c>
      <c r="J146">
        <f>IF($U146="","",INDEX('Per Line'!$R$2:$R$3001,$U146)&amp;"")</f>
        <v/>
      </c>
      <c r="K146">
        <f>IF($U146="","",Settings!$C$7)</f>
        <v/>
      </c>
      <c r="L146" s="7">
        <f>IF($U146="","",SUMIFS('Per Line'!$N$2:$N$3001,'Per Line'!$A$2:$A$3001,$A146,'Per Line'!$W$2:$W$3001,0))</f>
        <v/>
      </c>
      <c r="M146" s="7">
        <f>IF($U146="","",L146*K146)</f>
        <v/>
      </c>
      <c r="N146">
        <f>IF($U146="","",Settings!$C$6)</f>
        <v/>
      </c>
      <c r="O146" s="7">
        <f>IF($U146="","",SUMIFS('Per Line'!$N$2:$N$3001,'Per Line'!$A$2:$A$3001,$A146,'Per Line'!$W$2:$W$3001,1))</f>
        <v/>
      </c>
      <c r="P146" s="7">
        <f>IF($U146="","",O146*N146)</f>
        <v/>
      </c>
      <c r="Q146" s="7">
        <f>IF($U146="","",P146+M146)</f>
        <v/>
      </c>
      <c r="R146" s="7">
        <f>IF($U146="","",S146-Q146)</f>
        <v/>
      </c>
      <c r="S146" s="7">
        <f>IF($U146="","",L146+O146)</f>
        <v/>
      </c>
      <c r="T146" s="7">
        <f>IF($U146="","",S146-Q146-G146)</f>
        <v/>
      </c>
      <c r="U146" s="13">
        <f>IF(ROWS($U$2:$U146)&lt;=MAX('Per Line'!$V$2:$V$3001),MATCH(ROWS($U$2:$U146),'Per Line'!$V$2:$V$3001,0),"")</f>
        <v/>
      </c>
    </row>
    <row r="147">
      <c r="A147">
        <f>IF($U147="","",INDEX('Per Line'!$A$2:$A$3001,$U147)&amp;"")</f>
        <v/>
      </c>
      <c r="B147" s="12" t="n"/>
      <c r="C147">
        <f>IF($U147="","",INDEX('Per Line'!$B$2:$B$3001,$U147)&amp;"")</f>
        <v/>
      </c>
      <c r="D147">
        <f>IF($U147="","",INDEX('Per Line'!$C$2:$C$3001,$U147)&amp;"")</f>
        <v/>
      </c>
      <c r="E147">
        <f>IF($U147="","",INDEX('Per Line'!$D$2:$D$3001,$U147)&amp;"")</f>
        <v/>
      </c>
      <c r="F147">
        <f>IF($U147="","",INDEX('Per Line'!$E$2:$E$3001,$U147))</f>
        <v/>
      </c>
      <c r="G147" s="7">
        <f>IF($U147="","",F147*S147/100)</f>
        <v/>
      </c>
      <c r="H147">
        <f>IF($U147="","",INDEX('Per Line'!$O$2:$O$3001,$U147)&amp;"")</f>
        <v/>
      </c>
      <c r="I147" s="11">
        <f>IF($U147="","",INDEX('Per Line'!$Q$2:$Q$3001,$U147))</f>
        <v/>
      </c>
      <c r="J147">
        <f>IF($U147="","",INDEX('Per Line'!$R$2:$R$3001,$U147)&amp;"")</f>
        <v/>
      </c>
      <c r="K147">
        <f>IF($U147="","",Settings!$C$7)</f>
        <v/>
      </c>
      <c r="L147" s="7">
        <f>IF($U147="","",SUMIFS('Per Line'!$N$2:$N$3001,'Per Line'!$A$2:$A$3001,$A147,'Per Line'!$W$2:$W$3001,0))</f>
        <v/>
      </c>
      <c r="M147" s="7">
        <f>IF($U147="","",L147*K147)</f>
        <v/>
      </c>
      <c r="N147">
        <f>IF($U147="","",Settings!$C$6)</f>
        <v/>
      </c>
      <c r="O147" s="7">
        <f>IF($U147="","",SUMIFS('Per Line'!$N$2:$N$3001,'Per Line'!$A$2:$A$3001,$A147,'Per Line'!$W$2:$W$3001,1))</f>
        <v/>
      </c>
      <c r="P147" s="7">
        <f>IF($U147="","",O147*N147)</f>
        <v/>
      </c>
      <c r="Q147" s="7">
        <f>IF($U147="","",P147+M147)</f>
        <v/>
      </c>
      <c r="R147" s="7">
        <f>IF($U147="","",S147-Q147)</f>
        <v/>
      </c>
      <c r="S147" s="7">
        <f>IF($U147="","",L147+O147)</f>
        <v/>
      </c>
      <c r="T147" s="7">
        <f>IF($U147="","",S147-Q147-G147)</f>
        <v/>
      </c>
      <c r="U147" s="13">
        <f>IF(ROWS($U$2:$U147)&lt;=MAX('Per Line'!$V$2:$V$3001),MATCH(ROWS($U$2:$U147),'Per Line'!$V$2:$V$3001,0),"")</f>
        <v/>
      </c>
    </row>
    <row r="148">
      <c r="A148">
        <f>IF($U148="","",INDEX('Per Line'!$A$2:$A$3001,$U148)&amp;"")</f>
        <v/>
      </c>
      <c r="B148" s="12" t="n"/>
      <c r="C148">
        <f>IF($U148="","",INDEX('Per Line'!$B$2:$B$3001,$U148)&amp;"")</f>
        <v/>
      </c>
      <c r="D148">
        <f>IF($U148="","",INDEX('Per Line'!$C$2:$C$3001,$U148)&amp;"")</f>
        <v/>
      </c>
      <c r="E148">
        <f>IF($U148="","",INDEX('Per Line'!$D$2:$D$3001,$U148)&amp;"")</f>
        <v/>
      </c>
      <c r="F148">
        <f>IF($U148="","",INDEX('Per Line'!$E$2:$E$3001,$U148))</f>
        <v/>
      </c>
      <c r="G148" s="7">
        <f>IF($U148="","",F148*S148/100)</f>
        <v/>
      </c>
      <c r="H148">
        <f>IF($U148="","",INDEX('Per Line'!$O$2:$O$3001,$U148)&amp;"")</f>
        <v/>
      </c>
      <c r="I148" s="11">
        <f>IF($U148="","",INDEX('Per Line'!$Q$2:$Q$3001,$U148))</f>
        <v/>
      </c>
      <c r="J148">
        <f>IF($U148="","",INDEX('Per Line'!$R$2:$R$3001,$U148)&amp;"")</f>
        <v/>
      </c>
      <c r="K148">
        <f>IF($U148="","",Settings!$C$7)</f>
        <v/>
      </c>
      <c r="L148" s="7">
        <f>IF($U148="","",SUMIFS('Per Line'!$N$2:$N$3001,'Per Line'!$A$2:$A$3001,$A148,'Per Line'!$W$2:$W$3001,0))</f>
        <v/>
      </c>
      <c r="M148" s="7">
        <f>IF($U148="","",L148*K148)</f>
        <v/>
      </c>
      <c r="N148">
        <f>IF($U148="","",Settings!$C$6)</f>
        <v/>
      </c>
      <c r="O148" s="7">
        <f>IF($U148="","",SUMIFS('Per Line'!$N$2:$N$3001,'Per Line'!$A$2:$A$3001,$A148,'Per Line'!$W$2:$W$3001,1))</f>
        <v/>
      </c>
      <c r="P148" s="7">
        <f>IF($U148="","",O148*N148)</f>
        <v/>
      </c>
      <c r="Q148" s="7">
        <f>IF($U148="","",P148+M148)</f>
        <v/>
      </c>
      <c r="R148" s="7">
        <f>IF($U148="","",S148-Q148)</f>
        <v/>
      </c>
      <c r="S148" s="7">
        <f>IF($U148="","",L148+O148)</f>
        <v/>
      </c>
      <c r="T148" s="7">
        <f>IF($U148="","",S148-Q148-G148)</f>
        <v/>
      </c>
      <c r="U148" s="13">
        <f>IF(ROWS($U$2:$U148)&lt;=MAX('Per Line'!$V$2:$V$3001),MATCH(ROWS($U$2:$U148),'Per Line'!$V$2:$V$3001,0),"")</f>
        <v/>
      </c>
    </row>
    <row r="149">
      <c r="A149">
        <f>IF($U149="","",INDEX('Per Line'!$A$2:$A$3001,$U149)&amp;"")</f>
        <v/>
      </c>
      <c r="B149" s="12" t="n"/>
      <c r="C149">
        <f>IF($U149="","",INDEX('Per Line'!$B$2:$B$3001,$U149)&amp;"")</f>
        <v/>
      </c>
      <c r="D149">
        <f>IF($U149="","",INDEX('Per Line'!$C$2:$C$3001,$U149)&amp;"")</f>
        <v/>
      </c>
      <c r="E149">
        <f>IF($U149="","",INDEX('Per Line'!$D$2:$D$3001,$U149)&amp;"")</f>
        <v/>
      </c>
      <c r="F149">
        <f>IF($U149="","",INDEX('Per Line'!$E$2:$E$3001,$U149))</f>
        <v/>
      </c>
      <c r="G149" s="7">
        <f>IF($U149="","",F149*S149/100)</f>
        <v/>
      </c>
      <c r="H149">
        <f>IF($U149="","",INDEX('Per Line'!$O$2:$O$3001,$U149)&amp;"")</f>
        <v/>
      </c>
      <c r="I149" s="11">
        <f>IF($U149="","",INDEX('Per Line'!$Q$2:$Q$3001,$U149))</f>
        <v/>
      </c>
      <c r="J149">
        <f>IF($U149="","",INDEX('Per Line'!$R$2:$R$3001,$U149)&amp;"")</f>
        <v/>
      </c>
      <c r="K149">
        <f>IF($U149="","",Settings!$C$7)</f>
        <v/>
      </c>
      <c r="L149" s="7">
        <f>IF($U149="","",SUMIFS('Per Line'!$N$2:$N$3001,'Per Line'!$A$2:$A$3001,$A149,'Per Line'!$W$2:$W$3001,0))</f>
        <v/>
      </c>
      <c r="M149" s="7">
        <f>IF($U149="","",L149*K149)</f>
        <v/>
      </c>
      <c r="N149">
        <f>IF($U149="","",Settings!$C$6)</f>
        <v/>
      </c>
      <c r="O149" s="7">
        <f>IF($U149="","",SUMIFS('Per Line'!$N$2:$N$3001,'Per Line'!$A$2:$A$3001,$A149,'Per Line'!$W$2:$W$3001,1))</f>
        <v/>
      </c>
      <c r="P149" s="7">
        <f>IF($U149="","",O149*N149)</f>
        <v/>
      </c>
      <c r="Q149" s="7">
        <f>IF($U149="","",P149+M149)</f>
        <v/>
      </c>
      <c r="R149" s="7">
        <f>IF($U149="","",S149-Q149)</f>
        <v/>
      </c>
      <c r="S149" s="7">
        <f>IF($U149="","",L149+O149)</f>
        <v/>
      </c>
      <c r="T149" s="7">
        <f>IF($U149="","",S149-Q149-G149)</f>
        <v/>
      </c>
      <c r="U149" s="13">
        <f>IF(ROWS($U$2:$U149)&lt;=MAX('Per Line'!$V$2:$V$3001),MATCH(ROWS($U$2:$U149),'Per Line'!$V$2:$V$3001,0),"")</f>
        <v/>
      </c>
    </row>
    <row r="150">
      <c r="A150">
        <f>IF($U150="","",INDEX('Per Line'!$A$2:$A$3001,$U150)&amp;"")</f>
        <v/>
      </c>
      <c r="B150" s="12" t="n"/>
      <c r="C150">
        <f>IF($U150="","",INDEX('Per Line'!$B$2:$B$3001,$U150)&amp;"")</f>
        <v/>
      </c>
      <c r="D150">
        <f>IF($U150="","",INDEX('Per Line'!$C$2:$C$3001,$U150)&amp;"")</f>
        <v/>
      </c>
      <c r="E150">
        <f>IF($U150="","",INDEX('Per Line'!$D$2:$D$3001,$U150)&amp;"")</f>
        <v/>
      </c>
      <c r="F150">
        <f>IF($U150="","",INDEX('Per Line'!$E$2:$E$3001,$U150))</f>
        <v/>
      </c>
      <c r="G150" s="7">
        <f>IF($U150="","",F150*S150/100)</f>
        <v/>
      </c>
      <c r="H150">
        <f>IF($U150="","",INDEX('Per Line'!$O$2:$O$3001,$U150)&amp;"")</f>
        <v/>
      </c>
      <c r="I150" s="11">
        <f>IF($U150="","",INDEX('Per Line'!$Q$2:$Q$3001,$U150))</f>
        <v/>
      </c>
      <c r="J150">
        <f>IF($U150="","",INDEX('Per Line'!$R$2:$R$3001,$U150)&amp;"")</f>
        <v/>
      </c>
      <c r="K150">
        <f>IF($U150="","",Settings!$C$7)</f>
        <v/>
      </c>
      <c r="L150" s="7">
        <f>IF($U150="","",SUMIFS('Per Line'!$N$2:$N$3001,'Per Line'!$A$2:$A$3001,$A150,'Per Line'!$W$2:$W$3001,0))</f>
        <v/>
      </c>
      <c r="M150" s="7">
        <f>IF($U150="","",L150*K150)</f>
        <v/>
      </c>
      <c r="N150">
        <f>IF($U150="","",Settings!$C$6)</f>
        <v/>
      </c>
      <c r="O150" s="7">
        <f>IF($U150="","",SUMIFS('Per Line'!$N$2:$N$3001,'Per Line'!$A$2:$A$3001,$A150,'Per Line'!$W$2:$W$3001,1))</f>
        <v/>
      </c>
      <c r="P150" s="7">
        <f>IF($U150="","",O150*N150)</f>
        <v/>
      </c>
      <c r="Q150" s="7">
        <f>IF($U150="","",P150+M150)</f>
        <v/>
      </c>
      <c r="R150" s="7">
        <f>IF($U150="","",S150-Q150)</f>
        <v/>
      </c>
      <c r="S150" s="7">
        <f>IF($U150="","",L150+O150)</f>
        <v/>
      </c>
      <c r="T150" s="7">
        <f>IF($U150="","",S150-Q150-G150)</f>
        <v/>
      </c>
      <c r="U150" s="13">
        <f>IF(ROWS($U$2:$U150)&lt;=MAX('Per Line'!$V$2:$V$3001),MATCH(ROWS($U$2:$U150),'Per Line'!$V$2:$V$3001,0),"")</f>
        <v/>
      </c>
    </row>
    <row r="151">
      <c r="A151">
        <f>IF($U151="","",INDEX('Per Line'!$A$2:$A$3001,$U151)&amp;"")</f>
        <v/>
      </c>
      <c r="B151" s="12" t="n"/>
      <c r="C151">
        <f>IF($U151="","",INDEX('Per Line'!$B$2:$B$3001,$U151)&amp;"")</f>
        <v/>
      </c>
      <c r="D151">
        <f>IF($U151="","",INDEX('Per Line'!$C$2:$C$3001,$U151)&amp;"")</f>
        <v/>
      </c>
      <c r="E151">
        <f>IF($U151="","",INDEX('Per Line'!$D$2:$D$3001,$U151)&amp;"")</f>
        <v/>
      </c>
      <c r="F151">
        <f>IF($U151="","",INDEX('Per Line'!$E$2:$E$3001,$U151))</f>
        <v/>
      </c>
      <c r="G151" s="7">
        <f>IF($U151="","",F151*S151/100)</f>
        <v/>
      </c>
      <c r="H151">
        <f>IF($U151="","",INDEX('Per Line'!$O$2:$O$3001,$U151)&amp;"")</f>
        <v/>
      </c>
      <c r="I151" s="11">
        <f>IF($U151="","",INDEX('Per Line'!$Q$2:$Q$3001,$U151))</f>
        <v/>
      </c>
      <c r="J151">
        <f>IF($U151="","",INDEX('Per Line'!$R$2:$R$3001,$U151)&amp;"")</f>
        <v/>
      </c>
      <c r="K151">
        <f>IF($U151="","",Settings!$C$7)</f>
        <v/>
      </c>
      <c r="L151" s="7">
        <f>IF($U151="","",SUMIFS('Per Line'!$N$2:$N$3001,'Per Line'!$A$2:$A$3001,$A151,'Per Line'!$W$2:$W$3001,0))</f>
        <v/>
      </c>
      <c r="M151" s="7">
        <f>IF($U151="","",L151*K151)</f>
        <v/>
      </c>
      <c r="N151">
        <f>IF($U151="","",Settings!$C$6)</f>
        <v/>
      </c>
      <c r="O151" s="7">
        <f>IF($U151="","",SUMIFS('Per Line'!$N$2:$N$3001,'Per Line'!$A$2:$A$3001,$A151,'Per Line'!$W$2:$W$3001,1))</f>
        <v/>
      </c>
      <c r="P151" s="7">
        <f>IF($U151="","",O151*N151)</f>
        <v/>
      </c>
      <c r="Q151" s="7">
        <f>IF($U151="","",P151+M151)</f>
        <v/>
      </c>
      <c r="R151" s="7">
        <f>IF($U151="","",S151-Q151)</f>
        <v/>
      </c>
      <c r="S151" s="7">
        <f>IF($U151="","",L151+O151)</f>
        <v/>
      </c>
      <c r="T151" s="7">
        <f>IF($U151="","",S151-Q151-G151)</f>
        <v/>
      </c>
      <c r="U151" s="13">
        <f>IF(ROWS($U$2:$U151)&lt;=MAX('Per Line'!$V$2:$V$3001),MATCH(ROWS($U$2:$U151),'Per Line'!$V$2:$V$3001,0),"")</f>
        <v/>
      </c>
    </row>
    <row r="152">
      <c r="A152">
        <f>IF($U152="","",INDEX('Per Line'!$A$2:$A$3001,$U152)&amp;"")</f>
        <v/>
      </c>
      <c r="B152" s="12" t="n"/>
      <c r="C152">
        <f>IF($U152="","",INDEX('Per Line'!$B$2:$B$3001,$U152)&amp;"")</f>
        <v/>
      </c>
      <c r="D152">
        <f>IF($U152="","",INDEX('Per Line'!$C$2:$C$3001,$U152)&amp;"")</f>
        <v/>
      </c>
      <c r="E152">
        <f>IF($U152="","",INDEX('Per Line'!$D$2:$D$3001,$U152)&amp;"")</f>
        <v/>
      </c>
      <c r="F152">
        <f>IF($U152="","",INDEX('Per Line'!$E$2:$E$3001,$U152))</f>
        <v/>
      </c>
      <c r="G152" s="7">
        <f>IF($U152="","",F152*S152/100)</f>
        <v/>
      </c>
      <c r="H152">
        <f>IF($U152="","",INDEX('Per Line'!$O$2:$O$3001,$U152)&amp;"")</f>
        <v/>
      </c>
      <c r="I152" s="11">
        <f>IF($U152="","",INDEX('Per Line'!$Q$2:$Q$3001,$U152))</f>
        <v/>
      </c>
      <c r="J152">
        <f>IF($U152="","",INDEX('Per Line'!$R$2:$R$3001,$U152)&amp;"")</f>
        <v/>
      </c>
      <c r="K152">
        <f>IF($U152="","",Settings!$C$7)</f>
        <v/>
      </c>
      <c r="L152" s="7">
        <f>IF($U152="","",SUMIFS('Per Line'!$N$2:$N$3001,'Per Line'!$A$2:$A$3001,$A152,'Per Line'!$W$2:$W$3001,0))</f>
        <v/>
      </c>
      <c r="M152" s="7">
        <f>IF($U152="","",L152*K152)</f>
        <v/>
      </c>
      <c r="N152">
        <f>IF($U152="","",Settings!$C$6)</f>
        <v/>
      </c>
      <c r="O152" s="7">
        <f>IF($U152="","",SUMIFS('Per Line'!$N$2:$N$3001,'Per Line'!$A$2:$A$3001,$A152,'Per Line'!$W$2:$W$3001,1))</f>
        <v/>
      </c>
      <c r="P152" s="7">
        <f>IF($U152="","",O152*N152)</f>
        <v/>
      </c>
      <c r="Q152" s="7">
        <f>IF($U152="","",P152+M152)</f>
        <v/>
      </c>
      <c r="R152" s="7">
        <f>IF($U152="","",S152-Q152)</f>
        <v/>
      </c>
      <c r="S152" s="7">
        <f>IF($U152="","",L152+O152)</f>
        <v/>
      </c>
      <c r="T152" s="7">
        <f>IF($U152="","",S152-Q152-G152)</f>
        <v/>
      </c>
      <c r="U152" s="13">
        <f>IF(ROWS($U$2:$U152)&lt;=MAX('Per Line'!$V$2:$V$3001),MATCH(ROWS($U$2:$U152),'Per Line'!$V$2:$V$3001,0),"")</f>
        <v/>
      </c>
    </row>
    <row r="153">
      <c r="A153">
        <f>IF($U153="","",INDEX('Per Line'!$A$2:$A$3001,$U153)&amp;"")</f>
        <v/>
      </c>
      <c r="B153" s="12" t="n"/>
      <c r="C153">
        <f>IF($U153="","",INDEX('Per Line'!$B$2:$B$3001,$U153)&amp;"")</f>
        <v/>
      </c>
      <c r="D153">
        <f>IF($U153="","",INDEX('Per Line'!$C$2:$C$3001,$U153)&amp;"")</f>
        <v/>
      </c>
      <c r="E153">
        <f>IF($U153="","",INDEX('Per Line'!$D$2:$D$3001,$U153)&amp;"")</f>
        <v/>
      </c>
      <c r="F153">
        <f>IF($U153="","",INDEX('Per Line'!$E$2:$E$3001,$U153))</f>
        <v/>
      </c>
      <c r="G153" s="7">
        <f>IF($U153="","",F153*S153/100)</f>
        <v/>
      </c>
      <c r="H153">
        <f>IF($U153="","",INDEX('Per Line'!$O$2:$O$3001,$U153)&amp;"")</f>
        <v/>
      </c>
      <c r="I153" s="11">
        <f>IF($U153="","",INDEX('Per Line'!$Q$2:$Q$3001,$U153))</f>
        <v/>
      </c>
      <c r="J153">
        <f>IF($U153="","",INDEX('Per Line'!$R$2:$R$3001,$U153)&amp;"")</f>
        <v/>
      </c>
      <c r="K153">
        <f>IF($U153="","",Settings!$C$7)</f>
        <v/>
      </c>
      <c r="L153" s="7">
        <f>IF($U153="","",SUMIFS('Per Line'!$N$2:$N$3001,'Per Line'!$A$2:$A$3001,$A153,'Per Line'!$W$2:$W$3001,0))</f>
        <v/>
      </c>
      <c r="M153" s="7">
        <f>IF($U153="","",L153*K153)</f>
        <v/>
      </c>
      <c r="N153">
        <f>IF($U153="","",Settings!$C$6)</f>
        <v/>
      </c>
      <c r="O153" s="7">
        <f>IF($U153="","",SUMIFS('Per Line'!$N$2:$N$3001,'Per Line'!$A$2:$A$3001,$A153,'Per Line'!$W$2:$W$3001,1))</f>
        <v/>
      </c>
      <c r="P153" s="7">
        <f>IF($U153="","",O153*N153)</f>
        <v/>
      </c>
      <c r="Q153" s="7">
        <f>IF($U153="","",P153+M153)</f>
        <v/>
      </c>
      <c r="R153" s="7">
        <f>IF($U153="","",S153-Q153)</f>
        <v/>
      </c>
      <c r="S153" s="7">
        <f>IF($U153="","",L153+O153)</f>
        <v/>
      </c>
      <c r="T153" s="7">
        <f>IF($U153="","",S153-Q153-G153)</f>
        <v/>
      </c>
      <c r="U153" s="13">
        <f>IF(ROWS($U$2:$U153)&lt;=MAX('Per Line'!$V$2:$V$3001),MATCH(ROWS($U$2:$U153),'Per Line'!$V$2:$V$3001,0),"")</f>
        <v/>
      </c>
    </row>
    <row r="154">
      <c r="A154">
        <f>IF($U154="","",INDEX('Per Line'!$A$2:$A$3001,$U154)&amp;"")</f>
        <v/>
      </c>
      <c r="B154" s="12" t="n"/>
      <c r="C154">
        <f>IF($U154="","",INDEX('Per Line'!$B$2:$B$3001,$U154)&amp;"")</f>
        <v/>
      </c>
      <c r="D154">
        <f>IF($U154="","",INDEX('Per Line'!$C$2:$C$3001,$U154)&amp;"")</f>
        <v/>
      </c>
      <c r="E154">
        <f>IF($U154="","",INDEX('Per Line'!$D$2:$D$3001,$U154)&amp;"")</f>
        <v/>
      </c>
      <c r="F154">
        <f>IF($U154="","",INDEX('Per Line'!$E$2:$E$3001,$U154))</f>
        <v/>
      </c>
      <c r="G154" s="7">
        <f>IF($U154="","",F154*S154/100)</f>
        <v/>
      </c>
      <c r="H154">
        <f>IF($U154="","",INDEX('Per Line'!$O$2:$O$3001,$U154)&amp;"")</f>
        <v/>
      </c>
      <c r="I154" s="11">
        <f>IF($U154="","",INDEX('Per Line'!$Q$2:$Q$3001,$U154))</f>
        <v/>
      </c>
      <c r="J154">
        <f>IF($U154="","",INDEX('Per Line'!$R$2:$R$3001,$U154)&amp;"")</f>
        <v/>
      </c>
      <c r="K154">
        <f>IF($U154="","",Settings!$C$7)</f>
        <v/>
      </c>
      <c r="L154" s="7">
        <f>IF($U154="","",SUMIFS('Per Line'!$N$2:$N$3001,'Per Line'!$A$2:$A$3001,$A154,'Per Line'!$W$2:$W$3001,0))</f>
        <v/>
      </c>
      <c r="M154" s="7">
        <f>IF($U154="","",L154*K154)</f>
        <v/>
      </c>
      <c r="N154">
        <f>IF($U154="","",Settings!$C$6)</f>
        <v/>
      </c>
      <c r="O154" s="7">
        <f>IF($U154="","",SUMIFS('Per Line'!$N$2:$N$3001,'Per Line'!$A$2:$A$3001,$A154,'Per Line'!$W$2:$W$3001,1))</f>
        <v/>
      </c>
      <c r="P154" s="7">
        <f>IF($U154="","",O154*N154)</f>
        <v/>
      </c>
      <c r="Q154" s="7">
        <f>IF($U154="","",P154+M154)</f>
        <v/>
      </c>
      <c r="R154" s="7">
        <f>IF($U154="","",S154-Q154)</f>
        <v/>
      </c>
      <c r="S154" s="7">
        <f>IF($U154="","",L154+O154)</f>
        <v/>
      </c>
      <c r="T154" s="7">
        <f>IF($U154="","",S154-Q154-G154)</f>
        <v/>
      </c>
      <c r="U154" s="13">
        <f>IF(ROWS($U$2:$U154)&lt;=MAX('Per Line'!$V$2:$V$3001),MATCH(ROWS($U$2:$U154),'Per Line'!$V$2:$V$3001,0),"")</f>
        <v/>
      </c>
    </row>
    <row r="155">
      <c r="A155">
        <f>IF($U155="","",INDEX('Per Line'!$A$2:$A$3001,$U155)&amp;"")</f>
        <v/>
      </c>
      <c r="B155" s="12" t="n"/>
      <c r="C155">
        <f>IF($U155="","",INDEX('Per Line'!$B$2:$B$3001,$U155)&amp;"")</f>
        <v/>
      </c>
      <c r="D155">
        <f>IF($U155="","",INDEX('Per Line'!$C$2:$C$3001,$U155)&amp;"")</f>
        <v/>
      </c>
      <c r="E155">
        <f>IF($U155="","",INDEX('Per Line'!$D$2:$D$3001,$U155)&amp;"")</f>
        <v/>
      </c>
      <c r="F155">
        <f>IF($U155="","",INDEX('Per Line'!$E$2:$E$3001,$U155))</f>
        <v/>
      </c>
      <c r="G155" s="7">
        <f>IF($U155="","",F155*S155/100)</f>
        <v/>
      </c>
      <c r="H155">
        <f>IF($U155="","",INDEX('Per Line'!$O$2:$O$3001,$U155)&amp;"")</f>
        <v/>
      </c>
      <c r="I155" s="11">
        <f>IF($U155="","",INDEX('Per Line'!$Q$2:$Q$3001,$U155))</f>
        <v/>
      </c>
      <c r="J155">
        <f>IF($U155="","",INDEX('Per Line'!$R$2:$R$3001,$U155)&amp;"")</f>
        <v/>
      </c>
      <c r="K155">
        <f>IF($U155="","",Settings!$C$7)</f>
        <v/>
      </c>
      <c r="L155" s="7">
        <f>IF($U155="","",SUMIFS('Per Line'!$N$2:$N$3001,'Per Line'!$A$2:$A$3001,$A155,'Per Line'!$W$2:$W$3001,0))</f>
        <v/>
      </c>
      <c r="M155" s="7">
        <f>IF($U155="","",L155*K155)</f>
        <v/>
      </c>
      <c r="N155">
        <f>IF($U155="","",Settings!$C$6)</f>
        <v/>
      </c>
      <c r="O155" s="7">
        <f>IF($U155="","",SUMIFS('Per Line'!$N$2:$N$3001,'Per Line'!$A$2:$A$3001,$A155,'Per Line'!$W$2:$W$3001,1))</f>
        <v/>
      </c>
      <c r="P155" s="7">
        <f>IF($U155="","",O155*N155)</f>
        <v/>
      </c>
      <c r="Q155" s="7">
        <f>IF($U155="","",P155+M155)</f>
        <v/>
      </c>
      <c r="R155" s="7">
        <f>IF($U155="","",S155-Q155)</f>
        <v/>
      </c>
      <c r="S155" s="7">
        <f>IF($U155="","",L155+O155)</f>
        <v/>
      </c>
      <c r="T155" s="7">
        <f>IF($U155="","",S155-Q155-G155)</f>
        <v/>
      </c>
      <c r="U155" s="13">
        <f>IF(ROWS($U$2:$U155)&lt;=MAX('Per Line'!$V$2:$V$3001),MATCH(ROWS($U$2:$U155),'Per Line'!$V$2:$V$3001,0),"")</f>
        <v/>
      </c>
    </row>
    <row r="156">
      <c r="A156">
        <f>IF($U156="","",INDEX('Per Line'!$A$2:$A$3001,$U156)&amp;"")</f>
        <v/>
      </c>
      <c r="B156" s="12" t="n"/>
      <c r="C156">
        <f>IF($U156="","",INDEX('Per Line'!$B$2:$B$3001,$U156)&amp;"")</f>
        <v/>
      </c>
      <c r="D156">
        <f>IF($U156="","",INDEX('Per Line'!$C$2:$C$3001,$U156)&amp;"")</f>
        <v/>
      </c>
      <c r="E156">
        <f>IF($U156="","",INDEX('Per Line'!$D$2:$D$3001,$U156)&amp;"")</f>
        <v/>
      </c>
      <c r="F156">
        <f>IF($U156="","",INDEX('Per Line'!$E$2:$E$3001,$U156))</f>
        <v/>
      </c>
      <c r="G156" s="7">
        <f>IF($U156="","",F156*S156/100)</f>
        <v/>
      </c>
      <c r="H156">
        <f>IF($U156="","",INDEX('Per Line'!$O$2:$O$3001,$U156)&amp;"")</f>
        <v/>
      </c>
      <c r="I156" s="11">
        <f>IF($U156="","",INDEX('Per Line'!$Q$2:$Q$3001,$U156))</f>
        <v/>
      </c>
      <c r="J156">
        <f>IF($U156="","",INDEX('Per Line'!$R$2:$R$3001,$U156)&amp;"")</f>
        <v/>
      </c>
      <c r="K156">
        <f>IF($U156="","",Settings!$C$7)</f>
        <v/>
      </c>
      <c r="L156" s="7">
        <f>IF($U156="","",SUMIFS('Per Line'!$N$2:$N$3001,'Per Line'!$A$2:$A$3001,$A156,'Per Line'!$W$2:$W$3001,0))</f>
        <v/>
      </c>
      <c r="M156" s="7">
        <f>IF($U156="","",L156*K156)</f>
        <v/>
      </c>
      <c r="N156">
        <f>IF($U156="","",Settings!$C$6)</f>
        <v/>
      </c>
      <c r="O156" s="7">
        <f>IF($U156="","",SUMIFS('Per Line'!$N$2:$N$3001,'Per Line'!$A$2:$A$3001,$A156,'Per Line'!$W$2:$W$3001,1))</f>
        <v/>
      </c>
      <c r="P156" s="7">
        <f>IF($U156="","",O156*N156)</f>
        <v/>
      </c>
      <c r="Q156" s="7">
        <f>IF($U156="","",P156+M156)</f>
        <v/>
      </c>
      <c r="R156" s="7">
        <f>IF($U156="","",S156-Q156)</f>
        <v/>
      </c>
      <c r="S156" s="7">
        <f>IF($U156="","",L156+O156)</f>
        <v/>
      </c>
      <c r="T156" s="7">
        <f>IF($U156="","",S156-Q156-G156)</f>
        <v/>
      </c>
      <c r="U156" s="13">
        <f>IF(ROWS($U$2:$U156)&lt;=MAX('Per Line'!$V$2:$V$3001),MATCH(ROWS($U$2:$U156),'Per Line'!$V$2:$V$3001,0),"")</f>
        <v/>
      </c>
    </row>
    <row r="157">
      <c r="A157">
        <f>IF($U157="","",INDEX('Per Line'!$A$2:$A$3001,$U157)&amp;"")</f>
        <v/>
      </c>
      <c r="B157" s="12" t="n"/>
      <c r="C157">
        <f>IF($U157="","",INDEX('Per Line'!$B$2:$B$3001,$U157)&amp;"")</f>
        <v/>
      </c>
      <c r="D157">
        <f>IF($U157="","",INDEX('Per Line'!$C$2:$C$3001,$U157)&amp;"")</f>
        <v/>
      </c>
      <c r="E157">
        <f>IF($U157="","",INDEX('Per Line'!$D$2:$D$3001,$U157)&amp;"")</f>
        <v/>
      </c>
      <c r="F157">
        <f>IF($U157="","",INDEX('Per Line'!$E$2:$E$3001,$U157))</f>
        <v/>
      </c>
      <c r="G157" s="7">
        <f>IF($U157="","",F157*S157/100)</f>
        <v/>
      </c>
      <c r="H157">
        <f>IF($U157="","",INDEX('Per Line'!$O$2:$O$3001,$U157)&amp;"")</f>
        <v/>
      </c>
      <c r="I157" s="11">
        <f>IF($U157="","",INDEX('Per Line'!$Q$2:$Q$3001,$U157))</f>
        <v/>
      </c>
      <c r="J157">
        <f>IF($U157="","",INDEX('Per Line'!$R$2:$R$3001,$U157)&amp;"")</f>
        <v/>
      </c>
      <c r="K157">
        <f>IF($U157="","",Settings!$C$7)</f>
        <v/>
      </c>
      <c r="L157" s="7">
        <f>IF($U157="","",SUMIFS('Per Line'!$N$2:$N$3001,'Per Line'!$A$2:$A$3001,$A157,'Per Line'!$W$2:$W$3001,0))</f>
        <v/>
      </c>
      <c r="M157" s="7">
        <f>IF($U157="","",L157*K157)</f>
        <v/>
      </c>
      <c r="N157">
        <f>IF($U157="","",Settings!$C$6)</f>
        <v/>
      </c>
      <c r="O157" s="7">
        <f>IF($U157="","",SUMIFS('Per Line'!$N$2:$N$3001,'Per Line'!$A$2:$A$3001,$A157,'Per Line'!$W$2:$W$3001,1))</f>
        <v/>
      </c>
      <c r="P157" s="7">
        <f>IF($U157="","",O157*N157)</f>
        <v/>
      </c>
      <c r="Q157" s="7">
        <f>IF($U157="","",P157+M157)</f>
        <v/>
      </c>
      <c r="R157" s="7">
        <f>IF($U157="","",S157-Q157)</f>
        <v/>
      </c>
      <c r="S157" s="7">
        <f>IF($U157="","",L157+O157)</f>
        <v/>
      </c>
      <c r="T157" s="7">
        <f>IF($U157="","",S157-Q157-G157)</f>
        <v/>
      </c>
      <c r="U157" s="13">
        <f>IF(ROWS($U$2:$U157)&lt;=MAX('Per Line'!$V$2:$V$3001),MATCH(ROWS($U$2:$U157),'Per Line'!$V$2:$V$3001,0),"")</f>
        <v/>
      </c>
    </row>
    <row r="158">
      <c r="A158">
        <f>IF($U158="","",INDEX('Per Line'!$A$2:$A$3001,$U158)&amp;"")</f>
        <v/>
      </c>
      <c r="B158" s="12" t="n"/>
      <c r="C158">
        <f>IF($U158="","",INDEX('Per Line'!$B$2:$B$3001,$U158)&amp;"")</f>
        <v/>
      </c>
      <c r="D158">
        <f>IF($U158="","",INDEX('Per Line'!$C$2:$C$3001,$U158)&amp;"")</f>
        <v/>
      </c>
      <c r="E158">
        <f>IF($U158="","",INDEX('Per Line'!$D$2:$D$3001,$U158)&amp;"")</f>
        <v/>
      </c>
      <c r="F158">
        <f>IF($U158="","",INDEX('Per Line'!$E$2:$E$3001,$U158))</f>
        <v/>
      </c>
      <c r="G158" s="7">
        <f>IF($U158="","",F158*S158/100)</f>
        <v/>
      </c>
      <c r="H158">
        <f>IF($U158="","",INDEX('Per Line'!$O$2:$O$3001,$U158)&amp;"")</f>
        <v/>
      </c>
      <c r="I158" s="11">
        <f>IF($U158="","",INDEX('Per Line'!$Q$2:$Q$3001,$U158))</f>
        <v/>
      </c>
      <c r="J158">
        <f>IF($U158="","",INDEX('Per Line'!$R$2:$R$3001,$U158)&amp;"")</f>
        <v/>
      </c>
      <c r="K158">
        <f>IF($U158="","",Settings!$C$7)</f>
        <v/>
      </c>
      <c r="L158" s="7">
        <f>IF($U158="","",SUMIFS('Per Line'!$N$2:$N$3001,'Per Line'!$A$2:$A$3001,$A158,'Per Line'!$W$2:$W$3001,0))</f>
        <v/>
      </c>
      <c r="M158" s="7">
        <f>IF($U158="","",L158*K158)</f>
        <v/>
      </c>
      <c r="N158">
        <f>IF($U158="","",Settings!$C$6)</f>
        <v/>
      </c>
      <c r="O158" s="7">
        <f>IF($U158="","",SUMIFS('Per Line'!$N$2:$N$3001,'Per Line'!$A$2:$A$3001,$A158,'Per Line'!$W$2:$W$3001,1))</f>
        <v/>
      </c>
      <c r="P158" s="7">
        <f>IF($U158="","",O158*N158)</f>
        <v/>
      </c>
      <c r="Q158" s="7">
        <f>IF($U158="","",P158+M158)</f>
        <v/>
      </c>
      <c r="R158" s="7">
        <f>IF($U158="","",S158-Q158)</f>
        <v/>
      </c>
      <c r="S158" s="7">
        <f>IF($U158="","",L158+O158)</f>
        <v/>
      </c>
      <c r="T158" s="7">
        <f>IF($U158="","",S158-Q158-G158)</f>
        <v/>
      </c>
      <c r="U158" s="13">
        <f>IF(ROWS($U$2:$U158)&lt;=MAX('Per Line'!$V$2:$V$3001),MATCH(ROWS($U$2:$U158),'Per Line'!$V$2:$V$3001,0),"")</f>
        <v/>
      </c>
    </row>
    <row r="159">
      <c r="A159">
        <f>IF($U159="","",INDEX('Per Line'!$A$2:$A$3001,$U159)&amp;"")</f>
        <v/>
      </c>
      <c r="B159" s="12" t="n"/>
      <c r="C159">
        <f>IF($U159="","",INDEX('Per Line'!$B$2:$B$3001,$U159)&amp;"")</f>
        <v/>
      </c>
      <c r="D159">
        <f>IF($U159="","",INDEX('Per Line'!$C$2:$C$3001,$U159)&amp;"")</f>
        <v/>
      </c>
      <c r="E159">
        <f>IF($U159="","",INDEX('Per Line'!$D$2:$D$3001,$U159)&amp;"")</f>
        <v/>
      </c>
      <c r="F159">
        <f>IF($U159="","",INDEX('Per Line'!$E$2:$E$3001,$U159))</f>
        <v/>
      </c>
      <c r="G159" s="7">
        <f>IF($U159="","",F159*S159/100)</f>
        <v/>
      </c>
      <c r="H159">
        <f>IF($U159="","",INDEX('Per Line'!$O$2:$O$3001,$U159)&amp;"")</f>
        <v/>
      </c>
      <c r="I159" s="11">
        <f>IF($U159="","",INDEX('Per Line'!$Q$2:$Q$3001,$U159))</f>
        <v/>
      </c>
      <c r="J159">
        <f>IF($U159="","",INDEX('Per Line'!$R$2:$R$3001,$U159)&amp;"")</f>
        <v/>
      </c>
      <c r="K159">
        <f>IF($U159="","",Settings!$C$7)</f>
        <v/>
      </c>
      <c r="L159" s="7">
        <f>IF($U159="","",SUMIFS('Per Line'!$N$2:$N$3001,'Per Line'!$A$2:$A$3001,$A159,'Per Line'!$W$2:$W$3001,0))</f>
        <v/>
      </c>
      <c r="M159" s="7">
        <f>IF($U159="","",L159*K159)</f>
        <v/>
      </c>
      <c r="N159">
        <f>IF($U159="","",Settings!$C$6)</f>
        <v/>
      </c>
      <c r="O159" s="7">
        <f>IF($U159="","",SUMIFS('Per Line'!$N$2:$N$3001,'Per Line'!$A$2:$A$3001,$A159,'Per Line'!$W$2:$W$3001,1))</f>
        <v/>
      </c>
      <c r="P159" s="7">
        <f>IF($U159="","",O159*N159)</f>
        <v/>
      </c>
      <c r="Q159" s="7">
        <f>IF($U159="","",P159+M159)</f>
        <v/>
      </c>
      <c r="R159" s="7">
        <f>IF($U159="","",S159-Q159)</f>
        <v/>
      </c>
      <c r="S159" s="7">
        <f>IF($U159="","",L159+O159)</f>
        <v/>
      </c>
      <c r="T159" s="7">
        <f>IF($U159="","",S159-Q159-G159)</f>
        <v/>
      </c>
      <c r="U159" s="13">
        <f>IF(ROWS($U$2:$U159)&lt;=MAX('Per Line'!$V$2:$V$3001),MATCH(ROWS($U$2:$U159),'Per Line'!$V$2:$V$3001,0),"")</f>
        <v/>
      </c>
    </row>
    <row r="160">
      <c r="A160">
        <f>IF($U160="","",INDEX('Per Line'!$A$2:$A$3001,$U160)&amp;"")</f>
        <v/>
      </c>
      <c r="B160" s="12" t="n"/>
      <c r="C160">
        <f>IF($U160="","",INDEX('Per Line'!$B$2:$B$3001,$U160)&amp;"")</f>
        <v/>
      </c>
      <c r="D160">
        <f>IF($U160="","",INDEX('Per Line'!$C$2:$C$3001,$U160)&amp;"")</f>
        <v/>
      </c>
      <c r="E160">
        <f>IF($U160="","",INDEX('Per Line'!$D$2:$D$3001,$U160)&amp;"")</f>
        <v/>
      </c>
      <c r="F160">
        <f>IF($U160="","",INDEX('Per Line'!$E$2:$E$3001,$U160))</f>
        <v/>
      </c>
      <c r="G160" s="7">
        <f>IF($U160="","",F160*S160/100)</f>
        <v/>
      </c>
      <c r="H160">
        <f>IF($U160="","",INDEX('Per Line'!$O$2:$O$3001,$U160)&amp;"")</f>
        <v/>
      </c>
      <c r="I160" s="11">
        <f>IF($U160="","",INDEX('Per Line'!$Q$2:$Q$3001,$U160))</f>
        <v/>
      </c>
      <c r="J160">
        <f>IF($U160="","",INDEX('Per Line'!$R$2:$R$3001,$U160)&amp;"")</f>
        <v/>
      </c>
      <c r="K160">
        <f>IF($U160="","",Settings!$C$7)</f>
        <v/>
      </c>
      <c r="L160" s="7">
        <f>IF($U160="","",SUMIFS('Per Line'!$N$2:$N$3001,'Per Line'!$A$2:$A$3001,$A160,'Per Line'!$W$2:$W$3001,0))</f>
        <v/>
      </c>
      <c r="M160" s="7">
        <f>IF($U160="","",L160*K160)</f>
        <v/>
      </c>
      <c r="N160">
        <f>IF($U160="","",Settings!$C$6)</f>
        <v/>
      </c>
      <c r="O160" s="7">
        <f>IF($U160="","",SUMIFS('Per Line'!$N$2:$N$3001,'Per Line'!$A$2:$A$3001,$A160,'Per Line'!$W$2:$W$3001,1))</f>
        <v/>
      </c>
      <c r="P160" s="7">
        <f>IF($U160="","",O160*N160)</f>
        <v/>
      </c>
      <c r="Q160" s="7">
        <f>IF($U160="","",P160+M160)</f>
        <v/>
      </c>
      <c r="R160" s="7">
        <f>IF($U160="","",S160-Q160)</f>
        <v/>
      </c>
      <c r="S160" s="7">
        <f>IF($U160="","",L160+O160)</f>
        <v/>
      </c>
      <c r="T160" s="7">
        <f>IF($U160="","",S160-Q160-G160)</f>
        <v/>
      </c>
      <c r="U160" s="13">
        <f>IF(ROWS($U$2:$U160)&lt;=MAX('Per Line'!$V$2:$V$3001),MATCH(ROWS($U$2:$U160),'Per Line'!$V$2:$V$3001,0),"")</f>
        <v/>
      </c>
    </row>
    <row r="161">
      <c r="A161">
        <f>IF($U161="","",INDEX('Per Line'!$A$2:$A$3001,$U161)&amp;"")</f>
        <v/>
      </c>
      <c r="B161" s="12" t="n"/>
      <c r="C161">
        <f>IF($U161="","",INDEX('Per Line'!$B$2:$B$3001,$U161)&amp;"")</f>
        <v/>
      </c>
      <c r="D161">
        <f>IF($U161="","",INDEX('Per Line'!$C$2:$C$3001,$U161)&amp;"")</f>
        <v/>
      </c>
      <c r="E161">
        <f>IF($U161="","",INDEX('Per Line'!$D$2:$D$3001,$U161)&amp;"")</f>
        <v/>
      </c>
      <c r="F161">
        <f>IF($U161="","",INDEX('Per Line'!$E$2:$E$3001,$U161))</f>
        <v/>
      </c>
      <c r="G161" s="7">
        <f>IF($U161="","",F161*S161/100)</f>
        <v/>
      </c>
      <c r="H161">
        <f>IF($U161="","",INDEX('Per Line'!$O$2:$O$3001,$U161)&amp;"")</f>
        <v/>
      </c>
      <c r="I161" s="11">
        <f>IF($U161="","",INDEX('Per Line'!$Q$2:$Q$3001,$U161))</f>
        <v/>
      </c>
      <c r="J161">
        <f>IF($U161="","",INDEX('Per Line'!$R$2:$R$3001,$U161)&amp;"")</f>
        <v/>
      </c>
      <c r="K161">
        <f>IF($U161="","",Settings!$C$7)</f>
        <v/>
      </c>
      <c r="L161" s="7">
        <f>IF($U161="","",SUMIFS('Per Line'!$N$2:$N$3001,'Per Line'!$A$2:$A$3001,$A161,'Per Line'!$W$2:$W$3001,0))</f>
        <v/>
      </c>
      <c r="M161" s="7">
        <f>IF($U161="","",L161*K161)</f>
        <v/>
      </c>
      <c r="N161">
        <f>IF($U161="","",Settings!$C$6)</f>
        <v/>
      </c>
      <c r="O161" s="7">
        <f>IF($U161="","",SUMIFS('Per Line'!$N$2:$N$3001,'Per Line'!$A$2:$A$3001,$A161,'Per Line'!$W$2:$W$3001,1))</f>
        <v/>
      </c>
      <c r="P161" s="7">
        <f>IF($U161="","",O161*N161)</f>
        <v/>
      </c>
      <c r="Q161" s="7">
        <f>IF($U161="","",P161+M161)</f>
        <v/>
      </c>
      <c r="R161" s="7">
        <f>IF($U161="","",S161-Q161)</f>
        <v/>
      </c>
      <c r="S161" s="7">
        <f>IF($U161="","",L161+O161)</f>
        <v/>
      </c>
      <c r="T161" s="7">
        <f>IF($U161="","",S161-Q161-G161)</f>
        <v/>
      </c>
      <c r="U161" s="13">
        <f>IF(ROWS($U$2:$U161)&lt;=MAX('Per Line'!$V$2:$V$3001),MATCH(ROWS($U$2:$U161),'Per Line'!$V$2:$V$3001,0),"")</f>
        <v/>
      </c>
    </row>
    <row r="162">
      <c r="A162">
        <f>IF($U162="","",INDEX('Per Line'!$A$2:$A$3001,$U162)&amp;"")</f>
        <v/>
      </c>
      <c r="B162" s="12" t="n"/>
      <c r="C162">
        <f>IF($U162="","",INDEX('Per Line'!$B$2:$B$3001,$U162)&amp;"")</f>
        <v/>
      </c>
      <c r="D162">
        <f>IF($U162="","",INDEX('Per Line'!$C$2:$C$3001,$U162)&amp;"")</f>
        <v/>
      </c>
      <c r="E162">
        <f>IF($U162="","",INDEX('Per Line'!$D$2:$D$3001,$U162)&amp;"")</f>
        <v/>
      </c>
      <c r="F162">
        <f>IF($U162="","",INDEX('Per Line'!$E$2:$E$3001,$U162))</f>
        <v/>
      </c>
      <c r="G162" s="7">
        <f>IF($U162="","",F162*S162/100)</f>
        <v/>
      </c>
      <c r="H162">
        <f>IF($U162="","",INDEX('Per Line'!$O$2:$O$3001,$U162)&amp;"")</f>
        <v/>
      </c>
      <c r="I162" s="11">
        <f>IF($U162="","",INDEX('Per Line'!$Q$2:$Q$3001,$U162))</f>
        <v/>
      </c>
      <c r="J162">
        <f>IF($U162="","",INDEX('Per Line'!$R$2:$R$3001,$U162)&amp;"")</f>
        <v/>
      </c>
      <c r="K162">
        <f>IF($U162="","",Settings!$C$7)</f>
        <v/>
      </c>
      <c r="L162" s="7">
        <f>IF($U162="","",SUMIFS('Per Line'!$N$2:$N$3001,'Per Line'!$A$2:$A$3001,$A162,'Per Line'!$W$2:$W$3001,0))</f>
        <v/>
      </c>
      <c r="M162" s="7">
        <f>IF($U162="","",L162*K162)</f>
        <v/>
      </c>
      <c r="N162">
        <f>IF($U162="","",Settings!$C$6)</f>
        <v/>
      </c>
      <c r="O162" s="7">
        <f>IF($U162="","",SUMIFS('Per Line'!$N$2:$N$3001,'Per Line'!$A$2:$A$3001,$A162,'Per Line'!$W$2:$W$3001,1))</f>
        <v/>
      </c>
      <c r="P162" s="7">
        <f>IF($U162="","",O162*N162)</f>
        <v/>
      </c>
      <c r="Q162" s="7">
        <f>IF($U162="","",P162+M162)</f>
        <v/>
      </c>
      <c r="R162" s="7">
        <f>IF($U162="","",S162-Q162)</f>
        <v/>
      </c>
      <c r="S162" s="7">
        <f>IF($U162="","",L162+O162)</f>
        <v/>
      </c>
      <c r="T162" s="7">
        <f>IF($U162="","",S162-Q162-G162)</f>
        <v/>
      </c>
      <c r="U162" s="13">
        <f>IF(ROWS($U$2:$U162)&lt;=MAX('Per Line'!$V$2:$V$3001),MATCH(ROWS($U$2:$U162),'Per Line'!$V$2:$V$3001,0),"")</f>
        <v/>
      </c>
    </row>
    <row r="163">
      <c r="A163">
        <f>IF($U163="","",INDEX('Per Line'!$A$2:$A$3001,$U163)&amp;"")</f>
        <v/>
      </c>
      <c r="B163" s="12" t="n"/>
      <c r="C163">
        <f>IF($U163="","",INDEX('Per Line'!$B$2:$B$3001,$U163)&amp;"")</f>
        <v/>
      </c>
      <c r="D163">
        <f>IF($U163="","",INDEX('Per Line'!$C$2:$C$3001,$U163)&amp;"")</f>
        <v/>
      </c>
      <c r="E163">
        <f>IF($U163="","",INDEX('Per Line'!$D$2:$D$3001,$U163)&amp;"")</f>
        <v/>
      </c>
      <c r="F163">
        <f>IF($U163="","",INDEX('Per Line'!$E$2:$E$3001,$U163))</f>
        <v/>
      </c>
      <c r="G163" s="7">
        <f>IF($U163="","",F163*S163/100)</f>
        <v/>
      </c>
      <c r="H163">
        <f>IF($U163="","",INDEX('Per Line'!$O$2:$O$3001,$U163)&amp;"")</f>
        <v/>
      </c>
      <c r="I163" s="11">
        <f>IF($U163="","",INDEX('Per Line'!$Q$2:$Q$3001,$U163))</f>
        <v/>
      </c>
      <c r="J163">
        <f>IF($U163="","",INDEX('Per Line'!$R$2:$R$3001,$U163)&amp;"")</f>
        <v/>
      </c>
      <c r="K163">
        <f>IF($U163="","",Settings!$C$7)</f>
        <v/>
      </c>
      <c r="L163" s="7">
        <f>IF($U163="","",SUMIFS('Per Line'!$N$2:$N$3001,'Per Line'!$A$2:$A$3001,$A163,'Per Line'!$W$2:$W$3001,0))</f>
        <v/>
      </c>
      <c r="M163" s="7">
        <f>IF($U163="","",L163*K163)</f>
        <v/>
      </c>
      <c r="N163">
        <f>IF($U163="","",Settings!$C$6)</f>
        <v/>
      </c>
      <c r="O163" s="7">
        <f>IF($U163="","",SUMIFS('Per Line'!$N$2:$N$3001,'Per Line'!$A$2:$A$3001,$A163,'Per Line'!$W$2:$W$3001,1))</f>
        <v/>
      </c>
      <c r="P163" s="7">
        <f>IF($U163="","",O163*N163)</f>
        <v/>
      </c>
      <c r="Q163" s="7">
        <f>IF($U163="","",P163+M163)</f>
        <v/>
      </c>
      <c r="R163" s="7">
        <f>IF($U163="","",S163-Q163)</f>
        <v/>
      </c>
      <c r="S163" s="7">
        <f>IF($U163="","",L163+O163)</f>
        <v/>
      </c>
      <c r="T163" s="7">
        <f>IF($U163="","",S163-Q163-G163)</f>
        <v/>
      </c>
      <c r="U163" s="13">
        <f>IF(ROWS($U$2:$U163)&lt;=MAX('Per Line'!$V$2:$V$3001),MATCH(ROWS($U$2:$U163),'Per Line'!$V$2:$V$3001,0),"")</f>
        <v/>
      </c>
    </row>
    <row r="164">
      <c r="A164">
        <f>IF($U164="","",INDEX('Per Line'!$A$2:$A$3001,$U164)&amp;"")</f>
        <v/>
      </c>
      <c r="B164" s="12" t="n"/>
      <c r="C164">
        <f>IF($U164="","",INDEX('Per Line'!$B$2:$B$3001,$U164)&amp;"")</f>
        <v/>
      </c>
      <c r="D164">
        <f>IF($U164="","",INDEX('Per Line'!$C$2:$C$3001,$U164)&amp;"")</f>
        <v/>
      </c>
      <c r="E164">
        <f>IF($U164="","",INDEX('Per Line'!$D$2:$D$3001,$U164)&amp;"")</f>
        <v/>
      </c>
      <c r="F164">
        <f>IF($U164="","",INDEX('Per Line'!$E$2:$E$3001,$U164))</f>
        <v/>
      </c>
      <c r="G164" s="7">
        <f>IF($U164="","",F164*S164/100)</f>
        <v/>
      </c>
      <c r="H164">
        <f>IF($U164="","",INDEX('Per Line'!$O$2:$O$3001,$U164)&amp;"")</f>
        <v/>
      </c>
      <c r="I164" s="11">
        <f>IF($U164="","",INDEX('Per Line'!$Q$2:$Q$3001,$U164))</f>
        <v/>
      </c>
      <c r="J164">
        <f>IF($U164="","",INDEX('Per Line'!$R$2:$R$3001,$U164)&amp;"")</f>
        <v/>
      </c>
      <c r="K164">
        <f>IF($U164="","",Settings!$C$7)</f>
        <v/>
      </c>
      <c r="L164" s="7">
        <f>IF($U164="","",SUMIFS('Per Line'!$N$2:$N$3001,'Per Line'!$A$2:$A$3001,$A164,'Per Line'!$W$2:$W$3001,0))</f>
        <v/>
      </c>
      <c r="M164" s="7">
        <f>IF($U164="","",L164*K164)</f>
        <v/>
      </c>
      <c r="N164">
        <f>IF($U164="","",Settings!$C$6)</f>
        <v/>
      </c>
      <c r="O164" s="7">
        <f>IF($U164="","",SUMIFS('Per Line'!$N$2:$N$3001,'Per Line'!$A$2:$A$3001,$A164,'Per Line'!$W$2:$W$3001,1))</f>
        <v/>
      </c>
      <c r="P164" s="7">
        <f>IF($U164="","",O164*N164)</f>
        <v/>
      </c>
      <c r="Q164" s="7">
        <f>IF($U164="","",P164+M164)</f>
        <v/>
      </c>
      <c r="R164" s="7">
        <f>IF($U164="","",S164-Q164)</f>
        <v/>
      </c>
      <c r="S164" s="7">
        <f>IF($U164="","",L164+O164)</f>
        <v/>
      </c>
      <c r="T164" s="7">
        <f>IF($U164="","",S164-Q164-G164)</f>
        <v/>
      </c>
      <c r="U164" s="13">
        <f>IF(ROWS($U$2:$U164)&lt;=MAX('Per Line'!$V$2:$V$3001),MATCH(ROWS($U$2:$U164),'Per Line'!$V$2:$V$3001,0),"")</f>
        <v/>
      </c>
    </row>
    <row r="165">
      <c r="A165">
        <f>IF($U165="","",INDEX('Per Line'!$A$2:$A$3001,$U165)&amp;"")</f>
        <v/>
      </c>
      <c r="B165" s="12" t="n"/>
      <c r="C165">
        <f>IF($U165="","",INDEX('Per Line'!$B$2:$B$3001,$U165)&amp;"")</f>
        <v/>
      </c>
      <c r="D165">
        <f>IF($U165="","",INDEX('Per Line'!$C$2:$C$3001,$U165)&amp;"")</f>
        <v/>
      </c>
      <c r="E165">
        <f>IF($U165="","",INDEX('Per Line'!$D$2:$D$3001,$U165)&amp;"")</f>
        <v/>
      </c>
      <c r="F165">
        <f>IF($U165="","",INDEX('Per Line'!$E$2:$E$3001,$U165))</f>
        <v/>
      </c>
      <c r="G165" s="7">
        <f>IF($U165="","",F165*S165/100)</f>
        <v/>
      </c>
      <c r="H165">
        <f>IF($U165="","",INDEX('Per Line'!$O$2:$O$3001,$U165)&amp;"")</f>
        <v/>
      </c>
      <c r="I165" s="11">
        <f>IF($U165="","",INDEX('Per Line'!$Q$2:$Q$3001,$U165))</f>
        <v/>
      </c>
      <c r="J165">
        <f>IF($U165="","",INDEX('Per Line'!$R$2:$R$3001,$U165)&amp;"")</f>
        <v/>
      </c>
      <c r="K165">
        <f>IF($U165="","",Settings!$C$7)</f>
        <v/>
      </c>
      <c r="L165" s="7">
        <f>IF($U165="","",SUMIFS('Per Line'!$N$2:$N$3001,'Per Line'!$A$2:$A$3001,$A165,'Per Line'!$W$2:$W$3001,0))</f>
        <v/>
      </c>
      <c r="M165" s="7">
        <f>IF($U165="","",L165*K165)</f>
        <v/>
      </c>
      <c r="N165">
        <f>IF($U165="","",Settings!$C$6)</f>
        <v/>
      </c>
      <c r="O165" s="7">
        <f>IF($U165="","",SUMIFS('Per Line'!$N$2:$N$3001,'Per Line'!$A$2:$A$3001,$A165,'Per Line'!$W$2:$W$3001,1))</f>
        <v/>
      </c>
      <c r="P165" s="7">
        <f>IF($U165="","",O165*N165)</f>
        <v/>
      </c>
      <c r="Q165" s="7">
        <f>IF($U165="","",P165+M165)</f>
        <v/>
      </c>
      <c r="R165" s="7">
        <f>IF($U165="","",S165-Q165)</f>
        <v/>
      </c>
      <c r="S165" s="7">
        <f>IF($U165="","",L165+O165)</f>
        <v/>
      </c>
      <c r="T165" s="7">
        <f>IF($U165="","",S165-Q165-G165)</f>
        <v/>
      </c>
      <c r="U165" s="13">
        <f>IF(ROWS($U$2:$U165)&lt;=MAX('Per Line'!$V$2:$V$3001),MATCH(ROWS($U$2:$U165),'Per Line'!$V$2:$V$3001,0),"")</f>
        <v/>
      </c>
    </row>
    <row r="166">
      <c r="A166">
        <f>IF($U166="","",INDEX('Per Line'!$A$2:$A$3001,$U166)&amp;"")</f>
        <v/>
      </c>
      <c r="B166" s="12" t="n"/>
      <c r="C166">
        <f>IF($U166="","",INDEX('Per Line'!$B$2:$B$3001,$U166)&amp;"")</f>
        <v/>
      </c>
      <c r="D166">
        <f>IF($U166="","",INDEX('Per Line'!$C$2:$C$3001,$U166)&amp;"")</f>
        <v/>
      </c>
      <c r="E166">
        <f>IF($U166="","",INDEX('Per Line'!$D$2:$D$3001,$U166)&amp;"")</f>
        <v/>
      </c>
      <c r="F166">
        <f>IF($U166="","",INDEX('Per Line'!$E$2:$E$3001,$U166))</f>
        <v/>
      </c>
      <c r="G166" s="7">
        <f>IF($U166="","",F166*S166/100)</f>
        <v/>
      </c>
      <c r="H166">
        <f>IF($U166="","",INDEX('Per Line'!$O$2:$O$3001,$U166)&amp;"")</f>
        <v/>
      </c>
      <c r="I166" s="11">
        <f>IF($U166="","",INDEX('Per Line'!$Q$2:$Q$3001,$U166))</f>
        <v/>
      </c>
      <c r="J166">
        <f>IF($U166="","",INDEX('Per Line'!$R$2:$R$3001,$U166)&amp;"")</f>
        <v/>
      </c>
      <c r="K166">
        <f>IF($U166="","",Settings!$C$7)</f>
        <v/>
      </c>
      <c r="L166" s="7">
        <f>IF($U166="","",SUMIFS('Per Line'!$N$2:$N$3001,'Per Line'!$A$2:$A$3001,$A166,'Per Line'!$W$2:$W$3001,0))</f>
        <v/>
      </c>
      <c r="M166" s="7">
        <f>IF($U166="","",L166*K166)</f>
        <v/>
      </c>
      <c r="N166">
        <f>IF($U166="","",Settings!$C$6)</f>
        <v/>
      </c>
      <c r="O166" s="7">
        <f>IF($U166="","",SUMIFS('Per Line'!$N$2:$N$3001,'Per Line'!$A$2:$A$3001,$A166,'Per Line'!$W$2:$W$3001,1))</f>
        <v/>
      </c>
      <c r="P166" s="7">
        <f>IF($U166="","",O166*N166)</f>
        <v/>
      </c>
      <c r="Q166" s="7">
        <f>IF($U166="","",P166+M166)</f>
        <v/>
      </c>
      <c r="R166" s="7">
        <f>IF($U166="","",S166-Q166)</f>
        <v/>
      </c>
      <c r="S166" s="7">
        <f>IF($U166="","",L166+O166)</f>
        <v/>
      </c>
      <c r="T166" s="7">
        <f>IF($U166="","",S166-Q166-G166)</f>
        <v/>
      </c>
      <c r="U166" s="13">
        <f>IF(ROWS($U$2:$U166)&lt;=MAX('Per Line'!$V$2:$V$3001),MATCH(ROWS($U$2:$U166),'Per Line'!$V$2:$V$3001,0),"")</f>
        <v/>
      </c>
    </row>
    <row r="167">
      <c r="A167">
        <f>IF($U167="","",INDEX('Per Line'!$A$2:$A$3001,$U167)&amp;"")</f>
        <v/>
      </c>
      <c r="B167" s="12" t="n"/>
      <c r="C167">
        <f>IF($U167="","",INDEX('Per Line'!$B$2:$B$3001,$U167)&amp;"")</f>
        <v/>
      </c>
      <c r="D167">
        <f>IF($U167="","",INDEX('Per Line'!$C$2:$C$3001,$U167)&amp;"")</f>
        <v/>
      </c>
      <c r="E167">
        <f>IF($U167="","",INDEX('Per Line'!$D$2:$D$3001,$U167)&amp;"")</f>
        <v/>
      </c>
      <c r="F167">
        <f>IF($U167="","",INDEX('Per Line'!$E$2:$E$3001,$U167))</f>
        <v/>
      </c>
      <c r="G167" s="7">
        <f>IF($U167="","",F167*S167/100)</f>
        <v/>
      </c>
      <c r="H167">
        <f>IF($U167="","",INDEX('Per Line'!$O$2:$O$3001,$U167)&amp;"")</f>
        <v/>
      </c>
      <c r="I167" s="11">
        <f>IF($U167="","",INDEX('Per Line'!$Q$2:$Q$3001,$U167))</f>
        <v/>
      </c>
      <c r="J167">
        <f>IF($U167="","",INDEX('Per Line'!$R$2:$R$3001,$U167)&amp;"")</f>
        <v/>
      </c>
      <c r="K167">
        <f>IF($U167="","",Settings!$C$7)</f>
        <v/>
      </c>
      <c r="L167" s="7">
        <f>IF($U167="","",SUMIFS('Per Line'!$N$2:$N$3001,'Per Line'!$A$2:$A$3001,$A167,'Per Line'!$W$2:$W$3001,0))</f>
        <v/>
      </c>
      <c r="M167" s="7">
        <f>IF($U167="","",L167*K167)</f>
        <v/>
      </c>
      <c r="N167">
        <f>IF($U167="","",Settings!$C$6)</f>
        <v/>
      </c>
      <c r="O167" s="7">
        <f>IF($U167="","",SUMIFS('Per Line'!$N$2:$N$3001,'Per Line'!$A$2:$A$3001,$A167,'Per Line'!$W$2:$W$3001,1))</f>
        <v/>
      </c>
      <c r="P167" s="7">
        <f>IF($U167="","",O167*N167)</f>
        <v/>
      </c>
      <c r="Q167" s="7">
        <f>IF($U167="","",P167+M167)</f>
        <v/>
      </c>
      <c r="R167" s="7">
        <f>IF($U167="","",S167-Q167)</f>
        <v/>
      </c>
      <c r="S167" s="7">
        <f>IF($U167="","",L167+O167)</f>
        <v/>
      </c>
      <c r="T167" s="7">
        <f>IF($U167="","",S167-Q167-G167)</f>
        <v/>
      </c>
      <c r="U167" s="13">
        <f>IF(ROWS($U$2:$U167)&lt;=MAX('Per Line'!$V$2:$V$3001),MATCH(ROWS($U$2:$U167),'Per Line'!$V$2:$V$3001,0),"")</f>
        <v/>
      </c>
    </row>
    <row r="168">
      <c r="A168">
        <f>IF($U168="","",INDEX('Per Line'!$A$2:$A$3001,$U168)&amp;"")</f>
        <v/>
      </c>
      <c r="B168" s="12" t="n"/>
      <c r="C168">
        <f>IF($U168="","",INDEX('Per Line'!$B$2:$B$3001,$U168)&amp;"")</f>
        <v/>
      </c>
      <c r="D168">
        <f>IF($U168="","",INDEX('Per Line'!$C$2:$C$3001,$U168)&amp;"")</f>
        <v/>
      </c>
      <c r="E168">
        <f>IF($U168="","",INDEX('Per Line'!$D$2:$D$3001,$U168)&amp;"")</f>
        <v/>
      </c>
      <c r="F168">
        <f>IF($U168="","",INDEX('Per Line'!$E$2:$E$3001,$U168))</f>
        <v/>
      </c>
      <c r="G168" s="7">
        <f>IF($U168="","",F168*S168/100)</f>
        <v/>
      </c>
      <c r="H168">
        <f>IF($U168="","",INDEX('Per Line'!$O$2:$O$3001,$U168)&amp;"")</f>
        <v/>
      </c>
      <c r="I168" s="11">
        <f>IF($U168="","",INDEX('Per Line'!$Q$2:$Q$3001,$U168))</f>
        <v/>
      </c>
      <c r="J168">
        <f>IF($U168="","",INDEX('Per Line'!$R$2:$R$3001,$U168)&amp;"")</f>
        <v/>
      </c>
      <c r="K168">
        <f>IF($U168="","",Settings!$C$7)</f>
        <v/>
      </c>
      <c r="L168" s="7">
        <f>IF($U168="","",SUMIFS('Per Line'!$N$2:$N$3001,'Per Line'!$A$2:$A$3001,$A168,'Per Line'!$W$2:$W$3001,0))</f>
        <v/>
      </c>
      <c r="M168" s="7">
        <f>IF($U168="","",L168*K168)</f>
        <v/>
      </c>
      <c r="N168">
        <f>IF($U168="","",Settings!$C$6)</f>
        <v/>
      </c>
      <c r="O168" s="7">
        <f>IF($U168="","",SUMIFS('Per Line'!$N$2:$N$3001,'Per Line'!$A$2:$A$3001,$A168,'Per Line'!$W$2:$W$3001,1))</f>
        <v/>
      </c>
      <c r="P168" s="7">
        <f>IF($U168="","",O168*N168)</f>
        <v/>
      </c>
      <c r="Q168" s="7">
        <f>IF($U168="","",P168+M168)</f>
        <v/>
      </c>
      <c r="R168" s="7">
        <f>IF($U168="","",S168-Q168)</f>
        <v/>
      </c>
      <c r="S168" s="7">
        <f>IF($U168="","",L168+O168)</f>
        <v/>
      </c>
      <c r="T168" s="7">
        <f>IF($U168="","",S168-Q168-G168)</f>
        <v/>
      </c>
      <c r="U168" s="13">
        <f>IF(ROWS($U$2:$U168)&lt;=MAX('Per Line'!$V$2:$V$3001),MATCH(ROWS($U$2:$U168),'Per Line'!$V$2:$V$3001,0),"")</f>
        <v/>
      </c>
    </row>
    <row r="169">
      <c r="A169">
        <f>IF($U169="","",INDEX('Per Line'!$A$2:$A$3001,$U169)&amp;"")</f>
        <v/>
      </c>
      <c r="B169" s="12" t="n"/>
      <c r="C169">
        <f>IF($U169="","",INDEX('Per Line'!$B$2:$B$3001,$U169)&amp;"")</f>
        <v/>
      </c>
      <c r="D169">
        <f>IF($U169="","",INDEX('Per Line'!$C$2:$C$3001,$U169)&amp;"")</f>
        <v/>
      </c>
      <c r="E169">
        <f>IF($U169="","",INDEX('Per Line'!$D$2:$D$3001,$U169)&amp;"")</f>
        <v/>
      </c>
      <c r="F169">
        <f>IF($U169="","",INDEX('Per Line'!$E$2:$E$3001,$U169))</f>
        <v/>
      </c>
      <c r="G169" s="7">
        <f>IF($U169="","",F169*S169/100)</f>
        <v/>
      </c>
      <c r="H169">
        <f>IF($U169="","",INDEX('Per Line'!$O$2:$O$3001,$U169)&amp;"")</f>
        <v/>
      </c>
      <c r="I169" s="11">
        <f>IF($U169="","",INDEX('Per Line'!$Q$2:$Q$3001,$U169))</f>
        <v/>
      </c>
      <c r="J169">
        <f>IF($U169="","",INDEX('Per Line'!$R$2:$R$3001,$U169)&amp;"")</f>
        <v/>
      </c>
      <c r="K169">
        <f>IF($U169="","",Settings!$C$7)</f>
        <v/>
      </c>
      <c r="L169" s="7">
        <f>IF($U169="","",SUMIFS('Per Line'!$N$2:$N$3001,'Per Line'!$A$2:$A$3001,$A169,'Per Line'!$W$2:$W$3001,0))</f>
        <v/>
      </c>
      <c r="M169" s="7">
        <f>IF($U169="","",L169*K169)</f>
        <v/>
      </c>
      <c r="N169">
        <f>IF($U169="","",Settings!$C$6)</f>
        <v/>
      </c>
      <c r="O169" s="7">
        <f>IF($U169="","",SUMIFS('Per Line'!$N$2:$N$3001,'Per Line'!$A$2:$A$3001,$A169,'Per Line'!$W$2:$W$3001,1))</f>
        <v/>
      </c>
      <c r="P169" s="7">
        <f>IF($U169="","",O169*N169)</f>
        <v/>
      </c>
      <c r="Q169" s="7">
        <f>IF($U169="","",P169+M169)</f>
        <v/>
      </c>
      <c r="R169" s="7">
        <f>IF($U169="","",S169-Q169)</f>
        <v/>
      </c>
      <c r="S169" s="7">
        <f>IF($U169="","",L169+O169)</f>
        <v/>
      </c>
      <c r="T169" s="7">
        <f>IF($U169="","",S169-Q169-G169)</f>
        <v/>
      </c>
      <c r="U169" s="13">
        <f>IF(ROWS($U$2:$U169)&lt;=MAX('Per Line'!$V$2:$V$3001),MATCH(ROWS($U$2:$U169),'Per Line'!$V$2:$V$3001,0),"")</f>
        <v/>
      </c>
    </row>
    <row r="170">
      <c r="A170">
        <f>IF($U170="","",INDEX('Per Line'!$A$2:$A$3001,$U170)&amp;"")</f>
        <v/>
      </c>
      <c r="B170" s="12" t="n"/>
      <c r="C170">
        <f>IF($U170="","",INDEX('Per Line'!$B$2:$B$3001,$U170)&amp;"")</f>
        <v/>
      </c>
      <c r="D170">
        <f>IF($U170="","",INDEX('Per Line'!$C$2:$C$3001,$U170)&amp;"")</f>
        <v/>
      </c>
      <c r="E170">
        <f>IF($U170="","",INDEX('Per Line'!$D$2:$D$3001,$U170)&amp;"")</f>
        <v/>
      </c>
      <c r="F170">
        <f>IF($U170="","",INDEX('Per Line'!$E$2:$E$3001,$U170))</f>
        <v/>
      </c>
      <c r="G170" s="7">
        <f>IF($U170="","",F170*S170/100)</f>
        <v/>
      </c>
      <c r="H170">
        <f>IF($U170="","",INDEX('Per Line'!$O$2:$O$3001,$U170)&amp;"")</f>
        <v/>
      </c>
      <c r="I170" s="11">
        <f>IF($U170="","",INDEX('Per Line'!$Q$2:$Q$3001,$U170))</f>
        <v/>
      </c>
      <c r="J170">
        <f>IF($U170="","",INDEX('Per Line'!$R$2:$R$3001,$U170)&amp;"")</f>
        <v/>
      </c>
      <c r="K170">
        <f>IF($U170="","",Settings!$C$7)</f>
        <v/>
      </c>
      <c r="L170" s="7">
        <f>IF($U170="","",SUMIFS('Per Line'!$N$2:$N$3001,'Per Line'!$A$2:$A$3001,$A170,'Per Line'!$W$2:$W$3001,0))</f>
        <v/>
      </c>
      <c r="M170" s="7">
        <f>IF($U170="","",L170*K170)</f>
        <v/>
      </c>
      <c r="N170">
        <f>IF($U170="","",Settings!$C$6)</f>
        <v/>
      </c>
      <c r="O170" s="7">
        <f>IF($U170="","",SUMIFS('Per Line'!$N$2:$N$3001,'Per Line'!$A$2:$A$3001,$A170,'Per Line'!$W$2:$W$3001,1))</f>
        <v/>
      </c>
      <c r="P170" s="7">
        <f>IF($U170="","",O170*N170)</f>
        <v/>
      </c>
      <c r="Q170" s="7">
        <f>IF($U170="","",P170+M170)</f>
        <v/>
      </c>
      <c r="R170" s="7">
        <f>IF($U170="","",S170-Q170)</f>
        <v/>
      </c>
      <c r="S170" s="7">
        <f>IF($U170="","",L170+O170)</f>
        <v/>
      </c>
      <c r="T170" s="7">
        <f>IF($U170="","",S170-Q170-G170)</f>
        <v/>
      </c>
      <c r="U170" s="13">
        <f>IF(ROWS($U$2:$U170)&lt;=MAX('Per Line'!$V$2:$V$3001),MATCH(ROWS($U$2:$U170),'Per Line'!$V$2:$V$3001,0),"")</f>
        <v/>
      </c>
    </row>
    <row r="171">
      <c r="A171">
        <f>IF($U171="","",INDEX('Per Line'!$A$2:$A$3001,$U171)&amp;"")</f>
        <v/>
      </c>
      <c r="B171" s="12" t="n"/>
      <c r="C171">
        <f>IF($U171="","",INDEX('Per Line'!$B$2:$B$3001,$U171)&amp;"")</f>
        <v/>
      </c>
      <c r="D171">
        <f>IF($U171="","",INDEX('Per Line'!$C$2:$C$3001,$U171)&amp;"")</f>
        <v/>
      </c>
      <c r="E171">
        <f>IF($U171="","",INDEX('Per Line'!$D$2:$D$3001,$U171)&amp;"")</f>
        <v/>
      </c>
      <c r="F171">
        <f>IF($U171="","",INDEX('Per Line'!$E$2:$E$3001,$U171))</f>
        <v/>
      </c>
      <c r="G171" s="7">
        <f>IF($U171="","",F171*S171/100)</f>
        <v/>
      </c>
      <c r="H171">
        <f>IF($U171="","",INDEX('Per Line'!$O$2:$O$3001,$U171)&amp;"")</f>
        <v/>
      </c>
      <c r="I171" s="11">
        <f>IF($U171="","",INDEX('Per Line'!$Q$2:$Q$3001,$U171))</f>
        <v/>
      </c>
      <c r="J171">
        <f>IF($U171="","",INDEX('Per Line'!$R$2:$R$3001,$U171)&amp;"")</f>
        <v/>
      </c>
      <c r="K171">
        <f>IF($U171="","",Settings!$C$7)</f>
        <v/>
      </c>
      <c r="L171" s="7">
        <f>IF($U171="","",SUMIFS('Per Line'!$N$2:$N$3001,'Per Line'!$A$2:$A$3001,$A171,'Per Line'!$W$2:$W$3001,0))</f>
        <v/>
      </c>
      <c r="M171" s="7">
        <f>IF($U171="","",L171*K171)</f>
        <v/>
      </c>
      <c r="N171">
        <f>IF($U171="","",Settings!$C$6)</f>
        <v/>
      </c>
      <c r="O171" s="7">
        <f>IF($U171="","",SUMIFS('Per Line'!$N$2:$N$3001,'Per Line'!$A$2:$A$3001,$A171,'Per Line'!$W$2:$W$3001,1))</f>
        <v/>
      </c>
      <c r="P171" s="7">
        <f>IF($U171="","",O171*N171)</f>
        <v/>
      </c>
      <c r="Q171" s="7">
        <f>IF($U171="","",P171+M171)</f>
        <v/>
      </c>
      <c r="R171" s="7">
        <f>IF($U171="","",S171-Q171)</f>
        <v/>
      </c>
      <c r="S171" s="7">
        <f>IF($U171="","",L171+O171)</f>
        <v/>
      </c>
      <c r="T171" s="7">
        <f>IF($U171="","",S171-Q171-G171)</f>
        <v/>
      </c>
      <c r="U171" s="13">
        <f>IF(ROWS($U$2:$U171)&lt;=MAX('Per Line'!$V$2:$V$3001),MATCH(ROWS($U$2:$U171),'Per Line'!$V$2:$V$3001,0),"")</f>
        <v/>
      </c>
    </row>
    <row r="172">
      <c r="A172">
        <f>IF($U172="","",INDEX('Per Line'!$A$2:$A$3001,$U172)&amp;"")</f>
        <v/>
      </c>
      <c r="B172" s="12" t="n"/>
      <c r="C172">
        <f>IF($U172="","",INDEX('Per Line'!$B$2:$B$3001,$U172)&amp;"")</f>
        <v/>
      </c>
      <c r="D172">
        <f>IF($U172="","",INDEX('Per Line'!$C$2:$C$3001,$U172)&amp;"")</f>
        <v/>
      </c>
      <c r="E172">
        <f>IF($U172="","",INDEX('Per Line'!$D$2:$D$3001,$U172)&amp;"")</f>
        <v/>
      </c>
      <c r="F172">
        <f>IF($U172="","",INDEX('Per Line'!$E$2:$E$3001,$U172))</f>
        <v/>
      </c>
      <c r="G172" s="7">
        <f>IF($U172="","",F172*S172/100)</f>
        <v/>
      </c>
      <c r="H172">
        <f>IF($U172="","",INDEX('Per Line'!$O$2:$O$3001,$U172)&amp;"")</f>
        <v/>
      </c>
      <c r="I172" s="11">
        <f>IF($U172="","",INDEX('Per Line'!$Q$2:$Q$3001,$U172))</f>
        <v/>
      </c>
      <c r="J172">
        <f>IF($U172="","",INDEX('Per Line'!$R$2:$R$3001,$U172)&amp;"")</f>
        <v/>
      </c>
      <c r="K172">
        <f>IF($U172="","",Settings!$C$7)</f>
        <v/>
      </c>
      <c r="L172" s="7">
        <f>IF($U172="","",SUMIFS('Per Line'!$N$2:$N$3001,'Per Line'!$A$2:$A$3001,$A172,'Per Line'!$W$2:$W$3001,0))</f>
        <v/>
      </c>
      <c r="M172" s="7">
        <f>IF($U172="","",L172*K172)</f>
        <v/>
      </c>
      <c r="N172">
        <f>IF($U172="","",Settings!$C$6)</f>
        <v/>
      </c>
      <c r="O172" s="7">
        <f>IF($U172="","",SUMIFS('Per Line'!$N$2:$N$3001,'Per Line'!$A$2:$A$3001,$A172,'Per Line'!$W$2:$W$3001,1))</f>
        <v/>
      </c>
      <c r="P172" s="7">
        <f>IF($U172="","",O172*N172)</f>
        <v/>
      </c>
      <c r="Q172" s="7">
        <f>IF($U172="","",P172+M172)</f>
        <v/>
      </c>
      <c r="R172" s="7">
        <f>IF($U172="","",S172-Q172)</f>
        <v/>
      </c>
      <c r="S172" s="7">
        <f>IF($U172="","",L172+O172)</f>
        <v/>
      </c>
      <c r="T172" s="7">
        <f>IF($U172="","",S172-Q172-G172)</f>
        <v/>
      </c>
      <c r="U172" s="13">
        <f>IF(ROWS($U$2:$U172)&lt;=MAX('Per Line'!$V$2:$V$3001),MATCH(ROWS($U$2:$U172),'Per Line'!$V$2:$V$3001,0),"")</f>
        <v/>
      </c>
    </row>
    <row r="173">
      <c r="A173">
        <f>IF($U173="","",INDEX('Per Line'!$A$2:$A$3001,$U173)&amp;"")</f>
        <v/>
      </c>
      <c r="B173" s="12" t="n"/>
      <c r="C173">
        <f>IF($U173="","",INDEX('Per Line'!$B$2:$B$3001,$U173)&amp;"")</f>
        <v/>
      </c>
      <c r="D173">
        <f>IF($U173="","",INDEX('Per Line'!$C$2:$C$3001,$U173)&amp;"")</f>
        <v/>
      </c>
      <c r="E173">
        <f>IF($U173="","",INDEX('Per Line'!$D$2:$D$3001,$U173)&amp;"")</f>
        <v/>
      </c>
      <c r="F173">
        <f>IF($U173="","",INDEX('Per Line'!$E$2:$E$3001,$U173))</f>
        <v/>
      </c>
      <c r="G173" s="7">
        <f>IF($U173="","",F173*S173/100)</f>
        <v/>
      </c>
      <c r="H173">
        <f>IF($U173="","",INDEX('Per Line'!$O$2:$O$3001,$U173)&amp;"")</f>
        <v/>
      </c>
      <c r="I173" s="11">
        <f>IF($U173="","",INDEX('Per Line'!$Q$2:$Q$3001,$U173))</f>
        <v/>
      </c>
      <c r="J173">
        <f>IF($U173="","",INDEX('Per Line'!$R$2:$R$3001,$U173)&amp;"")</f>
        <v/>
      </c>
      <c r="K173">
        <f>IF($U173="","",Settings!$C$7)</f>
        <v/>
      </c>
      <c r="L173" s="7">
        <f>IF($U173="","",SUMIFS('Per Line'!$N$2:$N$3001,'Per Line'!$A$2:$A$3001,$A173,'Per Line'!$W$2:$W$3001,0))</f>
        <v/>
      </c>
      <c r="M173" s="7">
        <f>IF($U173="","",L173*K173)</f>
        <v/>
      </c>
      <c r="N173">
        <f>IF($U173="","",Settings!$C$6)</f>
        <v/>
      </c>
      <c r="O173" s="7">
        <f>IF($U173="","",SUMIFS('Per Line'!$N$2:$N$3001,'Per Line'!$A$2:$A$3001,$A173,'Per Line'!$W$2:$W$3001,1))</f>
        <v/>
      </c>
      <c r="P173" s="7">
        <f>IF($U173="","",O173*N173)</f>
        <v/>
      </c>
      <c r="Q173" s="7">
        <f>IF($U173="","",P173+M173)</f>
        <v/>
      </c>
      <c r="R173" s="7">
        <f>IF($U173="","",S173-Q173)</f>
        <v/>
      </c>
      <c r="S173" s="7">
        <f>IF($U173="","",L173+O173)</f>
        <v/>
      </c>
      <c r="T173" s="7">
        <f>IF($U173="","",S173-Q173-G173)</f>
        <v/>
      </c>
      <c r="U173" s="13">
        <f>IF(ROWS($U$2:$U173)&lt;=MAX('Per Line'!$V$2:$V$3001),MATCH(ROWS($U$2:$U173),'Per Line'!$V$2:$V$3001,0),"")</f>
        <v/>
      </c>
    </row>
    <row r="174">
      <c r="A174">
        <f>IF($U174="","",INDEX('Per Line'!$A$2:$A$3001,$U174)&amp;"")</f>
        <v/>
      </c>
      <c r="B174" s="12" t="n"/>
      <c r="C174">
        <f>IF($U174="","",INDEX('Per Line'!$B$2:$B$3001,$U174)&amp;"")</f>
        <v/>
      </c>
      <c r="D174">
        <f>IF($U174="","",INDEX('Per Line'!$C$2:$C$3001,$U174)&amp;"")</f>
        <v/>
      </c>
      <c r="E174">
        <f>IF($U174="","",INDEX('Per Line'!$D$2:$D$3001,$U174)&amp;"")</f>
        <v/>
      </c>
      <c r="F174">
        <f>IF($U174="","",INDEX('Per Line'!$E$2:$E$3001,$U174))</f>
        <v/>
      </c>
      <c r="G174" s="7">
        <f>IF($U174="","",F174*S174/100)</f>
        <v/>
      </c>
      <c r="H174">
        <f>IF($U174="","",INDEX('Per Line'!$O$2:$O$3001,$U174)&amp;"")</f>
        <v/>
      </c>
      <c r="I174" s="11">
        <f>IF($U174="","",INDEX('Per Line'!$Q$2:$Q$3001,$U174))</f>
        <v/>
      </c>
      <c r="J174">
        <f>IF($U174="","",INDEX('Per Line'!$R$2:$R$3001,$U174)&amp;"")</f>
        <v/>
      </c>
      <c r="K174">
        <f>IF($U174="","",Settings!$C$7)</f>
        <v/>
      </c>
      <c r="L174" s="7">
        <f>IF($U174="","",SUMIFS('Per Line'!$N$2:$N$3001,'Per Line'!$A$2:$A$3001,$A174,'Per Line'!$W$2:$W$3001,0))</f>
        <v/>
      </c>
      <c r="M174" s="7">
        <f>IF($U174="","",L174*K174)</f>
        <v/>
      </c>
      <c r="N174">
        <f>IF($U174="","",Settings!$C$6)</f>
        <v/>
      </c>
      <c r="O174" s="7">
        <f>IF($U174="","",SUMIFS('Per Line'!$N$2:$N$3001,'Per Line'!$A$2:$A$3001,$A174,'Per Line'!$W$2:$W$3001,1))</f>
        <v/>
      </c>
      <c r="P174" s="7">
        <f>IF($U174="","",O174*N174)</f>
        <v/>
      </c>
      <c r="Q174" s="7">
        <f>IF($U174="","",P174+M174)</f>
        <v/>
      </c>
      <c r="R174" s="7">
        <f>IF($U174="","",S174-Q174)</f>
        <v/>
      </c>
      <c r="S174" s="7">
        <f>IF($U174="","",L174+O174)</f>
        <v/>
      </c>
      <c r="T174" s="7">
        <f>IF($U174="","",S174-Q174-G174)</f>
        <v/>
      </c>
      <c r="U174" s="13">
        <f>IF(ROWS($U$2:$U174)&lt;=MAX('Per Line'!$V$2:$V$3001),MATCH(ROWS($U$2:$U174),'Per Line'!$V$2:$V$3001,0),"")</f>
        <v/>
      </c>
    </row>
    <row r="175">
      <c r="A175">
        <f>IF($U175="","",INDEX('Per Line'!$A$2:$A$3001,$U175)&amp;"")</f>
        <v/>
      </c>
      <c r="B175" s="12" t="n"/>
      <c r="C175">
        <f>IF($U175="","",INDEX('Per Line'!$B$2:$B$3001,$U175)&amp;"")</f>
        <v/>
      </c>
      <c r="D175">
        <f>IF($U175="","",INDEX('Per Line'!$C$2:$C$3001,$U175)&amp;"")</f>
        <v/>
      </c>
      <c r="E175">
        <f>IF($U175="","",INDEX('Per Line'!$D$2:$D$3001,$U175)&amp;"")</f>
        <v/>
      </c>
      <c r="F175">
        <f>IF($U175="","",INDEX('Per Line'!$E$2:$E$3001,$U175))</f>
        <v/>
      </c>
      <c r="G175" s="7">
        <f>IF($U175="","",F175*S175/100)</f>
        <v/>
      </c>
      <c r="H175">
        <f>IF($U175="","",INDEX('Per Line'!$O$2:$O$3001,$U175)&amp;"")</f>
        <v/>
      </c>
      <c r="I175" s="11">
        <f>IF($U175="","",INDEX('Per Line'!$Q$2:$Q$3001,$U175))</f>
        <v/>
      </c>
      <c r="J175">
        <f>IF($U175="","",INDEX('Per Line'!$R$2:$R$3001,$U175)&amp;"")</f>
        <v/>
      </c>
      <c r="K175">
        <f>IF($U175="","",Settings!$C$7)</f>
        <v/>
      </c>
      <c r="L175" s="7">
        <f>IF($U175="","",SUMIFS('Per Line'!$N$2:$N$3001,'Per Line'!$A$2:$A$3001,$A175,'Per Line'!$W$2:$W$3001,0))</f>
        <v/>
      </c>
      <c r="M175" s="7">
        <f>IF($U175="","",L175*K175)</f>
        <v/>
      </c>
      <c r="N175">
        <f>IF($U175="","",Settings!$C$6)</f>
        <v/>
      </c>
      <c r="O175" s="7">
        <f>IF($U175="","",SUMIFS('Per Line'!$N$2:$N$3001,'Per Line'!$A$2:$A$3001,$A175,'Per Line'!$W$2:$W$3001,1))</f>
        <v/>
      </c>
      <c r="P175" s="7">
        <f>IF($U175="","",O175*N175)</f>
        <v/>
      </c>
      <c r="Q175" s="7">
        <f>IF($U175="","",P175+M175)</f>
        <v/>
      </c>
      <c r="R175" s="7">
        <f>IF($U175="","",S175-Q175)</f>
        <v/>
      </c>
      <c r="S175" s="7">
        <f>IF($U175="","",L175+O175)</f>
        <v/>
      </c>
      <c r="T175" s="7">
        <f>IF($U175="","",S175-Q175-G175)</f>
        <v/>
      </c>
      <c r="U175" s="13">
        <f>IF(ROWS($U$2:$U175)&lt;=MAX('Per Line'!$V$2:$V$3001),MATCH(ROWS($U$2:$U175),'Per Line'!$V$2:$V$3001,0),"")</f>
        <v/>
      </c>
    </row>
    <row r="176">
      <c r="A176">
        <f>IF($U176="","",INDEX('Per Line'!$A$2:$A$3001,$U176)&amp;"")</f>
        <v/>
      </c>
      <c r="B176" s="12" t="n"/>
      <c r="C176">
        <f>IF($U176="","",INDEX('Per Line'!$B$2:$B$3001,$U176)&amp;"")</f>
        <v/>
      </c>
      <c r="D176">
        <f>IF($U176="","",INDEX('Per Line'!$C$2:$C$3001,$U176)&amp;"")</f>
        <v/>
      </c>
      <c r="E176">
        <f>IF($U176="","",INDEX('Per Line'!$D$2:$D$3001,$U176)&amp;"")</f>
        <v/>
      </c>
      <c r="F176">
        <f>IF($U176="","",INDEX('Per Line'!$E$2:$E$3001,$U176))</f>
        <v/>
      </c>
      <c r="G176" s="7">
        <f>IF($U176="","",F176*S176/100)</f>
        <v/>
      </c>
      <c r="H176">
        <f>IF($U176="","",INDEX('Per Line'!$O$2:$O$3001,$U176)&amp;"")</f>
        <v/>
      </c>
      <c r="I176" s="11">
        <f>IF($U176="","",INDEX('Per Line'!$Q$2:$Q$3001,$U176))</f>
        <v/>
      </c>
      <c r="J176">
        <f>IF($U176="","",INDEX('Per Line'!$R$2:$R$3001,$U176)&amp;"")</f>
        <v/>
      </c>
      <c r="K176">
        <f>IF($U176="","",Settings!$C$7)</f>
        <v/>
      </c>
      <c r="L176" s="7">
        <f>IF($U176="","",SUMIFS('Per Line'!$N$2:$N$3001,'Per Line'!$A$2:$A$3001,$A176,'Per Line'!$W$2:$W$3001,0))</f>
        <v/>
      </c>
      <c r="M176" s="7">
        <f>IF($U176="","",L176*K176)</f>
        <v/>
      </c>
      <c r="N176">
        <f>IF($U176="","",Settings!$C$6)</f>
        <v/>
      </c>
      <c r="O176" s="7">
        <f>IF($U176="","",SUMIFS('Per Line'!$N$2:$N$3001,'Per Line'!$A$2:$A$3001,$A176,'Per Line'!$W$2:$W$3001,1))</f>
        <v/>
      </c>
      <c r="P176" s="7">
        <f>IF($U176="","",O176*N176)</f>
        <v/>
      </c>
      <c r="Q176" s="7">
        <f>IF($U176="","",P176+M176)</f>
        <v/>
      </c>
      <c r="R176" s="7">
        <f>IF($U176="","",S176-Q176)</f>
        <v/>
      </c>
      <c r="S176" s="7">
        <f>IF($U176="","",L176+O176)</f>
        <v/>
      </c>
      <c r="T176" s="7">
        <f>IF($U176="","",S176-Q176-G176)</f>
        <v/>
      </c>
      <c r="U176" s="13">
        <f>IF(ROWS($U$2:$U176)&lt;=MAX('Per Line'!$V$2:$V$3001),MATCH(ROWS($U$2:$U176),'Per Line'!$V$2:$V$3001,0),"")</f>
        <v/>
      </c>
    </row>
    <row r="177">
      <c r="A177">
        <f>IF($U177="","",INDEX('Per Line'!$A$2:$A$3001,$U177)&amp;"")</f>
        <v/>
      </c>
      <c r="B177" s="12" t="n"/>
      <c r="C177">
        <f>IF($U177="","",INDEX('Per Line'!$B$2:$B$3001,$U177)&amp;"")</f>
        <v/>
      </c>
      <c r="D177">
        <f>IF($U177="","",INDEX('Per Line'!$C$2:$C$3001,$U177)&amp;"")</f>
        <v/>
      </c>
      <c r="E177">
        <f>IF($U177="","",INDEX('Per Line'!$D$2:$D$3001,$U177)&amp;"")</f>
        <v/>
      </c>
      <c r="F177">
        <f>IF($U177="","",INDEX('Per Line'!$E$2:$E$3001,$U177))</f>
        <v/>
      </c>
      <c r="G177" s="7">
        <f>IF($U177="","",F177*S177/100)</f>
        <v/>
      </c>
      <c r="H177">
        <f>IF($U177="","",INDEX('Per Line'!$O$2:$O$3001,$U177)&amp;"")</f>
        <v/>
      </c>
      <c r="I177" s="11">
        <f>IF($U177="","",INDEX('Per Line'!$Q$2:$Q$3001,$U177))</f>
        <v/>
      </c>
      <c r="J177">
        <f>IF($U177="","",INDEX('Per Line'!$R$2:$R$3001,$U177)&amp;"")</f>
        <v/>
      </c>
      <c r="K177">
        <f>IF($U177="","",Settings!$C$7)</f>
        <v/>
      </c>
      <c r="L177" s="7">
        <f>IF($U177="","",SUMIFS('Per Line'!$N$2:$N$3001,'Per Line'!$A$2:$A$3001,$A177,'Per Line'!$W$2:$W$3001,0))</f>
        <v/>
      </c>
      <c r="M177" s="7">
        <f>IF($U177="","",L177*K177)</f>
        <v/>
      </c>
      <c r="N177">
        <f>IF($U177="","",Settings!$C$6)</f>
        <v/>
      </c>
      <c r="O177" s="7">
        <f>IF($U177="","",SUMIFS('Per Line'!$N$2:$N$3001,'Per Line'!$A$2:$A$3001,$A177,'Per Line'!$W$2:$W$3001,1))</f>
        <v/>
      </c>
      <c r="P177" s="7">
        <f>IF($U177="","",O177*N177)</f>
        <v/>
      </c>
      <c r="Q177" s="7">
        <f>IF($U177="","",P177+M177)</f>
        <v/>
      </c>
      <c r="R177" s="7">
        <f>IF($U177="","",S177-Q177)</f>
        <v/>
      </c>
      <c r="S177" s="7">
        <f>IF($U177="","",L177+O177)</f>
        <v/>
      </c>
      <c r="T177" s="7">
        <f>IF($U177="","",S177-Q177-G177)</f>
        <v/>
      </c>
      <c r="U177" s="13">
        <f>IF(ROWS($U$2:$U177)&lt;=MAX('Per Line'!$V$2:$V$3001),MATCH(ROWS($U$2:$U177),'Per Line'!$V$2:$V$3001,0),"")</f>
        <v/>
      </c>
    </row>
    <row r="178">
      <c r="A178">
        <f>IF($U178="","",INDEX('Per Line'!$A$2:$A$3001,$U178)&amp;"")</f>
        <v/>
      </c>
      <c r="B178" s="12" t="n"/>
      <c r="C178">
        <f>IF($U178="","",INDEX('Per Line'!$B$2:$B$3001,$U178)&amp;"")</f>
        <v/>
      </c>
      <c r="D178">
        <f>IF($U178="","",INDEX('Per Line'!$C$2:$C$3001,$U178)&amp;"")</f>
        <v/>
      </c>
      <c r="E178">
        <f>IF($U178="","",INDEX('Per Line'!$D$2:$D$3001,$U178)&amp;"")</f>
        <v/>
      </c>
      <c r="F178">
        <f>IF($U178="","",INDEX('Per Line'!$E$2:$E$3001,$U178))</f>
        <v/>
      </c>
      <c r="G178" s="7">
        <f>IF($U178="","",F178*S178/100)</f>
        <v/>
      </c>
      <c r="H178">
        <f>IF($U178="","",INDEX('Per Line'!$O$2:$O$3001,$U178)&amp;"")</f>
        <v/>
      </c>
      <c r="I178" s="11">
        <f>IF($U178="","",INDEX('Per Line'!$Q$2:$Q$3001,$U178))</f>
        <v/>
      </c>
      <c r="J178">
        <f>IF($U178="","",INDEX('Per Line'!$R$2:$R$3001,$U178)&amp;"")</f>
        <v/>
      </c>
      <c r="K178">
        <f>IF($U178="","",Settings!$C$7)</f>
        <v/>
      </c>
      <c r="L178" s="7">
        <f>IF($U178="","",SUMIFS('Per Line'!$N$2:$N$3001,'Per Line'!$A$2:$A$3001,$A178,'Per Line'!$W$2:$W$3001,0))</f>
        <v/>
      </c>
      <c r="M178" s="7">
        <f>IF($U178="","",L178*K178)</f>
        <v/>
      </c>
      <c r="N178">
        <f>IF($U178="","",Settings!$C$6)</f>
        <v/>
      </c>
      <c r="O178" s="7">
        <f>IF($U178="","",SUMIFS('Per Line'!$N$2:$N$3001,'Per Line'!$A$2:$A$3001,$A178,'Per Line'!$W$2:$W$3001,1))</f>
        <v/>
      </c>
      <c r="P178" s="7">
        <f>IF($U178="","",O178*N178)</f>
        <v/>
      </c>
      <c r="Q178" s="7">
        <f>IF($U178="","",P178+M178)</f>
        <v/>
      </c>
      <c r="R178" s="7">
        <f>IF($U178="","",S178-Q178)</f>
        <v/>
      </c>
      <c r="S178" s="7">
        <f>IF($U178="","",L178+O178)</f>
        <v/>
      </c>
      <c r="T178" s="7">
        <f>IF($U178="","",S178-Q178-G178)</f>
        <v/>
      </c>
      <c r="U178" s="13">
        <f>IF(ROWS($U$2:$U178)&lt;=MAX('Per Line'!$V$2:$V$3001),MATCH(ROWS($U$2:$U178),'Per Line'!$V$2:$V$3001,0),"")</f>
        <v/>
      </c>
    </row>
    <row r="179">
      <c r="A179">
        <f>IF($U179="","",INDEX('Per Line'!$A$2:$A$3001,$U179)&amp;"")</f>
        <v/>
      </c>
      <c r="B179" s="12" t="n"/>
      <c r="C179">
        <f>IF($U179="","",INDEX('Per Line'!$B$2:$B$3001,$U179)&amp;"")</f>
        <v/>
      </c>
      <c r="D179">
        <f>IF($U179="","",INDEX('Per Line'!$C$2:$C$3001,$U179)&amp;"")</f>
        <v/>
      </c>
      <c r="E179">
        <f>IF($U179="","",INDEX('Per Line'!$D$2:$D$3001,$U179)&amp;"")</f>
        <v/>
      </c>
      <c r="F179">
        <f>IF($U179="","",INDEX('Per Line'!$E$2:$E$3001,$U179))</f>
        <v/>
      </c>
      <c r="G179" s="7">
        <f>IF($U179="","",F179*S179/100)</f>
        <v/>
      </c>
      <c r="H179">
        <f>IF($U179="","",INDEX('Per Line'!$O$2:$O$3001,$U179)&amp;"")</f>
        <v/>
      </c>
      <c r="I179" s="11">
        <f>IF($U179="","",INDEX('Per Line'!$Q$2:$Q$3001,$U179))</f>
        <v/>
      </c>
      <c r="J179">
        <f>IF($U179="","",INDEX('Per Line'!$R$2:$R$3001,$U179)&amp;"")</f>
        <v/>
      </c>
      <c r="K179">
        <f>IF($U179="","",Settings!$C$7)</f>
        <v/>
      </c>
      <c r="L179" s="7">
        <f>IF($U179="","",SUMIFS('Per Line'!$N$2:$N$3001,'Per Line'!$A$2:$A$3001,$A179,'Per Line'!$W$2:$W$3001,0))</f>
        <v/>
      </c>
      <c r="M179" s="7">
        <f>IF($U179="","",L179*K179)</f>
        <v/>
      </c>
      <c r="N179">
        <f>IF($U179="","",Settings!$C$6)</f>
        <v/>
      </c>
      <c r="O179" s="7">
        <f>IF($U179="","",SUMIFS('Per Line'!$N$2:$N$3001,'Per Line'!$A$2:$A$3001,$A179,'Per Line'!$W$2:$W$3001,1))</f>
        <v/>
      </c>
      <c r="P179" s="7">
        <f>IF($U179="","",O179*N179)</f>
        <v/>
      </c>
      <c r="Q179" s="7">
        <f>IF($U179="","",P179+M179)</f>
        <v/>
      </c>
      <c r="R179" s="7">
        <f>IF($U179="","",S179-Q179)</f>
        <v/>
      </c>
      <c r="S179" s="7">
        <f>IF($U179="","",L179+O179)</f>
        <v/>
      </c>
      <c r="T179" s="7">
        <f>IF($U179="","",S179-Q179-G179)</f>
        <v/>
      </c>
      <c r="U179" s="13">
        <f>IF(ROWS($U$2:$U179)&lt;=MAX('Per Line'!$V$2:$V$3001),MATCH(ROWS($U$2:$U179),'Per Line'!$V$2:$V$3001,0),"")</f>
        <v/>
      </c>
    </row>
    <row r="180">
      <c r="A180">
        <f>IF($U180="","",INDEX('Per Line'!$A$2:$A$3001,$U180)&amp;"")</f>
        <v/>
      </c>
      <c r="B180" s="12" t="n"/>
      <c r="C180">
        <f>IF($U180="","",INDEX('Per Line'!$B$2:$B$3001,$U180)&amp;"")</f>
        <v/>
      </c>
      <c r="D180">
        <f>IF($U180="","",INDEX('Per Line'!$C$2:$C$3001,$U180)&amp;"")</f>
        <v/>
      </c>
      <c r="E180">
        <f>IF($U180="","",INDEX('Per Line'!$D$2:$D$3001,$U180)&amp;"")</f>
        <v/>
      </c>
      <c r="F180">
        <f>IF($U180="","",INDEX('Per Line'!$E$2:$E$3001,$U180))</f>
        <v/>
      </c>
      <c r="G180" s="7">
        <f>IF($U180="","",F180*S180/100)</f>
        <v/>
      </c>
      <c r="H180">
        <f>IF($U180="","",INDEX('Per Line'!$O$2:$O$3001,$U180)&amp;"")</f>
        <v/>
      </c>
      <c r="I180" s="11">
        <f>IF($U180="","",INDEX('Per Line'!$Q$2:$Q$3001,$U180))</f>
        <v/>
      </c>
      <c r="J180">
        <f>IF($U180="","",INDEX('Per Line'!$R$2:$R$3001,$U180)&amp;"")</f>
        <v/>
      </c>
      <c r="K180">
        <f>IF($U180="","",Settings!$C$7)</f>
        <v/>
      </c>
      <c r="L180" s="7">
        <f>IF($U180="","",SUMIFS('Per Line'!$N$2:$N$3001,'Per Line'!$A$2:$A$3001,$A180,'Per Line'!$W$2:$W$3001,0))</f>
        <v/>
      </c>
      <c r="M180" s="7">
        <f>IF($U180="","",L180*K180)</f>
        <v/>
      </c>
      <c r="N180">
        <f>IF($U180="","",Settings!$C$6)</f>
        <v/>
      </c>
      <c r="O180" s="7">
        <f>IF($U180="","",SUMIFS('Per Line'!$N$2:$N$3001,'Per Line'!$A$2:$A$3001,$A180,'Per Line'!$W$2:$W$3001,1))</f>
        <v/>
      </c>
      <c r="P180" s="7">
        <f>IF($U180="","",O180*N180)</f>
        <v/>
      </c>
      <c r="Q180" s="7">
        <f>IF($U180="","",P180+M180)</f>
        <v/>
      </c>
      <c r="R180" s="7">
        <f>IF($U180="","",S180-Q180)</f>
        <v/>
      </c>
      <c r="S180" s="7">
        <f>IF($U180="","",L180+O180)</f>
        <v/>
      </c>
      <c r="T180" s="7">
        <f>IF($U180="","",S180-Q180-G180)</f>
        <v/>
      </c>
      <c r="U180" s="13">
        <f>IF(ROWS($U$2:$U180)&lt;=MAX('Per Line'!$V$2:$V$3001),MATCH(ROWS($U$2:$U180),'Per Line'!$V$2:$V$3001,0),"")</f>
        <v/>
      </c>
    </row>
    <row r="181">
      <c r="A181">
        <f>IF($U181="","",INDEX('Per Line'!$A$2:$A$3001,$U181)&amp;"")</f>
        <v/>
      </c>
      <c r="B181" s="12" t="n"/>
      <c r="C181">
        <f>IF($U181="","",INDEX('Per Line'!$B$2:$B$3001,$U181)&amp;"")</f>
        <v/>
      </c>
      <c r="D181">
        <f>IF($U181="","",INDEX('Per Line'!$C$2:$C$3001,$U181)&amp;"")</f>
        <v/>
      </c>
      <c r="E181">
        <f>IF($U181="","",INDEX('Per Line'!$D$2:$D$3001,$U181)&amp;"")</f>
        <v/>
      </c>
      <c r="F181">
        <f>IF($U181="","",INDEX('Per Line'!$E$2:$E$3001,$U181))</f>
        <v/>
      </c>
      <c r="G181" s="7">
        <f>IF($U181="","",F181*S181/100)</f>
        <v/>
      </c>
      <c r="H181">
        <f>IF($U181="","",INDEX('Per Line'!$O$2:$O$3001,$U181)&amp;"")</f>
        <v/>
      </c>
      <c r="I181" s="11">
        <f>IF($U181="","",INDEX('Per Line'!$Q$2:$Q$3001,$U181))</f>
        <v/>
      </c>
      <c r="J181">
        <f>IF($U181="","",INDEX('Per Line'!$R$2:$R$3001,$U181)&amp;"")</f>
        <v/>
      </c>
      <c r="K181">
        <f>IF($U181="","",Settings!$C$7)</f>
        <v/>
      </c>
      <c r="L181" s="7">
        <f>IF($U181="","",SUMIFS('Per Line'!$N$2:$N$3001,'Per Line'!$A$2:$A$3001,$A181,'Per Line'!$W$2:$W$3001,0))</f>
        <v/>
      </c>
      <c r="M181" s="7">
        <f>IF($U181="","",L181*K181)</f>
        <v/>
      </c>
      <c r="N181">
        <f>IF($U181="","",Settings!$C$6)</f>
        <v/>
      </c>
      <c r="O181" s="7">
        <f>IF($U181="","",SUMIFS('Per Line'!$N$2:$N$3001,'Per Line'!$A$2:$A$3001,$A181,'Per Line'!$W$2:$W$3001,1))</f>
        <v/>
      </c>
      <c r="P181" s="7">
        <f>IF($U181="","",O181*N181)</f>
        <v/>
      </c>
      <c r="Q181" s="7">
        <f>IF($U181="","",P181+M181)</f>
        <v/>
      </c>
      <c r="R181" s="7">
        <f>IF($U181="","",S181-Q181)</f>
        <v/>
      </c>
      <c r="S181" s="7">
        <f>IF($U181="","",L181+O181)</f>
        <v/>
      </c>
      <c r="T181" s="7">
        <f>IF($U181="","",S181-Q181-G181)</f>
        <v/>
      </c>
      <c r="U181" s="13">
        <f>IF(ROWS($U$2:$U181)&lt;=MAX('Per Line'!$V$2:$V$3001),MATCH(ROWS($U$2:$U181),'Per Line'!$V$2:$V$3001,0),"")</f>
        <v/>
      </c>
    </row>
    <row r="182">
      <c r="A182">
        <f>IF($U182="","",INDEX('Per Line'!$A$2:$A$3001,$U182)&amp;"")</f>
        <v/>
      </c>
      <c r="B182" s="12" t="n"/>
      <c r="C182">
        <f>IF($U182="","",INDEX('Per Line'!$B$2:$B$3001,$U182)&amp;"")</f>
        <v/>
      </c>
      <c r="D182">
        <f>IF($U182="","",INDEX('Per Line'!$C$2:$C$3001,$U182)&amp;"")</f>
        <v/>
      </c>
      <c r="E182">
        <f>IF($U182="","",INDEX('Per Line'!$D$2:$D$3001,$U182)&amp;"")</f>
        <v/>
      </c>
      <c r="F182">
        <f>IF($U182="","",INDEX('Per Line'!$E$2:$E$3001,$U182))</f>
        <v/>
      </c>
      <c r="G182" s="7">
        <f>IF($U182="","",F182*S182/100)</f>
        <v/>
      </c>
      <c r="H182">
        <f>IF($U182="","",INDEX('Per Line'!$O$2:$O$3001,$U182)&amp;"")</f>
        <v/>
      </c>
      <c r="I182" s="11">
        <f>IF($U182="","",INDEX('Per Line'!$Q$2:$Q$3001,$U182))</f>
        <v/>
      </c>
      <c r="J182">
        <f>IF($U182="","",INDEX('Per Line'!$R$2:$R$3001,$U182)&amp;"")</f>
        <v/>
      </c>
      <c r="K182">
        <f>IF($U182="","",Settings!$C$7)</f>
        <v/>
      </c>
      <c r="L182" s="7">
        <f>IF($U182="","",SUMIFS('Per Line'!$N$2:$N$3001,'Per Line'!$A$2:$A$3001,$A182,'Per Line'!$W$2:$W$3001,0))</f>
        <v/>
      </c>
      <c r="M182" s="7">
        <f>IF($U182="","",L182*K182)</f>
        <v/>
      </c>
      <c r="N182">
        <f>IF($U182="","",Settings!$C$6)</f>
        <v/>
      </c>
      <c r="O182" s="7">
        <f>IF($U182="","",SUMIFS('Per Line'!$N$2:$N$3001,'Per Line'!$A$2:$A$3001,$A182,'Per Line'!$W$2:$W$3001,1))</f>
        <v/>
      </c>
      <c r="P182" s="7">
        <f>IF($U182="","",O182*N182)</f>
        <v/>
      </c>
      <c r="Q182" s="7">
        <f>IF($U182="","",P182+M182)</f>
        <v/>
      </c>
      <c r="R182" s="7">
        <f>IF($U182="","",S182-Q182)</f>
        <v/>
      </c>
      <c r="S182" s="7">
        <f>IF($U182="","",L182+O182)</f>
        <v/>
      </c>
      <c r="T182" s="7">
        <f>IF($U182="","",S182-Q182-G182)</f>
        <v/>
      </c>
      <c r="U182" s="13">
        <f>IF(ROWS($U$2:$U182)&lt;=MAX('Per Line'!$V$2:$V$3001),MATCH(ROWS($U$2:$U182),'Per Line'!$V$2:$V$3001,0),"")</f>
        <v/>
      </c>
    </row>
    <row r="183">
      <c r="A183">
        <f>IF($U183="","",INDEX('Per Line'!$A$2:$A$3001,$U183)&amp;"")</f>
        <v/>
      </c>
      <c r="B183" s="12" t="n"/>
      <c r="C183">
        <f>IF($U183="","",INDEX('Per Line'!$B$2:$B$3001,$U183)&amp;"")</f>
        <v/>
      </c>
      <c r="D183">
        <f>IF($U183="","",INDEX('Per Line'!$C$2:$C$3001,$U183)&amp;"")</f>
        <v/>
      </c>
      <c r="E183">
        <f>IF($U183="","",INDEX('Per Line'!$D$2:$D$3001,$U183)&amp;"")</f>
        <v/>
      </c>
      <c r="F183">
        <f>IF($U183="","",INDEX('Per Line'!$E$2:$E$3001,$U183))</f>
        <v/>
      </c>
      <c r="G183" s="7">
        <f>IF($U183="","",F183*S183/100)</f>
        <v/>
      </c>
      <c r="H183">
        <f>IF($U183="","",INDEX('Per Line'!$O$2:$O$3001,$U183)&amp;"")</f>
        <v/>
      </c>
      <c r="I183" s="11">
        <f>IF($U183="","",INDEX('Per Line'!$Q$2:$Q$3001,$U183))</f>
        <v/>
      </c>
      <c r="J183">
        <f>IF($U183="","",INDEX('Per Line'!$R$2:$R$3001,$U183)&amp;"")</f>
        <v/>
      </c>
      <c r="K183">
        <f>IF($U183="","",Settings!$C$7)</f>
        <v/>
      </c>
      <c r="L183" s="7">
        <f>IF($U183="","",SUMIFS('Per Line'!$N$2:$N$3001,'Per Line'!$A$2:$A$3001,$A183,'Per Line'!$W$2:$W$3001,0))</f>
        <v/>
      </c>
      <c r="M183" s="7">
        <f>IF($U183="","",L183*K183)</f>
        <v/>
      </c>
      <c r="N183">
        <f>IF($U183="","",Settings!$C$6)</f>
        <v/>
      </c>
      <c r="O183" s="7">
        <f>IF($U183="","",SUMIFS('Per Line'!$N$2:$N$3001,'Per Line'!$A$2:$A$3001,$A183,'Per Line'!$W$2:$W$3001,1))</f>
        <v/>
      </c>
      <c r="P183" s="7">
        <f>IF($U183="","",O183*N183)</f>
        <v/>
      </c>
      <c r="Q183" s="7">
        <f>IF($U183="","",P183+M183)</f>
        <v/>
      </c>
      <c r="R183" s="7">
        <f>IF($U183="","",S183-Q183)</f>
        <v/>
      </c>
      <c r="S183" s="7">
        <f>IF($U183="","",L183+O183)</f>
        <v/>
      </c>
      <c r="T183" s="7">
        <f>IF($U183="","",S183-Q183-G183)</f>
        <v/>
      </c>
      <c r="U183" s="13">
        <f>IF(ROWS($U$2:$U183)&lt;=MAX('Per Line'!$V$2:$V$3001),MATCH(ROWS($U$2:$U183),'Per Line'!$V$2:$V$3001,0),"")</f>
        <v/>
      </c>
    </row>
    <row r="184">
      <c r="A184">
        <f>IF($U184="","",INDEX('Per Line'!$A$2:$A$3001,$U184)&amp;"")</f>
        <v/>
      </c>
      <c r="B184" s="12" t="n"/>
      <c r="C184">
        <f>IF($U184="","",INDEX('Per Line'!$B$2:$B$3001,$U184)&amp;"")</f>
        <v/>
      </c>
      <c r="D184">
        <f>IF($U184="","",INDEX('Per Line'!$C$2:$C$3001,$U184)&amp;"")</f>
        <v/>
      </c>
      <c r="E184">
        <f>IF($U184="","",INDEX('Per Line'!$D$2:$D$3001,$U184)&amp;"")</f>
        <v/>
      </c>
      <c r="F184">
        <f>IF($U184="","",INDEX('Per Line'!$E$2:$E$3001,$U184))</f>
        <v/>
      </c>
      <c r="G184" s="7">
        <f>IF($U184="","",F184*S184/100)</f>
        <v/>
      </c>
      <c r="H184">
        <f>IF($U184="","",INDEX('Per Line'!$O$2:$O$3001,$U184)&amp;"")</f>
        <v/>
      </c>
      <c r="I184" s="11">
        <f>IF($U184="","",INDEX('Per Line'!$Q$2:$Q$3001,$U184))</f>
        <v/>
      </c>
      <c r="J184">
        <f>IF($U184="","",INDEX('Per Line'!$R$2:$R$3001,$U184)&amp;"")</f>
        <v/>
      </c>
      <c r="K184">
        <f>IF($U184="","",Settings!$C$7)</f>
        <v/>
      </c>
      <c r="L184" s="7">
        <f>IF($U184="","",SUMIFS('Per Line'!$N$2:$N$3001,'Per Line'!$A$2:$A$3001,$A184,'Per Line'!$W$2:$W$3001,0))</f>
        <v/>
      </c>
      <c r="M184" s="7">
        <f>IF($U184="","",L184*K184)</f>
        <v/>
      </c>
      <c r="N184">
        <f>IF($U184="","",Settings!$C$6)</f>
        <v/>
      </c>
      <c r="O184" s="7">
        <f>IF($U184="","",SUMIFS('Per Line'!$N$2:$N$3001,'Per Line'!$A$2:$A$3001,$A184,'Per Line'!$W$2:$W$3001,1))</f>
        <v/>
      </c>
      <c r="P184" s="7">
        <f>IF($U184="","",O184*N184)</f>
        <v/>
      </c>
      <c r="Q184" s="7">
        <f>IF($U184="","",P184+M184)</f>
        <v/>
      </c>
      <c r="R184" s="7">
        <f>IF($U184="","",S184-Q184)</f>
        <v/>
      </c>
      <c r="S184" s="7">
        <f>IF($U184="","",L184+O184)</f>
        <v/>
      </c>
      <c r="T184" s="7">
        <f>IF($U184="","",S184-Q184-G184)</f>
        <v/>
      </c>
      <c r="U184" s="13">
        <f>IF(ROWS($U$2:$U184)&lt;=MAX('Per Line'!$V$2:$V$3001),MATCH(ROWS($U$2:$U184),'Per Line'!$V$2:$V$3001,0),"")</f>
        <v/>
      </c>
    </row>
    <row r="185">
      <c r="A185">
        <f>IF($U185="","",INDEX('Per Line'!$A$2:$A$3001,$U185)&amp;"")</f>
        <v/>
      </c>
      <c r="B185" s="12" t="n"/>
      <c r="C185">
        <f>IF($U185="","",INDEX('Per Line'!$B$2:$B$3001,$U185)&amp;"")</f>
        <v/>
      </c>
      <c r="D185">
        <f>IF($U185="","",INDEX('Per Line'!$C$2:$C$3001,$U185)&amp;"")</f>
        <v/>
      </c>
      <c r="E185">
        <f>IF($U185="","",INDEX('Per Line'!$D$2:$D$3001,$U185)&amp;"")</f>
        <v/>
      </c>
      <c r="F185">
        <f>IF($U185="","",INDEX('Per Line'!$E$2:$E$3001,$U185))</f>
        <v/>
      </c>
      <c r="G185" s="7">
        <f>IF($U185="","",F185*S185/100)</f>
        <v/>
      </c>
      <c r="H185">
        <f>IF($U185="","",INDEX('Per Line'!$O$2:$O$3001,$U185)&amp;"")</f>
        <v/>
      </c>
      <c r="I185" s="11">
        <f>IF($U185="","",INDEX('Per Line'!$Q$2:$Q$3001,$U185))</f>
        <v/>
      </c>
      <c r="J185">
        <f>IF($U185="","",INDEX('Per Line'!$R$2:$R$3001,$U185)&amp;"")</f>
        <v/>
      </c>
      <c r="K185">
        <f>IF($U185="","",Settings!$C$7)</f>
        <v/>
      </c>
      <c r="L185" s="7">
        <f>IF($U185="","",SUMIFS('Per Line'!$N$2:$N$3001,'Per Line'!$A$2:$A$3001,$A185,'Per Line'!$W$2:$W$3001,0))</f>
        <v/>
      </c>
      <c r="M185" s="7">
        <f>IF($U185="","",L185*K185)</f>
        <v/>
      </c>
      <c r="N185">
        <f>IF($U185="","",Settings!$C$6)</f>
        <v/>
      </c>
      <c r="O185" s="7">
        <f>IF($U185="","",SUMIFS('Per Line'!$N$2:$N$3001,'Per Line'!$A$2:$A$3001,$A185,'Per Line'!$W$2:$W$3001,1))</f>
        <v/>
      </c>
      <c r="P185" s="7">
        <f>IF($U185="","",O185*N185)</f>
        <v/>
      </c>
      <c r="Q185" s="7">
        <f>IF($U185="","",P185+M185)</f>
        <v/>
      </c>
      <c r="R185" s="7">
        <f>IF($U185="","",S185-Q185)</f>
        <v/>
      </c>
      <c r="S185" s="7">
        <f>IF($U185="","",L185+O185)</f>
        <v/>
      </c>
      <c r="T185" s="7">
        <f>IF($U185="","",S185-Q185-G185)</f>
        <v/>
      </c>
      <c r="U185" s="13">
        <f>IF(ROWS($U$2:$U185)&lt;=MAX('Per Line'!$V$2:$V$3001),MATCH(ROWS($U$2:$U185),'Per Line'!$V$2:$V$3001,0),"")</f>
        <v/>
      </c>
    </row>
    <row r="186">
      <c r="A186">
        <f>IF($U186="","",INDEX('Per Line'!$A$2:$A$3001,$U186)&amp;"")</f>
        <v/>
      </c>
      <c r="B186" s="12" t="n"/>
      <c r="C186">
        <f>IF($U186="","",INDEX('Per Line'!$B$2:$B$3001,$U186)&amp;"")</f>
        <v/>
      </c>
      <c r="D186">
        <f>IF($U186="","",INDEX('Per Line'!$C$2:$C$3001,$U186)&amp;"")</f>
        <v/>
      </c>
      <c r="E186">
        <f>IF($U186="","",INDEX('Per Line'!$D$2:$D$3001,$U186)&amp;"")</f>
        <v/>
      </c>
      <c r="F186">
        <f>IF($U186="","",INDEX('Per Line'!$E$2:$E$3001,$U186))</f>
        <v/>
      </c>
      <c r="G186" s="7">
        <f>IF($U186="","",F186*S186/100)</f>
        <v/>
      </c>
      <c r="H186">
        <f>IF($U186="","",INDEX('Per Line'!$O$2:$O$3001,$U186)&amp;"")</f>
        <v/>
      </c>
      <c r="I186" s="11">
        <f>IF($U186="","",INDEX('Per Line'!$Q$2:$Q$3001,$U186))</f>
        <v/>
      </c>
      <c r="J186">
        <f>IF($U186="","",INDEX('Per Line'!$R$2:$R$3001,$U186)&amp;"")</f>
        <v/>
      </c>
      <c r="K186">
        <f>IF($U186="","",Settings!$C$7)</f>
        <v/>
      </c>
      <c r="L186" s="7">
        <f>IF($U186="","",SUMIFS('Per Line'!$N$2:$N$3001,'Per Line'!$A$2:$A$3001,$A186,'Per Line'!$W$2:$W$3001,0))</f>
        <v/>
      </c>
      <c r="M186" s="7">
        <f>IF($U186="","",L186*K186)</f>
        <v/>
      </c>
      <c r="N186">
        <f>IF($U186="","",Settings!$C$6)</f>
        <v/>
      </c>
      <c r="O186" s="7">
        <f>IF($U186="","",SUMIFS('Per Line'!$N$2:$N$3001,'Per Line'!$A$2:$A$3001,$A186,'Per Line'!$W$2:$W$3001,1))</f>
        <v/>
      </c>
      <c r="P186" s="7">
        <f>IF($U186="","",O186*N186)</f>
        <v/>
      </c>
      <c r="Q186" s="7">
        <f>IF($U186="","",P186+M186)</f>
        <v/>
      </c>
      <c r="R186" s="7">
        <f>IF($U186="","",S186-Q186)</f>
        <v/>
      </c>
      <c r="S186" s="7">
        <f>IF($U186="","",L186+O186)</f>
        <v/>
      </c>
      <c r="T186" s="7">
        <f>IF($U186="","",S186-Q186-G186)</f>
        <v/>
      </c>
      <c r="U186" s="13">
        <f>IF(ROWS($U$2:$U186)&lt;=MAX('Per Line'!$V$2:$V$3001),MATCH(ROWS($U$2:$U186),'Per Line'!$V$2:$V$3001,0),"")</f>
        <v/>
      </c>
    </row>
    <row r="187">
      <c r="A187">
        <f>IF($U187="","",INDEX('Per Line'!$A$2:$A$3001,$U187)&amp;"")</f>
        <v/>
      </c>
      <c r="B187" s="12" t="n"/>
      <c r="C187">
        <f>IF($U187="","",INDEX('Per Line'!$B$2:$B$3001,$U187)&amp;"")</f>
        <v/>
      </c>
      <c r="D187">
        <f>IF($U187="","",INDEX('Per Line'!$C$2:$C$3001,$U187)&amp;"")</f>
        <v/>
      </c>
      <c r="E187">
        <f>IF($U187="","",INDEX('Per Line'!$D$2:$D$3001,$U187)&amp;"")</f>
        <v/>
      </c>
      <c r="F187">
        <f>IF($U187="","",INDEX('Per Line'!$E$2:$E$3001,$U187))</f>
        <v/>
      </c>
      <c r="G187" s="7">
        <f>IF($U187="","",F187*S187/100)</f>
        <v/>
      </c>
      <c r="H187">
        <f>IF($U187="","",INDEX('Per Line'!$O$2:$O$3001,$U187)&amp;"")</f>
        <v/>
      </c>
      <c r="I187" s="11">
        <f>IF($U187="","",INDEX('Per Line'!$Q$2:$Q$3001,$U187))</f>
        <v/>
      </c>
      <c r="J187">
        <f>IF($U187="","",INDEX('Per Line'!$R$2:$R$3001,$U187)&amp;"")</f>
        <v/>
      </c>
      <c r="K187">
        <f>IF($U187="","",Settings!$C$7)</f>
        <v/>
      </c>
      <c r="L187" s="7">
        <f>IF($U187="","",SUMIFS('Per Line'!$N$2:$N$3001,'Per Line'!$A$2:$A$3001,$A187,'Per Line'!$W$2:$W$3001,0))</f>
        <v/>
      </c>
      <c r="M187" s="7">
        <f>IF($U187="","",L187*K187)</f>
        <v/>
      </c>
      <c r="N187">
        <f>IF($U187="","",Settings!$C$6)</f>
        <v/>
      </c>
      <c r="O187" s="7">
        <f>IF($U187="","",SUMIFS('Per Line'!$N$2:$N$3001,'Per Line'!$A$2:$A$3001,$A187,'Per Line'!$W$2:$W$3001,1))</f>
        <v/>
      </c>
      <c r="P187" s="7">
        <f>IF($U187="","",O187*N187)</f>
        <v/>
      </c>
      <c r="Q187" s="7">
        <f>IF($U187="","",P187+M187)</f>
        <v/>
      </c>
      <c r="R187" s="7">
        <f>IF($U187="","",S187-Q187)</f>
        <v/>
      </c>
      <c r="S187" s="7">
        <f>IF($U187="","",L187+O187)</f>
        <v/>
      </c>
      <c r="T187" s="7">
        <f>IF($U187="","",S187-Q187-G187)</f>
        <v/>
      </c>
      <c r="U187" s="13">
        <f>IF(ROWS($U$2:$U187)&lt;=MAX('Per Line'!$V$2:$V$3001),MATCH(ROWS($U$2:$U187),'Per Line'!$V$2:$V$3001,0),"")</f>
        <v/>
      </c>
    </row>
    <row r="188">
      <c r="A188">
        <f>IF($U188="","",INDEX('Per Line'!$A$2:$A$3001,$U188)&amp;"")</f>
        <v/>
      </c>
      <c r="B188" s="12" t="n"/>
      <c r="C188">
        <f>IF($U188="","",INDEX('Per Line'!$B$2:$B$3001,$U188)&amp;"")</f>
        <v/>
      </c>
      <c r="D188">
        <f>IF($U188="","",INDEX('Per Line'!$C$2:$C$3001,$U188)&amp;"")</f>
        <v/>
      </c>
      <c r="E188">
        <f>IF($U188="","",INDEX('Per Line'!$D$2:$D$3001,$U188)&amp;"")</f>
        <v/>
      </c>
      <c r="F188">
        <f>IF($U188="","",INDEX('Per Line'!$E$2:$E$3001,$U188))</f>
        <v/>
      </c>
      <c r="G188" s="7">
        <f>IF($U188="","",F188*S188/100)</f>
        <v/>
      </c>
      <c r="H188">
        <f>IF($U188="","",INDEX('Per Line'!$O$2:$O$3001,$U188)&amp;"")</f>
        <v/>
      </c>
      <c r="I188" s="11">
        <f>IF($U188="","",INDEX('Per Line'!$Q$2:$Q$3001,$U188))</f>
        <v/>
      </c>
      <c r="J188">
        <f>IF($U188="","",INDEX('Per Line'!$R$2:$R$3001,$U188)&amp;"")</f>
        <v/>
      </c>
      <c r="K188">
        <f>IF($U188="","",Settings!$C$7)</f>
        <v/>
      </c>
      <c r="L188" s="7">
        <f>IF($U188="","",SUMIFS('Per Line'!$N$2:$N$3001,'Per Line'!$A$2:$A$3001,$A188,'Per Line'!$W$2:$W$3001,0))</f>
        <v/>
      </c>
      <c r="M188" s="7">
        <f>IF($U188="","",L188*K188)</f>
        <v/>
      </c>
      <c r="N188">
        <f>IF($U188="","",Settings!$C$6)</f>
        <v/>
      </c>
      <c r="O188" s="7">
        <f>IF($U188="","",SUMIFS('Per Line'!$N$2:$N$3001,'Per Line'!$A$2:$A$3001,$A188,'Per Line'!$W$2:$W$3001,1))</f>
        <v/>
      </c>
      <c r="P188" s="7">
        <f>IF($U188="","",O188*N188)</f>
        <v/>
      </c>
      <c r="Q188" s="7">
        <f>IF($U188="","",P188+M188)</f>
        <v/>
      </c>
      <c r="R188" s="7">
        <f>IF($U188="","",S188-Q188)</f>
        <v/>
      </c>
      <c r="S188" s="7">
        <f>IF($U188="","",L188+O188)</f>
        <v/>
      </c>
      <c r="T188" s="7">
        <f>IF($U188="","",S188-Q188-G188)</f>
        <v/>
      </c>
      <c r="U188" s="13">
        <f>IF(ROWS($U$2:$U188)&lt;=MAX('Per Line'!$V$2:$V$3001),MATCH(ROWS($U$2:$U188),'Per Line'!$V$2:$V$3001,0),"")</f>
        <v/>
      </c>
    </row>
    <row r="189">
      <c r="A189">
        <f>IF($U189="","",INDEX('Per Line'!$A$2:$A$3001,$U189)&amp;"")</f>
        <v/>
      </c>
      <c r="B189" s="12" t="n"/>
      <c r="C189">
        <f>IF($U189="","",INDEX('Per Line'!$B$2:$B$3001,$U189)&amp;"")</f>
        <v/>
      </c>
      <c r="D189">
        <f>IF($U189="","",INDEX('Per Line'!$C$2:$C$3001,$U189)&amp;"")</f>
        <v/>
      </c>
      <c r="E189">
        <f>IF($U189="","",INDEX('Per Line'!$D$2:$D$3001,$U189)&amp;"")</f>
        <v/>
      </c>
      <c r="F189">
        <f>IF($U189="","",INDEX('Per Line'!$E$2:$E$3001,$U189))</f>
        <v/>
      </c>
      <c r="G189" s="7">
        <f>IF($U189="","",F189*S189/100)</f>
        <v/>
      </c>
      <c r="H189">
        <f>IF($U189="","",INDEX('Per Line'!$O$2:$O$3001,$U189)&amp;"")</f>
        <v/>
      </c>
      <c r="I189" s="11">
        <f>IF($U189="","",INDEX('Per Line'!$Q$2:$Q$3001,$U189))</f>
        <v/>
      </c>
      <c r="J189">
        <f>IF($U189="","",INDEX('Per Line'!$R$2:$R$3001,$U189)&amp;"")</f>
        <v/>
      </c>
      <c r="K189">
        <f>IF($U189="","",Settings!$C$7)</f>
        <v/>
      </c>
      <c r="L189" s="7">
        <f>IF($U189="","",SUMIFS('Per Line'!$N$2:$N$3001,'Per Line'!$A$2:$A$3001,$A189,'Per Line'!$W$2:$W$3001,0))</f>
        <v/>
      </c>
      <c r="M189" s="7">
        <f>IF($U189="","",L189*K189)</f>
        <v/>
      </c>
      <c r="N189">
        <f>IF($U189="","",Settings!$C$6)</f>
        <v/>
      </c>
      <c r="O189" s="7">
        <f>IF($U189="","",SUMIFS('Per Line'!$N$2:$N$3001,'Per Line'!$A$2:$A$3001,$A189,'Per Line'!$W$2:$W$3001,1))</f>
        <v/>
      </c>
      <c r="P189" s="7">
        <f>IF($U189="","",O189*N189)</f>
        <v/>
      </c>
      <c r="Q189" s="7">
        <f>IF($U189="","",P189+M189)</f>
        <v/>
      </c>
      <c r="R189" s="7">
        <f>IF($U189="","",S189-Q189)</f>
        <v/>
      </c>
      <c r="S189" s="7">
        <f>IF($U189="","",L189+O189)</f>
        <v/>
      </c>
      <c r="T189" s="7">
        <f>IF($U189="","",S189-Q189-G189)</f>
        <v/>
      </c>
      <c r="U189" s="13">
        <f>IF(ROWS($U$2:$U189)&lt;=MAX('Per Line'!$V$2:$V$3001),MATCH(ROWS($U$2:$U189),'Per Line'!$V$2:$V$3001,0),"")</f>
        <v/>
      </c>
    </row>
    <row r="190">
      <c r="A190">
        <f>IF($U190="","",INDEX('Per Line'!$A$2:$A$3001,$U190)&amp;"")</f>
        <v/>
      </c>
      <c r="B190" s="12" t="n"/>
      <c r="C190">
        <f>IF($U190="","",INDEX('Per Line'!$B$2:$B$3001,$U190)&amp;"")</f>
        <v/>
      </c>
      <c r="D190">
        <f>IF($U190="","",INDEX('Per Line'!$C$2:$C$3001,$U190)&amp;"")</f>
        <v/>
      </c>
      <c r="E190">
        <f>IF($U190="","",INDEX('Per Line'!$D$2:$D$3001,$U190)&amp;"")</f>
        <v/>
      </c>
      <c r="F190">
        <f>IF($U190="","",INDEX('Per Line'!$E$2:$E$3001,$U190))</f>
        <v/>
      </c>
      <c r="G190" s="7">
        <f>IF($U190="","",F190*S190/100)</f>
        <v/>
      </c>
      <c r="H190">
        <f>IF($U190="","",INDEX('Per Line'!$O$2:$O$3001,$U190)&amp;"")</f>
        <v/>
      </c>
      <c r="I190" s="11">
        <f>IF($U190="","",INDEX('Per Line'!$Q$2:$Q$3001,$U190))</f>
        <v/>
      </c>
      <c r="J190">
        <f>IF($U190="","",INDEX('Per Line'!$R$2:$R$3001,$U190)&amp;"")</f>
        <v/>
      </c>
      <c r="K190">
        <f>IF($U190="","",Settings!$C$7)</f>
        <v/>
      </c>
      <c r="L190" s="7">
        <f>IF($U190="","",SUMIFS('Per Line'!$N$2:$N$3001,'Per Line'!$A$2:$A$3001,$A190,'Per Line'!$W$2:$W$3001,0))</f>
        <v/>
      </c>
      <c r="M190" s="7">
        <f>IF($U190="","",L190*K190)</f>
        <v/>
      </c>
      <c r="N190">
        <f>IF($U190="","",Settings!$C$6)</f>
        <v/>
      </c>
      <c r="O190" s="7">
        <f>IF($U190="","",SUMIFS('Per Line'!$N$2:$N$3001,'Per Line'!$A$2:$A$3001,$A190,'Per Line'!$W$2:$W$3001,1))</f>
        <v/>
      </c>
      <c r="P190" s="7">
        <f>IF($U190="","",O190*N190)</f>
        <v/>
      </c>
      <c r="Q190" s="7">
        <f>IF($U190="","",P190+M190)</f>
        <v/>
      </c>
      <c r="R190" s="7">
        <f>IF($U190="","",S190-Q190)</f>
        <v/>
      </c>
      <c r="S190" s="7">
        <f>IF($U190="","",L190+O190)</f>
        <v/>
      </c>
      <c r="T190" s="7">
        <f>IF($U190="","",S190-Q190-G190)</f>
        <v/>
      </c>
      <c r="U190" s="13">
        <f>IF(ROWS($U$2:$U190)&lt;=MAX('Per Line'!$V$2:$V$3001),MATCH(ROWS($U$2:$U190),'Per Line'!$V$2:$V$3001,0),"")</f>
        <v/>
      </c>
    </row>
    <row r="191">
      <c r="A191">
        <f>IF($U191="","",INDEX('Per Line'!$A$2:$A$3001,$U191)&amp;"")</f>
        <v/>
      </c>
      <c r="B191" s="12" t="n"/>
      <c r="C191">
        <f>IF($U191="","",INDEX('Per Line'!$B$2:$B$3001,$U191)&amp;"")</f>
        <v/>
      </c>
      <c r="D191">
        <f>IF($U191="","",INDEX('Per Line'!$C$2:$C$3001,$U191)&amp;"")</f>
        <v/>
      </c>
      <c r="E191">
        <f>IF($U191="","",INDEX('Per Line'!$D$2:$D$3001,$U191)&amp;"")</f>
        <v/>
      </c>
      <c r="F191">
        <f>IF($U191="","",INDEX('Per Line'!$E$2:$E$3001,$U191))</f>
        <v/>
      </c>
      <c r="G191" s="7">
        <f>IF($U191="","",F191*S191/100)</f>
        <v/>
      </c>
      <c r="H191">
        <f>IF($U191="","",INDEX('Per Line'!$O$2:$O$3001,$U191)&amp;"")</f>
        <v/>
      </c>
      <c r="I191" s="11">
        <f>IF($U191="","",INDEX('Per Line'!$Q$2:$Q$3001,$U191))</f>
        <v/>
      </c>
      <c r="J191">
        <f>IF($U191="","",INDEX('Per Line'!$R$2:$R$3001,$U191)&amp;"")</f>
        <v/>
      </c>
      <c r="K191">
        <f>IF($U191="","",Settings!$C$7)</f>
        <v/>
      </c>
      <c r="L191" s="7">
        <f>IF($U191="","",SUMIFS('Per Line'!$N$2:$N$3001,'Per Line'!$A$2:$A$3001,$A191,'Per Line'!$W$2:$W$3001,0))</f>
        <v/>
      </c>
      <c r="M191" s="7">
        <f>IF($U191="","",L191*K191)</f>
        <v/>
      </c>
      <c r="N191">
        <f>IF($U191="","",Settings!$C$6)</f>
        <v/>
      </c>
      <c r="O191" s="7">
        <f>IF($U191="","",SUMIFS('Per Line'!$N$2:$N$3001,'Per Line'!$A$2:$A$3001,$A191,'Per Line'!$W$2:$W$3001,1))</f>
        <v/>
      </c>
      <c r="P191" s="7">
        <f>IF($U191="","",O191*N191)</f>
        <v/>
      </c>
      <c r="Q191" s="7">
        <f>IF($U191="","",P191+M191)</f>
        <v/>
      </c>
      <c r="R191" s="7">
        <f>IF($U191="","",S191-Q191)</f>
        <v/>
      </c>
      <c r="S191" s="7">
        <f>IF($U191="","",L191+O191)</f>
        <v/>
      </c>
      <c r="T191" s="7">
        <f>IF($U191="","",S191-Q191-G191)</f>
        <v/>
      </c>
      <c r="U191" s="13">
        <f>IF(ROWS($U$2:$U191)&lt;=MAX('Per Line'!$V$2:$V$3001),MATCH(ROWS($U$2:$U191),'Per Line'!$V$2:$V$3001,0),"")</f>
        <v/>
      </c>
    </row>
    <row r="192">
      <c r="A192">
        <f>IF($U192="","",INDEX('Per Line'!$A$2:$A$3001,$U192)&amp;"")</f>
        <v/>
      </c>
      <c r="B192" s="12" t="n"/>
      <c r="C192">
        <f>IF($U192="","",INDEX('Per Line'!$B$2:$B$3001,$U192)&amp;"")</f>
        <v/>
      </c>
      <c r="D192">
        <f>IF($U192="","",INDEX('Per Line'!$C$2:$C$3001,$U192)&amp;"")</f>
        <v/>
      </c>
      <c r="E192">
        <f>IF($U192="","",INDEX('Per Line'!$D$2:$D$3001,$U192)&amp;"")</f>
        <v/>
      </c>
      <c r="F192">
        <f>IF($U192="","",INDEX('Per Line'!$E$2:$E$3001,$U192))</f>
        <v/>
      </c>
      <c r="G192" s="7">
        <f>IF($U192="","",F192*S192/100)</f>
        <v/>
      </c>
      <c r="H192">
        <f>IF($U192="","",INDEX('Per Line'!$O$2:$O$3001,$U192)&amp;"")</f>
        <v/>
      </c>
      <c r="I192" s="11">
        <f>IF($U192="","",INDEX('Per Line'!$Q$2:$Q$3001,$U192))</f>
        <v/>
      </c>
      <c r="J192">
        <f>IF($U192="","",INDEX('Per Line'!$R$2:$R$3001,$U192)&amp;"")</f>
        <v/>
      </c>
      <c r="K192">
        <f>IF($U192="","",Settings!$C$7)</f>
        <v/>
      </c>
      <c r="L192" s="7">
        <f>IF($U192="","",SUMIFS('Per Line'!$N$2:$N$3001,'Per Line'!$A$2:$A$3001,$A192,'Per Line'!$W$2:$W$3001,0))</f>
        <v/>
      </c>
      <c r="M192" s="7">
        <f>IF($U192="","",L192*K192)</f>
        <v/>
      </c>
      <c r="N192">
        <f>IF($U192="","",Settings!$C$6)</f>
        <v/>
      </c>
      <c r="O192" s="7">
        <f>IF($U192="","",SUMIFS('Per Line'!$N$2:$N$3001,'Per Line'!$A$2:$A$3001,$A192,'Per Line'!$W$2:$W$3001,1))</f>
        <v/>
      </c>
      <c r="P192" s="7">
        <f>IF($U192="","",O192*N192)</f>
        <v/>
      </c>
      <c r="Q192" s="7">
        <f>IF($U192="","",P192+M192)</f>
        <v/>
      </c>
      <c r="R192" s="7">
        <f>IF($U192="","",S192-Q192)</f>
        <v/>
      </c>
      <c r="S192" s="7">
        <f>IF($U192="","",L192+O192)</f>
        <v/>
      </c>
      <c r="T192" s="7">
        <f>IF($U192="","",S192-Q192-G192)</f>
        <v/>
      </c>
      <c r="U192" s="13">
        <f>IF(ROWS($U$2:$U192)&lt;=MAX('Per Line'!$V$2:$V$3001),MATCH(ROWS($U$2:$U192),'Per Line'!$V$2:$V$3001,0),"")</f>
        <v/>
      </c>
    </row>
    <row r="193">
      <c r="A193">
        <f>IF($U193="","",INDEX('Per Line'!$A$2:$A$3001,$U193)&amp;"")</f>
        <v/>
      </c>
      <c r="B193" s="12" t="n"/>
      <c r="C193">
        <f>IF($U193="","",INDEX('Per Line'!$B$2:$B$3001,$U193)&amp;"")</f>
        <v/>
      </c>
      <c r="D193">
        <f>IF($U193="","",INDEX('Per Line'!$C$2:$C$3001,$U193)&amp;"")</f>
        <v/>
      </c>
      <c r="E193">
        <f>IF($U193="","",INDEX('Per Line'!$D$2:$D$3001,$U193)&amp;"")</f>
        <v/>
      </c>
      <c r="F193">
        <f>IF($U193="","",INDEX('Per Line'!$E$2:$E$3001,$U193))</f>
        <v/>
      </c>
      <c r="G193" s="7">
        <f>IF($U193="","",F193*S193/100)</f>
        <v/>
      </c>
      <c r="H193">
        <f>IF($U193="","",INDEX('Per Line'!$O$2:$O$3001,$U193)&amp;"")</f>
        <v/>
      </c>
      <c r="I193" s="11">
        <f>IF($U193="","",INDEX('Per Line'!$Q$2:$Q$3001,$U193))</f>
        <v/>
      </c>
      <c r="J193">
        <f>IF($U193="","",INDEX('Per Line'!$R$2:$R$3001,$U193)&amp;"")</f>
        <v/>
      </c>
      <c r="K193">
        <f>IF($U193="","",Settings!$C$7)</f>
        <v/>
      </c>
      <c r="L193" s="7">
        <f>IF($U193="","",SUMIFS('Per Line'!$N$2:$N$3001,'Per Line'!$A$2:$A$3001,$A193,'Per Line'!$W$2:$W$3001,0))</f>
        <v/>
      </c>
      <c r="M193" s="7">
        <f>IF($U193="","",L193*K193)</f>
        <v/>
      </c>
      <c r="N193">
        <f>IF($U193="","",Settings!$C$6)</f>
        <v/>
      </c>
      <c r="O193" s="7">
        <f>IF($U193="","",SUMIFS('Per Line'!$N$2:$N$3001,'Per Line'!$A$2:$A$3001,$A193,'Per Line'!$W$2:$W$3001,1))</f>
        <v/>
      </c>
      <c r="P193" s="7">
        <f>IF($U193="","",O193*N193)</f>
        <v/>
      </c>
      <c r="Q193" s="7">
        <f>IF($U193="","",P193+M193)</f>
        <v/>
      </c>
      <c r="R193" s="7">
        <f>IF($U193="","",S193-Q193)</f>
        <v/>
      </c>
      <c r="S193" s="7">
        <f>IF($U193="","",L193+O193)</f>
        <v/>
      </c>
      <c r="T193" s="7">
        <f>IF($U193="","",S193-Q193-G193)</f>
        <v/>
      </c>
      <c r="U193" s="13">
        <f>IF(ROWS($U$2:$U193)&lt;=MAX('Per Line'!$V$2:$V$3001),MATCH(ROWS($U$2:$U193),'Per Line'!$V$2:$V$3001,0),"")</f>
        <v/>
      </c>
    </row>
    <row r="194">
      <c r="A194">
        <f>IF($U194="","",INDEX('Per Line'!$A$2:$A$3001,$U194)&amp;"")</f>
        <v/>
      </c>
      <c r="B194" s="12" t="n"/>
      <c r="C194">
        <f>IF($U194="","",INDEX('Per Line'!$B$2:$B$3001,$U194)&amp;"")</f>
        <v/>
      </c>
      <c r="D194">
        <f>IF($U194="","",INDEX('Per Line'!$C$2:$C$3001,$U194)&amp;"")</f>
        <v/>
      </c>
      <c r="E194">
        <f>IF($U194="","",INDEX('Per Line'!$D$2:$D$3001,$U194)&amp;"")</f>
        <v/>
      </c>
      <c r="F194">
        <f>IF($U194="","",INDEX('Per Line'!$E$2:$E$3001,$U194))</f>
        <v/>
      </c>
      <c r="G194" s="7">
        <f>IF($U194="","",F194*S194/100)</f>
        <v/>
      </c>
      <c r="H194">
        <f>IF($U194="","",INDEX('Per Line'!$O$2:$O$3001,$U194)&amp;"")</f>
        <v/>
      </c>
      <c r="I194" s="11">
        <f>IF($U194="","",INDEX('Per Line'!$Q$2:$Q$3001,$U194))</f>
        <v/>
      </c>
      <c r="J194">
        <f>IF($U194="","",INDEX('Per Line'!$R$2:$R$3001,$U194)&amp;"")</f>
        <v/>
      </c>
      <c r="K194">
        <f>IF($U194="","",Settings!$C$7)</f>
        <v/>
      </c>
      <c r="L194" s="7">
        <f>IF($U194="","",SUMIFS('Per Line'!$N$2:$N$3001,'Per Line'!$A$2:$A$3001,$A194,'Per Line'!$W$2:$W$3001,0))</f>
        <v/>
      </c>
      <c r="M194" s="7">
        <f>IF($U194="","",L194*K194)</f>
        <v/>
      </c>
      <c r="N194">
        <f>IF($U194="","",Settings!$C$6)</f>
        <v/>
      </c>
      <c r="O194" s="7">
        <f>IF($U194="","",SUMIFS('Per Line'!$N$2:$N$3001,'Per Line'!$A$2:$A$3001,$A194,'Per Line'!$W$2:$W$3001,1))</f>
        <v/>
      </c>
      <c r="P194" s="7">
        <f>IF($U194="","",O194*N194)</f>
        <v/>
      </c>
      <c r="Q194" s="7">
        <f>IF($U194="","",P194+M194)</f>
        <v/>
      </c>
      <c r="R194" s="7">
        <f>IF($U194="","",S194-Q194)</f>
        <v/>
      </c>
      <c r="S194" s="7">
        <f>IF($U194="","",L194+O194)</f>
        <v/>
      </c>
      <c r="T194" s="7">
        <f>IF($U194="","",S194-Q194-G194)</f>
        <v/>
      </c>
      <c r="U194" s="13">
        <f>IF(ROWS($U$2:$U194)&lt;=MAX('Per Line'!$V$2:$V$3001),MATCH(ROWS($U$2:$U194),'Per Line'!$V$2:$V$3001,0),"")</f>
        <v/>
      </c>
    </row>
    <row r="195">
      <c r="A195">
        <f>IF($U195="","",INDEX('Per Line'!$A$2:$A$3001,$U195)&amp;"")</f>
        <v/>
      </c>
      <c r="B195" s="12" t="n"/>
      <c r="C195">
        <f>IF($U195="","",INDEX('Per Line'!$B$2:$B$3001,$U195)&amp;"")</f>
        <v/>
      </c>
      <c r="D195">
        <f>IF($U195="","",INDEX('Per Line'!$C$2:$C$3001,$U195)&amp;"")</f>
        <v/>
      </c>
      <c r="E195">
        <f>IF($U195="","",INDEX('Per Line'!$D$2:$D$3001,$U195)&amp;"")</f>
        <v/>
      </c>
      <c r="F195">
        <f>IF($U195="","",INDEX('Per Line'!$E$2:$E$3001,$U195))</f>
        <v/>
      </c>
      <c r="G195" s="7">
        <f>IF($U195="","",F195*S195/100)</f>
        <v/>
      </c>
      <c r="H195">
        <f>IF($U195="","",INDEX('Per Line'!$O$2:$O$3001,$U195)&amp;"")</f>
        <v/>
      </c>
      <c r="I195" s="11">
        <f>IF($U195="","",INDEX('Per Line'!$Q$2:$Q$3001,$U195))</f>
        <v/>
      </c>
      <c r="J195">
        <f>IF($U195="","",INDEX('Per Line'!$R$2:$R$3001,$U195)&amp;"")</f>
        <v/>
      </c>
      <c r="K195">
        <f>IF($U195="","",Settings!$C$7)</f>
        <v/>
      </c>
      <c r="L195" s="7">
        <f>IF($U195="","",SUMIFS('Per Line'!$N$2:$N$3001,'Per Line'!$A$2:$A$3001,$A195,'Per Line'!$W$2:$W$3001,0))</f>
        <v/>
      </c>
      <c r="M195" s="7">
        <f>IF($U195="","",L195*K195)</f>
        <v/>
      </c>
      <c r="N195">
        <f>IF($U195="","",Settings!$C$6)</f>
        <v/>
      </c>
      <c r="O195" s="7">
        <f>IF($U195="","",SUMIFS('Per Line'!$N$2:$N$3001,'Per Line'!$A$2:$A$3001,$A195,'Per Line'!$W$2:$W$3001,1))</f>
        <v/>
      </c>
      <c r="P195" s="7">
        <f>IF($U195="","",O195*N195)</f>
        <v/>
      </c>
      <c r="Q195" s="7">
        <f>IF($U195="","",P195+M195)</f>
        <v/>
      </c>
      <c r="R195" s="7">
        <f>IF($U195="","",S195-Q195)</f>
        <v/>
      </c>
      <c r="S195" s="7">
        <f>IF($U195="","",L195+O195)</f>
        <v/>
      </c>
      <c r="T195" s="7">
        <f>IF($U195="","",S195-Q195-G195)</f>
        <v/>
      </c>
      <c r="U195" s="13">
        <f>IF(ROWS($U$2:$U195)&lt;=MAX('Per Line'!$V$2:$V$3001),MATCH(ROWS($U$2:$U195),'Per Line'!$V$2:$V$3001,0),"")</f>
        <v/>
      </c>
    </row>
    <row r="196">
      <c r="A196">
        <f>IF($U196="","",INDEX('Per Line'!$A$2:$A$3001,$U196)&amp;"")</f>
        <v/>
      </c>
      <c r="B196" s="12" t="n"/>
      <c r="C196">
        <f>IF($U196="","",INDEX('Per Line'!$B$2:$B$3001,$U196)&amp;"")</f>
        <v/>
      </c>
      <c r="D196">
        <f>IF($U196="","",INDEX('Per Line'!$C$2:$C$3001,$U196)&amp;"")</f>
        <v/>
      </c>
      <c r="E196">
        <f>IF($U196="","",INDEX('Per Line'!$D$2:$D$3001,$U196)&amp;"")</f>
        <v/>
      </c>
      <c r="F196">
        <f>IF($U196="","",INDEX('Per Line'!$E$2:$E$3001,$U196))</f>
        <v/>
      </c>
      <c r="G196" s="7">
        <f>IF($U196="","",F196*S196/100)</f>
        <v/>
      </c>
      <c r="H196">
        <f>IF($U196="","",INDEX('Per Line'!$O$2:$O$3001,$U196)&amp;"")</f>
        <v/>
      </c>
      <c r="I196" s="11">
        <f>IF($U196="","",INDEX('Per Line'!$Q$2:$Q$3001,$U196))</f>
        <v/>
      </c>
      <c r="J196">
        <f>IF($U196="","",INDEX('Per Line'!$R$2:$R$3001,$U196)&amp;"")</f>
        <v/>
      </c>
      <c r="K196">
        <f>IF($U196="","",Settings!$C$7)</f>
        <v/>
      </c>
      <c r="L196" s="7">
        <f>IF($U196="","",SUMIFS('Per Line'!$N$2:$N$3001,'Per Line'!$A$2:$A$3001,$A196,'Per Line'!$W$2:$W$3001,0))</f>
        <v/>
      </c>
      <c r="M196" s="7">
        <f>IF($U196="","",L196*K196)</f>
        <v/>
      </c>
      <c r="N196">
        <f>IF($U196="","",Settings!$C$6)</f>
        <v/>
      </c>
      <c r="O196" s="7">
        <f>IF($U196="","",SUMIFS('Per Line'!$N$2:$N$3001,'Per Line'!$A$2:$A$3001,$A196,'Per Line'!$W$2:$W$3001,1))</f>
        <v/>
      </c>
      <c r="P196" s="7">
        <f>IF($U196="","",O196*N196)</f>
        <v/>
      </c>
      <c r="Q196" s="7">
        <f>IF($U196="","",P196+M196)</f>
        <v/>
      </c>
      <c r="R196" s="7">
        <f>IF($U196="","",S196-Q196)</f>
        <v/>
      </c>
      <c r="S196" s="7">
        <f>IF($U196="","",L196+O196)</f>
        <v/>
      </c>
      <c r="T196" s="7">
        <f>IF($U196="","",S196-Q196-G196)</f>
        <v/>
      </c>
      <c r="U196" s="13">
        <f>IF(ROWS($U$2:$U196)&lt;=MAX('Per Line'!$V$2:$V$3001),MATCH(ROWS($U$2:$U196),'Per Line'!$V$2:$V$3001,0),"")</f>
        <v/>
      </c>
    </row>
    <row r="197">
      <c r="A197">
        <f>IF($U197="","",INDEX('Per Line'!$A$2:$A$3001,$U197)&amp;"")</f>
        <v/>
      </c>
      <c r="B197" s="12" t="n"/>
      <c r="C197">
        <f>IF($U197="","",INDEX('Per Line'!$B$2:$B$3001,$U197)&amp;"")</f>
        <v/>
      </c>
      <c r="D197">
        <f>IF($U197="","",INDEX('Per Line'!$C$2:$C$3001,$U197)&amp;"")</f>
        <v/>
      </c>
      <c r="E197">
        <f>IF($U197="","",INDEX('Per Line'!$D$2:$D$3001,$U197)&amp;"")</f>
        <v/>
      </c>
      <c r="F197">
        <f>IF($U197="","",INDEX('Per Line'!$E$2:$E$3001,$U197))</f>
        <v/>
      </c>
      <c r="G197" s="7">
        <f>IF($U197="","",F197*S197/100)</f>
        <v/>
      </c>
      <c r="H197">
        <f>IF($U197="","",INDEX('Per Line'!$O$2:$O$3001,$U197)&amp;"")</f>
        <v/>
      </c>
      <c r="I197" s="11">
        <f>IF($U197="","",INDEX('Per Line'!$Q$2:$Q$3001,$U197))</f>
        <v/>
      </c>
      <c r="J197">
        <f>IF($U197="","",INDEX('Per Line'!$R$2:$R$3001,$U197)&amp;"")</f>
        <v/>
      </c>
      <c r="K197">
        <f>IF($U197="","",Settings!$C$7)</f>
        <v/>
      </c>
      <c r="L197" s="7">
        <f>IF($U197="","",SUMIFS('Per Line'!$N$2:$N$3001,'Per Line'!$A$2:$A$3001,$A197,'Per Line'!$W$2:$W$3001,0))</f>
        <v/>
      </c>
      <c r="M197" s="7">
        <f>IF($U197="","",L197*K197)</f>
        <v/>
      </c>
      <c r="N197">
        <f>IF($U197="","",Settings!$C$6)</f>
        <v/>
      </c>
      <c r="O197" s="7">
        <f>IF($U197="","",SUMIFS('Per Line'!$N$2:$N$3001,'Per Line'!$A$2:$A$3001,$A197,'Per Line'!$W$2:$W$3001,1))</f>
        <v/>
      </c>
      <c r="P197" s="7">
        <f>IF($U197="","",O197*N197)</f>
        <v/>
      </c>
      <c r="Q197" s="7">
        <f>IF($U197="","",P197+M197)</f>
        <v/>
      </c>
      <c r="R197" s="7">
        <f>IF($U197="","",S197-Q197)</f>
        <v/>
      </c>
      <c r="S197" s="7">
        <f>IF($U197="","",L197+O197)</f>
        <v/>
      </c>
      <c r="T197" s="7">
        <f>IF($U197="","",S197-Q197-G197)</f>
        <v/>
      </c>
      <c r="U197" s="13">
        <f>IF(ROWS($U$2:$U197)&lt;=MAX('Per Line'!$V$2:$V$3001),MATCH(ROWS($U$2:$U197),'Per Line'!$V$2:$V$3001,0),"")</f>
        <v/>
      </c>
    </row>
    <row r="198">
      <c r="A198">
        <f>IF($U198="","",INDEX('Per Line'!$A$2:$A$3001,$U198)&amp;"")</f>
        <v/>
      </c>
      <c r="B198" s="12" t="n"/>
      <c r="C198">
        <f>IF($U198="","",INDEX('Per Line'!$B$2:$B$3001,$U198)&amp;"")</f>
        <v/>
      </c>
      <c r="D198">
        <f>IF($U198="","",INDEX('Per Line'!$C$2:$C$3001,$U198)&amp;"")</f>
        <v/>
      </c>
      <c r="E198">
        <f>IF($U198="","",INDEX('Per Line'!$D$2:$D$3001,$U198)&amp;"")</f>
        <v/>
      </c>
      <c r="F198">
        <f>IF($U198="","",INDEX('Per Line'!$E$2:$E$3001,$U198))</f>
        <v/>
      </c>
      <c r="G198" s="7">
        <f>IF($U198="","",F198*S198/100)</f>
        <v/>
      </c>
      <c r="H198">
        <f>IF($U198="","",INDEX('Per Line'!$O$2:$O$3001,$U198)&amp;"")</f>
        <v/>
      </c>
      <c r="I198" s="11">
        <f>IF($U198="","",INDEX('Per Line'!$Q$2:$Q$3001,$U198))</f>
        <v/>
      </c>
      <c r="J198">
        <f>IF($U198="","",INDEX('Per Line'!$R$2:$R$3001,$U198)&amp;"")</f>
        <v/>
      </c>
      <c r="K198">
        <f>IF($U198="","",Settings!$C$7)</f>
        <v/>
      </c>
      <c r="L198" s="7">
        <f>IF($U198="","",SUMIFS('Per Line'!$N$2:$N$3001,'Per Line'!$A$2:$A$3001,$A198,'Per Line'!$W$2:$W$3001,0))</f>
        <v/>
      </c>
      <c r="M198" s="7">
        <f>IF($U198="","",L198*K198)</f>
        <v/>
      </c>
      <c r="N198">
        <f>IF($U198="","",Settings!$C$6)</f>
        <v/>
      </c>
      <c r="O198" s="7">
        <f>IF($U198="","",SUMIFS('Per Line'!$N$2:$N$3001,'Per Line'!$A$2:$A$3001,$A198,'Per Line'!$W$2:$W$3001,1))</f>
        <v/>
      </c>
      <c r="P198" s="7">
        <f>IF($U198="","",O198*N198)</f>
        <v/>
      </c>
      <c r="Q198" s="7">
        <f>IF($U198="","",P198+M198)</f>
        <v/>
      </c>
      <c r="R198" s="7">
        <f>IF($U198="","",S198-Q198)</f>
        <v/>
      </c>
      <c r="S198" s="7">
        <f>IF($U198="","",L198+O198)</f>
        <v/>
      </c>
      <c r="T198" s="7">
        <f>IF($U198="","",S198-Q198-G198)</f>
        <v/>
      </c>
      <c r="U198" s="13">
        <f>IF(ROWS($U$2:$U198)&lt;=MAX('Per Line'!$V$2:$V$3001),MATCH(ROWS($U$2:$U198),'Per Line'!$V$2:$V$3001,0),"")</f>
        <v/>
      </c>
    </row>
    <row r="199">
      <c r="A199">
        <f>IF($U199="","",INDEX('Per Line'!$A$2:$A$3001,$U199)&amp;"")</f>
        <v/>
      </c>
      <c r="B199" s="12" t="n"/>
      <c r="C199">
        <f>IF($U199="","",INDEX('Per Line'!$B$2:$B$3001,$U199)&amp;"")</f>
        <v/>
      </c>
      <c r="D199">
        <f>IF($U199="","",INDEX('Per Line'!$C$2:$C$3001,$U199)&amp;"")</f>
        <v/>
      </c>
      <c r="E199">
        <f>IF($U199="","",INDEX('Per Line'!$D$2:$D$3001,$U199)&amp;"")</f>
        <v/>
      </c>
      <c r="F199">
        <f>IF($U199="","",INDEX('Per Line'!$E$2:$E$3001,$U199))</f>
        <v/>
      </c>
      <c r="G199" s="7">
        <f>IF($U199="","",F199*S199/100)</f>
        <v/>
      </c>
      <c r="H199">
        <f>IF($U199="","",INDEX('Per Line'!$O$2:$O$3001,$U199)&amp;"")</f>
        <v/>
      </c>
      <c r="I199" s="11">
        <f>IF($U199="","",INDEX('Per Line'!$Q$2:$Q$3001,$U199))</f>
        <v/>
      </c>
      <c r="J199">
        <f>IF($U199="","",INDEX('Per Line'!$R$2:$R$3001,$U199)&amp;"")</f>
        <v/>
      </c>
      <c r="K199">
        <f>IF($U199="","",Settings!$C$7)</f>
        <v/>
      </c>
      <c r="L199" s="7">
        <f>IF($U199="","",SUMIFS('Per Line'!$N$2:$N$3001,'Per Line'!$A$2:$A$3001,$A199,'Per Line'!$W$2:$W$3001,0))</f>
        <v/>
      </c>
      <c r="M199" s="7">
        <f>IF($U199="","",L199*K199)</f>
        <v/>
      </c>
      <c r="N199">
        <f>IF($U199="","",Settings!$C$6)</f>
        <v/>
      </c>
      <c r="O199" s="7">
        <f>IF($U199="","",SUMIFS('Per Line'!$N$2:$N$3001,'Per Line'!$A$2:$A$3001,$A199,'Per Line'!$W$2:$W$3001,1))</f>
        <v/>
      </c>
      <c r="P199" s="7">
        <f>IF($U199="","",O199*N199)</f>
        <v/>
      </c>
      <c r="Q199" s="7">
        <f>IF($U199="","",P199+M199)</f>
        <v/>
      </c>
      <c r="R199" s="7">
        <f>IF($U199="","",S199-Q199)</f>
        <v/>
      </c>
      <c r="S199" s="7">
        <f>IF($U199="","",L199+O199)</f>
        <v/>
      </c>
      <c r="T199" s="7">
        <f>IF($U199="","",S199-Q199-G199)</f>
        <v/>
      </c>
      <c r="U199" s="13">
        <f>IF(ROWS($U$2:$U199)&lt;=MAX('Per Line'!$V$2:$V$3001),MATCH(ROWS($U$2:$U199),'Per Line'!$V$2:$V$3001,0),"")</f>
        <v/>
      </c>
    </row>
    <row r="200">
      <c r="A200">
        <f>IF($U200="","",INDEX('Per Line'!$A$2:$A$3001,$U200)&amp;"")</f>
        <v/>
      </c>
      <c r="B200" s="12" t="n"/>
      <c r="C200">
        <f>IF($U200="","",INDEX('Per Line'!$B$2:$B$3001,$U200)&amp;"")</f>
        <v/>
      </c>
      <c r="D200">
        <f>IF($U200="","",INDEX('Per Line'!$C$2:$C$3001,$U200)&amp;"")</f>
        <v/>
      </c>
      <c r="E200">
        <f>IF($U200="","",INDEX('Per Line'!$D$2:$D$3001,$U200)&amp;"")</f>
        <v/>
      </c>
      <c r="F200">
        <f>IF($U200="","",INDEX('Per Line'!$E$2:$E$3001,$U200))</f>
        <v/>
      </c>
      <c r="G200" s="7">
        <f>IF($U200="","",F200*S200/100)</f>
        <v/>
      </c>
      <c r="H200">
        <f>IF($U200="","",INDEX('Per Line'!$O$2:$O$3001,$U200)&amp;"")</f>
        <v/>
      </c>
      <c r="I200" s="11">
        <f>IF($U200="","",INDEX('Per Line'!$Q$2:$Q$3001,$U200))</f>
        <v/>
      </c>
      <c r="J200">
        <f>IF($U200="","",INDEX('Per Line'!$R$2:$R$3001,$U200)&amp;"")</f>
        <v/>
      </c>
      <c r="K200">
        <f>IF($U200="","",Settings!$C$7)</f>
        <v/>
      </c>
      <c r="L200" s="7">
        <f>IF($U200="","",SUMIFS('Per Line'!$N$2:$N$3001,'Per Line'!$A$2:$A$3001,$A200,'Per Line'!$W$2:$W$3001,0))</f>
        <v/>
      </c>
      <c r="M200" s="7">
        <f>IF($U200="","",L200*K200)</f>
        <v/>
      </c>
      <c r="N200">
        <f>IF($U200="","",Settings!$C$6)</f>
        <v/>
      </c>
      <c r="O200" s="7">
        <f>IF($U200="","",SUMIFS('Per Line'!$N$2:$N$3001,'Per Line'!$A$2:$A$3001,$A200,'Per Line'!$W$2:$W$3001,1))</f>
        <v/>
      </c>
      <c r="P200" s="7">
        <f>IF($U200="","",O200*N200)</f>
        <v/>
      </c>
      <c r="Q200" s="7">
        <f>IF($U200="","",P200+M200)</f>
        <v/>
      </c>
      <c r="R200" s="7">
        <f>IF($U200="","",S200-Q200)</f>
        <v/>
      </c>
      <c r="S200" s="7">
        <f>IF($U200="","",L200+O200)</f>
        <v/>
      </c>
      <c r="T200" s="7">
        <f>IF($U200="","",S200-Q200-G200)</f>
        <v/>
      </c>
      <c r="U200" s="13">
        <f>IF(ROWS($U$2:$U200)&lt;=MAX('Per Line'!$V$2:$V$3001),MATCH(ROWS($U$2:$U200),'Per Line'!$V$2:$V$3001,0),"")</f>
        <v/>
      </c>
    </row>
    <row r="201">
      <c r="A201">
        <f>IF($U201="","",INDEX('Per Line'!$A$2:$A$3001,$U201)&amp;"")</f>
        <v/>
      </c>
      <c r="B201" s="12" t="n"/>
      <c r="C201">
        <f>IF($U201="","",INDEX('Per Line'!$B$2:$B$3001,$U201)&amp;"")</f>
        <v/>
      </c>
      <c r="D201">
        <f>IF($U201="","",INDEX('Per Line'!$C$2:$C$3001,$U201)&amp;"")</f>
        <v/>
      </c>
      <c r="E201">
        <f>IF($U201="","",INDEX('Per Line'!$D$2:$D$3001,$U201)&amp;"")</f>
        <v/>
      </c>
      <c r="F201">
        <f>IF($U201="","",INDEX('Per Line'!$E$2:$E$3001,$U201))</f>
        <v/>
      </c>
      <c r="G201" s="7">
        <f>IF($U201="","",F201*S201/100)</f>
        <v/>
      </c>
      <c r="H201">
        <f>IF($U201="","",INDEX('Per Line'!$O$2:$O$3001,$U201)&amp;"")</f>
        <v/>
      </c>
      <c r="I201" s="11">
        <f>IF($U201="","",INDEX('Per Line'!$Q$2:$Q$3001,$U201))</f>
        <v/>
      </c>
      <c r="J201">
        <f>IF($U201="","",INDEX('Per Line'!$R$2:$R$3001,$U201)&amp;"")</f>
        <v/>
      </c>
      <c r="K201">
        <f>IF($U201="","",Settings!$C$7)</f>
        <v/>
      </c>
      <c r="L201" s="7">
        <f>IF($U201="","",SUMIFS('Per Line'!$N$2:$N$3001,'Per Line'!$A$2:$A$3001,$A201,'Per Line'!$W$2:$W$3001,0))</f>
        <v/>
      </c>
      <c r="M201" s="7">
        <f>IF($U201="","",L201*K201)</f>
        <v/>
      </c>
      <c r="N201">
        <f>IF($U201="","",Settings!$C$6)</f>
        <v/>
      </c>
      <c r="O201" s="7">
        <f>IF($U201="","",SUMIFS('Per Line'!$N$2:$N$3001,'Per Line'!$A$2:$A$3001,$A201,'Per Line'!$W$2:$W$3001,1))</f>
        <v/>
      </c>
      <c r="P201" s="7">
        <f>IF($U201="","",O201*N201)</f>
        <v/>
      </c>
      <c r="Q201" s="7">
        <f>IF($U201="","",P201+M201)</f>
        <v/>
      </c>
      <c r="R201" s="7">
        <f>IF($U201="","",S201-Q201)</f>
        <v/>
      </c>
      <c r="S201" s="7">
        <f>IF($U201="","",L201+O201)</f>
        <v/>
      </c>
      <c r="T201" s="7">
        <f>IF($U201="","",S201-Q201-G201)</f>
        <v/>
      </c>
      <c r="U201" s="13">
        <f>IF(ROWS($U$2:$U201)&lt;=MAX('Per Line'!$V$2:$V$3001),MATCH(ROWS($U$2:$U201),'Per Line'!$V$2:$V$3001,0),"")</f>
        <v/>
      </c>
    </row>
    <row r="202">
      <c r="A202">
        <f>IF($U202="","",INDEX('Per Line'!$A$2:$A$3001,$U202)&amp;"")</f>
        <v/>
      </c>
      <c r="B202" s="12" t="n"/>
      <c r="C202">
        <f>IF($U202="","",INDEX('Per Line'!$B$2:$B$3001,$U202)&amp;"")</f>
        <v/>
      </c>
      <c r="D202">
        <f>IF($U202="","",INDEX('Per Line'!$C$2:$C$3001,$U202)&amp;"")</f>
        <v/>
      </c>
      <c r="E202">
        <f>IF($U202="","",INDEX('Per Line'!$D$2:$D$3001,$U202)&amp;"")</f>
        <v/>
      </c>
      <c r="F202">
        <f>IF($U202="","",INDEX('Per Line'!$E$2:$E$3001,$U202))</f>
        <v/>
      </c>
      <c r="G202" s="7">
        <f>IF($U202="","",F202*S202/100)</f>
        <v/>
      </c>
      <c r="H202">
        <f>IF($U202="","",INDEX('Per Line'!$O$2:$O$3001,$U202)&amp;"")</f>
        <v/>
      </c>
      <c r="I202" s="11">
        <f>IF($U202="","",INDEX('Per Line'!$Q$2:$Q$3001,$U202))</f>
        <v/>
      </c>
      <c r="J202">
        <f>IF($U202="","",INDEX('Per Line'!$R$2:$R$3001,$U202)&amp;"")</f>
        <v/>
      </c>
      <c r="K202">
        <f>IF($U202="","",Settings!$C$7)</f>
        <v/>
      </c>
      <c r="L202" s="7">
        <f>IF($U202="","",SUMIFS('Per Line'!$N$2:$N$3001,'Per Line'!$A$2:$A$3001,$A202,'Per Line'!$W$2:$W$3001,0))</f>
        <v/>
      </c>
      <c r="M202" s="7">
        <f>IF($U202="","",L202*K202)</f>
        <v/>
      </c>
      <c r="N202">
        <f>IF($U202="","",Settings!$C$6)</f>
        <v/>
      </c>
      <c r="O202" s="7">
        <f>IF($U202="","",SUMIFS('Per Line'!$N$2:$N$3001,'Per Line'!$A$2:$A$3001,$A202,'Per Line'!$W$2:$W$3001,1))</f>
        <v/>
      </c>
      <c r="P202" s="7">
        <f>IF($U202="","",O202*N202)</f>
        <v/>
      </c>
      <c r="Q202" s="7">
        <f>IF($U202="","",P202+M202)</f>
        <v/>
      </c>
      <c r="R202" s="7">
        <f>IF($U202="","",S202-Q202)</f>
        <v/>
      </c>
      <c r="S202" s="7">
        <f>IF($U202="","",L202+O202)</f>
        <v/>
      </c>
      <c r="T202" s="7">
        <f>IF($U202="","",S202-Q202-G202)</f>
        <v/>
      </c>
      <c r="U202" s="13">
        <f>IF(ROWS($U$2:$U202)&lt;=MAX('Per Line'!$V$2:$V$3001),MATCH(ROWS($U$2:$U202),'Per Line'!$V$2:$V$3001,0),"")</f>
        <v/>
      </c>
    </row>
    <row r="203">
      <c r="A203">
        <f>IF($U203="","",INDEX('Per Line'!$A$2:$A$3001,$U203)&amp;"")</f>
        <v/>
      </c>
      <c r="B203" s="12" t="n"/>
      <c r="C203">
        <f>IF($U203="","",INDEX('Per Line'!$B$2:$B$3001,$U203)&amp;"")</f>
        <v/>
      </c>
      <c r="D203">
        <f>IF($U203="","",INDEX('Per Line'!$C$2:$C$3001,$U203)&amp;"")</f>
        <v/>
      </c>
      <c r="E203">
        <f>IF($U203="","",INDEX('Per Line'!$D$2:$D$3001,$U203)&amp;"")</f>
        <v/>
      </c>
      <c r="F203">
        <f>IF($U203="","",INDEX('Per Line'!$E$2:$E$3001,$U203))</f>
        <v/>
      </c>
      <c r="G203" s="7">
        <f>IF($U203="","",F203*S203/100)</f>
        <v/>
      </c>
      <c r="H203">
        <f>IF($U203="","",INDEX('Per Line'!$O$2:$O$3001,$U203)&amp;"")</f>
        <v/>
      </c>
      <c r="I203" s="11">
        <f>IF($U203="","",INDEX('Per Line'!$Q$2:$Q$3001,$U203))</f>
        <v/>
      </c>
      <c r="J203">
        <f>IF($U203="","",INDEX('Per Line'!$R$2:$R$3001,$U203)&amp;"")</f>
        <v/>
      </c>
      <c r="K203">
        <f>IF($U203="","",Settings!$C$7)</f>
        <v/>
      </c>
      <c r="L203" s="7">
        <f>IF($U203="","",SUMIFS('Per Line'!$N$2:$N$3001,'Per Line'!$A$2:$A$3001,$A203,'Per Line'!$W$2:$W$3001,0))</f>
        <v/>
      </c>
      <c r="M203" s="7">
        <f>IF($U203="","",L203*K203)</f>
        <v/>
      </c>
      <c r="N203">
        <f>IF($U203="","",Settings!$C$6)</f>
        <v/>
      </c>
      <c r="O203" s="7">
        <f>IF($U203="","",SUMIFS('Per Line'!$N$2:$N$3001,'Per Line'!$A$2:$A$3001,$A203,'Per Line'!$W$2:$W$3001,1))</f>
        <v/>
      </c>
      <c r="P203" s="7">
        <f>IF($U203="","",O203*N203)</f>
        <v/>
      </c>
      <c r="Q203" s="7">
        <f>IF($U203="","",P203+M203)</f>
        <v/>
      </c>
      <c r="R203" s="7">
        <f>IF($U203="","",S203-Q203)</f>
        <v/>
      </c>
      <c r="S203" s="7">
        <f>IF($U203="","",L203+O203)</f>
        <v/>
      </c>
      <c r="T203" s="7">
        <f>IF($U203="","",S203-Q203-G203)</f>
        <v/>
      </c>
      <c r="U203" s="13">
        <f>IF(ROWS($U$2:$U203)&lt;=MAX('Per Line'!$V$2:$V$3001),MATCH(ROWS($U$2:$U203),'Per Line'!$V$2:$V$3001,0),"")</f>
        <v/>
      </c>
    </row>
    <row r="204">
      <c r="A204">
        <f>IF($U204="","",INDEX('Per Line'!$A$2:$A$3001,$U204)&amp;"")</f>
        <v/>
      </c>
      <c r="B204" s="12" t="n"/>
      <c r="C204">
        <f>IF($U204="","",INDEX('Per Line'!$B$2:$B$3001,$U204)&amp;"")</f>
        <v/>
      </c>
      <c r="D204">
        <f>IF($U204="","",INDEX('Per Line'!$C$2:$C$3001,$U204)&amp;"")</f>
        <v/>
      </c>
      <c r="E204">
        <f>IF($U204="","",INDEX('Per Line'!$D$2:$D$3001,$U204)&amp;"")</f>
        <v/>
      </c>
      <c r="F204">
        <f>IF($U204="","",INDEX('Per Line'!$E$2:$E$3001,$U204))</f>
        <v/>
      </c>
      <c r="G204" s="7">
        <f>IF($U204="","",F204*S204/100)</f>
        <v/>
      </c>
      <c r="H204">
        <f>IF($U204="","",INDEX('Per Line'!$O$2:$O$3001,$U204)&amp;"")</f>
        <v/>
      </c>
      <c r="I204" s="11">
        <f>IF($U204="","",INDEX('Per Line'!$Q$2:$Q$3001,$U204))</f>
        <v/>
      </c>
      <c r="J204">
        <f>IF($U204="","",INDEX('Per Line'!$R$2:$R$3001,$U204)&amp;"")</f>
        <v/>
      </c>
      <c r="K204">
        <f>IF($U204="","",Settings!$C$7)</f>
        <v/>
      </c>
      <c r="L204" s="7">
        <f>IF($U204="","",SUMIFS('Per Line'!$N$2:$N$3001,'Per Line'!$A$2:$A$3001,$A204,'Per Line'!$W$2:$W$3001,0))</f>
        <v/>
      </c>
      <c r="M204" s="7">
        <f>IF($U204="","",L204*K204)</f>
        <v/>
      </c>
      <c r="N204">
        <f>IF($U204="","",Settings!$C$6)</f>
        <v/>
      </c>
      <c r="O204" s="7">
        <f>IF($U204="","",SUMIFS('Per Line'!$N$2:$N$3001,'Per Line'!$A$2:$A$3001,$A204,'Per Line'!$W$2:$W$3001,1))</f>
        <v/>
      </c>
      <c r="P204" s="7">
        <f>IF($U204="","",O204*N204)</f>
        <v/>
      </c>
      <c r="Q204" s="7">
        <f>IF($U204="","",P204+M204)</f>
        <v/>
      </c>
      <c r="R204" s="7">
        <f>IF($U204="","",S204-Q204)</f>
        <v/>
      </c>
      <c r="S204" s="7">
        <f>IF($U204="","",L204+O204)</f>
        <v/>
      </c>
      <c r="T204" s="7">
        <f>IF($U204="","",S204-Q204-G204)</f>
        <v/>
      </c>
      <c r="U204" s="13">
        <f>IF(ROWS($U$2:$U204)&lt;=MAX('Per Line'!$V$2:$V$3001),MATCH(ROWS($U$2:$U204),'Per Line'!$V$2:$V$3001,0),"")</f>
        <v/>
      </c>
    </row>
    <row r="205">
      <c r="A205">
        <f>IF($U205="","",INDEX('Per Line'!$A$2:$A$3001,$U205)&amp;"")</f>
        <v/>
      </c>
      <c r="B205" s="12" t="n"/>
      <c r="C205">
        <f>IF($U205="","",INDEX('Per Line'!$B$2:$B$3001,$U205)&amp;"")</f>
        <v/>
      </c>
      <c r="D205">
        <f>IF($U205="","",INDEX('Per Line'!$C$2:$C$3001,$U205)&amp;"")</f>
        <v/>
      </c>
      <c r="E205">
        <f>IF($U205="","",INDEX('Per Line'!$D$2:$D$3001,$U205)&amp;"")</f>
        <v/>
      </c>
      <c r="F205">
        <f>IF($U205="","",INDEX('Per Line'!$E$2:$E$3001,$U205))</f>
        <v/>
      </c>
      <c r="G205" s="7">
        <f>IF($U205="","",F205*S205/100)</f>
        <v/>
      </c>
      <c r="H205">
        <f>IF($U205="","",INDEX('Per Line'!$O$2:$O$3001,$U205)&amp;"")</f>
        <v/>
      </c>
      <c r="I205" s="11">
        <f>IF($U205="","",INDEX('Per Line'!$Q$2:$Q$3001,$U205))</f>
        <v/>
      </c>
      <c r="J205">
        <f>IF($U205="","",INDEX('Per Line'!$R$2:$R$3001,$U205)&amp;"")</f>
        <v/>
      </c>
      <c r="K205">
        <f>IF($U205="","",Settings!$C$7)</f>
        <v/>
      </c>
      <c r="L205" s="7">
        <f>IF($U205="","",SUMIFS('Per Line'!$N$2:$N$3001,'Per Line'!$A$2:$A$3001,$A205,'Per Line'!$W$2:$W$3001,0))</f>
        <v/>
      </c>
      <c r="M205" s="7">
        <f>IF($U205="","",L205*K205)</f>
        <v/>
      </c>
      <c r="N205">
        <f>IF($U205="","",Settings!$C$6)</f>
        <v/>
      </c>
      <c r="O205" s="7">
        <f>IF($U205="","",SUMIFS('Per Line'!$N$2:$N$3001,'Per Line'!$A$2:$A$3001,$A205,'Per Line'!$W$2:$W$3001,1))</f>
        <v/>
      </c>
      <c r="P205" s="7">
        <f>IF($U205="","",O205*N205)</f>
        <v/>
      </c>
      <c r="Q205" s="7">
        <f>IF($U205="","",P205+M205)</f>
        <v/>
      </c>
      <c r="R205" s="7">
        <f>IF($U205="","",S205-Q205)</f>
        <v/>
      </c>
      <c r="S205" s="7">
        <f>IF($U205="","",L205+O205)</f>
        <v/>
      </c>
      <c r="T205" s="7">
        <f>IF($U205="","",S205-Q205-G205)</f>
        <v/>
      </c>
      <c r="U205" s="13">
        <f>IF(ROWS($U$2:$U205)&lt;=MAX('Per Line'!$V$2:$V$3001),MATCH(ROWS($U$2:$U205),'Per Line'!$V$2:$V$3001,0),"")</f>
        <v/>
      </c>
    </row>
    <row r="206">
      <c r="A206">
        <f>IF($U206="","",INDEX('Per Line'!$A$2:$A$3001,$U206)&amp;"")</f>
        <v/>
      </c>
      <c r="B206" s="12" t="n"/>
      <c r="C206">
        <f>IF($U206="","",INDEX('Per Line'!$B$2:$B$3001,$U206)&amp;"")</f>
        <v/>
      </c>
      <c r="D206">
        <f>IF($U206="","",INDEX('Per Line'!$C$2:$C$3001,$U206)&amp;"")</f>
        <v/>
      </c>
      <c r="E206">
        <f>IF($U206="","",INDEX('Per Line'!$D$2:$D$3001,$U206)&amp;"")</f>
        <v/>
      </c>
      <c r="F206">
        <f>IF($U206="","",INDEX('Per Line'!$E$2:$E$3001,$U206))</f>
        <v/>
      </c>
      <c r="G206" s="7">
        <f>IF($U206="","",F206*S206/100)</f>
        <v/>
      </c>
      <c r="H206">
        <f>IF($U206="","",INDEX('Per Line'!$O$2:$O$3001,$U206)&amp;"")</f>
        <v/>
      </c>
      <c r="I206" s="11">
        <f>IF($U206="","",INDEX('Per Line'!$Q$2:$Q$3001,$U206))</f>
        <v/>
      </c>
      <c r="J206">
        <f>IF($U206="","",INDEX('Per Line'!$R$2:$R$3001,$U206)&amp;"")</f>
        <v/>
      </c>
      <c r="K206">
        <f>IF($U206="","",Settings!$C$7)</f>
        <v/>
      </c>
      <c r="L206" s="7">
        <f>IF($U206="","",SUMIFS('Per Line'!$N$2:$N$3001,'Per Line'!$A$2:$A$3001,$A206,'Per Line'!$W$2:$W$3001,0))</f>
        <v/>
      </c>
      <c r="M206" s="7">
        <f>IF($U206="","",L206*K206)</f>
        <v/>
      </c>
      <c r="N206">
        <f>IF($U206="","",Settings!$C$6)</f>
        <v/>
      </c>
      <c r="O206" s="7">
        <f>IF($U206="","",SUMIFS('Per Line'!$N$2:$N$3001,'Per Line'!$A$2:$A$3001,$A206,'Per Line'!$W$2:$W$3001,1))</f>
        <v/>
      </c>
      <c r="P206" s="7">
        <f>IF($U206="","",O206*N206)</f>
        <v/>
      </c>
      <c r="Q206" s="7">
        <f>IF($U206="","",P206+M206)</f>
        <v/>
      </c>
      <c r="R206" s="7">
        <f>IF($U206="","",S206-Q206)</f>
        <v/>
      </c>
      <c r="S206" s="7">
        <f>IF($U206="","",L206+O206)</f>
        <v/>
      </c>
      <c r="T206" s="7">
        <f>IF($U206="","",S206-Q206-G206)</f>
        <v/>
      </c>
      <c r="U206" s="13">
        <f>IF(ROWS($U$2:$U206)&lt;=MAX('Per Line'!$V$2:$V$3001),MATCH(ROWS($U$2:$U206),'Per Line'!$V$2:$V$3001,0),"")</f>
        <v/>
      </c>
    </row>
    <row r="207">
      <c r="A207">
        <f>IF($U207="","",INDEX('Per Line'!$A$2:$A$3001,$U207)&amp;"")</f>
        <v/>
      </c>
      <c r="B207" s="12" t="n"/>
      <c r="C207">
        <f>IF($U207="","",INDEX('Per Line'!$B$2:$B$3001,$U207)&amp;"")</f>
        <v/>
      </c>
      <c r="D207">
        <f>IF($U207="","",INDEX('Per Line'!$C$2:$C$3001,$U207)&amp;"")</f>
        <v/>
      </c>
      <c r="E207">
        <f>IF($U207="","",INDEX('Per Line'!$D$2:$D$3001,$U207)&amp;"")</f>
        <v/>
      </c>
      <c r="F207">
        <f>IF($U207="","",INDEX('Per Line'!$E$2:$E$3001,$U207))</f>
        <v/>
      </c>
      <c r="G207" s="7">
        <f>IF($U207="","",F207*S207/100)</f>
        <v/>
      </c>
      <c r="H207">
        <f>IF($U207="","",INDEX('Per Line'!$O$2:$O$3001,$U207)&amp;"")</f>
        <v/>
      </c>
      <c r="I207" s="11">
        <f>IF($U207="","",INDEX('Per Line'!$Q$2:$Q$3001,$U207))</f>
        <v/>
      </c>
      <c r="J207">
        <f>IF($U207="","",INDEX('Per Line'!$R$2:$R$3001,$U207)&amp;"")</f>
        <v/>
      </c>
      <c r="K207">
        <f>IF($U207="","",Settings!$C$7)</f>
        <v/>
      </c>
      <c r="L207" s="7">
        <f>IF($U207="","",SUMIFS('Per Line'!$N$2:$N$3001,'Per Line'!$A$2:$A$3001,$A207,'Per Line'!$W$2:$W$3001,0))</f>
        <v/>
      </c>
      <c r="M207" s="7">
        <f>IF($U207="","",L207*K207)</f>
        <v/>
      </c>
      <c r="N207">
        <f>IF($U207="","",Settings!$C$6)</f>
        <v/>
      </c>
      <c r="O207" s="7">
        <f>IF($U207="","",SUMIFS('Per Line'!$N$2:$N$3001,'Per Line'!$A$2:$A$3001,$A207,'Per Line'!$W$2:$W$3001,1))</f>
        <v/>
      </c>
      <c r="P207" s="7">
        <f>IF($U207="","",O207*N207)</f>
        <v/>
      </c>
      <c r="Q207" s="7">
        <f>IF($U207="","",P207+M207)</f>
        <v/>
      </c>
      <c r="R207" s="7">
        <f>IF($U207="","",S207-Q207)</f>
        <v/>
      </c>
      <c r="S207" s="7">
        <f>IF($U207="","",L207+O207)</f>
        <v/>
      </c>
      <c r="T207" s="7">
        <f>IF($U207="","",S207-Q207-G207)</f>
        <v/>
      </c>
      <c r="U207" s="13">
        <f>IF(ROWS($U$2:$U207)&lt;=MAX('Per Line'!$V$2:$V$3001),MATCH(ROWS($U$2:$U207),'Per Line'!$V$2:$V$3001,0),"")</f>
        <v/>
      </c>
    </row>
    <row r="208">
      <c r="A208">
        <f>IF($U208="","",INDEX('Per Line'!$A$2:$A$3001,$U208)&amp;"")</f>
        <v/>
      </c>
      <c r="B208" s="12" t="n"/>
      <c r="C208">
        <f>IF($U208="","",INDEX('Per Line'!$B$2:$B$3001,$U208)&amp;"")</f>
        <v/>
      </c>
      <c r="D208">
        <f>IF($U208="","",INDEX('Per Line'!$C$2:$C$3001,$U208)&amp;"")</f>
        <v/>
      </c>
      <c r="E208">
        <f>IF($U208="","",INDEX('Per Line'!$D$2:$D$3001,$U208)&amp;"")</f>
        <v/>
      </c>
      <c r="F208">
        <f>IF($U208="","",INDEX('Per Line'!$E$2:$E$3001,$U208))</f>
        <v/>
      </c>
      <c r="G208" s="7">
        <f>IF($U208="","",F208*S208/100)</f>
        <v/>
      </c>
      <c r="H208">
        <f>IF($U208="","",INDEX('Per Line'!$O$2:$O$3001,$U208)&amp;"")</f>
        <v/>
      </c>
      <c r="I208" s="11">
        <f>IF($U208="","",INDEX('Per Line'!$Q$2:$Q$3001,$U208))</f>
        <v/>
      </c>
      <c r="J208">
        <f>IF($U208="","",INDEX('Per Line'!$R$2:$R$3001,$U208)&amp;"")</f>
        <v/>
      </c>
      <c r="K208">
        <f>IF($U208="","",Settings!$C$7)</f>
        <v/>
      </c>
      <c r="L208" s="7">
        <f>IF($U208="","",SUMIFS('Per Line'!$N$2:$N$3001,'Per Line'!$A$2:$A$3001,$A208,'Per Line'!$W$2:$W$3001,0))</f>
        <v/>
      </c>
      <c r="M208" s="7">
        <f>IF($U208="","",L208*K208)</f>
        <v/>
      </c>
      <c r="N208">
        <f>IF($U208="","",Settings!$C$6)</f>
        <v/>
      </c>
      <c r="O208" s="7">
        <f>IF($U208="","",SUMIFS('Per Line'!$N$2:$N$3001,'Per Line'!$A$2:$A$3001,$A208,'Per Line'!$W$2:$W$3001,1))</f>
        <v/>
      </c>
      <c r="P208" s="7">
        <f>IF($U208="","",O208*N208)</f>
        <v/>
      </c>
      <c r="Q208" s="7">
        <f>IF($U208="","",P208+M208)</f>
        <v/>
      </c>
      <c r="R208" s="7">
        <f>IF($U208="","",S208-Q208)</f>
        <v/>
      </c>
      <c r="S208" s="7">
        <f>IF($U208="","",L208+O208)</f>
        <v/>
      </c>
      <c r="T208" s="7">
        <f>IF($U208="","",S208-Q208-G208)</f>
        <v/>
      </c>
      <c r="U208" s="13">
        <f>IF(ROWS($U$2:$U208)&lt;=MAX('Per Line'!$V$2:$V$3001),MATCH(ROWS($U$2:$U208),'Per Line'!$V$2:$V$3001,0),"")</f>
        <v/>
      </c>
    </row>
    <row r="209">
      <c r="A209">
        <f>IF($U209="","",INDEX('Per Line'!$A$2:$A$3001,$U209)&amp;"")</f>
        <v/>
      </c>
      <c r="B209" s="12" t="n"/>
      <c r="C209">
        <f>IF($U209="","",INDEX('Per Line'!$B$2:$B$3001,$U209)&amp;"")</f>
        <v/>
      </c>
      <c r="D209">
        <f>IF($U209="","",INDEX('Per Line'!$C$2:$C$3001,$U209)&amp;"")</f>
        <v/>
      </c>
      <c r="E209">
        <f>IF($U209="","",INDEX('Per Line'!$D$2:$D$3001,$U209)&amp;"")</f>
        <v/>
      </c>
      <c r="F209">
        <f>IF($U209="","",INDEX('Per Line'!$E$2:$E$3001,$U209))</f>
        <v/>
      </c>
      <c r="G209" s="7">
        <f>IF($U209="","",F209*S209/100)</f>
        <v/>
      </c>
      <c r="H209">
        <f>IF($U209="","",INDEX('Per Line'!$O$2:$O$3001,$U209)&amp;"")</f>
        <v/>
      </c>
      <c r="I209" s="11">
        <f>IF($U209="","",INDEX('Per Line'!$Q$2:$Q$3001,$U209))</f>
        <v/>
      </c>
      <c r="J209">
        <f>IF($U209="","",INDEX('Per Line'!$R$2:$R$3001,$U209)&amp;"")</f>
        <v/>
      </c>
      <c r="K209">
        <f>IF($U209="","",Settings!$C$7)</f>
        <v/>
      </c>
      <c r="L209" s="7">
        <f>IF($U209="","",SUMIFS('Per Line'!$N$2:$N$3001,'Per Line'!$A$2:$A$3001,$A209,'Per Line'!$W$2:$W$3001,0))</f>
        <v/>
      </c>
      <c r="M209" s="7">
        <f>IF($U209="","",L209*K209)</f>
        <v/>
      </c>
      <c r="N209">
        <f>IF($U209="","",Settings!$C$6)</f>
        <v/>
      </c>
      <c r="O209" s="7">
        <f>IF($U209="","",SUMIFS('Per Line'!$N$2:$N$3001,'Per Line'!$A$2:$A$3001,$A209,'Per Line'!$W$2:$W$3001,1))</f>
        <v/>
      </c>
      <c r="P209" s="7">
        <f>IF($U209="","",O209*N209)</f>
        <v/>
      </c>
      <c r="Q209" s="7">
        <f>IF($U209="","",P209+M209)</f>
        <v/>
      </c>
      <c r="R209" s="7">
        <f>IF($U209="","",S209-Q209)</f>
        <v/>
      </c>
      <c r="S209" s="7">
        <f>IF($U209="","",L209+O209)</f>
        <v/>
      </c>
      <c r="T209" s="7">
        <f>IF($U209="","",S209-Q209-G209)</f>
        <v/>
      </c>
      <c r="U209" s="13">
        <f>IF(ROWS($U$2:$U209)&lt;=MAX('Per Line'!$V$2:$V$3001),MATCH(ROWS($U$2:$U209),'Per Line'!$V$2:$V$3001,0),"")</f>
        <v/>
      </c>
    </row>
    <row r="210">
      <c r="A210">
        <f>IF($U210="","",INDEX('Per Line'!$A$2:$A$3001,$U210)&amp;"")</f>
        <v/>
      </c>
      <c r="B210" s="12" t="n"/>
      <c r="C210">
        <f>IF($U210="","",INDEX('Per Line'!$B$2:$B$3001,$U210)&amp;"")</f>
        <v/>
      </c>
      <c r="D210">
        <f>IF($U210="","",INDEX('Per Line'!$C$2:$C$3001,$U210)&amp;"")</f>
        <v/>
      </c>
      <c r="E210">
        <f>IF($U210="","",INDEX('Per Line'!$D$2:$D$3001,$U210)&amp;"")</f>
        <v/>
      </c>
      <c r="F210">
        <f>IF($U210="","",INDEX('Per Line'!$E$2:$E$3001,$U210))</f>
        <v/>
      </c>
      <c r="G210" s="7">
        <f>IF($U210="","",F210*S210/100)</f>
        <v/>
      </c>
      <c r="H210">
        <f>IF($U210="","",INDEX('Per Line'!$O$2:$O$3001,$U210)&amp;"")</f>
        <v/>
      </c>
      <c r="I210" s="11">
        <f>IF($U210="","",INDEX('Per Line'!$Q$2:$Q$3001,$U210))</f>
        <v/>
      </c>
      <c r="J210">
        <f>IF($U210="","",INDEX('Per Line'!$R$2:$R$3001,$U210)&amp;"")</f>
        <v/>
      </c>
      <c r="K210">
        <f>IF($U210="","",Settings!$C$7)</f>
        <v/>
      </c>
      <c r="L210" s="7">
        <f>IF($U210="","",SUMIFS('Per Line'!$N$2:$N$3001,'Per Line'!$A$2:$A$3001,$A210,'Per Line'!$W$2:$W$3001,0))</f>
        <v/>
      </c>
      <c r="M210" s="7">
        <f>IF($U210="","",L210*K210)</f>
        <v/>
      </c>
      <c r="N210">
        <f>IF($U210="","",Settings!$C$6)</f>
        <v/>
      </c>
      <c r="O210" s="7">
        <f>IF($U210="","",SUMIFS('Per Line'!$N$2:$N$3001,'Per Line'!$A$2:$A$3001,$A210,'Per Line'!$W$2:$W$3001,1))</f>
        <v/>
      </c>
      <c r="P210" s="7">
        <f>IF($U210="","",O210*N210)</f>
        <v/>
      </c>
      <c r="Q210" s="7">
        <f>IF($U210="","",P210+M210)</f>
        <v/>
      </c>
      <c r="R210" s="7">
        <f>IF($U210="","",S210-Q210)</f>
        <v/>
      </c>
      <c r="S210" s="7">
        <f>IF($U210="","",L210+O210)</f>
        <v/>
      </c>
      <c r="T210" s="7">
        <f>IF($U210="","",S210-Q210-G210)</f>
        <v/>
      </c>
      <c r="U210" s="13">
        <f>IF(ROWS($U$2:$U210)&lt;=MAX('Per Line'!$V$2:$V$3001),MATCH(ROWS($U$2:$U210),'Per Line'!$V$2:$V$3001,0),"")</f>
        <v/>
      </c>
    </row>
    <row r="211">
      <c r="A211">
        <f>IF($U211="","",INDEX('Per Line'!$A$2:$A$3001,$U211)&amp;"")</f>
        <v/>
      </c>
      <c r="B211" s="12" t="n"/>
      <c r="C211">
        <f>IF($U211="","",INDEX('Per Line'!$B$2:$B$3001,$U211)&amp;"")</f>
        <v/>
      </c>
      <c r="D211">
        <f>IF($U211="","",INDEX('Per Line'!$C$2:$C$3001,$U211)&amp;"")</f>
        <v/>
      </c>
      <c r="E211">
        <f>IF($U211="","",INDEX('Per Line'!$D$2:$D$3001,$U211)&amp;"")</f>
        <v/>
      </c>
      <c r="F211">
        <f>IF($U211="","",INDEX('Per Line'!$E$2:$E$3001,$U211))</f>
        <v/>
      </c>
      <c r="G211" s="7">
        <f>IF($U211="","",F211*S211/100)</f>
        <v/>
      </c>
      <c r="H211">
        <f>IF($U211="","",INDEX('Per Line'!$O$2:$O$3001,$U211)&amp;"")</f>
        <v/>
      </c>
      <c r="I211" s="11">
        <f>IF($U211="","",INDEX('Per Line'!$Q$2:$Q$3001,$U211))</f>
        <v/>
      </c>
      <c r="J211">
        <f>IF($U211="","",INDEX('Per Line'!$R$2:$R$3001,$U211)&amp;"")</f>
        <v/>
      </c>
      <c r="K211">
        <f>IF($U211="","",Settings!$C$7)</f>
        <v/>
      </c>
      <c r="L211" s="7">
        <f>IF($U211="","",SUMIFS('Per Line'!$N$2:$N$3001,'Per Line'!$A$2:$A$3001,$A211,'Per Line'!$W$2:$W$3001,0))</f>
        <v/>
      </c>
      <c r="M211" s="7">
        <f>IF($U211="","",L211*K211)</f>
        <v/>
      </c>
      <c r="N211">
        <f>IF($U211="","",Settings!$C$6)</f>
        <v/>
      </c>
      <c r="O211" s="7">
        <f>IF($U211="","",SUMIFS('Per Line'!$N$2:$N$3001,'Per Line'!$A$2:$A$3001,$A211,'Per Line'!$W$2:$W$3001,1))</f>
        <v/>
      </c>
      <c r="P211" s="7">
        <f>IF($U211="","",O211*N211)</f>
        <v/>
      </c>
      <c r="Q211" s="7">
        <f>IF($U211="","",P211+M211)</f>
        <v/>
      </c>
      <c r="R211" s="7">
        <f>IF($U211="","",S211-Q211)</f>
        <v/>
      </c>
      <c r="S211" s="7">
        <f>IF($U211="","",L211+O211)</f>
        <v/>
      </c>
      <c r="T211" s="7">
        <f>IF($U211="","",S211-Q211-G211)</f>
        <v/>
      </c>
      <c r="U211" s="13">
        <f>IF(ROWS($U$2:$U211)&lt;=MAX('Per Line'!$V$2:$V$3001),MATCH(ROWS($U$2:$U211),'Per Line'!$V$2:$V$3001,0),"")</f>
        <v/>
      </c>
    </row>
    <row r="212">
      <c r="A212">
        <f>IF($U212="","",INDEX('Per Line'!$A$2:$A$3001,$U212)&amp;"")</f>
        <v/>
      </c>
      <c r="B212" s="12" t="n"/>
      <c r="C212">
        <f>IF($U212="","",INDEX('Per Line'!$B$2:$B$3001,$U212)&amp;"")</f>
        <v/>
      </c>
      <c r="D212">
        <f>IF($U212="","",INDEX('Per Line'!$C$2:$C$3001,$U212)&amp;"")</f>
        <v/>
      </c>
      <c r="E212">
        <f>IF($U212="","",INDEX('Per Line'!$D$2:$D$3001,$U212)&amp;"")</f>
        <v/>
      </c>
      <c r="F212">
        <f>IF($U212="","",INDEX('Per Line'!$E$2:$E$3001,$U212))</f>
        <v/>
      </c>
      <c r="G212" s="7">
        <f>IF($U212="","",F212*S212/100)</f>
        <v/>
      </c>
      <c r="H212">
        <f>IF($U212="","",INDEX('Per Line'!$O$2:$O$3001,$U212)&amp;"")</f>
        <v/>
      </c>
      <c r="I212" s="11">
        <f>IF($U212="","",INDEX('Per Line'!$Q$2:$Q$3001,$U212))</f>
        <v/>
      </c>
      <c r="J212">
        <f>IF($U212="","",INDEX('Per Line'!$R$2:$R$3001,$U212)&amp;"")</f>
        <v/>
      </c>
      <c r="K212">
        <f>IF($U212="","",Settings!$C$7)</f>
        <v/>
      </c>
      <c r="L212" s="7">
        <f>IF($U212="","",SUMIFS('Per Line'!$N$2:$N$3001,'Per Line'!$A$2:$A$3001,$A212,'Per Line'!$W$2:$W$3001,0))</f>
        <v/>
      </c>
      <c r="M212" s="7">
        <f>IF($U212="","",L212*K212)</f>
        <v/>
      </c>
      <c r="N212">
        <f>IF($U212="","",Settings!$C$6)</f>
        <v/>
      </c>
      <c r="O212" s="7">
        <f>IF($U212="","",SUMIFS('Per Line'!$N$2:$N$3001,'Per Line'!$A$2:$A$3001,$A212,'Per Line'!$W$2:$W$3001,1))</f>
        <v/>
      </c>
      <c r="P212" s="7">
        <f>IF($U212="","",O212*N212)</f>
        <v/>
      </c>
      <c r="Q212" s="7">
        <f>IF($U212="","",P212+M212)</f>
        <v/>
      </c>
      <c r="R212" s="7">
        <f>IF($U212="","",S212-Q212)</f>
        <v/>
      </c>
      <c r="S212" s="7">
        <f>IF($U212="","",L212+O212)</f>
        <v/>
      </c>
      <c r="T212" s="7">
        <f>IF($U212="","",S212-Q212-G212)</f>
        <v/>
      </c>
      <c r="U212" s="13">
        <f>IF(ROWS($U$2:$U212)&lt;=MAX('Per Line'!$V$2:$V$3001),MATCH(ROWS($U$2:$U212),'Per Line'!$V$2:$V$3001,0),"")</f>
        <v/>
      </c>
    </row>
    <row r="213">
      <c r="A213">
        <f>IF($U213="","",INDEX('Per Line'!$A$2:$A$3001,$U213)&amp;"")</f>
        <v/>
      </c>
      <c r="B213" s="12" t="n"/>
      <c r="C213">
        <f>IF($U213="","",INDEX('Per Line'!$B$2:$B$3001,$U213)&amp;"")</f>
        <v/>
      </c>
      <c r="D213">
        <f>IF($U213="","",INDEX('Per Line'!$C$2:$C$3001,$U213)&amp;"")</f>
        <v/>
      </c>
      <c r="E213">
        <f>IF($U213="","",INDEX('Per Line'!$D$2:$D$3001,$U213)&amp;"")</f>
        <v/>
      </c>
      <c r="F213">
        <f>IF($U213="","",INDEX('Per Line'!$E$2:$E$3001,$U213))</f>
        <v/>
      </c>
      <c r="G213" s="7">
        <f>IF($U213="","",F213*S213/100)</f>
        <v/>
      </c>
      <c r="H213">
        <f>IF($U213="","",INDEX('Per Line'!$O$2:$O$3001,$U213)&amp;"")</f>
        <v/>
      </c>
      <c r="I213" s="11">
        <f>IF($U213="","",INDEX('Per Line'!$Q$2:$Q$3001,$U213))</f>
        <v/>
      </c>
      <c r="J213">
        <f>IF($U213="","",INDEX('Per Line'!$R$2:$R$3001,$U213)&amp;"")</f>
        <v/>
      </c>
      <c r="K213">
        <f>IF($U213="","",Settings!$C$7)</f>
        <v/>
      </c>
      <c r="L213" s="7">
        <f>IF($U213="","",SUMIFS('Per Line'!$N$2:$N$3001,'Per Line'!$A$2:$A$3001,$A213,'Per Line'!$W$2:$W$3001,0))</f>
        <v/>
      </c>
      <c r="M213" s="7">
        <f>IF($U213="","",L213*K213)</f>
        <v/>
      </c>
      <c r="N213">
        <f>IF($U213="","",Settings!$C$6)</f>
        <v/>
      </c>
      <c r="O213" s="7">
        <f>IF($U213="","",SUMIFS('Per Line'!$N$2:$N$3001,'Per Line'!$A$2:$A$3001,$A213,'Per Line'!$W$2:$W$3001,1))</f>
        <v/>
      </c>
      <c r="P213" s="7">
        <f>IF($U213="","",O213*N213)</f>
        <v/>
      </c>
      <c r="Q213" s="7">
        <f>IF($U213="","",P213+M213)</f>
        <v/>
      </c>
      <c r="R213" s="7">
        <f>IF($U213="","",S213-Q213)</f>
        <v/>
      </c>
      <c r="S213" s="7">
        <f>IF($U213="","",L213+O213)</f>
        <v/>
      </c>
      <c r="T213" s="7">
        <f>IF($U213="","",S213-Q213-G213)</f>
        <v/>
      </c>
      <c r="U213" s="13">
        <f>IF(ROWS($U$2:$U213)&lt;=MAX('Per Line'!$V$2:$V$3001),MATCH(ROWS($U$2:$U213),'Per Line'!$V$2:$V$3001,0),"")</f>
        <v/>
      </c>
    </row>
    <row r="214">
      <c r="A214">
        <f>IF($U214="","",INDEX('Per Line'!$A$2:$A$3001,$U214)&amp;"")</f>
        <v/>
      </c>
      <c r="B214" s="12" t="n"/>
      <c r="C214">
        <f>IF($U214="","",INDEX('Per Line'!$B$2:$B$3001,$U214)&amp;"")</f>
        <v/>
      </c>
      <c r="D214">
        <f>IF($U214="","",INDEX('Per Line'!$C$2:$C$3001,$U214)&amp;"")</f>
        <v/>
      </c>
      <c r="E214">
        <f>IF($U214="","",INDEX('Per Line'!$D$2:$D$3001,$U214)&amp;"")</f>
        <v/>
      </c>
      <c r="F214">
        <f>IF($U214="","",INDEX('Per Line'!$E$2:$E$3001,$U214))</f>
        <v/>
      </c>
      <c r="G214" s="7">
        <f>IF($U214="","",F214*S214/100)</f>
        <v/>
      </c>
      <c r="H214">
        <f>IF($U214="","",INDEX('Per Line'!$O$2:$O$3001,$U214)&amp;"")</f>
        <v/>
      </c>
      <c r="I214" s="11">
        <f>IF($U214="","",INDEX('Per Line'!$Q$2:$Q$3001,$U214))</f>
        <v/>
      </c>
      <c r="J214">
        <f>IF($U214="","",INDEX('Per Line'!$R$2:$R$3001,$U214)&amp;"")</f>
        <v/>
      </c>
      <c r="K214">
        <f>IF($U214="","",Settings!$C$7)</f>
        <v/>
      </c>
      <c r="L214" s="7">
        <f>IF($U214="","",SUMIFS('Per Line'!$N$2:$N$3001,'Per Line'!$A$2:$A$3001,$A214,'Per Line'!$W$2:$W$3001,0))</f>
        <v/>
      </c>
      <c r="M214" s="7">
        <f>IF($U214="","",L214*K214)</f>
        <v/>
      </c>
      <c r="N214">
        <f>IF($U214="","",Settings!$C$6)</f>
        <v/>
      </c>
      <c r="O214" s="7">
        <f>IF($U214="","",SUMIFS('Per Line'!$N$2:$N$3001,'Per Line'!$A$2:$A$3001,$A214,'Per Line'!$W$2:$W$3001,1))</f>
        <v/>
      </c>
      <c r="P214" s="7">
        <f>IF($U214="","",O214*N214)</f>
        <v/>
      </c>
      <c r="Q214" s="7">
        <f>IF($U214="","",P214+M214)</f>
        <v/>
      </c>
      <c r="R214" s="7">
        <f>IF($U214="","",S214-Q214)</f>
        <v/>
      </c>
      <c r="S214" s="7">
        <f>IF($U214="","",L214+O214)</f>
        <v/>
      </c>
      <c r="T214" s="7">
        <f>IF($U214="","",S214-Q214-G214)</f>
        <v/>
      </c>
      <c r="U214" s="13">
        <f>IF(ROWS($U$2:$U214)&lt;=MAX('Per Line'!$V$2:$V$3001),MATCH(ROWS($U$2:$U214),'Per Line'!$V$2:$V$3001,0),"")</f>
        <v/>
      </c>
    </row>
    <row r="215">
      <c r="A215">
        <f>IF($U215="","",INDEX('Per Line'!$A$2:$A$3001,$U215)&amp;"")</f>
        <v/>
      </c>
      <c r="B215" s="12" t="n"/>
      <c r="C215">
        <f>IF($U215="","",INDEX('Per Line'!$B$2:$B$3001,$U215)&amp;"")</f>
        <v/>
      </c>
      <c r="D215">
        <f>IF($U215="","",INDEX('Per Line'!$C$2:$C$3001,$U215)&amp;"")</f>
        <v/>
      </c>
      <c r="E215">
        <f>IF($U215="","",INDEX('Per Line'!$D$2:$D$3001,$U215)&amp;"")</f>
        <v/>
      </c>
      <c r="F215">
        <f>IF($U215="","",INDEX('Per Line'!$E$2:$E$3001,$U215))</f>
        <v/>
      </c>
      <c r="G215" s="7">
        <f>IF($U215="","",F215*S215/100)</f>
        <v/>
      </c>
      <c r="H215">
        <f>IF($U215="","",INDEX('Per Line'!$O$2:$O$3001,$U215)&amp;"")</f>
        <v/>
      </c>
      <c r="I215" s="11">
        <f>IF($U215="","",INDEX('Per Line'!$Q$2:$Q$3001,$U215))</f>
        <v/>
      </c>
      <c r="J215">
        <f>IF($U215="","",INDEX('Per Line'!$R$2:$R$3001,$U215)&amp;"")</f>
        <v/>
      </c>
      <c r="K215">
        <f>IF($U215="","",Settings!$C$7)</f>
        <v/>
      </c>
      <c r="L215" s="7">
        <f>IF($U215="","",SUMIFS('Per Line'!$N$2:$N$3001,'Per Line'!$A$2:$A$3001,$A215,'Per Line'!$W$2:$W$3001,0))</f>
        <v/>
      </c>
      <c r="M215" s="7">
        <f>IF($U215="","",L215*K215)</f>
        <v/>
      </c>
      <c r="N215">
        <f>IF($U215="","",Settings!$C$6)</f>
        <v/>
      </c>
      <c r="O215" s="7">
        <f>IF($U215="","",SUMIFS('Per Line'!$N$2:$N$3001,'Per Line'!$A$2:$A$3001,$A215,'Per Line'!$W$2:$W$3001,1))</f>
        <v/>
      </c>
      <c r="P215" s="7">
        <f>IF($U215="","",O215*N215)</f>
        <v/>
      </c>
      <c r="Q215" s="7">
        <f>IF($U215="","",P215+M215)</f>
        <v/>
      </c>
      <c r="R215" s="7">
        <f>IF($U215="","",S215-Q215)</f>
        <v/>
      </c>
      <c r="S215" s="7">
        <f>IF($U215="","",L215+O215)</f>
        <v/>
      </c>
      <c r="T215" s="7">
        <f>IF($U215="","",S215-Q215-G215)</f>
        <v/>
      </c>
      <c r="U215" s="13">
        <f>IF(ROWS($U$2:$U215)&lt;=MAX('Per Line'!$V$2:$V$3001),MATCH(ROWS($U$2:$U215),'Per Line'!$V$2:$V$3001,0),"")</f>
        <v/>
      </c>
    </row>
    <row r="216">
      <c r="A216">
        <f>IF($U216="","",INDEX('Per Line'!$A$2:$A$3001,$U216)&amp;"")</f>
        <v/>
      </c>
      <c r="B216" s="12" t="n"/>
      <c r="C216">
        <f>IF($U216="","",INDEX('Per Line'!$B$2:$B$3001,$U216)&amp;"")</f>
        <v/>
      </c>
      <c r="D216">
        <f>IF($U216="","",INDEX('Per Line'!$C$2:$C$3001,$U216)&amp;"")</f>
        <v/>
      </c>
      <c r="E216">
        <f>IF($U216="","",INDEX('Per Line'!$D$2:$D$3001,$U216)&amp;"")</f>
        <v/>
      </c>
      <c r="F216">
        <f>IF($U216="","",INDEX('Per Line'!$E$2:$E$3001,$U216))</f>
        <v/>
      </c>
      <c r="G216" s="7">
        <f>IF($U216="","",F216*S216/100)</f>
        <v/>
      </c>
      <c r="H216">
        <f>IF($U216="","",INDEX('Per Line'!$O$2:$O$3001,$U216)&amp;"")</f>
        <v/>
      </c>
      <c r="I216" s="11">
        <f>IF($U216="","",INDEX('Per Line'!$Q$2:$Q$3001,$U216))</f>
        <v/>
      </c>
      <c r="J216">
        <f>IF($U216="","",INDEX('Per Line'!$R$2:$R$3001,$U216)&amp;"")</f>
        <v/>
      </c>
      <c r="K216">
        <f>IF($U216="","",Settings!$C$7)</f>
        <v/>
      </c>
      <c r="L216" s="7">
        <f>IF($U216="","",SUMIFS('Per Line'!$N$2:$N$3001,'Per Line'!$A$2:$A$3001,$A216,'Per Line'!$W$2:$W$3001,0))</f>
        <v/>
      </c>
      <c r="M216" s="7">
        <f>IF($U216="","",L216*K216)</f>
        <v/>
      </c>
      <c r="N216">
        <f>IF($U216="","",Settings!$C$6)</f>
        <v/>
      </c>
      <c r="O216" s="7">
        <f>IF($U216="","",SUMIFS('Per Line'!$N$2:$N$3001,'Per Line'!$A$2:$A$3001,$A216,'Per Line'!$W$2:$W$3001,1))</f>
        <v/>
      </c>
      <c r="P216" s="7">
        <f>IF($U216="","",O216*N216)</f>
        <v/>
      </c>
      <c r="Q216" s="7">
        <f>IF($U216="","",P216+M216)</f>
        <v/>
      </c>
      <c r="R216" s="7">
        <f>IF($U216="","",S216-Q216)</f>
        <v/>
      </c>
      <c r="S216" s="7">
        <f>IF($U216="","",L216+O216)</f>
        <v/>
      </c>
      <c r="T216" s="7">
        <f>IF($U216="","",S216-Q216-G216)</f>
        <v/>
      </c>
      <c r="U216" s="13">
        <f>IF(ROWS($U$2:$U216)&lt;=MAX('Per Line'!$V$2:$V$3001),MATCH(ROWS($U$2:$U216),'Per Line'!$V$2:$V$3001,0),"")</f>
        <v/>
      </c>
    </row>
    <row r="217">
      <c r="A217">
        <f>IF($U217="","",INDEX('Per Line'!$A$2:$A$3001,$U217)&amp;"")</f>
        <v/>
      </c>
      <c r="B217" s="12" t="n"/>
      <c r="C217">
        <f>IF($U217="","",INDEX('Per Line'!$B$2:$B$3001,$U217)&amp;"")</f>
        <v/>
      </c>
      <c r="D217">
        <f>IF($U217="","",INDEX('Per Line'!$C$2:$C$3001,$U217)&amp;"")</f>
        <v/>
      </c>
      <c r="E217">
        <f>IF($U217="","",INDEX('Per Line'!$D$2:$D$3001,$U217)&amp;"")</f>
        <v/>
      </c>
      <c r="F217">
        <f>IF($U217="","",INDEX('Per Line'!$E$2:$E$3001,$U217))</f>
        <v/>
      </c>
      <c r="G217" s="7">
        <f>IF($U217="","",F217*S217/100)</f>
        <v/>
      </c>
      <c r="H217">
        <f>IF($U217="","",INDEX('Per Line'!$O$2:$O$3001,$U217)&amp;"")</f>
        <v/>
      </c>
      <c r="I217" s="11">
        <f>IF($U217="","",INDEX('Per Line'!$Q$2:$Q$3001,$U217))</f>
        <v/>
      </c>
      <c r="J217">
        <f>IF($U217="","",INDEX('Per Line'!$R$2:$R$3001,$U217)&amp;"")</f>
        <v/>
      </c>
      <c r="K217">
        <f>IF($U217="","",Settings!$C$7)</f>
        <v/>
      </c>
      <c r="L217" s="7">
        <f>IF($U217="","",SUMIFS('Per Line'!$N$2:$N$3001,'Per Line'!$A$2:$A$3001,$A217,'Per Line'!$W$2:$W$3001,0))</f>
        <v/>
      </c>
      <c r="M217" s="7">
        <f>IF($U217="","",L217*K217)</f>
        <v/>
      </c>
      <c r="N217">
        <f>IF($U217="","",Settings!$C$6)</f>
        <v/>
      </c>
      <c r="O217" s="7">
        <f>IF($U217="","",SUMIFS('Per Line'!$N$2:$N$3001,'Per Line'!$A$2:$A$3001,$A217,'Per Line'!$W$2:$W$3001,1))</f>
        <v/>
      </c>
      <c r="P217" s="7">
        <f>IF($U217="","",O217*N217)</f>
        <v/>
      </c>
      <c r="Q217" s="7">
        <f>IF($U217="","",P217+M217)</f>
        <v/>
      </c>
      <c r="R217" s="7">
        <f>IF($U217="","",S217-Q217)</f>
        <v/>
      </c>
      <c r="S217" s="7">
        <f>IF($U217="","",L217+O217)</f>
        <v/>
      </c>
      <c r="T217" s="7">
        <f>IF($U217="","",S217-Q217-G217)</f>
        <v/>
      </c>
      <c r="U217" s="13">
        <f>IF(ROWS($U$2:$U217)&lt;=MAX('Per Line'!$V$2:$V$3001),MATCH(ROWS($U$2:$U217),'Per Line'!$V$2:$V$3001,0),"")</f>
        <v/>
      </c>
    </row>
    <row r="218">
      <c r="A218">
        <f>IF($U218="","",INDEX('Per Line'!$A$2:$A$3001,$U218)&amp;"")</f>
        <v/>
      </c>
      <c r="B218" s="12" t="n"/>
      <c r="C218">
        <f>IF($U218="","",INDEX('Per Line'!$B$2:$B$3001,$U218)&amp;"")</f>
        <v/>
      </c>
      <c r="D218">
        <f>IF($U218="","",INDEX('Per Line'!$C$2:$C$3001,$U218)&amp;"")</f>
        <v/>
      </c>
      <c r="E218">
        <f>IF($U218="","",INDEX('Per Line'!$D$2:$D$3001,$U218)&amp;"")</f>
        <v/>
      </c>
      <c r="F218">
        <f>IF($U218="","",INDEX('Per Line'!$E$2:$E$3001,$U218))</f>
        <v/>
      </c>
      <c r="G218" s="7">
        <f>IF($U218="","",F218*S218/100)</f>
        <v/>
      </c>
      <c r="H218">
        <f>IF($U218="","",INDEX('Per Line'!$O$2:$O$3001,$U218)&amp;"")</f>
        <v/>
      </c>
      <c r="I218" s="11">
        <f>IF($U218="","",INDEX('Per Line'!$Q$2:$Q$3001,$U218))</f>
        <v/>
      </c>
      <c r="J218">
        <f>IF($U218="","",INDEX('Per Line'!$R$2:$R$3001,$U218)&amp;"")</f>
        <v/>
      </c>
      <c r="K218">
        <f>IF($U218="","",Settings!$C$7)</f>
        <v/>
      </c>
      <c r="L218" s="7">
        <f>IF($U218="","",SUMIFS('Per Line'!$N$2:$N$3001,'Per Line'!$A$2:$A$3001,$A218,'Per Line'!$W$2:$W$3001,0))</f>
        <v/>
      </c>
      <c r="M218" s="7">
        <f>IF($U218="","",L218*K218)</f>
        <v/>
      </c>
      <c r="N218">
        <f>IF($U218="","",Settings!$C$6)</f>
        <v/>
      </c>
      <c r="O218" s="7">
        <f>IF($U218="","",SUMIFS('Per Line'!$N$2:$N$3001,'Per Line'!$A$2:$A$3001,$A218,'Per Line'!$W$2:$W$3001,1))</f>
        <v/>
      </c>
      <c r="P218" s="7">
        <f>IF($U218="","",O218*N218)</f>
        <v/>
      </c>
      <c r="Q218" s="7">
        <f>IF($U218="","",P218+M218)</f>
        <v/>
      </c>
      <c r="R218" s="7">
        <f>IF($U218="","",S218-Q218)</f>
        <v/>
      </c>
      <c r="S218" s="7">
        <f>IF($U218="","",L218+O218)</f>
        <v/>
      </c>
      <c r="T218" s="7">
        <f>IF($U218="","",S218-Q218-G218)</f>
        <v/>
      </c>
      <c r="U218" s="13">
        <f>IF(ROWS($U$2:$U218)&lt;=MAX('Per Line'!$V$2:$V$3001),MATCH(ROWS($U$2:$U218),'Per Line'!$V$2:$V$3001,0),"")</f>
        <v/>
      </c>
    </row>
    <row r="219">
      <c r="A219">
        <f>IF($U219="","",INDEX('Per Line'!$A$2:$A$3001,$U219)&amp;"")</f>
        <v/>
      </c>
      <c r="B219" s="12" t="n"/>
      <c r="C219">
        <f>IF($U219="","",INDEX('Per Line'!$B$2:$B$3001,$U219)&amp;"")</f>
        <v/>
      </c>
      <c r="D219">
        <f>IF($U219="","",INDEX('Per Line'!$C$2:$C$3001,$U219)&amp;"")</f>
        <v/>
      </c>
      <c r="E219">
        <f>IF($U219="","",INDEX('Per Line'!$D$2:$D$3001,$U219)&amp;"")</f>
        <v/>
      </c>
      <c r="F219">
        <f>IF($U219="","",INDEX('Per Line'!$E$2:$E$3001,$U219))</f>
        <v/>
      </c>
      <c r="G219" s="7">
        <f>IF($U219="","",F219*S219/100)</f>
        <v/>
      </c>
      <c r="H219">
        <f>IF($U219="","",INDEX('Per Line'!$O$2:$O$3001,$U219)&amp;"")</f>
        <v/>
      </c>
      <c r="I219" s="11">
        <f>IF($U219="","",INDEX('Per Line'!$Q$2:$Q$3001,$U219))</f>
        <v/>
      </c>
      <c r="J219">
        <f>IF($U219="","",INDEX('Per Line'!$R$2:$R$3001,$U219)&amp;"")</f>
        <v/>
      </c>
      <c r="K219">
        <f>IF($U219="","",Settings!$C$7)</f>
        <v/>
      </c>
      <c r="L219" s="7">
        <f>IF($U219="","",SUMIFS('Per Line'!$N$2:$N$3001,'Per Line'!$A$2:$A$3001,$A219,'Per Line'!$W$2:$W$3001,0))</f>
        <v/>
      </c>
      <c r="M219" s="7">
        <f>IF($U219="","",L219*K219)</f>
        <v/>
      </c>
      <c r="N219">
        <f>IF($U219="","",Settings!$C$6)</f>
        <v/>
      </c>
      <c r="O219" s="7">
        <f>IF($U219="","",SUMIFS('Per Line'!$N$2:$N$3001,'Per Line'!$A$2:$A$3001,$A219,'Per Line'!$W$2:$W$3001,1))</f>
        <v/>
      </c>
      <c r="P219" s="7">
        <f>IF($U219="","",O219*N219)</f>
        <v/>
      </c>
      <c r="Q219" s="7">
        <f>IF($U219="","",P219+M219)</f>
        <v/>
      </c>
      <c r="R219" s="7">
        <f>IF($U219="","",S219-Q219)</f>
        <v/>
      </c>
      <c r="S219" s="7">
        <f>IF($U219="","",L219+O219)</f>
        <v/>
      </c>
      <c r="T219" s="7">
        <f>IF($U219="","",S219-Q219-G219)</f>
        <v/>
      </c>
      <c r="U219" s="13">
        <f>IF(ROWS($U$2:$U219)&lt;=MAX('Per Line'!$V$2:$V$3001),MATCH(ROWS($U$2:$U219),'Per Line'!$V$2:$V$3001,0),"")</f>
        <v/>
      </c>
    </row>
    <row r="220">
      <c r="A220">
        <f>IF($U220="","",INDEX('Per Line'!$A$2:$A$3001,$U220)&amp;"")</f>
        <v/>
      </c>
      <c r="B220" s="12" t="n"/>
      <c r="C220">
        <f>IF($U220="","",INDEX('Per Line'!$B$2:$B$3001,$U220)&amp;"")</f>
        <v/>
      </c>
      <c r="D220">
        <f>IF($U220="","",INDEX('Per Line'!$C$2:$C$3001,$U220)&amp;"")</f>
        <v/>
      </c>
      <c r="E220">
        <f>IF($U220="","",INDEX('Per Line'!$D$2:$D$3001,$U220)&amp;"")</f>
        <v/>
      </c>
      <c r="F220">
        <f>IF($U220="","",INDEX('Per Line'!$E$2:$E$3001,$U220))</f>
        <v/>
      </c>
      <c r="G220" s="7">
        <f>IF($U220="","",F220*S220/100)</f>
        <v/>
      </c>
      <c r="H220">
        <f>IF($U220="","",INDEX('Per Line'!$O$2:$O$3001,$U220)&amp;"")</f>
        <v/>
      </c>
      <c r="I220" s="11">
        <f>IF($U220="","",INDEX('Per Line'!$Q$2:$Q$3001,$U220))</f>
        <v/>
      </c>
      <c r="J220">
        <f>IF($U220="","",INDEX('Per Line'!$R$2:$R$3001,$U220)&amp;"")</f>
        <v/>
      </c>
      <c r="K220">
        <f>IF($U220="","",Settings!$C$7)</f>
        <v/>
      </c>
      <c r="L220" s="7">
        <f>IF($U220="","",SUMIFS('Per Line'!$N$2:$N$3001,'Per Line'!$A$2:$A$3001,$A220,'Per Line'!$W$2:$W$3001,0))</f>
        <v/>
      </c>
      <c r="M220" s="7">
        <f>IF($U220="","",L220*K220)</f>
        <v/>
      </c>
      <c r="N220">
        <f>IF($U220="","",Settings!$C$6)</f>
        <v/>
      </c>
      <c r="O220" s="7">
        <f>IF($U220="","",SUMIFS('Per Line'!$N$2:$N$3001,'Per Line'!$A$2:$A$3001,$A220,'Per Line'!$W$2:$W$3001,1))</f>
        <v/>
      </c>
      <c r="P220" s="7">
        <f>IF($U220="","",O220*N220)</f>
        <v/>
      </c>
      <c r="Q220" s="7">
        <f>IF($U220="","",P220+M220)</f>
        <v/>
      </c>
      <c r="R220" s="7">
        <f>IF($U220="","",S220-Q220)</f>
        <v/>
      </c>
      <c r="S220" s="7">
        <f>IF($U220="","",L220+O220)</f>
        <v/>
      </c>
      <c r="T220" s="7">
        <f>IF($U220="","",S220-Q220-G220)</f>
        <v/>
      </c>
      <c r="U220" s="13">
        <f>IF(ROWS($U$2:$U220)&lt;=MAX('Per Line'!$V$2:$V$3001),MATCH(ROWS($U$2:$U220),'Per Line'!$V$2:$V$3001,0),"")</f>
        <v/>
      </c>
    </row>
    <row r="221">
      <c r="A221">
        <f>IF($U221="","",INDEX('Per Line'!$A$2:$A$3001,$U221)&amp;"")</f>
        <v/>
      </c>
      <c r="B221" s="12" t="n"/>
      <c r="C221">
        <f>IF($U221="","",INDEX('Per Line'!$B$2:$B$3001,$U221)&amp;"")</f>
        <v/>
      </c>
      <c r="D221">
        <f>IF($U221="","",INDEX('Per Line'!$C$2:$C$3001,$U221)&amp;"")</f>
        <v/>
      </c>
      <c r="E221">
        <f>IF($U221="","",INDEX('Per Line'!$D$2:$D$3001,$U221)&amp;"")</f>
        <v/>
      </c>
      <c r="F221">
        <f>IF($U221="","",INDEX('Per Line'!$E$2:$E$3001,$U221))</f>
        <v/>
      </c>
      <c r="G221" s="7">
        <f>IF($U221="","",F221*S221/100)</f>
        <v/>
      </c>
      <c r="H221">
        <f>IF($U221="","",INDEX('Per Line'!$O$2:$O$3001,$U221)&amp;"")</f>
        <v/>
      </c>
      <c r="I221" s="11">
        <f>IF($U221="","",INDEX('Per Line'!$Q$2:$Q$3001,$U221))</f>
        <v/>
      </c>
      <c r="J221">
        <f>IF($U221="","",INDEX('Per Line'!$R$2:$R$3001,$U221)&amp;"")</f>
        <v/>
      </c>
      <c r="K221">
        <f>IF($U221="","",Settings!$C$7)</f>
        <v/>
      </c>
      <c r="L221" s="7">
        <f>IF($U221="","",SUMIFS('Per Line'!$N$2:$N$3001,'Per Line'!$A$2:$A$3001,$A221,'Per Line'!$W$2:$W$3001,0))</f>
        <v/>
      </c>
      <c r="M221" s="7">
        <f>IF($U221="","",L221*K221)</f>
        <v/>
      </c>
      <c r="N221">
        <f>IF($U221="","",Settings!$C$6)</f>
        <v/>
      </c>
      <c r="O221" s="7">
        <f>IF($U221="","",SUMIFS('Per Line'!$N$2:$N$3001,'Per Line'!$A$2:$A$3001,$A221,'Per Line'!$W$2:$W$3001,1))</f>
        <v/>
      </c>
      <c r="P221" s="7">
        <f>IF($U221="","",O221*N221)</f>
        <v/>
      </c>
      <c r="Q221" s="7">
        <f>IF($U221="","",P221+M221)</f>
        <v/>
      </c>
      <c r="R221" s="7">
        <f>IF($U221="","",S221-Q221)</f>
        <v/>
      </c>
      <c r="S221" s="7">
        <f>IF($U221="","",L221+O221)</f>
        <v/>
      </c>
      <c r="T221" s="7">
        <f>IF($U221="","",S221-Q221-G221)</f>
        <v/>
      </c>
      <c r="U221" s="13">
        <f>IF(ROWS($U$2:$U221)&lt;=MAX('Per Line'!$V$2:$V$3001),MATCH(ROWS($U$2:$U221),'Per Line'!$V$2:$V$3001,0),"")</f>
        <v/>
      </c>
    </row>
    <row r="222">
      <c r="A222">
        <f>IF($U222="","",INDEX('Per Line'!$A$2:$A$3001,$U222)&amp;"")</f>
        <v/>
      </c>
      <c r="B222" s="12" t="n"/>
      <c r="C222">
        <f>IF($U222="","",INDEX('Per Line'!$B$2:$B$3001,$U222)&amp;"")</f>
        <v/>
      </c>
      <c r="D222">
        <f>IF($U222="","",INDEX('Per Line'!$C$2:$C$3001,$U222)&amp;"")</f>
        <v/>
      </c>
      <c r="E222">
        <f>IF($U222="","",INDEX('Per Line'!$D$2:$D$3001,$U222)&amp;"")</f>
        <v/>
      </c>
      <c r="F222">
        <f>IF($U222="","",INDEX('Per Line'!$E$2:$E$3001,$U222))</f>
        <v/>
      </c>
      <c r="G222" s="7">
        <f>IF($U222="","",F222*S222/100)</f>
        <v/>
      </c>
      <c r="H222">
        <f>IF($U222="","",INDEX('Per Line'!$O$2:$O$3001,$U222)&amp;"")</f>
        <v/>
      </c>
      <c r="I222" s="11">
        <f>IF($U222="","",INDEX('Per Line'!$Q$2:$Q$3001,$U222))</f>
        <v/>
      </c>
      <c r="J222">
        <f>IF($U222="","",INDEX('Per Line'!$R$2:$R$3001,$U222)&amp;"")</f>
        <v/>
      </c>
      <c r="K222">
        <f>IF($U222="","",Settings!$C$7)</f>
        <v/>
      </c>
      <c r="L222" s="7">
        <f>IF($U222="","",SUMIFS('Per Line'!$N$2:$N$3001,'Per Line'!$A$2:$A$3001,$A222,'Per Line'!$W$2:$W$3001,0))</f>
        <v/>
      </c>
      <c r="M222" s="7">
        <f>IF($U222="","",L222*K222)</f>
        <v/>
      </c>
      <c r="N222">
        <f>IF($U222="","",Settings!$C$6)</f>
        <v/>
      </c>
      <c r="O222" s="7">
        <f>IF($U222="","",SUMIFS('Per Line'!$N$2:$N$3001,'Per Line'!$A$2:$A$3001,$A222,'Per Line'!$W$2:$W$3001,1))</f>
        <v/>
      </c>
      <c r="P222" s="7">
        <f>IF($U222="","",O222*N222)</f>
        <v/>
      </c>
      <c r="Q222" s="7">
        <f>IF($U222="","",P222+M222)</f>
        <v/>
      </c>
      <c r="R222" s="7">
        <f>IF($U222="","",S222-Q222)</f>
        <v/>
      </c>
      <c r="S222" s="7">
        <f>IF($U222="","",L222+O222)</f>
        <v/>
      </c>
      <c r="T222" s="7">
        <f>IF($U222="","",S222-Q222-G222)</f>
        <v/>
      </c>
      <c r="U222" s="13">
        <f>IF(ROWS($U$2:$U222)&lt;=MAX('Per Line'!$V$2:$V$3001),MATCH(ROWS($U$2:$U222),'Per Line'!$V$2:$V$3001,0),"")</f>
        <v/>
      </c>
    </row>
    <row r="223">
      <c r="A223">
        <f>IF($U223="","",INDEX('Per Line'!$A$2:$A$3001,$U223)&amp;"")</f>
        <v/>
      </c>
      <c r="B223" s="12" t="n"/>
      <c r="C223">
        <f>IF($U223="","",INDEX('Per Line'!$B$2:$B$3001,$U223)&amp;"")</f>
        <v/>
      </c>
      <c r="D223">
        <f>IF($U223="","",INDEX('Per Line'!$C$2:$C$3001,$U223)&amp;"")</f>
        <v/>
      </c>
      <c r="E223">
        <f>IF($U223="","",INDEX('Per Line'!$D$2:$D$3001,$U223)&amp;"")</f>
        <v/>
      </c>
      <c r="F223">
        <f>IF($U223="","",INDEX('Per Line'!$E$2:$E$3001,$U223))</f>
        <v/>
      </c>
      <c r="G223" s="7">
        <f>IF($U223="","",F223*S223/100)</f>
        <v/>
      </c>
      <c r="H223">
        <f>IF($U223="","",INDEX('Per Line'!$O$2:$O$3001,$U223)&amp;"")</f>
        <v/>
      </c>
      <c r="I223" s="11">
        <f>IF($U223="","",INDEX('Per Line'!$Q$2:$Q$3001,$U223))</f>
        <v/>
      </c>
      <c r="J223">
        <f>IF($U223="","",INDEX('Per Line'!$R$2:$R$3001,$U223)&amp;"")</f>
        <v/>
      </c>
      <c r="K223">
        <f>IF($U223="","",Settings!$C$7)</f>
        <v/>
      </c>
      <c r="L223" s="7">
        <f>IF($U223="","",SUMIFS('Per Line'!$N$2:$N$3001,'Per Line'!$A$2:$A$3001,$A223,'Per Line'!$W$2:$W$3001,0))</f>
        <v/>
      </c>
      <c r="M223" s="7">
        <f>IF($U223="","",L223*K223)</f>
        <v/>
      </c>
      <c r="N223">
        <f>IF($U223="","",Settings!$C$6)</f>
        <v/>
      </c>
      <c r="O223" s="7">
        <f>IF($U223="","",SUMIFS('Per Line'!$N$2:$N$3001,'Per Line'!$A$2:$A$3001,$A223,'Per Line'!$W$2:$W$3001,1))</f>
        <v/>
      </c>
      <c r="P223" s="7">
        <f>IF($U223="","",O223*N223)</f>
        <v/>
      </c>
      <c r="Q223" s="7">
        <f>IF($U223="","",P223+M223)</f>
        <v/>
      </c>
      <c r="R223" s="7">
        <f>IF($U223="","",S223-Q223)</f>
        <v/>
      </c>
      <c r="S223" s="7">
        <f>IF($U223="","",L223+O223)</f>
        <v/>
      </c>
      <c r="T223" s="7">
        <f>IF($U223="","",S223-Q223-G223)</f>
        <v/>
      </c>
      <c r="U223" s="13">
        <f>IF(ROWS($U$2:$U223)&lt;=MAX('Per Line'!$V$2:$V$3001),MATCH(ROWS($U$2:$U223),'Per Line'!$V$2:$V$3001,0),"")</f>
        <v/>
      </c>
    </row>
    <row r="224">
      <c r="A224">
        <f>IF($U224="","",INDEX('Per Line'!$A$2:$A$3001,$U224)&amp;"")</f>
        <v/>
      </c>
      <c r="B224" s="12" t="n"/>
      <c r="C224">
        <f>IF($U224="","",INDEX('Per Line'!$B$2:$B$3001,$U224)&amp;"")</f>
        <v/>
      </c>
      <c r="D224">
        <f>IF($U224="","",INDEX('Per Line'!$C$2:$C$3001,$U224)&amp;"")</f>
        <v/>
      </c>
      <c r="E224">
        <f>IF($U224="","",INDEX('Per Line'!$D$2:$D$3001,$U224)&amp;"")</f>
        <v/>
      </c>
      <c r="F224">
        <f>IF($U224="","",INDEX('Per Line'!$E$2:$E$3001,$U224))</f>
        <v/>
      </c>
      <c r="G224" s="7">
        <f>IF($U224="","",F224*S224/100)</f>
        <v/>
      </c>
      <c r="H224">
        <f>IF($U224="","",INDEX('Per Line'!$O$2:$O$3001,$U224)&amp;"")</f>
        <v/>
      </c>
      <c r="I224" s="11">
        <f>IF($U224="","",INDEX('Per Line'!$Q$2:$Q$3001,$U224))</f>
        <v/>
      </c>
      <c r="J224">
        <f>IF($U224="","",INDEX('Per Line'!$R$2:$R$3001,$U224)&amp;"")</f>
        <v/>
      </c>
      <c r="K224">
        <f>IF($U224="","",Settings!$C$7)</f>
        <v/>
      </c>
      <c r="L224" s="7">
        <f>IF($U224="","",SUMIFS('Per Line'!$N$2:$N$3001,'Per Line'!$A$2:$A$3001,$A224,'Per Line'!$W$2:$W$3001,0))</f>
        <v/>
      </c>
      <c r="M224" s="7">
        <f>IF($U224="","",L224*K224)</f>
        <v/>
      </c>
      <c r="N224">
        <f>IF($U224="","",Settings!$C$6)</f>
        <v/>
      </c>
      <c r="O224" s="7">
        <f>IF($U224="","",SUMIFS('Per Line'!$N$2:$N$3001,'Per Line'!$A$2:$A$3001,$A224,'Per Line'!$W$2:$W$3001,1))</f>
        <v/>
      </c>
      <c r="P224" s="7">
        <f>IF($U224="","",O224*N224)</f>
        <v/>
      </c>
      <c r="Q224" s="7">
        <f>IF($U224="","",P224+M224)</f>
        <v/>
      </c>
      <c r="R224" s="7">
        <f>IF($U224="","",S224-Q224)</f>
        <v/>
      </c>
      <c r="S224" s="7">
        <f>IF($U224="","",L224+O224)</f>
        <v/>
      </c>
      <c r="T224" s="7">
        <f>IF($U224="","",S224-Q224-G224)</f>
        <v/>
      </c>
      <c r="U224" s="13">
        <f>IF(ROWS($U$2:$U224)&lt;=MAX('Per Line'!$V$2:$V$3001),MATCH(ROWS($U$2:$U224),'Per Line'!$V$2:$V$3001,0),"")</f>
        <v/>
      </c>
    </row>
    <row r="225">
      <c r="A225">
        <f>IF($U225="","",INDEX('Per Line'!$A$2:$A$3001,$U225)&amp;"")</f>
        <v/>
      </c>
      <c r="B225" s="12" t="n"/>
      <c r="C225">
        <f>IF($U225="","",INDEX('Per Line'!$B$2:$B$3001,$U225)&amp;"")</f>
        <v/>
      </c>
      <c r="D225">
        <f>IF($U225="","",INDEX('Per Line'!$C$2:$C$3001,$U225)&amp;"")</f>
        <v/>
      </c>
      <c r="E225">
        <f>IF($U225="","",INDEX('Per Line'!$D$2:$D$3001,$U225)&amp;"")</f>
        <v/>
      </c>
      <c r="F225">
        <f>IF($U225="","",INDEX('Per Line'!$E$2:$E$3001,$U225))</f>
        <v/>
      </c>
      <c r="G225" s="7">
        <f>IF($U225="","",F225*S225/100)</f>
        <v/>
      </c>
      <c r="H225">
        <f>IF($U225="","",INDEX('Per Line'!$O$2:$O$3001,$U225)&amp;"")</f>
        <v/>
      </c>
      <c r="I225" s="11">
        <f>IF($U225="","",INDEX('Per Line'!$Q$2:$Q$3001,$U225))</f>
        <v/>
      </c>
      <c r="J225">
        <f>IF($U225="","",INDEX('Per Line'!$R$2:$R$3001,$U225)&amp;"")</f>
        <v/>
      </c>
      <c r="K225">
        <f>IF($U225="","",Settings!$C$7)</f>
        <v/>
      </c>
      <c r="L225" s="7">
        <f>IF($U225="","",SUMIFS('Per Line'!$N$2:$N$3001,'Per Line'!$A$2:$A$3001,$A225,'Per Line'!$W$2:$W$3001,0))</f>
        <v/>
      </c>
      <c r="M225" s="7">
        <f>IF($U225="","",L225*K225)</f>
        <v/>
      </c>
      <c r="N225">
        <f>IF($U225="","",Settings!$C$6)</f>
        <v/>
      </c>
      <c r="O225" s="7">
        <f>IF($U225="","",SUMIFS('Per Line'!$N$2:$N$3001,'Per Line'!$A$2:$A$3001,$A225,'Per Line'!$W$2:$W$3001,1))</f>
        <v/>
      </c>
      <c r="P225" s="7">
        <f>IF($U225="","",O225*N225)</f>
        <v/>
      </c>
      <c r="Q225" s="7">
        <f>IF($U225="","",P225+M225)</f>
        <v/>
      </c>
      <c r="R225" s="7">
        <f>IF($U225="","",S225-Q225)</f>
        <v/>
      </c>
      <c r="S225" s="7">
        <f>IF($U225="","",L225+O225)</f>
        <v/>
      </c>
      <c r="T225" s="7">
        <f>IF($U225="","",S225-Q225-G225)</f>
        <v/>
      </c>
      <c r="U225" s="13">
        <f>IF(ROWS($U$2:$U225)&lt;=MAX('Per Line'!$V$2:$V$3001),MATCH(ROWS($U$2:$U225),'Per Line'!$V$2:$V$3001,0),"")</f>
        <v/>
      </c>
    </row>
    <row r="226">
      <c r="A226">
        <f>IF($U226="","",INDEX('Per Line'!$A$2:$A$3001,$U226)&amp;"")</f>
        <v/>
      </c>
      <c r="B226" s="12" t="n"/>
      <c r="C226">
        <f>IF($U226="","",INDEX('Per Line'!$B$2:$B$3001,$U226)&amp;"")</f>
        <v/>
      </c>
      <c r="D226">
        <f>IF($U226="","",INDEX('Per Line'!$C$2:$C$3001,$U226)&amp;"")</f>
        <v/>
      </c>
      <c r="E226">
        <f>IF($U226="","",INDEX('Per Line'!$D$2:$D$3001,$U226)&amp;"")</f>
        <v/>
      </c>
      <c r="F226">
        <f>IF($U226="","",INDEX('Per Line'!$E$2:$E$3001,$U226))</f>
        <v/>
      </c>
      <c r="G226" s="7">
        <f>IF($U226="","",F226*S226/100)</f>
        <v/>
      </c>
      <c r="H226">
        <f>IF($U226="","",INDEX('Per Line'!$O$2:$O$3001,$U226)&amp;"")</f>
        <v/>
      </c>
      <c r="I226" s="11">
        <f>IF($U226="","",INDEX('Per Line'!$Q$2:$Q$3001,$U226))</f>
        <v/>
      </c>
      <c r="J226">
        <f>IF($U226="","",INDEX('Per Line'!$R$2:$R$3001,$U226)&amp;"")</f>
        <v/>
      </c>
      <c r="K226">
        <f>IF($U226="","",Settings!$C$7)</f>
        <v/>
      </c>
      <c r="L226" s="7">
        <f>IF($U226="","",SUMIFS('Per Line'!$N$2:$N$3001,'Per Line'!$A$2:$A$3001,$A226,'Per Line'!$W$2:$W$3001,0))</f>
        <v/>
      </c>
      <c r="M226" s="7">
        <f>IF($U226="","",L226*K226)</f>
        <v/>
      </c>
      <c r="N226">
        <f>IF($U226="","",Settings!$C$6)</f>
        <v/>
      </c>
      <c r="O226" s="7">
        <f>IF($U226="","",SUMIFS('Per Line'!$N$2:$N$3001,'Per Line'!$A$2:$A$3001,$A226,'Per Line'!$W$2:$W$3001,1))</f>
        <v/>
      </c>
      <c r="P226" s="7">
        <f>IF($U226="","",O226*N226)</f>
        <v/>
      </c>
      <c r="Q226" s="7">
        <f>IF($U226="","",P226+M226)</f>
        <v/>
      </c>
      <c r="R226" s="7">
        <f>IF($U226="","",S226-Q226)</f>
        <v/>
      </c>
      <c r="S226" s="7">
        <f>IF($U226="","",L226+O226)</f>
        <v/>
      </c>
      <c r="T226" s="7">
        <f>IF($U226="","",S226-Q226-G226)</f>
        <v/>
      </c>
      <c r="U226" s="13">
        <f>IF(ROWS($U$2:$U226)&lt;=MAX('Per Line'!$V$2:$V$3001),MATCH(ROWS($U$2:$U226),'Per Line'!$V$2:$V$3001,0),"")</f>
        <v/>
      </c>
    </row>
    <row r="227">
      <c r="A227">
        <f>IF($U227="","",INDEX('Per Line'!$A$2:$A$3001,$U227)&amp;"")</f>
        <v/>
      </c>
      <c r="B227" s="12" t="n"/>
      <c r="C227">
        <f>IF($U227="","",INDEX('Per Line'!$B$2:$B$3001,$U227)&amp;"")</f>
        <v/>
      </c>
      <c r="D227">
        <f>IF($U227="","",INDEX('Per Line'!$C$2:$C$3001,$U227)&amp;"")</f>
        <v/>
      </c>
      <c r="E227">
        <f>IF($U227="","",INDEX('Per Line'!$D$2:$D$3001,$U227)&amp;"")</f>
        <v/>
      </c>
      <c r="F227">
        <f>IF($U227="","",INDEX('Per Line'!$E$2:$E$3001,$U227))</f>
        <v/>
      </c>
      <c r="G227" s="7">
        <f>IF($U227="","",F227*S227/100)</f>
        <v/>
      </c>
      <c r="H227">
        <f>IF($U227="","",INDEX('Per Line'!$O$2:$O$3001,$U227)&amp;"")</f>
        <v/>
      </c>
      <c r="I227" s="11">
        <f>IF($U227="","",INDEX('Per Line'!$Q$2:$Q$3001,$U227))</f>
        <v/>
      </c>
      <c r="J227">
        <f>IF($U227="","",INDEX('Per Line'!$R$2:$R$3001,$U227)&amp;"")</f>
        <v/>
      </c>
      <c r="K227">
        <f>IF($U227="","",Settings!$C$7)</f>
        <v/>
      </c>
      <c r="L227" s="7">
        <f>IF($U227="","",SUMIFS('Per Line'!$N$2:$N$3001,'Per Line'!$A$2:$A$3001,$A227,'Per Line'!$W$2:$W$3001,0))</f>
        <v/>
      </c>
      <c r="M227" s="7">
        <f>IF($U227="","",L227*K227)</f>
        <v/>
      </c>
      <c r="N227">
        <f>IF($U227="","",Settings!$C$6)</f>
        <v/>
      </c>
      <c r="O227" s="7">
        <f>IF($U227="","",SUMIFS('Per Line'!$N$2:$N$3001,'Per Line'!$A$2:$A$3001,$A227,'Per Line'!$W$2:$W$3001,1))</f>
        <v/>
      </c>
      <c r="P227" s="7">
        <f>IF($U227="","",O227*N227)</f>
        <v/>
      </c>
      <c r="Q227" s="7">
        <f>IF($U227="","",P227+M227)</f>
        <v/>
      </c>
      <c r="R227" s="7">
        <f>IF($U227="","",S227-Q227)</f>
        <v/>
      </c>
      <c r="S227" s="7">
        <f>IF($U227="","",L227+O227)</f>
        <v/>
      </c>
      <c r="T227" s="7">
        <f>IF($U227="","",S227-Q227-G227)</f>
        <v/>
      </c>
      <c r="U227" s="13">
        <f>IF(ROWS($U$2:$U227)&lt;=MAX('Per Line'!$V$2:$V$3001),MATCH(ROWS($U$2:$U227),'Per Line'!$V$2:$V$3001,0),"")</f>
        <v/>
      </c>
    </row>
    <row r="228">
      <c r="A228">
        <f>IF($U228="","",INDEX('Per Line'!$A$2:$A$3001,$U228)&amp;"")</f>
        <v/>
      </c>
      <c r="B228" s="12" t="n"/>
      <c r="C228">
        <f>IF($U228="","",INDEX('Per Line'!$B$2:$B$3001,$U228)&amp;"")</f>
        <v/>
      </c>
      <c r="D228">
        <f>IF($U228="","",INDEX('Per Line'!$C$2:$C$3001,$U228)&amp;"")</f>
        <v/>
      </c>
      <c r="E228">
        <f>IF($U228="","",INDEX('Per Line'!$D$2:$D$3001,$U228)&amp;"")</f>
        <v/>
      </c>
      <c r="F228">
        <f>IF($U228="","",INDEX('Per Line'!$E$2:$E$3001,$U228))</f>
        <v/>
      </c>
      <c r="G228" s="7">
        <f>IF($U228="","",F228*S228/100)</f>
        <v/>
      </c>
      <c r="H228">
        <f>IF($U228="","",INDEX('Per Line'!$O$2:$O$3001,$U228)&amp;"")</f>
        <v/>
      </c>
      <c r="I228" s="11">
        <f>IF($U228="","",INDEX('Per Line'!$Q$2:$Q$3001,$U228))</f>
        <v/>
      </c>
      <c r="J228">
        <f>IF($U228="","",INDEX('Per Line'!$R$2:$R$3001,$U228)&amp;"")</f>
        <v/>
      </c>
      <c r="K228">
        <f>IF($U228="","",Settings!$C$7)</f>
        <v/>
      </c>
      <c r="L228" s="7">
        <f>IF($U228="","",SUMIFS('Per Line'!$N$2:$N$3001,'Per Line'!$A$2:$A$3001,$A228,'Per Line'!$W$2:$W$3001,0))</f>
        <v/>
      </c>
      <c r="M228" s="7">
        <f>IF($U228="","",L228*K228)</f>
        <v/>
      </c>
      <c r="N228">
        <f>IF($U228="","",Settings!$C$6)</f>
        <v/>
      </c>
      <c r="O228" s="7">
        <f>IF($U228="","",SUMIFS('Per Line'!$N$2:$N$3001,'Per Line'!$A$2:$A$3001,$A228,'Per Line'!$W$2:$W$3001,1))</f>
        <v/>
      </c>
      <c r="P228" s="7">
        <f>IF($U228="","",O228*N228)</f>
        <v/>
      </c>
      <c r="Q228" s="7">
        <f>IF($U228="","",P228+M228)</f>
        <v/>
      </c>
      <c r="R228" s="7">
        <f>IF($U228="","",S228-Q228)</f>
        <v/>
      </c>
      <c r="S228" s="7">
        <f>IF($U228="","",L228+O228)</f>
        <v/>
      </c>
      <c r="T228" s="7">
        <f>IF($U228="","",S228-Q228-G228)</f>
        <v/>
      </c>
      <c r="U228" s="13">
        <f>IF(ROWS($U$2:$U228)&lt;=MAX('Per Line'!$V$2:$V$3001),MATCH(ROWS($U$2:$U228),'Per Line'!$V$2:$V$3001,0),"")</f>
        <v/>
      </c>
    </row>
    <row r="229">
      <c r="A229">
        <f>IF($U229="","",INDEX('Per Line'!$A$2:$A$3001,$U229)&amp;"")</f>
        <v/>
      </c>
      <c r="B229" s="12" t="n"/>
      <c r="C229">
        <f>IF($U229="","",INDEX('Per Line'!$B$2:$B$3001,$U229)&amp;"")</f>
        <v/>
      </c>
      <c r="D229">
        <f>IF($U229="","",INDEX('Per Line'!$C$2:$C$3001,$U229)&amp;"")</f>
        <v/>
      </c>
      <c r="E229">
        <f>IF($U229="","",INDEX('Per Line'!$D$2:$D$3001,$U229)&amp;"")</f>
        <v/>
      </c>
      <c r="F229">
        <f>IF($U229="","",INDEX('Per Line'!$E$2:$E$3001,$U229))</f>
        <v/>
      </c>
      <c r="G229" s="7">
        <f>IF($U229="","",F229*S229/100)</f>
        <v/>
      </c>
      <c r="H229">
        <f>IF($U229="","",INDEX('Per Line'!$O$2:$O$3001,$U229)&amp;"")</f>
        <v/>
      </c>
      <c r="I229" s="11">
        <f>IF($U229="","",INDEX('Per Line'!$Q$2:$Q$3001,$U229))</f>
        <v/>
      </c>
      <c r="J229">
        <f>IF($U229="","",INDEX('Per Line'!$R$2:$R$3001,$U229)&amp;"")</f>
        <v/>
      </c>
      <c r="K229">
        <f>IF($U229="","",Settings!$C$7)</f>
        <v/>
      </c>
      <c r="L229" s="7">
        <f>IF($U229="","",SUMIFS('Per Line'!$N$2:$N$3001,'Per Line'!$A$2:$A$3001,$A229,'Per Line'!$W$2:$W$3001,0))</f>
        <v/>
      </c>
      <c r="M229" s="7">
        <f>IF($U229="","",L229*K229)</f>
        <v/>
      </c>
      <c r="N229">
        <f>IF($U229="","",Settings!$C$6)</f>
        <v/>
      </c>
      <c r="O229" s="7">
        <f>IF($U229="","",SUMIFS('Per Line'!$N$2:$N$3001,'Per Line'!$A$2:$A$3001,$A229,'Per Line'!$W$2:$W$3001,1))</f>
        <v/>
      </c>
      <c r="P229" s="7">
        <f>IF($U229="","",O229*N229)</f>
        <v/>
      </c>
      <c r="Q229" s="7">
        <f>IF($U229="","",P229+M229)</f>
        <v/>
      </c>
      <c r="R229" s="7">
        <f>IF($U229="","",S229-Q229)</f>
        <v/>
      </c>
      <c r="S229" s="7">
        <f>IF($U229="","",L229+O229)</f>
        <v/>
      </c>
      <c r="T229" s="7">
        <f>IF($U229="","",S229-Q229-G229)</f>
        <v/>
      </c>
      <c r="U229" s="13">
        <f>IF(ROWS($U$2:$U229)&lt;=MAX('Per Line'!$V$2:$V$3001),MATCH(ROWS($U$2:$U229),'Per Line'!$V$2:$V$3001,0),"")</f>
        <v/>
      </c>
    </row>
    <row r="230">
      <c r="A230">
        <f>IF($U230="","",INDEX('Per Line'!$A$2:$A$3001,$U230)&amp;"")</f>
        <v/>
      </c>
      <c r="B230" s="12" t="n"/>
      <c r="C230">
        <f>IF($U230="","",INDEX('Per Line'!$B$2:$B$3001,$U230)&amp;"")</f>
        <v/>
      </c>
      <c r="D230">
        <f>IF($U230="","",INDEX('Per Line'!$C$2:$C$3001,$U230)&amp;"")</f>
        <v/>
      </c>
      <c r="E230">
        <f>IF($U230="","",INDEX('Per Line'!$D$2:$D$3001,$U230)&amp;"")</f>
        <v/>
      </c>
      <c r="F230">
        <f>IF($U230="","",INDEX('Per Line'!$E$2:$E$3001,$U230))</f>
        <v/>
      </c>
      <c r="G230" s="7">
        <f>IF($U230="","",F230*S230/100)</f>
        <v/>
      </c>
      <c r="H230">
        <f>IF($U230="","",INDEX('Per Line'!$O$2:$O$3001,$U230)&amp;"")</f>
        <v/>
      </c>
      <c r="I230" s="11">
        <f>IF($U230="","",INDEX('Per Line'!$Q$2:$Q$3001,$U230))</f>
        <v/>
      </c>
      <c r="J230">
        <f>IF($U230="","",INDEX('Per Line'!$R$2:$R$3001,$U230)&amp;"")</f>
        <v/>
      </c>
      <c r="K230">
        <f>IF($U230="","",Settings!$C$7)</f>
        <v/>
      </c>
      <c r="L230" s="7">
        <f>IF($U230="","",SUMIFS('Per Line'!$N$2:$N$3001,'Per Line'!$A$2:$A$3001,$A230,'Per Line'!$W$2:$W$3001,0))</f>
        <v/>
      </c>
      <c r="M230" s="7">
        <f>IF($U230="","",L230*K230)</f>
        <v/>
      </c>
      <c r="N230">
        <f>IF($U230="","",Settings!$C$6)</f>
        <v/>
      </c>
      <c r="O230" s="7">
        <f>IF($U230="","",SUMIFS('Per Line'!$N$2:$N$3001,'Per Line'!$A$2:$A$3001,$A230,'Per Line'!$W$2:$W$3001,1))</f>
        <v/>
      </c>
      <c r="P230" s="7">
        <f>IF($U230="","",O230*N230)</f>
        <v/>
      </c>
      <c r="Q230" s="7">
        <f>IF($U230="","",P230+M230)</f>
        <v/>
      </c>
      <c r="R230" s="7">
        <f>IF($U230="","",S230-Q230)</f>
        <v/>
      </c>
      <c r="S230" s="7">
        <f>IF($U230="","",L230+O230)</f>
        <v/>
      </c>
      <c r="T230" s="7">
        <f>IF($U230="","",S230-Q230-G230)</f>
        <v/>
      </c>
      <c r="U230" s="13">
        <f>IF(ROWS($U$2:$U230)&lt;=MAX('Per Line'!$V$2:$V$3001),MATCH(ROWS($U$2:$U230),'Per Line'!$V$2:$V$3001,0),"")</f>
        <v/>
      </c>
    </row>
    <row r="231">
      <c r="A231">
        <f>IF($U231="","",INDEX('Per Line'!$A$2:$A$3001,$U231)&amp;"")</f>
        <v/>
      </c>
      <c r="B231" s="12" t="n"/>
      <c r="C231">
        <f>IF($U231="","",INDEX('Per Line'!$B$2:$B$3001,$U231)&amp;"")</f>
        <v/>
      </c>
      <c r="D231">
        <f>IF($U231="","",INDEX('Per Line'!$C$2:$C$3001,$U231)&amp;"")</f>
        <v/>
      </c>
      <c r="E231">
        <f>IF($U231="","",INDEX('Per Line'!$D$2:$D$3001,$U231)&amp;"")</f>
        <v/>
      </c>
      <c r="F231">
        <f>IF($U231="","",INDEX('Per Line'!$E$2:$E$3001,$U231))</f>
        <v/>
      </c>
      <c r="G231" s="7">
        <f>IF($U231="","",F231*S231/100)</f>
        <v/>
      </c>
      <c r="H231">
        <f>IF($U231="","",INDEX('Per Line'!$O$2:$O$3001,$U231)&amp;"")</f>
        <v/>
      </c>
      <c r="I231" s="11">
        <f>IF($U231="","",INDEX('Per Line'!$Q$2:$Q$3001,$U231))</f>
        <v/>
      </c>
      <c r="J231">
        <f>IF($U231="","",INDEX('Per Line'!$R$2:$R$3001,$U231)&amp;"")</f>
        <v/>
      </c>
      <c r="K231">
        <f>IF($U231="","",Settings!$C$7)</f>
        <v/>
      </c>
      <c r="L231" s="7">
        <f>IF($U231="","",SUMIFS('Per Line'!$N$2:$N$3001,'Per Line'!$A$2:$A$3001,$A231,'Per Line'!$W$2:$W$3001,0))</f>
        <v/>
      </c>
      <c r="M231" s="7">
        <f>IF($U231="","",L231*K231)</f>
        <v/>
      </c>
      <c r="N231">
        <f>IF($U231="","",Settings!$C$6)</f>
        <v/>
      </c>
      <c r="O231" s="7">
        <f>IF($U231="","",SUMIFS('Per Line'!$N$2:$N$3001,'Per Line'!$A$2:$A$3001,$A231,'Per Line'!$W$2:$W$3001,1))</f>
        <v/>
      </c>
      <c r="P231" s="7">
        <f>IF($U231="","",O231*N231)</f>
        <v/>
      </c>
      <c r="Q231" s="7">
        <f>IF($U231="","",P231+M231)</f>
        <v/>
      </c>
      <c r="R231" s="7">
        <f>IF($U231="","",S231-Q231)</f>
        <v/>
      </c>
      <c r="S231" s="7">
        <f>IF($U231="","",L231+O231)</f>
        <v/>
      </c>
      <c r="T231" s="7">
        <f>IF($U231="","",S231-Q231-G231)</f>
        <v/>
      </c>
      <c r="U231" s="13">
        <f>IF(ROWS($U$2:$U231)&lt;=MAX('Per Line'!$V$2:$V$3001),MATCH(ROWS($U$2:$U231),'Per Line'!$V$2:$V$3001,0),"")</f>
        <v/>
      </c>
    </row>
    <row r="232">
      <c r="A232">
        <f>IF($U232="","",INDEX('Per Line'!$A$2:$A$3001,$U232)&amp;"")</f>
        <v/>
      </c>
      <c r="B232" s="12" t="n"/>
      <c r="C232">
        <f>IF($U232="","",INDEX('Per Line'!$B$2:$B$3001,$U232)&amp;"")</f>
        <v/>
      </c>
      <c r="D232">
        <f>IF($U232="","",INDEX('Per Line'!$C$2:$C$3001,$U232)&amp;"")</f>
        <v/>
      </c>
      <c r="E232">
        <f>IF($U232="","",INDEX('Per Line'!$D$2:$D$3001,$U232)&amp;"")</f>
        <v/>
      </c>
      <c r="F232">
        <f>IF($U232="","",INDEX('Per Line'!$E$2:$E$3001,$U232))</f>
        <v/>
      </c>
      <c r="G232" s="7">
        <f>IF($U232="","",F232*S232/100)</f>
        <v/>
      </c>
      <c r="H232">
        <f>IF($U232="","",INDEX('Per Line'!$O$2:$O$3001,$U232)&amp;"")</f>
        <v/>
      </c>
      <c r="I232" s="11">
        <f>IF($U232="","",INDEX('Per Line'!$Q$2:$Q$3001,$U232))</f>
        <v/>
      </c>
      <c r="J232">
        <f>IF($U232="","",INDEX('Per Line'!$R$2:$R$3001,$U232)&amp;"")</f>
        <v/>
      </c>
      <c r="K232">
        <f>IF($U232="","",Settings!$C$7)</f>
        <v/>
      </c>
      <c r="L232" s="7">
        <f>IF($U232="","",SUMIFS('Per Line'!$N$2:$N$3001,'Per Line'!$A$2:$A$3001,$A232,'Per Line'!$W$2:$W$3001,0))</f>
        <v/>
      </c>
      <c r="M232" s="7">
        <f>IF($U232="","",L232*K232)</f>
        <v/>
      </c>
      <c r="N232">
        <f>IF($U232="","",Settings!$C$6)</f>
        <v/>
      </c>
      <c r="O232" s="7">
        <f>IF($U232="","",SUMIFS('Per Line'!$N$2:$N$3001,'Per Line'!$A$2:$A$3001,$A232,'Per Line'!$W$2:$W$3001,1))</f>
        <v/>
      </c>
      <c r="P232" s="7">
        <f>IF($U232="","",O232*N232)</f>
        <v/>
      </c>
      <c r="Q232" s="7">
        <f>IF($U232="","",P232+M232)</f>
        <v/>
      </c>
      <c r="R232" s="7">
        <f>IF($U232="","",S232-Q232)</f>
        <v/>
      </c>
      <c r="S232" s="7">
        <f>IF($U232="","",L232+O232)</f>
        <v/>
      </c>
      <c r="T232" s="7">
        <f>IF($U232="","",S232-Q232-G232)</f>
        <v/>
      </c>
      <c r="U232" s="13">
        <f>IF(ROWS($U$2:$U232)&lt;=MAX('Per Line'!$V$2:$V$3001),MATCH(ROWS($U$2:$U232),'Per Line'!$V$2:$V$3001,0),"")</f>
        <v/>
      </c>
    </row>
    <row r="233">
      <c r="A233">
        <f>IF($U233="","",INDEX('Per Line'!$A$2:$A$3001,$U233)&amp;"")</f>
        <v/>
      </c>
      <c r="B233" s="12" t="n"/>
      <c r="C233">
        <f>IF($U233="","",INDEX('Per Line'!$B$2:$B$3001,$U233)&amp;"")</f>
        <v/>
      </c>
      <c r="D233">
        <f>IF($U233="","",INDEX('Per Line'!$C$2:$C$3001,$U233)&amp;"")</f>
        <v/>
      </c>
      <c r="E233">
        <f>IF($U233="","",INDEX('Per Line'!$D$2:$D$3001,$U233)&amp;"")</f>
        <v/>
      </c>
      <c r="F233">
        <f>IF($U233="","",INDEX('Per Line'!$E$2:$E$3001,$U233))</f>
        <v/>
      </c>
      <c r="G233" s="7">
        <f>IF($U233="","",F233*S233/100)</f>
        <v/>
      </c>
      <c r="H233">
        <f>IF($U233="","",INDEX('Per Line'!$O$2:$O$3001,$U233)&amp;"")</f>
        <v/>
      </c>
      <c r="I233" s="11">
        <f>IF($U233="","",INDEX('Per Line'!$Q$2:$Q$3001,$U233))</f>
        <v/>
      </c>
      <c r="J233">
        <f>IF($U233="","",INDEX('Per Line'!$R$2:$R$3001,$U233)&amp;"")</f>
        <v/>
      </c>
      <c r="K233">
        <f>IF($U233="","",Settings!$C$7)</f>
        <v/>
      </c>
      <c r="L233" s="7">
        <f>IF($U233="","",SUMIFS('Per Line'!$N$2:$N$3001,'Per Line'!$A$2:$A$3001,$A233,'Per Line'!$W$2:$W$3001,0))</f>
        <v/>
      </c>
      <c r="M233" s="7">
        <f>IF($U233="","",L233*K233)</f>
        <v/>
      </c>
      <c r="N233">
        <f>IF($U233="","",Settings!$C$6)</f>
        <v/>
      </c>
      <c r="O233" s="7">
        <f>IF($U233="","",SUMIFS('Per Line'!$N$2:$N$3001,'Per Line'!$A$2:$A$3001,$A233,'Per Line'!$W$2:$W$3001,1))</f>
        <v/>
      </c>
      <c r="P233" s="7">
        <f>IF($U233="","",O233*N233)</f>
        <v/>
      </c>
      <c r="Q233" s="7">
        <f>IF($U233="","",P233+M233)</f>
        <v/>
      </c>
      <c r="R233" s="7">
        <f>IF($U233="","",S233-Q233)</f>
        <v/>
      </c>
      <c r="S233" s="7">
        <f>IF($U233="","",L233+O233)</f>
        <v/>
      </c>
      <c r="T233" s="7">
        <f>IF($U233="","",S233-Q233-G233)</f>
        <v/>
      </c>
      <c r="U233" s="13">
        <f>IF(ROWS($U$2:$U233)&lt;=MAX('Per Line'!$V$2:$V$3001),MATCH(ROWS($U$2:$U233),'Per Line'!$V$2:$V$3001,0),"")</f>
        <v/>
      </c>
    </row>
    <row r="234">
      <c r="A234">
        <f>IF($U234="","",INDEX('Per Line'!$A$2:$A$3001,$U234)&amp;"")</f>
        <v/>
      </c>
      <c r="B234" s="12" t="n"/>
      <c r="C234">
        <f>IF($U234="","",INDEX('Per Line'!$B$2:$B$3001,$U234)&amp;"")</f>
        <v/>
      </c>
      <c r="D234">
        <f>IF($U234="","",INDEX('Per Line'!$C$2:$C$3001,$U234)&amp;"")</f>
        <v/>
      </c>
      <c r="E234">
        <f>IF($U234="","",INDEX('Per Line'!$D$2:$D$3001,$U234)&amp;"")</f>
        <v/>
      </c>
      <c r="F234">
        <f>IF($U234="","",INDEX('Per Line'!$E$2:$E$3001,$U234))</f>
        <v/>
      </c>
      <c r="G234" s="7">
        <f>IF($U234="","",F234*S234/100)</f>
        <v/>
      </c>
      <c r="H234">
        <f>IF($U234="","",INDEX('Per Line'!$O$2:$O$3001,$U234)&amp;"")</f>
        <v/>
      </c>
      <c r="I234" s="11">
        <f>IF($U234="","",INDEX('Per Line'!$Q$2:$Q$3001,$U234))</f>
        <v/>
      </c>
      <c r="J234">
        <f>IF($U234="","",INDEX('Per Line'!$R$2:$R$3001,$U234)&amp;"")</f>
        <v/>
      </c>
      <c r="K234">
        <f>IF($U234="","",Settings!$C$7)</f>
        <v/>
      </c>
      <c r="L234" s="7">
        <f>IF($U234="","",SUMIFS('Per Line'!$N$2:$N$3001,'Per Line'!$A$2:$A$3001,$A234,'Per Line'!$W$2:$W$3001,0))</f>
        <v/>
      </c>
      <c r="M234" s="7">
        <f>IF($U234="","",L234*K234)</f>
        <v/>
      </c>
      <c r="N234">
        <f>IF($U234="","",Settings!$C$6)</f>
        <v/>
      </c>
      <c r="O234" s="7">
        <f>IF($U234="","",SUMIFS('Per Line'!$N$2:$N$3001,'Per Line'!$A$2:$A$3001,$A234,'Per Line'!$W$2:$W$3001,1))</f>
        <v/>
      </c>
      <c r="P234" s="7">
        <f>IF($U234="","",O234*N234)</f>
        <v/>
      </c>
      <c r="Q234" s="7">
        <f>IF($U234="","",P234+M234)</f>
        <v/>
      </c>
      <c r="R234" s="7">
        <f>IF($U234="","",S234-Q234)</f>
        <v/>
      </c>
      <c r="S234" s="7">
        <f>IF($U234="","",L234+O234)</f>
        <v/>
      </c>
      <c r="T234" s="7">
        <f>IF($U234="","",S234-Q234-G234)</f>
        <v/>
      </c>
      <c r="U234" s="13">
        <f>IF(ROWS($U$2:$U234)&lt;=MAX('Per Line'!$V$2:$V$3001),MATCH(ROWS($U$2:$U234),'Per Line'!$V$2:$V$3001,0),"")</f>
        <v/>
      </c>
    </row>
    <row r="235">
      <c r="A235">
        <f>IF($U235="","",INDEX('Per Line'!$A$2:$A$3001,$U235)&amp;"")</f>
        <v/>
      </c>
      <c r="B235" s="12" t="n"/>
      <c r="C235">
        <f>IF($U235="","",INDEX('Per Line'!$B$2:$B$3001,$U235)&amp;"")</f>
        <v/>
      </c>
      <c r="D235">
        <f>IF($U235="","",INDEX('Per Line'!$C$2:$C$3001,$U235)&amp;"")</f>
        <v/>
      </c>
      <c r="E235">
        <f>IF($U235="","",INDEX('Per Line'!$D$2:$D$3001,$U235)&amp;"")</f>
        <v/>
      </c>
      <c r="F235">
        <f>IF($U235="","",INDEX('Per Line'!$E$2:$E$3001,$U235))</f>
        <v/>
      </c>
      <c r="G235" s="7">
        <f>IF($U235="","",F235*S235/100)</f>
        <v/>
      </c>
      <c r="H235">
        <f>IF($U235="","",INDEX('Per Line'!$O$2:$O$3001,$U235)&amp;"")</f>
        <v/>
      </c>
      <c r="I235" s="11">
        <f>IF($U235="","",INDEX('Per Line'!$Q$2:$Q$3001,$U235))</f>
        <v/>
      </c>
      <c r="J235">
        <f>IF($U235="","",INDEX('Per Line'!$R$2:$R$3001,$U235)&amp;"")</f>
        <v/>
      </c>
      <c r="K235">
        <f>IF($U235="","",Settings!$C$7)</f>
        <v/>
      </c>
      <c r="L235" s="7">
        <f>IF($U235="","",SUMIFS('Per Line'!$N$2:$N$3001,'Per Line'!$A$2:$A$3001,$A235,'Per Line'!$W$2:$W$3001,0))</f>
        <v/>
      </c>
      <c r="M235" s="7">
        <f>IF($U235="","",L235*K235)</f>
        <v/>
      </c>
      <c r="N235">
        <f>IF($U235="","",Settings!$C$6)</f>
        <v/>
      </c>
      <c r="O235" s="7">
        <f>IF($U235="","",SUMIFS('Per Line'!$N$2:$N$3001,'Per Line'!$A$2:$A$3001,$A235,'Per Line'!$W$2:$W$3001,1))</f>
        <v/>
      </c>
      <c r="P235" s="7">
        <f>IF($U235="","",O235*N235)</f>
        <v/>
      </c>
      <c r="Q235" s="7">
        <f>IF($U235="","",P235+M235)</f>
        <v/>
      </c>
      <c r="R235" s="7">
        <f>IF($U235="","",S235-Q235)</f>
        <v/>
      </c>
      <c r="S235" s="7">
        <f>IF($U235="","",L235+O235)</f>
        <v/>
      </c>
      <c r="T235" s="7">
        <f>IF($U235="","",S235-Q235-G235)</f>
        <v/>
      </c>
      <c r="U235" s="13">
        <f>IF(ROWS($U$2:$U235)&lt;=MAX('Per Line'!$V$2:$V$3001),MATCH(ROWS($U$2:$U235),'Per Line'!$V$2:$V$3001,0),"")</f>
        <v/>
      </c>
    </row>
    <row r="236">
      <c r="A236">
        <f>IF($U236="","",INDEX('Per Line'!$A$2:$A$3001,$U236)&amp;"")</f>
        <v/>
      </c>
      <c r="B236" s="12" t="n"/>
      <c r="C236">
        <f>IF($U236="","",INDEX('Per Line'!$B$2:$B$3001,$U236)&amp;"")</f>
        <v/>
      </c>
      <c r="D236">
        <f>IF($U236="","",INDEX('Per Line'!$C$2:$C$3001,$U236)&amp;"")</f>
        <v/>
      </c>
      <c r="E236">
        <f>IF($U236="","",INDEX('Per Line'!$D$2:$D$3001,$U236)&amp;"")</f>
        <v/>
      </c>
      <c r="F236">
        <f>IF($U236="","",INDEX('Per Line'!$E$2:$E$3001,$U236))</f>
        <v/>
      </c>
      <c r="G236" s="7">
        <f>IF($U236="","",F236*S236/100)</f>
        <v/>
      </c>
      <c r="H236">
        <f>IF($U236="","",INDEX('Per Line'!$O$2:$O$3001,$U236)&amp;"")</f>
        <v/>
      </c>
      <c r="I236" s="11">
        <f>IF($U236="","",INDEX('Per Line'!$Q$2:$Q$3001,$U236))</f>
        <v/>
      </c>
      <c r="J236">
        <f>IF($U236="","",INDEX('Per Line'!$R$2:$R$3001,$U236)&amp;"")</f>
        <v/>
      </c>
      <c r="K236">
        <f>IF($U236="","",Settings!$C$7)</f>
        <v/>
      </c>
      <c r="L236" s="7">
        <f>IF($U236="","",SUMIFS('Per Line'!$N$2:$N$3001,'Per Line'!$A$2:$A$3001,$A236,'Per Line'!$W$2:$W$3001,0))</f>
        <v/>
      </c>
      <c r="M236" s="7">
        <f>IF($U236="","",L236*K236)</f>
        <v/>
      </c>
      <c r="N236">
        <f>IF($U236="","",Settings!$C$6)</f>
        <v/>
      </c>
      <c r="O236" s="7">
        <f>IF($U236="","",SUMIFS('Per Line'!$N$2:$N$3001,'Per Line'!$A$2:$A$3001,$A236,'Per Line'!$W$2:$W$3001,1))</f>
        <v/>
      </c>
      <c r="P236" s="7">
        <f>IF($U236="","",O236*N236)</f>
        <v/>
      </c>
      <c r="Q236" s="7">
        <f>IF($U236="","",P236+M236)</f>
        <v/>
      </c>
      <c r="R236" s="7">
        <f>IF($U236="","",S236-Q236)</f>
        <v/>
      </c>
      <c r="S236" s="7">
        <f>IF($U236="","",L236+O236)</f>
        <v/>
      </c>
      <c r="T236" s="7">
        <f>IF($U236="","",S236-Q236-G236)</f>
        <v/>
      </c>
      <c r="U236" s="13">
        <f>IF(ROWS($U$2:$U236)&lt;=MAX('Per Line'!$V$2:$V$3001),MATCH(ROWS($U$2:$U236),'Per Line'!$V$2:$V$3001,0),"")</f>
        <v/>
      </c>
    </row>
    <row r="237">
      <c r="A237">
        <f>IF($U237="","",INDEX('Per Line'!$A$2:$A$3001,$U237)&amp;"")</f>
        <v/>
      </c>
      <c r="B237" s="12" t="n"/>
      <c r="C237">
        <f>IF($U237="","",INDEX('Per Line'!$B$2:$B$3001,$U237)&amp;"")</f>
        <v/>
      </c>
      <c r="D237">
        <f>IF($U237="","",INDEX('Per Line'!$C$2:$C$3001,$U237)&amp;"")</f>
        <v/>
      </c>
      <c r="E237">
        <f>IF($U237="","",INDEX('Per Line'!$D$2:$D$3001,$U237)&amp;"")</f>
        <v/>
      </c>
      <c r="F237">
        <f>IF($U237="","",INDEX('Per Line'!$E$2:$E$3001,$U237))</f>
        <v/>
      </c>
      <c r="G237" s="7">
        <f>IF($U237="","",F237*S237/100)</f>
        <v/>
      </c>
      <c r="H237">
        <f>IF($U237="","",INDEX('Per Line'!$O$2:$O$3001,$U237)&amp;"")</f>
        <v/>
      </c>
      <c r="I237" s="11">
        <f>IF($U237="","",INDEX('Per Line'!$Q$2:$Q$3001,$U237))</f>
        <v/>
      </c>
      <c r="J237">
        <f>IF($U237="","",INDEX('Per Line'!$R$2:$R$3001,$U237)&amp;"")</f>
        <v/>
      </c>
      <c r="K237">
        <f>IF($U237="","",Settings!$C$7)</f>
        <v/>
      </c>
      <c r="L237" s="7">
        <f>IF($U237="","",SUMIFS('Per Line'!$N$2:$N$3001,'Per Line'!$A$2:$A$3001,$A237,'Per Line'!$W$2:$W$3001,0))</f>
        <v/>
      </c>
      <c r="M237" s="7">
        <f>IF($U237="","",L237*K237)</f>
        <v/>
      </c>
      <c r="N237">
        <f>IF($U237="","",Settings!$C$6)</f>
        <v/>
      </c>
      <c r="O237" s="7">
        <f>IF($U237="","",SUMIFS('Per Line'!$N$2:$N$3001,'Per Line'!$A$2:$A$3001,$A237,'Per Line'!$W$2:$W$3001,1))</f>
        <v/>
      </c>
      <c r="P237" s="7">
        <f>IF($U237="","",O237*N237)</f>
        <v/>
      </c>
      <c r="Q237" s="7">
        <f>IF($U237="","",P237+M237)</f>
        <v/>
      </c>
      <c r="R237" s="7">
        <f>IF($U237="","",S237-Q237)</f>
        <v/>
      </c>
      <c r="S237" s="7">
        <f>IF($U237="","",L237+O237)</f>
        <v/>
      </c>
      <c r="T237" s="7">
        <f>IF($U237="","",S237-Q237-G237)</f>
        <v/>
      </c>
      <c r="U237" s="13">
        <f>IF(ROWS($U$2:$U237)&lt;=MAX('Per Line'!$V$2:$V$3001),MATCH(ROWS($U$2:$U237),'Per Line'!$V$2:$V$3001,0),"")</f>
        <v/>
      </c>
    </row>
    <row r="238">
      <c r="A238">
        <f>IF($U238="","",INDEX('Per Line'!$A$2:$A$3001,$U238)&amp;"")</f>
        <v/>
      </c>
      <c r="B238" s="12" t="n"/>
      <c r="C238">
        <f>IF($U238="","",INDEX('Per Line'!$B$2:$B$3001,$U238)&amp;"")</f>
        <v/>
      </c>
      <c r="D238">
        <f>IF($U238="","",INDEX('Per Line'!$C$2:$C$3001,$U238)&amp;"")</f>
        <v/>
      </c>
      <c r="E238">
        <f>IF($U238="","",INDEX('Per Line'!$D$2:$D$3001,$U238)&amp;"")</f>
        <v/>
      </c>
      <c r="F238">
        <f>IF($U238="","",INDEX('Per Line'!$E$2:$E$3001,$U238))</f>
        <v/>
      </c>
      <c r="G238" s="7">
        <f>IF($U238="","",F238*S238/100)</f>
        <v/>
      </c>
      <c r="H238">
        <f>IF($U238="","",INDEX('Per Line'!$O$2:$O$3001,$U238)&amp;"")</f>
        <v/>
      </c>
      <c r="I238" s="11">
        <f>IF($U238="","",INDEX('Per Line'!$Q$2:$Q$3001,$U238))</f>
        <v/>
      </c>
      <c r="J238">
        <f>IF($U238="","",INDEX('Per Line'!$R$2:$R$3001,$U238)&amp;"")</f>
        <v/>
      </c>
      <c r="K238">
        <f>IF($U238="","",Settings!$C$7)</f>
        <v/>
      </c>
      <c r="L238" s="7">
        <f>IF($U238="","",SUMIFS('Per Line'!$N$2:$N$3001,'Per Line'!$A$2:$A$3001,$A238,'Per Line'!$W$2:$W$3001,0))</f>
        <v/>
      </c>
      <c r="M238" s="7">
        <f>IF($U238="","",L238*K238)</f>
        <v/>
      </c>
      <c r="N238">
        <f>IF($U238="","",Settings!$C$6)</f>
        <v/>
      </c>
      <c r="O238" s="7">
        <f>IF($U238="","",SUMIFS('Per Line'!$N$2:$N$3001,'Per Line'!$A$2:$A$3001,$A238,'Per Line'!$W$2:$W$3001,1))</f>
        <v/>
      </c>
      <c r="P238" s="7">
        <f>IF($U238="","",O238*N238)</f>
        <v/>
      </c>
      <c r="Q238" s="7">
        <f>IF($U238="","",P238+M238)</f>
        <v/>
      </c>
      <c r="R238" s="7">
        <f>IF($U238="","",S238-Q238)</f>
        <v/>
      </c>
      <c r="S238" s="7">
        <f>IF($U238="","",L238+O238)</f>
        <v/>
      </c>
      <c r="T238" s="7">
        <f>IF($U238="","",S238-Q238-G238)</f>
        <v/>
      </c>
      <c r="U238" s="13">
        <f>IF(ROWS($U$2:$U238)&lt;=MAX('Per Line'!$V$2:$V$3001),MATCH(ROWS($U$2:$U238),'Per Line'!$V$2:$V$3001,0),"")</f>
        <v/>
      </c>
    </row>
    <row r="239">
      <c r="A239">
        <f>IF($U239="","",INDEX('Per Line'!$A$2:$A$3001,$U239)&amp;"")</f>
        <v/>
      </c>
      <c r="B239" s="12" t="n"/>
      <c r="C239">
        <f>IF($U239="","",INDEX('Per Line'!$B$2:$B$3001,$U239)&amp;"")</f>
        <v/>
      </c>
      <c r="D239">
        <f>IF($U239="","",INDEX('Per Line'!$C$2:$C$3001,$U239)&amp;"")</f>
        <v/>
      </c>
      <c r="E239">
        <f>IF($U239="","",INDEX('Per Line'!$D$2:$D$3001,$U239)&amp;"")</f>
        <v/>
      </c>
      <c r="F239">
        <f>IF($U239="","",INDEX('Per Line'!$E$2:$E$3001,$U239))</f>
        <v/>
      </c>
      <c r="G239" s="7">
        <f>IF($U239="","",F239*S239/100)</f>
        <v/>
      </c>
      <c r="H239">
        <f>IF($U239="","",INDEX('Per Line'!$O$2:$O$3001,$U239)&amp;"")</f>
        <v/>
      </c>
      <c r="I239" s="11">
        <f>IF($U239="","",INDEX('Per Line'!$Q$2:$Q$3001,$U239))</f>
        <v/>
      </c>
      <c r="J239">
        <f>IF($U239="","",INDEX('Per Line'!$R$2:$R$3001,$U239)&amp;"")</f>
        <v/>
      </c>
      <c r="K239">
        <f>IF($U239="","",Settings!$C$7)</f>
        <v/>
      </c>
      <c r="L239" s="7">
        <f>IF($U239="","",SUMIFS('Per Line'!$N$2:$N$3001,'Per Line'!$A$2:$A$3001,$A239,'Per Line'!$W$2:$W$3001,0))</f>
        <v/>
      </c>
      <c r="M239" s="7">
        <f>IF($U239="","",L239*K239)</f>
        <v/>
      </c>
      <c r="N239">
        <f>IF($U239="","",Settings!$C$6)</f>
        <v/>
      </c>
      <c r="O239" s="7">
        <f>IF($U239="","",SUMIFS('Per Line'!$N$2:$N$3001,'Per Line'!$A$2:$A$3001,$A239,'Per Line'!$W$2:$W$3001,1))</f>
        <v/>
      </c>
      <c r="P239" s="7">
        <f>IF($U239="","",O239*N239)</f>
        <v/>
      </c>
      <c r="Q239" s="7">
        <f>IF($U239="","",P239+M239)</f>
        <v/>
      </c>
      <c r="R239" s="7">
        <f>IF($U239="","",S239-Q239)</f>
        <v/>
      </c>
      <c r="S239" s="7">
        <f>IF($U239="","",L239+O239)</f>
        <v/>
      </c>
      <c r="T239" s="7">
        <f>IF($U239="","",S239-Q239-G239)</f>
        <v/>
      </c>
      <c r="U239" s="13">
        <f>IF(ROWS($U$2:$U239)&lt;=MAX('Per Line'!$V$2:$V$3001),MATCH(ROWS($U$2:$U239),'Per Line'!$V$2:$V$3001,0),"")</f>
        <v/>
      </c>
    </row>
    <row r="240">
      <c r="A240">
        <f>IF($U240="","",INDEX('Per Line'!$A$2:$A$3001,$U240)&amp;"")</f>
        <v/>
      </c>
      <c r="B240" s="12" t="n"/>
      <c r="C240">
        <f>IF($U240="","",INDEX('Per Line'!$B$2:$B$3001,$U240)&amp;"")</f>
        <v/>
      </c>
      <c r="D240">
        <f>IF($U240="","",INDEX('Per Line'!$C$2:$C$3001,$U240)&amp;"")</f>
        <v/>
      </c>
      <c r="E240">
        <f>IF($U240="","",INDEX('Per Line'!$D$2:$D$3001,$U240)&amp;"")</f>
        <v/>
      </c>
      <c r="F240">
        <f>IF($U240="","",INDEX('Per Line'!$E$2:$E$3001,$U240))</f>
        <v/>
      </c>
      <c r="G240" s="7">
        <f>IF($U240="","",F240*S240/100)</f>
        <v/>
      </c>
      <c r="H240">
        <f>IF($U240="","",INDEX('Per Line'!$O$2:$O$3001,$U240)&amp;"")</f>
        <v/>
      </c>
      <c r="I240" s="11">
        <f>IF($U240="","",INDEX('Per Line'!$Q$2:$Q$3001,$U240))</f>
        <v/>
      </c>
      <c r="J240">
        <f>IF($U240="","",INDEX('Per Line'!$R$2:$R$3001,$U240)&amp;"")</f>
        <v/>
      </c>
      <c r="K240">
        <f>IF($U240="","",Settings!$C$7)</f>
        <v/>
      </c>
      <c r="L240" s="7">
        <f>IF($U240="","",SUMIFS('Per Line'!$N$2:$N$3001,'Per Line'!$A$2:$A$3001,$A240,'Per Line'!$W$2:$W$3001,0))</f>
        <v/>
      </c>
      <c r="M240" s="7">
        <f>IF($U240="","",L240*K240)</f>
        <v/>
      </c>
      <c r="N240">
        <f>IF($U240="","",Settings!$C$6)</f>
        <v/>
      </c>
      <c r="O240" s="7">
        <f>IF($U240="","",SUMIFS('Per Line'!$N$2:$N$3001,'Per Line'!$A$2:$A$3001,$A240,'Per Line'!$W$2:$W$3001,1))</f>
        <v/>
      </c>
      <c r="P240" s="7">
        <f>IF($U240="","",O240*N240)</f>
        <v/>
      </c>
      <c r="Q240" s="7">
        <f>IF($U240="","",P240+M240)</f>
        <v/>
      </c>
      <c r="R240" s="7">
        <f>IF($U240="","",S240-Q240)</f>
        <v/>
      </c>
      <c r="S240" s="7">
        <f>IF($U240="","",L240+O240)</f>
        <v/>
      </c>
      <c r="T240" s="7">
        <f>IF($U240="","",S240-Q240-G240)</f>
        <v/>
      </c>
      <c r="U240" s="13">
        <f>IF(ROWS($U$2:$U240)&lt;=MAX('Per Line'!$V$2:$V$3001),MATCH(ROWS($U$2:$U240),'Per Line'!$V$2:$V$3001,0),"")</f>
        <v/>
      </c>
    </row>
    <row r="241">
      <c r="A241">
        <f>IF($U241="","",INDEX('Per Line'!$A$2:$A$3001,$U241)&amp;"")</f>
        <v/>
      </c>
      <c r="B241" s="12" t="n"/>
      <c r="C241">
        <f>IF($U241="","",INDEX('Per Line'!$B$2:$B$3001,$U241)&amp;"")</f>
        <v/>
      </c>
      <c r="D241">
        <f>IF($U241="","",INDEX('Per Line'!$C$2:$C$3001,$U241)&amp;"")</f>
        <v/>
      </c>
      <c r="E241">
        <f>IF($U241="","",INDEX('Per Line'!$D$2:$D$3001,$U241)&amp;"")</f>
        <v/>
      </c>
      <c r="F241">
        <f>IF($U241="","",INDEX('Per Line'!$E$2:$E$3001,$U241))</f>
        <v/>
      </c>
      <c r="G241" s="7">
        <f>IF($U241="","",F241*S241/100)</f>
        <v/>
      </c>
      <c r="H241">
        <f>IF($U241="","",INDEX('Per Line'!$O$2:$O$3001,$U241)&amp;"")</f>
        <v/>
      </c>
      <c r="I241" s="11">
        <f>IF($U241="","",INDEX('Per Line'!$Q$2:$Q$3001,$U241))</f>
        <v/>
      </c>
      <c r="J241">
        <f>IF($U241="","",INDEX('Per Line'!$R$2:$R$3001,$U241)&amp;"")</f>
        <v/>
      </c>
      <c r="K241">
        <f>IF($U241="","",Settings!$C$7)</f>
        <v/>
      </c>
      <c r="L241" s="7">
        <f>IF($U241="","",SUMIFS('Per Line'!$N$2:$N$3001,'Per Line'!$A$2:$A$3001,$A241,'Per Line'!$W$2:$W$3001,0))</f>
        <v/>
      </c>
      <c r="M241" s="7">
        <f>IF($U241="","",L241*K241)</f>
        <v/>
      </c>
      <c r="N241">
        <f>IF($U241="","",Settings!$C$6)</f>
        <v/>
      </c>
      <c r="O241" s="7">
        <f>IF($U241="","",SUMIFS('Per Line'!$N$2:$N$3001,'Per Line'!$A$2:$A$3001,$A241,'Per Line'!$W$2:$W$3001,1))</f>
        <v/>
      </c>
      <c r="P241" s="7">
        <f>IF($U241="","",O241*N241)</f>
        <v/>
      </c>
      <c r="Q241" s="7">
        <f>IF($U241="","",P241+M241)</f>
        <v/>
      </c>
      <c r="R241" s="7">
        <f>IF($U241="","",S241-Q241)</f>
        <v/>
      </c>
      <c r="S241" s="7">
        <f>IF($U241="","",L241+O241)</f>
        <v/>
      </c>
      <c r="T241" s="7">
        <f>IF($U241="","",S241-Q241-G241)</f>
        <v/>
      </c>
      <c r="U241" s="13">
        <f>IF(ROWS($U$2:$U241)&lt;=MAX('Per Line'!$V$2:$V$3001),MATCH(ROWS($U$2:$U241),'Per Line'!$V$2:$V$3001,0),"")</f>
        <v/>
      </c>
    </row>
    <row r="242">
      <c r="A242">
        <f>IF($U242="","",INDEX('Per Line'!$A$2:$A$3001,$U242)&amp;"")</f>
        <v/>
      </c>
      <c r="B242" s="12" t="n"/>
      <c r="C242">
        <f>IF($U242="","",INDEX('Per Line'!$B$2:$B$3001,$U242)&amp;"")</f>
        <v/>
      </c>
      <c r="D242">
        <f>IF($U242="","",INDEX('Per Line'!$C$2:$C$3001,$U242)&amp;"")</f>
        <v/>
      </c>
      <c r="E242">
        <f>IF($U242="","",INDEX('Per Line'!$D$2:$D$3001,$U242)&amp;"")</f>
        <v/>
      </c>
      <c r="F242">
        <f>IF($U242="","",INDEX('Per Line'!$E$2:$E$3001,$U242))</f>
        <v/>
      </c>
      <c r="G242" s="7">
        <f>IF($U242="","",F242*S242/100)</f>
        <v/>
      </c>
      <c r="H242">
        <f>IF($U242="","",INDEX('Per Line'!$O$2:$O$3001,$U242)&amp;"")</f>
        <v/>
      </c>
      <c r="I242" s="11">
        <f>IF($U242="","",INDEX('Per Line'!$Q$2:$Q$3001,$U242))</f>
        <v/>
      </c>
      <c r="J242">
        <f>IF($U242="","",INDEX('Per Line'!$R$2:$R$3001,$U242)&amp;"")</f>
        <v/>
      </c>
      <c r="K242">
        <f>IF($U242="","",Settings!$C$7)</f>
        <v/>
      </c>
      <c r="L242" s="7">
        <f>IF($U242="","",SUMIFS('Per Line'!$N$2:$N$3001,'Per Line'!$A$2:$A$3001,$A242,'Per Line'!$W$2:$W$3001,0))</f>
        <v/>
      </c>
      <c r="M242" s="7">
        <f>IF($U242="","",L242*K242)</f>
        <v/>
      </c>
      <c r="N242">
        <f>IF($U242="","",Settings!$C$6)</f>
        <v/>
      </c>
      <c r="O242" s="7">
        <f>IF($U242="","",SUMIFS('Per Line'!$N$2:$N$3001,'Per Line'!$A$2:$A$3001,$A242,'Per Line'!$W$2:$W$3001,1))</f>
        <v/>
      </c>
      <c r="P242" s="7">
        <f>IF($U242="","",O242*N242)</f>
        <v/>
      </c>
      <c r="Q242" s="7">
        <f>IF($U242="","",P242+M242)</f>
        <v/>
      </c>
      <c r="R242" s="7">
        <f>IF($U242="","",S242-Q242)</f>
        <v/>
      </c>
      <c r="S242" s="7">
        <f>IF($U242="","",L242+O242)</f>
        <v/>
      </c>
      <c r="T242" s="7">
        <f>IF($U242="","",S242-Q242-G242)</f>
        <v/>
      </c>
      <c r="U242" s="13">
        <f>IF(ROWS($U$2:$U242)&lt;=MAX('Per Line'!$V$2:$V$3001),MATCH(ROWS($U$2:$U242),'Per Line'!$V$2:$V$3001,0),"")</f>
        <v/>
      </c>
    </row>
    <row r="243">
      <c r="A243">
        <f>IF($U243="","",INDEX('Per Line'!$A$2:$A$3001,$U243)&amp;"")</f>
        <v/>
      </c>
      <c r="B243" s="12" t="n"/>
      <c r="C243">
        <f>IF($U243="","",INDEX('Per Line'!$B$2:$B$3001,$U243)&amp;"")</f>
        <v/>
      </c>
      <c r="D243">
        <f>IF($U243="","",INDEX('Per Line'!$C$2:$C$3001,$U243)&amp;"")</f>
        <v/>
      </c>
      <c r="E243">
        <f>IF($U243="","",INDEX('Per Line'!$D$2:$D$3001,$U243)&amp;"")</f>
        <v/>
      </c>
      <c r="F243">
        <f>IF($U243="","",INDEX('Per Line'!$E$2:$E$3001,$U243))</f>
        <v/>
      </c>
      <c r="G243" s="7">
        <f>IF($U243="","",F243*S243/100)</f>
        <v/>
      </c>
      <c r="H243">
        <f>IF($U243="","",INDEX('Per Line'!$O$2:$O$3001,$U243)&amp;"")</f>
        <v/>
      </c>
      <c r="I243" s="11">
        <f>IF($U243="","",INDEX('Per Line'!$Q$2:$Q$3001,$U243))</f>
        <v/>
      </c>
      <c r="J243">
        <f>IF($U243="","",INDEX('Per Line'!$R$2:$R$3001,$U243)&amp;"")</f>
        <v/>
      </c>
      <c r="K243">
        <f>IF($U243="","",Settings!$C$7)</f>
        <v/>
      </c>
      <c r="L243" s="7">
        <f>IF($U243="","",SUMIFS('Per Line'!$N$2:$N$3001,'Per Line'!$A$2:$A$3001,$A243,'Per Line'!$W$2:$W$3001,0))</f>
        <v/>
      </c>
      <c r="M243" s="7">
        <f>IF($U243="","",L243*K243)</f>
        <v/>
      </c>
      <c r="N243">
        <f>IF($U243="","",Settings!$C$6)</f>
        <v/>
      </c>
      <c r="O243" s="7">
        <f>IF($U243="","",SUMIFS('Per Line'!$N$2:$N$3001,'Per Line'!$A$2:$A$3001,$A243,'Per Line'!$W$2:$W$3001,1))</f>
        <v/>
      </c>
      <c r="P243" s="7">
        <f>IF($U243="","",O243*N243)</f>
        <v/>
      </c>
      <c r="Q243" s="7">
        <f>IF($U243="","",P243+M243)</f>
        <v/>
      </c>
      <c r="R243" s="7">
        <f>IF($U243="","",S243-Q243)</f>
        <v/>
      </c>
      <c r="S243" s="7">
        <f>IF($U243="","",L243+O243)</f>
        <v/>
      </c>
      <c r="T243" s="7">
        <f>IF($U243="","",S243-Q243-G243)</f>
        <v/>
      </c>
      <c r="U243" s="13">
        <f>IF(ROWS($U$2:$U243)&lt;=MAX('Per Line'!$V$2:$V$3001),MATCH(ROWS($U$2:$U243),'Per Line'!$V$2:$V$3001,0),"")</f>
        <v/>
      </c>
    </row>
    <row r="244">
      <c r="A244">
        <f>IF($U244="","",INDEX('Per Line'!$A$2:$A$3001,$U244)&amp;"")</f>
        <v/>
      </c>
      <c r="B244" s="12" t="n"/>
      <c r="C244">
        <f>IF($U244="","",INDEX('Per Line'!$B$2:$B$3001,$U244)&amp;"")</f>
        <v/>
      </c>
      <c r="D244">
        <f>IF($U244="","",INDEX('Per Line'!$C$2:$C$3001,$U244)&amp;"")</f>
        <v/>
      </c>
      <c r="E244">
        <f>IF($U244="","",INDEX('Per Line'!$D$2:$D$3001,$U244)&amp;"")</f>
        <v/>
      </c>
      <c r="F244">
        <f>IF($U244="","",INDEX('Per Line'!$E$2:$E$3001,$U244))</f>
        <v/>
      </c>
      <c r="G244" s="7">
        <f>IF($U244="","",F244*S244/100)</f>
        <v/>
      </c>
      <c r="H244">
        <f>IF($U244="","",INDEX('Per Line'!$O$2:$O$3001,$U244)&amp;"")</f>
        <v/>
      </c>
      <c r="I244" s="11">
        <f>IF($U244="","",INDEX('Per Line'!$Q$2:$Q$3001,$U244))</f>
        <v/>
      </c>
      <c r="J244">
        <f>IF($U244="","",INDEX('Per Line'!$R$2:$R$3001,$U244)&amp;"")</f>
        <v/>
      </c>
      <c r="K244">
        <f>IF($U244="","",Settings!$C$7)</f>
        <v/>
      </c>
      <c r="L244" s="7">
        <f>IF($U244="","",SUMIFS('Per Line'!$N$2:$N$3001,'Per Line'!$A$2:$A$3001,$A244,'Per Line'!$W$2:$W$3001,0))</f>
        <v/>
      </c>
      <c r="M244" s="7">
        <f>IF($U244="","",L244*K244)</f>
        <v/>
      </c>
      <c r="N244">
        <f>IF($U244="","",Settings!$C$6)</f>
        <v/>
      </c>
      <c r="O244" s="7">
        <f>IF($U244="","",SUMIFS('Per Line'!$N$2:$N$3001,'Per Line'!$A$2:$A$3001,$A244,'Per Line'!$W$2:$W$3001,1))</f>
        <v/>
      </c>
      <c r="P244" s="7">
        <f>IF($U244="","",O244*N244)</f>
        <v/>
      </c>
      <c r="Q244" s="7">
        <f>IF($U244="","",P244+M244)</f>
        <v/>
      </c>
      <c r="R244" s="7">
        <f>IF($U244="","",S244-Q244)</f>
        <v/>
      </c>
      <c r="S244" s="7">
        <f>IF($U244="","",L244+O244)</f>
        <v/>
      </c>
      <c r="T244" s="7">
        <f>IF($U244="","",S244-Q244-G244)</f>
        <v/>
      </c>
      <c r="U244" s="13">
        <f>IF(ROWS($U$2:$U244)&lt;=MAX('Per Line'!$V$2:$V$3001),MATCH(ROWS($U$2:$U244),'Per Line'!$V$2:$V$3001,0),"")</f>
        <v/>
      </c>
    </row>
    <row r="245">
      <c r="A245">
        <f>IF($U245="","",INDEX('Per Line'!$A$2:$A$3001,$U245)&amp;"")</f>
        <v/>
      </c>
      <c r="B245" s="12" t="n"/>
      <c r="C245">
        <f>IF($U245="","",INDEX('Per Line'!$B$2:$B$3001,$U245)&amp;"")</f>
        <v/>
      </c>
      <c r="D245">
        <f>IF($U245="","",INDEX('Per Line'!$C$2:$C$3001,$U245)&amp;"")</f>
        <v/>
      </c>
      <c r="E245">
        <f>IF($U245="","",INDEX('Per Line'!$D$2:$D$3001,$U245)&amp;"")</f>
        <v/>
      </c>
      <c r="F245">
        <f>IF($U245="","",INDEX('Per Line'!$E$2:$E$3001,$U245))</f>
        <v/>
      </c>
      <c r="G245" s="7">
        <f>IF($U245="","",F245*S245/100)</f>
        <v/>
      </c>
      <c r="H245">
        <f>IF($U245="","",INDEX('Per Line'!$O$2:$O$3001,$U245)&amp;"")</f>
        <v/>
      </c>
      <c r="I245" s="11">
        <f>IF($U245="","",INDEX('Per Line'!$Q$2:$Q$3001,$U245))</f>
        <v/>
      </c>
      <c r="J245">
        <f>IF($U245="","",INDEX('Per Line'!$R$2:$R$3001,$U245)&amp;"")</f>
        <v/>
      </c>
      <c r="K245">
        <f>IF($U245="","",Settings!$C$7)</f>
        <v/>
      </c>
      <c r="L245" s="7">
        <f>IF($U245="","",SUMIFS('Per Line'!$N$2:$N$3001,'Per Line'!$A$2:$A$3001,$A245,'Per Line'!$W$2:$W$3001,0))</f>
        <v/>
      </c>
      <c r="M245" s="7">
        <f>IF($U245="","",L245*K245)</f>
        <v/>
      </c>
      <c r="N245">
        <f>IF($U245="","",Settings!$C$6)</f>
        <v/>
      </c>
      <c r="O245" s="7">
        <f>IF($U245="","",SUMIFS('Per Line'!$N$2:$N$3001,'Per Line'!$A$2:$A$3001,$A245,'Per Line'!$W$2:$W$3001,1))</f>
        <v/>
      </c>
      <c r="P245" s="7">
        <f>IF($U245="","",O245*N245)</f>
        <v/>
      </c>
      <c r="Q245" s="7">
        <f>IF($U245="","",P245+M245)</f>
        <v/>
      </c>
      <c r="R245" s="7">
        <f>IF($U245="","",S245-Q245)</f>
        <v/>
      </c>
      <c r="S245" s="7">
        <f>IF($U245="","",L245+O245)</f>
        <v/>
      </c>
      <c r="T245" s="7">
        <f>IF($U245="","",S245-Q245-G245)</f>
        <v/>
      </c>
      <c r="U245" s="13">
        <f>IF(ROWS($U$2:$U245)&lt;=MAX('Per Line'!$V$2:$V$3001),MATCH(ROWS($U$2:$U245),'Per Line'!$V$2:$V$3001,0),"")</f>
        <v/>
      </c>
    </row>
    <row r="246">
      <c r="A246">
        <f>IF($U246="","",INDEX('Per Line'!$A$2:$A$3001,$U246)&amp;"")</f>
        <v/>
      </c>
      <c r="B246" s="12" t="n"/>
      <c r="C246">
        <f>IF($U246="","",INDEX('Per Line'!$B$2:$B$3001,$U246)&amp;"")</f>
        <v/>
      </c>
      <c r="D246">
        <f>IF($U246="","",INDEX('Per Line'!$C$2:$C$3001,$U246)&amp;"")</f>
        <v/>
      </c>
      <c r="E246">
        <f>IF($U246="","",INDEX('Per Line'!$D$2:$D$3001,$U246)&amp;"")</f>
        <v/>
      </c>
      <c r="F246">
        <f>IF($U246="","",INDEX('Per Line'!$E$2:$E$3001,$U246))</f>
        <v/>
      </c>
      <c r="G246" s="7">
        <f>IF($U246="","",F246*S246/100)</f>
        <v/>
      </c>
      <c r="H246">
        <f>IF($U246="","",INDEX('Per Line'!$O$2:$O$3001,$U246)&amp;"")</f>
        <v/>
      </c>
      <c r="I246" s="11">
        <f>IF($U246="","",INDEX('Per Line'!$Q$2:$Q$3001,$U246))</f>
        <v/>
      </c>
      <c r="J246">
        <f>IF($U246="","",INDEX('Per Line'!$R$2:$R$3001,$U246)&amp;"")</f>
        <v/>
      </c>
      <c r="K246">
        <f>IF($U246="","",Settings!$C$7)</f>
        <v/>
      </c>
      <c r="L246" s="7">
        <f>IF($U246="","",SUMIFS('Per Line'!$N$2:$N$3001,'Per Line'!$A$2:$A$3001,$A246,'Per Line'!$W$2:$W$3001,0))</f>
        <v/>
      </c>
      <c r="M246" s="7">
        <f>IF($U246="","",L246*K246)</f>
        <v/>
      </c>
      <c r="N246">
        <f>IF($U246="","",Settings!$C$6)</f>
        <v/>
      </c>
      <c r="O246" s="7">
        <f>IF($U246="","",SUMIFS('Per Line'!$N$2:$N$3001,'Per Line'!$A$2:$A$3001,$A246,'Per Line'!$W$2:$W$3001,1))</f>
        <v/>
      </c>
      <c r="P246" s="7">
        <f>IF($U246="","",O246*N246)</f>
        <v/>
      </c>
      <c r="Q246" s="7">
        <f>IF($U246="","",P246+M246)</f>
        <v/>
      </c>
      <c r="R246" s="7">
        <f>IF($U246="","",S246-Q246)</f>
        <v/>
      </c>
      <c r="S246" s="7">
        <f>IF($U246="","",L246+O246)</f>
        <v/>
      </c>
      <c r="T246" s="7">
        <f>IF($U246="","",S246-Q246-G246)</f>
        <v/>
      </c>
      <c r="U246" s="13">
        <f>IF(ROWS($U$2:$U246)&lt;=MAX('Per Line'!$V$2:$V$3001),MATCH(ROWS($U$2:$U246),'Per Line'!$V$2:$V$3001,0),"")</f>
        <v/>
      </c>
    </row>
    <row r="247">
      <c r="A247">
        <f>IF($U247="","",INDEX('Per Line'!$A$2:$A$3001,$U247)&amp;"")</f>
        <v/>
      </c>
      <c r="B247" s="12" t="n"/>
      <c r="C247">
        <f>IF($U247="","",INDEX('Per Line'!$B$2:$B$3001,$U247)&amp;"")</f>
        <v/>
      </c>
      <c r="D247">
        <f>IF($U247="","",INDEX('Per Line'!$C$2:$C$3001,$U247)&amp;"")</f>
        <v/>
      </c>
      <c r="E247">
        <f>IF($U247="","",INDEX('Per Line'!$D$2:$D$3001,$U247)&amp;"")</f>
        <v/>
      </c>
      <c r="F247">
        <f>IF($U247="","",INDEX('Per Line'!$E$2:$E$3001,$U247))</f>
        <v/>
      </c>
      <c r="G247" s="7">
        <f>IF($U247="","",F247*S247/100)</f>
        <v/>
      </c>
      <c r="H247">
        <f>IF($U247="","",INDEX('Per Line'!$O$2:$O$3001,$U247)&amp;"")</f>
        <v/>
      </c>
      <c r="I247" s="11">
        <f>IF($U247="","",INDEX('Per Line'!$Q$2:$Q$3001,$U247))</f>
        <v/>
      </c>
      <c r="J247">
        <f>IF($U247="","",INDEX('Per Line'!$R$2:$R$3001,$U247)&amp;"")</f>
        <v/>
      </c>
      <c r="K247">
        <f>IF($U247="","",Settings!$C$7)</f>
        <v/>
      </c>
      <c r="L247" s="7">
        <f>IF($U247="","",SUMIFS('Per Line'!$N$2:$N$3001,'Per Line'!$A$2:$A$3001,$A247,'Per Line'!$W$2:$W$3001,0))</f>
        <v/>
      </c>
      <c r="M247" s="7">
        <f>IF($U247="","",L247*K247)</f>
        <v/>
      </c>
      <c r="N247">
        <f>IF($U247="","",Settings!$C$6)</f>
        <v/>
      </c>
      <c r="O247" s="7">
        <f>IF($U247="","",SUMIFS('Per Line'!$N$2:$N$3001,'Per Line'!$A$2:$A$3001,$A247,'Per Line'!$W$2:$W$3001,1))</f>
        <v/>
      </c>
      <c r="P247" s="7">
        <f>IF($U247="","",O247*N247)</f>
        <v/>
      </c>
      <c r="Q247" s="7">
        <f>IF($U247="","",P247+M247)</f>
        <v/>
      </c>
      <c r="R247" s="7">
        <f>IF($U247="","",S247-Q247)</f>
        <v/>
      </c>
      <c r="S247" s="7">
        <f>IF($U247="","",L247+O247)</f>
        <v/>
      </c>
      <c r="T247" s="7">
        <f>IF($U247="","",S247-Q247-G247)</f>
        <v/>
      </c>
      <c r="U247" s="13">
        <f>IF(ROWS($U$2:$U247)&lt;=MAX('Per Line'!$V$2:$V$3001),MATCH(ROWS($U$2:$U247),'Per Line'!$V$2:$V$3001,0),"")</f>
        <v/>
      </c>
    </row>
    <row r="248">
      <c r="A248">
        <f>IF($U248="","",INDEX('Per Line'!$A$2:$A$3001,$U248)&amp;"")</f>
        <v/>
      </c>
      <c r="B248" s="12" t="n"/>
      <c r="C248">
        <f>IF($U248="","",INDEX('Per Line'!$B$2:$B$3001,$U248)&amp;"")</f>
        <v/>
      </c>
      <c r="D248">
        <f>IF($U248="","",INDEX('Per Line'!$C$2:$C$3001,$U248)&amp;"")</f>
        <v/>
      </c>
      <c r="E248">
        <f>IF($U248="","",INDEX('Per Line'!$D$2:$D$3001,$U248)&amp;"")</f>
        <v/>
      </c>
      <c r="F248">
        <f>IF($U248="","",INDEX('Per Line'!$E$2:$E$3001,$U248))</f>
        <v/>
      </c>
      <c r="G248" s="7">
        <f>IF($U248="","",F248*S248/100)</f>
        <v/>
      </c>
      <c r="H248">
        <f>IF($U248="","",INDEX('Per Line'!$O$2:$O$3001,$U248)&amp;"")</f>
        <v/>
      </c>
      <c r="I248" s="11">
        <f>IF($U248="","",INDEX('Per Line'!$Q$2:$Q$3001,$U248))</f>
        <v/>
      </c>
      <c r="J248">
        <f>IF($U248="","",INDEX('Per Line'!$R$2:$R$3001,$U248)&amp;"")</f>
        <v/>
      </c>
      <c r="K248">
        <f>IF($U248="","",Settings!$C$7)</f>
        <v/>
      </c>
      <c r="L248" s="7">
        <f>IF($U248="","",SUMIFS('Per Line'!$N$2:$N$3001,'Per Line'!$A$2:$A$3001,$A248,'Per Line'!$W$2:$W$3001,0))</f>
        <v/>
      </c>
      <c r="M248" s="7">
        <f>IF($U248="","",L248*K248)</f>
        <v/>
      </c>
      <c r="N248">
        <f>IF($U248="","",Settings!$C$6)</f>
        <v/>
      </c>
      <c r="O248" s="7">
        <f>IF($U248="","",SUMIFS('Per Line'!$N$2:$N$3001,'Per Line'!$A$2:$A$3001,$A248,'Per Line'!$W$2:$W$3001,1))</f>
        <v/>
      </c>
      <c r="P248" s="7">
        <f>IF($U248="","",O248*N248)</f>
        <v/>
      </c>
      <c r="Q248" s="7">
        <f>IF($U248="","",P248+M248)</f>
        <v/>
      </c>
      <c r="R248" s="7">
        <f>IF($U248="","",S248-Q248)</f>
        <v/>
      </c>
      <c r="S248" s="7">
        <f>IF($U248="","",L248+O248)</f>
        <v/>
      </c>
      <c r="T248" s="7">
        <f>IF($U248="","",S248-Q248-G248)</f>
        <v/>
      </c>
      <c r="U248" s="13">
        <f>IF(ROWS($U$2:$U248)&lt;=MAX('Per Line'!$V$2:$V$3001),MATCH(ROWS($U$2:$U248),'Per Line'!$V$2:$V$3001,0),"")</f>
        <v/>
      </c>
    </row>
    <row r="249">
      <c r="A249">
        <f>IF($U249="","",INDEX('Per Line'!$A$2:$A$3001,$U249)&amp;"")</f>
        <v/>
      </c>
      <c r="B249" s="12" t="n"/>
      <c r="C249">
        <f>IF($U249="","",INDEX('Per Line'!$B$2:$B$3001,$U249)&amp;"")</f>
        <v/>
      </c>
      <c r="D249">
        <f>IF($U249="","",INDEX('Per Line'!$C$2:$C$3001,$U249)&amp;"")</f>
        <v/>
      </c>
      <c r="E249">
        <f>IF($U249="","",INDEX('Per Line'!$D$2:$D$3001,$U249)&amp;"")</f>
        <v/>
      </c>
      <c r="F249">
        <f>IF($U249="","",INDEX('Per Line'!$E$2:$E$3001,$U249))</f>
        <v/>
      </c>
      <c r="G249" s="7">
        <f>IF($U249="","",F249*S249/100)</f>
        <v/>
      </c>
      <c r="H249">
        <f>IF($U249="","",INDEX('Per Line'!$O$2:$O$3001,$U249)&amp;"")</f>
        <v/>
      </c>
      <c r="I249" s="11">
        <f>IF($U249="","",INDEX('Per Line'!$Q$2:$Q$3001,$U249))</f>
        <v/>
      </c>
      <c r="J249">
        <f>IF($U249="","",INDEX('Per Line'!$R$2:$R$3001,$U249)&amp;"")</f>
        <v/>
      </c>
      <c r="K249">
        <f>IF($U249="","",Settings!$C$7)</f>
        <v/>
      </c>
      <c r="L249" s="7">
        <f>IF($U249="","",SUMIFS('Per Line'!$N$2:$N$3001,'Per Line'!$A$2:$A$3001,$A249,'Per Line'!$W$2:$W$3001,0))</f>
        <v/>
      </c>
      <c r="M249" s="7">
        <f>IF($U249="","",L249*K249)</f>
        <v/>
      </c>
      <c r="N249">
        <f>IF($U249="","",Settings!$C$6)</f>
        <v/>
      </c>
      <c r="O249" s="7">
        <f>IF($U249="","",SUMIFS('Per Line'!$N$2:$N$3001,'Per Line'!$A$2:$A$3001,$A249,'Per Line'!$W$2:$W$3001,1))</f>
        <v/>
      </c>
      <c r="P249" s="7">
        <f>IF($U249="","",O249*N249)</f>
        <v/>
      </c>
      <c r="Q249" s="7">
        <f>IF($U249="","",P249+M249)</f>
        <v/>
      </c>
      <c r="R249" s="7">
        <f>IF($U249="","",S249-Q249)</f>
        <v/>
      </c>
      <c r="S249" s="7">
        <f>IF($U249="","",L249+O249)</f>
        <v/>
      </c>
      <c r="T249" s="7">
        <f>IF($U249="","",S249-Q249-G249)</f>
        <v/>
      </c>
      <c r="U249" s="13">
        <f>IF(ROWS($U$2:$U249)&lt;=MAX('Per Line'!$V$2:$V$3001),MATCH(ROWS($U$2:$U249),'Per Line'!$V$2:$V$3001,0),"")</f>
        <v/>
      </c>
    </row>
    <row r="250">
      <c r="A250">
        <f>IF($U250="","",INDEX('Per Line'!$A$2:$A$3001,$U250)&amp;"")</f>
        <v/>
      </c>
      <c r="B250" s="12" t="n"/>
      <c r="C250">
        <f>IF($U250="","",INDEX('Per Line'!$B$2:$B$3001,$U250)&amp;"")</f>
        <v/>
      </c>
      <c r="D250">
        <f>IF($U250="","",INDEX('Per Line'!$C$2:$C$3001,$U250)&amp;"")</f>
        <v/>
      </c>
      <c r="E250">
        <f>IF($U250="","",INDEX('Per Line'!$D$2:$D$3001,$U250)&amp;"")</f>
        <v/>
      </c>
      <c r="F250">
        <f>IF($U250="","",INDEX('Per Line'!$E$2:$E$3001,$U250))</f>
        <v/>
      </c>
      <c r="G250" s="7">
        <f>IF($U250="","",F250*S250/100)</f>
        <v/>
      </c>
      <c r="H250">
        <f>IF($U250="","",INDEX('Per Line'!$O$2:$O$3001,$U250)&amp;"")</f>
        <v/>
      </c>
      <c r="I250" s="11">
        <f>IF($U250="","",INDEX('Per Line'!$Q$2:$Q$3001,$U250))</f>
        <v/>
      </c>
      <c r="J250">
        <f>IF($U250="","",INDEX('Per Line'!$R$2:$R$3001,$U250)&amp;"")</f>
        <v/>
      </c>
      <c r="K250">
        <f>IF($U250="","",Settings!$C$7)</f>
        <v/>
      </c>
      <c r="L250" s="7">
        <f>IF($U250="","",SUMIFS('Per Line'!$N$2:$N$3001,'Per Line'!$A$2:$A$3001,$A250,'Per Line'!$W$2:$W$3001,0))</f>
        <v/>
      </c>
      <c r="M250" s="7">
        <f>IF($U250="","",L250*K250)</f>
        <v/>
      </c>
      <c r="N250">
        <f>IF($U250="","",Settings!$C$6)</f>
        <v/>
      </c>
      <c r="O250" s="7">
        <f>IF($U250="","",SUMIFS('Per Line'!$N$2:$N$3001,'Per Line'!$A$2:$A$3001,$A250,'Per Line'!$W$2:$W$3001,1))</f>
        <v/>
      </c>
      <c r="P250" s="7">
        <f>IF($U250="","",O250*N250)</f>
        <v/>
      </c>
      <c r="Q250" s="7">
        <f>IF($U250="","",P250+M250)</f>
        <v/>
      </c>
      <c r="R250" s="7">
        <f>IF($U250="","",S250-Q250)</f>
        <v/>
      </c>
      <c r="S250" s="7">
        <f>IF($U250="","",L250+O250)</f>
        <v/>
      </c>
      <c r="T250" s="7">
        <f>IF($U250="","",S250-Q250-G250)</f>
        <v/>
      </c>
      <c r="U250" s="13">
        <f>IF(ROWS($U$2:$U250)&lt;=MAX('Per Line'!$V$2:$V$3001),MATCH(ROWS($U$2:$U250),'Per Line'!$V$2:$V$3001,0),"")</f>
        <v/>
      </c>
    </row>
    <row r="251">
      <c r="A251">
        <f>IF($U251="","",INDEX('Per Line'!$A$2:$A$3001,$U251)&amp;"")</f>
        <v/>
      </c>
      <c r="B251" s="12" t="n"/>
      <c r="C251">
        <f>IF($U251="","",INDEX('Per Line'!$B$2:$B$3001,$U251)&amp;"")</f>
        <v/>
      </c>
      <c r="D251">
        <f>IF($U251="","",INDEX('Per Line'!$C$2:$C$3001,$U251)&amp;"")</f>
        <v/>
      </c>
      <c r="E251">
        <f>IF($U251="","",INDEX('Per Line'!$D$2:$D$3001,$U251)&amp;"")</f>
        <v/>
      </c>
      <c r="F251">
        <f>IF($U251="","",INDEX('Per Line'!$E$2:$E$3001,$U251))</f>
        <v/>
      </c>
      <c r="G251" s="7">
        <f>IF($U251="","",F251*S251/100)</f>
        <v/>
      </c>
      <c r="H251">
        <f>IF($U251="","",INDEX('Per Line'!$O$2:$O$3001,$U251)&amp;"")</f>
        <v/>
      </c>
      <c r="I251" s="11">
        <f>IF($U251="","",INDEX('Per Line'!$Q$2:$Q$3001,$U251))</f>
        <v/>
      </c>
      <c r="J251">
        <f>IF($U251="","",INDEX('Per Line'!$R$2:$R$3001,$U251)&amp;"")</f>
        <v/>
      </c>
      <c r="K251">
        <f>IF($U251="","",Settings!$C$7)</f>
        <v/>
      </c>
      <c r="L251" s="7">
        <f>IF($U251="","",SUMIFS('Per Line'!$N$2:$N$3001,'Per Line'!$A$2:$A$3001,$A251,'Per Line'!$W$2:$W$3001,0))</f>
        <v/>
      </c>
      <c r="M251" s="7">
        <f>IF($U251="","",L251*K251)</f>
        <v/>
      </c>
      <c r="N251">
        <f>IF($U251="","",Settings!$C$6)</f>
        <v/>
      </c>
      <c r="O251" s="7">
        <f>IF($U251="","",SUMIFS('Per Line'!$N$2:$N$3001,'Per Line'!$A$2:$A$3001,$A251,'Per Line'!$W$2:$W$3001,1))</f>
        <v/>
      </c>
      <c r="P251" s="7">
        <f>IF($U251="","",O251*N251)</f>
        <v/>
      </c>
      <c r="Q251" s="7">
        <f>IF($U251="","",P251+M251)</f>
        <v/>
      </c>
      <c r="R251" s="7">
        <f>IF($U251="","",S251-Q251)</f>
        <v/>
      </c>
      <c r="S251" s="7">
        <f>IF($U251="","",L251+O251)</f>
        <v/>
      </c>
      <c r="T251" s="7">
        <f>IF($U251="","",S251-Q251-G251)</f>
        <v/>
      </c>
      <c r="U251" s="13">
        <f>IF(ROWS($U$2:$U251)&lt;=MAX('Per Line'!$V$2:$V$3001),MATCH(ROWS($U$2:$U251),'Per Line'!$V$2:$V$3001,0),"")</f>
        <v/>
      </c>
    </row>
    <row r="252">
      <c r="A252">
        <f>IF($U252="","",INDEX('Per Line'!$A$2:$A$3001,$U252)&amp;"")</f>
        <v/>
      </c>
      <c r="B252" s="12" t="n"/>
      <c r="C252">
        <f>IF($U252="","",INDEX('Per Line'!$B$2:$B$3001,$U252)&amp;"")</f>
        <v/>
      </c>
      <c r="D252">
        <f>IF($U252="","",INDEX('Per Line'!$C$2:$C$3001,$U252)&amp;"")</f>
        <v/>
      </c>
      <c r="E252">
        <f>IF($U252="","",INDEX('Per Line'!$D$2:$D$3001,$U252)&amp;"")</f>
        <v/>
      </c>
      <c r="F252">
        <f>IF($U252="","",INDEX('Per Line'!$E$2:$E$3001,$U252))</f>
        <v/>
      </c>
      <c r="G252" s="7">
        <f>IF($U252="","",F252*S252/100)</f>
        <v/>
      </c>
      <c r="H252">
        <f>IF($U252="","",INDEX('Per Line'!$O$2:$O$3001,$U252)&amp;"")</f>
        <v/>
      </c>
      <c r="I252" s="11">
        <f>IF($U252="","",INDEX('Per Line'!$Q$2:$Q$3001,$U252))</f>
        <v/>
      </c>
      <c r="J252">
        <f>IF($U252="","",INDEX('Per Line'!$R$2:$R$3001,$U252)&amp;"")</f>
        <v/>
      </c>
      <c r="K252">
        <f>IF($U252="","",Settings!$C$7)</f>
        <v/>
      </c>
      <c r="L252" s="7">
        <f>IF($U252="","",SUMIFS('Per Line'!$N$2:$N$3001,'Per Line'!$A$2:$A$3001,$A252,'Per Line'!$W$2:$W$3001,0))</f>
        <v/>
      </c>
      <c r="M252" s="7">
        <f>IF($U252="","",L252*K252)</f>
        <v/>
      </c>
      <c r="N252">
        <f>IF($U252="","",Settings!$C$6)</f>
        <v/>
      </c>
      <c r="O252" s="7">
        <f>IF($U252="","",SUMIFS('Per Line'!$N$2:$N$3001,'Per Line'!$A$2:$A$3001,$A252,'Per Line'!$W$2:$W$3001,1))</f>
        <v/>
      </c>
      <c r="P252" s="7">
        <f>IF($U252="","",O252*N252)</f>
        <v/>
      </c>
      <c r="Q252" s="7">
        <f>IF($U252="","",P252+M252)</f>
        <v/>
      </c>
      <c r="R252" s="7">
        <f>IF($U252="","",S252-Q252)</f>
        <v/>
      </c>
      <c r="S252" s="7">
        <f>IF($U252="","",L252+O252)</f>
        <v/>
      </c>
      <c r="T252" s="7">
        <f>IF($U252="","",S252-Q252-G252)</f>
        <v/>
      </c>
      <c r="U252" s="13">
        <f>IF(ROWS($U$2:$U252)&lt;=MAX('Per Line'!$V$2:$V$3001),MATCH(ROWS($U$2:$U252),'Per Line'!$V$2:$V$3001,0),"")</f>
        <v/>
      </c>
    </row>
    <row r="253">
      <c r="A253">
        <f>IF($U253="","",INDEX('Per Line'!$A$2:$A$3001,$U253)&amp;"")</f>
        <v/>
      </c>
      <c r="B253" s="12" t="n"/>
      <c r="C253">
        <f>IF($U253="","",INDEX('Per Line'!$B$2:$B$3001,$U253)&amp;"")</f>
        <v/>
      </c>
      <c r="D253">
        <f>IF($U253="","",INDEX('Per Line'!$C$2:$C$3001,$U253)&amp;"")</f>
        <v/>
      </c>
      <c r="E253">
        <f>IF($U253="","",INDEX('Per Line'!$D$2:$D$3001,$U253)&amp;"")</f>
        <v/>
      </c>
      <c r="F253">
        <f>IF($U253="","",INDEX('Per Line'!$E$2:$E$3001,$U253))</f>
        <v/>
      </c>
      <c r="G253" s="7">
        <f>IF($U253="","",F253*S253/100)</f>
        <v/>
      </c>
      <c r="H253">
        <f>IF($U253="","",INDEX('Per Line'!$O$2:$O$3001,$U253)&amp;"")</f>
        <v/>
      </c>
      <c r="I253" s="11">
        <f>IF($U253="","",INDEX('Per Line'!$Q$2:$Q$3001,$U253))</f>
        <v/>
      </c>
      <c r="J253">
        <f>IF($U253="","",INDEX('Per Line'!$R$2:$R$3001,$U253)&amp;"")</f>
        <v/>
      </c>
      <c r="K253">
        <f>IF($U253="","",Settings!$C$7)</f>
        <v/>
      </c>
      <c r="L253" s="7">
        <f>IF($U253="","",SUMIFS('Per Line'!$N$2:$N$3001,'Per Line'!$A$2:$A$3001,$A253,'Per Line'!$W$2:$W$3001,0))</f>
        <v/>
      </c>
      <c r="M253" s="7">
        <f>IF($U253="","",L253*K253)</f>
        <v/>
      </c>
      <c r="N253">
        <f>IF($U253="","",Settings!$C$6)</f>
        <v/>
      </c>
      <c r="O253" s="7">
        <f>IF($U253="","",SUMIFS('Per Line'!$N$2:$N$3001,'Per Line'!$A$2:$A$3001,$A253,'Per Line'!$W$2:$W$3001,1))</f>
        <v/>
      </c>
      <c r="P253" s="7">
        <f>IF($U253="","",O253*N253)</f>
        <v/>
      </c>
      <c r="Q253" s="7">
        <f>IF($U253="","",P253+M253)</f>
        <v/>
      </c>
      <c r="R253" s="7">
        <f>IF($U253="","",S253-Q253)</f>
        <v/>
      </c>
      <c r="S253" s="7">
        <f>IF($U253="","",L253+O253)</f>
        <v/>
      </c>
      <c r="T253" s="7">
        <f>IF($U253="","",S253-Q253-G253)</f>
        <v/>
      </c>
      <c r="U253" s="13">
        <f>IF(ROWS($U$2:$U253)&lt;=MAX('Per Line'!$V$2:$V$3001),MATCH(ROWS($U$2:$U253),'Per Line'!$V$2:$V$3001,0),"")</f>
        <v/>
      </c>
    </row>
    <row r="254">
      <c r="A254">
        <f>IF($U254="","",INDEX('Per Line'!$A$2:$A$3001,$U254)&amp;"")</f>
        <v/>
      </c>
      <c r="B254" s="12" t="n"/>
      <c r="C254">
        <f>IF($U254="","",INDEX('Per Line'!$B$2:$B$3001,$U254)&amp;"")</f>
        <v/>
      </c>
      <c r="D254">
        <f>IF($U254="","",INDEX('Per Line'!$C$2:$C$3001,$U254)&amp;"")</f>
        <v/>
      </c>
      <c r="E254">
        <f>IF($U254="","",INDEX('Per Line'!$D$2:$D$3001,$U254)&amp;"")</f>
        <v/>
      </c>
      <c r="F254">
        <f>IF($U254="","",INDEX('Per Line'!$E$2:$E$3001,$U254))</f>
        <v/>
      </c>
      <c r="G254" s="7">
        <f>IF($U254="","",F254*S254/100)</f>
        <v/>
      </c>
      <c r="H254">
        <f>IF($U254="","",INDEX('Per Line'!$O$2:$O$3001,$U254)&amp;"")</f>
        <v/>
      </c>
      <c r="I254" s="11">
        <f>IF($U254="","",INDEX('Per Line'!$Q$2:$Q$3001,$U254))</f>
        <v/>
      </c>
      <c r="J254">
        <f>IF($U254="","",INDEX('Per Line'!$R$2:$R$3001,$U254)&amp;"")</f>
        <v/>
      </c>
      <c r="K254">
        <f>IF($U254="","",Settings!$C$7)</f>
        <v/>
      </c>
      <c r="L254" s="7">
        <f>IF($U254="","",SUMIFS('Per Line'!$N$2:$N$3001,'Per Line'!$A$2:$A$3001,$A254,'Per Line'!$W$2:$W$3001,0))</f>
        <v/>
      </c>
      <c r="M254" s="7">
        <f>IF($U254="","",L254*K254)</f>
        <v/>
      </c>
      <c r="N254">
        <f>IF($U254="","",Settings!$C$6)</f>
        <v/>
      </c>
      <c r="O254" s="7">
        <f>IF($U254="","",SUMIFS('Per Line'!$N$2:$N$3001,'Per Line'!$A$2:$A$3001,$A254,'Per Line'!$W$2:$W$3001,1))</f>
        <v/>
      </c>
      <c r="P254" s="7">
        <f>IF($U254="","",O254*N254)</f>
        <v/>
      </c>
      <c r="Q254" s="7">
        <f>IF($U254="","",P254+M254)</f>
        <v/>
      </c>
      <c r="R254" s="7">
        <f>IF($U254="","",S254-Q254)</f>
        <v/>
      </c>
      <c r="S254" s="7">
        <f>IF($U254="","",L254+O254)</f>
        <v/>
      </c>
      <c r="T254" s="7">
        <f>IF($U254="","",S254-Q254-G254)</f>
        <v/>
      </c>
      <c r="U254" s="13">
        <f>IF(ROWS($U$2:$U254)&lt;=MAX('Per Line'!$V$2:$V$3001),MATCH(ROWS($U$2:$U254),'Per Line'!$V$2:$V$3001,0),"")</f>
        <v/>
      </c>
    </row>
    <row r="255">
      <c r="A255">
        <f>IF($U255="","",INDEX('Per Line'!$A$2:$A$3001,$U255)&amp;"")</f>
        <v/>
      </c>
      <c r="B255" s="12" t="n"/>
      <c r="C255">
        <f>IF($U255="","",INDEX('Per Line'!$B$2:$B$3001,$U255)&amp;"")</f>
        <v/>
      </c>
      <c r="D255">
        <f>IF($U255="","",INDEX('Per Line'!$C$2:$C$3001,$U255)&amp;"")</f>
        <v/>
      </c>
      <c r="E255">
        <f>IF($U255="","",INDEX('Per Line'!$D$2:$D$3001,$U255)&amp;"")</f>
        <v/>
      </c>
      <c r="F255">
        <f>IF($U255="","",INDEX('Per Line'!$E$2:$E$3001,$U255))</f>
        <v/>
      </c>
      <c r="G255" s="7">
        <f>IF($U255="","",F255*S255/100)</f>
        <v/>
      </c>
      <c r="H255">
        <f>IF($U255="","",INDEX('Per Line'!$O$2:$O$3001,$U255)&amp;"")</f>
        <v/>
      </c>
      <c r="I255" s="11">
        <f>IF($U255="","",INDEX('Per Line'!$Q$2:$Q$3001,$U255))</f>
        <v/>
      </c>
      <c r="J255">
        <f>IF($U255="","",INDEX('Per Line'!$R$2:$R$3001,$U255)&amp;"")</f>
        <v/>
      </c>
      <c r="K255">
        <f>IF($U255="","",Settings!$C$7)</f>
        <v/>
      </c>
      <c r="L255" s="7">
        <f>IF($U255="","",SUMIFS('Per Line'!$N$2:$N$3001,'Per Line'!$A$2:$A$3001,$A255,'Per Line'!$W$2:$W$3001,0))</f>
        <v/>
      </c>
      <c r="M255" s="7">
        <f>IF($U255="","",L255*K255)</f>
        <v/>
      </c>
      <c r="N255">
        <f>IF($U255="","",Settings!$C$6)</f>
        <v/>
      </c>
      <c r="O255" s="7">
        <f>IF($U255="","",SUMIFS('Per Line'!$N$2:$N$3001,'Per Line'!$A$2:$A$3001,$A255,'Per Line'!$W$2:$W$3001,1))</f>
        <v/>
      </c>
      <c r="P255" s="7">
        <f>IF($U255="","",O255*N255)</f>
        <v/>
      </c>
      <c r="Q255" s="7">
        <f>IF($U255="","",P255+M255)</f>
        <v/>
      </c>
      <c r="R255" s="7">
        <f>IF($U255="","",S255-Q255)</f>
        <v/>
      </c>
      <c r="S255" s="7">
        <f>IF($U255="","",L255+O255)</f>
        <v/>
      </c>
      <c r="T255" s="7">
        <f>IF($U255="","",S255-Q255-G255)</f>
        <v/>
      </c>
      <c r="U255" s="13">
        <f>IF(ROWS($U$2:$U255)&lt;=MAX('Per Line'!$V$2:$V$3001),MATCH(ROWS($U$2:$U255),'Per Line'!$V$2:$V$3001,0),"")</f>
        <v/>
      </c>
    </row>
    <row r="256">
      <c r="A256">
        <f>IF($U256="","",INDEX('Per Line'!$A$2:$A$3001,$U256)&amp;"")</f>
        <v/>
      </c>
      <c r="B256" s="12" t="n"/>
      <c r="C256">
        <f>IF($U256="","",INDEX('Per Line'!$B$2:$B$3001,$U256)&amp;"")</f>
        <v/>
      </c>
      <c r="D256">
        <f>IF($U256="","",INDEX('Per Line'!$C$2:$C$3001,$U256)&amp;"")</f>
        <v/>
      </c>
      <c r="E256">
        <f>IF($U256="","",INDEX('Per Line'!$D$2:$D$3001,$U256)&amp;"")</f>
        <v/>
      </c>
      <c r="F256">
        <f>IF($U256="","",INDEX('Per Line'!$E$2:$E$3001,$U256))</f>
        <v/>
      </c>
      <c r="G256" s="7">
        <f>IF($U256="","",F256*S256/100)</f>
        <v/>
      </c>
      <c r="H256">
        <f>IF($U256="","",INDEX('Per Line'!$O$2:$O$3001,$U256)&amp;"")</f>
        <v/>
      </c>
      <c r="I256" s="11">
        <f>IF($U256="","",INDEX('Per Line'!$Q$2:$Q$3001,$U256))</f>
        <v/>
      </c>
      <c r="J256">
        <f>IF($U256="","",INDEX('Per Line'!$R$2:$R$3001,$U256)&amp;"")</f>
        <v/>
      </c>
      <c r="K256">
        <f>IF($U256="","",Settings!$C$7)</f>
        <v/>
      </c>
      <c r="L256" s="7">
        <f>IF($U256="","",SUMIFS('Per Line'!$N$2:$N$3001,'Per Line'!$A$2:$A$3001,$A256,'Per Line'!$W$2:$W$3001,0))</f>
        <v/>
      </c>
      <c r="M256" s="7">
        <f>IF($U256="","",L256*K256)</f>
        <v/>
      </c>
      <c r="N256">
        <f>IF($U256="","",Settings!$C$6)</f>
        <v/>
      </c>
      <c r="O256" s="7">
        <f>IF($U256="","",SUMIFS('Per Line'!$N$2:$N$3001,'Per Line'!$A$2:$A$3001,$A256,'Per Line'!$W$2:$W$3001,1))</f>
        <v/>
      </c>
      <c r="P256" s="7">
        <f>IF($U256="","",O256*N256)</f>
        <v/>
      </c>
      <c r="Q256" s="7">
        <f>IF($U256="","",P256+M256)</f>
        <v/>
      </c>
      <c r="R256" s="7">
        <f>IF($U256="","",S256-Q256)</f>
        <v/>
      </c>
      <c r="S256" s="7">
        <f>IF($U256="","",L256+O256)</f>
        <v/>
      </c>
      <c r="T256" s="7">
        <f>IF($U256="","",S256-Q256-G256)</f>
        <v/>
      </c>
      <c r="U256" s="13">
        <f>IF(ROWS($U$2:$U256)&lt;=MAX('Per Line'!$V$2:$V$3001),MATCH(ROWS($U$2:$U256),'Per Line'!$V$2:$V$3001,0),"")</f>
        <v/>
      </c>
    </row>
    <row r="257">
      <c r="A257">
        <f>IF($U257="","",INDEX('Per Line'!$A$2:$A$3001,$U257)&amp;"")</f>
        <v/>
      </c>
      <c r="B257" s="12" t="n"/>
      <c r="C257">
        <f>IF($U257="","",INDEX('Per Line'!$B$2:$B$3001,$U257)&amp;"")</f>
        <v/>
      </c>
      <c r="D257">
        <f>IF($U257="","",INDEX('Per Line'!$C$2:$C$3001,$U257)&amp;"")</f>
        <v/>
      </c>
      <c r="E257">
        <f>IF($U257="","",INDEX('Per Line'!$D$2:$D$3001,$U257)&amp;"")</f>
        <v/>
      </c>
      <c r="F257">
        <f>IF($U257="","",INDEX('Per Line'!$E$2:$E$3001,$U257))</f>
        <v/>
      </c>
      <c r="G257" s="7">
        <f>IF($U257="","",F257*S257/100)</f>
        <v/>
      </c>
      <c r="H257">
        <f>IF($U257="","",INDEX('Per Line'!$O$2:$O$3001,$U257)&amp;"")</f>
        <v/>
      </c>
      <c r="I257" s="11">
        <f>IF($U257="","",INDEX('Per Line'!$Q$2:$Q$3001,$U257))</f>
        <v/>
      </c>
      <c r="J257">
        <f>IF($U257="","",INDEX('Per Line'!$R$2:$R$3001,$U257)&amp;"")</f>
        <v/>
      </c>
      <c r="K257">
        <f>IF($U257="","",Settings!$C$7)</f>
        <v/>
      </c>
      <c r="L257" s="7">
        <f>IF($U257="","",SUMIFS('Per Line'!$N$2:$N$3001,'Per Line'!$A$2:$A$3001,$A257,'Per Line'!$W$2:$W$3001,0))</f>
        <v/>
      </c>
      <c r="M257" s="7">
        <f>IF($U257="","",L257*K257)</f>
        <v/>
      </c>
      <c r="N257">
        <f>IF($U257="","",Settings!$C$6)</f>
        <v/>
      </c>
      <c r="O257" s="7">
        <f>IF($U257="","",SUMIFS('Per Line'!$N$2:$N$3001,'Per Line'!$A$2:$A$3001,$A257,'Per Line'!$W$2:$W$3001,1))</f>
        <v/>
      </c>
      <c r="P257" s="7">
        <f>IF($U257="","",O257*N257)</f>
        <v/>
      </c>
      <c r="Q257" s="7">
        <f>IF($U257="","",P257+M257)</f>
        <v/>
      </c>
      <c r="R257" s="7">
        <f>IF($U257="","",S257-Q257)</f>
        <v/>
      </c>
      <c r="S257" s="7">
        <f>IF($U257="","",L257+O257)</f>
        <v/>
      </c>
      <c r="T257" s="7">
        <f>IF($U257="","",S257-Q257-G257)</f>
        <v/>
      </c>
      <c r="U257" s="13">
        <f>IF(ROWS($U$2:$U257)&lt;=MAX('Per Line'!$V$2:$V$3001),MATCH(ROWS($U$2:$U257),'Per Line'!$V$2:$V$3001,0),"")</f>
        <v/>
      </c>
    </row>
    <row r="258">
      <c r="A258">
        <f>IF($U258="","",INDEX('Per Line'!$A$2:$A$3001,$U258)&amp;"")</f>
        <v/>
      </c>
      <c r="B258" s="12" t="n"/>
      <c r="C258">
        <f>IF($U258="","",INDEX('Per Line'!$B$2:$B$3001,$U258)&amp;"")</f>
        <v/>
      </c>
      <c r="D258">
        <f>IF($U258="","",INDEX('Per Line'!$C$2:$C$3001,$U258)&amp;"")</f>
        <v/>
      </c>
      <c r="E258">
        <f>IF($U258="","",INDEX('Per Line'!$D$2:$D$3001,$U258)&amp;"")</f>
        <v/>
      </c>
      <c r="F258">
        <f>IF($U258="","",INDEX('Per Line'!$E$2:$E$3001,$U258))</f>
        <v/>
      </c>
      <c r="G258" s="7">
        <f>IF($U258="","",F258*S258/100)</f>
        <v/>
      </c>
      <c r="H258">
        <f>IF($U258="","",INDEX('Per Line'!$O$2:$O$3001,$U258)&amp;"")</f>
        <v/>
      </c>
      <c r="I258" s="11">
        <f>IF($U258="","",INDEX('Per Line'!$Q$2:$Q$3001,$U258))</f>
        <v/>
      </c>
      <c r="J258">
        <f>IF($U258="","",INDEX('Per Line'!$R$2:$R$3001,$U258)&amp;"")</f>
        <v/>
      </c>
      <c r="K258">
        <f>IF($U258="","",Settings!$C$7)</f>
        <v/>
      </c>
      <c r="L258" s="7">
        <f>IF($U258="","",SUMIFS('Per Line'!$N$2:$N$3001,'Per Line'!$A$2:$A$3001,$A258,'Per Line'!$W$2:$W$3001,0))</f>
        <v/>
      </c>
      <c r="M258" s="7">
        <f>IF($U258="","",L258*K258)</f>
        <v/>
      </c>
      <c r="N258">
        <f>IF($U258="","",Settings!$C$6)</f>
        <v/>
      </c>
      <c r="O258" s="7">
        <f>IF($U258="","",SUMIFS('Per Line'!$N$2:$N$3001,'Per Line'!$A$2:$A$3001,$A258,'Per Line'!$W$2:$W$3001,1))</f>
        <v/>
      </c>
      <c r="P258" s="7">
        <f>IF($U258="","",O258*N258)</f>
        <v/>
      </c>
      <c r="Q258" s="7">
        <f>IF($U258="","",P258+M258)</f>
        <v/>
      </c>
      <c r="R258" s="7">
        <f>IF($U258="","",S258-Q258)</f>
        <v/>
      </c>
      <c r="S258" s="7">
        <f>IF($U258="","",L258+O258)</f>
        <v/>
      </c>
      <c r="T258" s="7">
        <f>IF($U258="","",S258-Q258-G258)</f>
        <v/>
      </c>
      <c r="U258" s="13">
        <f>IF(ROWS($U$2:$U258)&lt;=MAX('Per Line'!$V$2:$V$3001),MATCH(ROWS($U$2:$U258),'Per Line'!$V$2:$V$3001,0),"")</f>
        <v/>
      </c>
    </row>
    <row r="259">
      <c r="A259">
        <f>IF($U259="","",INDEX('Per Line'!$A$2:$A$3001,$U259)&amp;"")</f>
        <v/>
      </c>
      <c r="B259" s="12" t="n"/>
      <c r="C259">
        <f>IF($U259="","",INDEX('Per Line'!$B$2:$B$3001,$U259)&amp;"")</f>
        <v/>
      </c>
      <c r="D259">
        <f>IF($U259="","",INDEX('Per Line'!$C$2:$C$3001,$U259)&amp;"")</f>
        <v/>
      </c>
      <c r="E259">
        <f>IF($U259="","",INDEX('Per Line'!$D$2:$D$3001,$U259)&amp;"")</f>
        <v/>
      </c>
      <c r="F259">
        <f>IF($U259="","",INDEX('Per Line'!$E$2:$E$3001,$U259))</f>
        <v/>
      </c>
      <c r="G259" s="7">
        <f>IF($U259="","",F259*S259/100)</f>
        <v/>
      </c>
      <c r="H259">
        <f>IF($U259="","",INDEX('Per Line'!$O$2:$O$3001,$U259)&amp;"")</f>
        <v/>
      </c>
      <c r="I259" s="11">
        <f>IF($U259="","",INDEX('Per Line'!$Q$2:$Q$3001,$U259))</f>
        <v/>
      </c>
      <c r="J259">
        <f>IF($U259="","",INDEX('Per Line'!$R$2:$R$3001,$U259)&amp;"")</f>
        <v/>
      </c>
      <c r="K259">
        <f>IF($U259="","",Settings!$C$7)</f>
        <v/>
      </c>
      <c r="L259" s="7">
        <f>IF($U259="","",SUMIFS('Per Line'!$N$2:$N$3001,'Per Line'!$A$2:$A$3001,$A259,'Per Line'!$W$2:$W$3001,0))</f>
        <v/>
      </c>
      <c r="M259" s="7">
        <f>IF($U259="","",L259*K259)</f>
        <v/>
      </c>
      <c r="N259">
        <f>IF($U259="","",Settings!$C$6)</f>
        <v/>
      </c>
      <c r="O259" s="7">
        <f>IF($U259="","",SUMIFS('Per Line'!$N$2:$N$3001,'Per Line'!$A$2:$A$3001,$A259,'Per Line'!$W$2:$W$3001,1))</f>
        <v/>
      </c>
      <c r="P259" s="7">
        <f>IF($U259="","",O259*N259)</f>
        <v/>
      </c>
      <c r="Q259" s="7">
        <f>IF($U259="","",P259+M259)</f>
        <v/>
      </c>
      <c r="R259" s="7">
        <f>IF($U259="","",S259-Q259)</f>
        <v/>
      </c>
      <c r="S259" s="7">
        <f>IF($U259="","",L259+O259)</f>
        <v/>
      </c>
      <c r="T259" s="7">
        <f>IF($U259="","",S259-Q259-G259)</f>
        <v/>
      </c>
      <c r="U259" s="13">
        <f>IF(ROWS($U$2:$U259)&lt;=MAX('Per Line'!$V$2:$V$3001),MATCH(ROWS($U$2:$U259),'Per Line'!$V$2:$V$3001,0),"")</f>
        <v/>
      </c>
    </row>
    <row r="260">
      <c r="A260">
        <f>IF($U260="","",INDEX('Per Line'!$A$2:$A$3001,$U260)&amp;"")</f>
        <v/>
      </c>
      <c r="B260" s="12" t="n"/>
      <c r="C260">
        <f>IF($U260="","",INDEX('Per Line'!$B$2:$B$3001,$U260)&amp;"")</f>
        <v/>
      </c>
      <c r="D260">
        <f>IF($U260="","",INDEX('Per Line'!$C$2:$C$3001,$U260)&amp;"")</f>
        <v/>
      </c>
      <c r="E260">
        <f>IF($U260="","",INDEX('Per Line'!$D$2:$D$3001,$U260)&amp;"")</f>
        <v/>
      </c>
      <c r="F260">
        <f>IF($U260="","",INDEX('Per Line'!$E$2:$E$3001,$U260))</f>
        <v/>
      </c>
      <c r="G260" s="7">
        <f>IF($U260="","",F260*S260/100)</f>
        <v/>
      </c>
      <c r="H260">
        <f>IF($U260="","",INDEX('Per Line'!$O$2:$O$3001,$U260)&amp;"")</f>
        <v/>
      </c>
      <c r="I260" s="11">
        <f>IF($U260="","",INDEX('Per Line'!$Q$2:$Q$3001,$U260))</f>
        <v/>
      </c>
      <c r="J260">
        <f>IF($U260="","",INDEX('Per Line'!$R$2:$R$3001,$U260)&amp;"")</f>
        <v/>
      </c>
      <c r="K260">
        <f>IF($U260="","",Settings!$C$7)</f>
        <v/>
      </c>
      <c r="L260" s="7">
        <f>IF($U260="","",SUMIFS('Per Line'!$N$2:$N$3001,'Per Line'!$A$2:$A$3001,$A260,'Per Line'!$W$2:$W$3001,0))</f>
        <v/>
      </c>
      <c r="M260" s="7">
        <f>IF($U260="","",L260*K260)</f>
        <v/>
      </c>
      <c r="N260">
        <f>IF($U260="","",Settings!$C$6)</f>
        <v/>
      </c>
      <c r="O260" s="7">
        <f>IF($U260="","",SUMIFS('Per Line'!$N$2:$N$3001,'Per Line'!$A$2:$A$3001,$A260,'Per Line'!$W$2:$W$3001,1))</f>
        <v/>
      </c>
      <c r="P260" s="7">
        <f>IF($U260="","",O260*N260)</f>
        <v/>
      </c>
      <c r="Q260" s="7">
        <f>IF($U260="","",P260+M260)</f>
        <v/>
      </c>
      <c r="R260" s="7">
        <f>IF($U260="","",S260-Q260)</f>
        <v/>
      </c>
      <c r="S260" s="7">
        <f>IF($U260="","",L260+O260)</f>
        <v/>
      </c>
      <c r="T260" s="7">
        <f>IF($U260="","",S260-Q260-G260)</f>
        <v/>
      </c>
      <c r="U260" s="13">
        <f>IF(ROWS($U$2:$U260)&lt;=MAX('Per Line'!$V$2:$V$3001),MATCH(ROWS($U$2:$U260),'Per Line'!$V$2:$V$3001,0),"")</f>
        <v/>
      </c>
    </row>
    <row r="261">
      <c r="A261">
        <f>IF($U261="","",INDEX('Per Line'!$A$2:$A$3001,$U261)&amp;"")</f>
        <v/>
      </c>
      <c r="B261" s="12" t="n"/>
      <c r="C261">
        <f>IF($U261="","",INDEX('Per Line'!$B$2:$B$3001,$U261)&amp;"")</f>
        <v/>
      </c>
      <c r="D261">
        <f>IF($U261="","",INDEX('Per Line'!$C$2:$C$3001,$U261)&amp;"")</f>
        <v/>
      </c>
      <c r="E261">
        <f>IF($U261="","",INDEX('Per Line'!$D$2:$D$3001,$U261)&amp;"")</f>
        <v/>
      </c>
      <c r="F261">
        <f>IF($U261="","",INDEX('Per Line'!$E$2:$E$3001,$U261))</f>
        <v/>
      </c>
      <c r="G261" s="7">
        <f>IF($U261="","",F261*S261/100)</f>
        <v/>
      </c>
      <c r="H261">
        <f>IF($U261="","",INDEX('Per Line'!$O$2:$O$3001,$U261)&amp;"")</f>
        <v/>
      </c>
      <c r="I261" s="11">
        <f>IF($U261="","",INDEX('Per Line'!$Q$2:$Q$3001,$U261))</f>
        <v/>
      </c>
      <c r="J261">
        <f>IF($U261="","",INDEX('Per Line'!$R$2:$R$3001,$U261)&amp;"")</f>
        <v/>
      </c>
      <c r="K261">
        <f>IF($U261="","",Settings!$C$7)</f>
        <v/>
      </c>
      <c r="L261" s="7">
        <f>IF($U261="","",SUMIFS('Per Line'!$N$2:$N$3001,'Per Line'!$A$2:$A$3001,$A261,'Per Line'!$W$2:$W$3001,0))</f>
        <v/>
      </c>
      <c r="M261" s="7">
        <f>IF($U261="","",L261*K261)</f>
        <v/>
      </c>
      <c r="N261">
        <f>IF($U261="","",Settings!$C$6)</f>
        <v/>
      </c>
      <c r="O261" s="7">
        <f>IF($U261="","",SUMIFS('Per Line'!$N$2:$N$3001,'Per Line'!$A$2:$A$3001,$A261,'Per Line'!$W$2:$W$3001,1))</f>
        <v/>
      </c>
      <c r="P261" s="7">
        <f>IF($U261="","",O261*N261)</f>
        <v/>
      </c>
      <c r="Q261" s="7">
        <f>IF($U261="","",P261+M261)</f>
        <v/>
      </c>
      <c r="R261" s="7">
        <f>IF($U261="","",S261-Q261)</f>
        <v/>
      </c>
      <c r="S261" s="7">
        <f>IF($U261="","",L261+O261)</f>
        <v/>
      </c>
      <c r="T261" s="7">
        <f>IF($U261="","",S261-Q261-G261)</f>
        <v/>
      </c>
      <c r="U261" s="13">
        <f>IF(ROWS($U$2:$U261)&lt;=MAX('Per Line'!$V$2:$V$3001),MATCH(ROWS($U$2:$U261),'Per Line'!$V$2:$V$3001,0),"")</f>
        <v/>
      </c>
    </row>
    <row r="262">
      <c r="A262">
        <f>IF($U262="","",INDEX('Per Line'!$A$2:$A$3001,$U262)&amp;"")</f>
        <v/>
      </c>
      <c r="B262" s="12" t="n"/>
      <c r="C262">
        <f>IF($U262="","",INDEX('Per Line'!$B$2:$B$3001,$U262)&amp;"")</f>
        <v/>
      </c>
      <c r="D262">
        <f>IF($U262="","",INDEX('Per Line'!$C$2:$C$3001,$U262)&amp;"")</f>
        <v/>
      </c>
      <c r="E262">
        <f>IF($U262="","",INDEX('Per Line'!$D$2:$D$3001,$U262)&amp;"")</f>
        <v/>
      </c>
      <c r="F262">
        <f>IF($U262="","",INDEX('Per Line'!$E$2:$E$3001,$U262))</f>
        <v/>
      </c>
      <c r="G262" s="7">
        <f>IF($U262="","",F262*S262/100)</f>
        <v/>
      </c>
      <c r="H262">
        <f>IF($U262="","",INDEX('Per Line'!$O$2:$O$3001,$U262)&amp;"")</f>
        <v/>
      </c>
      <c r="I262" s="11">
        <f>IF($U262="","",INDEX('Per Line'!$Q$2:$Q$3001,$U262))</f>
        <v/>
      </c>
      <c r="J262">
        <f>IF($U262="","",INDEX('Per Line'!$R$2:$R$3001,$U262)&amp;"")</f>
        <v/>
      </c>
      <c r="K262">
        <f>IF($U262="","",Settings!$C$7)</f>
        <v/>
      </c>
      <c r="L262" s="7">
        <f>IF($U262="","",SUMIFS('Per Line'!$N$2:$N$3001,'Per Line'!$A$2:$A$3001,$A262,'Per Line'!$W$2:$W$3001,0))</f>
        <v/>
      </c>
      <c r="M262" s="7">
        <f>IF($U262="","",L262*K262)</f>
        <v/>
      </c>
      <c r="N262">
        <f>IF($U262="","",Settings!$C$6)</f>
        <v/>
      </c>
      <c r="O262" s="7">
        <f>IF($U262="","",SUMIFS('Per Line'!$N$2:$N$3001,'Per Line'!$A$2:$A$3001,$A262,'Per Line'!$W$2:$W$3001,1))</f>
        <v/>
      </c>
      <c r="P262" s="7">
        <f>IF($U262="","",O262*N262)</f>
        <v/>
      </c>
      <c r="Q262" s="7">
        <f>IF($U262="","",P262+M262)</f>
        <v/>
      </c>
      <c r="R262" s="7">
        <f>IF($U262="","",S262-Q262)</f>
        <v/>
      </c>
      <c r="S262" s="7">
        <f>IF($U262="","",L262+O262)</f>
        <v/>
      </c>
      <c r="T262" s="7">
        <f>IF($U262="","",S262-Q262-G262)</f>
        <v/>
      </c>
      <c r="U262" s="13">
        <f>IF(ROWS($U$2:$U262)&lt;=MAX('Per Line'!$V$2:$V$3001),MATCH(ROWS($U$2:$U262),'Per Line'!$V$2:$V$3001,0),"")</f>
        <v/>
      </c>
    </row>
    <row r="263">
      <c r="A263">
        <f>IF($U263="","",INDEX('Per Line'!$A$2:$A$3001,$U263)&amp;"")</f>
        <v/>
      </c>
      <c r="B263" s="12" t="n"/>
      <c r="C263">
        <f>IF($U263="","",INDEX('Per Line'!$B$2:$B$3001,$U263)&amp;"")</f>
        <v/>
      </c>
      <c r="D263">
        <f>IF($U263="","",INDEX('Per Line'!$C$2:$C$3001,$U263)&amp;"")</f>
        <v/>
      </c>
      <c r="E263">
        <f>IF($U263="","",INDEX('Per Line'!$D$2:$D$3001,$U263)&amp;"")</f>
        <v/>
      </c>
      <c r="F263">
        <f>IF($U263="","",INDEX('Per Line'!$E$2:$E$3001,$U263))</f>
        <v/>
      </c>
      <c r="G263" s="7">
        <f>IF($U263="","",F263*S263/100)</f>
        <v/>
      </c>
      <c r="H263">
        <f>IF($U263="","",INDEX('Per Line'!$O$2:$O$3001,$U263)&amp;"")</f>
        <v/>
      </c>
      <c r="I263" s="11">
        <f>IF($U263="","",INDEX('Per Line'!$Q$2:$Q$3001,$U263))</f>
        <v/>
      </c>
      <c r="J263">
        <f>IF($U263="","",INDEX('Per Line'!$R$2:$R$3001,$U263)&amp;"")</f>
        <v/>
      </c>
      <c r="K263">
        <f>IF($U263="","",Settings!$C$7)</f>
        <v/>
      </c>
      <c r="L263" s="7">
        <f>IF($U263="","",SUMIFS('Per Line'!$N$2:$N$3001,'Per Line'!$A$2:$A$3001,$A263,'Per Line'!$W$2:$W$3001,0))</f>
        <v/>
      </c>
      <c r="M263" s="7">
        <f>IF($U263="","",L263*K263)</f>
        <v/>
      </c>
      <c r="N263">
        <f>IF($U263="","",Settings!$C$6)</f>
        <v/>
      </c>
      <c r="O263" s="7">
        <f>IF($U263="","",SUMIFS('Per Line'!$N$2:$N$3001,'Per Line'!$A$2:$A$3001,$A263,'Per Line'!$W$2:$W$3001,1))</f>
        <v/>
      </c>
      <c r="P263" s="7">
        <f>IF($U263="","",O263*N263)</f>
        <v/>
      </c>
      <c r="Q263" s="7">
        <f>IF($U263="","",P263+M263)</f>
        <v/>
      </c>
      <c r="R263" s="7">
        <f>IF($U263="","",S263-Q263)</f>
        <v/>
      </c>
      <c r="S263" s="7">
        <f>IF($U263="","",L263+O263)</f>
        <v/>
      </c>
      <c r="T263" s="7">
        <f>IF($U263="","",S263-Q263-G263)</f>
        <v/>
      </c>
      <c r="U263" s="13">
        <f>IF(ROWS($U$2:$U263)&lt;=MAX('Per Line'!$V$2:$V$3001),MATCH(ROWS($U$2:$U263),'Per Line'!$V$2:$V$3001,0),"")</f>
        <v/>
      </c>
    </row>
    <row r="264">
      <c r="A264">
        <f>IF($U264="","",INDEX('Per Line'!$A$2:$A$3001,$U264)&amp;"")</f>
        <v/>
      </c>
      <c r="B264" s="12" t="n"/>
      <c r="C264">
        <f>IF($U264="","",INDEX('Per Line'!$B$2:$B$3001,$U264)&amp;"")</f>
        <v/>
      </c>
      <c r="D264">
        <f>IF($U264="","",INDEX('Per Line'!$C$2:$C$3001,$U264)&amp;"")</f>
        <v/>
      </c>
      <c r="E264">
        <f>IF($U264="","",INDEX('Per Line'!$D$2:$D$3001,$U264)&amp;"")</f>
        <v/>
      </c>
      <c r="F264">
        <f>IF($U264="","",INDEX('Per Line'!$E$2:$E$3001,$U264))</f>
        <v/>
      </c>
      <c r="G264" s="7">
        <f>IF($U264="","",F264*S264/100)</f>
        <v/>
      </c>
      <c r="H264">
        <f>IF($U264="","",INDEX('Per Line'!$O$2:$O$3001,$U264)&amp;"")</f>
        <v/>
      </c>
      <c r="I264" s="11">
        <f>IF($U264="","",INDEX('Per Line'!$Q$2:$Q$3001,$U264))</f>
        <v/>
      </c>
      <c r="J264">
        <f>IF($U264="","",INDEX('Per Line'!$R$2:$R$3001,$U264)&amp;"")</f>
        <v/>
      </c>
      <c r="K264">
        <f>IF($U264="","",Settings!$C$7)</f>
        <v/>
      </c>
      <c r="L264" s="7">
        <f>IF($U264="","",SUMIFS('Per Line'!$N$2:$N$3001,'Per Line'!$A$2:$A$3001,$A264,'Per Line'!$W$2:$W$3001,0))</f>
        <v/>
      </c>
      <c r="M264" s="7">
        <f>IF($U264="","",L264*K264)</f>
        <v/>
      </c>
      <c r="N264">
        <f>IF($U264="","",Settings!$C$6)</f>
        <v/>
      </c>
      <c r="O264" s="7">
        <f>IF($U264="","",SUMIFS('Per Line'!$N$2:$N$3001,'Per Line'!$A$2:$A$3001,$A264,'Per Line'!$W$2:$W$3001,1))</f>
        <v/>
      </c>
      <c r="P264" s="7">
        <f>IF($U264="","",O264*N264)</f>
        <v/>
      </c>
      <c r="Q264" s="7">
        <f>IF($U264="","",P264+M264)</f>
        <v/>
      </c>
      <c r="R264" s="7">
        <f>IF($U264="","",S264-Q264)</f>
        <v/>
      </c>
      <c r="S264" s="7">
        <f>IF($U264="","",L264+O264)</f>
        <v/>
      </c>
      <c r="T264" s="7">
        <f>IF($U264="","",S264-Q264-G264)</f>
        <v/>
      </c>
      <c r="U264" s="13">
        <f>IF(ROWS($U$2:$U264)&lt;=MAX('Per Line'!$V$2:$V$3001),MATCH(ROWS($U$2:$U264),'Per Line'!$V$2:$V$3001,0),"")</f>
        <v/>
      </c>
    </row>
    <row r="265">
      <c r="A265">
        <f>IF($U265="","",INDEX('Per Line'!$A$2:$A$3001,$U265)&amp;"")</f>
        <v/>
      </c>
      <c r="B265" s="12" t="n"/>
      <c r="C265">
        <f>IF($U265="","",INDEX('Per Line'!$B$2:$B$3001,$U265)&amp;"")</f>
        <v/>
      </c>
      <c r="D265">
        <f>IF($U265="","",INDEX('Per Line'!$C$2:$C$3001,$U265)&amp;"")</f>
        <v/>
      </c>
      <c r="E265">
        <f>IF($U265="","",INDEX('Per Line'!$D$2:$D$3001,$U265)&amp;"")</f>
        <v/>
      </c>
      <c r="F265">
        <f>IF($U265="","",INDEX('Per Line'!$E$2:$E$3001,$U265))</f>
        <v/>
      </c>
      <c r="G265" s="7">
        <f>IF($U265="","",F265*S265/100)</f>
        <v/>
      </c>
      <c r="H265">
        <f>IF($U265="","",INDEX('Per Line'!$O$2:$O$3001,$U265)&amp;"")</f>
        <v/>
      </c>
      <c r="I265" s="11">
        <f>IF($U265="","",INDEX('Per Line'!$Q$2:$Q$3001,$U265))</f>
        <v/>
      </c>
      <c r="J265">
        <f>IF($U265="","",INDEX('Per Line'!$R$2:$R$3001,$U265)&amp;"")</f>
        <v/>
      </c>
      <c r="K265">
        <f>IF($U265="","",Settings!$C$7)</f>
        <v/>
      </c>
      <c r="L265" s="7">
        <f>IF($U265="","",SUMIFS('Per Line'!$N$2:$N$3001,'Per Line'!$A$2:$A$3001,$A265,'Per Line'!$W$2:$W$3001,0))</f>
        <v/>
      </c>
      <c r="M265" s="7">
        <f>IF($U265="","",L265*K265)</f>
        <v/>
      </c>
      <c r="N265">
        <f>IF($U265="","",Settings!$C$6)</f>
        <v/>
      </c>
      <c r="O265" s="7">
        <f>IF($U265="","",SUMIFS('Per Line'!$N$2:$N$3001,'Per Line'!$A$2:$A$3001,$A265,'Per Line'!$W$2:$W$3001,1))</f>
        <v/>
      </c>
      <c r="P265" s="7">
        <f>IF($U265="","",O265*N265)</f>
        <v/>
      </c>
      <c r="Q265" s="7">
        <f>IF($U265="","",P265+M265)</f>
        <v/>
      </c>
      <c r="R265" s="7">
        <f>IF($U265="","",S265-Q265)</f>
        <v/>
      </c>
      <c r="S265" s="7">
        <f>IF($U265="","",L265+O265)</f>
        <v/>
      </c>
      <c r="T265" s="7">
        <f>IF($U265="","",S265-Q265-G265)</f>
        <v/>
      </c>
      <c r="U265" s="13">
        <f>IF(ROWS($U$2:$U265)&lt;=MAX('Per Line'!$V$2:$V$3001),MATCH(ROWS($U$2:$U265),'Per Line'!$V$2:$V$3001,0),"")</f>
        <v/>
      </c>
    </row>
    <row r="266">
      <c r="A266">
        <f>IF($U266="","",INDEX('Per Line'!$A$2:$A$3001,$U266)&amp;"")</f>
        <v/>
      </c>
      <c r="B266" s="12" t="n"/>
      <c r="C266">
        <f>IF($U266="","",INDEX('Per Line'!$B$2:$B$3001,$U266)&amp;"")</f>
        <v/>
      </c>
      <c r="D266">
        <f>IF($U266="","",INDEX('Per Line'!$C$2:$C$3001,$U266)&amp;"")</f>
        <v/>
      </c>
      <c r="E266">
        <f>IF($U266="","",INDEX('Per Line'!$D$2:$D$3001,$U266)&amp;"")</f>
        <v/>
      </c>
      <c r="F266">
        <f>IF($U266="","",INDEX('Per Line'!$E$2:$E$3001,$U266))</f>
        <v/>
      </c>
      <c r="G266" s="7">
        <f>IF($U266="","",F266*S266/100)</f>
        <v/>
      </c>
      <c r="H266">
        <f>IF($U266="","",INDEX('Per Line'!$O$2:$O$3001,$U266)&amp;"")</f>
        <v/>
      </c>
      <c r="I266" s="11">
        <f>IF($U266="","",INDEX('Per Line'!$Q$2:$Q$3001,$U266))</f>
        <v/>
      </c>
      <c r="J266">
        <f>IF($U266="","",INDEX('Per Line'!$R$2:$R$3001,$U266)&amp;"")</f>
        <v/>
      </c>
      <c r="K266">
        <f>IF($U266="","",Settings!$C$7)</f>
        <v/>
      </c>
      <c r="L266" s="7">
        <f>IF($U266="","",SUMIFS('Per Line'!$N$2:$N$3001,'Per Line'!$A$2:$A$3001,$A266,'Per Line'!$W$2:$W$3001,0))</f>
        <v/>
      </c>
      <c r="M266" s="7">
        <f>IF($U266="","",L266*K266)</f>
        <v/>
      </c>
      <c r="N266">
        <f>IF($U266="","",Settings!$C$6)</f>
        <v/>
      </c>
      <c r="O266" s="7">
        <f>IF($U266="","",SUMIFS('Per Line'!$N$2:$N$3001,'Per Line'!$A$2:$A$3001,$A266,'Per Line'!$W$2:$W$3001,1))</f>
        <v/>
      </c>
      <c r="P266" s="7">
        <f>IF($U266="","",O266*N266)</f>
        <v/>
      </c>
      <c r="Q266" s="7">
        <f>IF($U266="","",P266+M266)</f>
        <v/>
      </c>
      <c r="R266" s="7">
        <f>IF($U266="","",S266-Q266)</f>
        <v/>
      </c>
      <c r="S266" s="7">
        <f>IF($U266="","",L266+O266)</f>
        <v/>
      </c>
      <c r="T266" s="7">
        <f>IF($U266="","",S266-Q266-G266)</f>
        <v/>
      </c>
      <c r="U266" s="13">
        <f>IF(ROWS($U$2:$U266)&lt;=MAX('Per Line'!$V$2:$V$3001),MATCH(ROWS($U$2:$U266),'Per Line'!$V$2:$V$3001,0),"")</f>
        <v/>
      </c>
    </row>
    <row r="267">
      <c r="A267">
        <f>IF($U267="","",INDEX('Per Line'!$A$2:$A$3001,$U267)&amp;"")</f>
        <v/>
      </c>
      <c r="B267" s="12" t="n"/>
      <c r="C267">
        <f>IF($U267="","",INDEX('Per Line'!$B$2:$B$3001,$U267)&amp;"")</f>
        <v/>
      </c>
      <c r="D267">
        <f>IF($U267="","",INDEX('Per Line'!$C$2:$C$3001,$U267)&amp;"")</f>
        <v/>
      </c>
      <c r="E267">
        <f>IF($U267="","",INDEX('Per Line'!$D$2:$D$3001,$U267)&amp;"")</f>
        <v/>
      </c>
      <c r="F267">
        <f>IF($U267="","",INDEX('Per Line'!$E$2:$E$3001,$U267))</f>
        <v/>
      </c>
      <c r="G267" s="7">
        <f>IF($U267="","",F267*S267/100)</f>
        <v/>
      </c>
      <c r="H267">
        <f>IF($U267="","",INDEX('Per Line'!$O$2:$O$3001,$U267)&amp;"")</f>
        <v/>
      </c>
      <c r="I267" s="11">
        <f>IF($U267="","",INDEX('Per Line'!$Q$2:$Q$3001,$U267))</f>
        <v/>
      </c>
      <c r="J267">
        <f>IF($U267="","",INDEX('Per Line'!$R$2:$R$3001,$U267)&amp;"")</f>
        <v/>
      </c>
      <c r="K267">
        <f>IF($U267="","",Settings!$C$7)</f>
        <v/>
      </c>
      <c r="L267" s="7">
        <f>IF($U267="","",SUMIFS('Per Line'!$N$2:$N$3001,'Per Line'!$A$2:$A$3001,$A267,'Per Line'!$W$2:$W$3001,0))</f>
        <v/>
      </c>
      <c r="M267" s="7">
        <f>IF($U267="","",L267*K267)</f>
        <v/>
      </c>
      <c r="N267">
        <f>IF($U267="","",Settings!$C$6)</f>
        <v/>
      </c>
      <c r="O267" s="7">
        <f>IF($U267="","",SUMIFS('Per Line'!$N$2:$N$3001,'Per Line'!$A$2:$A$3001,$A267,'Per Line'!$W$2:$W$3001,1))</f>
        <v/>
      </c>
      <c r="P267" s="7">
        <f>IF($U267="","",O267*N267)</f>
        <v/>
      </c>
      <c r="Q267" s="7">
        <f>IF($U267="","",P267+M267)</f>
        <v/>
      </c>
      <c r="R267" s="7">
        <f>IF($U267="","",S267-Q267)</f>
        <v/>
      </c>
      <c r="S267" s="7">
        <f>IF($U267="","",L267+O267)</f>
        <v/>
      </c>
      <c r="T267" s="7">
        <f>IF($U267="","",S267-Q267-G267)</f>
        <v/>
      </c>
      <c r="U267" s="13">
        <f>IF(ROWS($U$2:$U267)&lt;=MAX('Per Line'!$V$2:$V$3001),MATCH(ROWS($U$2:$U267),'Per Line'!$V$2:$V$3001,0),"")</f>
        <v/>
      </c>
    </row>
    <row r="268">
      <c r="A268">
        <f>IF($U268="","",INDEX('Per Line'!$A$2:$A$3001,$U268)&amp;"")</f>
        <v/>
      </c>
      <c r="B268" s="12" t="n"/>
      <c r="C268">
        <f>IF($U268="","",INDEX('Per Line'!$B$2:$B$3001,$U268)&amp;"")</f>
        <v/>
      </c>
      <c r="D268">
        <f>IF($U268="","",INDEX('Per Line'!$C$2:$C$3001,$U268)&amp;"")</f>
        <v/>
      </c>
      <c r="E268">
        <f>IF($U268="","",INDEX('Per Line'!$D$2:$D$3001,$U268)&amp;"")</f>
        <v/>
      </c>
      <c r="F268">
        <f>IF($U268="","",INDEX('Per Line'!$E$2:$E$3001,$U268))</f>
        <v/>
      </c>
      <c r="G268" s="7">
        <f>IF($U268="","",F268*S268/100)</f>
        <v/>
      </c>
      <c r="H268">
        <f>IF($U268="","",INDEX('Per Line'!$O$2:$O$3001,$U268)&amp;"")</f>
        <v/>
      </c>
      <c r="I268" s="11">
        <f>IF($U268="","",INDEX('Per Line'!$Q$2:$Q$3001,$U268))</f>
        <v/>
      </c>
      <c r="J268">
        <f>IF($U268="","",INDEX('Per Line'!$R$2:$R$3001,$U268)&amp;"")</f>
        <v/>
      </c>
      <c r="K268">
        <f>IF($U268="","",Settings!$C$7)</f>
        <v/>
      </c>
      <c r="L268" s="7">
        <f>IF($U268="","",SUMIFS('Per Line'!$N$2:$N$3001,'Per Line'!$A$2:$A$3001,$A268,'Per Line'!$W$2:$W$3001,0))</f>
        <v/>
      </c>
      <c r="M268" s="7">
        <f>IF($U268="","",L268*K268)</f>
        <v/>
      </c>
      <c r="N268">
        <f>IF($U268="","",Settings!$C$6)</f>
        <v/>
      </c>
      <c r="O268" s="7">
        <f>IF($U268="","",SUMIFS('Per Line'!$N$2:$N$3001,'Per Line'!$A$2:$A$3001,$A268,'Per Line'!$W$2:$W$3001,1))</f>
        <v/>
      </c>
      <c r="P268" s="7">
        <f>IF($U268="","",O268*N268)</f>
        <v/>
      </c>
      <c r="Q268" s="7">
        <f>IF($U268="","",P268+M268)</f>
        <v/>
      </c>
      <c r="R268" s="7">
        <f>IF($U268="","",S268-Q268)</f>
        <v/>
      </c>
      <c r="S268" s="7">
        <f>IF($U268="","",L268+O268)</f>
        <v/>
      </c>
      <c r="T268" s="7">
        <f>IF($U268="","",S268-Q268-G268)</f>
        <v/>
      </c>
      <c r="U268" s="13">
        <f>IF(ROWS($U$2:$U268)&lt;=MAX('Per Line'!$V$2:$V$3001),MATCH(ROWS($U$2:$U268),'Per Line'!$V$2:$V$3001,0),"")</f>
        <v/>
      </c>
    </row>
    <row r="269">
      <c r="A269">
        <f>IF($U269="","",INDEX('Per Line'!$A$2:$A$3001,$U269)&amp;"")</f>
        <v/>
      </c>
      <c r="B269" s="12" t="n"/>
      <c r="C269">
        <f>IF($U269="","",INDEX('Per Line'!$B$2:$B$3001,$U269)&amp;"")</f>
        <v/>
      </c>
      <c r="D269">
        <f>IF($U269="","",INDEX('Per Line'!$C$2:$C$3001,$U269)&amp;"")</f>
        <v/>
      </c>
      <c r="E269">
        <f>IF($U269="","",INDEX('Per Line'!$D$2:$D$3001,$U269)&amp;"")</f>
        <v/>
      </c>
      <c r="F269">
        <f>IF($U269="","",INDEX('Per Line'!$E$2:$E$3001,$U269))</f>
        <v/>
      </c>
      <c r="G269" s="7">
        <f>IF($U269="","",F269*S269/100)</f>
        <v/>
      </c>
      <c r="H269">
        <f>IF($U269="","",INDEX('Per Line'!$O$2:$O$3001,$U269)&amp;"")</f>
        <v/>
      </c>
      <c r="I269" s="11">
        <f>IF($U269="","",INDEX('Per Line'!$Q$2:$Q$3001,$U269))</f>
        <v/>
      </c>
      <c r="J269">
        <f>IF($U269="","",INDEX('Per Line'!$R$2:$R$3001,$U269)&amp;"")</f>
        <v/>
      </c>
      <c r="K269">
        <f>IF($U269="","",Settings!$C$7)</f>
        <v/>
      </c>
      <c r="L269" s="7">
        <f>IF($U269="","",SUMIFS('Per Line'!$N$2:$N$3001,'Per Line'!$A$2:$A$3001,$A269,'Per Line'!$W$2:$W$3001,0))</f>
        <v/>
      </c>
      <c r="M269" s="7">
        <f>IF($U269="","",L269*K269)</f>
        <v/>
      </c>
      <c r="N269">
        <f>IF($U269="","",Settings!$C$6)</f>
        <v/>
      </c>
      <c r="O269" s="7">
        <f>IF($U269="","",SUMIFS('Per Line'!$N$2:$N$3001,'Per Line'!$A$2:$A$3001,$A269,'Per Line'!$W$2:$W$3001,1))</f>
        <v/>
      </c>
      <c r="P269" s="7">
        <f>IF($U269="","",O269*N269)</f>
        <v/>
      </c>
      <c r="Q269" s="7">
        <f>IF($U269="","",P269+M269)</f>
        <v/>
      </c>
      <c r="R269" s="7">
        <f>IF($U269="","",S269-Q269)</f>
        <v/>
      </c>
      <c r="S269" s="7">
        <f>IF($U269="","",L269+O269)</f>
        <v/>
      </c>
      <c r="T269" s="7">
        <f>IF($U269="","",S269-Q269-G269)</f>
        <v/>
      </c>
      <c r="U269" s="13">
        <f>IF(ROWS($U$2:$U269)&lt;=MAX('Per Line'!$V$2:$V$3001),MATCH(ROWS($U$2:$U269),'Per Line'!$V$2:$V$3001,0),"")</f>
        <v/>
      </c>
    </row>
    <row r="270">
      <c r="A270">
        <f>IF($U270="","",INDEX('Per Line'!$A$2:$A$3001,$U270)&amp;"")</f>
        <v/>
      </c>
      <c r="B270" s="12" t="n"/>
      <c r="C270">
        <f>IF($U270="","",INDEX('Per Line'!$B$2:$B$3001,$U270)&amp;"")</f>
        <v/>
      </c>
      <c r="D270">
        <f>IF($U270="","",INDEX('Per Line'!$C$2:$C$3001,$U270)&amp;"")</f>
        <v/>
      </c>
      <c r="E270">
        <f>IF($U270="","",INDEX('Per Line'!$D$2:$D$3001,$U270)&amp;"")</f>
        <v/>
      </c>
      <c r="F270">
        <f>IF($U270="","",INDEX('Per Line'!$E$2:$E$3001,$U270))</f>
        <v/>
      </c>
      <c r="G270" s="7">
        <f>IF($U270="","",F270*S270/100)</f>
        <v/>
      </c>
      <c r="H270">
        <f>IF($U270="","",INDEX('Per Line'!$O$2:$O$3001,$U270)&amp;"")</f>
        <v/>
      </c>
      <c r="I270" s="11">
        <f>IF($U270="","",INDEX('Per Line'!$Q$2:$Q$3001,$U270))</f>
        <v/>
      </c>
      <c r="J270">
        <f>IF($U270="","",INDEX('Per Line'!$R$2:$R$3001,$U270)&amp;"")</f>
        <v/>
      </c>
      <c r="K270">
        <f>IF($U270="","",Settings!$C$7)</f>
        <v/>
      </c>
      <c r="L270" s="7">
        <f>IF($U270="","",SUMIFS('Per Line'!$N$2:$N$3001,'Per Line'!$A$2:$A$3001,$A270,'Per Line'!$W$2:$W$3001,0))</f>
        <v/>
      </c>
      <c r="M270" s="7">
        <f>IF($U270="","",L270*K270)</f>
        <v/>
      </c>
      <c r="N270">
        <f>IF($U270="","",Settings!$C$6)</f>
        <v/>
      </c>
      <c r="O270" s="7">
        <f>IF($U270="","",SUMIFS('Per Line'!$N$2:$N$3001,'Per Line'!$A$2:$A$3001,$A270,'Per Line'!$W$2:$W$3001,1))</f>
        <v/>
      </c>
      <c r="P270" s="7">
        <f>IF($U270="","",O270*N270)</f>
        <v/>
      </c>
      <c r="Q270" s="7">
        <f>IF($U270="","",P270+M270)</f>
        <v/>
      </c>
      <c r="R270" s="7">
        <f>IF($U270="","",S270-Q270)</f>
        <v/>
      </c>
      <c r="S270" s="7">
        <f>IF($U270="","",L270+O270)</f>
        <v/>
      </c>
      <c r="T270" s="7">
        <f>IF($U270="","",S270-Q270-G270)</f>
        <v/>
      </c>
      <c r="U270" s="13">
        <f>IF(ROWS($U$2:$U270)&lt;=MAX('Per Line'!$V$2:$V$3001),MATCH(ROWS($U$2:$U270),'Per Line'!$V$2:$V$3001,0),"")</f>
        <v/>
      </c>
    </row>
    <row r="271">
      <c r="A271">
        <f>IF($U271="","",INDEX('Per Line'!$A$2:$A$3001,$U271)&amp;"")</f>
        <v/>
      </c>
      <c r="B271" s="12" t="n"/>
      <c r="C271">
        <f>IF($U271="","",INDEX('Per Line'!$B$2:$B$3001,$U271)&amp;"")</f>
        <v/>
      </c>
      <c r="D271">
        <f>IF($U271="","",INDEX('Per Line'!$C$2:$C$3001,$U271)&amp;"")</f>
        <v/>
      </c>
      <c r="E271">
        <f>IF($U271="","",INDEX('Per Line'!$D$2:$D$3001,$U271)&amp;"")</f>
        <v/>
      </c>
      <c r="F271">
        <f>IF($U271="","",INDEX('Per Line'!$E$2:$E$3001,$U271))</f>
        <v/>
      </c>
      <c r="G271" s="7">
        <f>IF($U271="","",F271*S271/100)</f>
        <v/>
      </c>
      <c r="H271">
        <f>IF($U271="","",INDEX('Per Line'!$O$2:$O$3001,$U271)&amp;"")</f>
        <v/>
      </c>
      <c r="I271" s="11">
        <f>IF($U271="","",INDEX('Per Line'!$Q$2:$Q$3001,$U271))</f>
        <v/>
      </c>
      <c r="J271">
        <f>IF($U271="","",INDEX('Per Line'!$R$2:$R$3001,$U271)&amp;"")</f>
        <v/>
      </c>
      <c r="K271">
        <f>IF($U271="","",Settings!$C$7)</f>
        <v/>
      </c>
      <c r="L271" s="7">
        <f>IF($U271="","",SUMIFS('Per Line'!$N$2:$N$3001,'Per Line'!$A$2:$A$3001,$A271,'Per Line'!$W$2:$W$3001,0))</f>
        <v/>
      </c>
      <c r="M271" s="7">
        <f>IF($U271="","",L271*K271)</f>
        <v/>
      </c>
      <c r="N271">
        <f>IF($U271="","",Settings!$C$6)</f>
        <v/>
      </c>
      <c r="O271" s="7">
        <f>IF($U271="","",SUMIFS('Per Line'!$N$2:$N$3001,'Per Line'!$A$2:$A$3001,$A271,'Per Line'!$W$2:$W$3001,1))</f>
        <v/>
      </c>
      <c r="P271" s="7">
        <f>IF($U271="","",O271*N271)</f>
        <v/>
      </c>
      <c r="Q271" s="7">
        <f>IF($U271="","",P271+M271)</f>
        <v/>
      </c>
      <c r="R271" s="7">
        <f>IF($U271="","",S271-Q271)</f>
        <v/>
      </c>
      <c r="S271" s="7">
        <f>IF($U271="","",L271+O271)</f>
        <v/>
      </c>
      <c r="T271" s="7">
        <f>IF($U271="","",S271-Q271-G271)</f>
        <v/>
      </c>
      <c r="U271" s="13">
        <f>IF(ROWS($U$2:$U271)&lt;=MAX('Per Line'!$V$2:$V$3001),MATCH(ROWS($U$2:$U271),'Per Line'!$V$2:$V$3001,0),"")</f>
        <v/>
      </c>
    </row>
    <row r="272">
      <c r="A272">
        <f>IF($U272="","",INDEX('Per Line'!$A$2:$A$3001,$U272)&amp;"")</f>
        <v/>
      </c>
      <c r="B272" s="12" t="n"/>
      <c r="C272">
        <f>IF($U272="","",INDEX('Per Line'!$B$2:$B$3001,$U272)&amp;"")</f>
        <v/>
      </c>
      <c r="D272">
        <f>IF($U272="","",INDEX('Per Line'!$C$2:$C$3001,$U272)&amp;"")</f>
        <v/>
      </c>
      <c r="E272">
        <f>IF($U272="","",INDEX('Per Line'!$D$2:$D$3001,$U272)&amp;"")</f>
        <v/>
      </c>
      <c r="F272">
        <f>IF($U272="","",INDEX('Per Line'!$E$2:$E$3001,$U272))</f>
        <v/>
      </c>
      <c r="G272" s="7">
        <f>IF($U272="","",F272*S272/100)</f>
        <v/>
      </c>
      <c r="H272">
        <f>IF($U272="","",INDEX('Per Line'!$O$2:$O$3001,$U272)&amp;"")</f>
        <v/>
      </c>
      <c r="I272" s="11">
        <f>IF($U272="","",INDEX('Per Line'!$Q$2:$Q$3001,$U272))</f>
        <v/>
      </c>
      <c r="J272">
        <f>IF($U272="","",INDEX('Per Line'!$R$2:$R$3001,$U272)&amp;"")</f>
        <v/>
      </c>
      <c r="K272">
        <f>IF($U272="","",Settings!$C$7)</f>
        <v/>
      </c>
      <c r="L272" s="7">
        <f>IF($U272="","",SUMIFS('Per Line'!$N$2:$N$3001,'Per Line'!$A$2:$A$3001,$A272,'Per Line'!$W$2:$W$3001,0))</f>
        <v/>
      </c>
      <c r="M272" s="7">
        <f>IF($U272="","",L272*K272)</f>
        <v/>
      </c>
      <c r="N272">
        <f>IF($U272="","",Settings!$C$6)</f>
        <v/>
      </c>
      <c r="O272" s="7">
        <f>IF($U272="","",SUMIFS('Per Line'!$N$2:$N$3001,'Per Line'!$A$2:$A$3001,$A272,'Per Line'!$W$2:$W$3001,1))</f>
        <v/>
      </c>
      <c r="P272" s="7">
        <f>IF($U272="","",O272*N272)</f>
        <v/>
      </c>
      <c r="Q272" s="7">
        <f>IF($U272="","",P272+M272)</f>
        <v/>
      </c>
      <c r="R272" s="7">
        <f>IF($U272="","",S272-Q272)</f>
        <v/>
      </c>
      <c r="S272" s="7">
        <f>IF($U272="","",L272+O272)</f>
        <v/>
      </c>
      <c r="T272" s="7">
        <f>IF($U272="","",S272-Q272-G272)</f>
        <v/>
      </c>
      <c r="U272" s="13">
        <f>IF(ROWS($U$2:$U272)&lt;=MAX('Per Line'!$V$2:$V$3001),MATCH(ROWS($U$2:$U272),'Per Line'!$V$2:$V$3001,0),"")</f>
        <v/>
      </c>
    </row>
    <row r="273">
      <c r="A273">
        <f>IF($U273="","",INDEX('Per Line'!$A$2:$A$3001,$U273)&amp;"")</f>
        <v/>
      </c>
      <c r="B273" s="12" t="n"/>
      <c r="C273">
        <f>IF($U273="","",INDEX('Per Line'!$B$2:$B$3001,$U273)&amp;"")</f>
        <v/>
      </c>
      <c r="D273">
        <f>IF($U273="","",INDEX('Per Line'!$C$2:$C$3001,$U273)&amp;"")</f>
        <v/>
      </c>
      <c r="E273">
        <f>IF($U273="","",INDEX('Per Line'!$D$2:$D$3001,$U273)&amp;"")</f>
        <v/>
      </c>
      <c r="F273">
        <f>IF($U273="","",INDEX('Per Line'!$E$2:$E$3001,$U273))</f>
        <v/>
      </c>
      <c r="G273" s="7">
        <f>IF($U273="","",F273*S273/100)</f>
        <v/>
      </c>
      <c r="H273">
        <f>IF($U273="","",INDEX('Per Line'!$O$2:$O$3001,$U273)&amp;"")</f>
        <v/>
      </c>
      <c r="I273" s="11">
        <f>IF($U273="","",INDEX('Per Line'!$Q$2:$Q$3001,$U273))</f>
        <v/>
      </c>
      <c r="J273">
        <f>IF($U273="","",INDEX('Per Line'!$R$2:$R$3001,$U273)&amp;"")</f>
        <v/>
      </c>
      <c r="K273">
        <f>IF($U273="","",Settings!$C$7)</f>
        <v/>
      </c>
      <c r="L273" s="7">
        <f>IF($U273="","",SUMIFS('Per Line'!$N$2:$N$3001,'Per Line'!$A$2:$A$3001,$A273,'Per Line'!$W$2:$W$3001,0))</f>
        <v/>
      </c>
      <c r="M273" s="7">
        <f>IF($U273="","",L273*K273)</f>
        <v/>
      </c>
      <c r="N273">
        <f>IF($U273="","",Settings!$C$6)</f>
        <v/>
      </c>
      <c r="O273" s="7">
        <f>IF($U273="","",SUMIFS('Per Line'!$N$2:$N$3001,'Per Line'!$A$2:$A$3001,$A273,'Per Line'!$W$2:$W$3001,1))</f>
        <v/>
      </c>
      <c r="P273" s="7">
        <f>IF($U273="","",O273*N273)</f>
        <v/>
      </c>
      <c r="Q273" s="7">
        <f>IF($U273="","",P273+M273)</f>
        <v/>
      </c>
      <c r="R273" s="7">
        <f>IF($U273="","",S273-Q273)</f>
        <v/>
      </c>
      <c r="S273" s="7">
        <f>IF($U273="","",L273+O273)</f>
        <v/>
      </c>
      <c r="T273" s="7">
        <f>IF($U273="","",S273-Q273-G273)</f>
        <v/>
      </c>
      <c r="U273" s="13">
        <f>IF(ROWS($U$2:$U273)&lt;=MAX('Per Line'!$V$2:$V$3001),MATCH(ROWS($U$2:$U273),'Per Line'!$V$2:$V$3001,0),"")</f>
        <v/>
      </c>
    </row>
    <row r="274">
      <c r="A274">
        <f>IF($U274="","",INDEX('Per Line'!$A$2:$A$3001,$U274)&amp;"")</f>
        <v/>
      </c>
      <c r="B274" s="12" t="n"/>
      <c r="C274">
        <f>IF($U274="","",INDEX('Per Line'!$B$2:$B$3001,$U274)&amp;"")</f>
        <v/>
      </c>
      <c r="D274">
        <f>IF($U274="","",INDEX('Per Line'!$C$2:$C$3001,$U274)&amp;"")</f>
        <v/>
      </c>
      <c r="E274">
        <f>IF($U274="","",INDEX('Per Line'!$D$2:$D$3001,$U274)&amp;"")</f>
        <v/>
      </c>
      <c r="F274">
        <f>IF($U274="","",INDEX('Per Line'!$E$2:$E$3001,$U274))</f>
        <v/>
      </c>
      <c r="G274" s="7">
        <f>IF($U274="","",F274*S274/100)</f>
        <v/>
      </c>
      <c r="H274">
        <f>IF($U274="","",INDEX('Per Line'!$O$2:$O$3001,$U274)&amp;"")</f>
        <v/>
      </c>
      <c r="I274" s="11">
        <f>IF($U274="","",INDEX('Per Line'!$Q$2:$Q$3001,$U274))</f>
        <v/>
      </c>
      <c r="J274">
        <f>IF($U274="","",INDEX('Per Line'!$R$2:$R$3001,$U274)&amp;"")</f>
        <v/>
      </c>
      <c r="K274">
        <f>IF($U274="","",Settings!$C$7)</f>
        <v/>
      </c>
      <c r="L274" s="7">
        <f>IF($U274="","",SUMIFS('Per Line'!$N$2:$N$3001,'Per Line'!$A$2:$A$3001,$A274,'Per Line'!$W$2:$W$3001,0))</f>
        <v/>
      </c>
      <c r="M274" s="7">
        <f>IF($U274="","",L274*K274)</f>
        <v/>
      </c>
      <c r="N274">
        <f>IF($U274="","",Settings!$C$6)</f>
        <v/>
      </c>
      <c r="O274" s="7">
        <f>IF($U274="","",SUMIFS('Per Line'!$N$2:$N$3001,'Per Line'!$A$2:$A$3001,$A274,'Per Line'!$W$2:$W$3001,1))</f>
        <v/>
      </c>
      <c r="P274" s="7">
        <f>IF($U274="","",O274*N274)</f>
        <v/>
      </c>
      <c r="Q274" s="7">
        <f>IF($U274="","",P274+M274)</f>
        <v/>
      </c>
      <c r="R274" s="7">
        <f>IF($U274="","",S274-Q274)</f>
        <v/>
      </c>
      <c r="S274" s="7">
        <f>IF($U274="","",L274+O274)</f>
        <v/>
      </c>
      <c r="T274" s="7">
        <f>IF($U274="","",S274-Q274-G274)</f>
        <v/>
      </c>
      <c r="U274" s="13">
        <f>IF(ROWS($U$2:$U274)&lt;=MAX('Per Line'!$V$2:$V$3001),MATCH(ROWS($U$2:$U274),'Per Line'!$V$2:$V$3001,0),"")</f>
        <v/>
      </c>
    </row>
    <row r="275">
      <c r="A275">
        <f>IF($U275="","",INDEX('Per Line'!$A$2:$A$3001,$U275)&amp;"")</f>
        <v/>
      </c>
      <c r="B275" s="12" t="n"/>
      <c r="C275">
        <f>IF($U275="","",INDEX('Per Line'!$B$2:$B$3001,$U275)&amp;"")</f>
        <v/>
      </c>
      <c r="D275">
        <f>IF($U275="","",INDEX('Per Line'!$C$2:$C$3001,$U275)&amp;"")</f>
        <v/>
      </c>
      <c r="E275">
        <f>IF($U275="","",INDEX('Per Line'!$D$2:$D$3001,$U275)&amp;"")</f>
        <v/>
      </c>
      <c r="F275">
        <f>IF($U275="","",INDEX('Per Line'!$E$2:$E$3001,$U275))</f>
        <v/>
      </c>
      <c r="G275" s="7">
        <f>IF($U275="","",F275*S275/100)</f>
        <v/>
      </c>
      <c r="H275">
        <f>IF($U275="","",INDEX('Per Line'!$O$2:$O$3001,$U275)&amp;"")</f>
        <v/>
      </c>
      <c r="I275" s="11">
        <f>IF($U275="","",INDEX('Per Line'!$Q$2:$Q$3001,$U275))</f>
        <v/>
      </c>
      <c r="J275">
        <f>IF($U275="","",INDEX('Per Line'!$R$2:$R$3001,$U275)&amp;"")</f>
        <v/>
      </c>
      <c r="K275">
        <f>IF($U275="","",Settings!$C$7)</f>
        <v/>
      </c>
      <c r="L275" s="7">
        <f>IF($U275="","",SUMIFS('Per Line'!$N$2:$N$3001,'Per Line'!$A$2:$A$3001,$A275,'Per Line'!$W$2:$W$3001,0))</f>
        <v/>
      </c>
      <c r="M275" s="7">
        <f>IF($U275="","",L275*K275)</f>
        <v/>
      </c>
      <c r="N275">
        <f>IF($U275="","",Settings!$C$6)</f>
        <v/>
      </c>
      <c r="O275" s="7">
        <f>IF($U275="","",SUMIFS('Per Line'!$N$2:$N$3001,'Per Line'!$A$2:$A$3001,$A275,'Per Line'!$W$2:$W$3001,1))</f>
        <v/>
      </c>
      <c r="P275" s="7">
        <f>IF($U275="","",O275*N275)</f>
        <v/>
      </c>
      <c r="Q275" s="7">
        <f>IF($U275="","",P275+M275)</f>
        <v/>
      </c>
      <c r="R275" s="7">
        <f>IF($U275="","",S275-Q275)</f>
        <v/>
      </c>
      <c r="S275" s="7">
        <f>IF($U275="","",L275+O275)</f>
        <v/>
      </c>
      <c r="T275" s="7">
        <f>IF($U275="","",S275-Q275-G275)</f>
        <v/>
      </c>
      <c r="U275" s="13">
        <f>IF(ROWS($U$2:$U275)&lt;=MAX('Per Line'!$V$2:$V$3001),MATCH(ROWS($U$2:$U275),'Per Line'!$V$2:$V$3001,0),"")</f>
        <v/>
      </c>
    </row>
    <row r="276">
      <c r="A276">
        <f>IF($U276="","",INDEX('Per Line'!$A$2:$A$3001,$U276)&amp;"")</f>
        <v/>
      </c>
      <c r="B276" s="12" t="n"/>
      <c r="C276">
        <f>IF($U276="","",INDEX('Per Line'!$B$2:$B$3001,$U276)&amp;"")</f>
        <v/>
      </c>
      <c r="D276">
        <f>IF($U276="","",INDEX('Per Line'!$C$2:$C$3001,$U276)&amp;"")</f>
        <v/>
      </c>
      <c r="E276">
        <f>IF($U276="","",INDEX('Per Line'!$D$2:$D$3001,$U276)&amp;"")</f>
        <v/>
      </c>
      <c r="F276">
        <f>IF($U276="","",INDEX('Per Line'!$E$2:$E$3001,$U276))</f>
        <v/>
      </c>
      <c r="G276" s="7">
        <f>IF($U276="","",F276*S276/100)</f>
        <v/>
      </c>
      <c r="H276">
        <f>IF($U276="","",INDEX('Per Line'!$O$2:$O$3001,$U276)&amp;"")</f>
        <v/>
      </c>
      <c r="I276" s="11">
        <f>IF($U276="","",INDEX('Per Line'!$Q$2:$Q$3001,$U276))</f>
        <v/>
      </c>
      <c r="J276">
        <f>IF($U276="","",INDEX('Per Line'!$R$2:$R$3001,$U276)&amp;"")</f>
        <v/>
      </c>
      <c r="K276">
        <f>IF($U276="","",Settings!$C$7)</f>
        <v/>
      </c>
      <c r="L276" s="7">
        <f>IF($U276="","",SUMIFS('Per Line'!$N$2:$N$3001,'Per Line'!$A$2:$A$3001,$A276,'Per Line'!$W$2:$W$3001,0))</f>
        <v/>
      </c>
      <c r="M276" s="7">
        <f>IF($U276="","",L276*K276)</f>
        <v/>
      </c>
      <c r="N276">
        <f>IF($U276="","",Settings!$C$6)</f>
        <v/>
      </c>
      <c r="O276" s="7">
        <f>IF($U276="","",SUMIFS('Per Line'!$N$2:$N$3001,'Per Line'!$A$2:$A$3001,$A276,'Per Line'!$W$2:$W$3001,1))</f>
        <v/>
      </c>
      <c r="P276" s="7">
        <f>IF($U276="","",O276*N276)</f>
        <v/>
      </c>
      <c r="Q276" s="7">
        <f>IF($U276="","",P276+M276)</f>
        <v/>
      </c>
      <c r="R276" s="7">
        <f>IF($U276="","",S276-Q276)</f>
        <v/>
      </c>
      <c r="S276" s="7">
        <f>IF($U276="","",L276+O276)</f>
        <v/>
      </c>
      <c r="T276" s="7">
        <f>IF($U276="","",S276-Q276-G276)</f>
        <v/>
      </c>
      <c r="U276" s="13">
        <f>IF(ROWS($U$2:$U276)&lt;=MAX('Per Line'!$V$2:$V$3001),MATCH(ROWS($U$2:$U276),'Per Line'!$V$2:$V$3001,0),"")</f>
        <v/>
      </c>
    </row>
    <row r="277">
      <c r="A277">
        <f>IF($U277="","",INDEX('Per Line'!$A$2:$A$3001,$U277)&amp;"")</f>
        <v/>
      </c>
      <c r="B277" s="12" t="n"/>
      <c r="C277">
        <f>IF($U277="","",INDEX('Per Line'!$B$2:$B$3001,$U277)&amp;"")</f>
        <v/>
      </c>
      <c r="D277">
        <f>IF($U277="","",INDEX('Per Line'!$C$2:$C$3001,$U277)&amp;"")</f>
        <v/>
      </c>
      <c r="E277">
        <f>IF($U277="","",INDEX('Per Line'!$D$2:$D$3001,$U277)&amp;"")</f>
        <v/>
      </c>
      <c r="F277">
        <f>IF($U277="","",INDEX('Per Line'!$E$2:$E$3001,$U277))</f>
        <v/>
      </c>
      <c r="G277" s="7">
        <f>IF($U277="","",F277*S277/100)</f>
        <v/>
      </c>
      <c r="H277">
        <f>IF($U277="","",INDEX('Per Line'!$O$2:$O$3001,$U277)&amp;"")</f>
        <v/>
      </c>
      <c r="I277" s="11">
        <f>IF($U277="","",INDEX('Per Line'!$Q$2:$Q$3001,$U277))</f>
        <v/>
      </c>
      <c r="J277">
        <f>IF($U277="","",INDEX('Per Line'!$R$2:$R$3001,$U277)&amp;"")</f>
        <v/>
      </c>
      <c r="K277">
        <f>IF($U277="","",Settings!$C$7)</f>
        <v/>
      </c>
      <c r="L277" s="7">
        <f>IF($U277="","",SUMIFS('Per Line'!$N$2:$N$3001,'Per Line'!$A$2:$A$3001,$A277,'Per Line'!$W$2:$W$3001,0))</f>
        <v/>
      </c>
      <c r="M277" s="7">
        <f>IF($U277="","",L277*K277)</f>
        <v/>
      </c>
      <c r="N277">
        <f>IF($U277="","",Settings!$C$6)</f>
        <v/>
      </c>
      <c r="O277" s="7">
        <f>IF($U277="","",SUMIFS('Per Line'!$N$2:$N$3001,'Per Line'!$A$2:$A$3001,$A277,'Per Line'!$W$2:$W$3001,1))</f>
        <v/>
      </c>
      <c r="P277" s="7">
        <f>IF($U277="","",O277*N277)</f>
        <v/>
      </c>
      <c r="Q277" s="7">
        <f>IF($U277="","",P277+M277)</f>
        <v/>
      </c>
      <c r="R277" s="7">
        <f>IF($U277="","",S277-Q277)</f>
        <v/>
      </c>
      <c r="S277" s="7">
        <f>IF($U277="","",L277+O277)</f>
        <v/>
      </c>
      <c r="T277" s="7">
        <f>IF($U277="","",S277-Q277-G277)</f>
        <v/>
      </c>
      <c r="U277" s="13">
        <f>IF(ROWS($U$2:$U277)&lt;=MAX('Per Line'!$V$2:$V$3001),MATCH(ROWS($U$2:$U277),'Per Line'!$V$2:$V$3001,0),"")</f>
        <v/>
      </c>
    </row>
    <row r="278">
      <c r="A278">
        <f>IF($U278="","",INDEX('Per Line'!$A$2:$A$3001,$U278)&amp;"")</f>
        <v/>
      </c>
      <c r="B278" s="12" t="n"/>
      <c r="C278">
        <f>IF($U278="","",INDEX('Per Line'!$B$2:$B$3001,$U278)&amp;"")</f>
        <v/>
      </c>
      <c r="D278">
        <f>IF($U278="","",INDEX('Per Line'!$C$2:$C$3001,$U278)&amp;"")</f>
        <v/>
      </c>
      <c r="E278">
        <f>IF($U278="","",INDEX('Per Line'!$D$2:$D$3001,$U278)&amp;"")</f>
        <v/>
      </c>
      <c r="F278">
        <f>IF($U278="","",INDEX('Per Line'!$E$2:$E$3001,$U278))</f>
        <v/>
      </c>
      <c r="G278" s="7">
        <f>IF($U278="","",F278*S278/100)</f>
        <v/>
      </c>
      <c r="H278">
        <f>IF($U278="","",INDEX('Per Line'!$O$2:$O$3001,$U278)&amp;"")</f>
        <v/>
      </c>
      <c r="I278" s="11">
        <f>IF($U278="","",INDEX('Per Line'!$Q$2:$Q$3001,$U278))</f>
        <v/>
      </c>
      <c r="J278">
        <f>IF($U278="","",INDEX('Per Line'!$R$2:$R$3001,$U278)&amp;"")</f>
        <v/>
      </c>
      <c r="K278">
        <f>IF($U278="","",Settings!$C$7)</f>
        <v/>
      </c>
      <c r="L278" s="7">
        <f>IF($U278="","",SUMIFS('Per Line'!$N$2:$N$3001,'Per Line'!$A$2:$A$3001,$A278,'Per Line'!$W$2:$W$3001,0))</f>
        <v/>
      </c>
      <c r="M278" s="7">
        <f>IF($U278="","",L278*K278)</f>
        <v/>
      </c>
      <c r="N278">
        <f>IF($U278="","",Settings!$C$6)</f>
        <v/>
      </c>
      <c r="O278" s="7">
        <f>IF($U278="","",SUMIFS('Per Line'!$N$2:$N$3001,'Per Line'!$A$2:$A$3001,$A278,'Per Line'!$W$2:$W$3001,1))</f>
        <v/>
      </c>
      <c r="P278" s="7">
        <f>IF($U278="","",O278*N278)</f>
        <v/>
      </c>
      <c r="Q278" s="7">
        <f>IF($U278="","",P278+M278)</f>
        <v/>
      </c>
      <c r="R278" s="7">
        <f>IF($U278="","",S278-Q278)</f>
        <v/>
      </c>
      <c r="S278" s="7">
        <f>IF($U278="","",L278+O278)</f>
        <v/>
      </c>
      <c r="T278" s="7">
        <f>IF($U278="","",S278-Q278-G278)</f>
        <v/>
      </c>
      <c r="U278" s="13">
        <f>IF(ROWS($U$2:$U278)&lt;=MAX('Per Line'!$V$2:$V$3001),MATCH(ROWS($U$2:$U278),'Per Line'!$V$2:$V$3001,0),"")</f>
        <v/>
      </c>
    </row>
    <row r="279">
      <c r="A279">
        <f>IF($U279="","",INDEX('Per Line'!$A$2:$A$3001,$U279)&amp;"")</f>
        <v/>
      </c>
      <c r="B279" s="12" t="n"/>
      <c r="C279">
        <f>IF($U279="","",INDEX('Per Line'!$B$2:$B$3001,$U279)&amp;"")</f>
        <v/>
      </c>
      <c r="D279">
        <f>IF($U279="","",INDEX('Per Line'!$C$2:$C$3001,$U279)&amp;"")</f>
        <v/>
      </c>
      <c r="E279">
        <f>IF($U279="","",INDEX('Per Line'!$D$2:$D$3001,$U279)&amp;"")</f>
        <v/>
      </c>
      <c r="F279">
        <f>IF($U279="","",INDEX('Per Line'!$E$2:$E$3001,$U279))</f>
        <v/>
      </c>
      <c r="G279" s="7">
        <f>IF($U279="","",F279*S279/100)</f>
        <v/>
      </c>
      <c r="H279">
        <f>IF($U279="","",INDEX('Per Line'!$O$2:$O$3001,$U279)&amp;"")</f>
        <v/>
      </c>
      <c r="I279" s="11">
        <f>IF($U279="","",INDEX('Per Line'!$Q$2:$Q$3001,$U279))</f>
        <v/>
      </c>
      <c r="J279">
        <f>IF($U279="","",INDEX('Per Line'!$R$2:$R$3001,$U279)&amp;"")</f>
        <v/>
      </c>
      <c r="K279">
        <f>IF($U279="","",Settings!$C$7)</f>
        <v/>
      </c>
      <c r="L279" s="7">
        <f>IF($U279="","",SUMIFS('Per Line'!$N$2:$N$3001,'Per Line'!$A$2:$A$3001,$A279,'Per Line'!$W$2:$W$3001,0))</f>
        <v/>
      </c>
      <c r="M279" s="7">
        <f>IF($U279="","",L279*K279)</f>
        <v/>
      </c>
      <c r="N279">
        <f>IF($U279="","",Settings!$C$6)</f>
        <v/>
      </c>
      <c r="O279" s="7">
        <f>IF($U279="","",SUMIFS('Per Line'!$N$2:$N$3001,'Per Line'!$A$2:$A$3001,$A279,'Per Line'!$W$2:$W$3001,1))</f>
        <v/>
      </c>
      <c r="P279" s="7">
        <f>IF($U279="","",O279*N279)</f>
        <v/>
      </c>
      <c r="Q279" s="7">
        <f>IF($U279="","",P279+M279)</f>
        <v/>
      </c>
      <c r="R279" s="7">
        <f>IF($U279="","",S279-Q279)</f>
        <v/>
      </c>
      <c r="S279" s="7">
        <f>IF($U279="","",L279+O279)</f>
        <v/>
      </c>
      <c r="T279" s="7">
        <f>IF($U279="","",S279-Q279-G279)</f>
        <v/>
      </c>
      <c r="U279" s="13">
        <f>IF(ROWS($U$2:$U279)&lt;=MAX('Per Line'!$V$2:$V$3001),MATCH(ROWS($U$2:$U279),'Per Line'!$V$2:$V$3001,0),"")</f>
        <v/>
      </c>
    </row>
    <row r="280">
      <c r="A280">
        <f>IF($U280="","",INDEX('Per Line'!$A$2:$A$3001,$U280)&amp;"")</f>
        <v/>
      </c>
      <c r="B280" s="12" t="n"/>
      <c r="C280">
        <f>IF($U280="","",INDEX('Per Line'!$B$2:$B$3001,$U280)&amp;"")</f>
        <v/>
      </c>
      <c r="D280">
        <f>IF($U280="","",INDEX('Per Line'!$C$2:$C$3001,$U280)&amp;"")</f>
        <v/>
      </c>
      <c r="E280">
        <f>IF($U280="","",INDEX('Per Line'!$D$2:$D$3001,$U280)&amp;"")</f>
        <v/>
      </c>
      <c r="F280">
        <f>IF($U280="","",INDEX('Per Line'!$E$2:$E$3001,$U280))</f>
        <v/>
      </c>
      <c r="G280" s="7">
        <f>IF($U280="","",F280*S280/100)</f>
        <v/>
      </c>
      <c r="H280">
        <f>IF($U280="","",INDEX('Per Line'!$O$2:$O$3001,$U280)&amp;"")</f>
        <v/>
      </c>
      <c r="I280" s="11">
        <f>IF($U280="","",INDEX('Per Line'!$Q$2:$Q$3001,$U280))</f>
        <v/>
      </c>
      <c r="J280">
        <f>IF($U280="","",INDEX('Per Line'!$R$2:$R$3001,$U280)&amp;"")</f>
        <v/>
      </c>
      <c r="K280">
        <f>IF($U280="","",Settings!$C$7)</f>
        <v/>
      </c>
      <c r="L280" s="7">
        <f>IF($U280="","",SUMIFS('Per Line'!$N$2:$N$3001,'Per Line'!$A$2:$A$3001,$A280,'Per Line'!$W$2:$W$3001,0))</f>
        <v/>
      </c>
      <c r="M280" s="7">
        <f>IF($U280="","",L280*K280)</f>
        <v/>
      </c>
      <c r="N280">
        <f>IF($U280="","",Settings!$C$6)</f>
        <v/>
      </c>
      <c r="O280" s="7">
        <f>IF($U280="","",SUMIFS('Per Line'!$N$2:$N$3001,'Per Line'!$A$2:$A$3001,$A280,'Per Line'!$W$2:$W$3001,1))</f>
        <v/>
      </c>
      <c r="P280" s="7">
        <f>IF($U280="","",O280*N280)</f>
        <v/>
      </c>
      <c r="Q280" s="7">
        <f>IF($U280="","",P280+M280)</f>
        <v/>
      </c>
      <c r="R280" s="7">
        <f>IF($U280="","",S280-Q280)</f>
        <v/>
      </c>
      <c r="S280" s="7">
        <f>IF($U280="","",L280+O280)</f>
        <v/>
      </c>
      <c r="T280" s="7">
        <f>IF($U280="","",S280-Q280-G280)</f>
        <v/>
      </c>
      <c r="U280" s="13">
        <f>IF(ROWS($U$2:$U280)&lt;=MAX('Per Line'!$V$2:$V$3001),MATCH(ROWS($U$2:$U280),'Per Line'!$V$2:$V$3001,0),"")</f>
        <v/>
      </c>
    </row>
    <row r="281">
      <c r="A281">
        <f>IF($U281="","",INDEX('Per Line'!$A$2:$A$3001,$U281)&amp;"")</f>
        <v/>
      </c>
      <c r="B281" s="12" t="n"/>
      <c r="C281">
        <f>IF($U281="","",INDEX('Per Line'!$B$2:$B$3001,$U281)&amp;"")</f>
        <v/>
      </c>
      <c r="D281">
        <f>IF($U281="","",INDEX('Per Line'!$C$2:$C$3001,$U281)&amp;"")</f>
        <v/>
      </c>
      <c r="E281">
        <f>IF($U281="","",INDEX('Per Line'!$D$2:$D$3001,$U281)&amp;"")</f>
        <v/>
      </c>
      <c r="F281">
        <f>IF($U281="","",INDEX('Per Line'!$E$2:$E$3001,$U281))</f>
        <v/>
      </c>
      <c r="G281" s="7">
        <f>IF($U281="","",F281*S281/100)</f>
        <v/>
      </c>
      <c r="H281">
        <f>IF($U281="","",INDEX('Per Line'!$O$2:$O$3001,$U281)&amp;"")</f>
        <v/>
      </c>
      <c r="I281" s="11">
        <f>IF($U281="","",INDEX('Per Line'!$Q$2:$Q$3001,$U281))</f>
        <v/>
      </c>
      <c r="J281">
        <f>IF($U281="","",INDEX('Per Line'!$R$2:$R$3001,$U281)&amp;"")</f>
        <v/>
      </c>
      <c r="K281">
        <f>IF($U281="","",Settings!$C$7)</f>
        <v/>
      </c>
      <c r="L281" s="7">
        <f>IF($U281="","",SUMIFS('Per Line'!$N$2:$N$3001,'Per Line'!$A$2:$A$3001,$A281,'Per Line'!$W$2:$W$3001,0))</f>
        <v/>
      </c>
      <c r="M281" s="7">
        <f>IF($U281="","",L281*K281)</f>
        <v/>
      </c>
      <c r="N281">
        <f>IF($U281="","",Settings!$C$6)</f>
        <v/>
      </c>
      <c r="O281" s="7">
        <f>IF($U281="","",SUMIFS('Per Line'!$N$2:$N$3001,'Per Line'!$A$2:$A$3001,$A281,'Per Line'!$W$2:$W$3001,1))</f>
        <v/>
      </c>
      <c r="P281" s="7">
        <f>IF($U281="","",O281*N281)</f>
        <v/>
      </c>
      <c r="Q281" s="7">
        <f>IF($U281="","",P281+M281)</f>
        <v/>
      </c>
      <c r="R281" s="7">
        <f>IF($U281="","",S281-Q281)</f>
        <v/>
      </c>
      <c r="S281" s="7">
        <f>IF($U281="","",L281+O281)</f>
        <v/>
      </c>
      <c r="T281" s="7">
        <f>IF($U281="","",S281-Q281-G281)</f>
        <v/>
      </c>
      <c r="U281" s="13">
        <f>IF(ROWS($U$2:$U281)&lt;=MAX('Per Line'!$V$2:$V$3001),MATCH(ROWS($U$2:$U281),'Per Line'!$V$2:$V$3001,0),"")</f>
        <v/>
      </c>
    </row>
    <row r="282">
      <c r="A282">
        <f>IF($U282="","",INDEX('Per Line'!$A$2:$A$3001,$U282)&amp;"")</f>
        <v/>
      </c>
      <c r="B282" s="12" t="n"/>
      <c r="C282">
        <f>IF($U282="","",INDEX('Per Line'!$B$2:$B$3001,$U282)&amp;"")</f>
        <v/>
      </c>
      <c r="D282">
        <f>IF($U282="","",INDEX('Per Line'!$C$2:$C$3001,$U282)&amp;"")</f>
        <v/>
      </c>
      <c r="E282">
        <f>IF($U282="","",INDEX('Per Line'!$D$2:$D$3001,$U282)&amp;"")</f>
        <v/>
      </c>
      <c r="F282">
        <f>IF($U282="","",INDEX('Per Line'!$E$2:$E$3001,$U282))</f>
        <v/>
      </c>
      <c r="G282" s="7">
        <f>IF($U282="","",F282*S282/100)</f>
        <v/>
      </c>
      <c r="H282">
        <f>IF($U282="","",INDEX('Per Line'!$O$2:$O$3001,$U282)&amp;"")</f>
        <v/>
      </c>
      <c r="I282" s="11">
        <f>IF($U282="","",INDEX('Per Line'!$Q$2:$Q$3001,$U282))</f>
        <v/>
      </c>
      <c r="J282">
        <f>IF($U282="","",INDEX('Per Line'!$R$2:$R$3001,$U282)&amp;"")</f>
        <v/>
      </c>
      <c r="K282">
        <f>IF($U282="","",Settings!$C$7)</f>
        <v/>
      </c>
      <c r="L282" s="7">
        <f>IF($U282="","",SUMIFS('Per Line'!$N$2:$N$3001,'Per Line'!$A$2:$A$3001,$A282,'Per Line'!$W$2:$W$3001,0))</f>
        <v/>
      </c>
      <c r="M282" s="7">
        <f>IF($U282="","",L282*K282)</f>
        <v/>
      </c>
      <c r="N282">
        <f>IF($U282="","",Settings!$C$6)</f>
        <v/>
      </c>
      <c r="O282" s="7">
        <f>IF($U282="","",SUMIFS('Per Line'!$N$2:$N$3001,'Per Line'!$A$2:$A$3001,$A282,'Per Line'!$W$2:$W$3001,1))</f>
        <v/>
      </c>
      <c r="P282" s="7">
        <f>IF($U282="","",O282*N282)</f>
        <v/>
      </c>
      <c r="Q282" s="7">
        <f>IF($U282="","",P282+M282)</f>
        <v/>
      </c>
      <c r="R282" s="7">
        <f>IF($U282="","",S282-Q282)</f>
        <v/>
      </c>
      <c r="S282" s="7">
        <f>IF($U282="","",L282+O282)</f>
        <v/>
      </c>
      <c r="T282" s="7">
        <f>IF($U282="","",S282-Q282-G282)</f>
        <v/>
      </c>
      <c r="U282" s="13">
        <f>IF(ROWS($U$2:$U282)&lt;=MAX('Per Line'!$V$2:$V$3001),MATCH(ROWS($U$2:$U282),'Per Line'!$V$2:$V$3001,0),"")</f>
        <v/>
      </c>
    </row>
    <row r="283">
      <c r="A283">
        <f>IF($U283="","",INDEX('Per Line'!$A$2:$A$3001,$U283)&amp;"")</f>
        <v/>
      </c>
      <c r="B283" s="12" t="n"/>
      <c r="C283">
        <f>IF($U283="","",INDEX('Per Line'!$B$2:$B$3001,$U283)&amp;"")</f>
        <v/>
      </c>
      <c r="D283">
        <f>IF($U283="","",INDEX('Per Line'!$C$2:$C$3001,$U283)&amp;"")</f>
        <v/>
      </c>
      <c r="E283">
        <f>IF($U283="","",INDEX('Per Line'!$D$2:$D$3001,$U283)&amp;"")</f>
        <v/>
      </c>
      <c r="F283">
        <f>IF($U283="","",INDEX('Per Line'!$E$2:$E$3001,$U283))</f>
        <v/>
      </c>
      <c r="G283" s="7">
        <f>IF($U283="","",F283*S283/100)</f>
        <v/>
      </c>
      <c r="H283">
        <f>IF($U283="","",INDEX('Per Line'!$O$2:$O$3001,$U283)&amp;"")</f>
        <v/>
      </c>
      <c r="I283" s="11">
        <f>IF($U283="","",INDEX('Per Line'!$Q$2:$Q$3001,$U283))</f>
        <v/>
      </c>
      <c r="J283">
        <f>IF($U283="","",INDEX('Per Line'!$R$2:$R$3001,$U283)&amp;"")</f>
        <v/>
      </c>
      <c r="K283">
        <f>IF($U283="","",Settings!$C$7)</f>
        <v/>
      </c>
      <c r="L283" s="7">
        <f>IF($U283="","",SUMIFS('Per Line'!$N$2:$N$3001,'Per Line'!$A$2:$A$3001,$A283,'Per Line'!$W$2:$W$3001,0))</f>
        <v/>
      </c>
      <c r="M283" s="7">
        <f>IF($U283="","",L283*K283)</f>
        <v/>
      </c>
      <c r="N283">
        <f>IF($U283="","",Settings!$C$6)</f>
        <v/>
      </c>
      <c r="O283" s="7">
        <f>IF($U283="","",SUMIFS('Per Line'!$N$2:$N$3001,'Per Line'!$A$2:$A$3001,$A283,'Per Line'!$W$2:$W$3001,1))</f>
        <v/>
      </c>
      <c r="P283" s="7">
        <f>IF($U283="","",O283*N283)</f>
        <v/>
      </c>
      <c r="Q283" s="7">
        <f>IF($U283="","",P283+M283)</f>
        <v/>
      </c>
      <c r="R283" s="7">
        <f>IF($U283="","",S283-Q283)</f>
        <v/>
      </c>
      <c r="S283" s="7">
        <f>IF($U283="","",L283+O283)</f>
        <v/>
      </c>
      <c r="T283" s="7">
        <f>IF($U283="","",S283-Q283-G283)</f>
        <v/>
      </c>
      <c r="U283" s="13">
        <f>IF(ROWS($U$2:$U283)&lt;=MAX('Per Line'!$V$2:$V$3001),MATCH(ROWS($U$2:$U283),'Per Line'!$V$2:$V$3001,0),"")</f>
        <v/>
      </c>
    </row>
    <row r="284">
      <c r="A284">
        <f>IF($U284="","",INDEX('Per Line'!$A$2:$A$3001,$U284)&amp;"")</f>
        <v/>
      </c>
      <c r="B284" s="12" t="n"/>
      <c r="C284">
        <f>IF($U284="","",INDEX('Per Line'!$B$2:$B$3001,$U284)&amp;"")</f>
        <v/>
      </c>
      <c r="D284">
        <f>IF($U284="","",INDEX('Per Line'!$C$2:$C$3001,$U284)&amp;"")</f>
        <v/>
      </c>
      <c r="E284">
        <f>IF($U284="","",INDEX('Per Line'!$D$2:$D$3001,$U284)&amp;"")</f>
        <v/>
      </c>
      <c r="F284">
        <f>IF($U284="","",INDEX('Per Line'!$E$2:$E$3001,$U284))</f>
        <v/>
      </c>
      <c r="G284" s="7">
        <f>IF($U284="","",F284*S284/100)</f>
        <v/>
      </c>
      <c r="H284">
        <f>IF($U284="","",INDEX('Per Line'!$O$2:$O$3001,$U284)&amp;"")</f>
        <v/>
      </c>
      <c r="I284" s="11">
        <f>IF($U284="","",INDEX('Per Line'!$Q$2:$Q$3001,$U284))</f>
        <v/>
      </c>
      <c r="J284">
        <f>IF($U284="","",INDEX('Per Line'!$R$2:$R$3001,$U284)&amp;"")</f>
        <v/>
      </c>
      <c r="K284">
        <f>IF($U284="","",Settings!$C$7)</f>
        <v/>
      </c>
      <c r="L284" s="7">
        <f>IF($U284="","",SUMIFS('Per Line'!$N$2:$N$3001,'Per Line'!$A$2:$A$3001,$A284,'Per Line'!$W$2:$W$3001,0))</f>
        <v/>
      </c>
      <c r="M284" s="7">
        <f>IF($U284="","",L284*K284)</f>
        <v/>
      </c>
      <c r="N284">
        <f>IF($U284="","",Settings!$C$6)</f>
        <v/>
      </c>
      <c r="O284" s="7">
        <f>IF($U284="","",SUMIFS('Per Line'!$N$2:$N$3001,'Per Line'!$A$2:$A$3001,$A284,'Per Line'!$W$2:$W$3001,1))</f>
        <v/>
      </c>
      <c r="P284" s="7">
        <f>IF($U284="","",O284*N284)</f>
        <v/>
      </c>
      <c r="Q284" s="7">
        <f>IF($U284="","",P284+M284)</f>
        <v/>
      </c>
      <c r="R284" s="7">
        <f>IF($U284="","",S284-Q284)</f>
        <v/>
      </c>
      <c r="S284" s="7">
        <f>IF($U284="","",L284+O284)</f>
        <v/>
      </c>
      <c r="T284" s="7">
        <f>IF($U284="","",S284-Q284-G284)</f>
        <v/>
      </c>
      <c r="U284" s="13">
        <f>IF(ROWS($U$2:$U284)&lt;=MAX('Per Line'!$V$2:$V$3001),MATCH(ROWS($U$2:$U284),'Per Line'!$V$2:$V$3001,0),"")</f>
        <v/>
      </c>
    </row>
    <row r="285">
      <c r="A285">
        <f>IF($U285="","",INDEX('Per Line'!$A$2:$A$3001,$U285)&amp;"")</f>
        <v/>
      </c>
      <c r="B285" s="12" t="n"/>
      <c r="C285">
        <f>IF($U285="","",INDEX('Per Line'!$B$2:$B$3001,$U285)&amp;"")</f>
        <v/>
      </c>
      <c r="D285">
        <f>IF($U285="","",INDEX('Per Line'!$C$2:$C$3001,$U285)&amp;"")</f>
        <v/>
      </c>
      <c r="E285">
        <f>IF($U285="","",INDEX('Per Line'!$D$2:$D$3001,$U285)&amp;"")</f>
        <v/>
      </c>
      <c r="F285">
        <f>IF($U285="","",INDEX('Per Line'!$E$2:$E$3001,$U285))</f>
        <v/>
      </c>
      <c r="G285" s="7">
        <f>IF($U285="","",F285*S285/100)</f>
        <v/>
      </c>
      <c r="H285">
        <f>IF($U285="","",INDEX('Per Line'!$O$2:$O$3001,$U285)&amp;"")</f>
        <v/>
      </c>
      <c r="I285" s="11">
        <f>IF($U285="","",INDEX('Per Line'!$Q$2:$Q$3001,$U285))</f>
        <v/>
      </c>
      <c r="J285">
        <f>IF($U285="","",INDEX('Per Line'!$R$2:$R$3001,$U285)&amp;"")</f>
        <v/>
      </c>
      <c r="K285">
        <f>IF($U285="","",Settings!$C$7)</f>
        <v/>
      </c>
      <c r="L285" s="7">
        <f>IF($U285="","",SUMIFS('Per Line'!$N$2:$N$3001,'Per Line'!$A$2:$A$3001,$A285,'Per Line'!$W$2:$W$3001,0))</f>
        <v/>
      </c>
      <c r="M285" s="7">
        <f>IF($U285="","",L285*K285)</f>
        <v/>
      </c>
      <c r="N285">
        <f>IF($U285="","",Settings!$C$6)</f>
        <v/>
      </c>
      <c r="O285" s="7">
        <f>IF($U285="","",SUMIFS('Per Line'!$N$2:$N$3001,'Per Line'!$A$2:$A$3001,$A285,'Per Line'!$W$2:$W$3001,1))</f>
        <v/>
      </c>
      <c r="P285" s="7">
        <f>IF($U285="","",O285*N285)</f>
        <v/>
      </c>
      <c r="Q285" s="7">
        <f>IF($U285="","",P285+M285)</f>
        <v/>
      </c>
      <c r="R285" s="7">
        <f>IF($U285="","",S285-Q285)</f>
        <v/>
      </c>
      <c r="S285" s="7">
        <f>IF($U285="","",L285+O285)</f>
        <v/>
      </c>
      <c r="T285" s="7">
        <f>IF($U285="","",S285-Q285-G285)</f>
        <v/>
      </c>
      <c r="U285" s="13">
        <f>IF(ROWS($U$2:$U285)&lt;=MAX('Per Line'!$V$2:$V$3001),MATCH(ROWS($U$2:$U285),'Per Line'!$V$2:$V$3001,0),"")</f>
        <v/>
      </c>
    </row>
    <row r="286">
      <c r="A286">
        <f>IF($U286="","",INDEX('Per Line'!$A$2:$A$3001,$U286)&amp;"")</f>
        <v/>
      </c>
      <c r="B286" s="12" t="n"/>
      <c r="C286">
        <f>IF($U286="","",INDEX('Per Line'!$B$2:$B$3001,$U286)&amp;"")</f>
        <v/>
      </c>
      <c r="D286">
        <f>IF($U286="","",INDEX('Per Line'!$C$2:$C$3001,$U286)&amp;"")</f>
        <v/>
      </c>
      <c r="E286">
        <f>IF($U286="","",INDEX('Per Line'!$D$2:$D$3001,$U286)&amp;"")</f>
        <v/>
      </c>
      <c r="F286">
        <f>IF($U286="","",INDEX('Per Line'!$E$2:$E$3001,$U286))</f>
        <v/>
      </c>
      <c r="G286" s="7">
        <f>IF($U286="","",F286*S286/100)</f>
        <v/>
      </c>
      <c r="H286">
        <f>IF($U286="","",INDEX('Per Line'!$O$2:$O$3001,$U286)&amp;"")</f>
        <v/>
      </c>
      <c r="I286" s="11">
        <f>IF($U286="","",INDEX('Per Line'!$Q$2:$Q$3001,$U286))</f>
        <v/>
      </c>
      <c r="J286">
        <f>IF($U286="","",INDEX('Per Line'!$R$2:$R$3001,$U286)&amp;"")</f>
        <v/>
      </c>
      <c r="K286">
        <f>IF($U286="","",Settings!$C$7)</f>
        <v/>
      </c>
      <c r="L286" s="7">
        <f>IF($U286="","",SUMIFS('Per Line'!$N$2:$N$3001,'Per Line'!$A$2:$A$3001,$A286,'Per Line'!$W$2:$W$3001,0))</f>
        <v/>
      </c>
      <c r="M286" s="7">
        <f>IF($U286="","",L286*K286)</f>
        <v/>
      </c>
      <c r="N286">
        <f>IF($U286="","",Settings!$C$6)</f>
        <v/>
      </c>
      <c r="O286" s="7">
        <f>IF($U286="","",SUMIFS('Per Line'!$N$2:$N$3001,'Per Line'!$A$2:$A$3001,$A286,'Per Line'!$W$2:$W$3001,1))</f>
        <v/>
      </c>
      <c r="P286" s="7">
        <f>IF($U286="","",O286*N286)</f>
        <v/>
      </c>
      <c r="Q286" s="7">
        <f>IF($U286="","",P286+M286)</f>
        <v/>
      </c>
      <c r="R286" s="7">
        <f>IF($U286="","",S286-Q286)</f>
        <v/>
      </c>
      <c r="S286" s="7">
        <f>IF($U286="","",L286+O286)</f>
        <v/>
      </c>
      <c r="T286" s="7">
        <f>IF($U286="","",S286-Q286-G286)</f>
        <v/>
      </c>
      <c r="U286" s="13">
        <f>IF(ROWS($U$2:$U286)&lt;=MAX('Per Line'!$V$2:$V$3001),MATCH(ROWS($U$2:$U286),'Per Line'!$V$2:$V$3001,0),"")</f>
        <v/>
      </c>
    </row>
    <row r="287">
      <c r="A287">
        <f>IF($U287="","",INDEX('Per Line'!$A$2:$A$3001,$U287)&amp;"")</f>
        <v/>
      </c>
      <c r="B287" s="12" t="n"/>
      <c r="C287">
        <f>IF($U287="","",INDEX('Per Line'!$B$2:$B$3001,$U287)&amp;"")</f>
        <v/>
      </c>
      <c r="D287">
        <f>IF($U287="","",INDEX('Per Line'!$C$2:$C$3001,$U287)&amp;"")</f>
        <v/>
      </c>
      <c r="E287">
        <f>IF($U287="","",INDEX('Per Line'!$D$2:$D$3001,$U287)&amp;"")</f>
        <v/>
      </c>
      <c r="F287">
        <f>IF($U287="","",INDEX('Per Line'!$E$2:$E$3001,$U287))</f>
        <v/>
      </c>
      <c r="G287" s="7">
        <f>IF($U287="","",F287*S287/100)</f>
        <v/>
      </c>
      <c r="H287">
        <f>IF($U287="","",INDEX('Per Line'!$O$2:$O$3001,$U287)&amp;"")</f>
        <v/>
      </c>
      <c r="I287" s="11">
        <f>IF($U287="","",INDEX('Per Line'!$Q$2:$Q$3001,$U287))</f>
        <v/>
      </c>
      <c r="J287">
        <f>IF($U287="","",INDEX('Per Line'!$R$2:$R$3001,$U287)&amp;"")</f>
        <v/>
      </c>
      <c r="K287">
        <f>IF($U287="","",Settings!$C$7)</f>
        <v/>
      </c>
      <c r="L287" s="7">
        <f>IF($U287="","",SUMIFS('Per Line'!$N$2:$N$3001,'Per Line'!$A$2:$A$3001,$A287,'Per Line'!$W$2:$W$3001,0))</f>
        <v/>
      </c>
      <c r="M287" s="7">
        <f>IF($U287="","",L287*K287)</f>
        <v/>
      </c>
      <c r="N287">
        <f>IF($U287="","",Settings!$C$6)</f>
        <v/>
      </c>
      <c r="O287" s="7">
        <f>IF($U287="","",SUMIFS('Per Line'!$N$2:$N$3001,'Per Line'!$A$2:$A$3001,$A287,'Per Line'!$W$2:$W$3001,1))</f>
        <v/>
      </c>
      <c r="P287" s="7">
        <f>IF($U287="","",O287*N287)</f>
        <v/>
      </c>
      <c r="Q287" s="7">
        <f>IF($U287="","",P287+M287)</f>
        <v/>
      </c>
      <c r="R287" s="7">
        <f>IF($U287="","",S287-Q287)</f>
        <v/>
      </c>
      <c r="S287" s="7">
        <f>IF($U287="","",L287+O287)</f>
        <v/>
      </c>
      <c r="T287" s="7">
        <f>IF($U287="","",S287-Q287-G287)</f>
        <v/>
      </c>
      <c r="U287" s="13">
        <f>IF(ROWS($U$2:$U287)&lt;=MAX('Per Line'!$V$2:$V$3001),MATCH(ROWS($U$2:$U287),'Per Line'!$V$2:$V$3001,0),"")</f>
        <v/>
      </c>
    </row>
    <row r="288">
      <c r="A288">
        <f>IF($U288="","",INDEX('Per Line'!$A$2:$A$3001,$U288)&amp;"")</f>
        <v/>
      </c>
      <c r="B288" s="12" t="n"/>
      <c r="C288">
        <f>IF($U288="","",INDEX('Per Line'!$B$2:$B$3001,$U288)&amp;"")</f>
        <v/>
      </c>
      <c r="D288">
        <f>IF($U288="","",INDEX('Per Line'!$C$2:$C$3001,$U288)&amp;"")</f>
        <v/>
      </c>
      <c r="E288">
        <f>IF($U288="","",INDEX('Per Line'!$D$2:$D$3001,$U288)&amp;"")</f>
        <v/>
      </c>
      <c r="F288">
        <f>IF($U288="","",INDEX('Per Line'!$E$2:$E$3001,$U288))</f>
        <v/>
      </c>
      <c r="G288" s="7">
        <f>IF($U288="","",F288*S288/100)</f>
        <v/>
      </c>
      <c r="H288">
        <f>IF($U288="","",INDEX('Per Line'!$O$2:$O$3001,$U288)&amp;"")</f>
        <v/>
      </c>
      <c r="I288" s="11">
        <f>IF($U288="","",INDEX('Per Line'!$Q$2:$Q$3001,$U288))</f>
        <v/>
      </c>
      <c r="J288">
        <f>IF($U288="","",INDEX('Per Line'!$R$2:$R$3001,$U288)&amp;"")</f>
        <v/>
      </c>
      <c r="K288">
        <f>IF($U288="","",Settings!$C$7)</f>
        <v/>
      </c>
      <c r="L288" s="7">
        <f>IF($U288="","",SUMIFS('Per Line'!$N$2:$N$3001,'Per Line'!$A$2:$A$3001,$A288,'Per Line'!$W$2:$W$3001,0))</f>
        <v/>
      </c>
      <c r="M288" s="7">
        <f>IF($U288="","",L288*K288)</f>
        <v/>
      </c>
      <c r="N288">
        <f>IF($U288="","",Settings!$C$6)</f>
        <v/>
      </c>
      <c r="O288" s="7">
        <f>IF($U288="","",SUMIFS('Per Line'!$N$2:$N$3001,'Per Line'!$A$2:$A$3001,$A288,'Per Line'!$W$2:$W$3001,1))</f>
        <v/>
      </c>
      <c r="P288" s="7">
        <f>IF($U288="","",O288*N288)</f>
        <v/>
      </c>
      <c r="Q288" s="7">
        <f>IF($U288="","",P288+M288)</f>
        <v/>
      </c>
      <c r="R288" s="7">
        <f>IF($U288="","",S288-Q288)</f>
        <v/>
      </c>
      <c r="S288" s="7">
        <f>IF($U288="","",L288+O288)</f>
        <v/>
      </c>
      <c r="T288" s="7">
        <f>IF($U288="","",S288-Q288-G288)</f>
        <v/>
      </c>
      <c r="U288" s="13">
        <f>IF(ROWS($U$2:$U288)&lt;=MAX('Per Line'!$V$2:$V$3001),MATCH(ROWS($U$2:$U288),'Per Line'!$V$2:$V$3001,0),"")</f>
        <v/>
      </c>
    </row>
    <row r="289">
      <c r="A289">
        <f>IF($U289="","",INDEX('Per Line'!$A$2:$A$3001,$U289)&amp;"")</f>
        <v/>
      </c>
      <c r="B289" s="12" t="n"/>
      <c r="C289">
        <f>IF($U289="","",INDEX('Per Line'!$B$2:$B$3001,$U289)&amp;"")</f>
        <v/>
      </c>
      <c r="D289">
        <f>IF($U289="","",INDEX('Per Line'!$C$2:$C$3001,$U289)&amp;"")</f>
        <v/>
      </c>
      <c r="E289">
        <f>IF($U289="","",INDEX('Per Line'!$D$2:$D$3001,$U289)&amp;"")</f>
        <v/>
      </c>
      <c r="F289">
        <f>IF($U289="","",INDEX('Per Line'!$E$2:$E$3001,$U289))</f>
        <v/>
      </c>
      <c r="G289" s="7">
        <f>IF($U289="","",F289*S289/100)</f>
        <v/>
      </c>
      <c r="H289">
        <f>IF($U289="","",INDEX('Per Line'!$O$2:$O$3001,$U289)&amp;"")</f>
        <v/>
      </c>
      <c r="I289" s="11">
        <f>IF($U289="","",INDEX('Per Line'!$Q$2:$Q$3001,$U289))</f>
        <v/>
      </c>
      <c r="J289">
        <f>IF($U289="","",INDEX('Per Line'!$R$2:$R$3001,$U289)&amp;"")</f>
        <v/>
      </c>
      <c r="K289">
        <f>IF($U289="","",Settings!$C$7)</f>
        <v/>
      </c>
      <c r="L289" s="7">
        <f>IF($U289="","",SUMIFS('Per Line'!$N$2:$N$3001,'Per Line'!$A$2:$A$3001,$A289,'Per Line'!$W$2:$W$3001,0))</f>
        <v/>
      </c>
      <c r="M289" s="7">
        <f>IF($U289="","",L289*K289)</f>
        <v/>
      </c>
      <c r="N289">
        <f>IF($U289="","",Settings!$C$6)</f>
        <v/>
      </c>
      <c r="O289" s="7">
        <f>IF($U289="","",SUMIFS('Per Line'!$N$2:$N$3001,'Per Line'!$A$2:$A$3001,$A289,'Per Line'!$W$2:$W$3001,1))</f>
        <v/>
      </c>
      <c r="P289" s="7">
        <f>IF($U289="","",O289*N289)</f>
        <v/>
      </c>
      <c r="Q289" s="7">
        <f>IF($U289="","",P289+M289)</f>
        <v/>
      </c>
      <c r="R289" s="7">
        <f>IF($U289="","",S289-Q289)</f>
        <v/>
      </c>
      <c r="S289" s="7">
        <f>IF($U289="","",L289+O289)</f>
        <v/>
      </c>
      <c r="T289" s="7">
        <f>IF($U289="","",S289-Q289-G289)</f>
        <v/>
      </c>
      <c r="U289" s="13">
        <f>IF(ROWS($U$2:$U289)&lt;=MAX('Per Line'!$V$2:$V$3001),MATCH(ROWS($U$2:$U289),'Per Line'!$V$2:$V$3001,0),"")</f>
        <v/>
      </c>
    </row>
    <row r="290">
      <c r="A290">
        <f>IF($U290="","",INDEX('Per Line'!$A$2:$A$3001,$U290)&amp;"")</f>
        <v/>
      </c>
      <c r="B290" s="12" t="n"/>
      <c r="C290">
        <f>IF($U290="","",INDEX('Per Line'!$B$2:$B$3001,$U290)&amp;"")</f>
        <v/>
      </c>
      <c r="D290">
        <f>IF($U290="","",INDEX('Per Line'!$C$2:$C$3001,$U290)&amp;"")</f>
        <v/>
      </c>
      <c r="E290">
        <f>IF($U290="","",INDEX('Per Line'!$D$2:$D$3001,$U290)&amp;"")</f>
        <v/>
      </c>
      <c r="F290">
        <f>IF($U290="","",INDEX('Per Line'!$E$2:$E$3001,$U290))</f>
        <v/>
      </c>
      <c r="G290" s="7">
        <f>IF($U290="","",F290*S290/100)</f>
        <v/>
      </c>
      <c r="H290">
        <f>IF($U290="","",INDEX('Per Line'!$O$2:$O$3001,$U290)&amp;"")</f>
        <v/>
      </c>
      <c r="I290" s="11">
        <f>IF($U290="","",INDEX('Per Line'!$Q$2:$Q$3001,$U290))</f>
        <v/>
      </c>
      <c r="J290">
        <f>IF($U290="","",INDEX('Per Line'!$R$2:$R$3001,$U290)&amp;"")</f>
        <v/>
      </c>
      <c r="K290">
        <f>IF($U290="","",Settings!$C$7)</f>
        <v/>
      </c>
      <c r="L290" s="7">
        <f>IF($U290="","",SUMIFS('Per Line'!$N$2:$N$3001,'Per Line'!$A$2:$A$3001,$A290,'Per Line'!$W$2:$W$3001,0))</f>
        <v/>
      </c>
      <c r="M290" s="7">
        <f>IF($U290="","",L290*K290)</f>
        <v/>
      </c>
      <c r="N290">
        <f>IF($U290="","",Settings!$C$6)</f>
        <v/>
      </c>
      <c r="O290" s="7">
        <f>IF($U290="","",SUMIFS('Per Line'!$N$2:$N$3001,'Per Line'!$A$2:$A$3001,$A290,'Per Line'!$W$2:$W$3001,1))</f>
        <v/>
      </c>
      <c r="P290" s="7">
        <f>IF($U290="","",O290*N290)</f>
        <v/>
      </c>
      <c r="Q290" s="7">
        <f>IF($U290="","",P290+M290)</f>
        <v/>
      </c>
      <c r="R290" s="7">
        <f>IF($U290="","",S290-Q290)</f>
        <v/>
      </c>
      <c r="S290" s="7">
        <f>IF($U290="","",L290+O290)</f>
        <v/>
      </c>
      <c r="T290" s="7">
        <f>IF($U290="","",S290-Q290-G290)</f>
        <v/>
      </c>
      <c r="U290" s="13">
        <f>IF(ROWS($U$2:$U290)&lt;=MAX('Per Line'!$V$2:$V$3001),MATCH(ROWS($U$2:$U290),'Per Line'!$V$2:$V$3001,0),"")</f>
        <v/>
      </c>
    </row>
    <row r="291">
      <c r="A291">
        <f>IF($U291="","",INDEX('Per Line'!$A$2:$A$3001,$U291)&amp;"")</f>
        <v/>
      </c>
      <c r="B291" s="12" t="n"/>
      <c r="C291">
        <f>IF($U291="","",INDEX('Per Line'!$B$2:$B$3001,$U291)&amp;"")</f>
        <v/>
      </c>
      <c r="D291">
        <f>IF($U291="","",INDEX('Per Line'!$C$2:$C$3001,$U291)&amp;"")</f>
        <v/>
      </c>
      <c r="E291">
        <f>IF($U291="","",INDEX('Per Line'!$D$2:$D$3001,$U291)&amp;"")</f>
        <v/>
      </c>
      <c r="F291">
        <f>IF($U291="","",INDEX('Per Line'!$E$2:$E$3001,$U291))</f>
        <v/>
      </c>
      <c r="G291" s="7">
        <f>IF($U291="","",F291*S291/100)</f>
        <v/>
      </c>
      <c r="H291">
        <f>IF($U291="","",INDEX('Per Line'!$O$2:$O$3001,$U291)&amp;"")</f>
        <v/>
      </c>
      <c r="I291" s="11">
        <f>IF($U291="","",INDEX('Per Line'!$Q$2:$Q$3001,$U291))</f>
        <v/>
      </c>
      <c r="J291">
        <f>IF($U291="","",INDEX('Per Line'!$R$2:$R$3001,$U291)&amp;"")</f>
        <v/>
      </c>
      <c r="K291">
        <f>IF($U291="","",Settings!$C$7)</f>
        <v/>
      </c>
      <c r="L291" s="7">
        <f>IF($U291="","",SUMIFS('Per Line'!$N$2:$N$3001,'Per Line'!$A$2:$A$3001,$A291,'Per Line'!$W$2:$W$3001,0))</f>
        <v/>
      </c>
      <c r="M291" s="7">
        <f>IF($U291="","",L291*K291)</f>
        <v/>
      </c>
      <c r="N291">
        <f>IF($U291="","",Settings!$C$6)</f>
        <v/>
      </c>
      <c r="O291" s="7">
        <f>IF($U291="","",SUMIFS('Per Line'!$N$2:$N$3001,'Per Line'!$A$2:$A$3001,$A291,'Per Line'!$W$2:$W$3001,1))</f>
        <v/>
      </c>
      <c r="P291" s="7">
        <f>IF($U291="","",O291*N291)</f>
        <v/>
      </c>
      <c r="Q291" s="7">
        <f>IF($U291="","",P291+M291)</f>
        <v/>
      </c>
      <c r="R291" s="7">
        <f>IF($U291="","",S291-Q291)</f>
        <v/>
      </c>
      <c r="S291" s="7">
        <f>IF($U291="","",L291+O291)</f>
        <v/>
      </c>
      <c r="T291" s="7">
        <f>IF($U291="","",S291-Q291-G291)</f>
        <v/>
      </c>
      <c r="U291" s="13">
        <f>IF(ROWS($U$2:$U291)&lt;=MAX('Per Line'!$V$2:$V$3001),MATCH(ROWS($U$2:$U291),'Per Line'!$V$2:$V$3001,0),"")</f>
        <v/>
      </c>
    </row>
    <row r="292">
      <c r="A292">
        <f>IF($U292="","",INDEX('Per Line'!$A$2:$A$3001,$U292)&amp;"")</f>
        <v/>
      </c>
      <c r="B292" s="12" t="n"/>
      <c r="C292">
        <f>IF($U292="","",INDEX('Per Line'!$B$2:$B$3001,$U292)&amp;"")</f>
        <v/>
      </c>
      <c r="D292">
        <f>IF($U292="","",INDEX('Per Line'!$C$2:$C$3001,$U292)&amp;"")</f>
        <v/>
      </c>
      <c r="E292">
        <f>IF($U292="","",INDEX('Per Line'!$D$2:$D$3001,$U292)&amp;"")</f>
        <v/>
      </c>
      <c r="F292">
        <f>IF($U292="","",INDEX('Per Line'!$E$2:$E$3001,$U292))</f>
        <v/>
      </c>
      <c r="G292" s="7">
        <f>IF($U292="","",F292*S292/100)</f>
        <v/>
      </c>
      <c r="H292">
        <f>IF($U292="","",INDEX('Per Line'!$O$2:$O$3001,$U292)&amp;"")</f>
        <v/>
      </c>
      <c r="I292" s="11">
        <f>IF($U292="","",INDEX('Per Line'!$Q$2:$Q$3001,$U292))</f>
        <v/>
      </c>
      <c r="J292">
        <f>IF($U292="","",INDEX('Per Line'!$R$2:$R$3001,$U292)&amp;"")</f>
        <v/>
      </c>
      <c r="K292">
        <f>IF($U292="","",Settings!$C$7)</f>
        <v/>
      </c>
      <c r="L292" s="7">
        <f>IF($U292="","",SUMIFS('Per Line'!$N$2:$N$3001,'Per Line'!$A$2:$A$3001,$A292,'Per Line'!$W$2:$W$3001,0))</f>
        <v/>
      </c>
      <c r="M292" s="7">
        <f>IF($U292="","",L292*K292)</f>
        <v/>
      </c>
      <c r="N292">
        <f>IF($U292="","",Settings!$C$6)</f>
        <v/>
      </c>
      <c r="O292" s="7">
        <f>IF($U292="","",SUMIFS('Per Line'!$N$2:$N$3001,'Per Line'!$A$2:$A$3001,$A292,'Per Line'!$W$2:$W$3001,1))</f>
        <v/>
      </c>
      <c r="P292" s="7">
        <f>IF($U292="","",O292*N292)</f>
        <v/>
      </c>
      <c r="Q292" s="7">
        <f>IF($U292="","",P292+M292)</f>
        <v/>
      </c>
      <c r="R292" s="7">
        <f>IF($U292="","",S292-Q292)</f>
        <v/>
      </c>
      <c r="S292" s="7">
        <f>IF($U292="","",L292+O292)</f>
        <v/>
      </c>
      <c r="T292" s="7">
        <f>IF($U292="","",S292-Q292-G292)</f>
        <v/>
      </c>
      <c r="U292" s="13">
        <f>IF(ROWS($U$2:$U292)&lt;=MAX('Per Line'!$V$2:$V$3001),MATCH(ROWS($U$2:$U292),'Per Line'!$V$2:$V$3001,0),"")</f>
        <v/>
      </c>
    </row>
    <row r="293">
      <c r="A293">
        <f>IF($U293="","",INDEX('Per Line'!$A$2:$A$3001,$U293)&amp;"")</f>
        <v/>
      </c>
      <c r="B293" s="12" t="n"/>
      <c r="C293">
        <f>IF($U293="","",INDEX('Per Line'!$B$2:$B$3001,$U293)&amp;"")</f>
        <v/>
      </c>
      <c r="D293">
        <f>IF($U293="","",INDEX('Per Line'!$C$2:$C$3001,$U293)&amp;"")</f>
        <v/>
      </c>
      <c r="E293">
        <f>IF($U293="","",INDEX('Per Line'!$D$2:$D$3001,$U293)&amp;"")</f>
        <v/>
      </c>
      <c r="F293">
        <f>IF($U293="","",INDEX('Per Line'!$E$2:$E$3001,$U293))</f>
        <v/>
      </c>
      <c r="G293" s="7">
        <f>IF($U293="","",F293*S293/100)</f>
        <v/>
      </c>
      <c r="H293">
        <f>IF($U293="","",INDEX('Per Line'!$O$2:$O$3001,$U293)&amp;"")</f>
        <v/>
      </c>
      <c r="I293" s="11">
        <f>IF($U293="","",INDEX('Per Line'!$Q$2:$Q$3001,$U293))</f>
        <v/>
      </c>
      <c r="J293">
        <f>IF($U293="","",INDEX('Per Line'!$R$2:$R$3001,$U293)&amp;"")</f>
        <v/>
      </c>
      <c r="K293">
        <f>IF($U293="","",Settings!$C$7)</f>
        <v/>
      </c>
      <c r="L293" s="7">
        <f>IF($U293="","",SUMIFS('Per Line'!$N$2:$N$3001,'Per Line'!$A$2:$A$3001,$A293,'Per Line'!$W$2:$W$3001,0))</f>
        <v/>
      </c>
      <c r="M293" s="7">
        <f>IF($U293="","",L293*K293)</f>
        <v/>
      </c>
      <c r="N293">
        <f>IF($U293="","",Settings!$C$6)</f>
        <v/>
      </c>
      <c r="O293" s="7">
        <f>IF($U293="","",SUMIFS('Per Line'!$N$2:$N$3001,'Per Line'!$A$2:$A$3001,$A293,'Per Line'!$W$2:$W$3001,1))</f>
        <v/>
      </c>
      <c r="P293" s="7">
        <f>IF($U293="","",O293*N293)</f>
        <v/>
      </c>
      <c r="Q293" s="7">
        <f>IF($U293="","",P293+M293)</f>
        <v/>
      </c>
      <c r="R293" s="7">
        <f>IF($U293="","",S293-Q293)</f>
        <v/>
      </c>
      <c r="S293" s="7">
        <f>IF($U293="","",L293+O293)</f>
        <v/>
      </c>
      <c r="T293" s="7">
        <f>IF($U293="","",S293-Q293-G293)</f>
        <v/>
      </c>
      <c r="U293" s="13">
        <f>IF(ROWS($U$2:$U293)&lt;=MAX('Per Line'!$V$2:$V$3001),MATCH(ROWS($U$2:$U293),'Per Line'!$V$2:$V$3001,0),"")</f>
        <v/>
      </c>
    </row>
    <row r="294">
      <c r="A294">
        <f>IF($U294="","",INDEX('Per Line'!$A$2:$A$3001,$U294)&amp;"")</f>
        <v/>
      </c>
      <c r="B294" s="12" t="n"/>
      <c r="C294">
        <f>IF($U294="","",INDEX('Per Line'!$B$2:$B$3001,$U294)&amp;"")</f>
        <v/>
      </c>
      <c r="D294">
        <f>IF($U294="","",INDEX('Per Line'!$C$2:$C$3001,$U294)&amp;"")</f>
        <v/>
      </c>
      <c r="E294">
        <f>IF($U294="","",INDEX('Per Line'!$D$2:$D$3001,$U294)&amp;"")</f>
        <v/>
      </c>
      <c r="F294">
        <f>IF($U294="","",INDEX('Per Line'!$E$2:$E$3001,$U294))</f>
        <v/>
      </c>
      <c r="G294" s="7">
        <f>IF($U294="","",F294*S294/100)</f>
        <v/>
      </c>
      <c r="H294">
        <f>IF($U294="","",INDEX('Per Line'!$O$2:$O$3001,$U294)&amp;"")</f>
        <v/>
      </c>
      <c r="I294" s="11">
        <f>IF($U294="","",INDEX('Per Line'!$Q$2:$Q$3001,$U294))</f>
        <v/>
      </c>
      <c r="J294">
        <f>IF($U294="","",INDEX('Per Line'!$R$2:$R$3001,$U294)&amp;"")</f>
        <v/>
      </c>
      <c r="K294">
        <f>IF($U294="","",Settings!$C$7)</f>
        <v/>
      </c>
      <c r="L294" s="7">
        <f>IF($U294="","",SUMIFS('Per Line'!$N$2:$N$3001,'Per Line'!$A$2:$A$3001,$A294,'Per Line'!$W$2:$W$3001,0))</f>
        <v/>
      </c>
      <c r="M294" s="7">
        <f>IF($U294="","",L294*K294)</f>
        <v/>
      </c>
      <c r="N294">
        <f>IF($U294="","",Settings!$C$6)</f>
        <v/>
      </c>
      <c r="O294" s="7">
        <f>IF($U294="","",SUMIFS('Per Line'!$N$2:$N$3001,'Per Line'!$A$2:$A$3001,$A294,'Per Line'!$W$2:$W$3001,1))</f>
        <v/>
      </c>
      <c r="P294" s="7">
        <f>IF($U294="","",O294*N294)</f>
        <v/>
      </c>
      <c r="Q294" s="7">
        <f>IF($U294="","",P294+M294)</f>
        <v/>
      </c>
      <c r="R294" s="7">
        <f>IF($U294="","",S294-Q294)</f>
        <v/>
      </c>
      <c r="S294" s="7">
        <f>IF($U294="","",L294+O294)</f>
        <v/>
      </c>
      <c r="T294" s="7">
        <f>IF($U294="","",S294-Q294-G294)</f>
        <v/>
      </c>
      <c r="U294" s="13">
        <f>IF(ROWS($U$2:$U294)&lt;=MAX('Per Line'!$V$2:$V$3001),MATCH(ROWS($U$2:$U294),'Per Line'!$V$2:$V$3001,0),"")</f>
        <v/>
      </c>
    </row>
    <row r="295">
      <c r="A295">
        <f>IF($U295="","",INDEX('Per Line'!$A$2:$A$3001,$U295)&amp;"")</f>
        <v/>
      </c>
      <c r="B295" s="12" t="n"/>
      <c r="C295">
        <f>IF($U295="","",INDEX('Per Line'!$B$2:$B$3001,$U295)&amp;"")</f>
        <v/>
      </c>
      <c r="D295">
        <f>IF($U295="","",INDEX('Per Line'!$C$2:$C$3001,$U295)&amp;"")</f>
        <v/>
      </c>
      <c r="E295">
        <f>IF($U295="","",INDEX('Per Line'!$D$2:$D$3001,$U295)&amp;"")</f>
        <v/>
      </c>
      <c r="F295">
        <f>IF($U295="","",INDEX('Per Line'!$E$2:$E$3001,$U295))</f>
        <v/>
      </c>
      <c r="G295" s="7">
        <f>IF($U295="","",F295*S295/100)</f>
        <v/>
      </c>
      <c r="H295">
        <f>IF($U295="","",INDEX('Per Line'!$O$2:$O$3001,$U295)&amp;"")</f>
        <v/>
      </c>
      <c r="I295" s="11">
        <f>IF($U295="","",INDEX('Per Line'!$Q$2:$Q$3001,$U295))</f>
        <v/>
      </c>
      <c r="J295">
        <f>IF($U295="","",INDEX('Per Line'!$R$2:$R$3001,$U295)&amp;"")</f>
        <v/>
      </c>
      <c r="K295">
        <f>IF($U295="","",Settings!$C$7)</f>
        <v/>
      </c>
      <c r="L295" s="7">
        <f>IF($U295="","",SUMIFS('Per Line'!$N$2:$N$3001,'Per Line'!$A$2:$A$3001,$A295,'Per Line'!$W$2:$W$3001,0))</f>
        <v/>
      </c>
      <c r="M295" s="7">
        <f>IF($U295="","",L295*K295)</f>
        <v/>
      </c>
      <c r="N295">
        <f>IF($U295="","",Settings!$C$6)</f>
        <v/>
      </c>
      <c r="O295" s="7">
        <f>IF($U295="","",SUMIFS('Per Line'!$N$2:$N$3001,'Per Line'!$A$2:$A$3001,$A295,'Per Line'!$W$2:$W$3001,1))</f>
        <v/>
      </c>
      <c r="P295" s="7">
        <f>IF($U295="","",O295*N295)</f>
        <v/>
      </c>
      <c r="Q295" s="7">
        <f>IF($U295="","",P295+M295)</f>
        <v/>
      </c>
      <c r="R295" s="7">
        <f>IF($U295="","",S295-Q295)</f>
        <v/>
      </c>
      <c r="S295" s="7">
        <f>IF($U295="","",L295+O295)</f>
        <v/>
      </c>
      <c r="T295" s="7">
        <f>IF($U295="","",S295-Q295-G295)</f>
        <v/>
      </c>
      <c r="U295" s="13">
        <f>IF(ROWS($U$2:$U295)&lt;=MAX('Per Line'!$V$2:$V$3001),MATCH(ROWS($U$2:$U295),'Per Line'!$V$2:$V$3001,0),"")</f>
        <v/>
      </c>
    </row>
    <row r="296">
      <c r="A296">
        <f>IF($U296="","",INDEX('Per Line'!$A$2:$A$3001,$U296)&amp;"")</f>
        <v/>
      </c>
      <c r="B296" s="12" t="n"/>
      <c r="C296">
        <f>IF($U296="","",INDEX('Per Line'!$B$2:$B$3001,$U296)&amp;"")</f>
        <v/>
      </c>
      <c r="D296">
        <f>IF($U296="","",INDEX('Per Line'!$C$2:$C$3001,$U296)&amp;"")</f>
        <v/>
      </c>
      <c r="E296">
        <f>IF($U296="","",INDEX('Per Line'!$D$2:$D$3001,$U296)&amp;"")</f>
        <v/>
      </c>
      <c r="F296">
        <f>IF($U296="","",INDEX('Per Line'!$E$2:$E$3001,$U296))</f>
        <v/>
      </c>
      <c r="G296" s="7">
        <f>IF($U296="","",F296*S296/100)</f>
        <v/>
      </c>
      <c r="H296">
        <f>IF($U296="","",INDEX('Per Line'!$O$2:$O$3001,$U296)&amp;"")</f>
        <v/>
      </c>
      <c r="I296" s="11">
        <f>IF($U296="","",INDEX('Per Line'!$Q$2:$Q$3001,$U296))</f>
        <v/>
      </c>
      <c r="J296">
        <f>IF($U296="","",INDEX('Per Line'!$R$2:$R$3001,$U296)&amp;"")</f>
        <v/>
      </c>
      <c r="K296">
        <f>IF($U296="","",Settings!$C$7)</f>
        <v/>
      </c>
      <c r="L296" s="7">
        <f>IF($U296="","",SUMIFS('Per Line'!$N$2:$N$3001,'Per Line'!$A$2:$A$3001,$A296,'Per Line'!$W$2:$W$3001,0))</f>
        <v/>
      </c>
      <c r="M296" s="7">
        <f>IF($U296="","",L296*K296)</f>
        <v/>
      </c>
      <c r="N296">
        <f>IF($U296="","",Settings!$C$6)</f>
        <v/>
      </c>
      <c r="O296" s="7">
        <f>IF($U296="","",SUMIFS('Per Line'!$N$2:$N$3001,'Per Line'!$A$2:$A$3001,$A296,'Per Line'!$W$2:$W$3001,1))</f>
        <v/>
      </c>
      <c r="P296" s="7">
        <f>IF($U296="","",O296*N296)</f>
        <v/>
      </c>
      <c r="Q296" s="7">
        <f>IF($U296="","",P296+M296)</f>
        <v/>
      </c>
      <c r="R296" s="7">
        <f>IF($U296="","",S296-Q296)</f>
        <v/>
      </c>
      <c r="S296" s="7">
        <f>IF($U296="","",L296+O296)</f>
        <v/>
      </c>
      <c r="T296" s="7">
        <f>IF($U296="","",S296-Q296-G296)</f>
        <v/>
      </c>
      <c r="U296" s="13">
        <f>IF(ROWS($U$2:$U296)&lt;=MAX('Per Line'!$V$2:$V$3001),MATCH(ROWS($U$2:$U296),'Per Line'!$V$2:$V$3001,0),"")</f>
        <v/>
      </c>
    </row>
    <row r="297">
      <c r="A297">
        <f>IF($U297="","",INDEX('Per Line'!$A$2:$A$3001,$U297)&amp;"")</f>
        <v/>
      </c>
      <c r="B297" s="12" t="n"/>
      <c r="C297">
        <f>IF($U297="","",INDEX('Per Line'!$B$2:$B$3001,$U297)&amp;"")</f>
        <v/>
      </c>
      <c r="D297">
        <f>IF($U297="","",INDEX('Per Line'!$C$2:$C$3001,$U297)&amp;"")</f>
        <v/>
      </c>
      <c r="E297">
        <f>IF($U297="","",INDEX('Per Line'!$D$2:$D$3001,$U297)&amp;"")</f>
        <v/>
      </c>
      <c r="F297">
        <f>IF($U297="","",INDEX('Per Line'!$E$2:$E$3001,$U297))</f>
        <v/>
      </c>
      <c r="G297" s="7">
        <f>IF($U297="","",F297*S297/100)</f>
        <v/>
      </c>
      <c r="H297">
        <f>IF($U297="","",INDEX('Per Line'!$O$2:$O$3001,$U297)&amp;"")</f>
        <v/>
      </c>
      <c r="I297" s="11">
        <f>IF($U297="","",INDEX('Per Line'!$Q$2:$Q$3001,$U297))</f>
        <v/>
      </c>
      <c r="J297">
        <f>IF($U297="","",INDEX('Per Line'!$R$2:$R$3001,$U297)&amp;"")</f>
        <v/>
      </c>
      <c r="K297">
        <f>IF($U297="","",Settings!$C$7)</f>
        <v/>
      </c>
      <c r="L297" s="7">
        <f>IF($U297="","",SUMIFS('Per Line'!$N$2:$N$3001,'Per Line'!$A$2:$A$3001,$A297,'Per Line'!$W$2:$W$3001,0))</f>
        <v/>
      </c>
      <c r="M297" s="7">
        <f>IF($U297="","",L297*K297)</f>
        <v/>
      </c>
      <c r="N297">
        <f>IF($U297="","",Settings!$C$6)</f>
        <v/>
      </c>
      <c r="O297" s="7">
        <f>IF($U297="","",SUMIFS('Per Line'!$N$2:$N$3001,'Per Line'!$A$2:$A$3001,$A297,'Per Line'!$W$2:$W$3001,1))</f>
        <v/>
      </c>
      <c r="P297" s="7">
        <f>IF($U297="","",O297*N297)</f>
        <v/>
      </c>
      <c r="Q297" s="7">
        <f>IF($U297="","",P297+M297)</f>
        <v/>
      </c>
      <c r="R297" s="7">
        <f>IF($U297="","",S297-Q297)</f>
        <v/>
      </c>
      <c r="S297" s="7">
        <f>IF($U297="","",L297+O297)</f>
        <v/>
      </c>
      <c r="T297" s="7">
        <f>IF($U297="","",S297-Q297-G297)</f>
        <v/>
      </c>
      <c r="U297" s="13">
        <f>IF(ROWS($U$2:$U297)&lt;=MAX('Per Line'!$V$2:$V$3001),MATCH(ROWS($U$2:$U297),'Per Line'!$V$2:$V$3001,0),"")</f>
        <v/>
      </c>
    </row>
    <row r="298">
      <c r="A298">
        <f>IF($U298="","",INDEX('Per Line'!$A$2:$A$3001,$U298)&amp;"")</f>
        <v/>
      </c>
      <c r="B298" s="12" t="n"/>
      <c r="C298">
        <f>IF($U298="","",INDEX('Per Line'!$B$2:$B$3001,$U298)&amp;"")</f>
        <v/>
      </c>
      <c r="D298">
        <f>IF($U298="","",INDEX('Per Line'!$C$2:$C$3001,$U298)&amp;"")</f>
        <v/>
      </c>
      <c r="E298">
        <f>IF($U298="","",INDEX('Per Line'!$D$2:$D$3001,$U298)&amp;"")</f>
        <v/>
      </c>
      <c r="F298">
        <f>IF($U298="","",INDEX('Per Line'!$E$2:$E$3001,$U298))</f>
        <v/>
      </c>
      <c r="G298" s="7">
        <f>IF($U298="","",F298*S298/100)</f>
        <v/>
      </c>
      <c r="H298">
        <f>IF($U298="","",INDEX('Per Line'!$O$2:$O$3001,$U298)&amp;"")</f>
        <v/>
      </c>
      <c r="I298" s="11">
        <f>IF($U298="","",INDEX('Per Line'!$Q$2:$Q$3001,$U298))</f>
        <v/>
      </c>
      <c r="J298">
        <f>IF($U298="","",INDEX('Per Line'!$R$2:$R$3001,$U298)&amp;"")</f>
        <v/>
      </c>
      <c r="K298">
        <f>IF($U298="","",Settings!$C$7)</f>
        <v/>
      </c>
      <c r="L298" s="7">
        <f>IF($U298="","",SUMIFS('Per Line'!$N$2:$N$3001,'Per Line'!$A$2:$A$3001,$A298,'Per Line'!$W$2:$W$3001,0))</f>
        <v/>
      </c>
      <c r="M298" s="7">
        <f>IF($U298="","",L298*K298)</f>
        <v/>
      </c>
      <c r="N298">
        <f>IF($U298="","",Settings!$C$6)</f>
        <v/>
      </c>
      <c r="O298" s="7">
        <f>IF($U298="","",SUMIFS('Per Line'!$N$2:$N$3001,'Per Line'!$A$2:$A$3001,$A298,'Per Line'!$W$2:$W$3001,1))</f>
        <v/>
      </c>
      <c r="P298" s="7">
        <f>IF($U298="","",O298*N298)</f>
        <v/>
      </c>
      <c r="Q298" s="7">
        <f>IF($U298="","",P298+M298)</f>
        <v/>
      </c>
      <c r="R298" s="7">
        <f>IF($U298="","",S298-Q298)</f>
        <v/>
      </c>
      <c r="S298" s="7">
        <f>IF($U298="","",L298+O298)</f>
        <v/>
      </c>
      <c r="T298" s="7">
        <f>IF($U298="","",S298-Q298-G298)</f>
        <v/>
      </c>
      <c r="U298" s="13">
        <f>IF(ROWS($U$2:$U298)&lt;=MAX('Per Line'!$V$2:$V$3001),MATCH(ROWS($U$2:$U298),'Per Line'!$V$2:$V$3001,0),"")</f>
        <v/>
      </c>
    </row>
    <row r="299">
      <c r="A299">
        <f>IF($U299="","",INDEX('Per Line'!$A$2:$A$3001,$U299)&amp;"")</f>
        <v/>
      </c>
      <c r="B299" s="12" t="n"/>
      <c r="C299">
        <f>IF($U299="","",INDEX('Per Line'!$B$2:$B$3001,$U299)&amp;"")</f>
        <v/>
      </c>
      <c r="D299">
        <f>IF($U299="","",INDEX('Per Line'!$C$2:$C$3001,$U299)&amp;"")</f>
        <v/>
      </c>
      <c r="E299">
        <f>IF($U299="","",INDEX('Per Line'!$D$2:$D$3001,$U299)&amp;"")</f>
        <v/>
      </c>
      <c r="F299">
        <f>IF($U299="","",INDEX('Per Line'!$E$2:$E$3001,$U299))</f>
        <v/>
      </c>
      <c r="G299" s="7">
        <f>IF($U299="","",F299*S299/100)</f>
        <v/>
      </c>
      <c r="H299">
        <f>IF($U299="","",INDEX('Per Line'!$O$2:$O$3001,$U299)&amp;"")</f>
        <v/>
      </c>
      <c r="I299" s="11">
        <f>IF($U299="","",INDEX('Per Line'!$Q$2:$Q$3001,$U299))</f>
        <v/>
      </c>
      <c r="J299">
        <f>IF($U299="","",INDEX('Per Line'!$R$2:$R$3001,$U299)&amp;"")</f>
        <v/>
      </c>
      <c r="K299">
        <f>IF($U299="","",Settings!$C$7)</f>
        <v/>
      </c>
      <c r="L299" s="7">
        <f>IF($U299="","",SUMIFS('Per Line'!$N$2:$N$3001,'Per Line'!$A$2:$A$3001,$A299,'Per Line'!$W$2:$W$3001,0))</f>
        <v/>
      </c>
      <c r="M299" s="7">
        <f>IF($U299="","",L299*K299)</f>
        <v/>
      </c>
      <c r="N299">
        <f>IF($U299="","",Settings!$C$6)</f>
        <v/>
      </c>
      <c r="O299" s="7">
        <f>IF($U299="","",SUMIFS('Per Line'!$N$2:$N$3001,'Per Line'!$A$2:$A$3001,$A299,'Per Line'!$W$2:$W$3001,1))</f>
        <v/>
      </c>
      <c r="P299" s="7">
        <f>IF($U299="","",O299*N299)</f>
        <v/>
      </c>
      <c r="Q299" s="7">
        <f>IF($U299="","",P299+M299)</f>
        <v/>
      </c>
      <c r="R299" s="7">
        <f>IF($U299="","",S299-Q299)</f>
        <v/>
      </c>
      <c r="S299" s="7">
        <f>IF($U299="","",L299+O299)</f>
        <v/>
      </c>
      <c r="T299" s="7">
        <f>IF($U299="","",S299-Q299-G299)</f>
        <v/>
      </c>
      <c r="U299" s="13">
        <f>IF(ROWS($U$2:$U299)&lt;=MAX('Per Line'!$V$2:$V$3001),MATCH(ROWS($U$2:$U299),'Per Line'!$V$2:$V$3001,0),"")</f>
        <v/>
      </c>
    </row>
    <row r="300">
      <c r="A300">
        <f>IF($U300="","",INDEX('Per Line'!$A$2:$A$3001,$U300)&amp;"")</f>
        <v/>
      </c>
      <c r="B300" s="12" t="n"/>
      <c r="C300">
        <f>IF($U300="","",INDEX('Per Line'!$B$2:$B$3001,$U300)&amp;"")</f>
        <v/>
      </c>
      <c r="D300">
        <f>IF($U300="","",INDEX('Per Line'!$C$2:$C$3001,$U300)&amp;"")</f>
        <v/>
      </c>
      <c r="E300">
        <f>IF($U300="","",INDEX('Per Line'!$D$2:$D$3001,$U300)&amp;"")</f>
        <v/>
      </c>
      <c r="F300">
        <f>IF($U300="","",INDEX('Per Line'!$E$2:$E$3001,$U300))</f>
        <v/>
      </c>
      <c r="G300" s="7">
        <f>IF($U300="","",F300*S300/100)</f>
        <v/>
      </c>
      <c r="H300">
        <f>IF($U300="","",INDEX('Per Line'!$O$2:$O$3001,$U300)&amp;"")</f>
        <v/>
      </c>
      <c r="I300" s="11">
        <f>IF($U300="","",INDEX('Per Line'!$Q$2:$Q$3001,$U300))</f>
        <v/>
      </c>
      <c r="J300">
        <f>IF($U300="","",INDEX('Per Line'!$R$2:$R$3001,$U300)&amp;"")</f>
        <v/>
      </c>
      <c r="K300">
        <f>IF($U300="","",Settings!$C$7)</f>
        <v/>
      </c>
      <c r="L300" s="7">
        <f>IF($U300="","",SUMIFS('Per Line'!$N$2:$N$3001,'Per Line'!$A$2:$A$3001,$A300,'Per Line'!$W$2:$W$3001,0))</f>
        <v/>
      </c>
      <c r="M300" s="7">
        <f>IF($U300="","",L300*K300)</f>
        <v/>
      </c>
      <c r="N300">
        <f>IF($U300="","",Settings!$C$6)</f>
        <v/>
      </c>
      <c r="O300" s="7">
        <f>IF($U300="","",SUMIFS('Per Line'!$N$2:$N$3001,'Per Line'!$A$2:$A$3001,$A300,'Per Line'!$W$2:$W$3001,1))</f>
        <v/>
      </c>
      <c r="P300" s="7">
        <f>IF($U300="","",O300*N300)</f>
        <v/>
      </c>
      <c r="Q300" s="7">
        <f>IF($U300="","",P300+M300)</f>
        <v/>
      </c>
      <c r="R300" s="7">
        <f>IF($U300="","",S300-Q300)</f>
        <v/>
      </c>
      <c r="S300" s="7">
        <f>IF($U300="","",L300+O300)</f>
        <v/>
      </c>
      <c r="T300" s="7">
        <f>IF($U300="","",S300-Q300-G300)</f>
        <v/>
      </c>
      <c r="U300" s="13">
        <f>IF(ROWS($U$2:$U300)&lt;=MAX('Per Line'!$V$2:$V$3001),MATCH(ROWS($U$2:$U300),'Per Line'!$V$2:$V$3001,0),"")</f>
        <v/>
      </c>
    </row>
    <row r="301">
      <c r="A301">
        <f>IF($U301="","",INDEX('Per Line'!$A$2:$A$3001,$U301)&amp;"")</f>
        <v/>
      </c>
      <c r="B301" s="12" t="n"/>
      <c r="C301">
        <f>IF($U301="","",INDEX('Per Line'!$B$2:$B$3001,$U301)&amp;"")</f>
        <v/>
      </c>
      <c r="D301">
        <f>IF($U301="","",INDEX('Per Line'!$C$2:$C$3001,$U301)&amp;"")</f>
        <v/>
      </c>
      <c r="E301">
        <f>IF($U301="","",INDEX('Per Line'!$D$2:$D$3001,$U301)&amp;"")</f>
        <v/>
      </c>
      <c r="F301">
        <f>IF($U301="","",INDEX('Per Line'!$E$2:$E$3001,$U301))</f>
        <v/>
      </c>
      <c r="G301" s="7">
        <f>IF($U301="","",F301*S301/100)</f>
        <v/>
      </c>
      <c r="H301">
        <f>IF($U301="","",INDEX('Per Line'!$O$2:$O$3001,$U301)&amp;"")</f>
        <v/>
      </c>
      <c r="I301" s="11">
        <f>IF($U301="","",INDEX('Per Line'!$Q$2:$Q$3001,$U301))</f>
        <v/>
      </c>
      <c r="J301">
        <f>IF($U301="","",INDEX('Per Line'!$R$2:$R$3001,$U301)&amp;"")</f>
        <v/>
      </c>
      <c r="K301">
        <f>IF($U301="","",Settings!$C$7)</f>
        <v/>
      </c>
      <c r="L301" s="7">
        <f>IF($U301="","",SUMIFS('Per Line'!$N$2:$N$3001,'Per Line'!$A$2:$A$3001,$A301,'Per Line'!$W$2:$W$3001,0))</f>
        <v/>
      </c>
      <c r="M301" s="7">
        <f>IF($U301="","",L301*K301)</f>
        <v/>
      </c>
      <c r="N301">
        <f>IF($U301="","",Settings!$C$6)</f>
        <v/>
      </c>
      <c r="O301" s="7">
        <f>IF($U301="","",SUMIFS('Per Line'!$N$2:$N$3001,'Per Line'!$A$2:$A$3001,$A301,'Per Line'!$W$2:$W$3001,1))</f>
        <v/>
      </c>
      <c r="P301" s="7">
        <f>IF($U301="","",O301*N301)</f>
        <v/>
      </c>
      <c r="Q301" s="7">
        <f>IF($U301="","",P301+M301)</f>
        <v/>
      </c>
      <c r="R301" s="7">
        <f>IF($U301="","",S301-Q301)</f>
        <v/>
      </c>
      <c r="S301" s="7">
        <f>IF($U301="","",L301+O301)</f>
        <v/>
      </c>
      <c r="T301" s="7">
        <f>IF($U301="","",S301-Q301-G301)</f>
        <v/>
      </c>
      <c r="U301" s="13">
        <f>IF(ROWS($U$2:$U301)&lt;=MAX('Per Line'!$V$2:$V$3001),MATCH(ROWS($U$2:$U301),'Per Line'!$V$2:$V$3001,0),"")</f>
        <v/>
      </c>
    </row>
    <row r="302">
      <c r="A302">
        <f>IF($U302="","",INDEX('Per Line'!$A$2:$A$3001,$U302)&amp;"")</f>
        <v/>
      </c>
      <c r="B302" s="12" t="n"/>
      <c r="C302">
        <f>IF($U302="","",INDEX('Per Line'!$B$2:$B$3001,$U302)&amp;"")</f>
        <v/>
      </c>
      <c r="D302">
        <f>IF($U302="","",INDEX('Per Line'!$C$2:$C$3001,$U302)&amp;"")</f>
        <v/>
      </c>
      <c r="E302">
        <f>IF($U302="","",INDEX('Per Line'!$D$2:$D$3001,$U302)&amp;"")</f>
        <v/>
      </c>
      <c r="F302">
        <f>IF($U302="","",INDEX('Per Line'!$E$2:$E$3001,$U302))</f>
        <v/>
      </c>
      <c r="G302" s="7">
        <f>IF($U302="","",F302*S302/100)</f>
        <v/>
      </c>
      <c r="H302">
        <f>IF($U302="","",INDEX('Per Line'!$O$2:$O$3001,$U302)&amp;"")</f>
        <v/>
      </c>
      <c r="I302" s="11">
        <f>IF($U302="","",INDEX('Per Line'!$Q$2:$Q$3001,$U302))</f>
        <v/>
      </c>
      <c r="J302">
        <f>IF($U302="","",INDEX('Per Line'!$R$2:$R$3001,$U302)&amp;"")</f>
        <v/>
      </c>
      <c r="K302">
        <f>IF($U302="","",Settings!$C$7)</f>
        <v/>
      </c>
      <c r="L302" s="7">
        <f>IF($U302="","",SUMIFS('Per Line'!$N$2:$N$3001,'Per Line'!$A$2:$A$3001,$A302,'Per Line'!$W$2:$W$3001,0))</f>
        <v/>
      </c>
      <c r="M302" s="7">
        <f>IF($U302="","",L302*K302)</f>
        <v/>
      </c>
      <c r="N302">
        <f>IF($U302="","",Settings!$C$6)</f>
        <v/>
      </c>
      <c r="O302" s="7">
        <f>IF($U302="","",SUMIFS('Per Line'!$N$2:$N$3001,'Per Line'!$A$2:$A$3001,$A302,'Per Line'!$W$2:$W$3001,1))</f>
        <v/>
      </c>
      <c r="P302" s="7">
        <f>IF($U302="","",O302*N302)</f>
        <v/>
      </c>
      <c r="Q302" s="7">
        <f>IF($U302="","",P302+M302)</f>
        <v/>
      </c>
      <c r="R302" s="7">
        <f>IF($U302="","",S302-Q302)</f>
        <v/>
      </c>
      <c r="S302" s="7">
        <f>IF($U302="","",L302+O302)</f>
        <v/>
      </c>
      <c r="T302" s="7">
        <f>IF($U302="","",S302-Q302-G302)</f>
        <v/>
      </c>
      <c r="U302" s="13">
        <f>IF(ROWS($U$2:$U302)&lt;=MAX('Per Line'!$V$2:$V$3001),MATCH(ROWS($U$2:$U302),'Per Line'!$V$2:$V$3001,0),"")</f>
        <v/>
      </c>
    </row>
    <row r="303">
      <c r="A303">
        <f>IF($U303="","",INDEX('Per Line'!$A$2:$A$3001,$U303)&amp;"")</f>
        <v/>
      </c>
      <c r="B303" s="12" t="n"/>
      <c r="C303">
        <f>IF($U303="","",INDEX('Per Line'!$B$2:$B$3001,$U303)&amp;"")</f>
        <v/>
      </c>
      <c r="D303">
        <f>IF($U303="","",INDEX('Per Line'!$C$2:$C$3001,$U303)&amp;"")</f>
        <v/>
      </c>
      <c r="E303">
        <f>IF($U303="","",INDEX('Per Line'!$D$2:$D$3001,$U303)&amp;"")</f>
        <v/>
      </c>
      <c r="F303">
        <f>IF($U303="","",INDEX('Per Line'!$E$2:$E$3001,$U303))</f>
        <v/>
      </c>
      <c r="G303" s="7">
        <f>IF($U303="","",F303*S303/100)</f>
        <v/>
      </c>
      <c r="H303">
        <f>IF($U303="","",INDEX('Per Line'!$O$2:$O$3001,$U303)&amp;"")</f>
        <v/>
      </c>
      <c r="I303" s="11">
        <f>IF($U303="","",INDEX('Per Line'!$Q$2:$Q$3001,$U303))</f>
        <v/>
      </c>
      <c r="J303">
        <f>IF($U303="","",INDEX('Per Line'!$R$2:$R$3001,$U303)&amp;"")</f>
        <v/>
      </c>
      <c r="K303">
        <f>IF($U303="","",Settings!$C$7)</f>
        <v/>
      </c>
      <c r="L303" s="7">
        <f>IF($U303="","",SUMIFS('Per Line'!$N$2:$N$3001,'Per Line'!$A$2:$A$3001,$A303,'Per Line'!$W$2:$W$3001,0))</f>
        <v/>
      </c>
      <c r="M303" s="7">
        <f>IF($U303="","",L303*K303)</f>
        <v/>
      </c>
      <c r="N303">
        <f>IF($U303="","",Settings!$C$6)</f>
        <v/>
      </c>
      <c r="O303" s="7">
        <f>IF($U303="","",SUMIFS('Per Line'!$N$2:$N$3001,'Per Line'!$A$2:$A$3001,$A303,'Per Line'!$W$2:$W$3001,1))</f>
        <v/>
      </c>
      <c r="P303" s="7">
        <f>IF($U303="","",O303*N303)</f>
        <v/>
      </c>
      <c r="Q303" s="7">
        <f>IF($U303="","",P303+M303)</f>
        <v/>
      </c>
      <c r="R303" s="7">
        <f>IF($U303="","",S303-Q303)</f>
        <v/>
      </c>
      <c r="S303" s="7">
        <f>IF($U303="","",L303+O303)</f>
        <v/>
      </c>
      <c r="T303" s="7">
        <f>IF($U303="","",S303-Q303-G303)</f>
        <v/>
      </c>
      <c r="U303" s="13">
        <f>IF(ROWS($U$2:$U303)&lt;=MAX('Per Line'!$V$2:$V$3001),MATCH(ROWS($U$2:$U303),'Per Line'!$V$2:$V$3001,0),"")</f>
        <v/>
      </c>
    </row>
    <row r="304">
      <c r="A304">
        <f>IF($U304="","",INDEX('Per Line'!$A$2:$A$3001,$U304)&amp;"")</f>
        <v/>
      </c>
      <c r="B304" s="12" t="n"/>
      <c r="C304">
        <f>IF($U304="","",INDEX('Per Line'!$B$2:$B$3001,$U304)&amp;"")</f>
        <v/>
      </c>
      <c r="D304">
        <f>IF($U304="","",INDEX('Per Line'!$C$2:$C$3001,$U304)&amp;"")</f>
        <v/>
      </c>
      <c r="E304">
        <f>IF($U304="","",INDEX('Per Line'!$D$2:$D$3001,$U304)&amp;"")</f>
        <v/>
      </c>
      <c r="F304">
        <f>IF($U304="","",INDEX('Per Line'!$E$2:$E$3001,$U304))</f>
        <v/>
      </c>
      <c r="G304" s="7">
        <f>IF($U304="","",F304*S304/100)</f>
        <v/>
      </c>
      <c r="H304">
        <f>IF($U304="","",INDEX('Per Line'!$O$2:$O$3001,$U304)&amp;"")</f>
        <v/>
      </c>
      <c r="I304" s="11">
        <f>IF($U304="","",INDEX('Per Line'!$Q$2:$Q$3001,$U304))</f>
        <v/>
      </c>
      <c r="J304">
        <f>IF($U304="","",INDEX('Per Line'!$R$2:$R$3001,$U304)&amp;"")</f>
        <v/>
      </c>
      <c r="K304">
        <f>IF($U304="","",Settings!$C$7)</f>
        <v/>
      </c>
      <c r="L304" s="7">
        <f>IF($U304="","",SUMIFS('Per Line'!$N$2:$N$3001,'Per Line'!$A$2:$A$3001,$A304,'Per Line'!$W$2:$W$3001,0))</f>
        <v/>
      </c>
      <c r="M304" s="7">
        <f>IF($U304="","",L304*K304)</f>
        <v/>
      </c>
      <c r="N304">
        <f>IF($U304="","",Settings!$C$6)</f>
        <v/>
      </c>
      <c r="O304" s="7">
        <f>IF($U304="","",SUMIFS('Per Line'!$N$2:$N$3001,'Per Line'!$A$2:$A$3001,$A304,'Per Line'!$W$2:$W$3001,1))</f>
        <v/>
      </c>
      <c r="P304" s="7">
        <f>IF($U304="","",O304*N304)</f>
        <v/>
      </c>
      <c r="Q304" s="7">
        <f>IF($U304="","",P304+M304)</f>
        <v/>
      </c>
      <c r="R304" s="7">
        <f>IF($U304="","",S304-Q304)</f>
        <v/>
      </c>
      <c r="S304" s="7">
        <f>IF($U304="","",L304+O304)</f>
        <v/>
      </c>
      <c r="T304" s="7">
        <f>IF($U304="","",S304-Q304-G304)</f>
        <v/>
      </c>
      <c r="U304" s="13">
        <f>IF(ROWS($U$2:$U304)&lt;=MAX('Per Line'!$V$2:$V$3001),MATCH(ROWS($U$2:$U304),'Per Line'!$V$2:$V$3001,0),"")</f>
        <v/>
      </c>
    </row>
    <row r="305">
      <c r="A305">
        <f>IF($U305="","",INDEX('Per Line'!$A$2:$A$3001,$U305)&amp;"")</f>
        <v/>
      </c>
      <c r="B305" s="12" t="n"/>
      <c r="C305">
        <f>IF($U305="","",INDEX('Per Line'!$B$2:$B$3001,$U305)&amp;"")</f>
        <v/>
      </c>
      <c r="D305">
        <f>IF($U305="","",INDEX('Per Line'!$C$2:$C$3001,$U305)&amp;"")</f>
        <v/>
      </c>
      <c r="E305">
        <f>IF($U305="","",INDEX('Per Line'!$D$2:$D$3001,$U305)&amp;"")</f>
        <v/>
      </c>
      <c r="F305">
        <f>IF($U305="","",INDEX('Per Line'!$E$2:$E$3001,$U305))</f>
        <v/>
      </c>
      <c r="G305" s="7">
        <f>IF($U305="","",F305*S305/100)</f>
        <v/>
      </c>
      <c r="H305">
        <f>IF($U305="","",INDEX('Per Line'!$O$2:$O$3001,$U305)&amp;"")</f>
        <v/>
      </c>
      <c r="I305" s="11">
        <f>IF($U305="","",INDEX('Per Line'!$Q$2:$Q$3001,$U305))</f>
        <v/>
      </c>
      <c r="J305">
        <f>IF($U305="","",INDEX('Per Line'!$R$2:$R$3001,$U305)&amp;"")</f>
        <v/>
      </c>
      <c r="K305">
        <f>IF($U305="","",Settings!$C$7)</f>
        <v/>
      </c>
      <c r="L305" s="7">
        <f>IF($U305="","",SUMIFS('Per Line'!$N$2:$N$3001,'Per Line'!$A$2:$A$3001,$A305,'Per Line'!$W$2:$W$3001,0))</f>
        <v/>
      </c>
      <c r="M305" s="7">
        <f>IF($U305="","",L305*K305)</f>
        <v/>
      </c>
      <c r="N305">
        <f>IF($U305="","",Settings!$C$6)</f>
        <v/>
      </c>
      <c r="O305" s="7">
        <f>IF($U305="","",SUMIFS('Per Line'!$N$2:$N$3001,'Per Line'!$A$2:$A$3001,$A305,'Per Line'!$W$2:$W$3001,1))</f>
        <v/>
      </c>
      <c r="P305" s="7">
        <f>IF($U305="","",O305*N305)</f>
        <v/>
      </c>
      <c r="Q305" s="7">
        <f>IF($U305="","",P305+M305)</f>
        <v/>
      </c>
      <c r="R305" s="7">
        <f>IF($U305="","",S305-Q305)</f>
        <v/>
      </c>
      <c r="S305" s="7">
        <f>IF($U305="","",L305+O305)</f>
        <v/>
      </c>
      <c r="T305" s="7">
        <f>IF($U305="","",S305-Q305-G305)</f>
        <v/>
      </c>
      <c r="U305" s="13">
        <f>IF(ROWS($U$2:$U305)&lt;=MAX('Per Line'!$V$2:$V$3001),MATCH(ROWS($U$2:$U305),'Per Line'!$V$2:$V$3001,0),"")</f>
        <v/>
      </c>
    </row>
    <row r="306">
      <c r="A306">
        <f>IF($U306="","",INDEX('Per Line'!$A$2:$A$3001,$U306)&amp;"")</f>
        <v/>
      </c>
      <c r="B306" s="12" t="n"/>
      <c r="C306">
        <f>IF($U306="","",INDEX('Per Line'!$B$2:$B$3001,$U306)&amp;"")</f>
        <v/>
      </c>
      <c r="D306">
        <f>IF($U306="","",INDEX('Per Line'!$C$2:$C$3001,$U306)&amp;"")</f>
        <v/>
      </c>
      <c r="E306">
        <f>IF($U306="","",INDEX('Per Line'!$D$2:$D$3001,$U306)&amp;"")</f>
        <v/>
      </c>
      <c r="F306">
        <f>IF($U306="","",INDEX('Per Line'!$E$2:$E$3001,$U306))</f>
        <v/>
      </c>
      <c r="G306" s="7">
        <f>IF($U306="","",F306*S306/100)</f>
        <v/>
      </c>
      <c r="H306">
        <f>IF($U306="","",INDEX('Per Line'!$O$2:$O$3001,$U306)&amp;"")</f>
        <v/>
      </c>
      <c r="I306" s="11">
        <f>IF($U306="","",INDEX('Per Line'!$Q$2:$Q$3001,$U306))</f>
        <v/>
      </c>
      <c r="J306">
        <f>IF($U306="","",INDEX('Per Line'!$R$2:$R$3001,$U306)&amp;"")</f>
        <v/>
      </c>
      <c r="K306">
        <f>IF($U306="","",Settings!$C$7)</f>
        <v/>
      </c>
      <c r="L306" s="7">
        <f>IF($U306="","",SUMIFS('Per Line'!$N$2:$N$3001,'Per Line'!$A$2:$A$3001,$A306,'Per Line'!$W$2:$W$3001,0))</f>
        <v/>
      </c>
      <c r="M306" s="7">
        <f>IF($U306="","",L306*K306)</f>
        <v/>
      </c>
      <c r="N306">
        <f>IF($U306="","",Settings!$C$6)</f>
        <v/>
      </c>
      <c r="O306" s="7">
        <f>IF($U306="","",SUMIFS('Per Line'!$N$2:$N$3001,'Per Line'!$A$2:$A$3001,$A306,'Per Line'!$W$2:$W$3001,1))</f>
        <v/>
      </c>
      <c r="P306" s="7">
        <f>IF($U306="","",O306*N306)</f>
        <v/>
      </c>
      <c r="Q306" s="7">
        <f>IF($U306="","",P306+M306)</f>
        <v/>
      </c>
      <c r="R306" s="7">
        <f>IF($U306="","",S306-Q306)</f>
        <v/>
      </c>
      <c r="S306" s="7">
        <f>IF($U306="","",L306+O306)</f>
        <v/>
      </c>
      <c r="T306" s="7">
        <f>IF($U306="","",S306-Q306-G306)</f>
        <v/>
      </c>
      <c r="U306" s="13">
        <f>IF(ROWS($U$2:$U306)&lt;=MAX('Per Line'!$V$2:$V$3001),MATCH(ROWS($U$2:$U306),'Per Line'!$V$2:$V$3001,0),"")</f>
        <v/>
      </c>
    </row>
    <row r="307">
      <c r="A307">
        <f>IF($U307="","",INDEX('Per Line'!$A$2:$A$3001,$U307)&amp;"")</f>
        <v/>
      </c>
      <c r="B307" s="12" t="n"/>
      <c r="C307">
        <f>IF($U307="","",INDEX('Per Line'!$B$2:$B$3001,$U307)&amp;"")</f>
        <v/>
      </c>
      <c r="D307">
        <f>IF($U307="","",INDEX('Per Line'!$C$2:$C$3001,$U307)&amp;"")</f>
        <v/>
      </c>
      <c r="E307">
        <f>IF($U307="","",INDEX('Per Line'!$D$2:$D$3001,$U307)&amp;"")</f>
        <v/>
      </c>
      <c r="F307">
        <f>IF($U307="","",INDEX('Per Line'!$E$2:$E$3001,$U307))</f>
        <v/>
      </c>
      <c r="G307" s="7">
        <f>IF($U307="","",F307*S307/100)</f>
        <v/>
      </c>
      <c r="H307">
        <f>IF($U307="","",INDEX('Per Line'!$O$2:$O$3001,$U307)&amp;"")</f>
        <v/>
      </c>
      <c r="I307" s="11">
        <f>IF($U307="","",INDEX('Per Line'!$Q$2:$Q$3001,$U307))</f>
        <v/>
      </c>
      <c r="J307">
        <f>IF($U307="","",INDEX('Per Line'!$R$2:$R$3001,$U307)&amp;"")</f>
        <v/>
      </c>
      <c r="K307">
        <f>IF($U307="","",Settings!$C$7)</f>
        <v/>
      </c>
      <c r="L307" s="7">
        <f>IF($U307="","",SUMIFS('Per Line'!$N$2:$N$3001,'Per Line'!$A$2:$A$3001,$A307,'Per Line'!$W$2:$W$3001,0))</f>
        <v/>
      </c>
      <c r="M307" s="7">
        <f>IF($U307="","",L307*K307)</f>
        <v/>
      </c>
      <c r="N307">
        <f>IF($U307="","",Settings!$C$6)</f>
        <v/>
      </c>
      <c r="O307" s="7">
        <f>IF($U307="","",SUMIFS('Per Line'!$N$2:$N$3001,'Per Line'!$A$2:$A$3001,$A307,'Per Line'!$W$2:$W$3001,1))</f>
        <v/>
      </c>
      <c r="P307" s="7">
        <f>IF($U307="","",O307*N307)</f>
        <v/>
      </c>
      <c r="Q307" s="7">
        <f>IF($U307="","",P307+M307)</f>
        <v/>
      </c>
      <c r="R307" s="7">
        <f>IF($U307="","",S307-Q307)</f>
        <v/>
      </c>
      <c r="S307" s="7">
        <f>IF($U307="","",L307+O307)</f>
        <v/>
      </c>
      <c r="T307" s="7">
        <f>IF($U307="","",S307-Q307-G307)</f>
        <v/>
      </c>
      <c r="U307" s="13">
        <f>IF(ROWS($U$2:$U307)&lt;=MAX('Per Line'!$V$2:$V$3001),MATCH(ROWS($U$2:$U307),'Per Line'!$V$2:$V$3001,0),"")</f>
        <v/>
      </c>
    </row>
    <row r="308">
      <c r="A308">
        <f>IF($U308="","",INDEX('Per Line'!$A$2:$A$3001,$U308)&amp;"")</f>
        <v/>
      </c>
      <c r="B308" s="12" t="n"/>
      <c r="C308">
        <f>IF($U308="","",INDEX('Per Line'!$B$2:$B$3001,$U308)&amp;"")</f>
        <v/>
      </c>
      <c r="D308">
        <f>IF($U308="","",INDEX('Per Line'!$C$2:$C$3001,$U308)&amp;"")</f>
        <v/>
      </c>
      <c r="E308">
        <f>IF($U308="","",INDEX('Per Line'!$D$2:$D$3001,$U308)&amp;"")</f>
        <v/>
      </c>
      <c r="F308">
        <f>IF($U308="","",INDEX('Per Line'!$E$2:$E$3001,$U308))</f>
        <v/>
      </c>
      <c r="G308" s="7">
        <f>IF($U308="","",F308*S308/100)</f>
        <v/>
      </c>
      <c r="H308">
        <f>IF($U308="","",INDEX('Per Line'!$O$2:$O$3001,$U308)&amp;"")</f>
        <v/>
      </c>
      <c r="I308" s="11">
        <f>IF($U308="","",INDEX('Per Line'!$Q$2:$Q$3001,$U308))</f>
        <v/>
      </c>
      <c r="J308">
        <f>IF($U308="","",INDEX('Per Line'!$R$2:$R$3001,$U308)&amp;"")</f>
        <v/>
      </c>
      <c r="K308">
        <f>IF($U308="","",Settings!$C$7)</f>
        <v/>
      </c>
      <c r="L308" s="7">
        <f>IF($U308="","",SUMIFS('Per Line'!$N$2:$N$3001,'Per Line'!$A$2:$A$3001,$A308,'Per Line'!$W$2:$W$3001,0))</f>
        <v/>
      </c>
      <c r="M308" s="7">
        <f>IF($U308="","",L308*K308)</f>
        <v/>
      </c>
      <c r="N308">
        <f>IF($U308="","",Settings!$C$6)</f>
        <v/>
      </c>
      <c r="O308" s="7">
        <f>IF($U308="","",SUMIFS('Per Line'!$N$2:$N$3001,'Per Line'!$A$2:$A$3001,$A308,'Per Line'!$W$2:$W$3001,1))</f>
        <v/>
      </c>
      <c r="P308" s="7">
        <f>IF($U308="","",O308*N308)</f>
        <v/>
      </c>
      <c r="Q308" s="7">
        <f>IF($U308="","",P308+M308)</f>
        <v/>
      </c>
      <c r="R308" s="7">
        <f>IF($U308="","",S308-Q308)</f>
        <v/>
      </c>
      <c r="S308" s="7">
        <f>IF($U308="","",L308+O308)</f>
        <v/>
      </c>
      <c r="T308" s="7">
        <f>IF($U308="","",S308-Q308-G308)</f>
        <v/>
      </c>
      <c r="U308" s="13">
        <f>IF(ROWS($U$2:$U308)&lt;=MAX('Per Line'!$V$2:$V$3001),MATCH(ROWS($U$2:$U308),'Per Line'!$V$2:$V$3001,0),"")</f>
        <v/>
      </c>
    </row>
    <row r="309">
      <c r="A309">
        <f>IF($U309="","",INDEX('Per Line'!$A$2:$A$3001,$U309)&amp;"")</f>
        <v/>
      </c>
      <c r="B309" s="12" t="n"/>
      <c r="C309">
        <f>IF($U309="","",INDEX('Per Line'!$B$2:$B$3001,$U309)&amp;"")</f>
        <v/>
      </c>
      <c r="D309">
        <f>IF($U309="","",INDEX('Per Line'!$C$2:$C$3001,$U309)&amp;"")</f>
        <v/>
      </c>
      <c r="E309">
        <f>IF($U309="","",INDEX('Per Line'!$D$2:$D$3001,$U309)&amp;"")</f>
        <v/>
      </c>
      <c r="F309">
        <f>IF($U309="","",INDEX('Per Line'!$E$2:$E$3001,$U309))</f>
        <v/>
      </c>
      <c r="G309" s="7">
        <f>IF($U309="","",F309*S309/100)</f>
        <v/>
      </c>
      <c r="H309">
        <f>IF($U309="","",INDEX('Per Line'!$O$2:$O$3001,$U309)&amp;"")</f>
        <v/>
      </c>
      <c r="I309" s="11">
        <f>IF($U309="","",INDEX('Per Line'!$Q$2:$Q$3001,$U309))</f>
        <v/>
      </c>
      <c r="J309">
        <f>IF($U309="","",INDEX('Per Line'!$R$2:$R$3001,$U309)&amp;"")</f>
        <v/>
      </c>
      <c r="K309">
        <f>IF($U309="","",Settings!$C$7)</f>
        <v/>
      </c>
      <c r="L309" s="7">
        <f>IF($U309="","",SUMIFS('Per Line'!$N$2:$N$3001,'Per Line'!$A$2:$A$3001,$A309,'Per Line'!$W$2:$W$3001,0))</f>
        <v/>
      </c>
      <c r="M309" s="7">
        <f>IF($U309="","",L309*K309)</f>
        <v/>
      </c>
      <c r="N309">
        <f>IF($U309="","",Settings!$C$6)</f>
        <v/>
      </c>
      <c r="O309" s="7">
        <f>IF($U309="","",SUMIFS('Per Line'!$N$2:$N$3001,'Per Line'!$A$2:$A$3001,$A309,'Per Line'!$W$2:$W$3001,1))</f>
        <v/>
      </c>
      <c r="P309" s="7">
        <f>IF($U309="","",O309*N309)</f>
        <v/>
      </c>
      <c r="Q309" s="7">
        <f>IF($U309="","",P309+M309)</f>
        <v/>
      </c>
      <c r="R309" s="7">
        <f>IF($U309="","",S309-Q309)</f>
        <v/>
      </c>
      <c r="S309" s="7">
        <f>IF($U309="","",L309+O309)</f>
        <v/>
      </c>
      <c r="T309" s="7">
        <f>IF($U309="","",S309-Q309-G309)</f>
        <v/>
      </c>
      <c r="U309" s="13">
        <f>IF(ROWS($U$2:$U309)&lt;=MAX('Per Line'!$V$2:$V$3001),MATCH(ROWS($U$2:$U309),'Per Line'!$V$2:$V$3001,0),"")</f>
        <v/>
      </c>
    </row>
    <row r="310">
      <c r="A310">
        <f>IF($U310="","",INDEX('Per Line'!$A$2:$A$3001,$U310)&amp;"")</f>
        <v/>
      </c>
      <c r="B310" s="12" t="n"/>
      <c r="C310">
        <f>IF($U310="","",INDEX('Per Line'!$B$2:$B$3001,$U310)&amp;"")</f>
        <v/>
      </c>
      <c r="D310">
        <f>IF($U310="","",INDEX('Per Line'!$C$2:$C$3001,$U310)&amp;"")</f>
        <v/>
      </c>
      <c r="E310">
        <f>IF($U310="","",INDEX('Per Line'!$D$2:$D$3001,$U310)&amp;"")</f>
        <v/>
      </c>
      <c r="F310">
        <f>IF($U310="","",INDEX('Per Line'!$E$2:$E$3001,$U310))</f>
        <v/>
      </c>
      <c r="G310" s="7">
        <f>IF($U310="","",F310*S310/100)</f>
        <v/>
      </c>
      <c r="H310">
        <f>IF($U310="","",INDEX('Per Line'!$O$2:$O$3001,$U310)&amp;"")</f>
        <v/>
      </c>
      <c r="I310" s="11">
        <f>IF($U310="","",INDEX('Per Line'!$Q$2:$Q$3001,$U310))</f>
        <v/>
      </c>
      <c r="J310">
        <f>IF($U310="","",INDEX('Per Line'!$R$2:$R$3001,$U310)&amp;"")</f>
        <v/>
      </c>
      <c r="K310">
        <f>IF($U310="","",Settings!$C$7)</f>
        <v/>
      </c>
      <c r="L310" s="7">
        <f>IF($U310="","",SUMIFS('Per Line'!$N$2:$N$3001,'Per Line'!$A$2:$A$3001,$A310,'Per Line'!$W$2:$W$3001,0))</f>
        <v/>
      </c>
      <c r="M310" s="7">
        <f>IF($U310="","",L310*K310)</f>
        <v/>
      </c>
      <c r="N310">
        <f>IF($U310="","",Settings!$C$6)</f>
        <v/>
      </c>
      <c r="O310" s="7">
        <f>IF($U310="","",SUMIFS('Per Line'!$N$2:$N$3001,'Per Line'!$A$2:$A$3001,$A310,'Per Line'!$W$2:$W$3001,1))</f>
        <v/>
      </c>
      <c r="P310" s="7">
        <f>IF($U310="","",O310*N310)</f>
        <v/>
      </c>
      <c r="Q310" s="7">
        <f>IF($U310="","",P310+M310)</f>
        <v/>
      </c>
      <c r="R310" s="7">
        <f>IF($U310="","",S310-Q310)</f>
        <v/>
      </c>
      <c r="S310" s="7">
        <f>IF($U310="","",L310+O310)</f>
        <v/>
      </c>
      <c r="T310" s="7">
        <f>IF($U310="","",S310-Q310-G310)</f>
        <v/>
      </c>
      <c r="U310" s="13">
        <f>IF(ROWS($U$2:$U310)&lt;=MAX('Per Line'!$V$2:$V$3001),MATCH(ROWS($U$2:$U310),'Per Line'!$V$2:$V$3001,0),"")</f>
        <v/>
      </c>
    </row>
    <row r="311">
      <c r="A311">
        <f>IF($U311="","",INDEX('Per Line'!$A$2:$A$3001,$U311)&amp;"")</f>
        <v/>
      </c>
      <c r="B311" s="12" t="n"/>
      <c r="C311">
        <f>IF($U311="","",INDEX('Per Line'!$B$2:$B$3001,$U311)&amp;"")</f>
        <v/>
      </c>
      <c r="D311">
        <f>IF($U311="","",INDEX('Per Line'!$C$2:$C$3001,$U311)&amp;"")</f>
        <v/>
      </c>
      <c r="E311">
        <f>IF($U311="","",INDEX('Per Line'!$D$2:$D$3001,$U311)&amp;"")</f>
        <v/>
      </c>
      <c r="F311">
        <f>IF($U311="","",INDEX('Per Line'!$E$2:$E$3001,$U311))</f>
        <v/>
      </c>
      <c r="G311" s="7">
        <f>IF($U311="","",F311*S311/100)</f>
        <v/>
      </c>
      <c r="H311">
        <f>IF($U311="","",INDEX('Per Line'!$O$2:$O$3001,$U311)&amp;"")</f>
        <v/>
      </c>
      <c r="I311" s="11">
        <f>IF($U311="","",INDEX('Per Line'!$Q$2:$Q$3001,$U311))</f>
        <v/>
      </c>
      <c r="J311">
        <f>IF($U311="","",INDEX('Per Line'!$R$2:$R$3001,$U311)&amp;"")</f>
        <v/>
      </c>
      <c r="K311">
        <f>IF($U311="","",Settings!$C$7)</f>
        <v/>
      </c>
      <c r="L311" s="7">
        <f>IF($U311="","",SUMIFS('Per Line'!$N$2:$N$3001,'Per Line'!$A$2:$A$3001,$A311,'Per Line'!$W$2:$W$3001,0))</f>
        <v/>
      </c>
      <c r="M311" s="7">
        <f>IF($U311="","",L311*K311)</f>
        <v/>
      </c>
      <c r="N311">
        <f>IF($U311="","",Settings!$C$6)</f>
        <v/>
      </c>
      <c r="O311" s="7">
        <f>IF($U311="","",SUMIFS('Per Line'!$N$2:$N$3001,'Per Line'!$A$2:$A$3001,$A311,'Per Line'!$W$2:$W$3001,1))</f>
        <v/>
      </c>
      <c r="P311" s="7">
        <f>IF($U311="","",O311*N311)</f>
        <v/>
      </c>
      <c r="Q311" s="7">
        <f>IF($U311="","",P311+M311)</f>
        <v/>
      </c>
      <c r="R311" s="7">
        <f>IF($U311="","",S311-Q311)</f>
        <v/>
      </c>
      <c r="S311" s="7">
        <f>IF($U311="","",L311+O311)</f>
        <v/>
      </c>
      <c r="T311" s="7">
        <f>IF($U311="","",S311-Q311-G311)</f>
        <v/>
      </c>
      <c r="U311" s="13">
        <f>IF(ROWS($U$2:$U311)&lt;=MAX('Per Line'!$V$2:$V$3001),MATCH(ROWS($U$2:$U311),'Per Line'!$V$2:$V$3001,0),"")</f>
        <v/>
      </c>
    </row>
    <row r="312">
      <c r="A312">
        <f>IF($U312="","",INDEX('Per Line'!$A$2:$A$3001,$U312)&amp;"")</f>
        <v/>
      </c>
      <c r="B312" s="12" t="n"/>
      <c r="C312">
        <f>IF($U312="","",INDEX('Per Line'!$B$2:$B$3001,$U312)&amp;"")</f>
        <v/>
      </c>
      <c r="D312">
        <f>IF($U312="","",INDEX('Per Line'!$C$2:$C$3001,$U312)&amp;"")</f>
        <v/>
      </c>
      <c r="E312">
        <f>IF($U312="","",INDEX('Per Line'!$D$2:$D$3001,$U312)&amp;"")</f>
        <v/>
      </c>
      <c r="F312">
        <f>IF($U312="","",INDEX('Per Line'!$E$2:$E$3001,$U312))</f>
        <v/>
      </c>
      <c r="G312" s="7">
        <f>IF($U312="","",F312*S312/100)</f>
        <v/>
      </c>
      <c r="H312">
        <f>IF($U312="","",INDEX('Per Line'!$O$2:$O$3001,$U312)&amp;"")</f>
        <v/>
      </c>
      <c r="I312" s="11">
        <f>IF($U312="","",INDEX('Per Line'!$Q$2:$Q$3001,$U312))</f>
        <v/>
      </c>
      <c r="J312">
        <f>IF($U312="","",INDEX('Per Line'!$R$2:$R$3001,$U312)&amp;"")</f>
        <v/>
      </c>
      <c r="K312">
        <f>IF($U312="","",Settings!$C$7)</f>
        <v/>
      </c>
      <c r="L312" s="7">
        <f>IF($U312="","",SUMIFS('Per Line'!$N$2:$N$3001,'Per Line'!$A$2:$A$3001,$A312,'Per Line'!$W$2:$W$3001,0))</f>
        <v/>
      </c>
      <c r="M312" s="7">
        <f>IF($U312="","",L312*K312)</f>
        <v/>
      </c>
      <c r="N312">
        <f>IF($U312="","",Settings!$C$6)</f>
        <v/>
      </c>
      <c r="O312" s="7">
        <f>IF($U312="","",SUMIFS('Per Line'!$N$2:$N$3001,'Per Line'!$A$2:$A$3001,$A312,'Per Line'!$W$2:$W$3001,1))</f>
        <v/>
      </c>
      <c r="P312" s="7">
        <f>IF($U312="","",O312*N312)</f>
        <v/>
      </c>
      <c r="Q312" s="7">
        <f>IF($U312="","",P312+M312)</f>
        <v/>
      </c>
      <c r="R312" s="7">
        <f>IF($U312="","",S312-Q312)</f>
        <v/>
      </c>
      <c r="S312" s="7">
        <f>IF($U312="","",L312+O312)</f>
        <v/>
      </c>
      <c r="T312" s="7">
        <f>IF($U312="","",S312-Q312-G312)</f>
        <v/>
      </c>
      <c r="U312" s="13">
        <f>IF(ROWS($U$2:$U312)&lt;=MAX('Per Line'!$V$2:$V$3001),MATCH(ROWS($U$2:$U312),'Per Line'!$V$2:$V$3001,0),"")</f>
        <v/>
      </c>
    </row>
    <row r="313">
      <c r="A313">
        <f>IF($U313="","",INDEX('Per Line'!$A$2:$A$3001,$U313)&amp;"")</f>
        <v/>
      </c>
      <c r="B313" s="12" t="n"/>
      <c r="C313">
        <f>IF($U313="","",INDEX('Per Line'!$B$2:$B$3001,$U313)&amp;"")</f>
        <v/>
      </c>
      <c r="D313">
        <f>IF($U313="","",INDEX('Per Line'!$C$2:$C$3001,$U313)&amp;"")</f>
        <v/>
      </c>
      <c r="E313">
        <f>IF($U313="","",INDEX('Per Line'!$D$2:$D$3001,$U313)&amp;"")</f>
        <v/>
      </c>
      <c r="F313">
        <f>IF($U313="","",INDEX('Per Line'!$E$2:$E$3001,$U313))</f>
        <v/>
      </c>
      <c r="G313" s="7">
        <f>IF($U313="","",F313*S313/100)</f>
        <v/>
      </c>
      <c r="H313">
        <f>IF($U313="","",INDEX('Per Line'!$O$2:$O$3001,$U313)&amp;"")</f>
        <v/>
      </c>
      <c r="I313" s="11">
        <f>IF($U313="","",INDEX('Per Line'!$Q$2:$Q$3001,$U313))</f>
        <v/>
      </c>
      <c r="J313">
        <f>IF($U313="","",INDEX('Per Line'!$R$2:$R$3001,$U313)&amp;"")</f>
        <v/>
      </c>
      <c r="K313">
        <f>IF($U313="","",Settings!$C$7)</f>
        <v/>
      </c>
      <c r="L313" s="7">
        <f>IF($U313="","",SUMIFS('Per Line'!$N$2:$N$3001,'Per Line'!$A$2:$A$3001,$A313,'Per Line'!$W$2:$W$3001,0))</f>
        <v/>
      </c>
      <c r="M313" s="7">
        <f>IF($U313="","",L313*K313)</f>
        <v/>
      </c>
      <c r="N313">
        <f>IF($U313="","",Settings!$C$6)</f>
        <v/>
      </c>
      <c r="O313" s="7">
        <f>IF($U313="","",SUMIFS('Per Line'!$N$2:$N$3001,'Per Line'!$A$2:$A$3001,$A313,'Per Line'!$W$2:$W$3001,1))</f>
        <v/>
      </c>
      <c r="P313" s="7">
        <f>IF($U313="","",O313*N313)</f>
        <v/>
      </c>
      <c r="Q313" s="7">
        <f>IF($U313="","",P313+M313)</f>
        <v/>
      </c>
      <c r="R313" s="7">
        <f>IF($U313="","",S313-Q313)</f>
        <v/>
      </c>
      <c r="S313" s="7">
        <f>IF($U313="","",L313+O313)</f>
        <v/>
      </c>
      <c r="T313" s="7">
        <f>IF($U313="","",S313-Q313-G313)</f>
        <v/>
      </c>
      <c r="U313" s="13">
        <f>IF(ROWS($U$2:$U313)&lt;=MAX('Per Line'!$V$2:$V$3001),MATCH(ROWS($U$2:$U313),'Per Line'!$V$2:$V$3001,0),"")</f>
        <v/>
      </c>
    </row>
    <row r="314">
      <c r="A314">
        <f>IF($U314="","",INDEX('Per Line'!$A$2:$A$3001,$U314)&amp;"")</f>
        <v/>
      </c>
      <c r="B314" s="12" t="n"/>
      <c r="C314">
        <f>IF($U314="","",INDEX('Per Line'!$B$2:$B$3001,$U314)&amp;"")</f>
        <v/>
      </c>
      <c r="D314">
        <f>IF($U314="","",INDEX('Per Line'!$C$2:$C$3001,$U314)&amp;"")</f>
        <v/>
      </c>
      <c r="E314">
        <f>IF($U314="","",INDEX('Per Line'!$D$2:$D$3001,$U314)&amp;"")</f>
        <v/>
      </c>
      <c r="F314">
        <f>IF($U314="","",INDEX('Per Line'!$E$2:$E$3001,$U314))</f>
        <v/>
      </c>
      <c r="G314" s="7">
        <f>IF($U314="","",F314*S314/100)</f>
        <v/>
      </c>
      <c r="H314">
        <f>IF($U314="","",INDEX('Per Line'!$O$2:$O$3001,$U314)&amp;"")</f>
        <v/>
      </c>
      <c r="I314" s="11">
        <f>IF($U314="","",INDEX('Per Line'!$Q$2:$Q$3001,$U314))</f>
        <v/>
      </c>
      <c r="J314">
        <f>IF($U314="","",INDEX('Per Line'!$R$2:$R$3001,$U314)&amp;"")</f>
        <v/>
      </c>
      <c r="K314">
        <f>IF($U314="","",Settings!$C$7)</f>
        <v/>
      </c>
      <c r="L314" s="7">
        <f>IF($U314="","",SUMIFS('Per Line'!$N$2:$N$3001,'Per Line'!$A$2:$A$3001,$A314,'Per Line'!$W$2:$W$3001,0))</f>
        <v/>
      </c>
      <c r="M314" s="7">
        <f>IF($U314="","",L314*K314)</f>
        <v/>
      </c>
      <c r="N314">
        <f>IF($U314="","",Settings!$C$6)</f>
        <v/>
      </c>
      <c r="O314" s="7">
        <f>IF($U314="","",SUMIFS('Per Line'!$N$2:$N$3001,'Per Line'!$A$2:$A$3001,$A314,'Per Line'!$W$2:$W$3001,1))</f>
        <v/>
      </c>
      <c r="P314" s="7">
        <f>IF($U314="","",O314*N314)</f>
        <v/>
      </c>
      <c r="Q314" s="7">
        <f>IF($U314="","",P314+M314)</f>
        <v/>
      </c>
      <c r="R314" s="7">
        <f>IF($U314="","",S314-Q314)</f>
        <v/>
      </c>
      <c r="S314" s="7">
        <f>IF($U314="","",L314+O314)</f>
        <v/>
      </c>
      <c r="T314" s="7">
        <f>IF($U314="","",S314-Q314-G314)</f>
        <v/>
      </c>
      <c r="U314" s="13">
        <f>IF(ROWS($U$2:$U314)&lt;=MAX('Per Line'!$V$2:$V$3001),MATCH(ROWS($U$2:$U314),'Per Line'!$V$2:$V$3001,0),"")</f>
        <v/>
      </c>
    </row>
    <row r="315">
      <c r="A315">
        <f>IF($U315="","",INDEX('Per Line'!$A$2:$A$3001,$U315)&amp;"")</f>
        <v/>
      </c>
      <c r="B315" s="12" t="n"/>
      <c r="C315">
        <f>IF($U315="","",INDEX('Per Line'!$B$2:$B$3001,$U315)&amp;"")</f>
        <v/>
      </c>
      <c r="D315">
        <f>IF($U315="","",INDEX('Per Line'!$C$2:$C$3001,$U315)&amp;"")</f>
        <v/>
      </c>
      <c r="E315">
        <f>IF($U315="","",INDEX('Per Line'!$D$2:$D$3001,$U315)&amp;"")</f>
        <v/>
      </c>
      <c r="F315">
        <f>IF($U315="","",INDEX('Per Line'!$E$2:$E$3001,$U315))</f>
        <v/>
      </c>
      <c r="G315" s="7">
        <f>IF($U315="","",F315*S315/100)</f>
        <v/>
      </c>
      <c r="H315">
        <f>IF($U315="","",INDEX('Per Line'!$O$2:$O$3001,$U315)&amp;"")</f>
        <v/>
      </c>
      <c r="I315" s="11">
        <f>IF($U315="","",INDEX('Per Line'!$Q$2:$Q$3001,$U315))</f>
        <v/>
      </c>
      <c r="J315">
        <f>IF($U315="","",INDEX('Per Line'!$R$2:$R$3001,$U315)&amp;"")</f>
        <v/>
      </c>
      <c r="K315">
        <f>IF($U315="","",Settings!$C$7)</f>
        <v/>
      </c>
      <c r="L315" s="7">
        <f>IF($U315="","",SUMIFS('Per Line'!$N$2:$N$3001,'Per Line'!$A$2:$A$3001,$A315,'Per Line'!$W$2:$W$3001,0))</f>
        <v/>
      </c>
      <c r="M315" s="7">
        <f>IF($U315="","",L315*K315)</f>
        <v/>
      </c>
      <c r="N315">
        <f>IF($U315="","",Settings!$C$6)</f>
        <v/>
      </c>
      <c r="O315" s="7">
        <f>IF($U315="","",SUMIFS('Per Line'!$N$2:$N$3001,'Per Line'!$A$2:$A$3001,$A315,'Per Line'!$W$2:$W$3001,1))</f>
        <v/>
      </c>
      <c r="P315" s="7">
        <f>IF($U315="","",O315*N315)</f>
        <v/>
      </c>
      <c r="Q315" s="7">
        <f>IF($U315="","",P315+M315)</f>
        <v/>
      </c>
      <c r="R315" s="7">
        <f>IF($U315="","",S315-Q315)</f>
        <v/>
      </c>
      <c r="S315" s="7">
        <f>IF($U315="","",L315+O315)</f>
        <v/>
      </c>
      <c r="T315" s="7">
        <f>IF($U315="","",S315-Q315-G315)</f>
        <v/>
      </c>
      <c r="U315" s="13">
        <f>IF(ROWS($U$2:$U315)&lt;=MAX('Per Line'!$V$2:$V$3001),MATCH(ROWS($U$2:$U315),'Per Line'!$V$2:$V$3001,0),"")</f>
        <v/>
      </c>
    </row>
    <row r="316">
      <c r="A316">
        <f>IF($U316="","",INDEX('Per Line'!$A$2:$A$3001,$U316)&amp;"")</f>
        <v/>
      </c>
      <c r="B316" s="12" t="n"/>
      <c r="C316">
        <f>IF($U316="","",INDEX('Per Line'!$B$2:$B$3001,$U316)&amp;"")</f>
        <v/>
      </c>
      <c r="D316">
        <f>IF($U316="","",INDEX('Per Line'!$C$2:$C$3001,$U316)&amp;"")</f>
        <v/>
      </c>
      <c r="E316">
        <f>IF($U316="","",INDEX('Per Line'!$D$2:$D$3001,$U316)&amp;"")</f>
        <v/>
      </c>
      <c r="F316">
        <f>IF($U316="","",INDEX('Per Line'!$E$2:$E$3001,$U316))</f>
        <v/>
      </c>
      <c r="G316" s="7">
        <f>IF($U316="","",F316*S316/100)</f>
        <v/>
      </c>
      <c r="H316">
        <f>IF($U316="","",INDEX('Per Line'!$O$2:$O$3001,$U316)&amp;"")</f>
        <v/>
      </c>
      <c r="I316" s="11">
        <f>IF($U316="","",INDEX('Per Line'!$Q$2:$Q$3001,$U316))</f>
        <v/>
      </c>
      <c r="J316">
        <f>IF($U316="","",INDEX('Per Line'!$R$2:$R$3001,$U316)&amp;"")</f>
        <v/>
      </c>
      <c r="K316">
        <f>IF($U316="","",Settings!$C$7)</f>
        <v/>
      </c>
      <c r="L316" s="7">
        <f>IF($U316="","",SUMIFS('Per Line'!$N$2:$N$3001,'Per Line'!$A$2:$A$3001,$A316,'Per Line'!$W$2:$W$3001,0))</f>
        <v/>
      </c>
      <c r="M316" s="7">
        <f>IF($U316="","",L316*K316)</f>
        <v/>
      </c>
      <c r="N316">
        <f>IF($U316="","",Settings!$C$6)</f>
        <v/>
      </c>
      <c r="O316" s="7">
        <f>IF($U316="","",SUMIFS('Per Line'!$N$2:$N$3001,'Per Line'!$A$2:$A$3001,$A316,'Per Line'!$W$2:$W$3001,1))</f>
        <v/>
      </c>
      <c r="P316" s="7">
        <f>IF($U316="","",O316*N316)</f>
        <v/>
      </c>
      <c r="Q316" s="7">
        <f>IF($U316="","",P316+M316)</f>
        <v/>
      </c>
      <c r="R316" s="7">
        <f>IF($U316="","",S316-Q316)</f>
        <v/>
      </c>
      <c r="S316" s="7">
        <f>IF($U316="","",L316+O316)</f>
        <v/>
      </c>
      <c r="T316" s="7">
        <f>IF($U316="","",S316-Q316-G316)</f>
        <v/>
      </c>
      <c r="U316" s="13">
        <f>IF(ROWS($U$2:$U316)&lt;=MAX('Per Line'!$V$2:$V$3001),MATCH(ROWS($U$2:$U316),'Per Line'!$V$2:$V$3001,0),"")</f>
        <v/>
      </c>
    </row>
    <row r="317">
      <c r="A317">
        <f>IF($U317="","",INDEX('Per Line'!$A$2:$A$3001,$U317)&amp;"")</f>
        <v/>
      </c>
      <c r="B317" s="12" t="n"/>
      <c r="C317">
        <f>IF($U317="","",INDEX('Per Line'!$B$2:$B$3001,$U317)&amp;"")</f>
        <v/>
      </c>
      <c r="D317">
        <f>IF($U317="","",INDEX('Per Line'!$C$2:$C$3001,$U317)&amp;"")</f>
        <v/>
      </c>
      <c r="E317">
        <f>IF($U317="","",INDEX('Per Line'!$D$2:$D$3001,$U317)&amp;"")</f>
        <v/>
      </c>
      <c r="F317">
        <f>IF($U317="","",INDEX('Per Line'!$E$2:$E$3001,$U317))</f>
        <v/>
      </c>
      <c r="G317" s="7">
        <f>IF($U317="","",F317*S317/100)</f>
        <v/>
      </c>
      <c r="H317">
        <f>IF($U317="","",INDEX('Per Line'!$O$2:$O$3001,$U317)&amp;"")</f>
        <v/>
      </c>
      <c r="I317" s="11">
        <f>IF($U317="","",INDEX('Per Line'!$Q$2:$Q$3001,$U317))</f>
        <v/>
      </c>
      <c r="J317">
        <f>IF($U317="","",INDEX('Per Line'!$R$2:$R$3001,$U317)&amp;"")</f>
        <v/>
      </c>
      <c r="K317">
        <f>IF($U317="","",Settings!$C$7)</f>
        <v/>
      </c>
      <c r="L317" s="7">
        <f>IF($U317="","",SUMIFS('Per Line'!$N$2:$N$3001,'Per Line'!$A$2:$A$3001,$A317,'Per Line'!$W$2:$W$3001,0))</f>
        <v/>
      </c>
      <c r="M317" s="7">
        <f>IF($U317="","",L317*K317)</f>
        <v/>
      </c>
      <c r="N317">
        <f>IF($U317="","",Settings!$C$6)</f>
        <v/>
      </c>
      <c r="O317" s="7">
        <f>IF($U317="","",SUMIFS('Per Line'!$N$2:$N$3001,'Per Line'!$A$2:$A$3001,$A317,'Per Line'!$W$2:$W$3001,1))</f>
        <v/>
      </c>
      <c r="P317" s="7">
        <f>IF($U317="","",O317*N317)</f>
        <v/>
      </c>
      <c r="Q317" s="7">
        <f>IF($U317="","",P317+M317)</f>
        <v/>
      </c>
      <c r="R317" s="7">
        <f>IF($U317="","",S317-Q317)</f>
        <v/>
      </c>
      <c r="S317" s="7">
        <f>IF($U317="","",L317+O317)</f>
        <v/>
      </c>
      <c r="T317" s="7">
        <f>IF($U317="","",S317-Q317-G317)</f>
        <v/>
      </c>
      <c r="U317" s="13">
        <f>IF(ROWS($U$2:$U317)&lt;=MAX('Per Line'!$V$2:$V$3001),MATCH(ROWS($U$2:$U317),'Per Line'!$V$2:$V$3001,0),"")</f>
        <v/>
      </c>
    </row>
    <row r="318">
      <c r="A318">
        <f>IF($U318="","",INDEX('Per Line'!$A$2:$A$3001,$U318)&amp;"")</f>
        <v/>
      </c>
      <c r="B318" s="12" t="n"/>
      <c r="C318">
        <f>IF($U318="","",INDEX('Per Line'!$B$2:$B$3001,$U318)&amp;"")</f>
        <v/>
      </c>
      <c r="D318">
        <f>IF($U318="","",INDEX('Per Line'!$C$2:$C$3001,$U318)&amp;"")</f>
        <v/>
      </c>
      <c r="E318">
        <f>IF($U318="","",INDEX('Per Line'!$D$2:$D$3001,$U318)&amp;"")</f>
        <v/>
      </c>
      <c r="F318">
        <f>IF($U318="","",INDEX('Per Line'!$E$2:$E$3001,$U318))</f>
        <v/>
      </c>
      <c r="G318" s="7">
        <f>IF($U318="","",F318*S318/100)</f>
        <v/>
      </c>
      <c r="H318">
        <f>IF($U318="","",INDEX('Per Line'!$O$2:$O$3001,$U318)&amp;"")</f>
        <v/>
      </c>
      <c r="I318" s="11">
        <f>IF($U318="","",INDEX('Per Line'!$Q$2:$Q$3001,$U318))</f>
        <v/>
      </c>
      <c r="J318">
        <f>IF($U318="","",INDEX('Per Line'!$R$2:$R$3001,$U318)&amp;"")</f>
        <v/>
      </c>
      <c r="K318">
        <f>IF($U318="","",Settings!$C$7)</f>
        <v/>
      </c>
      <c r="L318" s="7">
        <f>IF($U318="","",SUMIFS('Per Line'!$N$2:$N$3001,'Per Line'!$A$2:$A$3001,$A318,'Per Line'!$W$2:$W$3001,0))</f>
        <v/>
      </c>
      <c r="M318" s="7">
        <f>IF($U318="","",L318*K318)</f>
        <v/>
      </c>
      <c r="N318">
        <f>IF($U318="","",Settings!$C$6)</f>
        <v/>
      </c>
      <c r="O318" s="7">
        <f>IF($U318="","",SUMIFS('Per Line'!$N$2:$N$3001,'Per Line'!$A$2:$A$3001,$A318,'Per Line'!$W$2:$W$3001,1))</f>
        <v/>
      </c>
      <c r="P318" s="7">
        <f>IF($U318="","",O318*N318)</f>
        <v/>
      </c>
      <c r="Q318" s="7">
        <f>IF($U318="","",P318+M318)</f>
        <v/>
      </c>
      <c r="R318" s="7">
        <f>IF($U318="","",S318-Q318)</f>
        <v/>
      </c>
      <c r="S318" s="7">
        <f>IF($U318="","",L318+O318)</f>
        <v/>
      </c>
      <c r="T318" s="7">
        <f>IF($U318="","",S318-Q318-G318)</f>
        <v/>
      </c>
      <c r="U318" s="13">
        <f>IF(ROWS($U$2:$U318)&lt;=MAX('Per Line'!$V$2:$V$3001),MATCH(ROWS($U$2:$U318),'Per Line'!$V$2:$V$3001,0),"")</f>
        <v/>
      </c>
    </row>
    <row r="319">
      <c r="A319">
        <f>IF($U319="","",INDEX('Per Line'!$A$2:$A$3001,$U319)&amp;"")</f>
        <v/>
      </c>
      <c r="B319" s="12" t="n"/>
      <c r="C319">
        <f>IF($U319="","",INDEX('Per Line'!$B$2:$B$3001,$U319)&amp;"")</f>
        <v/>
      </c>
      <c r="D319">
        <f>IF($U319="","",INDEX('Per Line'!$C$2:$C$3001,$U319)&amp;"")</f>
        <v/>
      </c>
      <c r="E319">
        <f>IF($U319="","",INDEX('Per Line'!$D$2:$D$3001,$U319)&amp;"")</f>
        <v/>
      </c>
      <c r="F319">
        <f>IF($U319="","",INDEX('Per Line'!$E$2:$E$3001,$U319))</f>
        <v/>
      </c>
      <c r="G319" s="7">
        <f>IF($U319="","",F319*S319/100)</f>
        <v/>
      </c>
      <c r="H319">
        <f>IF($U319="","",INDEX('Per Line'!$O$2:$O$3001,$U319)&amp;"")</f>
        <v/>
      </c>
      <c r="I319" s="11">
        <f>IF($U319="","",INDEX('Per Line'!$Q$2:$Q$3001,$U319))</f>
        <v/>
      </c>
      <c r="J319">
        <f>IF($U319="","",INDEX('Per Line'!$R$2:$R$3001,$U319)&amp;"")</f>
        <v/>
      </c>
      <c r="K319">
        <f>IF($U319="","",Settings!$C$7)</f>
        <v/>
      </c>
      <c r="L319" s="7">
        <f>IF($U319="","",SUMIFS('Per Line'!$N$2:$N$3001,'Per Line'!$A$2:$A$3001,$A319,'Per Line'!$W$2:$W$3001,0))</f>
        <v/>
      </c>
      <c r="M319" s="7">
        <f>IF($U319="","",L319*K319)</f>
        <v/>
      </c>
      <c r="N319">
        <f>IF($U319="","",Settings!$C$6)</f>
        <v/>
      </c>
      <c r="O319" s="7">
        <f>IF($U319="","",SUMIFS('Per Line'!$N$2:$N$3001,'Per Line'!$A$2:$A$3001,$A319,'Per Line'!$W$2:$W$3001,1))</f>
        <v/>
      </c>
      <c r="P319" s="7">
        <f>IF($U319="","",O319*N319)</f>
        <v/>
      </c>
      <c r="Q319" s="7">
        <f>IF($U319="","",P319+M319)</f>
        <v/>
      </c>
      <c r="R319" s="7">
        <f>IF($U319="","",S319-Q319)</f>
        <v/>
      </c>
      <c r="S319" s="7">
        <f>IF($U319="","",L319+O319)</f>
        <v/>
      </c>
      <c r="T319" s="7">
        <f>IF($U319="","",S319-Q319-G319)</f>
        <v/>
      </c>
      <c r="U319" s="13">
        <f>IF(ROWS($U$2:$U319)&lt;=MAX('Per Line'!$V$2:$V$3001),MATCH(ROWS($U$2:$U319),'Per Line'!$V$2:$V$3001,0),"")</f>
        <v/>
      </c>
    </row>
    <row r="320">
      <c r="A320">
        <f>IF($U320="","",INDEX('Per Line'!$A$2:$A$3001,$U320)&amp;"")</f>
        <v/>
      </c>
      <c r="B320" s="12" t="n"/>
      <c r="C320">
        <f>IF($U320="","",INDEX('Per Line'!$B$2:$B$3001,$U320)&amp;"")</f>
        <v/>
      </c>
      <c r="D320">
        <f>IF($U320="","",INDEX('Per Line'!$C$2:$C$3001,$U320)&amp;"")</f>
        <v/>
      </c>
      <c r="E320">
        <f>IF($U320="","",INDEX('Per Line'!$D$2:$D$3001,$U320)&amp;"")</f>
        <v/>
      </c>
      <c r="F320">
        <f>IF($U320="","",INDEX('Per Line'!$E$2:$E$3001,$U320))</f>
        <v/>
      </c>
      <c r="G320" s="7">
        <f>IF($U320="","",F320*S320/100)</f>
        <v/>
      </c>
      <c r="H320">
        <f>IF($U320="","",INDEX('Per Line'!$O$2:$O$3001,$U320)&amp;"")</f>
        <v/>
      </c>
      <c r="I320" s="11">
        <f>IF($U320="","",INDEX('Per Line'!$Q$2:$Q$3001,$U320))</f>
        <v/>
      </c>
      <c r="J320">
        <f>IF($U320="","",INDEX('Per Line'!$R$2:$R$3001,$U320)&amp;"")</f>
        <v/>
      </c>
      <c r="K320">
        <f>IF($U320="","",Settings!$C$7)</f>
        <v/>
      </c>
      <c r="L320" s="7">
        <f>IF($U320="","",SUMIFS('Per Line'!$N$2:$N$3001,'Per Line'!$A$2:$A$3001,$A320,'Per Line'!$W$2:$W$3001,0))</f>
        <v/>
      </c>
      <c r="M320" s="7">
        <f>IF($U320="","",L320*K320)</f>
        <v/>
      </c>
      <c r="N320">
        <f>IF($U320="","",Settings!$C$6)</f>
        <v/>
      </c>
      <c r="O320" s="7">
        <f>IF($U320="","",SUMIFS('Per Line'!$N$2:$N$3001,'Per Line'!$A$2:$A$3001,$A320,'Per Line'!$W$2:$W$3001,1))</f>
        <v/>
      </c>
      <c r="P320" s="7">
        <f>IF($U320="","",O320*N320)</f>
        <v/>
      </c>
      <c r="Q320" s="7">
        <f>IF($U320="","",P320+M320)</f>
        <v/>
      </c>
      <c r="R320" s="7">
        <f>IF($U320="","",S320-Q320)</f>
        <v/>
      </c>
      <c r="S320" s="7">
        <f>IF($U320="","",L320+O320)</f>
        <v/>
      </c>
      <c r="T320" s="7">
        <f>IF($U320="","",S320-Q320-G320)</f>
        <v/>
      </c>
      <c r="U320" s="13">
        <f>IF(ROWS($U$2:$U320)&lt;=MAX('Per Line'!$V$2:$V$3001),MATCH(ROWS($U$2:$U320),'Per Line'!$V$2:$V$3001,0),"")</f>
        <v/>
      </c>
    </row>
    <row r="321">
      <c r="A321">
        <f>IF($U321="","",INDEX('Per Line'!$A$2:$A$3001,$U321)&amp;"")</f>
        <v/>
      </c>
      <c r="B321" s="12" t="n"/>
      <c r="C321">
        <f>IF($U321="","",INDEX('Per Line'!$B$2:$B$3001,$U321)&amp;"")</f>
        <v/>
      </c>
      <c r="D321">
        <f>IF($U321="","",INDEX('Per Line'!$C$2:$C$3001,$U321)&amp;"")</f>
        <v/>
      </c>
      <c r="E321">
        <f>IF($U321="","",INDEX('Per Line'!$D$2:$D$3001,$U321)&amp;"")</f>
        <v/>
      </c>
      <c r="F321">
        <f>IF($U321="","",INDEX('Per Line'!$E$2:$E$3001,$U321))</f>
        <v/>
      </c>
      <c r="G321" s="7">
        <f>IF($U321="","",F321*S321/100)</f>
        <v/>
      </c>
      <c r="H321">
        <f>IF($U321="","",INDEX('Per Line'!$O$2:$O$3001,$U321)&amp;"")</f>
        <v/>
      </c>
      <c r="I321" s="11">
        <f>IF($U321="","",INDEX('Per Line'!$Q$2:$Q$3001,$U321))</f>
        <v/>
      </c>
      <c r="J321">
        <f>IF($U321="","",INDEX('Per Line'!$R$2:$R$3001,$U321)&amp;"")</f>
        <v/>
      </c>
      <c r="K321">
        <f>IF($U321="","",Settings!$C$7)</f>
        <v/>
      </c>
      <c r="L321" s="7">
        <f>IF($U321="","",SUMIFS('Per Line'!$N$2:$N$3001,'Per Line'!$A$2:$A$3001,$A321,'Per Line'!$W$2:$W$3001,0))</f>
        <v/>
      </c>
      <c r="M321" s="7">
        <f>IF($U321="","",L321*K321)</f>
        <v/>
      </c>
      <c r="N321">
        <f>IF($U321="","",Settings!$C$6)</f>
        <v/>
      </c>
      <c r="O321" s="7">
        <f>IF($U321="","",SUMIFS('Per Line'!$N$2:$N$3001,'Per Line'!$A$2:$A$3001,$A321,'Per Line'!$W$2:$W$3001,1))</f>
        <v/>
      </c>
      <c r="P321" s="7">
        <f>IF($U321="","",O321*N321)</f>
        <v/>
      </c>
      <c r="Q321" s="7">
        <f>IF($U321="","",P321+M321)</f>
        <v/>
      </c>
      <c r="R321" s="7">
        <f>IF($U321="","",S321-Q321)</f>
        <v/>
      </c>
      <c r="S321" s="7">
        <f>IF($U321="","",L321+O321)</f>
        <v/>
      </c>
      <c r="T321" s="7">
        <f>IF($U321="","",S321-Q321-G321)</f>
        <v/>
      </c>
      <c r="U321" s="13">
        <f>IF(ROWS($U$2:$U321)&lt;=MAX('Per Line'!$V$2:$V$3001),MATCH(ROWS($U$2:$U321),'Per Line'!$V$2:$V$3001,0),"")</f>
        <v/>
      </c>
    </row>
    <row r="322">
      <c r="A322">
        <f>IF($U322="","",INDEX('Per Line'!$A$2:$A$3001,$U322)&amp;"")</f>
        <v/>
      </c>
      <c r="B322" s="12" t="n"/>
      <c r="C322">
        <f>IF($U322="","",INDEX('Per Line'!$B$2:$B$3001,$U322)&amp;"")</f>
        <v/>
      </c>
      <c r="D322">
        <f>IF($U322="","",INDEX('Per Line'!$C$2:$C$3001,$U322)&amp;"")</f>
        <v/>
      </c>
      <c r="E322">
        <f>IF($U322="","",INDEX('Per Line'!$D$2:$D$3001,$U322)&amp;"")</f>
        <v/>
      </c>
      <c r="F322">
        <f>IF($U322="","",INDEX('Per Line'!$E$2:$E$3001,$U322))</f>
        <v/>
      </c>
      <c r="G322" s="7">
        <f>IF($U322="","",F322*S322/100)</f>
        <v/>
      </c>
      <c r="H322">
        <f>IF($U322="","",INDEX('Per Line'!$O$2:$O$3001,$U322)&amp;"")</f>
        <v/>
      </c>
      <c r="I322" s="11">
        <f>IF($U322="","",INDEX('Per Line'!$Q$2:$Q$3001,$U322))</f>
        <v/>
      </c>
      <c r="J322">
        <f>IF($U322="","",INDEX('Per Line'!$R$2:$R$3001,$U322)&amp;"")</f>
        <v/>
      </c>
      <c r="K322">
        <f>IF($U322="","",Settings!$C$7)</f>
        <v/>
      </c>
      <c r="L322" s="7">
        <f>IF($U322="","",SUMIFS('Per Line'!$N$2:$N$3001,'Per Line'!$A$2:$A$3001,$A322,'Per Line'!$W$2:$W$3001,0))</f>
        <v/>
      </c>
      <c r="M322" s="7">
        <f>IF($U322="","",L322*K322)</f>
        <v/>
      </c>
      <c r="N322">
        <f>IF($U322="","",Settings!$C$6)</f>
        <v/>
      </c>
      <c r="O322" s="7">
        <f>IF($U322="","",SUMIFS('Per Line'!$N$2:$N$3001,'Per Line'!$A$2:$A$3001,$A322,'Per Line'!$W$2:$W$3001,1))</f>
        <v/>
      </c>
      <c r="P322" s="7">
        <f>IF($U322="","",O322*N322)</f>
        <v/>
      </c>
      <c r="Q322" s="7">
        <f>IF($U322="","",P322+M322)</f>
        <v/>
      </c>
      <c r="R322" s="7">
        <f>IF($U322="","",S322-Q322)</f>
        <v/>
      </c>
      <c r="S322" s="7">
        <f>IF($U322="","",L322+O322)</f>
        <v/>
      </c>
      <c r="T322" s="7">
        <f>IF($U322="","",S322-Q322-G322)</f>
        <v/>
      </c>
      <c r="U322" s="13">
        <f>IF(ROWS($U$2:$U322)&lt;=MAX('Per Line'!$V$2:$V$3001),MATCH(ROWS($U$2:$U322),'Per Line'!$V$2:$V$3001,0),"")</f>
        <v/>
      </c>
    </row>
    <row r="323">
      <c r="A323">
        <f>IF($U323="","",INDEX('Per Line'!$A$2:$A$3001,$U323)&amp;"")</f>
        <v/>
      </c>
      <c r="B323" s="12" t="n"/>
      <c r="C323">
        <f>IF($U323="","",INDEX('Per Line'!$B$2:$B$3001,$U323)&amp;"")</f>
        <v/>
      </c>
      <c r="D323">
        <f>IF($U323="","",INDEX('Per Line'!$C$2:$C$3001,$U323)&amp;"")</f>
        <v/>
      </c>
      <c r="E323">
        <f>IF($U323="","",INDEX('Per Line'!$D$2:$D$3001,$U323)&amp;"")</f>
        <v/>
      </c>
      <c r="F323">
        <f>IF($U323="","",INDEX('Per Line'!$E$2:$E$3001,$U323))</f>
        <v/>
      </c>
      <c r="G323" s="7">
        <f>IF($U323="","",F323*S323/100)</f>
        <v/>
      </c>
      <c r="H323">
        <f>IF($U323="","",INDEX('Per Line'!$O$2:$O$3001,$U323)&amp;"")</f>
        <v/>
      </c>
      <c r="I323" s="11">
        <f>IF($U323="","",INDEX('Per Line'!$Q$2:$Q$3001,$U323))</f>
        <v/>
      </c>
      <c r="J323">
        <f>IF($U323="","",INDEX('Per Line'!$R$2:$R$3001,$U323)&amp;"")</f>
        <v/>
      </c>
      <c r="K323">
        <f>IF($U323="","",Settings!$C$7)</f>
        <v/>
      </c>
      <c r="L323" s="7">
        <f>IF($U323="","",SUMIFS('Per Line'!$N$2:$N$3001,'Per Line'!$A$2:$A$3001,$A323,'Per Line'!$W$2:$W$3001,0))</f>
        <v/>
      </c>
      <c r="M323" s="7">
        <f>IF($U323="","",L323*K323)</f>
        <v/>
      </c>
      <c r="N323">
        <f>IF($U323="","",Settings!$C$6)</f>
        <v/>
      </c>
      <c r="O323" s="7">
        <f>IF($U323="","",SUMIFS('Per Line'!$N$2:$N$3001,'Per Line'!$A$2:$A$3001,$A323,'Per Line'!$W$2:$W$3001,1))</f>
        <v/>
      </c>
      <c r="P323" s="7">
        <f>IF($U323="","",O323*N323)</f>
        <v/>
      </c>
      <c r="Q323" s="7">
        <f>IF($U323="","",P323+M323)</f>
        <v/>
      </c>
      <c r="R323" s="7">
        <f>IF($U323="","",S323-Q323)</f>
        <v/>
      </c>
      <c r="S323" s="7">
        <f>IF($U323="","",L323+O323)</f>
        <v/>
      </c>
      <c r="T323" s="7">
        <f>IF($U323="","",S323-Q323-G323)</f>
        <v/>
      </c>
      <c r="U323" s="13">
        <f>IF(ROWS($U$2:$U323)&lt;=MAX('Per Line'!$V$2:$V$3001),MATCH(ROWS($U$2:$U323),'Per Line'!$V$2:$V$3001,0),"")</f>
        <v/>
      </c>
    </row>
    <row r="324">
      <c r="A324">
        <f>IF($U324="","",INDEX('Per Line'!$A$2:$A$3001,$U324)&amp;"")</f>
        <v/>
      </c>
      <c r="B324" s="12" t="n"/>
      <c r="C324">
        <f>IF($U324="","",INDEX('Per Line'!$B$2:$B$3001,$U324)&amp;"")</f>
        <v/>
      </c>
      <c r="D324">
        <f>IF($U324="","",INDEX('Per Line'!$C$2:$C$3001,$U324)&amp;"")</f>
        <v/>
      </c>
      <c r="E324">
        <f>IF($U324="","",INDEX('Per Line'!$D$2:$D$3001,$U324)&amp;"")</f>
        <v/>
      </c>
      <c r="F324">
        <f>IF($U324="","",INDEX('Per Line'!$E$2:$E$3001,$U324))</f>
        <v/>
      </c>
      <c r="G324" s="7">
        <f>IF($U324="","",F324*S324/100)</f>
        <v/>
      </c>
      <c r="H324">
        <f>IF($U324="","",INDEX('Per Line'!$O$2:$O$3001,$U324)&amp;"")</f>
        <v/>
      </c>
      <c r="I324" s="11">
        <f>IF($U324="","",INDEX('Per Line'!$Q$2:$Q$3001,$U324))</f>
        <v/>
      </c>
      <c r="J324">
        <f>IF($U324="","",INDEX('Per Line'!$R$2:$R$3001,$U324)&amp;"")</f>
        <v/>
      </c>
      <c r="K324">
        <f>IF($U324="","",Settings!$C$7)</f>
        <v/>
      </c>
      <c r="L324" s="7">
        <f>IF($U324="","",SUMIFS('Per Line'!$N$2:$N$3001,'Per Line'!$A$2:$A$3001,$A324,'Per Line'!$W$2:$W$3001,0))</f>
        <v/>
      </c>
      <c r="M324" s="7">
        <f>IF($U324="","",L324*K324)</f>
        <v/>
      </c>
      <c r="N324">
        <f>IF($U324="","",Settings!$C$6)</f>
        <v/>
      </c>
      <c r="O324" s="7">
        <f>IF($U324="","",SUMIFS('Per Line'!$N$2:$N$3001,'Per Line'!$A$2:$A$3001,$A324,'Per Line'!$W$2:$W$3001,1))</f>
        <v/>
      </c>
      <c r="P324" s="7">
        <f>IF($U324="","",O324*N324)</f>
        <v/>
      </c>
      <c r="Q324" s="7">
        <f>IF($U324="","",P324+M324)</f>
        <v/>
      </c>
      <c r="R324" s="7">
        <f>IF($U324="","",S324-Q324)</f>
        <v/>
      </c>
      <c r="S324" s="7">
        <f>IF($U324="","",L324+O324)</f>
        <v/>
      </c>
      <c r="T324" s="7">
        <f>IF($U324="","",S324-Q324-G324)</f>
        <v/>
      </c>
      <c r="U324" s="13">
        <f>IF(ROWS($U$2:$U324)&lt;=MAX('Per Line'!$V$2:$V$3001),MATCH(ROWS($U$2:$U324),'Per Line'!$V$2:$V$3001,0),"")</f>
        <v/>
      </c>
    </row>
    <row r="325">
      <c r="A325">
        <f>IF($U325="","",INDEX('Per Line'!$A$2:$A$3001,$U325)&amp;"")</f>
        <v/>
      </c>
      <c r="B325" s="12" t="n"/>
      <c r="C325">
        <f>IF($U325="","",INDEX('Per Line'!$B$2:$B$3001,$U325)&amp;"")</f>
        <v/>
      </c>
      <c r="D325">
        <f>IF($U325="","",INDEX('Per Line'!$C$2:$C$3001,$U325)&amp;"")</f>
        <v/>
      </c>
      <c r="E325">
        <f>IF($U325="","",INDEX('Per Line'!$D$2:$D$3001,$U325)&amp;"")</f>
        <v/>
      </c>
      <c r="F325">
        <f>IF($U325="","",INDEX('Per Line'!$E$2:$E$3001,$U325))</f>
        <v/>
      </c>
      <c r="G325" s="7">
        <f>IF($U325="","",F325*S325/100)</f>
        <v/>
      </c>
      <c r="H325">
        <f>IF($U325="","",INDEX('Per Line'!$O$2:$O$3001,$U325)&amp;"")</f>
        <v/>
      </c>
      <c r="I325" s="11">
        <f>IF($U325="","",INDEX('Per Line'!$Q$2:$Q$3001,$U325))</f>
        <v/>
      </c>
      <c r="J325">
        <f>IF($U325="","",INDEX('Per Line'!$R$2:$R$3001,$U325)&amp;"")</f>
        <v/>
      </c>
      <c r="K325">
        <f>IF($U325="","",Settings!$C$7)</f>
        <v/>
      </c>
      <c r="L325" s="7">
        <f>IF($U325="","",SUMIFS('Per Line'!$N$2:$N$3001,'Per Line'!$A$2:$A$3001,$A325,'Per Line'!$W$2:$W$3001,0))</f>
        <v/>
      </c>
      <c r="M325" s="7">
        <f>IF($U325="","",L325*K325)</f>
        <v/>
      </c>
      <c r="N325">
        <f>IF($U325="","",Settings!$C$6)</f>
        <v/>
      </c>
      <c r="O325" s="7">
        <f>IF($U325="","",SUMIFS('Per Line'!$N$2:$N$3001,'Per Line'!$A$2:$A$3001,$A325,'Per Line'!$W$2:$W$3001,1))</f>
        <v/>
      </c>
      <c r="P325" s="7">
        <f>IF($U325="","",O325*N325)</f>
        <v/>
      </c>
      <c r="Q325" s="7">
        <f>IF($U325="","",P325+M325)</f>
        <v/>
      </c>
      <c r="R325" s="7">
        <f>IF($U325="","",S325-Q325)</f>
        <v/>
      </c>
      <c r="S325" s="7">
        <f>IF($U325="","",L325+O325)</f>
        <v/>
      </c>
      <c r="T325" s="7">
        <f>IF($U325="","",S325-Q325-G325)</f>
        <v/>
      </c>
      <c r="U325" s="13">
        <f>IF(ROWS($U$2:$U325)&lt;=MAX('Per Line'!$V$2:$V$3001),MATCH(ROWS($U$2:$U325),'Per Line'!$V$2:$V$3001,0),"")</f>
        <v/>
      </c>
    </row>
    <row r="326">
      <c r="A326">
        <f>IF($U326="","",INDEX('Per Line'!$A$2:$A$3001,$U326)&amp;"")</f>
        <v/>
      </c>
      <c r="B326" s="12" t="n"/>
      <c r="C326">
        <f>IF($U326="","",INDEX('Per Line'!$B$2:$B$3001,$U326)&amp;"")</f>
        <v/>
      </c>
      <c r="D326">
        <f>IF($U326="","",INDEX('Per Line'!$C$2:$C$3001,$U326)&amp;"")</f>
        <v/>
      </c>
      <c r="E326">
        <f>IF($U326="","",INDEX('Per Line'!$D$2:$D$3001,$U326)&amp;"")</f>
        <v/>
      </c>
      <c r="F326">
        <f>IF($U326="","",INDEX('Per Line'!$E$2:$E$3001,$U326))</f>
        <v/>
      </c>
      <c r="G326" s="7">
        <f>IF($U326="","",F326*S326/100)</f>
        <v/>
      </c>
      <c r="H326">
        <f>IF($U326="","",INDEX('Per Line'!$O$2:$O$3001,$U326)&amp;"")</f>
        <v/>
      </c>
      <c r="I326" s="11">
        <f>IF($U326="","",INDEX('Per Line'!$Q$2:$Q$3001,$U326))</f>
        <v/>
      </c>
      <c r="J326">
        <f>IF($U326="","",INDEX('Per Line'!$R$2:$R$3001,$U326)&amp;"")</f>
        <v/>
      </c>
      <c r="K326">
        <f>IF($U326="","",Settings!$C$7)</f>
        <v/>
      </c>
      <c r="L326" s="7">
        <f>IF($U326="","",SUMIFS('Per Line'!$N$2:$N$3001,'Per Line'!$A$2:$A$3001,$A326,'Per Line'!$W$2:$W$3001,0))</f>
        <v/>
      </c>
      <c r="M326" s="7">
        <f>IF($U326="","",L326*K326)</f>
        <v/>
      </c>
      <c r="N326">
        <f>IF($U326="","",Settings!$C$6)</f>
        <v/>
      </c>
      <c r="O326" s="7">
        <f>IF($U326="","",SUMIFS('Per Line'!$N$2:$N$3001,'Per Line'!$A$2:$A$3001,$A326,'Per Line'!$W$2:$W$3001,1))</f>
        <v/>
      </c>
      <c r="P326" s="7">
        <f>IF($U326="","",O326*N326)</f>
        <v/>
      </c>
      <c r="Q326" s="7">
        <f>IF($U326="","",P326+M326)</f>
        <v/>
      </c>
      <c r="R326" s="7">
        <f>IF($U326="","",S326-Q326)</f>
        <v/>
      </c>
      <c r="S326" s="7">
        <f>IF($U326="","",L326+O326)</f>
        <v/>
      </c>
      <c r="T326" s="7">
        <f>IF($U326="","",S326-Q326-G326)</f>
        <v/>
      </c>
      <c r="U326" s="13">
        <f>IF(ROWS($U$2:$U326)&lt;=MAX('Per Line'!$V$2:$V$3001),MATCH(ROWS($U$2:$U326),'Per Line'!$V$2:$V$3001,0),"")</f>
        <v/>
      </c>
    </row>
    <row r="327">
      <c r="A327">
        <f>IF($U327="","",INDEX('Per Line'!$A$2:$A$3001,$U327)&amp;"")</f>
        <v/>
      </c>
      <c r="B327" s="12" t="n"/>
      <c r="C327">
        <f>IF($U327="","",INDEX('Per Line'!$B$2:$B$3001,$U327)&amp;"")</f>
        <v/>
      </c>
      <c r="D327">
        <f>IF($U327="","",INDEX('Per Line'!$C$2:$C$3001,$U327)&amp;"")</f>
        <v/>
      </c>
      <c r="E327">
        <f>IF($U327="","",INDEX('Per Line'!$D$2:$D$3001,$U327)&amp;"")</f>
        <v/>
      </c>
      <c r="F327">
        <f>IF($U327="","",INDEX('Per Line'!$E$2:$E$3001,$U327))</f>
        <v/>
      </c>
      <c r="G327" s="7">
        <f>IF($U327="","",F327*S327/100)</f>
        <v/>
      </c>
      <c r="H327">
        <f>IF($U327="","",INDEX('Per Line'!$O$2:$O$3001,$U327)&amp;"")</f>
        <v/>
      </c>
      <c r="I327" s="11">
        <f>IF($U327="","",INDEX('Per Line'!$Q$2:$Q$3001,$U327))</f>
        <v/>
      </c>
      <c r="J327">
        <f>IF($U327="","",INDEX('Per Line'!$R$2:$R$3001,$U327)&amp;"")</f>
        <v/>
      </c>
      <c r="K327">
        <f>IF($U327="","",Settings!$C$7)</f>
        <v/>
      </c>
      <c r="L327" s="7">
        <f>IF($U327="","",SUMIFS('Per Line'!$N$2:$N$3001,'Per Line'!$A$2:$A$3001,$A327,'Per Line'!$W$2:$W$3001,0))</f>
        <v/>
      </c>
      <c r="M327" s="7">
        <f>IF($U327="","",L327*K327)</f>
        <v/>
      </c>
      <c r="N327">
        <f>IF($U327="","",Settings!$C$6)</f>
        <v/>
      </c>
      <c r="O327" s="7">
        <f>IF($U327="","",SUMIFS('Per Line'!$N$2:$N$3001,'Per Line'!$A$2:$A$3001,$A327,'Per Line'!$W$2:$W$3001,1))</f>
        <v/>
      </c>
      <c r="P327" s="7">
        <f>IF($U327="","",O327*N327)</f>
        <v/>
      </c>
      <c r="Q327" s="7">
        <f>IF($U327="","",P327+M327)</f>
        <v/>
      </c>
      <c r="R327" s="7">
        <f>IF($U327="","",S327-Q327)</f>
        <v/>
      </c>
      <c r="S327" s="7">
        <f>IF($U327="","",L327+O327)</f>
        <v/>
      </c>
      <c r="T327" s="7">
        <f>IF($U327="","",S327-Q327-G327)</f>
        <v/>
      </c>
      <c r="U327" s="13">
        <f>IF(ROWS($U$2:$U327)&lt;=MAX('Per Line'!$V$2:$V$3001),MATCH(ROWS($U$2:$U327),'Per Line'!$V$2:$V$3001,0),"")</f>
        <v/>
      </c>
    </row>
    <row r="328">
      <c r="A328">
        <f>IF($U328="","",INDEX('Per Line'!$A$2:$A$3001,$U328)&amp;"")</f>
        <v/>
      </c>
      <c r="B328" s="12" t="n"/>
      <c r="C328">
        <f>IF($U328="","",INDEX('Per Line'!$B$2:$B$3001,$U328)&amp;"")</f>
        <v/>
      </c>
      <c r="D328">
        <f>IF($U328="","",INDEX('Per Line'!$C$2:$C$3001,$U328)&amp;"")</f>
        <v/>
      </c>
      <c r="E328">
        <f>IF($U328="","",INDEX('Per Line'!$D$2:$D$3001,$U328)&amp;"")</f>
        <v/>
      </c>
      <c r="F328">
        <f>IF($U328="","",INDEX('Per Line'!$E$2:$E$3001,$U328))</f>
        <v/>
      </c>
      <c r="G328" s="7">
        <f>IF($U328="","",F328*S328/100)</f>
        <v/>
      </c>
      <c r="H328">
        <f>IF($U328="","",INDEX('Per Line'!$O$2:$O$3001,$U328)&amp;"")</f>
        <v/>
      </c>
      <c r="I328" s="11">
        <f>IF($U328="","",INDEX('Per Line'!$Q$2:$Q$3001,$U328))</f>
        <v/>
      </c>
      <c r="J328">
        <f>IF($U328="","",INDEX('Per Line'!$R$2:$R$3001,$U328)&amp;"")</f>
        <v/>
      </c>
      <c r="K328">
        <f>IF($U328="","",Settings!$C$7)</f>
        <v/>
      </c>
      <c r="L328" s="7">
        <f>IF($U328="","",SUMIFS('Per Line'!$N$2:$N$3001,'Per Line'!$A$2:$A$3001,$A328,'Per Line'!$W$2:$W$3001,0))</f>
        <v/>
      </c>
      <c r="M328" s="7">
        <f>IF($U328="","",L328*K328)</f>
        <v/>
      </c>
      <c r="N328">
        <f>IF($U328="","",Settings!$C$6)</f>
        <v/>
      </c>
      <c r="O328" s="7">
        <f>IF($U328="","",SUMIFS('Per Line'!$N$2:$N$3001,'Per Line'!$A$2:$A$3001,$A328,'Per Line'!$W$2:$W$3001,1))</f>
        <v/>
      </c>
      <c r="P328" s="7">
        <f>IF($U328="","",O328*N328)</f>
        <v/>
      </c>
      <c r="Q328" s="7">
        <f>IF($U328="","",P328+M328)</f>
        <v/>
      </c>
      <c r="R328" s="7">
        <f>IF($U328="","",S328-Q328)</f>
        <v/>
      </c>
      <c r="S328" s="7">
        <f>IF($U328="","",L328+O328)</f>
        <v/>
      </c>
      <c r="T328" s="7">
        <f>IF($U328="","",S328-Q328-G328)</f>
        <v/>
      </c>
      <c r="U328" s="13">
        <f>IF(ROWS($U$2:$U328)&lt;=MAX('Per Line'!$V$2:$V$3001),MATCH(ROWS($U$2:$U328),'Per Line'!$V$2:$V$3001,0),"")</f>
        <v/>
      </c>
    </row>
    <row r="329">
      <c r="A329">
        <f>IF($U329="","",INDEX('Per Line'!$A$2:$A$3001,$U329)&amp;"")</f>
        <v/>
      </c>
      <c r="B329" s="12" t="n"/>
      <c r="C329">
        <f>IF($U329="","",INDEX('Per Line'!$B$2:$B$3001,$U329)&amp;"")</f>
        <v/>
      </c>
      <c r="D329">
        <f>IF($U329="","",INDEX('Per Line'!$C$2:$C$3001,$U329)&amp;"")</f>
        <v/>
      </c>
      <c r="E329">
        <f>IF($U329="","",INDEX('Per Line'!$D$2:$D$3001,$U329)&amp;"")</f>
        <v/>
      </c>
      <c r="F329">
        <f>IF($U329="","",INDEX('Per Line'!$E$2:$E$3001,$U329))</f>
        <v/>
      </c>
      <c r="G329" s="7">
        <f>IF($U329="","",F329*S329/100)</f>
        <v/>
      </c>
      <c r="H329">
        <f>IF($U329="","",INDEX('Per Line'!$O$2:$O$3001,$U329)&amp;"")</f>
        <v/>
      </c>
      <c r="I329" s="11">
        <f>IF($U329="","",INDEX('Per Line'!$Q$2:$Q$3001,$U329))</f>
        <v/>
      </c>
      <c r="J329">
        <f>IF($U329="","",INDEX('Per Line'!$R$2:$R$3001,$U329)&amp;"")</f>
        <v/>
      </c>
      <c r="K329">
        <f>IF($U329="","",Settings!$C$7)</f>
        <v/>
      </c>
      <c r="L329" s="7">
        <f>IF($U329="","",SUMIFS('Per Line'!$N$2:$N$3001,'Per Line'!$A$2:$A$3001,$A329,'Per Line'!$W$2:$W$3001,0))</f>
        <v/>
      </c>
      <c r="M329" s="7">
        <f>IF($U329="","",L329*K329)</f>
        <v/>
      </c>
      <c r="N329">
        <f>IF($U329="","",Settings!$C$6)</f>
        <v/>
      </c>
      <c r="O329" s="7">
        <f>IF($U329="","",SUMIFS('Per Line'!$N$2:$N$3001,'Per Line'!$A$2:$A$3001,$A329,'Per Line'!$W$2:$W$3001,1))</f>
        <v/>
      </c>
      <c r="P329" s="7">
        <f>IF($U329="","",O329*N329)</f>
        <v/>
      </c>
      <c r="Q329" s="7">
        <f>IF($U329="","",P329+M329)</f>
        <v/>
      </c>
      <c r="R329" s="7">
        <f>IF($U329="","",S329-Q329)</f>
        <v/>
      </c>
      <c r="S329" s="7">
        <f>IF($U329="","",L329+O329)</f>
        <v/>
      </c>
      <c r="T329" s="7">
        <f>IF($U329="","",S329-Q329-G329)</f>
        <v/>
      </c>
      <c r="U329" s="13">
        <f>IF(ROWS($U$2:$U329)&lt;=MAX('Per Line'!$V$2:$V$3001),MATCH(ROWS($U$2:$U329),'Per Line'!$V$2:$V$3001,0),"")</f>
        <v/>
      </c>
    </row>
    <row r="330">
      <c r="A330">
        <f>IF($U330="","",INDEX('Per Line'!$A$2:$A$3001,$U330)&amp;"")</f>
        <v/>
      </c>
      <c r="B330" s="12" t="n"/>
      <c r="C330">
        <f>IF($U330="","",INDEX('Per Line'!$B$2:$B$3001,$U330)&amp;"")</f>
        <v/>
      </c>
      <c r="D330">
        <f>IF($U330="","",INDEX('Per Line'!$C$2:$C$3001,$U330)&amp;"")</f>
        <v/>
      </c>
      <c r="E330">
        <f>IF($U330="","",INDEX('Per Line'!$D$2:$D$3001,$U330)&amp;"")</f>
        <v/>
      </c>
      <c r="F330">
        <f>IF($U330="","",INDEX('Per Line'!$E$2:$E$3001,$U330))</f>
        <v/>
      </c>
      <c r="G330" s="7">
        <f>IF($U330="","",F330*S330/100)</f>
        <v/>
      </c>
      <c r="H330">
        <f>IF($U330="","",INDEX('Per Line'!$O$2:$O$3001,$U330)&amp;"")</f>
        <v/>
      </c>
      <c r="I330" s="11">
        <f>IF($U330="","",INDEX('Per Line'!$Q$2:$Q$3001,$U330))</f>
        <v/>
      </c>
      <c r="J330">
        <f>IF($U330="","",INDEX('Per Line'!$R$2:$R$3001,$U330)&amp;"")</f>
        <v/>
      </c>
      <c r="K330">
        <f>IF($U330="","",Settings!$C$7)</f>
        <v/>
      </c>
      <c r="L330" s="7">
        <f>IF($U330="","",SUMIFS('Per Line'!$N$2:$N$3001,'Per Line'!$A$2:$A$3001,$A330,'Per Line'!$W$2:$W$3001,0))</f>
        <v/>
      </c>
      <c r="M330" s="7">
        <f>IF($U330="","",L330*K330)</f>
        <v/>
      </c>
      <c r="N330">
        <f>IF($U330="","",Settings!$C$6)</f>
        <v/>
      </c>
      <c r="O330" s="7">
        <f>IF($U330="","",SUMIFS('Per Line'!$N$2:$N$3001,'Per Line'!$A$2:$A$3001,$A330,'Per Line'!$W$2:$W$3001,1))</f>
        <v/>
      </c>
      <c r="P330" s="7">
        <f>IF($U330="","",O330*N330)</f>
        <v/>
      </c>
      <c r="Q330" s="7">
        <f>IF($U330="","",P330+M330)</f>
        <v/>
      </c>
      <c r="R330" s="7">
        <f>IF($U330="","",S330-Q330)</f>
        <v/>
      </c>
      <c r="S330" s="7">
        <f>IF($U330="","",L330+O330)</f>
        <v/>
      </c>
      <c r="T330" s="7">
        <f>IF($U330="","",S330-Q330-G330)</f>
        <v/>
      </c>
      <c r="U330" s="13">
        <f>IF(ROWS($U$2:$U330)&lt;=MAX('Per Line'!$V$2:$V$3001),MATCH(ROWS($U$2:$U330),'Per Line'!$V$2:$V$3001,0),"")</f>
        <v/>
      </c>
    </row>
    <row r="331">
      <c r="A331">
        <f>IF($U331="","",INDEX('Per Line'!$A$2:$A$3001,$U331)&amp;"")</f>
        <v/>
      </c>
      <c r="B331" s="12" t="n"/>
      <c r="C331">
        <f>IF($U331="","",INDEX('Per Line'!$B$2:$B$3001,$U331)&amp;"")</f>
        <v/>
      </c>
      <c r="D331">
        <f>IF($U331="","",INDEX('Per Line'!$C$2:$C$3001,$U331)&amp;"")</f>
        <v/>
      </c>
      <c r="E331">
        <f>IF($U331="","",INDEX('Per Line'!$D$2:$D$3001,$U331)&amp;"")</f>
        <v/>
      </c>
      <c r="F331">
        <f>IF($U331="","",INDEX('Per Line'!$E$2:$E$3001,$U331))</f>
        <v/>
      </c>
      <c r="G331" s="7">
        <f>IF($U331="","",F331*S331/100)</f>
        <v/>
      </c>
      <c r="H331">
        <f>IF($U331="","",INDEX('Per Line'!$O$2:$O$3001,$U331)&amp;"")</f>
        <v/>
      </c>
      <c r="I331" s="11">
        <f>IF($U331="","",INDEX('Per Line'!$Q$2:$Q$3001,$U331))</f>
        <v/>
      </c>
      <c r="J331">
        <f>IF($U331="","",INDEX('Per Line'!$R$2:$R$3001,$U331)&amp;"")</f>
        <v/>
      </c>
      <c r="K331">
        <f>IF($U331="","",Settings!$C$7)</f>
        <v/>
      </c>
      <c r="L331" s="7">
        <f>IF($U331="","",SUMIFS('Per Line'!$N$2:$N$3001,'Per Line'!$A$2:$A$3001,$A331,'Per Line'!$W$2:$W$3001,0))</f>
        <v/>
      </c>
      <c r="M331" s="7">
        <f>IF($U331="","",L331*K331)</f>
        <v/>
      </c>
      <c r="N331">
        <f>IF($U331="","",Settings!$C$6)</f>
        <v/>
      </c>
      <c r="O331" s="7">
        <f>IF($U331="","",SUMIFS('Per Line'!$N$2:$N$3001,'Per Line'!$A$2:$A$3001,$A331,'Per Line'!$W$2:$W$3001,1))</f>
        <v/>
      </c>
      <c r="P331" s="7">
        <f>IF($U331="","",O331*N331)</f>
        <v/>
      </c>
      <c r="Q331" s="7">
        <f>IF($U331="","",P331+M331)</f>
        <v/>
      </c>
      <c r="R331" s="7">
        <f>IF($U331="","",S331-Q331)</f>
        <v/>
      </c>
      <c r="S331" s="7">
        <f>IF($U331="","",L331+O331)</f>
        <v/>
      </c>
      <c r="T331" s="7">
        <f>IF($U331="","",S331-Q331-G331)</f>
        <v/>
      </c>
      <c r="U331" s="13">
        <f>IF(ROWS($U$2:$U331)&lt;=MAX('Per Line'!$V$2:$V$3001),MATCH(ROWS($U$2:$U331),'Per Line'!$V$2:$V$3001,0),"")</f>
        <v/>
      </c>
    </row>
    <row r="332">
      <c r="A332">
        <f>IF($U332="","",INDEX('Per Line'!$A$2:$A$3001,$U332)&amp;"")</f>
        <v/>
      </c>
      <c r="B332" s="12" t="n"/>
      <c r="C332">
        <f>IF($U332="","",INDEX('Per Line'!$B$2:$B$3001,$U332)&amp;"")</f>
        <v/>
      </c>
      <c r="D332">
        <f>IF($U332="","",INDEX('Per Line'!$C$2:$C$3001,$U332)&amp;"")</f>
        <v/>
      </c>
      <c r="E332">
        <f>IF($U332="","",INDEX('Per Line'!$D$2:$D$3001,$U332)&amp;"")</f>
        <v/>
      </c>
      <c r="F332">
        <f>IF($U332="","",INDEX('Per Line'!$E$2:$E$3001,$U332))</f>
        <v/>
      </c>
      <c r="G332" s="7">
        <f>IF($U332="","",F332*S332/100)</f>
        <v/>
      </c>
      <c r="H332">
        <f>IF($U332="","",INDEX('Per Line'!$O$2:$O$3001,$U332)&amp;"")</f>
        <v/>
      </c>
      <c r="I332" s="11">
        <f>IF($U332="","",INDEX('Per Line'!$Q$2:$Q$3001,$U332))</f>
        <v/>
      </c>
      <c r="J332">
        <f>IF($U332="","",INDEX('Per Line'!$R$2:$R$3001,$U332)&amp;"")</f>
        <v/>
      </c>
      <c r="K332">
        <f>IF($U332="","",Settings!$C$7)</f>
        <v/>
      </c>
      <c r="L332" s="7">
        <f>IF($U332="","",SUMIFS('Per Line'!$N$2:$N$3001,'Per Line'!$A$2:$A$3001,$A332,'Per Line'!$W$2:$W$3001,0))</f>
        <v/>
      </c>
      <c r="M332" s="7">
        <f>IF($U332="","",L332*K332)</f>
        <v/>
      </c>
      <c r="N332">
        <f>IF($U332="","",Settings!$C$6)</f>
        <v/>
      </c>
      <c r="O332" s="7">
        <f>IF($U332="","",SUMIFS('Per Line'!$N$2:$N$3001,'Per Line'!$A$2:$A$3001,$A332,'Per Line'!$W$2:$W$3001,1))</f>
        <v/>
      </c>
      <c r="P332" s="7">
        <f>IF($U332="","",O332*N332)</f>
        <v/>
      </c>
      <c r="Q332" s="7">
        <f>IF($U332="","",P332+M332)</f>
        <v/>
      </c>
      <c r="R332" s="7">
        <f>IF($U332="","",S332-Q332)</f>
        <v/>
      </c>
      <c r="S332" s="7">
        <f>IF($U332="","",L332+O332)</f>
        <v/>
      </c>
      <c r="T332" s="7">
        <f>IF($U332="","",S332-Q332-G332)</f>
        <v/>
      </c>
      <c r="U332" s="13">
        <f>IF(ROWS($U$2:$U332)&lt;=MAX('Per Line'!$V$2:$V$3001),MATCH(ROWS($U$2:$U332),'Per Line'!$V$2:$V$3001,0),"")</f>
        <v/>
      </c>
    </row>
    <row r="333">
      <c r="A333">
        <f>IF($U333="","",INDEX('Per Line'!$A$2:$A$3001,$U333)&amp;"")</f>
        <v/>
      </c>
      <c r="B333" s="12" t="n"/>
      <c r="C333">
        <f>IF($U333="","",INDEX('Per Line'!$B$2:$B$3001,$U333)&amp;"")</f>
        <v/>
      </c>
      <c r="D333">
        <f>IF($U333="","",INDEX('Per Line'!$C$2:$C$3001,$U333)&amp;"")</f>
        <v/>
      </c>
      <c r="E333">
        <f>IF($U333="","",INDEX('Per Line'!$D$2:$D$3001,$U333)&amp;"")</f>
        <v/>
      </c>
      <c r="F333">
        <f>IF($U333="","",INDEX('Per Line'!$E$2:$E$3001,$U333))</f>
        <v/>
      </c>
      <c r="G333" s="7">
        <f>IF($U333="","",F333*S333/100)</f>
        <v/>
      </c>
      <c r="H333">
        <f>IF($U333="","",INDEX('Per Line'!$O$2:$O$3001,$U333)&amp;"")</f>
        <v/>
      </c>
      <c r="I333" s="11">
        <f>IF($U333="","",INDEX('Per Line'!$Q$2:$Q$3001,$U333))</f>
        <v/>
      </c>
      <c r="J333">
        <f>IF($U333="","",INDEX('Per Line'!$R$2:$R$3001,$U333)&amp;"")</f>
        <v/>
      </c>
      <c r="K333">
        <f>IF($U333="","",Settings!$C$7)</f>
        <v/>
      </c>
      <c r="L333" s="7">
        <f>IF($U333="","",SUMIFS('Per Line'!$N$2:$N$3001,'Per Line'!$A$2:$A$3001,$A333,'Per Line'!$W$2:$W$3001,0))</f>
        <v/>
      </c>
      <c r="M333" s="7">
        <f>IF($U333="","",L333*K333)</f>
        <v/>
      </c>
      <c r="N333">
        <f>IF($U333="","",Settings!$C$6)</f>
        <v/>
      </c>
      <c r="O333" s="7">
        <f>IF($U333="","",SUMIFS('Per Line'!$N$2:$N$3001,'Per Line'!$A$2:$A$3001,$A333,'Per Line'!$W$2:$W$3001,1))</f>
        <v/>
      </c>
      <c r="P333" s="7">
        <f>IF($U333="","",O333*N333)</f>
        <v/>
      </c>
      <c r="Q333" s="7">
        <f>IF($U333="","",P333+M333)</f>
        <v/>
      </c>
      <c r="R333" s="7">
        <f>IF($U333="","",S333-Q333)</f>
        <v/>
      </c>
      <c r="S333" s="7">
        <f>IF($U333="","",L333+O333)</f>
        <v/>
      </c>
      <c r="T333" s="7">
        <f>IF($U333="","",S333-Q333-G333)</f>
        <v/>
      </c>
      <c r="U333" s="13">
        <f>IF(ROWS($U$2:$U333)&lt;=MAX('Per Line'!$V$2:$V$3001),MATCH(ROWS($U$2:$U333),'Per Line'!$V$2:$V$3001,0),"")</f>
        <v/>
      </c>
    </row>
    <row r="334">
      <c r="A334">
        <f>IF($U334="","",INDEX('Per Line'!$A$2:$A$3001,$U334)&amp;"")</f>
        <v/>
      </c>
      <c r="B334" s="12" t="n"/>
      <c r="C334">
        <f>IF($U334="","",INDEX('Per Line'!$B$2:$B$3001,$U334)&amp;"")</f>
        <v/>
      </c>
      <c r="D334">
        <f>IF($U334="","",INDEX('Per Line'!$C$2:$C$3001,$U334)&amp;"")</f>
        <v/>
      </c>
      <c r="E334">
        <f>IF($U334="","",INDEX('Per Line'!$D$2:$D$3001,$U334)&amp;"")</f>
        <v/>
      </c>
      <c r="F334">
        <f>IF($U334="","",INDEX('Per Line'!$E$2:$E$3001,$U334))</f>
        <v/>
      </c>
      <c r="G334" s="7">
        <f>IF($U334="","",F334*S334/100)</f>
        <v/>
      </c>
      <c r="H334">
        <f>IF($U334="","",INDEX('Per Line'!$O$2:$O$3001,$U334)&amp;"")</f>
        <v/>
      </c>
      <c r="I334" s="11">
        <f>IF($U334="","",INDEX('Per Line'!$Q$2:$Q$3001,$U334))</f>
        <v/>
      </c>
      <c r="J334">
        <f>IF($U334="","",INDEX('Per Line'!$R$2:$R$3001,$U334)&amp;"")</f>
        <v/>
      </c>
      <c r="K334">
        <f>IF($U334="","",Settings!$C$7)</f>
        <v/>
      </c>
      <c r="L334" s="7">
        <f>IF($U334="","",SUMIFS('Per Line'!$N$2:$N$3001,'Per Line'!$A$2:$A$3001,$A334,'Per Line'!$W$2:$W$3001,0))</f>
        <v/>
      </c>
      <c r="M334" s="7">
        <f>IF($U334="","",L334*K334)</f>
        <v/>
      </c>
      <c r="N334">
        <f>IF($U334="","",Settings!$C$6)</f>
        <v/>
      </c>
      <c r="O334" s="7">
        <f>IF($U334="","",SUMIFS('Per Line'!$N$2:$N$3001,'Per Line'!$A$2:$A$3001,$A334,'Per Line'!$W$2:$W$3001,1))</f>
        <v/>
      </c>
      <c r="P334" s="7">
        <f>IF($U334="","",O334*N334)</f>
        <v/>
      </c>
      <c r="Q334" s="7">
        <f>IF($U334="","",P334+M334)</f>
        <v/>
      </c>
      <c r="R334" s="7">
        <f>IF($U334="","",S334-Q334)</f>
        <v/>
      </c>
      <c r="S334" s="7">
        <f>IF($U334="","",L334+O334)</f>
        <v/>
      </c>
      <c r="T334" s="7">
        <f>IF($U334="","",S334-Q334-G334)</f>
        <v/>
      </c>
      <c r="U334" s="13">
        <f>IF(ROWS($U$2:$U334)&lt;=MAX('Per Line'!$V$2:$V$3001),MATCH(ROWS($U$2:$U334),'Per Line'!$V$2:$V$3001,0),"")</f>
        <v/>
      </c>
    </row>
    <row r="335">
      <c r="A335">
        <f>IF($U335="","",INDEX('Per Line'!$A$2:$A$3001,$U335)&amp;"")</f>
        <v/>
      </c>
      <c r="B335" s="12" t="n"/>
      <c r="C335">
        <f>IF($U335="","",INDEX('Per Line'!$B$2:$B$3001,$U335)&amp;"")</f>
        <v/>
      </c>
      <c r="D335">
        <f>IF($U335="","",INDEX('Per Line'!$C$2:$C$3001,$U335)&amp;"")</f>
        <v/>
      </c>
      <c r="E335">
        <f>IF($U335="","",INDEX('Per Line'!$D$2:$D$3001,$U335)&amp;"")</f>
        <v/>
      </c>
      <c r="F335">
        <f>IF($U335="","",INDEX('Per Line'!$E$2:$E$3001,$U335))</f>
        <v/>
      </c>
      <c r="G335" s="7">
        <f>IF($U335="","",F335*S335/100)</f>
        <v/>
      </c>
      <c r="H335">
        <f>IF($U335="","",INDEX('Per Line'!$O$2:$O$3001,$U335)&amp;"")</f>
        <v/>
      </c>
      <c r="I335" s="11">
        <f>IF($U335="","",INDEX('Per Line'!$Q$2:$Q$3001,$U335))</f>
        <v/>
      </c>
      <c r="J335">
        <f>IF($U335="","",INDEX('Per Line'!$R$2:$R$3001,$U335)&amp;"")</f>
        <v/>
      </c>
      <c r="K335">
        <f>IF($U335="","",Settings!$C$7)</f>
        <v/>
      </c>
      <c r="L335" s="7">
        <f>IF($U335="","",SUMIFS('Per Line'!$N$2:$N$3001,'Per Line'!$A$2:$A$3001,$A335,'Per Line'!$W$2:$W$3001,0))</f>
        <v/>
      </c>
      <c r="M335" s="7">
        <f>IF($U335="","",L335*K335)</f>
        <v/>
      </c>
      <c r="N335">
        <f>IF($U335="","",Settings!$C$6)</f>
        <v/>
      </c>
      <c r="O335" s="7">
        <f>IF($U335="","",SUMIFS('Per Line'!$N$2:$N$3001,'Per Line'!$A$2:$A$3001,$A335,'Per Line'!$W$2:$W$3001,1))</f>
        <v/>
      </c>
      <c r="P335" s="7">
        <f>IF($U335="","",O335*N335)</f>
        <v/>
      </c>
      <c r="Q335" s="7">
        <f>IF($U335="","",P335+M335)</f>
        <v/>
      </c>
      <c r="R335" s="7">
        <f>IF($U335="","",S335-Q335)</f>
        <v/>
      </c>
      <c r="S335" s="7">
        <f>IF($U335="","",L335+O335)</f>
        <v/>
      </c>
      <c r="T335" s="7">
        <f>IF($U335="","",S335-Q335-G335)</f>
        <v/>
      </c>
      <c r="U335" s="13">
        <f>IF(ROWS($U$2:$U335)&lt;=MAX('Per Line'!$V$2:$V$3001),MATCH(ROWS($U$2:$U335),'Per Line'!$V$2:$V$3001,0),"")</f>
        <v/>
      </c>
    </row>
    <row r="336">
      <c r="A336">
        <f>IF($U336="","",INDEX('Per Line'!$A$2:$A$3001,$U336)&amp;"")</f>
        <v/>
      </c>
      <c r="B336" s="12" t="n"/>
      <c r="C336">
        <f>IF($U336="","",INDEX('Per Line'!$B$2:$B$3001,$U336)&amp;"")</f>
        <v/>
      </c>
      <c r="D336">
        <f>IF($U336="","",INDEX('Per Line'!$C$2:$C$3001,$U336)&amp;"")</f>
        <v/>
      </c>
      <c r="E336">
        <f>IF($U336="","",INDEX('Per Line'!$D$2:$D$3001,$U336)&amp;"")</f>
        <v/>
      </c>
      <c r="F336">
        <f>IF($U336="","",INDEX('Per Line'!$E$2:$E$3001,$U336))</f>
        <v/>
      </c>
      <c r="G336" s="7">
        <f>IF($U336="","",F336*S336/100)</f>
        <v/>
      </c>
      <c r="H336">
        <f>IF($U336="","",INDEX('Per Line'!$O$2:$O$3001,$U336)&amp;"")</f>
        <v/>
      </c>
      <c r="I336" s="11">
        <f>IF($U336="","",INDEX('Per Line'!$Q$2:$Q$3001,$U336))</f>
        <v/>
      </c>
      <c r="J336">
        <f>IF($U336="","",INDEX('Per Line'!$R$2:$R$3001,$U336)&amp;"")</f>
        <v/>
      </c>
      <c r="K336">
        <f>IF($U336="","",Settings!$C$7)</f>
        <v/>
      </c>
      <c r="L336" s="7">
        <f>IF($U336="","",SUMIFS('Per Line'!$N$2:$N$3001,'Per Line'!$A$2:$A$3001,$A336,'Per Line'!$W$2:$W$3001,0))</f>
        <v/>
      </c>
      <c r="M336" s="7">
        <f>IF($U336="","",L336*K336)</f>
        <v/>
      </c>
      <c r="N336">
        <f>IF($U336="","",Settings!$C$6)</f>
        <v/>
      </c>
      <c r="O336" s="7">
        <f>IF($U336="","",SUMIFS('Per Line'!$N$2:$N$3001,'Per Line'!$A$2:$A$3001,$A336,'Per Line'!$W$2:$W$3001,1))</f>
        <v/>
      </c>
      <c r="P336" s="7">
        <f>IF($U336="","",O336*N336)</f>
        <v/>
      </c>
      <c r="Q336" s="7">
        <f>IF($U336="","",P336+M336)</f>
        <v/>
      </c>
      <c r="R336" s="7">
        <f>IF($U336="","",S336-Q336)</f>
        <v/>
      </c>
      <c r="S336" s="7">
        <f>IF($U336="","",L336+O336)</f>
        <v/>
      </c>
      <c r="T336" s="7">
        <f>IF($U336="","",S336-Q336-G336)</f>
        <v/>
      </c>
      <c r="U336" s="13">
        <f>IF(ROWS($U$2:$U336)&lt;=MAX('Per Line'!$V$2:$V$3001),MATCH(ROWS($U$2:$U336),'Per Line'!$V$2:$V$3001,0),"")</f>
        <v/>
      </c>
    </row>
    <row r="337">
      <c r="A337">
        <f>IF($U337="","",INDEX('Per Line'!$A$2:$A$3001,$U337)&amp;"")</f>
        <v/>
      </c>
      <c r="B337" s="12" t="n"/>
      <c r="C337">
        <f>IF($U337="","",INDEX('Per Line'!$B$2:$B$3001,$U337)&amp;"")</f>
        <v/>
      </c>
      <c r="D337">
        <f>IF($U337="","",INDEX('Per Line'!$C$2:$C$3001,$U337)&amp;"")</f>
        <v/>
      </c>
      <c r="E337">
        <f>IF($U337="","",INDEX('Per Line'!$D$2:$D$3001,$U337)&amp;"")</f>
        <v/>
      </c>
      <c r="F337">
        <f>IF($U337="","",INDEX('Per Line'!$E$2:$E$3001,$U337))</f>
        <v/>
      </c>
      <c r="G337" s="7">
        <f>IF($U337="","",F337*S337/100)</f>
        <v/>
      </c>
      <c r="H337">
        <f>IF($U337="","",INDEX('Per Line'!$O$2:$O$3001,$U337)&amp;"")</f>
        <v/>
      </c>
      <c r="I337" s="11">
        <f>IF($U337="","",INDEX('Per Line'!$Q$2:$Q$3001,$U337))</f>
        <v/>
      </c>
      <c r="J337">
        <f>IF($U337="","",INDEX('Per Line'!$R$2:$R$3001,$U337)&amp;"")</f>
        <v/>
      </c>
      <c r="K337">
        <f>IF($U337="","",Settings!$C$7)</f>
        <v/>
      </c>
      <c r="L337" s="7">
        <f>IF($U337="","",SUMIFS('Per Line'!$N$2:$N$3001,'Per Line'!$A$2:$A$3001,$A337,'Per Line'!$W$2:$W$3001,0))</f>
        <v/>
      </c>
      <c r="M337" s="7">
        <f>IF($U337="","",L337*K337)</f>
        <v/>
      </c>
      <c r="N337">
        <f>IF($U337="","",Settings!$C$6)</f>
        <v/>
      </c>
      <c r="O337" s="7">
        <f>IF($U337="","",SUMIFS('Per Line'!$N$2:$N$3001,'Per Line'!$A$2:$A$3001,$A337,'Per Line'!$W$2:$W$3001,1))</f>
        <v/>
      </c>
      <c r="P337" s="7">
        <f>IF($U337="","",O337*N337)</f>
        <v/>
      </c>
      <c r="Q337" s="7">
        <f>IF($U337="","",P337+M337)</f>
        <v/>
      </c>
      <c r="R337" s="7">
        <f>IF($U337="","",S337-Q337)</f>
        <v/>
      </c>
      <c r="S337" s="7">
        <f>IF($U337="","",L337+O337)</f>
        <v/>
      </c>
      <c r="T337" s="7">
        <f>IF($U337="","",S337-Q337-G337)</f>
        <v/>
      </c>
      <c r="U337" s="13">
        <f>IF(ROWS($U$2:$U337)&lt;=MAX('Per Line'!$V$2:$V$3001),MATCH(ROWS($U$2:$U337),'Per Line'!$V$2:$V$3001,0),"")</f>
        <v/>
      </c>
    </row>
    <row r="338">
      <c r="A338">
        <f>IF($U338="","",INDEX('Per Line'!$A$2:$A$3001,$U338)&amp;"")</f>
        <v/>
      </c>
      <c r="B338" s="12" t="n"/>
      <c r="C338">
        <f>IF($U338="","",INDEX('Per Line'!$B$2:$B$3001,$U338)&amp;"")</f>
        <v/>
      </c>
      <c r="D338">
        <f>IF($U338="","",INDEX('Per Line'!$C$2:$C$3001,$U338)&amp;"")</f>
        <v/>
      </c>
      <c r="E338">
        <f>IF($U338="","",INDEX('Per Line'!$D$2:$D$3001,$U338)&amp;"")</f>
        <v/>
      </c>
      <c r="F338">
        <f>IF($U338="","",INDEX('Per Line'!$E$2:$E$3001,$U338))</f>
        <v/>
      </c>
      <c r="G338" s="7">
        <f>IF($U338="","",F338*S338/100)</f>
        <v/>
      </c>
      <c r="H338">
        <f>IF($U338="","",INDEX('Per Line'!$O$2:$O$3001,$U338)&amp;"")</f>
        <v/>
      </c>
      <c r="I338" s="11">
        <f>IF($U338="","",INDEX('Per Line'!$Q$2:$Q$3001,$U338))</f>
        <v/>
      </c>
      <c r="J338">
        <f>IF($U338="","",INDEX('Per Line'!$R$2:$R$3001,$U338)&amp;"")</f>
        <v/>
      </c>
      <c r="K338">
        <f>IF($U338="","",Settings!$C$7)</f>
        <v/>
      </c>
      <c r="L338" s="7">
        <f>IF($U338="","",SUMIFS('Per Line'!$N$2:$N$3001,'Per Line'!$A$2:$A$3001,$A338,'Per Line'!$W$2:$W$3001,0))</f>
        <v/>
      </c>
      <c r="M338" s="7">
        <f>IF($U338="","",L338*K338)</f>
        <v/>
      </c>
      <c r="N338">
        <f>IF($U338="","",Settings!$C$6)</f>
        <v/>
      </c>
      <c r="O338" s="7">
        <f>IF($U338="","",SUMIFS('Per Line'!$N$2:$N$3001,'Per Line'!$A$2:$A$3001,$A338,'Per Line'!$W$2:$W$3001,1))</f>
        <v/>
      </c>
      <c r="P338" s="7">
        <f>IF($U338="","",O338*N338)</f>
        <v/>
      </c>
      <c r="Q338" s="7">
        <f>IF($U338="","",P338+M338)</f>
        <v/>
      </c>
      <c r="R338" s="7">
        <f>IF($U338="","",S338-Q338)</f>
        <v/>
      </c>
      <c r="S338" s="7">
        <f>IF($U338="","",L338+O338)</f>
        <v/>
      </c>
      <c r="T338" s="7">
        <f>IF($U338="","",S338-Q338-G338)</f>
        <v/>
      </c>
      <c r="U338" s="13">
        <f>IF(ROWS($U$2:$U338)&lt;=MAX('Per Line'!$V$2:$V$3001),MATCH(ROWS($U$2:$U338),'Per Line'!$V$2:$V$3001,0),"")</f>
        <v/>
      </c>
    </row>
    <row r="339">
      <c r="A339">
        <f>IF($U339="","",INDEX('Per Line'!$A$2:$A$3001,$U339)&amp;"")</f>
        <v/>
      </c>
      <c r="B339" s="12" t="n"/>
      <c r="C339">
        <f>IF($U339="","",INDEX('Per Line'!$B$2:$B$3001,$U339)&amp;"")</f>
        <v/>
      </c>
      <c r="D339">
        <f>IF($U339="","",INDEX('Per Line'!$C$2:$C$3001,$U339)&amp;"")</f>
        <v/>
      </c>
      <c r="E339">
        <f>IF($U339="","",INDEX('Per Line'!$D$2:$D$3001,$U339)&amp;"")</f>
        <v/>
      </c>
      <c r="F339">
        <f>IF($U339="","",INDEX('Per Line'!$E$2:$E$3001,$U339))</f>
        <v/>
      </c>
      <c r="G339" s="7">
        <f>IF($U339="","",F339*S339/100)</f>
        <v/>
      </c>
      <c r="H339">
        <f>IF($U339="","",INDEX('Per Line'!$O$2:$O$3001,$U339)&amp;"")</f>
        <v/>
      </c>
      <c r="I339" s="11">
        <f>IF($U339="","",INDEX('Per Line'!$Q$2:$Q$3001,$U339))</f>
        <v/>
      </c>
      <c r="J339">
        <f>IF($U339="","",INDEX('Per Line'!$R$2:$R$3001,$U339)&amp;"")</f>
        <v/>
      </c>
      <c r="K339">
        <f>IF($U339="","",Settings!$C$7)</f>
        <v/>
      </c>
      <c r="L339" s="7">
        <f>IF($U339="","",SUMIFS('Per Line'!$N$2:$N$3001,'Per Line'!$A$2:$A$3001,$A339,'Per Line'!$W$2:$W$3001,0))</f>
        <v/>
      </c>
      <c r="M339" s="7">
        <f>IF($U339="","",L339*K339)</f>
        <v/>
      </c>
      <c r="N339">
        <f>IF($U339="","",Settings!$C$6)</f>
        <v/>
      </c>
      <c r="O339" s="7">
        <f>IF($U339="","",SUMIFS('Per Line'!$N$2:$N$3001,'Per Line'!$A$2:$A$3001,$A339,'Per Line'!$W$2:$W$3001,1))</f>
        <v/>
      </c>
      <c r="P339" s="7">
        <f>IF($U339="","",O339*N339)</f>
        <v/>
      </c>
      <c r="Q339" s="7">
        <f>IF($U339="","",P339+M339)</f>
        <v/>
      </c>
      <c r="R339" s="7">
        <f>IF($U339="","",S339-Q339)</f>
        <v/>
      </c>
      <c r="S339" s="7">
        <f>IF($U339="","",L339+O339)</f>
        <v/>
      </c>
      <c r="T339" s="7">
        <f>IF($U339="","",S339-Q339-G339)</f>
        <v/>
      </c>
      <c r="U339" s="13">
        <f>IF(ROWS($U$2:$U339)&lt;=MAX('Per Line'!$V$2:$V$3001),MATCH(ROWS($U$2:$U339),'Per Line'!$V$2:$V$3001,0),"")</f>
        <v/>
      </c>
    </row>
    <row r="340">
      <c r="A340">
        <f>IF($U340="","",INDEX('Per Line'!$A$2:$A$3001,$U340)&amp;"")</f>
        <v/>
      </c>
      <c r="B340" s="12" t="n"/>
      <c r="C340">
        <f>IF($U340="","",INDEX('Per Line'!$B$2:$B$3001,$U340)&amp;"")</f>
        <v/>
      </c>
      <c r="D340">
        <f>IF($U340="","",INDEX('Per Line'!$C$2:$C$3001,$U340)&amp;"")</f>
        <v/>
      </c>
      <c r="E340">
        <f>IF($U340="","",INDEX('Per Line'!$D$2:$D$3001,$U340)&amp;"")</f>
        <v/>
      </c>
      <c r="F340">
        <f>IF($U340="","",INDEX('Per Line'!$E$2:$E$3001,$U340))</f>
        <v/>
      </c>
      <c r="G340" s="7">
        <f>IF($U340="","",F340*S340/100)</f>
        <v/>
      </c>
      <c r="H340">
        <f>IF($U340="","",INDEX('Per Line'!$O$2:$O$3001,$U340)&amp;"")</f>
        <v/>
      </c>
      <c r="I340" s="11">
        <f>IF($U340="","",INDEX('Per Line'!$Q$2:$Q$3001,$U340))</f>
        <v/>
      </c>
      <c r="J340">
        <f>IF($U340="","",INDEX('Per Line'!$R$2:$R$3001,$U340)&amp;"")</f>
        <v/>
      </c>
      <c r="K340">
        <f>IF($U340="","",Settings!$C$7)</f>
        <v/>
      </c>
      <c r="L340" s="7">
        <f>IF($U340="","",SUMIFS('Per Line'!$N$2:$N$3001,'Per Line'!$A$2:$A$3001,$A340,'Per Line'!$W$2:$W$3001,0))</f>
        <v/>
      </c>
      <c r="M340" s="7">
        <f>IF($U340="","",L340*K340)</f>
        <v/>
      </c>
      <c r="N340">
        <f>IF($U340="","",Settings!$C$6)</f>
        <v/>
      </c>
      <c r="O340" s="7">
        <f>IF($U340="","",SUMIFS('Per Line'!$N$2:$N$3001,'Per Line'!$A$2:$A$3001,$A340,'Per Line'!$W$2:$W$3001,1))</f>
        <v/>
      </c>
      <c r="P340" s="7">
        <f>IF($U340="","",O340*N340)</f>
        <v/>
      </c>
      <c r="Q340" s="7">
        <f>IF($U340="","",P340+M340)</f>
        <v/>
      </c>
      <c r="R340" s="7">
        <f>IF($U340="","",S340-Q340)</f>
        <v/>
      </c>
      <c r="S340" s="7">
        <f>IF($U340="","",L340+O340)</f>
        <v/>
      </c>
      <c r="T340" s="7">
        <f>IF($U340="","",S340-Q340-G340)</f>
        <v/>
      </c>
      <c r="U340" s="13">
        <f>IF(ROWS($U$2:$U340)&lt;=MAX('Per Line'!$V$2:$V$3001),MATCH(ROWS($U$2:$U340),'Per Line'!$V$2:$V$3001,0),"")</f>
        <v/>
      </c>
    </row>
    <row r="341">
      <c r="A341">
        <f>IF($U341="","",INDEX('Per Line'!$A$2:$A$3001,$U341)&amp;"")</f>
        <v/>
      </c>
      <c r="B341" s="12" t="n"/>
      <c r="C341">
        <f>IF($U341="","",INDEX('Per Line'!$B$2:$B$3001,$U341)&amp;"")</f>
        <v/>
      </c>
      <c r="D341">
        <f>IF($U341="","",INDEX('Per Line'!$C$2:$C$3001,$U341)&amp;"")</f>
        <v/>
      </c>
      <c r="E341">
        <f>IF($U341="","",INDEX('Per Line'!$D$2:$D$3001,$U341)&amp;"")</f>
        <v/>
      </c>
      <c r="F341">
        <f>IF($U341="","",INDEX('Per Line'!$E$2:$E$3001,$U341))</f>
        <v/>
      </c>
      <c r="G341" s="7">
        <f>IF($U341="","",F341*S341/100)</f>
        <v/>
      </c>
      <c r="H341">
        <f>IF($U341="","",INDEX('Per Line'!$O$2:$O$3001,$U341)&amp;"")</f>
        <v/>
      </c>
      <c r="I341" s="11">
        <f>IF($U341="","",INDEX('Per Line'!$Q$2:$Q$3001,$U341))</f>
        <v/>
      </c>
      <c r="J341">
        <f>IF($U341="","",INDEX('Per Line'!$R$2:$R$3001,$U341)&amp;"")</f>
        <v/>
      </c>
      <c r="K341">
        <f>IF($U341="","",Settings!$C$7)</f>
        <v/>
      </c>
      <c r="L341" s="7">
        <f>IF($U341="","",SUMIFS('Per Line'!$N$2:$N$3001,'Per Line'!$A$2:$A$3001,$A341,'Per Line'!$W$2:$W$3001,0))</f>
        <v/>
      </c>
      <c r="M341" s="7">
        <f>IF($U341="","",L341*K341)</f>
        <v/>
      </c>
      <c r="N341">
        <f>IF($U341="","",Settings!$C$6)</f>
        <v/>
      </c>
      <c r="O341" s="7">
        <f>IF($U341="","",SUMIFS('Per Line'!$N$2:$N$3001,'Per Line'!$A$2:$A$3001,$A341,'Per Line'!$W$2:$W$3001,1))</f>
        <v/>
      </c>
      <c r="P341" s="7">
        <f>IF($U341="","",O341*N341)</f>
        <v/>
      </c>
      <c r="Q341" s="7">
        <f>IF($U341="","",P341+M341)</f>
        <v/>
      </c>
      <c r="R341" s="7">
        <f>IF($U341="","",S341-Q341)</f>
        <v/>
      </c>
      <c r="S341" s="7">
        <f>IF($U341="","",L341+O341)</f>
        <v/>
      </c>
      <c r="T341" s="7">
        <f>IF($U341="","",S341-Q341-G341)</f>
        <v/>
      </c>
      <c r="U341" s="13">
        <f>IF(ROWS($U$2:$U341)&lt;=MAX('Per Line'!$V$2:$V$3001),MATCH(ROWS($U$2:$U341),'Per Line'!$V$2:$V$3001,0),"")</f>
        <v/>
      </c>
    </row>
    <row r="342">
      <c r="A342">
        <f>IF($U342="","",INDEX('Per Line'!$A$2:$A$3001,$U342)&amp;"")</f>
        <v/>
      </c>
      <c r="B342" s="12" t="n"/>
      <c r="C342">
        <f>IF($U342="","",INDEX('Per Line'!$B$2:$B$3001,$U342)&amp;"")</f>
        <v/>
      </c>
      <c r="D342">
        <f>IF($U342="","",INDEX('Per Line'!$C$2:$C$3001,$U342)&amp;"")</f>
        <v/>
      </c>
      <c r="E342">
        <f>IF($U342="","",INDEX('Per Line'!$D$2:$D$3001,$U342)&amp;"")</f>
        <v/>
      </c>
      <c r="F342">
        <f>IF($U342="","",INDEX('Per Line'!$E$2:$E$3001,$U342))</f>
        <v/>
      </c>
      <c r="G342" s="7">
        <f>IF($U342="","",F342*S342/100)</f>
        <v/>
      </c>
      <c r="H342">
        <f>IF($U342="","",INDEX('Per Line'!$O$2:$O$3001,$U342)&amp;"")</f>
        <v/>
      </c>
      <c r="I342" s="11">
        <f>IF($U342="","",INDEX('Per Line'!$Q$2:$Q$3001,$U342))</f>
        <v/>
      </c>
      <c r="J342">
        <f>IF($U342="","",INDEX('Per Line'!$R$2:$R$3001,$U342)&amp;"")</f>
        <v/>
      </c>
      <c r="K342">
        <f>IF($U342="","",Settings!$C$7)</f>
        <v/>
      </c>
      <c r="L342" s="7">
        <f>IF($U342="","",SUMIFS('Per Line'!$N$2:$N$3001,'Per Line'!$A$2:$A$3001,$A342,'Per Line'!$W$2:$W$3001,0))</f>
        <v/>
      </c>
      <c r="M342" s="7">
        <f>IF($U342="","",L342*K342)</f>
        <v/>
      </c>
      <c r="N342">
        <f>IF($U342="","",Settings!$C$6)</f>
        <v/>
      </c>
      <c r="O342" s="7">
        <f>IF($U342="","",SUMIFS('Per Line'!$N$2:$N$3001,'Per Line'!$A$2:$A$3001,$A342,'Per Line'!$W$2:$W$3001,1))</f>
        <v/>
      </c>
      <c r="P342" s="7">
        <f>IF($U342="","",O342*N342)</f>
        <v/>
      </c>
      <c r="Q342" s="7">
        <f>IF($U342="","",P342+M342)</f>
        <v/>
      </c>
      <c r="R342" s="7">
        <f>IF($U342="","",S342-Q342)</f>
        <v/>
      </c>
      <c r="S342" s="7">
        <f>IF($U342="","",L342+O342)</f>
        <v/>
      </c>
      <c r="T342" s="7">
        <f>IF($U342="","",S342-Q342-G342)</f>
        <v/>
      </c>
      <c r="U342" s="13">
        <f>IF(ROWS($U$2:$U342)&lt;=MAX('Per Line'!$V$2:$V$3001),MATCH(ROWS($U$2:$U342),'Per Line'!$V$2:$V$3001,0),"")</f>
        <v/>
      </c>
    </row>
    <row r="343">
      <c r="A343">
        <f>IF($U343="","",INDEX('Per Line'!$A$2:$A$3001,$U343)&amp;"")</f>
        <v/>
      </c>
      <c r="B343" s="12" t="n"/>
      <c r="C343">
        <f>IF($U343="","",INDEX('Per Line'!$B$2:$B$3001,$U343)&amp;"")</f>
        <v/>
      </c>
      <c r="D343">
        <f>IF($U343="","",INDEX('Per Line'!$C$2:$C$3001,$U343)&amp;"")</f>
        <v/>
      </c>
      <c r="E343">
        <f>IF($U343="","",INDEX('Per Line'!$D$2:$D$3001,$U343)&amp;"")</f>
        <v/>
      </c>
      <c r="F343">
        <f>IF($U343="","",INDEX('Per Line'!$E$2:$E$3001,$U343))</f>
        <v/>
      </c>
      <c r="G343" s="7">
        <f>IF($U343="","",F343*S343/100)</f>
        <v/>
      </c>
      <c r="H343">
        <f>IF($U343="","",INDEX('Per Line'!$O$2:$O$3001,$U343)&amp;"")</f>
        <v/>
      </c>
      <c r="I343" s="11">
        <f>IF($U343="","",INDEX('Per Line'!$Q$2:$Q$3001,$U343))</f>
        <v/>
      </c>
      <c r="J343">
        <f>IF($U343="","",INDEX('Per Line'!$R$2:$R$3001,$U343)&amp;"")</f>
        <v/>
      </c>
      <c r="K343">
        <f>IF($U343="","",Settings!$C$7)</f>
        <v/>
      </c>
      <c r="L343" s="7">
        <f>IF($U343="","",SUMIFS('Per Line'!$N$2:$N$3001,'Per Line'!$A$2:$A$3001,$A343,'Per Line'!$W$2:$W$3001,0))</f>
        <v/>
      </c>
      <c r="M343" s="7">
        <f>IF($U343="","",L343*K343)</f>
        <v/>
      </c>
      <c r="N343">
        <f>IF($U343="","",Settings!$C$6)</f>
        <v/>
      </c>
      <c r="O343" s="7">
        <f>IF($U343="","",SUMIFS('Per Line'!$N$2:$N$3001,'Per Line'!$A$2:$A$3001,$A343,'Per Line'!$W$2:$W$3001,1))</f>
        <v/>
      </c>
      <c r="P343" s="7">
        <f>IF($U343="","",O343*N343)</f>
        <v/>
      </c>
      <c r="Q343" s="7">
        <f>IF($U343="","",P343+M343)</f>
        <v/>
      </c>
      <c r="R343" s="7">
        <f>IF($U343="","",S343-Q343)</f>
        <v/>
      </c>
      <c r="S343" s="7">
        <f>IF($U343="","",L343+O343)</f>
        <v/>
      </c>
      <c r="T343" s="7">
        <f>IF($U343="","",S343-Q343-G343)</f>
        <v/>
      </c>
      <c r="U343" s="13">
        <f>IF(ROWS($U$2:$U343)&lt;=MAX('Per Line'!$V$2:$V$3001),MATCH(ROWS($U$2:$U343),'Per Line'!$V$2:$V$3001,0),"")</f>
        <v/>
      </c>
    </row>
    <row r="344">
      <c r="A344">
        <f>IF($U344="","",INDEX('Per Line'!$A$2:$A$3001,$U344)&amp;"")</f>
        <v/>
      </c>
      <c r="B344" s="12" t="n"/>
      <c r="C344">
        <f>IF($U344="","",INDEX('Per Line'!$B$2:$B$3001,$U344)&amp;"")</f>
        <v/>
      </c>
      <c r="D344">
        <f>IF($U344="","",INDEX('Per Line'!$C$2:$C$3001,$U344)&amp;"")</f>
        <v/>
      </c>
      <c r="E344">
        <f>IF($U344="","",INDEX('Per Line'!$D$2:$D$3001,$U344)&amp;"")</f>
        <v/>
      </c>
      <c r="F344">
        <f>IF($U344="","",INDEX('Per Line'!$E$2:$E$3001,$U344))</f>
        <v/>
      </c>
      <c r="G344" s="7">
        <f>IF($U344="","",F344*S344/100)</f>
        <v/>
      </c>
      <c r="H344">
        <f>IF($U344="","",INDEX('Per Line'!$O$2:$O$3001,$U344)&amp;"")</f>
        <v/>
      </c>
      <c r="I344" s="11">
        <f>IF($U344="","",INDEX('Per Line'!$Q$2:$Q$3001,$U344))</f>
        <v/>
      </c>
      <c r="J344">
        <f>IF($U344="","",INDEX('Per Line'!$R$2:$R$3001,$U344)&amp;"")</f>
        <v/>
      </c>
      <c r="K344">
        <f>IF($U344="","",Settings!$C$7)</f>
        <v/>
      </c>
      <c r="L344" s="7">
        <f>IF($U344="","",SUMIFS('Per Line'!$N$2:$N$3001,'Per Line'!$A$2:$A$3001,$A344,'Per Line'!$W$2:$W$3001,0))</f>
        <v/>
      </c>
      <c r="M344" s="7">
        <f>IF($U344="","",L344*K344)</f>
        <v/>
      </c>
      <c r="N344">
        <f>IF($U344="","",Settings!$C$6)</f>
        <v/>
      </c>
      <c r="O344" s="7">
        <f>IF($U344="","",SUMIFS('Per Line'!$N$2:$N$3001,'Per Line'!$A$2:$A$3001,$A344,'Per Line'!$W$2:$W$3001,1))</f>
        <v/>
      </c>
      <c r="P344" s="7">
        <f>IF($U344="","",O344*N344)</f>
        <v/>
      </c>
      <c r="Q344" s="7">
        <f>IF($U344="","",P344+M344)</f>
        <v/>
      </c>
      <c r="R344" s="7">
        <f>IF($U344="","",S344-Q344)</f>
        <v/>
      </c>
      <c r="S344" s="7">
        <f>IF($U344="","",L344+O344)</f>
        <v/>
      </c>
      <c r="T344" s="7">
        <f>IF($U344="","",S344-Q344-G344)</f>
        <v/>
      </c>
      <c r="U344" s="13">
        <f>IF(ROWS($U$2:$U344)&lt;=MAX('Per Line'!$V$2:$V$3001),MATCH(ROWS($U$2:$U344),'Per Line'!$V$2:$V$3001,0),"")</f>
        <v/>
      </c>
    </row>
    <row r="345">
      <c r="A345">
        <f>IF($U345="","",INDEX('Per Line'!$A$2:$A$3001,$U345)&amp;"")</f>
        <v/>
      </c>
      <c r="B345" s="12" t="n"/>
      <c r="C345">
        <f>IF($U345="","",INDEX('Per Line'!$B$2:$B$3001,$U345)&amp;"")</f>
        <v/>
      </c>
      <c r="D345">
        <f>IF($U345="","",INDEX('Per Line'!$C$2:$C$3001,$U345)&amp;"")</f>
        <v/>
      </c>
      <c r="E345">
        <f>IF($U345="","",INDEX('Per Line'!$D$2:$D$3001,$U345)&amp;"")</f>
        <v/>
      </c>
      <c r="F345">
        <f>IF($U345="","",INDEX('Per Line'!$E$2:$E$3001,$U345))</f>
        <v/>
      </c>
      <c r="G345" s="7">
        <f>IF($U345="","",F345*S345/100)</f>
        <v/>
      </c>
      <c r="H345">
        <f>IF($U345="","",INDEX('Per Line'!$O$2:$O$3001,$U345)&amp;"")</f>
        <v/>
      </c>
      <c r="I345" s="11">
        <f>IF($U345="","",INDEX('Per Line'!$Q$2:$Q$3001,$U345))</f>
        <v/>
      </c>
      <c r="J345">
        <f>IF($U345="","",INDEX('Per Line'!$R$2:$R$3001,$U345)&amp;"")</f>
        <v/>
      </c>
      <c r="K345">
        <f>IF($U345="","",Settings!$C$7)</f>
        <v/>
      </c>
      <c r="L345" s="7">
        <f>IF($U345="","",SUMIFS('Per Line'!$N$2:$N$3001,'Per Line'!$A$2:$A$3001,$A345,'Per Line'!$W$2:$W$3001,0))</f>
        <v/>
      </c>
      <c r="M345" s="7">
        <f>IF($U345="","",L345*K345)</f>
        <v/>
      </c>
      <c r="N345">
        <f>IF($U345="","",Settings!$C$6)</f>
        <v/>
      </c>
      <c r="O345" s="7">
        <f>IF($U345="","",SUMIFS('Per Line'!$N$2:$N$3001,'Per Line'!$A$2:$A$3001,$A345,'Per Line'!$W$2:$W$3001,1))</f>
        <v/>
      </c>
      <c r="P345" s="7">
        <f>IF($U345="","",O345*N345)</f>
        <v/>
      </c>
      <c r="Q345" s="7">
        <f>IF($U345="","",P345+M345)</f>
        <v/>
      </c>
      <c r="R345" s="7">
        <f>IF($U345="","",S345-Q345)</f>
        <v/>
      </c>
      <c r="S345" s="7">
        <f>IF($U345="","",L345+O345)</f>
        <v/>
      </c>
      <c r="T345" s="7">
        <f>IF($U345="","",S345-Q345-G345)</f>
        <v/>
      </c>
      <c r="U345" s="13">
        <f>IF(ROWS($U$2:$U345)&lt;=MAX('Per Line'!$V$2:$V$3001),MATCH(ROWS($U$2:$U345),'Per Line'!$V$2:$V$3001,0),"")</f>
        <v/>
      </c>
    </row>
    <row r="346">
      <c r="A346">
        <f>IF($U346="","",INDEX('Per Line'!$A$2:$A$3001,$U346)&amp;"")</f>
        <v/>
      </c>
      <c r="B346" s="12" t="n"/>
      <c r="C346">
        <f>IF($U346="","",INDEX('Per Line'!$B$2:$B$3001,$U346)&amp;"")</f>
        <v/>
      </c>
      <c r="D346">
        <f>IF($U346="","",INDEX('Per Line'!$C$2:$C$3001,$U346)&amp;"")</f>
        <v/>
      </c>
      <c r="E346">
        <f>IF($U346="","",INDEX('Per Line'!$D$2:$D$3001,$U346)&amp;"")</f>
        <v/>
      </c>
      <c r="F346">
        <f>IF($U346="","",INDEX('Per Line'!$E$2:$E$3001,$U346))</f>
        <v/>
      </c>
      <c r="G346" s="7">
        <f>IF($U346="","",F346*S346/100)</f>
        <v/>
      </c>
      <c r="H346">
        <f>IF($U346="","",INDEX('Per Line'!$O$2:$O$3001,$U346)&amp;"")</f>
        <v/>
      </c>
      <c r="I346" s="11">
        <f>IF($U346="","",INDEX('Per Line'!$Q$2:$Q$3001,$U346))</f>
        <v/>
      </c>
      <c r="J346">
        <f>IF($U346="","",INDEX('Per Line'!$R$2:$R$3001,$U346)&amp;"")</f>
        <v/>
      </c>
      <c r="K346">
        <f>IF($U346="","",Settings!$C$7)</f>
        <v/>
      </c>
      <c r="L346" s="7">
        <f>IF($U346="","",SUMIFS('Per Line'!$N$2:$N$3001,'Per Line'!$A$2:$A$3001,$A346,'Per Line'!$W$2:$W$3001,0))</f>
        <v/>
      </c>
      <c r="M346" s="7">
        <f>IF($U346="","",L346*K346)</f>
        <v/>
      </c>
      <c r="N346">
        <f>IF($U346="","",Settings!$C$6)</f>
        <v/>
      </c>
      <c r="O346" s="7">
        <f>IF($U346="","",SUMIFS('Per Line'!$N$2:$N$3001,'Per Line'!$A$2:$A$3001,$A346,'Per Line'!$W$2:$W$3001,1))</f>
        <v/>
      </c>
      <c r="P346" s="7">
        <f>IF($U346="","",O346*N346)</f>
        <v/>
      </c>
      <c r="Q346" s="7">
        <f>IF($U346="","",P346+M346)</f>
        <v/>
      </c>
      <c r="R346" s="7">
        <f>IF($U346="","",S346-Q346)</f>
        <v/>
      </c>
      <c r="S346" s="7">
        <f>IF($U346="","",L346+O346)</f>
        <v/>
      </c>
      <c r="T346" s="7">
        <f>IF($U346="","",S346-Q346-G346)</f>
        <v/>
      </c>
      <c r="U346" s="13">
        <f>IF(ROWS($U$2:$U346)&lt;=MAX('Per Line'!$V$2:$V$3001),MATCH(ROWS($U$2:$U346),'Per Line'!$V$2:$V$3001,0),"")</f>
        <v/>
      </c>
    </row>
    <row r="347">
      <c r="A347">
        <f>IF($U347="","",INDEX('Per Line'!$A$2:$A$3001,$U347)&amp;"")</f>
        <v/>
      </c>
      <c r="B347" s="12" t="n"/>
      <c r="C347">
        <f>IF($U347="","",INDEX('Per Line'!$B$2:$B$3001,$U347)&amp;"")</f>
        <v/>
      </c>
      <c r="D347">
        <f>IF($U347="","",INDEX('Per Line'!$C$2:$C$3001,$U347)&amp;"")</f>
        <v/>
      </c>
      <c r="E347">
        <f>IF($U347="","",INDEX('Per Line'!$D$2:$D$3001,$U347)&amp;"")</f>
        <v/>
      </c>
      <c r="F347">
        <f>IF($U347="","",INDEX('Per Line'!$E$2:$E$3001,$U347))</f>
        <v/>
      </c>
      <c r="G347" s="7">
        <f>IF($U347="","",F347*S347/100)</f>
        <v/>
      </c>
      <c r="H347">
        <f>IF($U347="","",INDEX('Per Line'!$O$2:$O$3001,$U347)&amp;"")</f>
        <v/>
      </c>
      <c r="I347" s="11">
        <f>IF($U347="","",INDEX('Per Line'!$Q$2:$Q$3001,$U347))</f>
        <v/>
      </c>
      <c r="J347">
        <f>IF($U347="","",INDEX('Per Line'!$R$2:$R$3001,$U347)&amp;"")</f>
        <v/>
      </c>
      <c r="K347">
        <f>IF($U347="","",Settings!$C$7)</f>
        <v/>
      </c>
      <c r="L347" s="7">
        <f>IF($U347="","",SUMIFS('Per Line'!$N$2:$N$3001,'Per Line'!$A$2:$A$3001,$A347,'Per Line'!$W$2:$W$3001,0))</f>
        <v/>
      </c>
      <c r="M347" s="7">
        <f>IF($U347="","",L347*K347)</f>
        <v/>
      </c>
      <c r="N347">
        <f>IF($U347="","",Settings!$C$6)</f>
        <v/>
      </c>
      <c r="O347" s="7">
        <f>IF($U347="","",SUMIFS('Per Line'!$N$2:$N$3001,'Per Line'!$A$2:$A$3001,$A347,'Per Line'!$W$2:$W$3001,1))</f>
        <v/>
      </c>
      <c r="P347" s="7">
        <f>IF($U347="","",O347*N347)</f>
        <v/>
      </c>
      <c r="Q347" s="7">
        <f>IF($U347="","",P347+M347)</f>
        <v/>
      </c>
      <c r="R347" s="7">
        <f>IF($U347="","",S347-Q347)</f>
        <v/>
      </c>
      <c r="S347" s="7">
        <f>IF($U347="","",L347+O347)</f>
        <v/>
      </c>
      <c r="T347" s="7">
        <f>IF($U347="","",S347-Q347-G347)</f>
        <v/>
      </c>
      <c r="U347" s="13">
        <f>IF(ROWS($U$2:$U347)&lt;=MAX('Per Line'!$V$2:$V$3001),MATCH(ROWS($U$2:$U347),'Per Line'!$V$2:$V$3001,0),"")</f>
        <v/>
      </c>
    </row>
    <row r="348">
      <c r="A348">
        <f>IF($U348="","",INDEX('Per Line'!$A$2:$A$3001,$U348)&amp;"")</f>
        <v/>
      </c>
      <c r="B348" s="12" t="n"/>
      <c r="C348">
        <f>IF($U348="","",INDEX('Per Line'!$B$2:$B$3001,$U348)&amp;"")</f>
        <v/>
      </c>
      <c r="D348">
        <f>IF($U348="","",INDEX('Per Line'!$C$2:$C$3001,$U348)&amp;"")</f>
        <v/>
      </c>
      <c r="E348">
        <f>IF($U348="","",INDEX('Per Line'!$D$2:$D$3001,$U348)&amp;"")</f>
        <v/>
      </c>
      <c r="F348">
        <f>IF($U348="","",INDEX('Per Line'!$E$2:$E$3001,$U348))</f>
        <v/>
      </c>
      <c r="G348" s="7">
        <f>IF($U348="","",F348*S348/100)</f>
        <v/>
      </c>
      <c r="H348">
        <f>IF($U348="","",INDEX('Per Line'!$O$2:$O$3001,$U348)&amp;"")</f>
        <v/>
      </c>
      <c r="I348" s="11">
        <f>IF($U348="","",INDEX('Per Line'!$Q$2:$Q$3001,$U348))</f>
        <v/>
      </c>
      <c r="J348">
        <f>IF($U348="","",INDEX('Per Line'!$R$2:$R$3001,$U348)&amp;"")</f>
        <v/>
      </c>
      <c r="K348">
        <f>IF($U348="","",Settings!$C$7)</f>
        <v/>
      </c>
      <c r="L348" s="7">
        <f>IF($U348="","",SUMIFS('Per Line'!$N$2:$N$3001,'Per Line'!$A$2:$A$3001,$A348,'Per Line'!$W$2:$W$3001,0))</f>
        <v/>
      </c>
      <c r="M348" s="7">
        <f>IF($U348="","",L348*K348)</f>
        <v/>
      </c>
      <c r="N348">
        <f>IF($U348="","",Settings!$C$6)</f>
        <v/>
      </c>
      <c r="O348" s="7">
        <f>IF($U348="","",SUMIFS('Per Line'!$N$2:$N$3001,'Per Line'!$A$2:$A$3001,$A348,'Per Line'!$W$2:$W$3001,1))</f>
        <v/>
      </c>
      <c r="P348" s="7">
        <f>IF($U348="","",O348*N348)</f>
        <v/>
      </c>
      <c r="Q348" s="7">
        <f>IF($U348="","",P348+M348)</f>
        <v/>
      </c>
      <c r="R348" s="7">
        <f>IF($U348="","",S348-Q348)</f>
        <v/>
      </c>
      <c r="S348" s="7">
        <f>IF($U348="","",L348+O348)</f>
        <v/>
      </c>
      <c r="T348" s="7">
        <f>IF($U348="","",S348-Q348-G348)</f>
        <v/>
      </c>
      <c r="U348" s="13">
        <f>IF(ROWS($U$2:$U348)&lt;=MAX('Per Line'!$V$2:$V$3001),MATCH(ROWS($U$2:$U348),'Per Line'!$V$2:$V$3001,0),"")</f>
        <v/>
      </c>
    </row>
    <row r="349">
      <c r="A349">
        <f>IF($U349="","",INDEX('Per Line'!$A$2:$A$3001,$U349)&amp;"")</f>
        <v/>
      </c>
      <c r="B349" s="12" t="n"/>
      <c r="C349">
        <f>IF($U349="","",INDEX('Per Line'!$B$2:$B$3001,$U349)&amp;"")</f>
        <v/>
      </c>
      <c r="D349">
        <f>IF($U349="","",INDEX('Per Line'!$C$2:$C$3001,$U349)&amp;"")</f>
        <v/>
      </c>
      <c r="E349">
        <f>IF($U349="","",INDEX('Per Line'!$D$2:$D$3001,$U349)&amp;"")</f>
        <v/>
      </c>
      <c r="F349">
        <f>IF($U349="","",INDEX('Per Line'!$E$2:$E$3001,$U349))</f>
        <v/>
      </c>
      <c r="G349" s="7">
        <f>IF($U349="","",F349*S349/100)</f>
        <v/>
      </c>
      <c r="H349">
        <f>IF($U349="","",INDEX('Per Line'!$O$2:$O$3001,$U349)&amp;"")</f>
        <v/>
      </c>
      <c r="I349" s="11">
        <f>IF($U349="","",INDEX('Per Line'!$Q$2:$Q$3001,$U349))</f>
        <v/>
      </c>
      <c r="J349">
        <f>IF($U349="","",INDEX('Per Line'!$R$2:$R$3001,$U349)&amp;"")</f>
        <v/>
      </c>
      <c r="K349">
        <f>IF($U349="","",Settings!$C$7)</f>
        <v/>
      </c>
      <c r="L349" s="7">
        <f>IF($U349="","",SUMIFS('Per Line'!$N$2:$N$3001,'Per Line'!$A$2:$A$3001,$A349,'Per Line'!$W$2:$W$3001,0))</f>
        <v/>
      </c>
      <c r="M349" s="7">
        <f>IF($U349="","",L349*K349)</f>
        <v/>
      </c>
      <c r="N349">
        <f>IF($U349="","",Settings!$C$6)</f>
        <v/>
      </c>
      <c r="O349" s="7">
        <f>IF($U349="","",SUMIFS('Per Line'!$N$2:$N$3001,'Per Line'!$A$2:$A$3001,$A349,'Per Line'!$W$2:$W$3001,1))</f>
        <v/>
      </c>
      <c r="P349" s="7">
        <f>IF($U349="","",O349*N349)</f>
        <v/>
      </c>
      <c r="Q349" s="7">
        <f>IF($U349="","",P349+M349)</f>
        <v/>
      </c>
      <c r="R349" s="7">
        <f>IF($U349="","",S349-Q349)</f>
        <v/>
      </c>
      <c r="S349" s="7">
        <f>IF($U349="","",L349+O349)</f>
        <v/>
      </c>
      <c r="T349" s="7">
        <f>IF($U349="","",S349-Q349-G349)</f>
        <v/>
      </c>
      <c r="U349" s="13">
        <f>IF(ROWS($U$2:$U349)&lt;=MAX('Per Line'!$V$2:$V$3001),MATCH(ROWS($U$2:$U349),'Per Line'!$V$2:$V$3001,0),"")</f>
        <v/>
      </c>
    </row>
    <row r="350">
      <c r="A350">
        <f>IF($U350="","",INDEX('Per Line'!$A$2:$A$3001,$U350)&amp;"")</f>
        <v/>
      </c>
      <c r="B350" s="12" t="n"/>
      <c r="C350">
        <f>IF($U350="","",INDEX('Per Line'!$B$2:$B$3001,$U350)&amp;"")</f>
        <v/>
      </c>
      <c r="D350">
        <f>IF($U350="","",INDEX('Per Line'!$C$2:$C$3001,$U350)&amp;"")</f>
        <v/>
      </c>
      <c r="E350">
        <f>IF($U350="","",INDEX('Per Line'!$D$2:$D$3001,$U350)&amp;"")</f>
        <v/>
      </c>
      <c r="F350">
        <f>IF($U350="","",INDEX('Per Line'!$E$2:$E$3001,$U350))</f>
        <v/>
      </c>
      <c r="G350" s="7">
        <f>IF($U350="","",F350*S350/100)</f>
        <v/>
      </c>
      <c r="H350">
        <f>IF($U350="","",INDEX('Per Line'!$O$2:$O$3001,$U350)&amp;"")</f>
        <v/>
      </c>
      <c r="I350" s="11">
        <f>IF($U350="","",INDEX('Per Line'!$Q$2:$Q$3001,$U350))</f>
        <v/>
      </c>
      <c r="J350">
        <f>IF($U350="","",INDEX('Per Line'!$R$2:$R$3001,$U350)&amp;"")</f>
        <v/>
      </c>
      <c r="K350">
        <f>IF($U350="","",Settings!$C$7)</f>
        <v/>
      </c>
      <c r="L350" s="7">
        <f>IF($U350="","",SUMIFS('Per Line'!$N$2:$N$3001,'Per Line'!$A$2:$A$3001,$A350,'Per Line'!$W$2:$W$3001,0))</f>
        <v/>
      </c>
      <c r="M350" s="7">
        <f>IF($U350="","",L350*K350)</f>
        <v/>
      </c>
      <c r="N350">
        <f>IF($U350="","",Settings!$C$6)</f>
        <v/>
      </c>
      <c r="O350" s="7">
        <f>IF($U350="","",SUMIFS('Per Line'!$N$2:$N$3001,'Per Line'!$A$2:$A$3001,$A350,'Per Line'!$W$2:$W$3001,1))</f>
        <v/>
      </c>
      <c r="P350" s="7">
        <f>IF($U350="","",O350*N350)</f>
        <v/>
      </c>
      <c r="Q350" s="7">
        <f>IF($U350="","",P350+M350)</f>
        <v/>
      </c>
      <c r="R350" s="7">
        <f>IF($U350="","",S350-Q350)</f>
        <v/>
      </c>
      <c r="S350" s="7">
        <f>IF($U350="","",L350+O350)</f>
        <v/>
      </c>
      <c r="T350" s="7">
        <f>IF($U350="","",S350-Q350-G350)</f>
        <v/>
      </c>
      <c r="U350" s="13">
        <f>IF(ROWS($U$2:$U350)&lt;=MAX('Per Line'!$V$2:$V$3001),MATCH(ROWS($U$2:$U350),'Per Line'!$V$2:$V$3001,0),"")</f>
        <v/>
      </c>
    </row>
    <row r="351">
      <c r="A351">
        <f>IF($U351="","",INDEX('Per Line'!$A$2:$A$3001,$U351)&amp;"")</f>
        <v/>
      </c>
      <c r="B351" s="12" t="n"/>
      <c r="C351">
        <f>IF($U351="","",INDEX('Per Line'!$B$2:$B$3001,$U351)&amp;"")</f>
        <v/>
      </c>
      <c r="D351">
        <f>IF($U351="","",INDEX('Per Line'!$C$2:$C$3001,$U351)&amp;"")</f>
        <v/>
      </c>
      <c r="E351">
        <f>IF($U351="","",INDEX('Per Line'!$D$2:$D$3001,$U351)&amp;"")</f>
        <v/>
      </c>
      <c r="F351">
        <f>IF($U351="","",INDEX('Per Line'!$E$2:$E$3001,$U351))</f>
        <v/>
      </c>
      <c r="G351" s="7">
        <f>IF($U351="","",F351*S351/100)</f>
        <v/>
      </c>
      <c r="H351">
        <f>IF($U351="","",INDEX('Per Line'!$O$2:$O$3001,$U351)&amp;"")</f>
        <v/>
      </c>
      <c r="I351" s="11">
        <f>IF($U351="","",INDEX('Per Line'!$Q$2:$Q$3001,$U351))</f>
        <v/>
      </c>
      <c r="J351">
        <f>IF($U351="","",INDEX('Per Line'!$R$2:$R$3001,$U351)&amp;"")</f>
        <v/>
      </c>
      <c r="K351">
        <f>IF($U351="","",Settings!$C$7)</f>
        <v/>
      </c>
      <c r="L351" s="7">
        <f>IF($U351="","",SUMIFS('Per Line'!$N$2:$N$3001,'Per Line'!$A$2:$A$3001,$A351,'Per Line'!$W$2:$W$3001,0))</f>
        <v/>
      </c>
      <c r="M351" s="7">
        <f>IF($U351="","",L351*K351)</f>
        <v/>
      </c>
      <c r="N351">
        <f>IF($U351="","",Settings!$C$6)</f>
        <v/>
      </c>
      <c r="O351" s="7">
        <f>IF($U351="","",SUMIFS('Per Line'!$N$2:$N$3001,'Per Line'!$A$2:$A$3001,$A351,'Per Line'!$W$2:$W$3001,1))</f>
        <v/>
      </c>
      <c r="P351" s="7">
        <f>IF($U351="","",O351*N351)</f>
        <v/>
      </c>
      <c r="Q351" s="7">
        <f>IF($U351="","",P351+M351)</f>
        <v/>
      </c>
      <c r="R351" s="7">
        <f>IF($U351="","",S351-Q351)</f>
        <v/>
      </c>
      <c r="S351" s="7">
        <f>IF($U351="","",L351+O351)</f>
        <v/>
      </c>
      <c r="T351" s="7">
        <f>IF($U351="","",S351-Q351-G351)</f>
        <v/>
      </c>
      <c r="U351" s="13">
        <f>IF(ROWS($U$2:$U351)&lt;=MAX('Per Line'!$V$2:$V$3001),MATCH(ROWS($U$2:$U351),'Per Line'!$V$2:$V$3001,0),"")</f>
        <v/>
      </c>
    </row>
    <row r="352">
      <c r="A352">
        <f>IF($U352="","",INDEX('Per Line'!$A$2:$A$3001,$U352)&amp;"")</f>
        <v/>
      </c>
      <c r="B352" s="12" t="n"/>
      <c r="C352">
        <f>IF($U352="","",INDEX('Per Line'!$B$2:$B$3001,$U352)&amp;"")</f>
        <v/>
      </c>
      <c r="D352">
        <f>IF($U352="","",INDEX('Per Line'!$C$2:$C$3001,$U352)&amp;"")</f>
        <v/>
      </c>
      <c r="E352">
        <f>IF($U352="","",INDEX('Per Line'!$D$2:$D$3001,$U352)&amp;"")</f>
        <v/>
      </c>
      <c r="F352">
        <f>IF($U352="","",INDEX('Per Line'!$E$2:$E$3001,$U352))</f>
        <v/>
      </c>
      <c r="G352" s="7">
        <f>IF($U352="","",F352*S352/100)</f>
        <v/>
      </c>
      <c r="H352">
        <f>IF($U352="","",INDEX('Per Line'!$O$2:$O$3001,$U352)&amp;"")</f>
        <v/>
      </c>
      <c r="I352" s="11">
        <f>IF($U352="","",INDEX('Per Line'!$Q$2:$Q$3001,$U352))</f>
        <v/>
      </c>
      <c r="J352">
        <f>IF($U352="","",INDEX('Per Line'!$R$2:$R$3001,$U352)&amp;"")</f>
        <v/>
      </c>
      <c r="K352">
        <f>IF($U352="","",Settings!$C$7)</f>
        <v/>
      </c>
      <c r="L352" s="7">
        <f>IF($U352="","",SUMIFS('Per Line'!$N$2:$N$3001,'Per Line'!$A$2:$A$3001,$A352,'Per Line'!$W$2:$W$3001,0))</f>
        <v/>
      </c>
      <c r="M352" s="7">
        <f>IF($U352="","",L352*K352)</f>
        <v/>
      </c>
      <c r="N352">
        <f>IF($U352="","",Settings!$C$6)</f>
        <v/>
      </c>
      <c r="O352" s="7">
        <f>IF($U352="","",SUMIFS('Per Line'!$N$2:$N$3001,'Per Line'!$A$2:$A$3001,$A352,'Per Line'!$W$2:$W$3001,1))</f>
        <v/>
      </c>
      <c r="P352" s="7">
        <f>IF($U352="","",O352*N352)</f>
        <v/>
      </c>
      <c r="Q352" s="7">
        <f>IF($U352="","",P352+M352)</f>
        <v/>
      </c>
      <c r="R352" s="7">
        <f>IF($U352="","",S352-Q352)</f>
        <v/>
      </c>
      <c r="S352" s="7">
        <f>IF($U352="","",L352+O352)</f>
        <v/>
      </c>
      <c r="T352" s="7">
        <f>IF($U352="","",S352-Q352-G352)</f>
        <v/>
      </c>
      <c r="U352" s="13">
        <f>IF(ROWS($U$2:$U352)&lt;=MAX('Per Line'!$V$2:$V$3001),MATCH(ROWS($U$2:$U352),'Per Line'!$V$2:$V$3001,0),"")</f>
        <v/>
      </c>
    </row>
    <row r="353">
      <c r="A353">
        <f>IF($U353="","",INDEX('Per Line'!$A$2:$A$3001,$U353)&amp;"")</f>
        <v/>
      </c>
      <c r="B353" s="12" t="n"/>
      <c r="C353">
        <f>IF($U353="","",INDEX('Per Line'!$B$2:$B$3001,$U353)&amp;"")</f>
        <v/>
      </c>
      <c r="D353">
        <f>IF($U353="","",INDEX('Per Line'!$C$2:$C$3001,$U353)&amp;"")</f>
        <v/>
      </c>
      <c r="E353">
        <f>IF($U353="","",INDEX('Per Line'!$D$2:$D$3001,$U353)&amp;"")</f>
        <v/>
      </c>
      <c r="F353">
        <f>IF($U353="","",INDEX('Per Line'!$E$2:$E$3001,$U353))</f>
        <v/>
      </c>
      <c r="G353" s="7">
        <f>IF($U353="","",F353*S353/100)</f>
        <v/>
      </c>
      <c r="H353">
        <f>IF($U353="","",INDEX('Per Line'!$O$2:$O$3001,$U353)&amp;"")</f>
        <v/>
      </c>
      <c r="I353" s="11">
        <f>IF($U353="","",INDEX('Per Line'!$Q$2:$Q$3001,$U353))</f>
        <v/>
      </c>
      <c r="J353">
        <f>IF($U353="","",INDEX('Per Line'!$R$2:$R$3001,$U353)&amp;"")</f>
        <v/>
      </c>
      <c r="K353">
        <f>IF($U353="","",Settings!$C$7)</f>
        <v/>
      </c>
      <c r="L353" s="7">
        <f>IF($U353="","",SUMIFS('Per Line'!$N$2:$N$3001,'Per Line'!$A$2:$A$3001,$A353,'Per Line'!$W$2:$W$3001,0))</f>
        <v/>
      </c>
      <c r="M353" s="7">
        <f>IF($U353="","",L353*K353)</f>
        <v/>
      </c>
      <c r="N353">
        <f>IF($U353="","",Settings!$C$6)</f>
        <v/>
      </c>
      <c r="O353" s="7">
        <f>IF($U353="","",SUMIFS('Per Line'!$N$2:$N$3001,'Per Line'!$A$2:$A$3001,$A353,'Per Line'!$W$2:$W$3001,1))</f>
        <v/>
      </c>
      <c r="P353" s="7">
        <f>IF($U353="","",O353*N353)</f>
        <v/>
      </c>
      <c r="Q353" s="7">
        <f>IF($U353="","",P353+M353)</f>
        <v/>
      </c>
      <c r="R353" s="7">
        <f>IF($U353="","",S353-Q353)</f>
        <v/>
      </c>
      <c r="S353" s="7">
        <f>IF($U353="","",L353+O353)</f>
        <v/>
      </c>
      <c r="T353" s="7">
        <f>IF($U353="","",S353-Q353-G353)</f>
        <v/>
      </c>
      <c r="U353" s="13">
        <f>IF(ROWS($U$2:$U353)&lt;=MAX('Per Line'!$V$2:$V$3001),MATCH(ROWS($U$2:$U353),'Per Line'!$V$2:$V$3001,0),"")</f>
        <v/>
      </c>
    </row>
    <row r="354">
      <c r="A354">
        <f>IF($U354="","",INDEX('Per Line'!$A$2:$A$3001,$U354)&amp;"")</f>
        <v/>
      </c>
      <c r="B354" s="12" t="n"/>
      <c r="C354">
        <f>IF($U354="","",INDEX('Per Line'!$B$2:$B$3001,$U354)&amp;"")</f>
        <v/>
      </c>
      <c r="D354">
        <f>IF($U354="","",INDEX('Per Line'!$C$2:$C$3001,$U354)&amp;"")</f>
        <v/>
      </c>
      <c r="E354">
        <f>IF($U354="","",INDEX('Per Line'!$D$2:$D$3001,$U354)&amp;"")</f>
        <v/>
      </c>
      <c r="F354">
        <f>IF($U354="","",INDEX('Per Line'!$E$2:$E$3001,$U354))</f>
        <v/>
      </c>
      <c r="G354" s="7">
        <f>IF($U354="","",F354*S354/100)</f>
        <v/>
      </c>
      <c r="H354">
        <f>IF($U354="","",INDEX('Per Line'!$O$2:$O$3001,$U354)&amp;"")</f>
        <v/>
      </c>
      <c r="I354" s="11">
        <f>IF($U354="","",INDEX('Per Line'!$Q$2:$Q$3001,$U354))</f>
        <v/>
      </c>
      <c r="J354">
        <f>IF($U354="","",INDEX('Per Line'!$R$2:$R$3001,$U354)&amp;"")</f>
        <v/>
      </c>
      <c r="K354">
        <f>IF($U354="","",Settings!$C$7)</f>
        <v/>
      </c>
      <c r="L354" s="7">
        <f>IF($U354="","",SUMIFS('Per Line'!$N$2:$N$3001,'Per Line'!$A$2:$A$3001,$A354,'Per Line'!$W$2:$W$3001,0))</f>
        <v/>
      </c>
      <c r="M354" s="7">
        <f>IF($U354="","",L354*K354)</f>
        <v/>
      </c>
      <c r="N354">
        <f>IF($U354="","",Settings!$C$6)</f>
        <v/>
      </c>
      <c r="O354" s="7">
        <f>IF($U354="","",SUMIFS('Per Line'!$N$2:$N$3001,'Per Line'!$A$2:$A$3001,$A354,'Per Line'!$W$2:$W$3001,1))</f>
        <v/>
      </c>
      <c r="P354" s="7">
        <f>IF($U354="","",O354*N354)</f>
        <v/>
      </c>
      <c r="Q354" s="7">
        <f>IF($U354="","",P354+M354)</f>
        <v/>
      </c>
      <c r="R354" s="7">
        <f>IF($U354="","",S354-Q354)</f>
        <v/>
      </c>
      <c r="S354" s="7">
        <f>IF($U354="","",L354+O354)</f>
        <v/>
      </c>
      <c r="T354" s="7">
        <f>IF($U354="","",S354-Q354-G354)</f>
        <v/>
      </c>
      <c r="U354" s="13">
        <f>IF(ROWS($U$2:$U354)&lt;=MAX('Per Line'!$V$2:$V$3001),MATCH(ROWS($U$2:$U354),'Per Line'!$V$2:$V$3001,0),"")</f>
        <v/>
      </c>
    </row>
    <row r="355">
      <c r="A355">
        <f>IF($U355="","",INDEX('Per Line'!$A$2:$A$3001,$U355)&amp;"")</f>
        <v/>
      </c>
      <c r="B355" s="12" t="n"/>
      <c r="C355">
        <f>IF($U355="","",INDEX('Per Line'!$B$2:$B$3001,$U355)&amp;"")</f>
        <v/>
      </c>
      <c r="D355">
        <f>IF($U355="","",INDEX('Per Line'!$C$2:$C$3001,$U355)&amp;"")</f>
        <v/>
      </c>
      <c r="E355">
        <f>IF($U355="","",INDEX('Per Line'!$D$2:$D$3001,$U355)&amp;"")</f>
        <v/>
      </c>
      <c r="F355">
        <f>IF($U355="","",INDEX('Per Line'!$E$2:$E$3001,$U355))</f>
        <v/>
      </c>
      <c r="G355" s="7">
        <f>IF($U355="","",F355*S355/100)</f>
        <v/>
      </c>
      <c r="H355">
        <f>IF($U355="","",INDEX('Per Line'!$O$2:$O$3001,$U355)&amp;"")</f>
        <v/>
      </c>
      <c r="I355" s="11">
        <f>IF($U355="","",INDEX('Per Line'!$Q$2:$Q$3001,$U355))</f>
        <v/>
      </c>
      <c r="J355">
        <f>IF($U355="","",INDEX('Per Line'!$R$2:$R$3001,$U355)&amp;"")</f>
        <v/>
      </c>
      <c r="K355">
        <f>IF($U355="","",Settings!$C$7)</f>
        <v/>
      </c>
      <c r="L355" s="7">
        <f>IF($U355="","",SUMIFS('Per Line'!$N$2:$N$3001,'Per Line'!$A$2:$A$3001,$A355,'Per Line'!$W$2:$W$3001,0))</f>
        <v/>
      </c>
      <c r="M355" s="7">
        <f>IF($U355="","",L355*K355)</f>
        <v/>
      </c>
      <c r="N355">
        <f>IF($U355="","",Settings!$C$6)</f>
        <v/>
      </c>
      <c r="O355" s="7">
        <f>IF($U355="","",SUMIFS('Per Line'!$N$2:$N$3001,'Per Line'!$A$2:$A$3001,$A355,'Per Line'!$W$2:$W$3001,1))</f>
        <v/>
      </c>
      <c r="P355" s="7">
        <f>IF($U355="","",O355*N355)</f>
        <v/>
      </c>
      <c r="Q355" s="7">
        <f>IF($U355="","",P355+M355)</f>
        <v/>
      </c>
      <c r="R355" s="7">
        <f>IF($U355="","",S355-Q355)</f>
        <v/>
      </c>
      <c r="S355" s="7">
        <f>IF($U355="","",L355+O355)</f>
        <v/>
      </c>
      <c r="T355" s="7">
        <f>IF($U355="","",S355-Q355-G355)</f>
        <v/>
      </c>
      <c r="U355" s="13">
        <f>IF(ROWS($U$2:$U355)&lt;=MAX('Per Line'!$V$2:$V$3001),MATCH(ROWS($U$2:$U355),'Per Line'!$V$2:$V$3001,0),"")</f>
        <v/>
      </c>
    </row>
    <row r="356">
      <c r="A356">
        <f>IF($U356="","",INDEX('Per Line'!$A$2:$A$3001,$U356)&amp;"")</f>
        <v/>
      </c>
      <c r="B356" s="12" t="n"/>
      <c r="C356">
        <f>IF($U356="","",INDEX('Per Line'!$B$2:$B$3001,$U356)&amp;"")</f>
        <v/>
      </c>
      <c r="D356">
        <f>IF($U356="","",INDEX('Per Line'!$C$2:$C$3001,$U356)&amp;"")</f>
        <v/>
      </c>
      <c r="E356">
        <f>IF($U356="","",INDEX('Per Line'!$D$2:$D$3001,$U356)&amp;"")</f>
        <v/>
      </c>
      <c r="F356">
        <f>IF($U356="","",INDEX('Per Line'!$E$2:$E$3001,$U356))</f>
        <v/>
      </c>
      <c r="G356" s="7">
        <f>IF($U356="","",F356*S356/100)</f>
        <v/>
      </c>
      <c r="H356">
        <f>IF($U356="","",INDEX('Per Line'!$O$2:$O$3001,$U356)&amp;"")</f>
        <v/>
      </c>
      <c r="I356" s="11">
        <f>IF($U356="","",INDEX('Per Line'!$Q$2:$Q$3001,$U356))</f>
        <v/>
      </c>
      <c r="J356">
        <f>IF($U356="","",INDEX('Per Line'!$R$2:$R$3001,$U356)&amp;"")</f>
        <v/>
      </c>
      <c r="K356">
        <f>IF($U356="","",Settings!$C$7)</f>
        <v/>
      </c>
      <c r="L356" s="7">
        <f>IF($U356="","",SUMIFS('Per Line'!$N$2:$N$3001,'Per Line'!$A$2:$A$3001,$A356,'Per Line'!$W$2:$W$3001,0))</f>
        <v/>
      </c>
      <c r="M356" s="7">
        <f>IF($U356="","",L356*K356)</f>
        <v/>
      </c>
      <c r="N356">
        <f>IF($U356="","",Settings!$C$6)</f>
        <v/>
      </c>
      <c r="O356" s="7">
        <f>IF($U356="","",SUMIFS('Per Line'!$N$2:$N$3001,'Per Line'!$A$2:$A$3001,$A356,'Per Line'!$W$2:$W$3001,1))</f>
        <v/>
      </c>
      <c r="P356" s="7">
        <f>IF($U356="","",O356*N356)</f>
        <v/>
      </c>
      <c r="Q356" s="7">
        <f>IF($U356="","",P356+M356)</f>
        <v/>
      </c>
      <c r="R356" s="7">
        <f>IF($U356="","",S356-Q356)</f>
        <v/>
      </c>
      <c r="S356" s="7">
        <f>IF($U356="","",L356+O356)</f>
        <v/>
      </c>
      <c r="T356" s="7">
        <f>IF($U356="","",S356-Q356-G356)</f>
        <v/>
      </c>
      <c r="U356" s="13">
        <f>IF(ROWS($U$2:$U356)&lt;=MAX('Per Line'!$V$2:$V$3001),MATCH(ROWS($U$2:$U356),'Per Line'!$V$2:$V$3001,0),"")</f>
        <v/>
      </c>
    </row>
    <row r="357">
      <c r="A357">
        <f>IF($U357="","",INDEX('Per Line'!$A$2:$A$3001,$U357)&amp;"")</f>
        <v/>
      </c>
      <c r="B357" s="12" t="n"/>
      <c r="C357">
        <f>IF($U357="","",INDEX('Per Line'!$B$2:$B$3001,$U357)&amp;"")</f>
        <v/>
      </c>
      <c r="D357">
        <f>IF($U357="","",INDEX('Per Line'!$C$2:$C$3001,$U357)&amp;"")</f>
        <v/>
      </c>
      <c r="E357">
        <f>IF($U357="","",INDEX('Per Line'!$D$2:$D$3001,$U357)&amp;"")</f>
        <v/>
      </c>
      <c r="F357">
        <f>IF($U357="","",INDEX('Per Line'!$E$2:$E$3001,$U357))</f>
        <v/>
      </c>
      <c r="G357" s="7">
        <f>IF($U357="","",F357*S357/100)</f>
        <v/>
      </c>
      <c r="H357">
        <f>IF($U357="","",INDEX('Per Line'!$O$2:$O$3001,$U357)&amp;"")</f>
        <v/>
      </c>
      <c r="I357" s="11">
        <f>IF($U357="","",INDEX('Per Line'!$Q$2:$Q$3001,$U357))</f>
        <v/>
      </c>
      <c r="J357">
        <f>IF($U357="","",INDEX('Per Line'!$R$2:$R$3001,$U357)&amp;"")</f>
        <v/>
      </c>
      <c r="K357">
        <f>IF($U357="","",Settings!$C$7)</f>
        <v/>
      </c>
      <c r="L357" s="7">
        <f>IF($U357="","",SUMIFS('Per Line'!$N$2:$N$3001,'Per Line'!$A$2:$A$3001,$A357,'Per Line'!$W$2:$W$3001,0))</f>
        <v/>
      </c>
      <c r="M357" s="7">
        <f>IF($U357="","",L357*K357)</f>
        <v/>
      </c>
      <c r="N357">
        <f>IF($U357="","",Settings!$C$6)</f>
        <v/>
      </c>
      <c r="O357" s="7">
        <f>IF($U357="","",SUMIFS('Per Line'!$N$2:$N$3001,'Per Line'!$A$2:$A$3001,$A357,'Per Line'!$W$2:$W$3001,1))</f>
        <v/>
      </c>
      <c r="P357" s="7">
        <f>IF($U357="","",O357*N357)</f>
        <v/>
      </c>
      <c r="Q357" s="7">
        <f>IF($U357="","",P357+M357)</f>
        <v/>
      </c>
      <c r="R357" s="7">
        <f>IF($U357="","",S357-Q357)</f>
        <v/>
      </c>
      <c r="S357" s="7">
        <f>IF($U357="","",L357+O357)</f>
        <v/>
      </c>
      <c r="T357" s="7">
        <f>IF($U357="","",S357-Q357-G357)</f>
        <v/>
      </c>
      <c r="U357" s="13">
        <f>IF(ROWS($U$2:$U357)&lt;=MAX('Per Line'!$V$2:$V$3001),MATCH(ROWS($U$2:$U357),'Per Line'!$V$2:$V$3001,0),"")</f>
        <v/>
      </c>
    </row>
    <row r="358">
      <c r="A358">
        <f>IF($U358="","",INDEX('Per Line'!$A$2:$A$3001,$U358)&amp;"")</f>
        <v/>
      </c>
      <c r="B358" s="12" t="n"/>
      <c r="C358">
        <f>IF($U358="","",INDEX('Per Line'!$B$2:$B$3001,$U358)&amp;"")</f>
        <v/>
      </c>
      <c r="D358">
        <f>IF($U358="","",INDEX('Per Line'!$C$2:$C$3001,$U358)&amp;"")</f>
        <v/>
      </c>
      <c r="E358">
        <f>IF($U358="","",INDEX('Per Line'!$D$2:$D$3001,$U358)&amp;"")</f>
        <v/>
      </c>
      <c r="F358">
        <f>IF($U358="","",INDEX('Per Line'!$E$2:$E$3001,$U358))</f>
        <v/>
      </c>
      <c r="G358" s="7">
        <f>IF($U358="","",F358*S358/100)</f>
        <v/>
      </c>
      <c r="H358">
        <f>IF($U358="","",INDEX('Per Line'!$O$2:$O$3001,$U358)&amp;"")</f>
        <v/>
      </c>
      <c r="I358" s="11">
        <f>IF($U358="","",INDEX('Per Line'!$Q$2:$Q$3001,$U358))</f>
        <v/>
      </c>
      <c r="J358">
        <f>IF($U358="","",INDEX('Per Line'!$R$2:$R$3001,$U358)&amp;"")</f>
        <v/>
      </c>
      <c r="K358">
        <f>IF($U358="","",Settings!$C$7)</f>
        <v/>
      </c>
      <c r="L358" s="7">
        <f>IF($U358="","",SUMIFS('Per Line'!$N$2:$N$3001,'Per Line'!$A$2:$A$3001,$A358,'Per Line'!$W$2:$W$3001,0))</f>
        <v/>
      </c>
      <c r="M358" s="7">
        <f>IF($U358="","",L358*K358)</f>
        <v/>
      </c>
      <c r="N358">
        <f>IF($U358="","",Settings!$C$6)</f>
        <v/>
      </c>
      <c r="O358" s="7">
        <f>IF($U358="","",SUMIFS('Per Line'!$N$2:$N$3001,'Per Line'!$A$2:$A$3001,$A358,'Per Line'!$W$2:$W$3001,1))</f>
        <v/>
      </c>
      <c r="P358" s="7">
        <f>IF($U358="","",O358*N358)</f>
        <v/>
      </c>
      <c r="Q358" s="7">
        <f>IF($U358="","",P358+M358)</f>
        <v/>
      </c>
      <c r="R358" s="7">
        <f>IF($U358="","",S358-Q358)</f>
        <v/>
      </c>
      <c r="S358" s="7">
        <f>IF($U358="","",L358+O358)</f>
        <v/>
      </c>
      <c r="T358" s="7">
        <f>IF($U358="","",S358-Q358-G358)</f>
        <v/>
      </c>
      <c r="U358" s="13">
        <f>IF(ROWS($U$2:$U358)&lt;=MAX('Per Line'!$V$2:$V$3001),MATCH(ROWS($U$2:$U358),'Per Line'!$V$2:$V$3001,0),"")</f>
        <v/>
      </c>
    </row>
    <row r="359">
      <c r="A359">
        <f>IF($U359="","",INDEX('Per Line'!$A$2:$A$3001,$U359)&amp;"")</f>
        <v/>
      </c>
      <c r="B359" s="12" t="n"/>
      <c r="C359">
        <f>IF($U359="","",INDEX('Per Line'!$B$2:$B$3001,$U359)&amp;"")</f>
        <v/>
      </c>
      <c r="D359">
        <f>IF($U359="","",INDEX('Per Line'!$C$2:$C$3001,$U359)&amp;"")</f>
        <v/>
      </c>
      <c r="E359">
        <f>IF($U359="","",INDEX('Per Line'!$D$2:$D$3001,$U359)&amp;"")</f>
        <v/>
      </c>
      <c r="F359">
        <f>IF($U359="","",INDEX('Per Line'!$E$2:$E$3001,$U359))</f>
        <v/>
      </c>
      <c r="G359" s="7">
        <f>IF($U359="","",F359*S359/100)</f>
        <v/>
      </c>
      <c r="H359">
        <f>IF($U359="","",INDEX('Per Line'!$O$2:$O$3001,$U359)&amp;"")</f>
        <v/>
      </c>
      <c r="I359" s="11">
        <f>IF($U359="","",INDEX('Per Line'!$Q$2:$Q$3001,$U359))</f>
        <v/>
      </c>
      <c r="J359">
        <f>IF($U359="","",INDEX('Per Line'!$R$2:$R$3001,$U359)&amp;"")</f>
        <v/>
      </c>
      <c r="K359">
        <f>IF($U359="","",Settings!$C$7)</f>
        <v/>
      </c>
      <c r="L359" s="7">
        <f>IF($U359="","",SUMIFS('Per Line'!$N$2:$N$3001,'Per Line'!$A$2:$A$3001,$A359,'Per Line'!$W$2:$W$3001,0))</f>
        <v/>
      </c>
      <c r="M359" s="7">
        <f>IF($U359="","",L359*K359)</f>
        <v/>
      </c>
      <c r="N359">
        <f>IF($U359="","",Settings!$C$6)</f>
        <v/>
      </c>
      <c r="O359" s="7">
        <f>IF($U359="","",SUMIFS('Per Line'!$N$2:$N$3001,'Per Line'!$A$2:$A$3001,$A359,'Per Line'!$W$2:$W$3001,1))</f>
        <v/>
      </c>
      <c r="P359" s="7">
        <f>IF($U359="","",O359*N359)</f>
        <v/>
      </c>
      <c r="Q359" s="7">
        <f>IF($U359="","",P359+M359)</f>
        <v/>
      </c>
      <c r="R359" s="7">
        <f>IF($U359="","",S359-Q359)</f>
        <v/>
      </c>
      <c r="S359" s="7">
        <f>IF($U359="","",L359+O359)</f>
        <v/>
      </c>
      <c r="T359" s="7">
        <f>IF($U359="","",S359-Q359-G359)</f>
        <v/>
      </c>
      <c r="U359" s="13">
        <f>IF(ROWS($U$2:$U359)&lt;=MAX('Per Line'!$V$2:$V$3001),MATCH(ROWS($U$2:$U359),'Per Line'!$V$2:$V$3001,0),"")</f>
        <v/>
      </c>
    </row>
    <row r="360">
      <c r="A360">
        <f>IF($U360="","",INDEX('Per Line'!$A$2:$A$3001,$U360)&amp;"")</f>
        <v/>
      </c>
      <c r="B360" s="12" t="n"/>
      <c r="C360">
        <f>IF($U360="","",INDEX('Per Line'!$B$2:$B$3001,$U360)&amp;"")</f>
        <v/>
      </c>
      <c r="D360">
        <f>IF($U360="","",INDEX('Per Line'!$C$2:$C$3001,$U360)&amp;"")</f>
        <v/>
      </c>
      <c r="E360">
        <f>IF($U360="","",INDEX('Per Line'!$D$2:$D$3001,$U360)&amp;"")</f>
        <v/>
      </c>
      <c r="F360">
        <f>IF($U360="","",INDEX('Per Line'!$E$2:$E$3001,$U360))</f>
        <v/>
      </c>
      <c r="G360" s="7">
        <f>IF($U360="","",F360*S360/100)</f>
        <v/>
      </c>
      <c r="H360">
        <f>IF($U360="","",INDEX('Per Line'!$O$2:$O$3001,$U360)&amp;"")</f>
        <v/>
      </c>
      <c r="I360" s="11">
        <f>IF($U360="","",INDEX('Per Line'!$Q$2:$Q$3001,$U360))</f>
        <v/>
      </c>
      <c r="J360">
        <f>IF($U360="","",INDEX('Per Line'!$R$2:$R$3001,$U360)&amp;"")</f>
        <v/>
      </c>
      <c r="K360">
        <f>IF($U360="","",Settings!$C$7)</f>
        <v/>
      </c>
      <c r="L360" s="7">
        <f>IF($U360="","",SUMIFS('Per Line'!$N$2:$N$3001,'Per Line'!$A$2:$A$3001,$A360,'Per Line'!$W$2:$W$3001,0))</f>
        <v/>
      </c>
      <c r="M360" s="7">
        <f>IF($U360="","",L360*K360)</f>
        <v/>
      </c>
      <c r="N360">
        <f>IF($U360="","",Settings!$C$6)</f>
        <v/>
      </c>
      <c r="O360" s="7">
        <f>IF($U360="","",SUMIFS('Per Line'!$N$2:$N$3001,'Per Line'!$A$2:$A$3001,$A360,'Per Line'!$W$2:$W$3001,1))</f>
        <v/>
      </c>
      <c r="P360" s="7">
        <f>IF($U360="","",O360*N360)</f>
        <v/>
      </c>
      <c r="Q360" s="7">
        <f>IF($U360="","",P360+M360)</f>
        <v/>
      </c>
      <c r="R360" s="7">
        <f>IF($U360="","",S360-Q360)</f>
        <v/>
      </c>
      <c r="S360" s="7">
        <f>IF($U360="","",L360+O360)</f>
        <v/>
      </c>
      <c r="T360" s="7">
        <f>IF($U360="","",S360-Q360-G360)</f>
        <v/>
      </c>
      <c r="U360" s="13">
        <f>IF(ROWS($U$2:$U360)&lt;=MAX('Per Line'!$V$2:$V$3001),MATCH(ROWS($U$2:$U360),'Per Line'!$V$2:$V$3001,0),"")</f>
        <v/>
      </c>
    </row>
    <row r="361">
      <c r="A361">
        <f>IF($U361="","",INDEX('Per Line'!$A$2:$A$3001,$U361)&amp;"")</f>
        <v/>
      </c>
      <c r="B361" s="12" t="n"/>
      <c r="C361">
        <f>IF($U361="","",INDEX('Per Line'!$B$2:$B$3001,$U361)&amp;"")</f>
        <v/>
      </c>
      <c r="D361">
        <f>IF($U361="","",INDEX('Per Line'!$C$2:$C$3001,$U361)&amp;"")</f>
        <v/>
      </c>
      <c r="E361">
        <f>IF($U361="","",INDEX('Per Line'!$D$2:$D$3001,$U361)&amp;"")</f>
        <v/>
      </c>
      <c r="F361">
        <f>IF($U361="","",INDEX('Per Line'!$E$2:$E$3001,$U361))</f>
        <v/>
      </c>
      <c r="G361" s="7">
        <f>IF($U361="","",F361*S361/100)</f>
        <v/>
      </c>
      <c r="H361">
        <f>IF($U361="","",INDEX('Per Line'!$O$2:$O$3001,$U361)&amp;"")</f>
        <v/>
      </c>
      <c r="I361" s="11">
        <f>IF($U361="","",INDEX('Per Line'!$Q$2:$Q$3001,$U361))</f>
        <v/>
      </c>
      <c r="J361">
        <f>IF($U361="","",INDEX('Per Line'!$R$2:$R$3001,$U361)&amp;"")</f>
        <v/>
      </c>
      <c r="K361">
        <f>IF($U361="","",Settings!$C$7)</f>
        <v/>
      </c>
      <c r="L361" s="7">
        <f>IF($U361="","",SUMIFS('Per Line'!$N$2:$N$3001,'Per Line'!$A$2:$A$3001,$A361,'Per Line'!$W$2:$W$3001,0))</f>
        <v/>
      </c>
      <c r="M361" s="7">
        <f>IF($U361="","",L361*K361)</f>
        <v/>
      </c>
      <c r="N361">
        <f>IF($U361="","",Settings!$C$6)</f>
        <v/>
      </c>
      <c r="O361" s="7">
        <f>IF($U361="","",SUMIFS('Per Line'!$N$2:$N$3001,'Per Line'!$A$2:$A$3001,$A361,'Per Line'!$W$2:$W$3001,1))</f>
        <v/>
      </c>
      <c r="P361" s="7">
        <f>IF($U361="","",O361*N361)</f>
        <v/>
      </c>
      <c r="Q361" s="7">
        <f>IF($U361="","",P361+M361)</f>
        <v/>
      </c>
      <c r="R361" s="7">
        <f>IF($U361="","",S361-Q361)</f>
        <v/>
      </c>
      <c r="S361" s="7">
        <f>IF($U361="","",L361+O361)</f>
        <v/>
      </c>
      <c r="T361" s="7">
        <f>IF($U361="","",S361-Q361-G361)</f>
        <v/>
      </c>
      <c r="U361" s="13">
        <f>IF(ROWS($U$2:$U361)&lt;=MAX('Per Line'!$V$2:$V$3001),MATCH(ROWS($U$2:$U361),'Per Line'!$V$2:$V$3001,0),"")</f>
        <v/>
      </c>
    </row>
    <row r="362">
      <c r="A362">
        <f>IF($U362="","",INDEX('Per Line'!$A$2:$A$3001,$U362)&amp;"")</f>
        <v/>
      </c>
      <c r="B362" s="12" t="n"/>
      <c r="C362">
        <f>IF($U362="","",INDEX('Per Line'!$B$2:$B$3001,$U362)&amp;"")</f>
        <v/>
      </c>
      <c r="D362">
        <f>IF($U362="","",INDEX('Per Line'!$C$2:$C$3001,$U362)&amp;"")</f>
        <v/>
      </c>
      <c r="E362">
        <f>IF($U362="","",INDEX('Per Line'!$D$2:$D$3001,$U362)&amp;"")</f>
        <v/>
      </c>
      <c r="F362">
        <f>IF($U362="","",INDEX('Per Line'!$E$2:$E$3001,$U362))</f>
        <v/>
      </c>
      <c r="G362" s="7">
        <f>IF($U362="","",F362*S362/100)</f>
        <v/>
      </c>
      <c r="H362">
        <f>IF($U362="","",INDEX('Per Line'!$O$2:$O$3001,$U362)&amp;"")</f>
        <v/>
      </c>
      <c r="I362" s="11">
        <f>IF($U362="","",INDEX('Per Line'!$Q$2:$Q$3001,$U362))</f>
        <v/>
      </c>
      <c r="J362">
        <f>IF($U362="","",INDEX('Per Line'!$R$2:$R$3001,$U362)&amp;"")</f>
        <v/>
      </c>
      <c r="K362">
        <f>IF($U362="","",Settings!$C$7)</f>
        <v/>
      </c>
      <c r="L362" s="7">
        <f>IF($U362="","",SUMIFS('Per Line'!$N$2:$N$3001,'Per Line'!$A$2:$A$3001,$A362,'Per Line'!$W$2:$W$3001,0))</f>
        <v/>
      </c>
      <c r="M362" s="7">
        <f>IF($U362="","",L362*K362)</f>
        <v/>
      </c>
      <c r="N362">
        <f>IF($U362="","",Settings!$C$6)</f>
        <v/>
      </c>
      <c r="O362" s="7">
        <f>IF($U362="","",SUMIFS('Per Line'!$N$2:$N$3001,'Per Line'!$A$2:$A$3001,$A362,'Per Line'!$W$2:$W$3001,1))</f>
        <v/>
      </c>
      <c r="P362" s="7">
        <f>IF($U362="","",O362*N362)</f>
        <v/>
      </c>
      <c r="Q362" s="7">
        <f>IF($U362="","",P362+M362)</f>
        <v/>
      </c>
      <c r="R362" s="7">
        <f>IF($U362="","",S362-Q362)</f>
        <v/>
      </c>
      <c r="S362" s="7">
        <f>IF($U362="","",L362+O362)</f>
        <v/>
      </c>
      <c r="T362" s="7">
        <f>IF($U362="","",S362-Q362-G362)</f>
        <v/>
      </c>
      <c r="U362" s="13">
        <f>IF(ROWS($U$2:$U362)&lt;=MAX('Per Line'!$V$2:$V$3001),MATCH(ROWS($U$2:$U362),'Per Line'!$V$2:$V$3001,0),"")</f>
        <v/>
      </c>
    </row>
    <row r="363">
      <c r="A363">
        <f>IF($U363="","",INDEX('Per Line'!$A$2:$A$3001,$U363)&amp;"")</f>
        <v/>
      </c>
      <c r="B363" s="12" t="n"/>
      <c r="C363">
        <f>IF($U363="","",INDEX('Per Line'!$B$2:$B$3001,$U363)&amp;"")</f>
        <v/>
      </c>
      <c r="D363">
        <f>IF($U363="","",INDEX('Per Line'!$C$2:$C$3001,$U363)&amp;"")</f>
        <v/>
      </c>
      <c r="E363">
        <f>IF($U363="","",INDEX('Per Line'!$D$2:$D$3001,$U363)&amp;"")</f>
        <v/>
      </c>
      <c r="F363">
        <f>IF($U363="","",INDEX('Per Line'!$E$2:$E$3001,$U363))</f>
        <v/>
      </c>
      <c r="G363" s="7">
        <f>IF($U363="","",F363*S363/100)</f>
        <v/>
      </c>
      <c r="H363">
        <f>IF($U363="","",INDEX('Per Line'!$O$2:$O$3001,$U363)&amp;"")</f>
        <v/>
      </c>
      <c r="I363" s="11">
        <f>IF($U363="","",INDEX('Per Line'!$Q$2:$Q$3001,$U363))</f>
        <v/>
      </c>
      <c r="J363">
        <f>IF($U363="","",INDEX('Per Line'!$R$2:$R$3001,$U363)&amp;"")</f>
        <v/>
      </c>
      <c r="K363">
        <f>IF($U363="","",Settings!$C$7)</f>
        <v/>
      </c>
      <c r="L363" s="7">
        <f>IF($U363="","",SUMIFS('Per Line'!$N$2:$N$3001,'Per Line'!$A$2:$A$3001,$A363,'Per Line'!$W$2:$W$3001,0))</f>
        <v/>
      </c>
      <c r="M363" s="7">
        <f>IF($U363="","",L363*K363)</f>
        <v/>
      </c>
      <c r="N363">
        <f>IF($U363="","",Settings!$C$6)</f>
        <v/>
      </c>
      <c r="O363" s="7">
        <f>IF($U363="","",SUMIFS('Per Line'!$N$2:$N$3001,'Per Line'!$A$2:$A$3001,$A363,'Per Line'!$W$2:$W$3001,1))</f>
        <v/>
      </c>
      <c r="P363" s="7">
        <f>IF($U363="","",O363*N363)</f>
        <v/>
      </c>
      <c r="Q363" s="7">
        <f>IF($U363="","",P363+M363)</f>
        <v/>
      </c>
      <c r="R363" s="7">
        <f>IF($U363="","",S363-Q363)</f>
        <v/>
      </c>
      <c r="S363" s="7">
        <f>IF($U363="","",L363+O363)</f>
        <v/>
      </c>
      <c r="T363" s="7">
        <f>IF($U363="","",S363-Q363-G363)</f>
        <v/>
      </c>
      <c r="U363" s="13">
        <f>IF(ROWS($U$2:$U363)&lt;=MAX('Per Line'!$V$2:$V$3001),MATCH(ROWS($U$2:$U363),'Per Line'!$V$2:$V$3001,0),"")</f>
        <v/>
      </c>
    </row>
    <row r="364">
      <c r="A364">
        <f>IF($U364="","",INDEX('Per Line'!$A$2:$A$3001,$U364)&amp;"")</f>
        <v/>
      </c>
      <c r="B364" s="12" t="n"/>
      <c r="C364">
        <f>IF($U364="","",INDEX('Per Line'!$B$2:$B$3001,$U364)&amp;"")</f>
        <v/>
      </c>
      <c r="D364">
        <f>IF($U364="","",INDEX('Per Line'!$C$2:$C$3001,$U364)&amp;"")</f>
        <v/>
      </c>
      <c r="E364">
        <f>IF($U364="","",INDEX('Per Line'!$D$2:$D$3001,$U364)&amp;"")</f>
        <v/>
      </c>
      <c r="F364">
        <f>IF($U364="","",INDEX('Per Line'!$E$2:$E$3001,$U364))</f>
        <v/>
      </c>
      <c r="G364" s="7">
        <f>IF($U364="","",F364*S364/100)</f>
        <v/>
      </c>
      <c r="H364">
        <f>IF($U364="","",INDEX('Per Line'!$O$2:$O$3001,$U364)&amp;"")</f>
        <v/>
      </c>
      <c r="I364" s="11">
        <f>IF($U364="","",INDEX('Per Line'!$Q$2:$Q$3001,$U364))</f>
        <v/>
      </c>
      <c r="J364">
        <f>IF($U364="","",INDEX('Per Line'!$R$2:$R$3001,$U364)&amp;"")</f>
        <v/>
      </c>
      <c r="K364">
        <f>IF($U364="","",Settings!$C$7)</f>
        <v/>
      </c>
      <c r="L364" s="7">
        <f>IF($U364="","",SUMIFS('Per Line'!$N$2:$N$3001,'Per Line'!$A$2:$A$3001,$A364,'Per Line'!$W$2:$W$3001,0))</f>
        <v/>
      </c>
      <c r="M364" s="7">
        <f>IF($U364="","",L364*K364)</f>
        <v/>
      </c>
      <c r="N364">
        <f>IF($U364="","",Settings!$C$6)</f>
        <v/>
      </c>
      <c r="O364" s="7">
        <f>IF($U364="","",SUMIFS('Per Line'!$N$2:$N$3001,'Per Line'!$A$2:$A$3001,$A364,'Per Line'!$W$2:$W$3001,1))</f>
        <v/>
      </c>
      <c r="P364" s="7">
        <f>IF($U364="","",O364*N364)</f>
        <v/>
      </c>
      <c r="Q364" s="7">
        <f>IF($U364="","",P364+M364)</f>
        <v/>
      </c>
      <c r="R364" s="7">
        <f>IF($U364="","",S364-Q364)</f>
        <v/>
      </c>
      <c r="S364" s="7">
        <f>IF($U364="","",L364+O364)</f>
        <v/>
      </c>
      <c r="T364" s="7">
        <f>IF($U364="","",S364-Q364-G364)</f>
        <v/>
      </c>
      <c r="U364" s="13">
        <f>IF(ROWS($U$2:$U364)&lt;=MAX('Per Line'!$V$2:$V$3001),MATCH(ROWS($U$2:$U364),'Per Line'!$V$2:$V$3001,0),"")</f>
        <v/>
      </c>
    </row>
    <row r="365">
      <c r="A365">
        <f>IF($U365="","",INDEX('Per Line'!$A$2:$A$3001,$U365)&amp;"")</f>
        <v/>
      </c>
      <c r="B365" s="12" t="n"/>
      <c r="C365">
        <f>IF($U365="","",INDEX('Per Line'!$B$2:$B$3001,$U365)&amp;"")</f>
        <v/>
      </c>
      <c r="D365">
        <f>IF($U365="","",INDEX('Per Line'!$C$2:$C$3001,$U365)&amp;"")</f>
        <v/>
      </c>
      <c r="E365">
        <f>IF($U365="","",INDEX('Per Line'!$D$2:$D$3001,$U365)&amp;"")</f>
        <v/>
      </c>
      <c r="F365">
        <f>IF($U365="","",INDEX('Per Line'!$E$2:$E$3001,$U365))</f>
        <v/>
      </c>
      <c r="G365" s="7">
        <f>IF($U365="","",F365*S365/100)</f>
        <v/>
      </c>
      <c r="H365">
        <f>IF($U365="","",INDEX('Per Line'!$O$2:$O$3001,$U365)&amp;"")</f>
        <v/>
      </c>
      <c r="I365" s="11">
        <f>IF($U365="","",INDEX('Per Line'!$Q$2:$Q$3001,$U365))</f>
        <v/>
      </c>
      <c r="J365">
        <f>IF($U365="","",INDEX('Per Line'!$R$2:$R$3001,$U365)&amp;"")</f>
        <v/>
      </c>
      <c r="K365">
        <f>IF($U365="","",Settings!$C$7)</f>
        <v/>
      </c>
      <c r="L365" s="7">
        <f>IF($U365="","",SUMIFS('Per Line'!$N$2:$N$3001,'Per Line'!$A$2:$A$3001,$A365,'Per Line'!$W$2:$W$3001,0))</f>
        <v/>
      </c>
      <c r="M365" s="7">
        <f>IF($U365="","",L365*K365)</f>
        <v/>
      </c>
      <c r="N365">
        <f>IF($U365="","",Settings!$C$6)</f>
        <v/>
      </c>
      <c r="O365" s="7">
        <f>IF($U365="","",SUMIFS('Per Line'!$N$2:$N$3001,'Per Line'!$A$2:$A$3001,$A365,'Per Line'!$W$2:$W$3001,1))</f>
        <v/>
      </c>
      <c r="P365" s="7">
        <f>IF($U365="","",O365*N365)</f>
        <v/>
      </c>
      <c r="Q365" s="7">
        <f>IF($U365="","",P365+M365)</f>
        <v/>
      </c>
      <c r="R365" s="7">
        <f>IF($U365="","",S365-Q365)</f>
        <v/>
      </c>
      <c r="S365" s="7">
        <f>IF($U365="","",L365+O365)</f>
        <v/>
      </c>
      <c r="T365" s="7">
        <f>IF($U365="","",S365-Q365-G365)</f>
        <v/>
      </c>
      <c r="U365" s="13">
        <f>IF(ROWS($U$2:$U365)&lt;=MAX('Per Line'!$V$2:$V$3001),MATCH(ROWS($U$2:$U365),'Per Line'!$V$2:$V$3001,0),"")</f>
        <v/>
      </c>
    </row>
    <row r="366">
      <c r="A366">
        <f>IF($U366="","",INDEX('Per Line'!$A$2:$A$3001,$U366)&amp;"")</f>
        <v/>
      </c>
      <c r="B366" s="12" t="n"/>
      <c r="C366">
        <f>IF($U366="","",INDEX('Per Line'!$B$2:$B$3001,$U366)&amp;"")</f>
        <v/>
      </c>
      <c r="D366">
        <f>IF($U366="","",INDEX('Per Line'!$C$2:$C$3001,$U366)&amp;"")</f>
        <v/>
      </c>
      <c r="E366">
        <f>IF($U366="","",INDEX('Per Line'!$D$2:$D$3001,$U366)&amp;"")</f>
        <v/>
      </c>
      <c r="F366">
        <f>IF($U366="","",INDEX('Per Line'!$E$2:$E$3001,$U366))</f>
        <v/>
      </c>
      <c r="G366" s="7">
        <f>IF($U366="","",F366*S366/100)</f>
        <v/>
      </c>
      <c r="H366">
        <f>IF($U366="","",INDEX('Per Line'!$O$2:$O$3001,$U366)&amp;"")</f>
        <v/>
      </c>
      <c r="I366" s="11">
        <f>IF($U366="","",INDEX('Per Line'!$Q$2:$Q$3001,$U366))</f>
        <v/>
      </c>
      <c r="J366">
        <f>IF($U366="","",INDEX('Per Line'!$R$2:$R$3001,$U366)&amp;"")</f>
        <v/>
      </c>
      <c r="K366">
        <f>IF($U366="","",Settings!$C$7)</f>
        <v/>
      </c>
      <c r="L366" s="7">
        <f>IF($U366="","",SUMIFS('Per Line'!$N$2:$N$3001,'Per Line'!$A$2:$A$3001,$A366,'Per Line'!$W$2:$W$3001,0))</f>
        <v/>
      </c>
      <c r="M366" s="7">
        <f>IF($U366="","",L366*K366)</f>
        <v/>
      </c>
      <c r="N366">
        <f>IF($U366="","",Settings!$C$6)</f>
        <v/>
      </c>
      <c r="O366" s="7">
        <f>IF($U366="","",SUMIFS('Per Line'!$N$2:$N$3001,'Per Line'!$A$2:$A$3001,$A366,'Per Line'!$W$2:$W$3001,1))</f>
        <v/>
      </c>
      <c r="P366" s="7">
        <f>IF($U366="","",O366*N366)</f>
        <v/>
      </c>
      <c r="Q366" s="7">
        <f>IF($U366="","",P366+M366)</f>
        <v/>
      </c>
      <c r="R366" s="7">
        <f>IF($U366="","",S366-Q366)</f>
        <v/>
      </c>
      <c r="S366" s="7">
        <f>IF($U366="","",L366+O366)</f>
        <v/>
      </c>
      <c r="T366" s="7">
        <f>IF($U366="","",S366-Q366-G366)</f>
        <v/>
      </c>
      <c r="U366" s="13">
        <f>IF(ROWS($U$2:$U366)&lt;=MAX('Per Line'!$V$2:$V$3001),MATCH(ROWS($U$2:$U366),'Per Line'!$V$2:$V$3001,0),"")</f>
        <v/>
      </c>
    </row>
    <row r="367">
      <c r="A367">
        <f>IF($U367="","",INDEX('Per Line'!$A$2:$A$3001,$U367)&amp;"")</f>
        <v/>
      </c>
      <c r="B367" s="12" t="n"/>
      <c r="C367">
        <f>IF($U367="","",INDEX('Per Line'!$B$2:$B$3001,$U367)&amp;"")</f>
        <v/>
      </c>
      <c r="D367">
        <f>IF($U367="","",INDEX('Per Line'!$C$2:$C$3001,$U367)&amp;"")</f>
        <v/>
      </c>
      <c r="E367">
        <f>IF($U367="","",INDEX('Per Line'!$D$2:$D$3001,$U367)&amp;"")</f>
        <v/>
      </c>
      <c r="F367">
        <f>IF($U367="","",INDEX('Per Line'!$E$2:$E$3001,$U367))</f>
        <v/>
      </c>
      <c r="G367" s="7">
        <f>IF($U367="","",F367*S367/100)</f>
        <v/>
      </c>
      <c r="H367">
        <f>IF($U367="","",INDEX('Per Line'!$O$2:$O$3001,$U367)&amp;"")</f>
        <v/>
      </c>
      <c r="I367" s="11">
        <f>IF($U367="","",INDEX('Per Line'!$Q$2:$Q$3001,$U367))</f>
        <v/>
      </c>
      <c r="J367">
        <f>IF($U367="","",INDEX('Per Line'!$R$2:$R$3001,$U367)&amp;"")</f>
        <v/>
      </c>
      <c r="K367">
        <f>IF($U367="","",Settings!$C$7)</f>
        <v/>
      </c>
      <c r="L367" s="7">
        <f>IF($U367="","",SUMIFS('Per Line'!$N$2:$N$3001,'Per Line'!$A$2:$A$3001,$A367,'Per Line'!$W$2:$W$3001,0))</f>
        <v/>
      </c>
      <c r="M367" s="7">
        <f>IF($U367="","",L367*K367)</f>
        <v/>
      </c>
      <c r="N367">
        <f>IF($U367="","",Settings!$C$6)</f>
        <v/>
      </c>
      <c r="O367" s="7">
        <f>IF($U367="","",SUMIFS('Per Line'!$N$2:$N$3001,'Per Line'!$A$2:$A$3001,$A367,'Per Line'!$W$2:$W$3001,1))</f>
        <v/>
      </c>
      <c r="P367" s="7">
        <f>IF($U367="","",O367*N367)</f>
        <v/>
      </c>
      <c r="Q367" s="7">
        <f>IF($U367="","",P367+M367)</f>
        <v/>
      </c>
      <c r="R367" s="7">
        <f>IF($U367="","",S367-Q367)</f>
        <v/>
      </c>
      <c r="S367" s="7">
        <f>IF($U367="","",L367+O367)</f>
        <v/>
      </c>
      <c r="T367" s="7">
        <f>IF($U367="","",S367-Q367-G367)</f>
        <v/>
      </c>
      <c r="U367" s="13">
        <f>IF(ROWS($U$2:$U367)&lt;=MAX('Per Line'!$V$2:$V$3001),MATCH(ROWS($U$2:$U367),'Per Line'!$V$2:$V$3001,0),"")</f>
        <v/>
      </c>
    </row>
    <row r="368">
      <c r="A368">
        <f>IF($U368="","",INDEX('Per Line'!$A$2:$A$3001,$U368)&amp;"")</f>
        <v/>
      </c>
      <c r="B368" s="12" t="n"/>
      <c r="C368">
        <f>IF($U368="","",INDEX('Per Line'!$B$2:$B$3001,$U368)&amp;"")</f>
        <v/>
      </c>
      <c r="D368">
        <f>IF($U368="","",INDEX('Per Line'!$C$2:$C$3001,$U368)&amp;"")</f>
        <v/>
      </c>
      <c r="E368">
        <f>IF($U368="","",INDEX('Per Line'!$D$2:$D$3001,$U368)&amp;"")</f>
        <v/>
      </c>
      <c r="F368">
        <f>IF($U368="","",INDEX('Per Line'!$E$2:$E$3001,$U368))</f>
        <v/>
      </c>
      <c r="G368" s="7">
        <f>IF($U368="","",F368*S368/100)</f>
        <v/>
      </c>
      <c r="H368">
        <f>IF($U368="","",INDEX('Per Line'!$O$2:$O$3001,$U368)&amp;"")</f>
        <v/>
      </c>
      <c r="I368" s="11">
        <f>IF($U368="","",INDEX('Per Line'!$Q$2:$Q$3001,$U368))</f>
        <v/>
      </c>
      <c r="J368">
        <f>IF($U368="","",INDEX('Per Line'!$R$2:$R$3001,$U368)&amp;"")</f>
        <v/>
      </c>
      <c r="K368">
        <f>IF($U368="","",Settings!$C$7)</f>
        <v/>
      </c>
      <c r="L368" s="7">
        <f>IF($U368="","",SUMIFS('Per Line'!$N$2:$N$3001,'Per Line'!$A$2:$A$3001,$A368,'Per Line'!$W$2:$W$3001,0))</f>
        <v/>
      </c>
      <c r="M368" s="7">
        <f>IF($U368="","",L368*K368)</f>
        <v/>
      </c>
      <c r="N368">
        <f>IF($U368="","",Settings!$C$6)</f>
        <v/>
      </c>
      <c r="O368" s="7">
        <f>IF($U368="","",SUMIFS('Per Line'!$N$2:$N$3001,'Per Line'!$A$2:$A$3001,$A368,'Per Line'!$W$2:$W$3001,1))</f>
        <v/>
      </c>
      <c r="P368" s="7">
        <f>IF($U368="","",O368*N368)</f>
        <v/>
      </c>
      <c r="Q368" s="7">
        <f>IF($U368="","",P368+M368)</f>
        <v/>
      </c>
      <c r="R368" s="7">
        <f>IF($U368="","",S368-Q368)</f>
        <v/>
      </c>
      <c r="S368" s="7">
        <f>IF($U368="","",L368+O368)</f>
        <v/>
      </c>
      <c r="T368" s="7">
        <f>IF($U368="","",S368-Q368-G368)</f>
        <v/>
      </c>
      <c r="U368" s="13">
        <f>IF(ROWS($U$2:$U368)&lt;=MAX('Per Line'!$V$2:$V$3001),MATCH(ROWS($U$2:$U368),'Per Line'!$V$2:$V$3001,0),"")</f>
        <v/>
      </c>
    </row>
    <row r="369">
      <c r="A369">
        <f>IF($U369="","",INDEX('Per Line'!$A$2:$A$3001,$U369)&amp;"")</f>
        <v/>
      </c>
      <c r="B369" s="12" t="n"/>
      <c r="C369">
        <f>IF($U369="","",INDEX('Per Line'!$B$2:$B$3001,$U369)&amp;"")</f>
        <v/>
      </c>
      <c r="D369">
        <f>IF($U369="","",INDEX('Per Line'!$C$2:$C$3001,$U369)&amp;"")</f>
        <v/>
      </c>
      <c r="E369">
        <f>IF($U369="","",INDEX('Per Line'!$D$2:$D$3001,$U369)&amp;"")</f>
        <v/>
      </c>
      <c r="F369">
        <f>IF($U369="","",INDEX('Per Line'!$E$2:$E$3001,$U369))</f>
        <v/>
      </c>
      <c r="G369" s="7">
        <f>IF($U369="","",F369*S369/100)</f>
        <v/>
      </c>
      <c r="H369">
        <f>IF($U369="","",INDEX('Per Line'!$O$2:$O$3001,$U369)&amp;"")</f>
        <v/>
      </c>
      <c r="I369" s="11">
        <f>IF($U369="","",INDEX('Per Line'!$Q$2:$Q$3001,$U369))</f>
        <v/>
      </c>
      <c r="J369">
        <f>IF($U369="","",INDEX('Per Line'!$R$2:$R$3001,$U369)&amp;"")</f>
        <v/>
      </c>
      <c r="K369">
        <f>IF($U369="","",Settings!$C$7)</f>
        <v/>
      </c>
      <c r="L369" s="7">
        <f>IF($U369="","",SUMIFS('Per Line'!$N$2:$N$3001,'Per Line'!$A$2:$A$3001,$A369,'Per Line'!$W$2:$W$3001,0))</f>
        <v/>
      </c>
      <c r="M369" s="7">
        <f>IF($U369="","",L369*K369)</f>
        <v/>
      </c>
      <c r="N369">
        <f>IF($U369="","",Settings!$C$6)</f>
        <v/>
      </c>
      <c r="O369" s="7">
        <f>IF($U369="","",SUMIFS('Per Line'!$N$2:$N$3001,'Per Line'!$A$2:$A$3001,$A369,'Per Line'!$W$2:$W$3001,1))</f>
        <v/>
      </c>
      <c r="P369" s="7">
        <f>IF($U369="","",O369*N369)</f>
        <v/>
      </c>
      <c r="Q369" s="7">
        <f>IF($U369="","",P369+M369)</f>
        <v/>
      </c>
      <c r="R369" s="7">
        <f>IF($U369="","",S369-Q369)</f>
        <v/>
      </c>
      <c r="S369" s="7">
        <f>IF($U369="","",L369+O369)</f>
        <v/>
      </c>
      <c r="T369" s="7">
        <f>IF($U369="","",S369-Q369-G369)</f>
        <v/>
      </c>
      <c r="U369" s="13">
        <f>IF(ROWS($U$2:$U369)&lt;=MAX('Per Line'!$V$2:$V$3001),MATCH(ROWS($U$2:$U369),'Per Line'!$V$2:$V$3001,0),"")</f>
        <v/>
      </c>
    </row>
    <row r="370">
      <c r="A370">
        <f>IF($U370="","",INDEX('Per Line'!$A$2:$A$3001,$U370)&amp;"")</f>
        <v/>
      </c>
      <c r="B370" s="12" t="n"/>
      <c r="C370">
        <f>IF($U370="","",INDEX('Per Line'!$B$2:$B$3001,$U370)&amp;"")</f>
        <v/>
      </c>
      <c r="D370">
        <f>IF($U370="","",INDEX('Per Line'!$C$2:$C$3001,$U370)&amp;"")</f>
        <v/>
      </c>
      <c r="E370">
        <f>IF($U370="","",INDEX('Per Line'!$D$2:$D$3001,$U370)&amp;"")</f>
        <v/>
      </c>
      <c r="F370">
        <f>IF($U370="","",INDEX('Per Line'!$E$2:$E$3001,$U370))</f>
        <v/>
      </c>
      <c r="G370" s="7">
        <f>IF($U370="","",F370*S370/100)</f>
        <v/>
      </c>
      <c r="H370">
        <f>IF($U370="","",INDEX('Per Line'!$O$2:$O$3001,$U370)&amp;"")</f>
        <v/>
      </c>
      <c r="I370" s="11">
        <f>IF($U370="","",INDEX('Per Line'!$Q$2:$Q$3001,$U370))</f>
        <v/>
      </c>
      <c r="J370">
        <f>IF($U370="","",INDEX('Per Line'!$R$2:$R$3001,$U370)&amp;"")</f>
        <v/>
      </c>
      <c r="K370">
        <f>IF($U370="","",Settings!$C$7)</f>
        <v/>
      </c>
      <c r="L370" s="7">
        <f>IF($U370="","",SUMIFS('Per Line'!$N$2:$N$3001,'Per Line'!$A$2:$A$3001,$A370,'Per Line'!$W$2:$W$3001,0))</f>
        <v/>
      </c>
      <c r="M370" s="7">
        <f>IF($U370="","",L370*K370)</f>
        <v/>
      </c>
      <c r="N370">
        <f>IF($U370="","",Settings!$C$6)</f>
        <v/>
      </c>
      <c r="O370" s="7">
        <f>IF($U370="","",SUMIFS('Per Line'!$N$2:$N$3001,'Per Line'!$A$2:$A$3001,$A370,'Per Line'!$W$2:$W$3001,1))</f>
        <v/>
      </c>
      <c r="P370" s="7">
        <f>IF($U370="","",O370*N370)</f>
        <v/>
      </c>
      <c r="Q370" s="7">
        <f>IF($U370="","",P370+M370)</f>
        <v/>
      </c>
      <c r="R370" s="7">
        <f>IF($U370="","",S370-Q370)</f>
        <v/>
      </c>
      <c r="S370" s="7">
        <f>IF($U370="","",L370+O370)</f>
        <v/>
      </c>
      <c r="T370" s="7">
        <f>IF($U370="","",S370-Q370-G370)</f>
        <v/>
      </c>
      <c r="U370" s="13">
        <f>IF(ROWS($U$2:$U370)&lt;=MAX('Per Line'!$V$2:$V$3001),MATCH(ROWS($U$2:$U370),'Per Line'!$V$2:$V$3001,0),"")</f>
        <v/>
      </c>
    </row>
    <row r="371">
      <c r="A371">
        <f>IF($U371="","",INDEX('Per Line'!$A$2:$A$3001,$U371)&amp;"")</f>
        <v/>
      </c>
      <c r="B371" s="12" t="n"/>
      <c r="C371">
        <f>IF($U371="","",INDEX('Per Line'!$B$2:$B$3001,$U371)&amp;"")</f>
        <v/>
      </c>
      <c r="D371">
        <f>IF($U371="","",INDEX('Per Line'!$C$2:$C$3001,$U371)&amp;"")</f>
        <v/>
      </c>
      <c r="E371">
        <f>IF($U371="","",INDEX('Per Line'!$D$2:$D$3001,$U371)&amp;"")</f>
        <v/>
      </c>
      <c r="F371">
        <f>IF($U371="","",INDEX('Per Line'!$E$2:$E$3001,$U371))</f>
        <v/>
      </c>
      <c r="G371" s="7">
        <f>IF($U371="","",F371*S371/100)</f>
        <v/>
      </c>
      <c r="H371">
        <f>IF($U371="","",INDEX('Per Line'!$O$2:$O$3001,$U371)&amp;"")</f>
        <v/>
      </c>
      <c r="I371" s="11">
        <f>IF($U371="","",INDEX('Per Line'!$Q$2:$Q$3001,$U371))</f>
        <v/>
      </c>
      <c r="J371">
        <f>IF($U371="","",INDEX('Per Line'!$R$2:$R$3001,$U371)&amp;"")</f>
        <v/>
      </c>
      <c r="K371">
        <f>IF($U371="","",Settings!$C$7)</f>
        <v/>
      </c>
      <c r="L371" s="7">
        <f>IF($U371="","",SUMIFS('Per Line'!$N$2:$N$3001,'Per Line'!$A$2:$A$3001,$A371,'Per Line'!$W$2:$W$3001,0))</f>
        <v/>
      </c>
      <c r="M371" s="7">
        <f>IF($U371="","",L371*K371)</f>
        <v/>
      </c>
      <c r="N371">
        <f>IF($U371="","",Settings!$C$6)</f>
        <v/>
      </c>
      <c r="O371" s="7">
        <f>IF($U371="","",SUMIFS('Per Line'!$N$2:$N$3001,'Per Line'!$A$2:$A$3001,$A371,'Per Line'!$W$2:$W$3001,1))</f>
        <v/>
      </c>
      <c r="P371" s="7">
        <f>IF($U371="","",O371*N371)</f>
        <v/>
      </c>
      <c r="Q371" s="7">
        <f>IF($U371="","",P371+M371)</f>
        <v/>
      </c>
      <c r="R371" s="7">
        <f>IF($U371="","",S371-Q371)</f>
        <v/>
      </c>
      <c r="S371" s="7">
        <f>IF($U371="","",L371+O371)</f>
        <v/>
      </c>
      <c r="T371" s="7">
        <f>IF($U371="","",S371-Q371-G371)</f>
        <v/>
      </c>
      <c r="U371" s="13">
        <f>IF(ROWS($U$2:$U371)&lt;=MAX('Per Line'!$V$2:$V$3001),MATCH(ROWS($U$2:$U371),'Per Line'!$V$2:$V$3001,0),"")</f>
        <v/>
      </c>
    </row>
    <row r="372">
      <c r="A372">
        <f>IF($U372="","",INDEX('Per Line'!$A$2:$A$3001,$U372)&amp;"")</f>
        <v/>
      </c>
      <c r="B372" s="12" t="n"/>
      <c r="C372">
        <f>IF($U372="","",INDEX('Per Line'!$B$2:$B$3001,$U372)&amp;"")</f>
        <v/>
      </c>
      <c r="D372">
        <f>IF($U372="","",INDEX('Per Line'!$C$2:$C$3001,$U372)&amp;"")</f>
        <v/>
      </c>
      <c r="E372">
        <f>IF($U372="","",INDEX('Per Line'!$D$2:$D$3001,$U372)&amp;"")</f>
        <v/>
      </c>
      <c r="F372">
        <f>IF($U372="","",INDEX('Per Line'!$E$2:$E$3001,$U372))</f>
        <v/>
      </c>
      <c r="G372" s="7">
        <f>IF($U372="","",F372*S372/100)</f>
        <v/>
      </c>
      <c r="H372">
        <f>IF($U372="","",INDEX('Per Line'!$O$2:$O$3001,$U372)&amp;"")</f>
        <v/>
      </c>
      <c r="I372" s="11">
        <f>IF($U372="","",INDEX('Per Line'!$Q$2:$Q$3001,$U372))</f>
        <v/>
      </c>
      <c r="J372">
        <f>IF($U372="","",INDEX('Per Line'!$R$2:$R$3001,$U372)&amp;"")</f>
        <v/>
      </c>
      <c r="K372">
        <f>IF($U372="","",Settings!$C$7)</f>
        <v/>
      </c>
      <c r="L372" s="7">
        <f>IF($U372="","",SUMIFS('Per Line'!$N$2:$N$3001,'Per Line'!$A$2:$A$3001,$A372,'Per Line'!$W$2:$W$3001,0))</f>
        <v/>
      </c>
      <c r="M372" s="7">
        <f>IF($U372="","",L372*K372)</f>
        <v/>
      </c>
      <c r="N372">
        <f>IF($U372="","",Settings!$C$6)</f>
        <v/>
      </c>
      <c r="O372" s="7">
        <f>IF($U372="","",SUMIFS('Per Line'!$N$2:$N$3001,'Per Line'!$A$2:$A$3001,$A372,'Per Line'!$W$2:$W$3001,1))</f>
        <v/>
      </c>
      <c r="P372" s="7">
        <f>IF($U372="","",O372*N372)</f>
        <v/>
      </c>
      <c r="Q372" s="7">
        <f>IF($U372="","",P372+M372)</f>
        <v/>
      </c>
      <c r="R372" s="7">
        <f>IF($U372="","",S372-Q372)</f>
        <v/>
      </c>
      <c r="S372" s="7">
        <f>IF($U372="","",L372+O372)</f>
        <v/>
      </c>
      <c r="T372" s="7">
        <f>IF($U372="","",S372-Q372-G372)</f>
        <v/>
      </c>
      <c r="U372" s="13">
        <f>IF(ROWS($U$2:$U372)&lt;=MAX('Per Line'!$V$2:$V$3001),MATCH(ROWS($U$2:$U372),'Per Line'!$V$2:$V$3001,0),"")</f>
        <v/>
      </c>
    </row>
    <row r="373">
      <c r="A373">
        <f>IF($U373="","",INDEX('Per Line'!$A$2:$A$3001,$U373)&amp;"")</f>
        <v/>
      </c>
      <c r="B373" s="12" t="n"/>
      <c r="C373">
        <f>IF($U373="","",INDEX('Per Line'!$B$2:$B$3001,$U373)&amp;"")</f>
        <v/>
      </c>
      <c r="D373">
        <f>IF($U373="","",INDEX('Per Line'!$C$2:$C$3001,$U373)&amp;"")</f>
        <v/>
      </c>
      <c r="E373">
        <f>IF($U373="","",INDEX('Per Line'!$D$2:$D$3001,$U373)&amp;"")</f>
        <v/>
      </c>
      <c r="F373">
        <f>IF($U373="","",INDEX('Per Line'!$E$2:$E$3001,$U373))</f>
        <v/>
      </c>
      <c r="G373" s="7">
        <f>IF($U373="","",F373*S373/100)</f>
        <v/>
      </c>
      <c r="H373">
        <f>IF($U373="","",INDEX('Per Line'!$O$2:$O$3001,$U373)&amp;"")</f>
        <v/>
      </c>
      <c r="I373" s="11">
        <f>IF($U373="","",INDEX('Per Line'!$Q$2:$Q$3001,$U373))</f>
        <v/>
      </c>
      <c r="J373">
        <f>IF($U373="","",INDEX('Per Line'!$R$2:$R$3001,$U373)&amp;"")</f>
        <v/>
      </c>
      <c r="K373">
        <f>IF($U373="","",Settings!$C$7)</f>
        <v/>
      </c>
      <c r="L373" s="7">
        <f>IF($U373="","",SUMIFS('Per Line'!$N$2:$N$3001,'Per Line'!$A$2:$A$3001,$A373,'Per Line'!$W$2:$W$3001,0))</f>
        <v/>
      </c>
      <c r="M373" s="7">
        <f>IF($U373="","",L373*K373)</f>
        <v/>
      </c>
      <c r="N373">
        <f>IF($U373="","",Settings!$C$6)</f>
        <v/>
      </c>
      <c r="O373" s="7">
        <f>IF($U373="","",SUMIFS('Per Line'!$N$2:$N$3001,'Per Line'!$A$2:$A$3001,$A373,'Per Line'!$W$2:$W$3001,1))</f>
        <v/>
      </c>
      <c r="P373" s="7">
        <f>IF($U373="","",O373*N373)</f>
        <v/>
      </c>
      <c r="Q373" s="7">
        <f>IF($U373="","",P373+M373)</f>
        <v/>
      </c>
      <c r="R373" s="7">
        <f>IF($U373="","",S373-Q373)</f>
        <v/>
      </c>
      <c r="S373" s="7">
        <f>IF($U373="","",L373+O373)</f>
        <v/>
      </c>
      <c r="T373" s="7">
        <f>IF($U373="","",S373-Q373-G373)</f>
        <v/>
      </c>
      <c r="U373" s="13">
        <f>IF(ROWS($U$2:$U373)&lt;=MAX('Per Line'!$V$2:$V$3001),MATCH(ROWS($U$2:$U373),'Per Line'!$V$2:$V$3001,0),"")</f>
        <v/>
      </c>
    </row>
    <row r="374">
      <c r="A374">
        <f>IF($U374="","",INDEX('Per Line'!$A$2:$A$3001,$U374)&amp;"")</f>
        <v/>
      </c>
      <c r="B374" s="12" t="n"/>
      <c r="C374">
        <f>IF($U374="","",INDEX('Per Line'!$B$2:$B$3001,$U374)&amp;"")</f>
        <v/>
      </c>
      <c r="D374">
        <f>IF($U374="","",INDEX('Per Line'!$C$2:$C$3001,$U374)&amp;"")</f>
        <v/>
      </c>
      <c r="E374">
        <f>IF($U374="","",INDEX('Per Line'!$D$2:$D$3001,$U374)&amp;"")</f>
        <v/>
      </c>
      <c r="F374">
        <f>IF($U374="","",INDEX('Per Line'!$E$2:$E$3001,$U374))</f>
        <v/>
      </c>
      <c r="G374" s="7">
        <f>IF($U374="","",F374*S374/100)</f>
        <v/>
      </c>
      <c r="H374">
        <f>IF($U374="","",INDEX('Per Line'!$O$2:$O$3001,$U374)&amp;"")</f>
        <v/>
      </c>
      <c r="I374" s="11">
        <f>IF($U374="","",INDEX('Per Line'!$Q$2:$Q$3001,$U374))</f>
        <v/>
      </c>
      <c r="J374">
        <f>IF($U374="","",INDEX('Per Line'!$R$2:$R$3001,$U374)&amp;"")</f>
        <v/>
      </c>
      <c r="K374">
        <f>IF($U374="","",Settings!$C$7)</f>
        <v/>
      </c>
      <c r="L374" s="7">
        <f>IF($U374="","",SUMIFS('Per Line'!$N$2:$N$3001,'Per Line'!$A$2:$A$3001,$A374,'Per Line'!$W$2:$W$3001,0))</f>
        <v/>
      </c>
      <c r="M374" s="7">
        <f>IF($U374="","",L374*K374)</f>
        <v/>
      </c>
      <c r="N374">
        <f>IF($U374="","",Settings!$C$6)</f>
        <v/>
      </c>
      <c r="O374" s="7">
        <f>IF($U374="","",SUMIFS('Per Line'!$N$2:$N$3001,'Per Line'!$A$2:$A$3001,$A374,'Per Line'!$W$2:$W$3001,1))</f>
        <v/>
      </c>
      <c r="P374" s="7">
        <f>IF($U374="","",O374*N374)</f>
        <v/>
      </c>
      <c r="Q374" s="7">
        <f>IF($U374="","",P374+M374)</f>
        <v/>
      </c>
      <c r="R374" s="7">
        <f>IF($U374="","",S374-Q374)</f>
        <v/>
      </c>
      <c r="S374" s="7">
        <f>IF($U374="","",L374+O374)</f>
        <v/>
      </c>
      <c r="T374" s="7">
        <f>IF($U374="","",S374-Q374-G374)</f>
        <v/>
      </c>
      <c r="U374" s="13">
        <f>IF(ROWS($U$2:$U374)&lt;=MAX('Per Line'!$V$2:$V$3001),MATCH(ROWS($U$2:$U374),'Per Line'!$V$2:$V$3001,0),"")</f>
        <v/>
      </c>
    </row>
    <row r="375">
      <c r="A375">
        <f>IF($U375="","",INDEX('Per Line'!$A$2:$A$3001,$U375)&amp;"")</f>
        <v/>
      </c>
      <c r="B375" s="12" t="n"/>
      <c r="C375">
        <f>IF($U375="","",INDEX('Per Line'!$B$2:$B$3001,$U375)&amp;"")</f>
        <v/>
      </c>
      <c r="D375">
        <f>IF($U375="","",INDEX('Per Line'!$C$2:$C$3001,$U375)&amp;"")</f>
        <v/>
      </c>
      <c r="E375">
        <f>IF($U375="","",INDEX('Per Line'!$D$2:$D$3001,$U375)&amp;"")</f>
        <v/>
      </c>
      <c r="F375">
        <f>IF($U375="","",INDEX('Per Line'!$E$2:$E$3001,$U375))</f>
        <v/>
      </c>
      <c r="G375" s="7">
        <f>IF($U375="","",F375*S375/100)</f>
        <v/>
      </c>
      <c r="H375">
        <f>IF($U375="","",INDEX('Per Line'!$O$2:$O$3001,$U375)&amp;"")</f>
        <v/>
      </c>
      <c r="I375" s="11">
        <f>IF($U375="","",INDEX('Per Line'!$Q$2:$Q$3001,$U375))</f>
        <v/>
      </c>
      <c r="J375">
        <f>IF($U375="","",INDEX('Per Line'!$R$2:$R$3001,$U375)&amp;"")</f>
        <v/>
      </c>
      <c r="K375">
        <f>IF($U375="","",Settings!$C$7)</f>
        <v/>
      </c>
      <c r="L375" s="7">
        <f>IF($U375="","",SUMIFS('Per Line'!$N$2:$N$3001,'Per Line'!$A$2:$A$3001,$A375,'Per Line'!$W$2:$W$3001,0))</f>
        <v/>
      </c>
      <c r="M375" s="7">
        <f>IF($U375="","",L375*K375)</f>
        <v/>
      </c>
      <c r="N375">
        <f>IF($U375="","",Settings!$C$6)</f>
        <v/>
      </c>
      <c r="O375" s="7">
        <f>IF($U375="","",SUMIFS('Per Line'!$N$2:$N$3001,'Per Line'!$A$2:$A$3001,$A375,'Per Line'!$W$2:$W$3001,1))</f>
        <v/>
      </c>
      <c r="P375" s="7">
        <f>IF($U375="","",O375*N375)</f>
        <v/>
      </c>
      <c r="Q375" s="7">
        <f>IF($U375="","",P375+M375)</f>
        <v/>
      </c>
      <c r="R375" s="7">
        <f>IF($U375="","",S375-Q375)</f>
        <v/>
      </c>
      <c r="S375" s="7">
        <f>IF($U375="","",L375+O375)</f>
        <v/>
      </c>
      <c r="T375" s="7">
        <f>IF($U375="","",S375-Q375-G375)</f>
        <v/>
      </c>
      <c r="U375" s="13">
        <f>IF(ROWS($U$2:$U375)&lt;=MAX('Per Line'!$V$2:$V$3001),MATCH(ROWS($U$2:$U375),'Per Line'!$V$2:$V$3001,0),"")</f>
        <v/>
      </c>
    </row>
    <row r="376">
      <c r="A376">
        <f>IF($U376="","",INDEX('Per Line'!$A$2:$A$3001,$U376)&amp;"")</f>
        <v/>
      </c>
      <c r="B376" s="12" t="n"/>
      <c r="C376">
        <f>IF($U376="","",INDEX('Per Line'!$B$2:$B$3001,$U376)&amp;"")</f>
        <v/>
      </c>
      <c r="D376">
        <f>IF($U376="","",INDEX('Per Line'!$C$2:$C$3001,$U376)&amp;"")</f>
        <v/>
      </c>
      <c r="E376">
        <f>IF($U376="","",INDEX('Per Line'!$D$2:$D$3001,$U376)&amp;"")</f>
        <v/>
      </c>
      <c r="F376">
        <f>IF($U376="","",INDEX('Per Line'!$E$2:$E$3001,$U376))</f>
        <v/>
      </c>
      <c r="G376" s="7">
        <f>IF($U376="","",F376*S376/100)</f>
        <v/>
      </c>
      <c r="H376">
        <f>IF($U376="","",INDEX('Per Line'!$O$2:$O$3001,$U376)&amp;"")</f>
        <v/>
      </c>
      <c r="I376" s="11">
        <f>IF($U376="","",INDEX('Per Line'!$Q$2:$Q$3001,$U376))</f>
        <v/>
      </c>
      <c r="J376">
        <f>IF($U376="","",INDEX('Per Line'!$R$2:$R$3001,$U376)&amp;"")</f>
        <v/>
      </c>
      <c r="K376">
        <f>IF($U376="","",Settings!$C$7)</f>
        <v/>
      </c>
      <c r="L376" s="7">
        <f>IF($U376="","",SUMIFS('Per Line'!$N$2:$N$3001,'Per Line'!$A$2:$A$3001,$A376,'Per Line'!$W$2:$W$3001,0))</f>
        <v/>
      </c>
      <c r="M376" s="7">
        <f>IF($U376="","",L376*K376)</f>
        <v/>
      </c>
      <c r="N376">
        <f>IF($U376="","",Settings!$C$6)</f>
        <v/>
      </c>
      <c r="O376" s="7">
        <f>IF($U376="","",SUMIFS('Per Line'!$N$2:$N$3001,'Per Line'!$A$2:$A$3001,$A376,'Per Line'!$W$2:$W$3001,1))</f>
        <v/>
      </c>
      <c r="P376" s="7">
        <f>IF($U376="","",O376*N376)</f>
        <v/>
      </c>
      <c r="Q376" s="7">
        <f>IF($U376="","",P376+M376)</f>
        <v/>
      </c>
      <c r="R376" s="7">
        <f>IF($U376="","",S376-Q376)</f>
        <v/>
      </c>
      <c r="S376" s="7">
        <f>IF($U376="","",L376+O376)</f>
        <v/>
      </c>
      <c r="T376" s="7">
        <f>IF($U376="","",S376-Q376-G376)</f>
        <v/>
      </c>
      <c r="U376" s="13">
        <f>IF(ROWS($U$2:$U376)&lt;=MAX('Per Line'!$V$2:$V$3001),MATCH(ROWS($U$2:$U376),'Per Line'!$V$2:$V$3001,0),"")</f>
        <v/>
      </c>
    </row>
    <row r="377">
      <c r="A377">
        <f>IF($U377="","",INDEX('Per Line'!$A$2:$A$3001,$U377)&amp;"")</f>
        <v/>
      </c>
      <c r="B377" s="12" t="n"/>
      <c r="C377">
        <f>IF($U377="","",INDEX('Per Line'!$B$2:$B$3001,$U377)&amp;"")</f>
        <v/>
      </c>
      <c r="D377">
        <f>IF($U377="","",INDEX('Per Line'!$C$2:$C$3001,$U377)&amp;"")</f>
        <v/>
      </c>
      <c r="E377">
        <f>IF($U377="","",INDEX('Per Line'!$D$2:$D$3001,$U377)&amp;"")</f>
        <v/>
      </c>
      <c r="F377">
        <f>IF($U377="","",INDEX('Per Line'!$E$2:$E$3001,$U377))</f>
        <v/>
      </c>
      <c r="G377" s="7">
        <f>IF($U377="","",F377*S377/100)</f>
        <v/>
      </c>
      <c r="H377">
        <f>IF($U377="","",INDEX('Per Line'!$O$2:$O$3001,$U377)&amp;"")</f>
        <v/>
      </c>
      <c r="I377" s="11">
        <f>IF($U377="","",INDEX('Per Line'!$Q$2:$Q$3001,$U377))</f>
        <v/>
      </c>
      <c r="J377">
        <f>IF($U377="","",INDEX('Per Line'!$R$2:$R$3001,$U377)&amp;"")</f>
        <v/>
      </c>
      <c r="K377">
        <f>IF($U377="","",Settings!$C$7)</f>
        <v/>
      </c>
      <c r="L377" s="7">
        <f>IF($U377="","",SUMIFS('Per Line'!$N$2:$N$3001,'Per Line'!$A$2:$A$3001,$A377,'Per Line'!$W$2:$W$3001,0))</f>
        <v/>
      </c>
      <c r="M377" s="7">
        <f>IF($U377="","",L377*K377)</f>
        <v/>
      </c>
      <c r="N377">
        <f>IF($U377="","",Settings!$C$6)</f>
        <v/>
      </c>
      <c r="O377" s="7">
        <f>IF($U377="","",SUMIFS('Per Line'!$N$2:$N$3001,'Per Line'!$A$2:$A$3001,$A377,'Per Line'!$W$2:$W$3001,1))</f>
        <v/>
      </c>
      <c r="P377" s="7">
        <f>IF($U377="","",O377*N377)</f>
        <v/>
      </c>
      <c r="Q377" s="7">
        <f>IF($U377="","",P377+M377)</f>
        <v/>
      </c>
      <c r="R377" s="7">
        <f>IF($U377="","",S377-Q377)</f>
        <v/>
      </c>
      <c r="S377" s="7">
        <f>IF($U377="","",L377+O377)</f>
        <v/>
      </c>
      <c r="T377" s="7">
        <f>IF($U377="","",S377-Q377-G377)</f>
        <v/>
      </c>
      <c r="U377" s="13">
        <f>IF(ROWS($U$2:$U377)&lt;=MAX('Per Line'!$V$2:$V$3001),MATCH(ROWS($U$2:$U377),'Per Line'!$V$2:$V$3001,0),"")</f>
        <v/>
      </c>
    </row>
    <row r="378">
      <c r="A378">
        <f>IF($U378="","",INDEX('Per Line'!$A$2:$A$3001,$U378)&amp;"")</f>
        <v/>
      </c>
      <c r="B378" s="12" t="n"/>
      <c r="C378">
        <f>IF($U378="","",INDEX('Per Line'!$B$2:$B$3001,$U378)&amp;"")</f>
        <v/>
      </c>
      <c r="D378">
        <f>IF($U378="","",INDEX('Per Line'!$C$2:$C$3001,$U378)&amp;"")</f>
        <v/>
      </c>
      <c r="E378">
        <f>IF($U378="","",INDEX('Per Line'!$D$2:$D$3001,$U378)&amp;"")</f>
        <v/>
      </c>
      <c r="F378">
        <f>IF($U378="","",INDEX('Per Line'!$E$2:$E$3001,$U378))</f>
        <v/>
      </c>
      <c r="G378" s="7">
        <f>IF($U378="","",F378*S378/100)</f>
        <v/>
      </c>
      <c r="H378">
        <f>IF($U378="","",INDEX('Per Line'!$O$2:$O$3001,$U378)&amp;"")</f>
        <v/>
      </c>
      <c r="I378" s="11">
        <f>IF($U378="","",INDEX('Per Line'!$Q$2:$Q$3001,$U378))</f>
        <v/>
      </c>
      <c r="J378">
        <f>IF($U378="","",INDEX('Per Line'!$R$2:$R$3001,$U378)&amp;"")</f>
        <v/>
      </c>
      <c r="K378">
        <f>IF($U378="","",Settings!$C$7)</f>
        <v/>
      </c>
      <c r="L378" s="7">
        <f>IF($U378="","",SUMIFS('Per Line'!$N$2:$N$3001,'Per Line'!$A$2:$A$3001,$A378,'Per Line'!$W$2:$W$3001,0))</f>
        <v/>
      </c>
      <c r="M378" s="7">
        <f>IF($U378="","",L378*K378)</f>
        <v/>
      </c>
      <c r="N378">
        <f>IF($U378="","",Settings!$C$6)</f>
        <v/>
      </c>
      <c r="O378" s="7">
        <f>IF($U378="","",SUMIFS('Per Line'!$N$2:$N$3001,'Per Line'!$A$2:$A$3001,$A378,'Per Line'!$W$2:$W$3001,1))</f>
        <v/>
      </c>
      <c r="P378" s="7">
        <f>IF($U378="","",O378*N378)</f>
        <v/>
      </c>
      <c r="Q378" s="7">
        <f>IF($U378="","",P378+M378)</f>
        <v/>
      </c>
      <c r="R378" s="7">
        <f>IF($U378="","",S378-Q378)</f>
        <v/>
      </c>
      <c r="S378" s="7">
        <f>IF($U378="","",L378+O378)</f>
        <v/>
      </c>
      <c r="T378" s="7">
        <f>IF($U378="","",S378-Q378-G378)</f>
        <v/>
      </c>
      <c r="U378" s="13">
        <f>IF(ROWS($U$2:$U378)&lt;=MAX('Per Line'!$V$2:$V$3001),MATCH(ROWS($U$2:$U378),'Per Line'!$V$2:$V$3001,0),"")</f>
        <v/>
      </c>
    </row>
    <row r="379">
      <c r="A379">
        <f>IF($U379="","",INDEX('Per Line'!$A$2:$A$3001,$U379)&amp;"")</f>
        <v/>
      </c>
      <c r="B379" s="12" t="n"/>
      <c r="C379">
        <f>IF($U379="","",INDEX('Per Line'!$B$2:$B$3001,$U379)&amp;"")</f>
        <v/>
      </c>
      <c r="D379">
        <f>IF($U379="","",INDEX('Per Line'!$C$2:$C$3001,$U379)&amp;"")</f>
        <v/>
      </c>
      <c r="E379">
        <f>IF($U379="","",INDEX('Per Line'!$D$2:$D$3001,$U379)&amp;"")</f>
        <v/>
      </c>
      <c r="F379">
        <f>IF($U379="","",INDEX('Per Line'!$E$2:$E$3001,$U379))</f>
        <v/>
      </c>
      <c r="G379" s="7">
        <f>IF($U379="","",F379*S379/100)</f>
        <v/>
      </c>
      <c r="H379">
        <f>IF($U379="","",INDEX('Per Line'!$O$2:$O$3001,$U379)&amp;"")</f>
        <v/>
      </c>
      <c r="I379" s="11">
        <f>IF($U379="","",INDEX('Per Line'!$Q$2:$Q$3001,$U379))</f>
        <v/>
      </c>
      <c r="J379">
        <f>IF($U379="","",INDEX('Per Line'!$R$2:$R$3001,$U379)&amp;"")</f>
        <v/>
      </c>
      <c r="K379">
        <f>IF($U379="","",Settings!$C$7)</f>
        <v/>
      </c>
      <c r="L379" s="7">
        <f>IF($U379="","",SUMIFS('Per Line'!$N$2:$N$3001,'Per Line'!$A$2:$A$3001,$A379,'Per Line'!$W$2:$W$3001,0))</f>
        <v/>
      </c>
      <c r="M379" s="7">
        <f>IF($U379="","",L379*K379)</f>
        <v/>
      </c>
      <c r="N379">
        <f>IF($U379="","",Settings!$C$6)</f>
        <v/>
      </c>
      <c r="O379" s="7">
        <f>IF($U379="","",SUMIFS('Per Line'!$N$2:$N$3001,'Per Line'!$A$2:$A$3001,$A379,'Per Line'!$W$2:$W$3001,1))</f>
        <v/>
      </c>
      <c r="P379" s="7">
        <f>IF($U379="","",O379*N379)</f>
        <v/>
      </c>
      <c r="Q379" s="7">
        <f>IF($U379="","",P379+M379)</f>
        <v/>
      </c>
      <c r="R379" s="7">
        <f>IF($U379="","",S379-Q379)</f>
        <v/>
      </c>
      <c r="S379" s="7">
        <f>IF($U379="","",L379+O379)</f>
        <v/>
      </c>
      <c r="T379" s="7">
        <f>IF($U379="","",S379-Q379-G379)</f>
        <v/>
      </c>
      <c r="U379" s="13">
        <f>IF(ROWS($U$2:$U379)&lt;=MAX('Per Line'!$V$2:$V$3001),MATCH(ROWS($U$2:$U379),'Per Line'!$V$2:$V$3001,0),"")</f>
        <v/>
      </c>
    </row>
    <row r="380">
      <c r="A380">
        <f>IF($U380="","",INDEX('Per Line'!$A$2:$A$3001,$U380)&amp;"")</f>
        <v/>
      </c>
      <c r="B380" s="12" t="n"/>
      <c r="C380">
        <f>IF($U380="","",INDEX('Per Line'!$B$2:$B$3001,$U380)&amp;"")</f>
        <v/>
      </c>
      <c r="D380">
        <f>IF($U380="","",INDEX('Per Line'!$C$2:$C$3001,$U380)&amp;"")</f>
        <v/>
      </c>
      <c r="E380">
        <f>IF($U380="","",INDEX('Per Line'!$D$2:$D$3001,$U380)&amp;"")</f>
        <v/>
      </c>
      <c r="F380">
        <f>IF($U380="","",INDEX('Per Line'!$E$2:$E$3001,$U380))</f>
        <v/>
      </c>
      <c r="G380" s="7">
        <f>IF($U380="","",F380*S380/100)</f>
        <v/>
      </c>
      <c r="H380">
        <f>IF($U380="","",INDEX('Per Line'!$O$2:$O$3001,$U380)&amp;"")</f>
        <v/>
      </c>
      <c r="I380" s="11">
        <f>IF($U380="","",INDEX('Per Line'!$Q$2:$Q$3001,$U380))</f>
        <v/>
      </c>
      <c r="J380">
        <f>IF($U380="","",INDEX('Per Line'!$R$2:$R$3001,$U380)&amp;"")</f>
        <v/>
      </c>
      <c r="K380">
        <f>IF($U380="","",Settings!$C$7)</f>
        <v/>
      </c>
      <c r="L380" s="7">
        <f>IF($U380="","",SUMIFS('Per Line'!$N$2:$N$3001,'Per Line'!$A$2:$A$3001,$A380,'Per Line'!$W$2:$W$3001,0))</f>
        <v/>
      </c>
      <c r="M380" s="7">
        <f>IF($U380="","",L380*K380)</f>
        <v/>
      </c>
      <c r="N380">
        <f>IF($U380="","",Settings!$C$6)</f>
        <v/>
      </c>
      <c r="O380" s="7">
        <f>IF($U380="","",SUMIFS('Per Line'!$N$2:$N$3001,'Per Line'!$A$2:$A$3001,$A380,'Per Line'!$W$2:$W$3001,1))</f>
        <v/>
      </c>
      <c r="P380" s="7">
        <f>IF($U380="","",O380*N380)</f>
        <v/>
      </c>
      <c r="Q380" s="7">
        <f>IF($U380="","",P380+M380)</f>
        <v/>
      </c>
      <c r="R380" s="7">
        <f>IF($U380="","",S380-Q380)</f>
        <v/>
      </c>
      <c r="S380" s="7">
        <f>IF($U380="","",L380+O380)</f>
        <v/>
      </c>
      <c r="T380" s="7">
        <f>IF($U380="","",S380-Q380-G380)</f>
        <v/>
      </c>
      <c r="U380" s="13">
        <f>IF(ROWS($U$2:$U380)&lt;=MAX('Per Line'!$V$2:$V$3001),MATCH(ROWS($U$2:$U380),'Per Line'!$V$2:$V$3001,0),"")</f>
        <v/>
      </c>
    </row>
    <row r="381">
      <c r="A381">
        <f>IF($U381="","",INDEX('Per Line'!$A$2:$A$3001,$U381)&amp;"")</f>
        <v/>
      </c>
      <c r="B381" s="12" t="n"/>
      <c r="C381">
        <f>IF($U381="","",INDEX('Per Line'!$B$2:$B$3001,$U381)&amp;"")</f>
        <v/>
      </c>
      <c r="D381">
        <f>IF($U381="","",INDEX('Per Line'!$C$2:$C$3001,$U381)&amp;"")</f>
        <v/>
      </c>
      <c r="E381">
        <f>IF($U381="","",INDEX('Per Line'!$D$2:$D$3001,$U381)&amp;"")</f>
        <v/>
      </c>
      <c r="F381">
        <f>IF($U381="","",INDEX('Per Line'!$E$2:$E$3001,$U381))</f>
        <v/>
      </c>
      <c r="G381" s="7">
        <f>IF($U381="","",F381*S381/100)</f>
        <v/>
      </c>
      <c r="H381">
        <f>IF($U381="","",INDEX('Per Line'!$O$2:$O$3001,$U381)&amp;"")</f>
        <v/>
      </c>
      <c r="I381" s="11">
        <f>IF($U381="","",INDEX('Per Line'!$Q$2:$Q$3001,$U381))</f>
        <v/>
      </c>
      <c r="J381">
        <f>IF($U381="","",INDEX('Per Line'!$R$2:$R$3001,$U381)&amp;"")</f>
        <v/>
      </c>
      <c r="K381">
        <f>IF($U381="","",Settings!$C$7)</f>
        <v/>
      </c>
      <c r="L381" s="7">
        <f>IF($U381="","",SUMIFS('Per Line'!$N$2:$N$3001,'Per Line'!$A$2:$A$3001,$A381,'Per Line'!$W$2:$W$3001,0))</f>
        <v/>
      </c>
      <c r="M381" s="7">
        <f>IF($U381="","",L381*K381)</f>
        <v/>
      </c>
      <c r="N381">
        <f>IF($U381="","",Settings!$C$6)</f>
        <v/>
      </c>
      <c r="O381" s="7">
        <f>IF($U381="","",SUMIFS('Per Line'!$N$2:$N$3001,'Per Line'!$A$2:$A$3001,$A381,'Per Line'!$W$2:$W$3001,1))</f>
        <v/>
      </c>
      <c r="P381" s="7">
        <f>IF($U381="","",O381*N381)</f>
        <v/>
      </c>
      <c r="Q381" s="7">
        <f>IF($U381="","",P381+M381)</f>
        <v/>
      </c>
      <c r="R381" s="7">
        <f>IF($U381="","",S381-Q381)</f>
        <v/>
      </c>
      <c r="S381" s="7">
        <f>IF($U381="","",L381+O381)</f>
        <v/>
      </c>
      <c r="T381" s="7">
        <f>IF($U381="","",S381-Q381-G381)</f>
        <v/>
      </c>
      <c r="U381" s="13">
        <f>IF(ROWS($U$2:$U381)&lt;=MAX('Per Line'!$V$2:$V$3001),MATCH(ROWS($U$2:$U381),'Per Line'!$V$2:$V$3001,0),"")</f>
        <v/>
      </c>
    </row>
    <row r="382">
      <c r="A382">
        <f>IF($U382="","",INDEX('Per Line'!$A$2:$A$3001,$U382)&amp;"")</f>
        <v/>
      </c>
      <c r="B382" s="12" t="n"/>
      <c r="C382">
        <f>IF($U382="","",INDEX('Per Line'!$B$2:$B$3001,$U382)&amp;"")</f>
        <v/>
      </c>
      <c r="D382">
        <f>IF($U382="","",INDEX('Per Line'!$C$2:$C$3001,$U382)&amp;"")</f>
        <v/>
      </c>
      <c r="E382">
        <f>IF($U382="","",INDEX('Per Line'!$D$2:$D$3001,$U382)&amp;"")</f>
        <v/>
      </c>
      <c r="F382">
        <f>IF($U382="","",INDEX('Per Line'!$E$2:$E$3001,$U382))</f>
        <v/>
      </c>
      <c r="G382" s="7">
        <f>IF($U382="","",F382*S382/100)</f>
        <v/>
      </c>
      <c r="H382">
        <f>IF($U382="","",INDEX('Per Line'!$O$2:$O$3001,$U382)&amp;"")</f>
        <v/>
      </c>
      <c r="I382" s="11">
        <f>IF($U382="","",INDEX('Per Line'!$Q$2:$Q$3001,$U382))</f>
        <v/>
      </c>
      <c r="J382">
        <f>IF($U382="","",INDEX('Per Line'!$R$2:$R$3001,$U382)&amp;"")</f>
        <v/>
      </c>
      <c r="K382">
        <f>IF($U382="","",Settings!$C$7)</f>
        <v/>
      </c>
      <c r="L382" s="7">
        <f>IF($U382="","",SUMIFS('Per Line'!$N$2:$N$3001,'Per Line'!$A$2:$A$3001,$A382,'Per Line'!$W$2:$W$3001,0))</f>
        <v/>
      </c>
      <c r="M382" s="7">
        <f>IF($U382="","",L382*K382)</f>
        <v/>
      </c>
      <c r="N382">
        <f>IF($U382="","",Settings!$C$6)</f>
        <v/>
      </c>
      <c r="O382" s="7">
        <f>IF($U382="","",SUMIFS('Per Line'!$N$2:$N$3001,'Per Line'!$A$2:$A$3001,$A382,'Per Line'!$W$2:$W$3001,1))</f>
        <v/>
      </c>
      <c r="P382" s="7">
        <f>IF($U382="","",O382*N382)</f>
        <v/>
      </c>
      <c r="Q382" s="7">
        <f>IF($U382="","",P382+M382)</f>
        <v/>
      </c>
      <c r="R382" s="7">
        <f>IF($U382="","",S382-Q382)</f>
        <v/>
      </c>
      <c r="S382" s="7">
        <f>IF($U382="","",L382+O382)</f>
        <v/>
      </c>
      <c r="T382" s="7">
        <f>IF($U382="","",S382-Q382-G382)</f>
        <v/>
      </c>
      <c r="U382" s="13">
        <f>IF(ROWS($U$2:$U382)&lt;=MAX('Per Line'!$V$2:$V$3001),MATCH(ROWS($U$2:$U382),'Per Line'!$V$2:$V$3001,0),"")</f>
        <v/>
      </c>
    </row>
    <row r="383">
      <c r="A383">
        <f>IF($U383="","",INDEX('Per Line'!$A$2:$A$3001,$U383)&amp;"")</f>
        <v/>
      </c>
      <c r="B383" s="12" t="n"/>
      <c r="C383">
        <f>IF($U383="","",INDEX('Per Line'!$B$2:$B$3001,$U383)&amp;"")</f>
        <v/>
      </c>
      <c r="D383">
        <f>IF($U383="","",INDEX('Per Line'!$C$2:$C$3001,$U383)&amp;"")</f>
        <v/>
      </c>
      <c r="E383">
        <f>IF($U383="","",INDEX('Per Line'!$D$2:$D$3001,$U383)&amp;"")</f>
        <v/>
      </c>
      <c r="F383">
        <f>IF($U383="","",INDEX('Per Line'!$E$2:$E$3001,$U383))</f>
        <v/>
      </c>
      <c r="G383" s="7">
        <f>IF($U383="","",F383*S383/100)</f>
        <v/>
      </c>
      <c r="H383">
        <f>IF($U383="","",INDEX('Per Line'!$O$2:$O$3001,$U383)&amp;"")</f>
        <v/>
      </c>
      <c r="I383" s="11">
        <f>IF($U383="","",INDEX('Per Line'!$Q$2:$Q$3001,$U383))</f>
        <v/>
      </c>
      <c r="J383">
        <f>IF($U383="","",INDEX('Per Line'!$R$2:$R$3001,$U383)&amp;"")</f>
        <v/>
      </c>
      <c r="K383">
        <f>IF($U383="","",Settings!$C$7)</f>
        <v/>
      </c>
      <c r="L383" s="7">
        <f>IF($U383="","",SUMIFS('Per Line'!$N$2:$N$3001,'Per Line'!$A$2:$A$3001,$A383,'Per Line'!$W$2:$W$3001,0))</f>
        <v/>
      </c>
      <c r="M383" s="7">
        <f>IF($U383="","",L383*K383)</f>
        <v/>
      </c>
      <c r="N383">
        <f>IF($U383="","",Settings!$C$6)</f>
        <v/>
      </c>
      <c r="O383" s="7">
        <f>IF($U383="","",SUMIFS('Per Line'!$N$2:$N$3001,'Per Line'!$A$2:$A$3001,$A383,'Per Line'!$W$2:$W$3001,1))</f>
        <v/>
      </c>
      <c r="P383" s="7">
        <f>IF($U383="","",O383*N383)</f>
        <v/>
      </c>
      <c r="Q383" s="7">
        <f>IF($U383="","",P383+M383)</f>
        <v/>
      </c>
      <c r="R383" s="7">
        <f>IF($U383="","",S383-Q383)</f>
        <v/>
      </c>
      <c r="S383" s="7">
        <f>IF($U383="","",L383+O383)</f>
        <v/>
      </c>
      <c r="T383" s="7">
        <f>IF($U383="","",S383-Q383-G383)</f>
        <v/>
      </c>
      <c r="U383" s="13">
        <f>IF(ROWS($U$2:$U383)&lt;=MAX('Per Line'!$V$2:$V$3001),MATCH(ROWS($U$2:$U383),'Per Line'!$V$2:$V$3001,0),"")</f>
        <v/>
      </c>
    </row>
    <row r="384">
      <c r="A384">
        <f>IF($U384="","",INDEX('Per Line'!$A$2:$A$3001,$U384)&amp;"")</f>
        <v/>
      </c>
      <c r="B384" s="12" t="n"/>
      <c r="C384">
        <f>IF($U384="","",INDEX('Per Line'!$B$2:$B$3001,$U384)&amp;"")</f>
        <v/>
      </c>
      <c r="D384">
        <f>IF($U384="","",INDEX('Per Line'!$C$2:$C$3001,$U384)&amp;"")</f>
        <v/>
      </c>
      <c r="E384">
        <f>IF($U384="","",INDEX('Per Line'!$D$2:$D$3001,$U384)&amp;"")</f>
        <v/>
      </c>
      <c r="F384">
        <f>IF($U384="","",INDEX('Per Line'!$E$2:$E$3001,$U384))</f>
        <v/>
      </c>
      <c r="G384" s="7">
        <f>IF($U384="","",F384*S384/100)</f>
        <v/>
      </c>
      <c r="H384">
        <f>IF($U384="","",INDEX('Per Line'!$O$2:$O$3001,$U384)&amp;"")</f>
        <v/>
      </c>
      <c r="I384" s="11">
        <f>IF($U384="","",INDEX('Per Line'!$Q$2:$Q$3001,$U384))</f>
        <v/>
      </c>
      <c r="J384">
        <f>IF($U384="","",INDEX('Per Line'!$R$2:$R$3001,$U384)&amp;"")</f>
        <v/>
      </c>
      <c r="K384">
        <f>IF($U384="","",Settings!$C$7)</f>
        <v/>
      </c>
      <c r="L384" s="7">
        <f>IF($U384="","",SUMIFS('Per Line'!$N$2:$N$3001,'Per Line'!$A$2:$A$3001,$A384,'Per Line'!$W$2:$W$3001,0))</f>
        <v/>
      </c>
      <c r="M384" s="7">
        <f>IF($U384="","",L384*K384)</f>
        <v/>
      </c>
      <c r="N384">
        <f>IF($U384="","",Settings!$C$6)</f>
        <v/>
      </c>
      <c r="O384" s="7">
        <f>IF($U384="","",SUMIFS('Per Line'!$N$2:$N$3001,'Per Line'!$A$2:$A$3001,$A384,'Per Line'!$W$2:$W$3001,1))</f>
        <v/>
      </c>
      <c r="P384" s="7">
        <f>IF($U384="","",O384*N384)</f>
        <v/>
      </c>
      <c r="Q384" s="7">
        <f>IF($U384="","",P384+M384)</f>
        <v/>
      </c>
      <c r="R384" s="7">
        <f>IF($U384="","",S384-Q384)</f>
        <v/>
      </c>
      <c r="S384" s="7">
        <f>IF($U384="","",L384+O384)</f>
        <v/>
      </c>
      <c r="T384" s="7">
        <f>IF($U384="","",S384-Q384-G384)</f>
        <v/>
      </c>
      <c r="U384" s="13">
        <f>IF(ROWS($U$2:$U384)&lt;=MAX('Per Line'!$V$2:$V$3001),MATCH(ROWS($U$2:$U384),'Per Line'!$V$2:$V$3001,0),"")</f>
        <v/>
      </c>
    </row>
    <row r="385">
      <c r="A385">
        <f>IF($U385="","",INDEX('Per Line'!$A$2:$A$3001,$U385)&amp;"")</f>
        <v/>
      </c>
      <c r="B385" s="12" t="n"/>
      <c r="C385">
        <f>IF($U385="","",INDEX('Per Line'!$B$2:$B$3001,$U385)&amp;"")</f>
        <v/>
      </c>
      <c r="D385">
        <f>IF($U385="","",INDEX('Per Line'!$C$2:$C$3001,$U385)&amp;"")</f>
        <v/>
      </c>
      <c r="E385">
        <f>IF($U385="","",INDEX('Per Line'!$D$2:$D$3001,$U385)&amp;"")</f>
        <v/>
      </c>
      <c r="F385">
        <f>IF($U385="","",INDEX('Per Line'!$E$2:$E$3001,$U385))</f>
        <v/>
      </c>
      <c r="G385" s="7">
        <f>IF($U385="","",F385*S385/100)</f>
        <v/>
      </c>
      <c r="H385">
        <f>IF($U385="","",INDEX('Per Line'!$O$2:$O$3001,$U385)&amp;"")</f>
        <v/>
      </c>
      <c r="I385" s="11">
        <f>IF($U385="","",INDEX('Per Line'!$Q$2:$Q$3001,$U385))</f>
        <v/>
      </c>
      <c r="J385">
        <f>IF($U385="","",INDEX('Per Line'!$R$2:$R$3001,$U385)&amp;"")</f>
        <v/>
      </c>
      <c r="K385">
        <f>IF($U385="","",Settings!$C$7)</f>
        <v/>
      </c>
      <c r="L385" s="7">
        <f>IF($U385="","",SUMIFS('Per Line'!$N$2:$N$3001,'Per Line'!$A$2:$A$3001,$A385,'Per Line'!$W$2:$W$3001,0))</f>
        <v/>
      </c>
      <c r="M385" s="7">
        <f>IF($U385="","",L385*K385)</f>
        <v/>
      </c>
      <c r="N385">
        <f>IF($U385="","",Settings!$C$6)</f>
        <v/>
      </c>
      <c r="O385" s="7">
        <f>IF($U385="","",SUMIFS('Per Line'!$N$2:$N$3001,'Per Line'!$A$2:$A$3001,$A385,'Per Line'!$W$2:$W$3001,1))</f>
        <v/>
      </c>
      <c r="P385" s="7">
        <f>IF($U385="","",O385*N385)</f>
        <v/>
      </c>
      <c r="Q385" s="7">
        <f>IF($U385="","",P385+M385)</f>
        <v/>
      </c>
      <c r="R385" s="7">
        <f>IF($U385="","",S385-Q385)</f>
        <v/>
      </c>
      <c r="S385" s="7">
        <f>IF($U385="","",L385+O385)</f>
        <v/>
      </c>
      <c r="T385" s="7">
        <f>IF($U385="","",S385-Q385-G385)</f>
        <v/>
      </c>
      <c r="U385" s="13">
        <f>IF(ROWS($U$2:$U385)&lt;=MAX('Per Line'!$V$2:$V$3001),MATCH(ROWS($U$2:$U385),'Per Line'!$V$2:$V$3001,0),"")</f>
        <v/>
      </c>
    </row>
    <row r="386">
      <c r="A386">
        <f>IF($U386="","",INDEX('Per Line'!$A$2:$A$3001,$U386)&amp;"")</f>
        <v/>
      </c>
      <c r="B386" s="12" t="n"/>
      <c r="C386">
        <f>IF($U386="","",INDEX('Per Line'!$B$2:$B$3001,$U386)&amp;"")</f>
        <v/>
      </c>
      <c r="D386">
        <f>IF($U386="","",INDEX('Per Line'!$C$2:$C$3001,$U386)&amp;"")</f>
        <v/>
      </c>
      <c r="E386">
        <f>IF($U386="","",INDEX('Per Line'!$D$2:$D$3001,$U386)&amp;"")</f>
        <v/>
      </c>
      <c r="F386">
        <f>IF($U386="","",INDEX('Per Line'!$E$2:$E$3001,$U386))</f>
        <v/>
      </c>
      <c r="G386" s="7">
        <f>IF($U386="","",F386*S386/100)</f>
        <v/>
      </c>
      <c r="H386">
        <f>IF($U386="","",INDEX('Per Line'!$O$2:$O$3001,$U386)&amp;"")</f>
        <v/>
      </c>
      <c r="I386" s="11">
        <f>IF($U386="","",INDEX('Per Line'!$Q$2:$Q$3001,$U386))</f>
        <v/>
      </c>
      <c r="J386">
        <f>IF($U386="","",INDEX('Per Line'!$R$2:$R$3001,$U386)&amp;"")</f>
        <v/>
      </c>
      <c r="K386">
        <f>IF($U386="","",Settings!$C$7)</f>
        <v/>
      </c>
      <c r="L386" s="7">
        <f>IF($U386="","",SUMIFS('Per Line'!$N$2:$N$3001,'Per Line'!$A$2:$A$3001,$A386,'Per Line'!$W$2:$W$3001,0))</f>
        <v/>
      </c>
      <c r="M386" s="7">
        <f>IF($U386="","",L386*K386)</f>
        <v/>
      </c>
      <c r="N386">
        <f>IF($U386="","",Settings!$C$6)</f>
        <v/>
      </c>
      <c r="O386" s="7">
        <f>IF($U386="","",SUMIFS('Per Line'!$N$2:$N$3001,'Per Line'!$A$2:$A$3001,$A386,'Per Line'!$W$2:$W$3001,1))</f>
        <v/>
      </c>
      <c r="P386" s="7">
        <f>IF($U386="","",O386*N386)</f>
        <v/>
      </c>
      <c r="Q386" s="7">
        <f>IF($U386="","",P386+M386)</f>
        <v/>
      </c>
      <c r="R386" s="7">
        <f>IF($U386="","",S386-Q386)</f>
        <v/>
      </c>
      <c r="S386" s="7">
        <f>IF($U386="","",L386+O386)</f>
        <v/>
      </c>
      <c r="T386" s="7">
        <f>IF($U386="","",S386-Q386-G386)</f>
        <v/>
      </c>
      <c r="U386" s="13">
        <f>IF(ROWS($U$2:$U386)&lt;=MAX('Per Line'!$V$2:$V$3001),MATCH(ROWS($U$2:$U386),'Per Line'!$V$2:$V$3001,0),"")</f>
        <v/>
      </c>
    </row>
    <row r="387">
      <c r="A387">
        <f>IF($U387="","",INDEX('Per Line'!$A$2:$A$3001,$U387)&amp;"")</f>
        <v/>
      </c>
      <c r="B387" s="12" t="n"/>
      <c r="C387">
        <f>IF($U387="","",INDEX('Per Line'!$B$2:$B$3001,$U387)&amp;"")</f>
        <v/>
      </c>
      <c r="D387">
        <f>IF($U387="","",INDEX('Per Line'!$C$2:$C$3001,$U387)&amp;"")</f>
        <v/>
      </c>
      <c r="E387">
        <f>IF($U387="","",INDEX('Per Line'!$D$2:$D$3001,$U387)&amp;"")</f>
        <v/>
      </c>
      <c r="F387">
        <f>IF($U387="","",INDEX('Per Line'!$E$2:$E$3001,$U387))</f>
        <v/>
      </c>
      <c r="G387" s="7">
        <f>IF($U387="","",F387*S387/100)</f>
        <v/>
      </c>
      <c r="H387">
        <f>IF($U387="","",INDEX('Per Line'!$O$2:$O$3001,$U387)&amp;"")</f>
        <v/>
      </c>
      <c r="I387" s="11">
        <f>IF($U387="","",INDEX('Per Line'!$Q$2:$Q$3001,$U387))</f>
        <v/>
      </c>
      <c r="J387">
        <f>IF($U387="","",INDEX('Per Line'!$R$2:$R$3001,$U387)&amp;"")</f>
        <v/>
      </c>
      <c r="K387">
        <f>IF($U387="","",Settings!$C$7)</f>
        <v/>
      </c>
      <c r="L387" s="7">
        <f>IF($U387="","",SUMIFS('Per Line'!$N$2:$N$3001,'Per Line'!$A$2:$A$3001,$A387,'Per Line'!$W$2:$W$3001,0))</f>
        <v/>
      </c>
      <c r="M387" s="7">
        <f>IF($U387="","",L387*K387)</f>
        <v/>
      </c>
      <c r="N387">
        <f>IF($U387="","",Settings!$C$6)</f>
        <v/>
      </c>
      <c r="O387" s="7">
        <f>IF($U387="","",SUMIFS('Per Line'!$N$2:$N$3001,'Per Line'!$A$2:$A$3001,$A387,'Per Line'!$W$2:$W$3001,1))</f>
        <v/>
      </c>
      <c r="P387" s="7">
        <f>IF($U387="","",O387*N387)</f>
        <v/>
      </c>
      <c r="Q387" s="7">
        <f>IF($U387="","",P387+M387)</f>
        <v/>
      </c>
      <c r="R387" s="7">
        <f>IF($U387="","",S387-Q387)</f>
        <v/>
      </c>
      <c r="S387" s="7">
        <f>IF($U387="","",L387+O387)</f>
        <v/>
      </c>
      <c r="T387" s="7">
        <f>IF($U387="","",S387-Q387-G387)</f>
        <v/>
      </c>
      <c r="U387" s="13">
        <f>IF(ROWS($U$2:$U387)&lt;=MAX('Per Line'!$V$2:$V$3001),MATCH(ROWS($U$2:$U387),'Per Line'!$V$2:$V$3001,0),"")</f>
        <v/>
      </c>
    </row>
    <row r="388">
      <c r="A388">
        <f>IF($U388="","",INDEX('Per Line'!$A$2:$A$3001,$U388)&amp;"")</f>
        <v/>
      </c>
      <c r="B388" s="12" t="n"/>
      <c r="C388">
        <f>IF($U388="","",INDEX('Per Line'!$B$2:$B$3001,$U388)&amp;"")</f>
        <v/>
      </c>
      <c r="D388">
        <f>IF($U388="","",INDEX('Per Line'!$C$2:$C$3001,$U388)&amp;"")</f>
        <v/>
      </c>
      <c r="E388">
        <f>IF($U388="","",INDEX('Per Line'!$D$2:$D$3001,$U388)&amp;"")</f>
        <v/>
      </c>
      <c r="F388">
        <f>IF($U388="","",INDEX('Per Line'!$E$2:$E$3001,$U388))</f>
        <v/>
      </c>
      <c r="G388" s="7">
        <f>IF($U388="","",F388*S388/100)</f>
        <v/>
      </c>
      <c r="H388">
        <f>IF($U388="","",INDEX('Per Line'!$O$2:$O$3001,$U388)&amp;"")</f>
        <v/>
      </c>
      <c r="I388" s="11">
        <f>IF($U388="","",INDEX('Per Line'!$Q$2:$Q$3001,$U388))</f>
        <v/>
      </c>
      <c r="J388">
        <f>IF($U388="","",INDEX('Per Line'!$R$2:$R$3001,$U388)&amp;"")</f>
        <v/>
      </c>
      <c r="K388">
        <f>IF($U388="","",Settings!$C$7)</f>
        <v/>
      </c>
      <c r="L388" s="7">
        <f>IF($U388="","",SUMIFS('Per Line'!$N$2:$N$3001,'Per Line'!$A$2:$A$3001,$A388,'Per Line'!$W$2:$W$3001,0))</f>
        <v/>
      </c>
      <c r="M388" s="7">
        <f>IF($U388="","",L388*K388)</f>
        <v/>
      </c>
      <c r="N388">
        <f>IF($U388="","",Settings!$C$6)</f>
        <v/>
      </c>
      <c r="O388" s="7">
        <f>IF($U388="","",SUMIFS('Per Line'!$N$2:$N$3001,'Per Line'!$A$2:$A$3001,$A388,'Per Line'!$W$2:$W$3001,1))</f>
        <v/>
      </c>
      <c r="P388" s="7">
        <f>IF($U388="","",O388*N388)</f>
        <v/>
      </c>
      <c r="Q388" s="7">
        <f>IF($U388="","",P388+M388)</f>
        <v/>
      </c>
      <c r="R388" s="7">
        <f>IF($U388="","",S388-Q388)</f>
        <v/>
      </c>
      <c r="S388" s="7">
        <f>IF($U388="","",L388+O388)</f>
        <v/>
      </c>
      <c r="T388" s="7">
        <f>IF($U388="","",S388-Q388-G388)</f>
        <v/>
      </c>
      <c r="U388" s="13">
        <f>IF(ROWS($U$2:$U388)&lt;=MAX('Per Line'!$V$2:$V$3001),MATCH(ROWS($U$2:$U388),'Per Line'!$V$2:$V$3001,0),"")</f>
        <v/>
      </c>
    </row>
    <row r="389">
      <c r="A389">
        <f>IF($U389="","",INDEX('Per Line'!$A$2:$A$3001,$U389)&amp;"")</f>
        <v/>
      </c>
      <c r="B389" s="12" t="n"/>
      <c r="C389">
        <f>IF($U389="","",INDEX('Per Line'!$B$2:$B$3001,$U389)&amp;"")</f>
        <v/>
      </c>
      <c r="D389">
        <f>IF($U389="","",INDEX('Per Line'!$C$2:$C$3001,$U389)&amp;"")</f>
        <v/>
      </c>
      <c r="E389">
        <f>IF($U389="","",INDEX('Per Line'!$D$2:$D$3001,$U389)&amp;"")</f>
        <v/>
      </c>
      <c r="F389">
        <f>IF($U389="","",INDEX('Per Line'!$E$2:$E$3001,$U389))</f>
        <v/>
      </c>
      <c r="G389" s="7">
        <f>IF($U389="","",F389*S389/100)</f>
        <v/>
      </c>
      <c r="H389">
        <f>IF($U389="","",INDEX('Per Line'!$O$2:$O$3001,$U389)&amp;"")</f>
        <v/>
      </c>
      <c r="I389" s="11">
        <f>IF($U389="","",INDEX('Per Line'!$Q$2:$Q$3001,$U389))</f>
        <v/>
      </c>
      <c r="J389">
        <f>IF($U389="","",INDEX('Per Line'!$R$2:$R$3001,$U389)&amp;"")</f>
        <v/>
      </c>
      <c r="K389">
        <f>IF($U389="","",Settings!$C$7)</f>
        <v/>
      </c>
      <c r="L389" s="7">
        <f>IF($U389="","",SUMIFS('Per Line'!$N$2:$N$3001,'Per Line'!$A$2:$A$3001,$A389,'Per Line'!$W$2:$W$3001,0))</f>
        <v/>
      </c>
      <c r="M389" s="7">
        <f>IF($U389="","",L389*K389)</f>
        <v/>
      </c>
      <c r="N389">
        <f>IF($U389="","",Settings!$C$6)</f>
        <v/>
      </c>
      <c r="O389" s="7">
        <f>IF($U389="","",SUMIFS('Per Line'!$N$2:$N$3001,'Per Line'!$A$2:$A$3001,$A389,'Per Line'!$W$2:$W$3001,1))</f>
        <v/>
      </c>
      <c r="P389" s="7">
        <f>IF($U389="","",O389*N389)</f>
        <v/>
      </c>
      <c r="Q389" s="7">
        <f>IF($U389="","",P389+M389)</f>
        <v/>
      </c>
      <c r="R389" s="7">
        <f>IF($U389="","",S389-Q389)</f>
        <v/>
      </c>
      <c r="S389" s="7">
        <f>IF($U389="","",L389+O389)</f>
        <v/>
      </c>
      <c r="T389" s="7">
        <f>IF($U389="","",S389-Q389-G389)</f>
        <v/>
      </c>
      <c r="U389" s="13">
        <f>IF(ROWS($U$2:$U389)&lt;=MAX('Per Line'!$V$2:$V$3001),MATCH(ROWS($U$2:$U389),'Per Line'!$V$2:$V$3001,0),"")</f>
        <v/>
      </c>
    </row>
    <row r="390">
      <c r="A390">
        <f>IF($U390="","",INDEX('Per Line'!$A$2:$A$3001,$U390)&amp;"")</f>
        <v/>
      </c>
      <c r="B390" s="12" t="n"/>
      <c r="C390">
        <f>IF($U390="","",INDEX('Per Line'!$B$2:$B$3001,$U390)&amp;"")</f>
        <v/>
      </c>
      <c r="D390">
        <f>IF($U390="","",INDEX('Per Line'!$C$2:$C$3001,$U390)&amp;"")</f>
        <v/>
      </c>
      <c r="E390">
        <f>IF($U390="","",INDEX('Per Line'!$D$2:$D$3001,$U390)&amp;"")</f>
        <v/>
      </c>
      <c r="F390">
        <f>IF($U390="","",INDEX('Per Line'!$E$2:$E$3001,$U390))</f>
        <v/>
      </c>
      <c r="G390" s="7">
        <f>IF($U390="","",F390*S390/100)</f>
        <v/>
      </c>
      <c r="H390">
        <f>IF($U390="","",INDEX('Per Line'!$O$2:$O$3001,$U390)&amp;"")</f>
        <v/>
      </c>
      <c r="I390" s="11">
        <f>IF($U390="","",INDEX('Per Line'!$Q$2:$Q$3001,$U390))</f>
        <v/>
      </c>
      <c r="J390">
        <f>IF($U390="","",INDEX('Per Line'!$R$2:$R$3001,$U390)&amp;"")</f>
        <v/>
      </c>
      <c r="K390">
        <f>IF($U390="","",Settings!$C$7)</f>
        <v/>
      </c>
      <c r="L390" s="7">
        <f>IF($U390="","",SUMIFS('Per Line'!$N$2:$N$3001,'Per Line'!$A$2:$A$3001,$A390,'Per Line'!$W$2:$W$3001,0))</f>
        <v/>
      </c>
      <c r="M390" s="7">
        <f>IF($U390="","",L390*K390)</f>
        <v/>
      </c>
      <c r="N390">
        <f>IF($U390="","",Settings!$C$6)</f>
        <v/>
      </c>
      <c r="O390" s="7">
        <f>IF($U390="","",SUMIFS('Per Line'!$N$2:$N$3001,'Per Line'!$A$2:$A$3001,$A390,'Per Line'!$W$2:$W$3001,1))</f>
        <v/>
      </c>
      <c r="P390" s="7">
        <f>IF($U390="","",O390*N390)</f>
        <v/>
      </c>
      <c r="Q390" s="7">
        <f>IF($U390="","",P390+M390)</f>
        <v/>
      </c>
      <c r="R390" s="7">
        <f>IF($U390="","",S390-Q390)</f>
        <v/>
      </c>
      <c r="S390" s="7">
        <f>IF($U390="","",L390+O390)</f>
        <v/>
      </c>
      <c r="T390" s="7">
        <f>IF($U390="","",S390-Q390-G390)</f>
        <v/>
      </c>
      <c r="U390" s="13">
        <f>IF(ROWS($U$2:$U390)&lt;=MAX('Per Line'!$V$2:$V$3001),MATCH(ROWS($U$2:$U390),'Per Line'!$V$2:$V$3001,0),"")</f>
        <v/>
      </c>
    </row>
    <row r="391">
      <c r="A391">
        <f>IF($U391="","",INDEX('Per Line'!$A$2:$A$3001,$U391)&amp;"")</f>
        <v/>
      </c>
      <c r="B391" s="12" t="n"/>
      <c r="C391">
        <f>IF($U391="","",INDEX('Per Line'!$B$2:$B$3001,$U391)&amp;"")</f>
        <v/>
      </c>
      <c r="D391">
        <f>IF($U391="","",INDEX('Per Line'!$C$2:$C$3001,$U391)&amp;"")</f>
        <v/>
      </c>
      <c r="E391">
        <f>IF($U391="","",INDEX('Per Line'!$D$2:$D$3001,$U391)&amp;"")</f>
        <v/>
      </c>
      <c r="F391">
        <f>IF($U391="","",INDEX('Per Line'!$E$2:$E$3001,$U391))</f>
        <v/>
      </c>
      <c r="G391" s="7">
        <f>IF($U391="","",F391*S391/100)</f>
        <v/>
      </c>
      <c r="H391">
        <f>IF($U391="","",INDEX('Per Line'!$O$2:$O$3001,$U391)&amp;"")</f>
        <v/>
      </c>
      <c r="I391" s="11">
        <f>IF($U391="","",INDEX('Per Line'!$Q$2:$Q$3001,$U391))</f>
        <v/>
      </c>
      <c r="J391">
        <f>IF($U391="","",INDEX('Per Line'!$R$2:$R$3001,$U391)&amp;"")</f>
        <v/>
      </c>
      <c r="K391">
        <f>IF($U391="","",Settings!$C$7)</f>
        <v/>
      </c>
      <c r="L391" s="7">
        <f>IF($U391="","",SUMIFS('Per Line'!$N$2:$N$3001,'Per Line'!$A$2:$A$3001,$A391,'Per Line'!$W$2:$W$3001,0))</f>
        <v/>
      </c>
      <c r="M391" s="7">
        <f>IF($U391="","",L391*K391)</f>
        <v/>
      </c>
      <c r="N391">
        <f>IF($U391="","",Settings!$C$6)</f>
        <v/>
      </c>
      <c r="O391" s="7">
        <f>IF($U391="","",SUMIFS('Per Line'!$N$2:$N$3001,'Per Line'!$A$2:$A$3001,$A391,'Per Line'!$W$2:$W$3001,1))</f>
        <v/>
      </c>
      <c r="P391" s="7">
        <f>IF($U391="","",O391*N391)</f>
        <v/>
      </c>
      <c r="Q391" s="7">
        <f>IF($U391="","",P391+M391)</f>
        <v/>
      </c>
      <c r="R391" s="7">
        <f>IF($U391="","",S391-Q391)</f>
        <v/>
      </c>
      <c r="S391" s="7">
        <f>IF($U391="","",L391+O391)</f>
        <v/>
      </c>
      <c r="T391" s="7">
        <f>IF($U391="","",S391-Q391-G391)</f>
        <v/>
      </c>
      <c r="U391" s="13">
        <f>IF(ROWS($U$2:$U391)&lt;=MAX('Per Line'!$V$2:$V$3001),MATCH(ROWS($U$2:$U391),'Per Line'!$V$2:$V$3001,0),"")</f>
        <v/>
      </c>
    </row>
    <row r="392">
      <c r="A392">
        <f>IF($U392="","",INDEX('Per Line'!$A$2:$A$3001,$U392)&amp;"")</f>
        <v/>
      </c>
      <c r="B392" s="12" t="n"/>
      <c r="C392">
        <f>IF($U392="","",INDEX('Per Line'!$B$2:$B$3001,$U392)&amp;"")</f>
        <v/>
      </c>
      <c r="D392">
        <f>IF($U392="","",INDEX('Per Line'!$C$2:$C$3001,$U392)&amp;"")</f>
        <v/>
      </c>
      <c r="E392">
        <f>IF($U392="","",INDEX('Per Line'!$D$2:$D$3001,$U392)&amp;"")</f>
        <v/>
      </c>
      <c r="F392">
        <f>IF($U392="","",INDEX('Per Line'!$E$2:$E$3001,$U392))</f>
        <v/>
      </c>
      <c r="G392" s="7">
        <f>IF($U392="","",F392*S392/100)</f>
        <v/>
      </c>
      <c r="H392">
        <f>IF($U392="","",INDEX('Per Line'!$O$2:$O$3001,$U392)&amp;"")</f>
        <v/>
      </c>
      <c r="I392" s="11">
        <f>IF($U392="","",INDEX('Per Line'!$Q$2:$Q$3001,$U392))</f>
        <v/>
      </c>
      <c r="J392">
        <f>IF($U392="","",INDEX('Per Line'!$R$2:$R$3001,$U392)&amp;"")</f>
        <v/>
      </c>
      <c r="K392">
        <f>IF($U392="","",Settings!$C$7)</f>
        <v/>
      </c>
      <c r="L392" s="7">
        <f>IF($U392="","",SUMIFS('Per Line'!$N$2:$N$3001,'Per Line'!$A$2:$A$3001,$A392,'Per Line'!$W$2:$W$3001,0))</f>
        <v/>
      </c>
      <c r="M392" s="7">
        <f>IF($U392="","",L392*K392)</f>
        <v/>
      </c>
      <c r="N392">
        <f>IF($U392="","",Settings!$C$6)</f>
        <v/>
      </c>
      <c r="O392" s="7">
        <f>IF($U392="","",SUMIFS('Per Line'!$N$2:$N$3001,'Per Line'!$A$2:$A$3001,$A392,'Per Line'!$W$2:$W$3001,1))</f>
        <v/>
      </c>
      <c r="P392" s="7">
        <f>IF($U392="","",O392*N392)</f>
        <v/>
      </c>
      <c r="Q392" s="7">
        <f>IF($U392="","",P392+M392)</f>
        <v/>
      </c>
      <c r="R392" s="7">
        <f>IF($U392="","",S392-Q392)</f>
        <v/>
      </c>
      <c r="S392" s="7">
        <f>IF($U392="","",L392+O392)</f>
        <v/>
      </c>
      <c r="T392" s="7">
        <f>IF($U392="","",S392-Q392-G392)</f>
        <v/>
      </c>
      <c r="U392" s="13">
        <f>IF(ROWS($U$2:$U392)&lt;=MAX('Per Line'!$V$2:$V$3001),MATCH(ROWS($U$2:$U392),'Per Line'!$V$2:$V$3001,0),"")</f>
        <v/>
      </c>
    </row>
    <row r="393">
      <c r="A393">
        <f>IF($U393="","",INDEX('Per Line'!$A$2:$A$3001,$U393)&amp;"")</f>
        <v/>
      </c>
      <c r="B393" s="12" t="n"/>
      <c r="C393">
        <f>IF($U393="","",INDEX('Per Line'!$B$2:$B$3001,$U393)&amp;"")</f>
        <v/>
      </c>
      <c r="D393">
        <f>IF($U393="","",INDEX('Per Line'!$C$2:$C$3001,$U393)&amp;"")</f>
        <v/>
      </c>
      <c r="E393">
        <f>IF($U393="","",INDEX('Per Line'!$D$2:$D$3001,$U393)&amp;"")</f>
        <v/>
      </c>
      <c r="F393">
        <f>IF($U393="","",INDEX('Per Line'!$E$2:$E$3001,$U393))</f>
        <v/>
      </c>
      <c r="G393" s="7">
        <f>IF($U393="","",F393*S393/100)</f>
        <v/>
      </c>
      <c r="H393">
        <f>IF($U393="","",INDEX('Per Line'!$O$2:$O$3001,$U393)&amp;"")</f>
        <v/>
      </c>
      <c r="I393" s="11">
        <f>IF($U393="","",INDEX('Per Line'!$Q$2:$Q$3001,$U393))</f>
        <v/>
      </c>
      <c r="J393">
        <f>IF($U393="","",INDEX('Per Line'!$R$2:$R$3001,$U393)&amp;"")</f>
        <v/>
      </c>
      <c r="K393">
        <f>IF($U393="","",Settings!$C$7)</f>
        <v/>
      </c>
      <c r="L393" s="7">
        <f>IF($U393="","",SUMIFS('Per Line'!$N$2:$N$3001,'Per Line'!$A$2:$A$3001,$A393,'Per Line'!$W$2:$W$3001,0))</f>
        <v/>
      </c>
      <c r="M393" s="7">
        <f>IF($U393="","",L393*K393)</f>
        <v/>
      </c>
      <c r="N393">
        <f>IF($U393="","",Settings!$C$6)</f>
        <v/>
      </c>
      <c r="O393" s="7">
        <f>IF($U393="","",SUMIFS('Per Line'!$N$2:$N$3001,'Per Line'!$A$2:$A$3001,$A393,'Per Line'!$W$2:$W$3001,1))</f>
        <v/>
      </c>
      <c r="P393" s="7">
        <f>IF($U393="","",O393*N393)</f>
        <v/>
      </c>
      <c r="Q393" s="7">
        <f>IF($U393="","",P393+M393)</f>
        <v/>
      </c>
      <c r="R393" s="7">
        <f>IF($U393="","",S393-Q393)</f>
        <v/>
      </c>
      <c r="S393" s="7">
        <f>IF($U393="","",L393+O393)</f>
        <v/>
      </c>
      <c r="T393" s="7">
        <f>IF($U393="","",S393-Q393-G393)</f>
        <v/>
      </c>
      <c r="U393" s="13">
        <f>IF(ROWS($U$2:$U393)&lt;=MAX('Per Line'!$V$2:$V$3001),MATCH(ROWS($U$2:$U393),'Per Line'!$V$2:$V$3001,0),"")</f>
        <v/>
      </c>
    </row>
    <row r="394">
      <c r="A394">
        <f>IF($U394="","",INDEX('Per Line'!$A$2:$A$3001,$U394)&amp;"")</f>
        <v/>
      </c>
      <c r="B394" s="12" t="n"/>
      <c r="C394">
        <f>IF($U394="","",INDEX('Per Line'!$B$2:$B$3001,$U394)&amp;"")</f>
        <v/>
      </c>
      <c r="D394">
        <f>IF($U394="","",INDEX('Per Line'!$C$2:$C$3001,$U394)&amp;"")</f>
        <v/>
      </c>
      <c r="E394">
        <f>IF($U394="","",INDEX('Per Line'!$D$2:$D$3001,$U394)&amp;"")</f>
        <v/>
      </c>
      <c r="F394">
        <f>IF($U394="","",INDEX('Per Line'!$E$2:$E$3001,$U394))</f>
        <v/>
      </c>
      <c r="G394" s="7">
        <f>IF($U394="","",F394*S394/100)</f>
        <v/>
      </c>
      <c r="H394">
        <f>IF($U394="","",INDEX('Per Line'!$O$2:$O$3001,$U394)&amp;"")</f>
        <v/>
      </c>
      <c r="I394" s="11">
        <f>IF($U394="","",INDEX('Per Line'!$Q$2:$Q$3001,$U394))</f>
        <v/>
      </c>
      <c r="J394">
        <f>IF($U394="","",INDEX('Per Line'!$R$2:$R$3001,$U394)&amp;"")</f>
        <v/>
      </c>
      <c r="K394">
        <f>IF($U394="","",Settings!$C$7)</f>
        <v/>
      </c>
      <c r="L394" s="7">
        <f>IF($U394="","",SUMIFS('Per Line'!$N$2:$N$3001,'Per Line'!$A$2:$A$3001,$A394,'Per Line'!$W$2:$W$3001,0))</f>
        <v/>
      </c>
      <c r="M394" s="7">
        <f>IF($U394="","",L394*K394)</f>
        <v/>
      </c>
      <c r="N394">
        <f>IF($U394="","",Settings!$C$6)</f>
        <v/>
      </c>
      <c r="O394" s="7">
        <f>IF($U394="","",SUMIFS('Per Line'!$N$2:$N$3001,'Per Line'!$A$2:$A$3001,$A394,'Per Line'!$W$2:$W$3001,1))</f>
        <v/>
      </c>
      <c r="P394" s="7">
        <f>IF($U394="","",O394*N394)</f>
        <v/>
      </c>
      <c r="Q394" s="7">
        <f>IF($U394="","",P394+M394)</f>
        <v/>
      </c>
      <c r="R394" s="7">
        <f>IF($U394="","",S394-Q394)</f>
        <v/>
      </c>
      <c r="S394" s="7">
        <f>IF($U394="","",L394+O394)</f>
        <v/>
      </c>
      <c r="T394" s="7">
        <f>IF($U394="","",S394-Q394-G394)</f>
        <v/>
      </c>
      <c r="U394" s="13">
        <f>IF(ROWS($U$2:$U394)&lt;=MAX('Per Line'!$V$2:$V$3001),MATCH(ROWS($U$2:$U394),'Per Line'!$V$2:$V$3001,0),"")</f>
        <v/>
      </c>
    </row>
    <row r="395">
      <c r="A395">
        <f>IF($U395="","",INDEX('Per Line'!$A$2:$A$3001,$U395)&amp;"")</f>
        <v/>
      </c>
      <c r="B395" s="12" t="n"/>
      <c r="C395">
        <f>IF($U395="","",INDEX('Per Line'!$B$2:$B$3001,$U395)&amp;"")</f>
        <v/>
      </c>
      <c r="D395">
        <f>IF($U395="","",INDEX('Per Line'!$C$2:$C$3001,$U395)&amp;"")</f>
        <v/>
      </c>
      <c r="E395">
        <f>IF($U395="","",INDEX('Per Line'!$D$2:$D$3001,$U395)&amp;"")</f>
        <v/>
      </c>
      <c r="F395">
        <f>IF($U395="","",INDEX('Per Line'!$E$2:$E$3001,$U395))</f>
        <v/>
      </c>
      <c r="G395" s="7">
        <f>IF($U395="","",F395*S395/100)</f>
        <v/>
      </c>
      <c r="H395">
        <f>IF($U395="","",INDEX('Per Line'!$O$2:$O$3001,$U395)&amp;"")</f>
        <v/>
      </c>
      <c r="I395" s="11">
        <f>IF($U395="","",INDEX('Per Line'!$Q$2:$Q$3001,$U395))</f>
        <v/>
      </c>
      <c r="J395">
        <f>IF($U395="","",INDEX('Per Line'!$R$2:$R$3001,$U395)&amp;"")</f>
        <v/>
      </c>
      <c r="K395">
        <f>IF($U395="","",Settings!$C$7)</f>
        <v/>
      </c>
      <c r="L395" s="7">
        <f>IF($U395="","",SUMIFS('Per Line'!$N$2:$N$3001,'Per Line'!$A$2:$A$3001,$A395,'Per Line'!$W$2:$W$3001,0))</f>
        <v/>
      </c>
      <c r="M395" s="7">
        <f>IF($U395="","",L395*K395)</f>
        <v/>
      </c>
      <c r="N395">
        <f>IF($U395="","",Settings!$C$6)</f>
        <v/>
      </c>
      <c r="O395" s="7">
        <f>IF($U395="","",SUMIFS('Per Line'!$N$2:$N$3001,'Per Line'!$A$2:$A$3001,$A395,'Per Line'!$W$2:$W$3001,1))</f>
        <v/>
      </c>
      <c r="P395" s="7">
        <f>IF($U395="","",O395*N395)</f>
        <v/>
      </c>
      <c r="Q395" s="7">
        <f>IF($U395="","",P395+M395)</f>
        <v/>
      </c>
      <c r="R395" s="7">
        <f>IF($U395="","",S395-Q395)</f>
        <v/>
      </c>
      <c r="S395" s="7">
        <f>IF($U395="","",L395+O395)</f>
        <v/>
      </c>
      <c r="T395" s="7">
        <f>IF($U395="","",S395-Q395-G395)</f>
        <v/>
      </c>
      <c r="U395" s="13">
        <f>IF(ROWS($U$2:$U395)&lt;=MAX('Per Line'!$V$2:$V$3001),MATCH(ROWS($U$2:$U395),'Per Line'!$V$2:$V$3001,0),"")</f>
        <v/>
      </c>
    </row>
    <row r="396">
      <c r="A396">
        <f>IF($U396="","",INDEX('Per Line'!$A$2:$A$3001,$U396)&amp;"")</f>
        <v/>
      </c>
      <c r="B396" s="12" t="n"/>
      <c r="C396">
        <f>IF($U396="","",INDEX('Per Line'!$B$2:$B$3001,$U396)&amp;"")</f>
        <v/>
      </c>
      <c r="D396">
        <f>IF($U396="","",INDEX('Per Line'!$C$2:$C$3001,$U396)&amp;"")</f>
        <v/>
      </c>
      <c r="E396">
        <f>IF($U396="","",INDEX('Per Line'!$D$2:$D$3001,$U396)&amp;"")</f>
        <v/>
      </c>
      <c r="F396">
        <f>IF($U396="","",INDEX('Per Line'!$E$2:$E$3001,$U396))</f>
        <v/>
      </c>
      <c r="G396" s="7">
        <f>IF($U396="","",F396*S396/100)</f>
        <v/>
      </c>
      <c r="H396">
        <f>IF($U396="","",INDEX('Per Line'!$O$2:$O$3001,$U396)&amp;"")</f>
        <v/>
      </c>
      <c r="I396" s="11">
        <f>IF($U396="","",INDEX('Per Line'!$Q$2:$Q$3001,$U396))</f>
        <v/>
      </c>
      <c r="J396">
        <f>IF($U396="","",INDEX('Per Line'!$R$2:$R$3001,$U396)&amp;"")</f>
        <v/>
      </c>
      <c r="K396">
        <f>IF($U396="","",Settings!$C$7)</f>
        <v/>
      </c>
      <c r="L396" s="7">
        <f>IF($U396="","",SUMIFS('Per Line'!$N$2:$N$3001,'Per Line'!$A$2:$A$3001,$A396,'Per Line'!$W$2:$W$3001,0))</f>
        <v/>
      </c>
      <c r="M396" s="7">
        <f>IF($U396="","",L396*K396)</f>
        <v/>
      </c>
      <c r="N396">
        <f>IF($U396="","",Settings!$C$6)</f>
        <v/>
      </c>
      <c r="O396" s="7">
        <f>IF($U396="","",SUMIFS('Per Line'!$N$2:$N$3001,'Per Line'!$A$2:$A$3001,$A396,'Per Line'!$W$2:$W$3001,1))</f>
        <v/>
      </c>
      <c r="P396" s="7">
        <f>IF($U396="","",O396*N396)</f>
        <v/>
      </c>
      <c r="Q396" s="7">
        <f>IF($U396="","",P396+M396)</f>
        <v/>
      </c>
      <c r="R396" s="7">
        <f>IF($U396="","",S396-Q396)</f>
        <v/>
      </c>
      <c r="S396" s="7">
        <f>IF($U396="","",L396+O396)</f>
        <v/>
      </c>
      <c r="T396" s="7">
        <f>IF($U396="","",S396-Q396-G396)</f>
        <v/>
      </c>
      <c r="U396" s="13">
        <f>IF(ROWS($U$2:$U396)&lt;=MAX('Per Line'!$V$2:$V$3001),MATCH(ROWS($U$2:$U396),'Per Line'!$V$2:$V$3001,0),"")</f>
        <v/>
      </c>
    </row>
    <row r="397">
      <c r="A397">
        <f>IF($U397="","",INDEX('Per Line'!$A$2:$A$3001,$U397)&amp;"")</f>
        <v/>
      </c>
      <c r="B397" s="12" t="n"/>
      <c r="C397">
        <f>IF($U397="","",INDEX('Per Line'!$B$2:$B$3001,$U397)&amp;"")</f>
        <v/>
      </c>
      <c r="D397">
        <f>IF($U397="","",INDEX('Per Line'!$C$2:$C$3001,$U397)&amp;"")</f>
        <v/>
      </c>
      <c r="E397">
        <f>IF($U397="","",INDEX('Per Line'!$D$2:$D$3001,$U397)&amp;"")</f>
        <v/>
      </c>
      <c r="F397">
        <f>IF($U397="","",INDEX('Per Line'!$E$2:$E$3001,$U397))</f>
        <v/>
      </c>
      <c r="G397" s="7">
        <f>IF($U397="","",F397*S397/100)</f>
        <v/>
      </c>
      <c r="H397">
        <f>IF($U397="","",INDEX('Per Line'!$O$2:$O$3001,$U397)&amp;"")</f>
        <v/>
      </c>
      <c r="I397" s="11">
        <f>IF($U397="","",INDEX('Per Line'!$Q$2:$Q$3001,$U397))</f>
        <v/>
      </c>
      <c r="J397">
        <f>IF($U397="","",INDEX('Per Line'!$R$2:$R$3001,$U397)&amp;"")</f>
        <v/>
      </c>
      <c r="K397">
        <f>IF($U397="","",Settings!$C$7)</f>
        <v/>
      </c>
      <c r="L397" s="7">
        <f>IF($U397="","",SUMIFS('Per Line'!$N$2:$N$3001,'Per Line'!$A$2:$A$3001,$A397,'Per Line'!$W$2:$W$3001,0))</f>
        <v/>
      </c>
      <c r="M397" s="7">
        <f>IF($U397="","",L397*K397)</f>
        <v/>
      </c>
      <c r="N397">
        <f>IF($U397="","",Settings!$C$6)</f>
        <v/>
      </c>
      <c r="O397" s="7">
        <f>IF($U397="","",SUMIFS('Per Line'!$N$2:$N$3001,'Per Line'!$A$2:$A$3001,$A397,'Per Line'!$W$2:$W$3001,1))</f>
        <v/>
      </c>
      <c r="P397" s="7">
        <f>IF($U397="","",O397*N397)</f>
        <v/>
      </c>
      <c r="Q397" s="7">
        <f>IF($U397="","",P397+M397)</f>
        <v/>
      </c>
      <c r="R397" s="7">
        <f>IF($U397="","",S397-Q397)</f>
        <v/>
      </c>
      <c r="S397" s="7">
        <f>IF($U397="","",L397+O397)</f>
        <v/>
      </c>
      <c r="T397" s="7">
        <f>IF($U397="","",S397-Q397-G397)</f>
        <v/>
      </c>
      <c r="U397" s="13">
        <f>IF(ROWS($U$2:$U397)&lt;=MAX('Per Line'!$V$2:$V$3001),MATCH(ROWS($U$2:$U397),'Per Line'!$V$2:$V$3001,0),"")</f>
        <v/>
      </c>
    </row>
    <row r="398">
      <c r="A398">
        <f>IF($U398="","",INDEX('Per Line'!$A$2:$A$3001,$U398)&amp;"")</f>
        <v/>
      </c>
      <c r="B398" s="12" t="n"/>
      <c r="C398">
        <f>IF($U398="","",INDEX('Per Line'!$B$2:$B$3001,$U398)&amp;"")</f>
        <v/>
      </c>
      <c r="D398">
        <f>IF($U398="","",INDEX('Per Line'!$C$2:$C$3001,$U398)&amp;"")</f>
        <v/>
      </c>
      <c r="E398">
        <f>IF($U398="","",INDEX('Per Line'!$D$2:$D$3001,$U398)&amp;"")</f>
        <v/>
      </c>
      <c r="F398">
        <f>IF($U398="","",INDEX('Per Line'!$E$2:$E$3001,$U398))</f>
        <v/>
      </c>
      <c r="G398" s="7">
        <f>IF($U398="","",F398*S398/100)</f>
        <v/>
      </c>
      <c r="H398">
        <f>IF($U398="","",INDEX('Per Line'!$O$2:$O$3001,$U398)&amp;"")</f>
        <v/>
      </c>
      <c r="I398" s="11">
        <f>IF($U398="","",INDEX('Per Line'!$Q$2:$Q$3001,$U398))</f>
        <v/>
      </c>
      <c r="J398">
        <f>IF($U398="","",INDEX('Per Line'!$R$2:$R$3001,$U398)&amp;"")</f>
        <v/>
      </c>
      <c r="K398">
        <f>IF($U398="","",Settings!$C$7)</f>
        <v/>
      </c>
      <c r="L398" s="7">
        <f>IF($U398="","",SUMIFS('Per Line'!$N$2:$N$3001,'Per Line'!$A$2:$A$3001,$A398,'Per Line'!$W$2:$W$3001,0))</f>
        <v/>
      </c>
      <c r="M398" s="7">
        <f>IF($U398="","",L398*K398)</f>
        <v/>
      </c>
      <c r="N398">
        <f>IF($U398="","",Settings!$C$6)</f>
        <v/>
      </c>
      <c r="O398" s="7">
        <f>IF($U398="","",SUMIFS('Per Line'!$N$2:$N$3001,'Per Line'!$A$2:$A$3001,$A398,'Per Line'!$W$2:$W$3001,1))</f>
        <v/>
      </c>
      <c r="P398" s="7">
        <f>IF($U398="","",O398*N398)</f>
        <v/>
      </c>
      <c r="Q398" s="7">
        <f>IF($U398="","",P398+M398)</f>
        <v/>
      </c>
      <c r="R398" s="7">
        <f>IF($U398="","",S398-Q398)</f>
        <v/>
      </c>
      <c r="S398" s="7">
        <f>IF($U398="","",L398+O398)</f>
        <v/>
      </c>
      <c r="T398" s="7">
        <f>IF($U398="","",S398-Q398-G398)</f>
        <v/>
      </c>
      <c r="U398" s="13">
        <f>IF(ROWS($U$2:$U398)&lt;=MAX('Per Line'!$V$2:$V$3001),MATCH(ROWS($U$2:$U398),'Per Line'!$V$2:$V$3001,0),"")</f>
        <v/>
      </c>
    </row>
    <row r="399">
      <c r="A399">
        <f>IF($U399="","",INDEX('Per Line'!$A$2:$A$3001,$U399)&amp;"")</f>
        <v/>
      </c>
      <c r="B399" s="12" t="n"/>
      <c r="C399">
        <f>IF($U399="","",INDEX('Per Line'!$B$2:$B$3001,$U399)&amp;"")</f>
        <v/>
      </c>
      <c r="D399">
        <f>IF($U399="","",INDEX('Per Line'!$C$2:$C$3001,$U399)&amp;"")</f>
        <v/>
      </c>
      <c r="E399">
        <f>IF($U399="","",INDEX('Per Line'!$D$2:$D$3001,$U399)&amp;"")</f>
        <v/>
      </c>
      <c r="F399">
        <f>IF($U399="","",INDEX('Per Line'!$E$2:$E$3001,$U399))</f>
        <v/>
      </c>
      <c r="G399" s="7">
        <f>IF($U399="","",F399*S399/100)</f>
        <v/>
      </c>
      <c r="H399">
        <f>IF($U399="","",INDEX('Per Line'!$O$2:$O$3001,$U399)&amp;"")</f>
        <v/>
      </c>
      <c r="I399" s="11">
        <f>IF($U399="","",INDEX('Per Line'!$Q$2:$Q$3001,$U399))</f>
        <v/>
      </c>
      <c r="J399">
        <f>IF($U399="","",INDEX('Per Line'!$R$2:$R$3001,$U399)&amp;"")</f>
        <v/>
      </c>
      <c r="K399">
        <f>IF($U399="","",Settings!$C$7)</f>
        <v/>
      </c>
      <c r="L399" s="7">
        <f>IF($U399="","",SUMIFS('Per Line'!$N$2:$N$3001,'Per Line'!$A$2:$A$3001,$A399,'Per Line'!$W$2:$W$3001,0))</f>
        <v/>
      </c>
      <c r="M399" s="7">
        <f>IF($U399="","",L399*K399)</f>
        <v/>
      </c>
      <c r="N399">
        <f>IF($U399="","",Settings!$C$6)</f>
        <v/>
      </c>
      <c r="O399" s="7">
        <f>IF($U399="","",SUMIFS('Per Line'!$N$2:$N$3001,'Per Line'!$A$2:$A$3001,$A399,'Per Line'!$W$2:$W$3001,1))</f>
        <v/>
      </c>
      <c r="P399" s="7">
        <f>IF($U399="","",O399*N399)</f>
        <v/>
      </c>
      <c r="Q399" s="7">
        <f>IF($U399="","",P399+M399)</f>
        <v/>
      </c>
      <c r="R399" s="7">
        <f>IF($U399="","",S399-Q399)</f>
        <v/>
      </c>
      <c r="S399" s="7">
        <f>IF($U399="","",L399+O399)</f>
        <v/>
      </c>
      <c r="T399" s="7">
        <f>IF($U399="","",S399-Q399-G399)</f>
        <v/>
      </c>
      <c r="U399" s="13">
        <f>IF(ROWS($U$2:$U399)&lt;=MAX('Per Line'!$V$2:$V$3001),MATCH(ROWS($U$2:$U399),'Per Line'!$V$2:$V$3001,0),"")</f>
        <v/>
      </c>
    </row>
    <row r="400">
      <c r="A400">
        <f>IF($U400="","",INDEX('Per Line'!$A$2:$A$3001,$U400)&amp;"")</f>
        <v/>
      </c>
      <c r="B400" s="12" t="n"/>
      <c r="C400">
        <f>IF($U400="","",INDEX('Per Line'!$B$2:$B$3001,$U400)&amp;"")</f>
        <v/>
      </c>
      <c r="D400">
        <f>IF($U400="","",INDEX('Per Line'!$C$2:$C$3001,$U400)&amp;"")</f>
        <v/>
      </c>
      <c r="E400">
        <f>IF($U400="","",INDEX('Per Line'!$D$2:$D$3001,$U400)&amp;"")</f>
        <v/>
      </c>
      <c r="F400">
        <f>IF($U400="","",INDEX('Per Line'!$E$2:$E$3001,$U400))</f>
        <v/>
      </c>
      <c r="G400" s="7">
        <f>IF($U400="","",F400*S400/100)</f>
        <v/>
      </c>
      <c r="H400">
        <f>IF($U400="","",INDEX('Per Line'!$O$2:$O$3001,$U400)&amp;"")</f>
        <v/>
      </c>
      <c r="I400" s="11">
        <f>IF($U400="","",INDEX('Per Line'!$Q$2:$Q$3001,$U400))</f>
        <v/>
      </c>
      <c r="J400">
        <f>IF($U400="","",INDEX('Per Line'!$R$2:$R$3001,$U400)&amp;"")</f>
        <v/>
      </c>
      <c r="K400">
        <f>IF($U400="","",Settings!$C$7)</f>
        <v/>
      </c>
      <c r="L400" s="7">
        <f>IF($U400="","",SUMIFS('Per Line'!$N$2:$N$3001,'Per Line'!$A$2:$A$3001,$A400,'Per Line'!$W$2:$W$3001,0))</f>
        <v/>
      </c>
      <c r="M400" s="7">
        <f>IF($U400="","",L400*K400)</f>
        <v/>
      </c>
      <c r="N400">
        <f>IF($U400="","",Settings!$C$6)</f>
        <v/>
      </c>
      <c r="O400" s="7">
        <f>IF($U400="","",SUMIFS('Per Line'!$N$2:$N$3001,'Per Line'!$A$2:$A$3001,$A400,'Per Line'!$W$2:$W$3001,1))</f>
        <v/>
      </c>
      <c r="P400" s="7">
        <f>IF($U400="","",O400*N400)</f>
        <v/>
      </c>
      <c r="Q400" s="7">
        <f>IF($U400="","",P400+M400)</f>
        <v/>
      </c>
      <c r="R400" s="7">
        <f>IF($U400="","",S400-Q400)</f>
        <v/>
      </c>
      <c r="S400" s="7">
        <f>IF($U400="","",L400+O400)</f>
        <v/>
      </c>
      <c r="T400" s="7">
        <f>IF($U400="","",S400-Q400-G400)</f>
        <v/>
      </c>
      <c r="U400" s="13">
        <f>IF(ROWS($U$2:$U400)&lt;=MAX('Per Line'!$V$2:$V$3001),MATCH(ROWS($U$2:$U400),'Per Line'!$V$2:$V$3001,0),"")</f>
        <v/>
      </c>
    </row>
    <row r="401">
      <c r="A401">
        <f>IF($U401="","",INDEX('Per Line'!$A$2:$A$3001,$U401)&amp;"")</f>
        <v/>
      </c>
      <c r="B401" s="12" t="n"/>
      <c r="C401">
        <f>IF($U401="","",INDEX('Per Line'!$B$2:$B$3001,$U401)&amp;"")</f>
        <v/>
      </c>
      <c r="D401">
        <f>IF($U401="","",INDEX('Per Line'!$C$2:$C$3001,$U401)&amp;"")</f>
        <v/>
      </c>
      <c r="E401">
        <f>IF($U401="","",INDEX('Per Line'!$D$2:$D$3001,$U401)&amp;"")</f>
        <v/>
      </c>
      <c r="F401">
        <f>IF($U401="","",INDEX('Per Line'!$E$2:$E$3001,$U401))</f>
        <v/>
      </c>
      <c r="G401" s="7">
        <f>IF($U401="","",F401*S401/100)</f>
        <v/>
      </c>
      <c r="H401">
        <f>IF($U401="","",INDEX('Per Line'!$O$2:$O$3001,$U401)&amp;"")</f>
        <v/>
      </c>
      <c r="I401" s="11">
        <f>IF($U401="","",INDEX('Per Line'!$Q$2:$Q$3001,$U401))</f>
        <v/>
      </c>
      <c r="J401">
        <f>IF($U401="","",INDEX('Per Line'!$R$2:$R$3001,$U401)&amp;"")</f>
        <v/>
      </c>
      <c r="K401">
        <f>IF($U401="","",Settings!$C$7)</f>
        <v/>
      </c>
      <c r="L401" s="7">
        <f>IF($U401="","",SUMIFS('Per Line'!$N$2:$N$3001,'Per Line'!$A$2:$A$3001,$A401,'Per Line'!$W$2:$W$3001,0))</f>
        <v/>
      </c>
      <c r="M401" s="7">
        <f>IF($U401="","",L401*K401)</f>
        <v/>
      </c>
      <c r="N401">
        <f>IF($U401="","",Settings!$C$6)</f>
        <v/>
      </c>
      <c r="O401" s="7">
        <f>IF($U401="","",SUMIFS('Per Line'!$N$2:$N$3001,'Per Line'!$A$2:$A$3001,$A401,'Per Line'!$W$2:$W$3001,1))</f>
        <v/>
      </c>
      <c r="P401" s="7">
        <f>IF($U401="","",O401*N401)</f>
        <v/>
      </c>
      <c r="Q401" s="7">
        <f>IF($U401="","",P401+M401)</f>
        <v/>
      </c>
      <c r="R401" s="7">
        <f>IF($U401="","",S401-Q401)</f>
        <v/>
      </c>
      <c r="S401" s="7">
        <f>IF($U401="","",L401+O401)</f>
        <v/>
      </c>
      <c r="T401" s="7">
        <f>IF($U401="","",S401-Q401-G401)</f>
        <v/>
      </c>
      <c r="U401" s="13">
        <f>IF(ROWS($U$2:$U401)&lt;=MAX('Per Line'!$V$2:$V$3001),MATCH(ROWS($U$2:$U401),'Per Line'!$V$2:$V$3001,0),"")</f>
        <v/>
      </c>
    </row>
    <row r="402">
      <c r="A402">
        <f>IF($U402="","",INDEX('Per Line'!$A$2:$A$3001,$U402)&amp;"")</f>
        <v/>
      </c>
      <c r="B402" s="12" t="n"/>
      <c r="C402">
        <f>IF($U402="","",INDEX('Per Line'!$B$2:$B$3001,$U402)&amp;"")</f>
        <v/>
      </c>
      <c r="D402">
        <f>IF($U402="","",INDEX('Per Line'!$C$2:$C$3001,$U402)&amp;"")</f>
        <v/>
      </c>
      <c r="E402">
        <f>IF($U402="","",INDEX('Per Line'!$D$2:$D$3001,$U402)&amp;"")</f>
        <v/>
      </c>
      <c r="F402">
        <f>IF($U402="","",INDEX('Per Line'!$E$2:$E$3001,$U402))</f>
        <v/>
      </c>
      <c r="G402" s="7">
        <f>IF($U402="","",F402*S402/100)</f>
        <v/>
      </c>
      <c r="H402">
        <f>IF($U402="","",INDEX('Per Line'!$O$2:$O$3001,$U402)&amp;"")</f>
        <v/>
      </c>
      <c r="I402" s="11">
        <f>IF($U402="","",INDEX('Per Line'!$Q$2:$Q$3001,$U402))</f>
        <v/>
      </c>
      <c r="J402">
        <f>IF($U402="","",INDEX('Per Line'!$R$2:$R$3001,$U402)&amp;"")</f>
        <v/>
      </c>
      <c r="K402">
        <f>IF($U402="","",Settings!$C$7)</f>
        <v/>
      </c>
      <c r="L402" s="7">
        <f>IF($U402="","",SUMIFS('Per Line'!$N$2:$N$3001,'Per Line'!$A$2:$A$3001,$A402,'Per Line'!$W$2:$W$3001,0))</f>
        <v/>
      </c>
      <c r="M402" s="7">
        <f>IF($U402="","",L402*K402)</f>
        <v/>
      </c>
      <c r="N402">
        <f>IF($U402="","",Settings!$C$6)</f>
        <v/>
      </c>
      <c r="O402" s="7">
        <f>IF($U402="","",SUMIFS('Per Line'!$N$2:$N$3001,'Per Line'!$A$2:$A$3001,$A402,'Per Line'!$W$2:$W$3001,1))</f>
        <v/>
      </c>
      <c r="P402" s="7">
        <f>IF($U402="","",O402*N402)</f>
        <v/>
      </c>
      <c r="Q402" s="7">
        <f>IF($U402="","",P402+M402)</f>
        <v/>
      </c>
      <c r="R402" s="7">
        <f>IF($U402="","",S402-Q402)</f>
        <v/>
      </c>
      <c r="S402" s="7">
        <f>IF($U402="","",L402+O402)</f>
        <v/>
      </c>
      <c r="T402" s="7">
        <f>IF($U402="","",S402-Q402-G402)</f>
        <v/>
      </c>
      <c r="U402" s="13">
        <f>IF(ROWS($U$2:$U402)&lt;=MAX('Per Line'!$V$2:$V$3001),MATCH(ROWS($U$2:$U402),'Per Line'!$V$2:$V$3001,0),"")</f>
        <v/>
      </c>
    </row>
    <row r="403">
      <c r="A403">
        <f>IF($U403="","",INDEX('Per Line'!$A$2:$A$3001,$U403)&amp;"")</f>
        <v/>
      </c>
      <c r="B403" s="12" t="n"/>
      <c r="C403">
        <f>IF($U403="","",INDEX('Per Line'!$B$2:$B$3001,$U403)&amp;"")</f>
        <v/>
      </c>
      <c r="D403">
        <f>IF($U403="","",INDEX('Per Line'!$C$2:$C$3001,$U403)&amp;"")</f>
        <v/>
      </c>
      <c r="E403">
        <f>IF($U403="","",INDEX('Per Line'!$D$2:$D$3001,$U403)&amp;"")</f>
        <v/>
      </c>
      <c r="F403">
        <f>IF($U403="","",INDEX('Per Line'!$E$2:$E$3001,$U403))</f>
        <v/>
      </c>
      <c r="G403" s="7">
        <f>IF($U403="","",F403*S403/100)</f>
        <v/>
      </c>
      <c r="H403">
        <f>IF($U403="","",INDEX('Per Line'!$O$2:$O$3001,$U403)&amp;"")</f>
        <v/>
      </c>
      <c r="I403" s="11">
        <f>IF($U403="","",INDEX('Per Line'!$Q$2:$Q$3001,$U403))</f>
        <v/>
      </c>
      <c r="J403">
        <f>IF($U403="","",INDEX('Per Line'!$R$2:$R$3001,$U403)&amp;"")</f>
        <v/>
      </c>
      <c r="K403">
        <f>IF($U403="","",Settings!$C$7)</f>
        <v/>
      </c>
      <c r="L403" s="7">
        <f>IF($U403="","",SUMIFS('Per Line'!$N$2:$N$3001,'Per Line'!$A$2:$A$3001,$A403,'Per Line'!$W$2:$W$3001,0))</f>
        <v/>
      </c>
      <c r="M403" s="7">
        <f>IF($U403="","",L403*K403)</f>
        <v/>
      </c>
      <c r="N403">
        <f>IF($U403="","",Settings!$C$6)</f>
        <v/>
      </c>
      <c r="O403" s="7">
        <f>IF($U403="","",SUMIFS('Per Line'!$N$2:$N$3001,'Per Line'!$A$2:$A$3001,$A403,'Per Line'!$W$2:$W$3001,1))</f>
        <v/>
      </c>
      <c r="P403" s="7">
        <f>IF($U403="","",O403*N403)</f>
        <v/>
      </c>
      <c r="Q403" s="7">
        <f>IF($U403="","",P403+M403)</f>
        <v/>
      </c>
      <c r="R403" s="7">
        <f>IF($U403="","",S403-Q403)</f>
        <v/>
      </c>
      <c r="S403" s="7">
        <f>IF($U403="","",L403+O403)</f>
        <v/>
      </c>
      <c r="T403" s="7">
        <f>IF($U403="","",S403-Q403-G403)</f>
        <v/>
      </c>
      <c r="U403" s="13">
        <f>IF(ROWS($U$2:$U403)&lt;=MAX('Per Line'!$V$2:$V$3001),MATCH(ROWS($U$2:$U403),'Per Line'!$V$2:$V$3001,0),"")</f>
        <v/>
      </c>
    </row>
    <row r="404">
      <c r="A404">
        <f>IF($U404="","",INDEX('Per Line'!$A$2:$A$3001,$U404)&amp;"")</f>
        <v/>
      </c>
      <c r="B404" s="12" t="n"/>
      <c r="C404">
        <f>IF($U404="","",INDEX('Per Line'!$B$2:$B$3001,$U404)&amp;"")</f>
        <v/>
      </c>
      <c r="D404">
        <f>IF($U404="","",INDEX('Per Line'!$C$2:$C$3001,$U404)&amp;"")</f>
        <v/>
      </c>
      <c r="E404">
        <f>IF($U404="","",INDEX('Per Line'!$D$2:$D$3001,$U404)&amp;"")</f>
        <v/>
      </c>
      <c r="F404">
        <f>IF($U404="","",INDEX('Per Line'!$E$2:$E$3001,$U404))</f>
        <v/>
      </c>
      <c r="G404" s="7">
        <f>IF($U404="","",F404*S404/100)</f>
        <v/>
      </c>
      <c r="H404">
        <f>IF($U404="","",INDEX('Per Line'!$O$2:$O$3001,$U404)&amp;"")</f>
        <v/>
      </c>
      <c r="I404" s="11">
        <f>IF($U404="","",INDEX('Per Line'!$Q$2:$Q$3001,$U404))</f>
        <v/>
      </c>
      <c r="J404">
        <f>IF($U404="","",INDEX('Per Line'!$R$2:$R$3001,$U404)&amp;"")</f>
        <v/>
      </c>
      <c r="K404">
        <f>IF($U404="","",Settings!$C$7)</f>
        <v/>
      </c>
      <c r="L404" s="7">
        <f>IF($U404="","",SUMIFS('Per Line'!$N$2:$N$3001,'Per Line'!$A$2:$A$3001,$A404,'Per Line'!$W$2:$W$3001,0))</f>
        <v/>
      </c>
      <c r="M404" s="7">
        <f>IF($U404="","",L404*K404)</f>
        <v/>
      </c>
      <c r="N404">
        <f>IF($U404="","",Settings!$C$6)</f>
        <v/>
      </c>
      <c r="O404" s="7">
        <f>IF($U404="","",SUMIFS('Per Line'!$N$2:$N$3001,'Per Line'!$A$2:$A$3001,$A404,'Per Line'!$W$2:$W$3001,1))</f>
        <v/>
      </c>
      <c r="P404" s="7">
        <f>IF($U404="","",O404*N404)</f>
        <v/>
      </c>
      <c r="Q404" s="7">
        <f>IF($U404="","",P404+M404)</f>
        <v/>
      </c>
      <c r="R404" s="7">
        <f>IF($U404="","",S404-Q404)</f>
        <v/>
      </c>
      <c r="S404" s="7">
        <f>IF($U404="","",L404+O404)</f>
        <v/>
      </c>
      <c r="T404" s="7">
        <f>IF($U404="","",S404-Q404-G404)</f>
        <v/>
      </c>
      <c r="U404" s="13">
        <f>IF(ROWS($U$2:$U404)&lt;=MAX('Per Line'!$V$2:$V$3001),MATCH(ROWS($U$2:$U404),'Per Line'!$V$2:$V$3001,0),"")</f>
        <v/>
      </c>
    </row>
    <row r="405">
      <c r="A405">
        <f>IF($U405="","",INDEX('Per Line'!$A$2:$A$3001,$U405)&amp;"")</f>
        <v/>
      </c>
      <c r="B405" s="12" t="n"/>
      <c r="C405">
        <f>IF($U405="","",INDEX('Per Line'!$B$2:$B$3001,$U405)&amp;"")</f>
        <v/>
      </c>
      <c r="D405">
        <f>IF($U405="","",INDEX('Per Line'!$C$2:$C$3001,$U405)&amp;"")</f>
        <v/>
      </c>
      <c r="E405">
        <f>IF($U405="","",INDEX('Per Line'!$D$2:$D$3001,$U405)&amp;"")</f>
        <v/>
      </c>
      <c r="F405">
        <f>IF($U405="","",INDEX('Per Line'!$E$2:$E$3001,$U405))</f>
        <v/>
      </c>
      <c r="G405" s="7">
        <f>IF($U405="","",F405*S405/100)</f>
        <v/>
      </c>
      <c r="H405">
        <f>IF($U405="","",INDEX('Per Line'!$O$2:$O$3001,$U405)&amp;"")</f>
        <v/>
      </c>
      <c r="I405" s="11">
        <f>IF($U405="","",INDEX('Per Line'!$Q$2:$Q$3001,$U405))</f>
        <v/>
      </c>
      <c r="J405">
        <f>IF($U405="","",INDEX('Per Line'!$R$2:$R$3001,$U405)&amp;"")</f>
        <v/>
      </c>
      <c r="K405">
        <f>IF($U405="","",Settings!$C$7)</f>
        <v/>
      </c>
      <c r="L405" s="7">
        <f>IF($U405="","",SUMIFS('Per Line'!$N$2:$N$3001,'Per Line'!$A$2:$A$3001,$A405,'Per Line'!$W$2:$W$3001,0))</f>
        <v/>
      </c>
      <c r="M405" s="7">
        <f>IF($U405="","",L405*K405)</f>
        <v/>
      </c>
      <c r="N405">
        <f>IF($U405="","",Settings!$C$6)</f>
        <v/>
      </c>
      <c r="O405" s="7">
        <f>IF($U405="","",SUMIFS('Per Line'!$N$2:$N$3001,'Per Line'!$A$2:$A$3001,$A405,'Per Line'!$W$2:$W$3001,1))</f>
        <v/>
      </c>
      <c r="P405" s="7">
        <f>IF($U405="","",O405*N405)</f>
        <v/>
      </c>
      <c r="Q405" s="7">
        <f>IF($U405="","",P405+M405)</f>
        <v/>
      </c>
      <c r="R405" s="7">
        <f>IF($U405="","",S405-Q405)</f>
        <v/>
      </c>
      <c r="S405" s="7">
        <f>IF($U405="","",L405+O405)</f>
        <v/>
      </c>
      <c r="T405" s="7">
        <f>IF($U405="","",S405-Q405-G405)</f>
        <v/>
      </c>
      <c r="U405" s="13">
        <f>IF(ROWS($U$2:$U405)&lt;=MAX('Per Line'!$V$2:$V$3001),MATCH(ROWS($U$2:$U405),'Per Line'!$V$2:$V$3001,0),"")</f>
        <v/>
      </c>
    </row>
    <row r="406">
      <c r="A406">
        <f>IF($U406="","",INDEX('Per Line'!$A$2:$A$3001,$U406)&amp;"")</f>
        <v/>
      </c>
      <c r="B406" s="12" t="n"/>
      <c r="C406">
        <f>IF($U406="","",INDEX('Per Line'!$B$2:$B$3001,$U406)&amp;"")</f>
        <v/>
      </c>
      <c r="D406">
        <f>IF($U406="","",INDEX('Per Line'!$C$2:$C$3001,$U406)&amp;"")</f>
        <v/>
      </c>
      <c r="E406">
        <f>IF($U406="","",INDEX('Per Line'!$D$2:$D$3001,$U406)&amp;"")</f>
        <v/>
      </c>
      <c r="F406">
        <f>IF($U406="","",INDEX('Per Line'!$E$2:$E$3001,$U406))</f>
        <v/>
      </c>
      <c r="G406" s="7">
        <f>IF($U406="","",F406*S406/100)</f>
        <v/>
      </c>
      <c r="H406">
        <f>IF($U406="","",INDEX('Per Line'!$O$2:$O$3001,$U406)&amp;"")</f>
        <v/>
      </c>
      <c r="I406" s="11">
        <f>IF($U406="","",INDEX('Per Line'!$Q$2:$Q$3001,$U406))</f>
        <v/>
      </c>
      <c r="J406">
        <f>IF($U406="","",INDEX('Per Line'!$R$2:$R$3001,$U406)&amp;"")</f>
        <v/>
      </c>
      <c r="K406">
        <f>IF($U406="","",Settings!$C$7)</f>
        <v/>
      </c>
      <c r="L406" s="7">
        <f>IF($U406="","",SUMIFS('Per Line'!$N$2:$N$3001,'Per Line'!$A$2:$A$3001,$A406,'Per Line'!$W$2:$W$3001,0))</f>
        <v/>
      </c>
      <c r="M406" s="7">
        <f>IF($U406="","",L406*K406)</f>
        <v/>
      </c>
      <c r="N406">
        <f>IF($U406="","",Settings!$C$6)</f>
        <v/>
      </c>
      <c r="O406" s="7">
        <f>IF($U406="","",SUMIFS('Per Line'!$N$2:$N$3001,'Per Line'!$A$2:$A$3001,$A406,'Per Line'!$W$2:$W$3001,1))</f>
        <v/>
      </c>
      <c r="P406" s="7">
        <f>IF($U406="","",O406*N406)</f>
        <v/>
      </c>
      <c r="Q406" s="7">
        <f>IF($U406="","",P406+M406)</f>
        <v/>
      </c>
      <c r="R406" s="7">
        <f>IF($U406="","",S406-Q406)</f>
        <v/>
      </c>
      <c r="S406" s="7">
        <f>IF($U406="","",L406+O406)</f>
        <v/>
      </c>
      <c r="T406" s="7">
        <f>IF($U406="","",S406-Q406-G406)</f>
        <v/>
      </c>
      <c r="U406" s="13">
        <f>IF(ROWS($U$2:$U406)&lt;=MAX('Per Line'!$V$2:$V$3001),MATCH(ROWS($U$2:$U406),'Per Line'!$V$2:$V$3001,0),"")</f>
        <v/>
      </c>
    </row>
    <row r="407">
      <c r="A407">
        <f>IF($U407="","",INDEX('Per Line'!$A$2:$A$3001,$U407)&amp;"")</f>
        <v/>
      </c>
      <c r="B407" s="12" t="n"/>
      <c r="C407">
        <f>IF($U407="","",INDEX('Per Line'!$B$2:$B$3001,$U407)&amp;"")</f>
        <v/>
      </c>
      <c r="D407">
        <f>IF($U407="","",INDEX('Per Line'!$C$2:$C$3001,$U407)&amp;"")</f>
        <v/>
      </c>
      <c r="E407">
        <f>IF($U407="","",INDEX('Per Line'!$D$2:$D$3001,$U407)&amp;"")</f>
        <v/>
      </c>
      <c r="F407">
        <f>IF($U407="","",INDEX('Per Line'!$E$2:$E$3001,$U407))</f>
        <v/>
      </c>
      <c r="G407" s="7">
        <f>IF($U407="","",F407*S407/100)</f>
        <v/>
      </c>
      <c r="H407">
        <f>IF($U407="","",INDEX('Per Line'!$O$2:$O$3001,$U407)&amp;"")</f>
        <v/>
      </c>
      <c r="I407" s="11">
        <f>IF($U407="","",INDEX('Per Line'!$Q$2:$Q$3001,$U407))</f>
        <v/>
      </c>
      <c r="J407">
        <f>IF($U407="","",INDEX('Per Line'!$R$2:$R$3001,$U407)&amp;"")</f>
        <v/>
      </c>
      <c r="K407">
        <f>IF($U407="","",Settings!$C$7)</f>
        <v/>
      </c>
      <c r="L407" s="7">
        <f>IF($U407="","",SUMIFS('Per Line'!$N$2:$N$3001,'Per Line'!$A$2:$A$3001,$A407,'Per Line'!$W$2:$W$3001,0))</f>
        <v/>
      </c>
      <c r="M407" s="7">
        <f>IF($U407="","",L407*K407)</f>
        <v/>
      </c>
      <c r="N407">
        <f>IF($U407="","",Settings!$C$6)</f>
        <v/>
      </c>
      <c r="O407" s="7">
        <f>IF($U407="","",SUMIFS('Per Line'!$N$2:$N$3001,'Per Line'!$A$2:$A$3001,$A407,'Per Line'!$W$2:$W$3001,1))</f>
        <v/>
      </c>
      <c r="P407" s="7">
        <f>IF($U407="","",O407*N407)</f>
        <v/>
      </c>
      <c r="Q407" s="7">
        <f>IF($U407="","",P407+M407)</f>
        <v/>
      </c>
      <c r="R407" s="7">
        <f>IF($U407="","",S407-Q407)</f>
        <v/>
      </c>
      <c r="S407" s="7">
        <f>IF($U407="","",L407+O407)</f>
        <v/>
      </c>
      <c r="T407" s="7">
        <f>IF($U407="","",S407-Q407-G407)</f>
        <v/>
      </c>
      <c r="U407" s="13">
        <f>IF(ROWS($U$2:$U407)&lt;=MAX('Per Line'!$V$2:$V$3001),MATCH(ROWS($U$2:$U407),'Per Line'!$V$2:$V$3001,0),"")</f>
        <v/>
      </c>
    </row>
    <row r="408">
      <c r="A408">
        <f>IF($U408="","",INDEX('Per Line'!$A$2:$A$3001,$U408)&amp;"")</f>
        <v/>
      </c>
      <c r="B408" s="12" t="n"/>
      <c r="C408">
        <f>IF($U408="","",INDEX('Per Line'!$B$2:$B$3001,$U408)&amp;"")</f>
        <v/>
      </c>
      <c r="D408">
        <f>IF($U408="","",INDEX('Per Line'!$C$2:$C$3001,$U408)&amp;"")</f>
        <v/>
      </c>
      <c r="E408">
        <f>IF($U408="","",INDEX('Per Line'!$D$2:$D$3001,$U408)&amp;"")</f>
        <v/>
      </c>
      <c r="F408">
        <f>IF($U408="","",INDEX('Per Line'!$E$2:$E$3001,$U408))</f>
        <v/>
      </c>
      <c r="G408" s="7">
        <f>IF($U408="","",F408*S408/100)</f>
        <v/>
      </c>
      <c r="H408">
        <f>IF($U408="","",INDEX('Per Line'!$O$2:$O$3001,$U408)&amp;"")</f>
        <v/>
      </c>
      <c r="I408" s="11">
        <f>IF($U408="","",INDEX('Per Line'!$Q$2:$Q$3001,$U408))</f>
        <v/>
      </c>
      <c r="J408">
        <f>IF($U408="","",INDEX('Per Line'!$R$2:$R$3001,$U408)&amp;"")</f>
        <v/>
      </c>
      <c r="K408">
        <f>IF($U408="","",Settings!$C$7)</f>
        <v/>
      </c>
      <c r="L408" s="7">
        <f>IF($U408="","",SUMIFS('Per Line'!$N$2:$N$3001,'Per Line'!$A$2:$A$3001,$A408,'Per Line'!$W$2:$W$3001,0))</f>
        <v/>
      </c>
      <c r="M408" s="7">
        <f>IF($U408="","",L408*K408)</f>
        <v/>
      </c>
      <c r="N408">
        <f>IF($U408="","",Settings!$C$6)</f>
        <v/>
      </c>
      <c r="O408" s="7">
        <f>IF($U408="","",SUMIFS('Per Line'!$N$2:$N$3001,'Per Line'!$A$2:$A$3001,$A408,'Per Line'!$W$2:$W$3001,1))</f>
        <v/>
      </c>
      <c r="P408" s="7">
        <f>IF($U408="","",O408*N408)</f>
        <v/>
      </c>
      <c r="Q408" s="7">
        <f>IF($U408="","",P408+M408)</f>
        <v/>
      </c>
      <c r="R408" s="7">
        <f>IF($U408="","",S408-Q408)</f>
        <v/>
      </c>
      <c r="S408" s="7">
        <f>IF($U408="","",L408+O408)</f>
        <v/>
      </c>
      <c r="T408" s="7">
        <f>IF($U408="","",S408-Q408-G408)</f>
        <v/>
      </c>
      <c r="U408" s="13">
        <f>IF(ROWS($U$2:$U408)&lt;=MAX('Per Line'!$V$2:$V$3001),MATCH(ROWS($U$2:$U408),'Per Line'!$V$2:$V$3001,0),"")</f>
        <v/>
      </c>
    </row>
    <row r="409">
      <c r="A409">
        <f>IF($U409="","",INDEX('Per Line'!$A$2:$A$3001,$U409)&amp;"")</f>
        <v/>
      </c>
      <c r="B409" s="12" t="n"/>
      <c r="C409">
        <f>IF($U409="","",INDEX('Per Line'!$B$2:$B$3001,$U409)&amp;"")</f>
        <v/>
      </c>
      <c r="D409">
        <f>IF($U409="","",INDEX('Per Line'!$C$2:$C$3001,$U409)&amp;"")</f>
        <v/>
      </c>
      <c r="E409">
        <f>IF($U409="","",INDEX('Per Line'!$D$2:$D$3001,$U409)&amp;"")</f>
        <v/>
      </c>
      <c r="F409">
        <f>IF($U409="","",INDEX('Per Line'!$E$2:$E$3001,$U409))</f>
        <v/>
      </c>
      <c r="G409" s="7">
        <f>IF($U409="","",F409*S409/100)</f>
        <v/>
      </c>
      <c r="H409">
        <f>IF($U409="","",INDEX('Per Line'!$O$2:$O$3001,$U409)&amp;"")</f>
        <v/>
      </c>
      <c r="I409" s="11">
        <f>IF($U409="","",INDEX('Per Line'!$Q$2:$Q$3001,$U409))</f>
        <v/>
      </c>
      <c r="J409">
        <f>IF($U409="","",INDEX('Per Line'!$R$2:$R$3001,$U409)&amp;"")</f>
        <v/>
      </c>
      <c r="K409">
        <f>IF($U409="","",Settings!$C$7)</f>
        <v/>
      </c>
      <c r="L409" s="7">
        <f>IF($U409="","",SUMIFS('Per Line'!$N$2:$N$3001,'Per Line'!$A$2:$A$3001,$A409,'Per Line'!$W$2:$W$3001,0))</f>
        <v/>
      </c>
      <c r="M409" s="7">
        <f>IF($U409="","",L409*K409)</f>
        <v/>
      </c>
      <c r="N409">
        <f>IF($U409="","",Settings!$C$6)</f>
        <v/>
      </c>
      <c r="O409" s="7">
        <f>IF($U409="","",SUMIFS('Per Line'!$N$2:$N$3001,'Per Line'!$A$2:$A$3001,$A409,'Per Line'!$W$2:$W$3001,1))</f>
        <v/>
      </c>
      <c r="P409" s="7">
        <f>IF($U409="","",O409*N409)</f>
        <v/>
      </c>
      <c r="Q409" s="7">
        <f>IF($U409="","",P409+M409)</f>
        <v/>
      </c>
      <c r="R409" s="7">
        <f>IF($U409="","",S409-Q409)</f>
        <v/>
      </c>
      <c r="S409" s="7">
        <f>IF($U409="","",L409+O409)</f>
        <v/>
      </c>
      <c r="T409" s="7">
        <f>IF($U409="","",S409-Q409-G409)</f>
        <v/>
      </c>
      <c r="U409" s="13">
        <f>IF(ROWS($U$2:$U409)&lt;=MAX('Per Line'!$V$2:$V$3001),MATCH(ROWS($U$2:$U409),'Per Line'!$V$2:$V$3001,0),"")</f>
        <v/>
      </c>
    </row>
    <row r="410">
      <c r="A410">
        <f>IF($U410="","",INDEX('Per Line'!$A$2:$A$3001,$U410)&amp;"")</f>
        <v/>
      </c>
      <c r="B410" s="12" t="n"/>
      <c r="C410">
        <f>IF($U410="","",INDEX('Per Line'!$B$2:$B$3001,$U410)&amp;"")</f>
        <v/>
      </c>
      <c r="D410">
        <f>IF($U410="","",INDEX('Per Line'!$C$2:$C$3001,$U410)&amp;"")</f>
        <v/>
      </c>
      <c r="E410">
        <f>IF($U410="","",INDEX('Per Line'!$D$2:$D$3001,$U410)&amp;"")</f>
        <v/>
      </c>
      <c r="F410">
        <f>IF($U410="","",INDEX('Per Line'!$E$2:$E$3001,$U410))</f>
        <v/>
      </c>
      <c r="G410" s="7">
        <f>IF($U410="","",F410*S410/100)</f>
        <v/>
      </c>
      <c r="H410">
        <f>IF($U410="","",INDEX('Per Line'!$O$2:$O$3001,$U410)&amp;"")</f>
        <v/>
      </c>
      <c r="I410" s="11">
        <f>IF($U410="","",INDEX('Per Line'!$Q$2:$Q$3001,$U410))</f>
        <v/>
      </c>
      <c r="J410">
        <f>IF($U410="","",INDEX('Per Line'!$R$2:$R$3001,$U410)&amp;"")</f>
        <v/>
      </c>
      <c r="K410">
        <f>IF($U410="","",Settings!$C$7)</f>
        <v/>
      </c>
      <c r="L410" s="7">
        <f>IF($U410="","",SUMIFS('Per Line'!$N$2:$N$3001,'Per Line'!$A$2:$A$3001,$A410,'Per Line'!$W$2:$W$3001,0))</f>
        <v/>
      </c>
      <c r="M410" s="7">
        <f>IF($U410="","",L410*K410)</f>
        <v/>
      </c>
      <c r="N410">
        <f>IF($U410="","",Settings!$C$6)</f>
        <v/>
      </c>
      <c r="O410" s="7">
        <f>IF($U410="","",SUMIFS('Per Line'!$N$2:$N$3001,'Per Line'!$A$2:$A$3001,$A410,'Per Line'!$W$2:$W$3001,1))</f>
        <v/>
      </c>
      <c r="P410" s="7">
        <f>IF($U410="","",O410*N410)</f>
        <v/>
      </c>
      <c r="Q410" s="7">
        <f>IF($U410="","",P410+M410)</f>
        <v/>
      </c>
      <c r="R410" s="7">
        <f>IF($U410="","",S410-Q410)</f>
        <v/>
      </c>
      <c r="S410" s="7">
        <f>IF($U410="","",L410+O410)</f>
        <v/>
      </c>
      <c r="T410" s="7">
        <f>IF($U410="","",S410-Q410-G410)</f>
        <v/>
      </c>
      <c r="U410" s="13">
        <f>IF(ROWS($U$2:$U410)&lt;=MAX('Per Line'!$V$2:$V$3001),MATCH(ROWS($U$2:$U410),'Per Line'!$V$2:$V$3001,0),"")</f>
        <v/>
      </c>
    </row>
    <row r="411">
      <c r="A411">
        <f>IF($U411="","",INDEX('Per Line'!$A$2:$A$3001,$U411)&amp;"")</f>
        <v/>
      </c>
      <c r="B411" s="12" t="n"/>
      <c r="C411">
        <f>IF($U411="","",INDEX('Per Line'!$B$2:$B$3001,$U411)&amp;"")</f>
        <v/>
      </c>
      <c r="D411">
        <f>IF($U411="","",INDEX('Per Line'!$C$2:$C$3001,$U411)&amp;"")</f>
        <v/>
      </c>
      <c r="E411">
        <f>IF($U411="","",INDEX('Per Line'!$D$2:$D$3001,$U411)&amp;"")</f>
        <v/>
      </c>
      <c r="F411">
        <f>IF($U411="","",INDEX('Per Line'!$E$2:$E$3001,$U411))</f>
        <v/>
      </c>
      <c r="G411" s="7">
        <f>IF($U411="","",F411*S411/100)</f>
        <v/>
      </c>
      <c r="H411">
        <f>IF($U411="","",INDEX('Per Line'!$O$2:$O$3001,$U411)&amp;"")</f>
        <v/>
      </c>
      <c r="I411" s="11">
        <f>IF($U411="","",INDEX('Per Line'!$Q$2:$Q$3001,$U411))</f>
        <v/>
      </c>
      <c r="J411">
        <f>IF($U411="","",INDEX('Per Line'!$R$2:$R$3001,$U411)&amp;"")</f>
        <v/>
      </c>
      <c r="K411">
        <f>IF($U411="","",Settings!$C$7)</f>
        <v/>
      </c>
      <c r="L411" s="7">
        <f>IF($U411="","",SUMIFS('Per Line'!$N$2:$N$3001,'Per Line'!$A$2:$A$3001,$A411,'Per Line'!$W$2:$W$3001,0))</f>
        <v/>
      </c>
      <c r="M411" s="7">
        <f>IF($U411="","",L411*K411)</f>
        <v/>
      </c>
      <c r="N411">
        <f>IF($U411="","",Settings!$C$6)</f>
        <v/>
      </c>
      <c r="O411" s="7">
        <f>IF($U411="","",SUMIFS('Per Line'!$N$2:$N$3001,'Per Line'!$A$2:$A$3001,$A411,'Per Line'!$W$2:$W$3001,1))</f>
        <v/>
      </c>
      <c r="P411" s="7">
        <f>IF($U411="","",O411*N411)</f>
        <v/>
      </c>
      <c r="Q411" s="7">
        <f>IF($U411="","",P411+M411)</f>
        <v/>
      </c>
      <c r="R411" s="7">
        <f>IF($U411="","",S411-Q411)</f>
        <v/>
      </c>
      <c r="S411" s="7">
        <f>IF($U411="","",L411+O411)</f>
        <v/>
      </c>
      <c r="T411" s="7">
        <f>IF($U411="","",S411-Q411-G411)</f>
        <v/>
      </c>
      <c r="U411" s="13">
        <f>IF(ROWS($U$2:$U411)&lt;=MAX('Per Line'!$V$2:$V$3001),MATCH(ROWS($U$2:$U411),'Per Line'!$V$2:$V$3001,0),"")</f>
        <v/>
      </c>
    </row>
    <row r="412">
      <c r="A412">
        <f>IF($U412="","",INDEX('Per Line'!$A$2:$A$3001,$U412)&amp;"")</f>
        <v/>
      </c>
      <c r="B412" s="12" t="n"/>
      <c r="C412">
        <f>IF($U412="","",INDEX('Per Line'!$B$2:$B$3001,$U412)&amp;"")</f>
        <v/>
      </c>
      <c r="D412">
        <f>IF($U412="","",INDEX('Per Line'!$C$2:$C$3001,$U412)&amp;"")</f>
        <v/>
      </c>
      <c r="E412">
        <f>IF($U412="","",INDEX('Per Line'!$D$2:$D$3001,$U412)&amp;"")</f>
        <v/>
      </c>
      <c r="F412">
        <f>IF($U412="","",INDEX('Per Line'!$E$2:$E$3001,$U412))</f>
        <v/>
      </c>
      <c r="G412" s="7">
        <f>IF($U412="","",F412*S412/100)</f>
        <v/>
      </c>
      <c r="H412">
        <f>IF($U412="","",INDEX('Per Line'!$O$2:$O$3001,$U412)&amp;"")</f>
        <v/>
      </c>
      <c r="I412" s="11">
        <f>IF($U412="","",INDEX('Per Line'!$Q$2:$Q$3001,$U412))</f>
        <v/>
      </c>
      <c r="J412">
        <f>IF($U412="","",INDEX('Per Line'!$R$2:$R$3001,$U412)&amp;"")</f>
        <v/>
      </c>
      <c r="K412">
        <f>IF($U412="","",Settings!$C$7)</f>
        <v/>
      </c>
      <c r="L412" s="7">
        <f>IF($U412="","",SUMIFS('Per Line'!$N$2:$N$3001,'Per Line'!$A$2:$A$3001,$A412,'Per Line'!$W$2:$W$3001,0))</f>
        <v/>
      </c>
      <c r="M412" s="7">
        <f>IF($U412="","",L412*K412)</f>
        <v/>
      </c>
      <c r="N412">
        <f>IF($U412="","",Settings!$C$6)</f>
        <v/>
      </c>
      <c r="O412" s="7">
        <f>IF($U412="","",SUMIFS('Per Line'!$N$2:$N$3001,'Per Line'!$A$2:$A$3001,$A412,'Per Line'!$W$2:$W$3001,1))</f>
        <v/>
      </c>
      <c r="P412" s="7">
        <f>IF($U412="","",O412*N412)</f>
        <v/>
      </c>
      <c r="Q412" s="7">
        <f>IF($U412="","",P412+M412)</f>
        <v/>
      </c>
      <c r="R412" s="7">
        <f>IF($U412="","",S412-Q412)</f>
        <v/>
      </c>
      <c r="S412" s="7">
        <f>IF($U412="","",L412+O412)</f>
        <v/>
      </c>
      <c r="T412" s="7">
        <f>IF($U412="","",S412-Q412-G412)</f>
        <v/>
      </c>
      <c r="U412" s="13">
        <f>IF(ROWS($U$2:$U412)&lt;=MAX('Per Line'!$V$2:$V$3001),MATCH(ROWS($U$2:$U412),'Per Line'!$V$2:$V$3001,0),"")</f>
        <v/>
      </c>
    </row>
    <row r="413">
      <c r="A413">
        <f>IF($U413="","",INDEX('Per Line'!$A$2:$A$3001,$U413)&amp;"")</f>
        <v/>
      </c>
      <c r="B413" s="12" t="n"/>
      <c r="C413">
        <f>IF($U413="","",INDEX('Per Line'!$B$2:$B$3001,$U413)&amp;"")</f>
        <v/>
      </c>
      <c r="D413">
        <f>IF($U413="","",INDEX('Per Line'!$C$2:$C$3001,$U413)&amp;"")</f>
        <v/>
      </c>
      <c r="E413">
        <f>IF($U413="","",INDEX('Per Line'!$D$2:$D$3001,$U413)&amp;"")</f>
        <v/>
      </c>
      <c r="F413">
        <f>IF($U413="","",INDEX('Per Line'!$E$2:$E$3001,$U413))</f>
        <v/>
      </c>
      <c r="G413" s="7">
        <f>IF($U413="","",F413*S413/100)</f>
        <v/>
      </c>
      <c r="H413">
        <f>IF($U413="","",INDEX('Per Line'!$O$2:$O$3001,$U413)&amp;"")</f>
        <v/>
      </c>
      <c r="I413" s="11">
        <f>IF($U413="","",INDEX('Per Line'!$Q$2:$Q$3001,$U413))</f>
        <v/>
      </c>
      <c r="J413">
        <f>IF($U413="","",INDEX('Per Line'!$R$2:$R$3001,$U413)&amp;"")</f>
        <v/>
      </c>
      <c r="K413">
        <f>IF($U413="","",Settings!$C$7)</f>
        <v/>
      </c>
      <c r="L413" s="7">
        <f>IF($U413="","",SUMIFS('Per Line'!$N$2:$N$3001,'Per Line'!$A$2:$A$3001,$A413,'Per Line'!$W$2:$W$3001,0))</f>
        <v/>
      </c>
      <c r="M413" s="7">
        <f>IF($U413="","",L413*K413)</f>
        <v/>
      </c>
      <c r="N413">
        <f>IF($U413="","",Settings!$C$6)</f>
        <v/>
      </c>
      <c r="O413" s="7">
        <f>IF($U413="","",SUMIFS('Per Line'!$N$2:$N$3001,'Per Line'!$A$2:$A$3001,$A413,'Per Line'!$W$2:$W$3001,1))</f>
        <v/>
      </c>
      <c r="P413" s="7">
        <f>IF($U413="","",O413*N413)</f>
        <v/>
      </c>
      <c r="Q413" s="7">
        <f>IF($U413="","",P413+M413)</f>
        <v/>
      </c>
      <c r="R413" s="7">
        <f>IF($U413="","",S413-Q413)</f>
        <v/>
      </c>
      <c r="S413" s="7">
        <f>IF($U413="","",L413+O413)</f>
        <v/>
      </c>
      <c r="T413" s="7">
        <f>IF($U413="","",S413-Q413-G413)</f>
        <v/>
      </c>
      <c r="U413" s="13">
        <f>IF(ROWS($U$2:$U413)&lt;=MAX('Per Line'!$V$2:$V$3001),MATCH(ROWS($U$2:$U413),'Per Line'!$V$2:$V$3001,0),"")</f>
        <v/>
      </c>
    </row>
    <row r="414">
      <c r="A414">
        <f>IF($U414="","",INDEX('Per Line'!$A$2:$A$3001,$U414)&amp;"")</f>
        <v/>
      </c>
      <c r="B414" s="12" t="n"/>
      <c r="C414">
        <f>IF($U414="","",INDEX('Per Line'!$B$2:$B$3001,$U414)&amp;"")</f>
        <v/>
      </c>
      <c r="D414">
        <f>IF($U414="","",INDEX('Per Line'!$C$2:$C$3001,$U414)&amp;"")</f>
        <v/>
      </c>
      <c r="E414">
        <f>IF($U414="","",INDEX('Per Line'!$D$2:$D$3001,$U414)&amp;"")</f>
        <v/>
      </c>
      <c r="F414">
        <f>IF($U414="","",INDEX('Per Line'!$E$2:$E$3001,$U414))</f>
        <v/>
      </c>
      <c r="G414" s="7">
        <f>IF($U414="","",F414*S414/100)</f>
        <v/>
      </c>
      <c r="H414">
        <f>IF($U414="","",INDEX('Per Line'!$O$2:$O$3001,$U414)&amp;"")</f>
        <v/>
      </c>
      <c r="I414" s="11">
        <f>IF($U414="","",INDEX('Per Line'!$Q$2:$Q$3001,$U414))</f>
        <v/>
      </c>
      <c r="J414">
        <f>IF($U414="","",INDEX('Per Line'!$R$2:$R$3001,$U414)&amp;"")</f>
        <v/>
      </c>
      <c r="K414">
        <f>IF($U414="","",Settings!$C$7)</f>
        <v/>
      </c>
      <c r="L414" s="7">
        <f>IF($U414="","",SUMIFS('Per Line'!$N$2:$N$3001,'Per Line'!$A$2:$A$3001,$A414,'Per Line'!$W$2:$W$3001,0))</f>
        <v/>
      </c>
      <c r="M414" s="7">
        <f>IF($U414="","",L414*K414)</f>
        <v/>
      </c>
      <c r="N414">
        <f>IF($U414="","",Settings!$C$6)</f>
        <v/>
      </c>
      <c r="O414" s="7">
        <f>IF($U414="","",SUMIFS('Per Line'!$N$2:$N$3001,'Per Line'!$A$2:$A$3001,$A414,'Per Line'!$W$2:$W$3001,1))</f>
        <v/>
      </c>
      <c r="P414" s="7">
        <f>IF($U414="","",O414*N414)</f>
        <v/>
      </c>
      <c r="Q414" s="7">
        <f>IF($U414="","",P414+M414)</f>
        <v/>
      </c>
      <c r="R414" s="7">
        <f>IF($U414="","",S414-Q414)</f>
        <v/>
      </c>
      <c r="S414" s="7">
        <f>IF($U414="","",L414+O414)</f>
        <v/>
      </c>
      <c r="T414" s="7">
        <f>IF($U414="","",S414-Q414-G414)</f>
        <v/>
      </c>
      <c r="U414" s="13">
        <f>IF(ROWS($U$2:$U414)&lt;=MAX('Per Line'!$V$2:$V$3001),MATCH(ROWS($U$2:$U414),'Per Line'!$V$2:$V$3001,0),"")</f>
        <v/>
      </c>
    </row>
    <row r="415">
      <c r="A415">
        <f>IF($U415="","",INDEX('Per Line'!$A$2:$A$3001,$U415)&amp;"")</f>
        <v/>
      </c>
      <c r="B415" s="12" t="n"/>
      <c r="C415">
        <f>IF($U415="","",INDEX('Per Line'!$B$2:$B$3001,$U415)&amp;"")</f>
        <v/>
      </c>
      <c r="D415">
        <f>IF($U415="","",INDEX('Per Line'!$C$2:$C$3001,$U415)&amp;"")</f>
        <v/>
      </c>
      <c r="E415">
        <f>IF($U415="","",INDEX('Per Line'!$D$2:$D$3001,$U415)&amp;"")</f>
        <v/>
      </c>
      <c r="F415">
        <f>IF($U415="","",INDEX('Per Line'!$E$2:$E$3001,$U415))</f>
        <v/>
      </c>
      <c r="G415" s="7">
        <f>IF($U415="","",F415*S415/100)</f>
        <v/>
      </c>
      <c r="H415">
        <f>IF($U415="","",INDEX('Per Line'!$O$2:$O$3001,$U415)&amp;"")</f>
        <v/>
      </c>
      <c r="I415" s="11">
        <f>IF($U415="","",INDEX('Per Line'!$Q$2:$Q$3001,$U415))</f>
        <v/>
      </c>
      <c r="J415">
        <f>IF($U415="","",INDEX('Per Line'!$R$2:$R$3001,$U415)&amp;"")</f>
        <v/>
      </c>
      <c r="K415">
        <f>IF($U415="","",Settings!$C$7)</f>
        <v/>
      </c>
      <c r="L415" s="7">
        <f>IF($U415="","",SUMIFS('Per Line'!$N$2:$N$3001,'Per Line'!$A$2:$A$3001,$A415,'Per Line'!$W$2:$W$3001,0))</f>
        <v/>
      </c>
      <c r="M415" s="7">
        <f>IF($U415="","",L415*K415)</f>
        <v/>
      </c>
      <c r="N415">
        <f>IF($U415="","",Settings!$C$6)</f>
        <v/>
      </c>
      <c r="O415" s="7">
        <f>IF($U415="","",SUMIFS('Per Line'!$N$2:$N$3001,'Per Line'!$A$2:$A$3001,$A415,'Per Line'!$W$2:$W$3001,1))</f>
        <v/>
      </c>
      <c r="P415" s="7">
        <f>IF($U415="","",O415*N415)</f>
        <v/>
      </c>
      <c r="Q415" s="7">
        <f>IF($U415="","",P415+M415)</f>
        <v/>
      </c>
      <c r="R415" s="7">
        <f>IF($U415="","",S415-Q415)</f>
        <v/>
      </c>
      <c r="S415" s="7">
        <f>IF($U415="","",L415+O415)</f>
        <v/>
      </c>
      <c r="T415" s="7">
        <f>IF($U415="","",S415-Q415-G415)</f>
        <v/>
      </c>
      <c r="U415" s="13">
        <f>IF(ROWS($U$2:$U415)&lt;=MAX('Per Line'!$V$2:$V$3001),MATCH(ROWS($U$2:$U415),'Per Line'!$V$2:$V$3001,0),"")</f>
        <v/>
      </c>
    </row>
    <row r="416">
      <c r="A416">
        <f>IF($U416="","",INDEX('Per Line'!$A$2:$A$3001,$U416)&amp;"")</f>
        <v/>
      </c>
      <c r="B416" s="12" t="n"/>
      <c r="C416">
        <f>IF($U416="","",INDEX('Per Line'!$B$2:$B$3001,$U416)&amp;"")</f>
        <v/>
      </c>
      <c r="D416">
        <f>IF($U416="","",INDEX('Per Line'!$C$2:$C$3001,$U416)&amp;"")</f>
        <v/>
      </c>
      <c r="E416">
        <f>IF($U416="","",INDEX('Per Line'!$D$2:$D$3001,$U416)&amp;"")</f>
        <v/>
      </c>
      <c r="F416">
        <f>IF($U416="","",INDEX('Per Line'!$E$2:$E$3001,$U416))</f>
        <v/>
      </c>
      <c r="G416" s="7">
        <f>IF($U416="","",F416*S416/100)</f>
        <v/>
      </c>
      <c r="H416">
        <f>IF($U416="","",INDEX('Per Line'!$O$2:$O$3001,$U416)&amp;"")</f>
        <v/>
      </c>
      <c r="I416" s="11">
        <f>IF($U416="","",INDEX('Per Line'!$Q$2:$Q$3001,$U416))</f>
        <v/>
      </c>
      <c r="J416">
        <f>IF($U416="","",INDEX('Per Line'!$R$2:$R$3001,$U416)&amp;"")</f>
        <v/>
      </c>
      <c r="K416">
        <f>IF($U416="","",Settings!$C$7)</f>
        <v/>
      </c>
      <c r="L416" s="7">
        <f>IF($U416="","",SUMIFS('Per Line'!$N$2:$N$3001,'Per Line'!$A$2:$A$3001,$A416,'Per Line'!$W$2:$W$3001,0))</f>
        <v/>
      </c>
      <c r="M416" s="7">
        <f>IF($U416="","",L416*K416)</f>
        <v/>
      </c>
      <c r="N416">
        <f>IF($U416="","",Settings!$C$6)</f>
        <v/>
      </c>
      <c r="O416" s="7">
        <f>IF($U416="","",SUMIFS('Per Line'!$N$2:$N$3001,'Per Line'!$A$2:$A$3001,$A416,'Per Line'!$W$2:$W$3001,1))</f>
        <v/>
      </c>
      <c r="P416" s="7">
        <f>IF($U416="","",O416*N416)</f>
        <v/>
      </c>
      <c r="Q416" s="7">
        <f>IF($U416="","",P416+M416)</f>
        <v/>
      </c>
      <c r="R416" s="7">
        <f>IF($U416="","",S416-Q416)</f>
        <v/>
      </c>
      <c r="S416" s="7">
        <f>IF($U416="","",L416+O416)</f>
        <v/>
      </c>
      <c r="T416" s="7">
        <f>IF($U416="","",S416-Q416-G416)</f>
        <v/>
      </c>
      <c r="U416" s="13">
        <f>IF(ROWS($U$2:$U416)&lt;=MAX('Per Line'!$V$2:$V$3001),MATCH(ROWS($U$2:$U416),'Per Line'!$V$2:$V$3001,0),"")</f>
        <v/>
      </c>
    </row>
    <row r="417">
      <c r="A417">
        <f>IF($U417="","",INDEX('Per Line'!$A$2:$A$3001,$U417)&amp;"")</f>
        <v/>
      </c>
      <c r="B417" s="12" t="n"/>
      <c r="C417">
        <f>IF($U417="","",INDEX('Per Line'!$B$2:$B$3001,$U417)&amp;"")</f>
        <v/>
      </c>
      <c r="D417">
        <f>IF($U417="","",INDEX('Per Line'!$C$2:$C$3001,$U417)&amp;"")</f>
        <v/>
      </c>
      <c r="E417">
        <f>IF($U417="","",INDEX('Per Line'!$D$2:$D$3001,$U417)&amp;"")</f>
        <v/>
      </c>
      <c r="F417">
        <f>IF($U417="","",INDEX('Per Line'!$E$2:$E$3001,$U417))</f>
        <v/>
      </c>
      <c r="G417" s="7">
        <f>IF($U417="","",F417*S417/100)</f>
        <v/>
      </c>
      <c r="H417">
        <f>IF($U417="","",INDEX('Per Line'!$O$2:$O$3001,$U417)&amp;"")</f>
        <v/>
      </c>
      <c r="I417" s="11">
        <f>IF($U417="","",INDEX('Per Line'!$Q$2:$Q$3001,$U417))</f>
        <v/>
      </c>
      <c r="J417">
        <f>IF($U417="","",INDEX('Per Line'!$R$2:$R$3001,$U417)&amp;"")</f>
        <v/>
      </c>
      <c r="K417">
        <f>IF($U417="","",Settings!$C$7)</f>
        <v/>
      </c>
      <c r="L417" s="7">
        <f>IF($U417="","",SUMIFS('Per Line'!$N$2:$N$3001,'Per Line'!$A$2:$A$3001,$A417,'Per Line'!$W$2:$W$3001,0))</f>
        <v/>
      </c>
      <c r="M417" s="7">
        <f>IF($U417="","",L417*K417)</f>
        <v/>
      </c>
      <c r="N417">
        <f>IF($U417="","",Settings!$C$6)</f>
        <v/>
      </c>
      <c r="O417" s="7">
        <f>IF($U417="","",SUMIFS('Per Line'!$N$2:$N$3001,'Per Line'!$A$2:$A$3001,$A417,'Per Line'!$W$2:$W$3001,1))</f>
        <v/>
      </c>
      <c r="P417" s="7">
        <f>IF($U417="","",O417*N417)</f>
        <v/>
      </c>
      <c r="Q417" s="7">
        <f>IF($U417="","",P417+M417)</f>
        <v/>
      </c>
      <c r="R417" s="7">
        <f>IF($U417="","",S417-Q417)</f>
        <v/>
      </c>
      <c r="S417" s="7">
        <f>IF($U417="","",L417+O417)</f>
        <v/>
      </c>
      <c r="T417" s="7">
        <f>IF($U417="","",S417-Q417-G417)</f>
        <v/>
      </c>
      <c r="U417" s="13">
        <f>IF(ROWS($U$2:$U417)&lt;=MAX('Per Line'!$V$2:$V$3001),MATCH(ROWS($U$2:$U417),'Per Line'!$V$2:$V$3001,0),"")</f>
        <v/>
      </c>
    </row>
    <row r="418">
      <c r="A418">
        <f>IF($U418="","",INDEX('Per Line'!$A$2:$A$3001,$U418)&amp;"")</f>
        <v/>
      </c>
      <c r="B418" s="12" t="n"/>
      <c r="C418">
        <f>IF($U418="","",INDEX('Per Line'!$B$2:$B$3001,$U418)&amp;"")</f>
        <v/>
      </c>
      <c r="D418">
        <f>IF($U418="","",INDEX('Per Line'!$C$2:$C$3001,$U418)&amp;"")</f>
        <v/>
      </c>
      <c r="E418">
        <f>IF($U418="","",INDEX('Per Line'!$D$2:$D$3001,$U418)&amp;"")</f>
        <v/>
      </c>
      <c r="F418">
        <f>IF($U418="","",INDEX('Per Line'!$E$2:$E$3001,$U418))</f>
        <v/>
      </c>
      <c r="G418" s="7">
        <f>IF($U418="","",F418*S418/100)</f>
        <v/>
      </c>
      <c r="H418">
        <f>IF($U418="","",INDEX('Per Line'!$O$2:$O$3001,$U418)&amp;"")</f>
        <v/>
      </c>
      <c r="I418" s="11">
        <f>IF($U418="","",INDEX('Per Line'!$Q$2:$Q$3001,$U418))</f>
        <v/>
      </c>
      <c r="J418">
        <f>IF($U418="","",INDEX('Per Line'!$R$2:$R$3001,$U418)&amp;"")</f>
        <v/>
      </c>
      <c r="K418">
        <f>IF($U418="","",Settings!$C$7)</f>
        <v/>
      </c>
      <c r="L418" s="7">
        <f>IF($U418="","",SUMIFS('Per Line'!$N$2:$N$3001,'Per Line'!$A$2:$A$3001,$A418,'Per Line'!$W$2:$W$3001,0))</f>
        <v/>
      </c>
      <c r="M418" s="7">
        <f>IF($U418="","",L418*K418)</f>
        <v/>
      </c>
      <c r="N418">
        <f>IF($U418="","",Settings!$C$6)</f>
        <v/>
      </c>
      <c r="O418" s="7">
        <f>IF($U418="","",SUMIFS('Per Line'!$N$2:$N$3001,'Per Line'!$A$2:$A$3001,$A418,'Per Line'!$W$2:$W$3001,1))</f>
        <v/>
      </c>
      <c r="P418" s="7">
        <f>IF($U418="","",O418*N418)</f>
        <v/>
      </c>
      <c r="Q418" s="7">
        <f>IF($U418="","",P418+M418)</f>
        <v/>
      </c>
      <c r="R418" s="7">
        <f>IF($U418="","",S418-Q418)</f>
        <v/>
      </c>
      <c r="S418" s="7">
        <f>IF($U418="","",L418+O418)</f>
        <v/>
      </c>
      <c r="T418" s="7">
        <f>IF($U418="","",S418-Q418-G418)</f>
        <v/>
      </c>
      <c r="U418" s="13">
        <f>IF(ROWS($U$2:$U418)&lt;=MAX('Per Line'!$V$2:$V$3001),MATCH(ROWS($U$2:$U418),'Per Line'!$V$2:$V$3001,0),"")</f>
        <v/>
      </c>
    </row>
    <row r="419">
      <c r="A419">
        <f>IF($U419="","",INDEX('Per Line'!$A$2:$A$3001,$U419)&amp;"")</f>
        <v/>
      </c>
      <c r="B419" s="12" t="n"/>
      <c r="C419">
        <f>IF($U419="","",INDEX('Per Line'!$B$2:$B$3001,$U419)&amp;"")</f>
        <v/>
      </c>
      <c r="D419">
        <f>IF($U419="","",INDEX('Per Line'!$C$2:$C$3001,$U419)&amp;"")</f>
        <v/>
      </c>
      <c r="E419">
        <f>IF($U419="","",INDEX('Per Line'!$D$2:$D$3001,$U419)&amp;"")</f>
        <v/>
      </c>
      <c r="F419">
        <f>IF($U419="","",INDEX('Per Line'!$E$2:$E$3001,$U419))</f>
        <v/>
      </c>
      <c r="G419" s="7">
        <f>IF($U419="","",F419*S419/100)</f>
        <v/>
      </c>
      <c r="H419">
        <f>IF($U419="","",INDEX('Per Line'!$O$2:$O$3001,$U419)&amp;"")</f>
        <v/>
      </c>
      <c r="I419" s="11">
        <f>IF($U419="","",INDEX('Per Line'!$Q$2:$Q$3001,$U419))</f>
        <v/>
      </c>
      <c r="J419">
        <f>IF($U419="","",INDEX('Per Line'!$R$2:$R$3001,$U419)&amp;"")</f>
        <v/>
      </c>
      <c r="K419">
        <f>IF($U419="","",Settings!$C$7)</f>
        <v/>
      </c>
      <c r="L419" s="7">
        <f>IF($U419="","",SUMIFS('Per Line'!$N$2:$N$3001,'Per Line'!$A$2:$A$3001,$A419,'Per Line'!$W$2:$W$3001,0))</f>
        <v/>
      </c>
      <c r="M419" s="7">
        <f>IF($U419="","",L419*K419)</f>
        <v/>
      </c>
      <c r="N419">
        <f>IF($U419="","",Settings!$C$6)</f>
        <v/>
      </c>
      <c r="O419" s="7">
        <f>IF($U419="","",SUMIFS('Per Line'!$N$2:$N$3001,'Per Line'!$A$2:$A$3001,$A419,'Per Line'!$W$2:$W$3001,1))</f>
        <v/>
      </c>
      <c r="P419" s="7">
        <f>IF($U419="","",O419*N419)</f>
        <v/>
      </c>
      <c r="Q419" s="7">
        <f>IF($U419="","",P419+M419)</f>
        <v/>
      </c>
      <c r="R419" s="7">
        <f>IF($U419="","",S419-Q419)</f>
        <v/>
      </c>
      <c r="S419" s="7">
        <f>IF($U419="","",L419+O419)</f>
        <v/>
      </c>
      <c r="T419" s="7">
        <f>IF($U419="","",S419-Q419-G419)</f>
        <v/>
      </c>
      <c r="U419" s="13">
        <f>IF(ROWS($U$2:$U419)&lt;=MAX('Per Line'!$V$2:$V$3001),MATCH(ROWS($U$2:$U419),'Per Line'!$V$2:$V$3001,0),"")</f>
        <v/>
      </c>
    </row>
    <row r="420">
      <c r="A420">
        <f>IF($U420="","",INDEX('Per Line'!$A$2:$A$3001,$U420)&amp;"")</f>
        <v/>
      </c>
      <c r="B420" s="12" t="n"/>
      <c r="C420">
        <f>IF($U420="","",INDEX('Per Line'!$B$2:$B$3001,$U420)&amp;"")</f>
        <v/>
      </c>
      <c r="D420">
        <f>IF($U420="","",INDEX('Per Line'!$C$2:$C$3001,$U420)&amp;"")</f>
        <v/>
      </c>
      <c r="E420">
        <f>IF($U420="","",INDEX('Per Line'!$D$2:$D$3001,$U420)&amp;"")</f>
        <v/>
      </c>
      <c r="F420">
        <f>IF($U420="","",INDEX('Per Line'!$E$2:$E$3001,$U420))</f>
        <v/>
      </c>
      <c r="G420" s="7">
        <f>IF($U420="","",F420*S420/100)</f>
        <v/>
      </c>
      <c r="H420">
        <f>IF($U420="","",INDEX('Per Line'!$O$2:$O$3001,$U420)&amp;"")</f>
        <v/>
      </c>
      <c r="I420" s="11">
        <f>IF($U420="","",INDEX('Per Line'!$Q$2:$Q$3001,$U420))</f>
        <v/>
      </c>
      <c r="J420">
        <f>IF($U420="","",INDEX('Per Line'!$R$2:$R$3001,$U420)&amp;"")</f>
        <v/>
      </c>
      <c r="K420">
        <f>IF($U420="","",Settings!$C$7)</f>
        <v/>
      </c>
      <c r="L420" s="7">
        <f>IF($U420="","",SUMIFS('Per Line'!$N$2:$N$3001,'Per Line'!$A$2:$A$3001,$A420,'Per Line'!$W$2:$W$3001,0))</f>
        <v/>
      </c>
      <c r="M420" s="7">
        <f>IF($U420="","",L420*K420)</f>
        <v/>
      </c>
      <c r="N420">
        <f>IF($U420="","",Settings!$C$6)</f>
        <v/>
      </c>
      <c r="O420" s="7">
        <f>IF($U420="","",SUMIFS('Per Line'!$N$2:$N$3001,'Per Line'!$A$2:$A$3001,$A420,'Per Line'!$W$2:$W$3001,1))</f>
        <v/>
      </c>
      <c r="P420" s="7">
        <f>IF($U420="","",O420*N420)</f>
        <v/>
      </c>
      <c r="Q420" s="7">
        <f>IF($U420="","",P420+M420)</f>
        <v/>
      </c>
      <c r="R420" s="7">
        <f>IF($U420="","",S420-Q420)</f>
        <v/>
      </c>
      <c r="S420" s="7">
        <f>IF($U420="","",L420+O420)</f>
        <v/>
      </c>
      <c r="T420" s="7">
        <f>IF($U420="","",S420-Q420-G420)</f>
        <v/>
      </c>
      <c r="U420" s="13">
        <f>IF(ROWS($U$2:$U420)&lt;=MAX('Per Line'!$V$2:$V$3001),MATCH(ROWS($U$2:$U420),'Per Line'!$V$2:$V$3001,0),"")</f>
        <v/>
      </c>
    </row>
    <row r="421">
      <c r="A421">
        <f>IF($U421="","",INDEX('Per Line'!$A$2:$A$3001,$U421)&amp;"")</f>
        <v/>
      </c>
      <c r="B421" s="12" t="n"/>
      <c r="C421">
        <f>IF($U421="","",INDEX('Per Line'!$B$2:$B$3001,$U421)&amp;"")</f>
        <v/>
      </c>
      <c r="D421">
        <f>IF($U421="","",INDEX('Per Line'!$C$2:$C$3001,$U421)&amp;"")</f>
        <v/>
      </c>
      <c r="E421">
        <f>IF($U421="","",INDEX('Per Line'!$D$2:$D$3001,$U421)&amp;"")</f>
        <v/>
      </c>
      <c r="F421">
        <f>IF($U421="","",INDEX('Per Line'!$E$2:$E$3001,$U421))</f>
        <v/>
      </c>
      <c r="G421" s="7">
        <f>IF($U421="","",F421*S421/100)</f>
        <v/>
      </c>
      <c r="H421">
        <f>IF($U421="","",INDEX('Per Line'!$O$2:$O$3001,$U421)&amp;"")</f>
        <v/>
      </c>
      <c r="I421" s="11">
        <f>IF($U421="","",INDEX('Per Line'!$Q$2:$Q$3001,$U421))</f>
        <v/>
      </c>
      <c r="J421">
        <f>IF($U421="","",INDEX('Per Line'!$R$2:$R$3001,$U421)&amp;"")</f>
        <v/>
      </c>
      <c r="K421">
        <f>IF($U421="","",Settings!$C$7)</f>
        <v/>
      </c>
      <c r="L421" s="7">
        <f>IF($U421="","",SUMIFS('Per Line'!$N$2:$N$3001,'Per Line'!$A$2:$A$3001,$A421,'Per Line'!$W$2:$W$3001,0))</f>
        <v/>
      </c>
      <c r="M421" s="7">
        <f>IF($U421="","",L421*K421)</f>
        <v/>
      </c>
      <c r="N421">
        <f>IF($U421="","",Settings!$C$6)</f>
        <v/>
      </c>
      <c r="O421" s="7">
        <f>IF($U421="","",SUMIFS('Per Line'!$N$2:$N$3001,'Per Line'!$A$2:$A$3001,$A421,'Per Line'!$W$2:$W$3001,1))</f>
        <v/>
      </c>
      <c r="P421" s="7">
        <f>IF($U421="","",O421*N421)</f>
        <v/>
      </c>
      <c r="Q421" s="7">
        <f>IF($U421="","",P421+M421)</f>
        <v/>
      </c>
      <c r="R421" s="7">
        <f>IF($U421="","",S421-Q421)</f>
        <v/>
      </c>
      <c r="S421" s="7">
        <f>IF($U421="","",L421+O421)</f>
        <v/>
      </c>
      <c r="T421" s="7">
        <f>IF($U421="","",S421-Q421-G421)</f>
        <v/>
      </c>
      <c r="U421" s="13">
        <f>IF(ROWS($U$2:$U421)&lt;=MAX('Per Line'!$V$2:$V$3001),MATCH(ROWS($U$2:$U421),'Per Line'!$V$2:$V$3001,0),"")</f>
        <v/>
      </c>
    </row>
    <row r="422">
      <c r="A422">
        <f>IF($U422="","",INDEX('Per Line'!$A$2:$A$3001,$U422)&amp;"")</f>
        <v/>
      </c>
      <c r="B422" s="12" t="n"/>
      <c r="C422">
        <f>IF($U422="","",INDEX('Per Line'!$B$2:$B$3001,$U422)&amp;"")</f>
        <v/>
      </c>
      <c r="D422">
        <f>IF($U422="","",INDEX('Per Line'!$C$2:$C$3001,$U422)&amp;"")</f>
        <v/>
      </c>
      <c r="E422">
        <f>IF($U422="","",INDEX('Per Line'!$D$2:$D$3001,$U422)&amp;"")</f>
        <v/>
      </c>
      <c r="F422">
        <f>IF($U422="","",INDEX('Per Line'!$E$2:$E$3001,$U422))</f>
        <v/>
      </c>
      <c r="G422" s="7">
        <f>IF($U422="","",F422*S422/100)</f>
        <v/>
      </c>
      <c r="H422">
        <f>IF($U422="","",INDEX('Per Line'!$O$2:$O$3001,$U422)&amp;"")</f>
        <v/>
      </c>
      <c r="I422" s="11">
        <f>IF($U422="","",INDEX('Per Line'!$Q$2:$Q$3001,$U422))</f>
        <v/>
      </c>
      <c r="J422">
        <f>IF($U422="","",INDEX('Per Line'!$R$2:$R$3001,$U422)&amp;"")</f>
        <v/>
      </c>
      <c r="K422">
        <f>IF($U422="","",Settings!$C$7)</f>
        <v/>
      </c>
      <c r="L422" s="7">
        <f>IF($U422="","",SUMIFS('Per Line'!$N$2:$N$3001,'Per Line'!$A$2:$A$3001,$A422,'Per Line'!$W$2:$W$3001,0))</f>
        <v/>
      </c>
      <c r="M422" s="7">
        <f>IF($U422="","",L422*K422)</f>
        <v/>
      </c>
      <c r="N422">
        <f>IF($U422="","",Settings!$C$6)</f>
        <v/>
      </c>
      <c r="O422" s="7">
        <f>IF($U422="","",SUMIFS('Per Line'!$N$2:$N$3001,'Per Line'!$A$2:$A$3001,$A422,'Per Line'!$W$2:$W$3001,1))</f>
        <v/>
      </c>
      <c r="P422" s="7">
        <f>IF($U422="","",O422*N422)</f>
        <v/>
      </c>
      <c r="Q422" s="7">
        <f>IF($U422="","",P422+M422)</f>
        <v/>
      </c>
      <c r="R422" s="7">
        <f>IF($U422="","",S422-Q422)</f>
        <v/>
      </c>
      <c r="S422" s="7">
        <f>IF($U422="","",L422+O422)</f>
        <v/>
      </c>
      <c r="T422" s="7">
        <f>IF($U422="","",S422-Q422-G422)</f>
        <v/>
      </c>
      <c r="U422" s="13">
        <f>IF(ROWS($U$2:$U422)&lt;=MAX('Per Line'!$V$2:$V$3001),MATCH(ROWS($U$2:$U422),'Per Line'!$V$2:$V$3001,0),"")</f>
        <v/>
      </c>
    </row>
    <row r="423">
      <c r="A423">
        <f>IF($U423="","",INDEX('Per Line'!$A$2:$A$3001,$U423)&amp;"")</f>
        <v/>
      </c>
      <c r="B423" s="12" t="n"/>
      <c r="C423">
        <f>IF($U423="","",INDEX('Per Line'!$B$2:$B$3001,$U423)&amp;"")</f>
        <v/>
      </c>
      <c r="D423">
        <f>IF($U423="","",INDEX('Per Line'!$C$2:$C$3001,$U423)&amp;"")</f>
        <v/>
      </c>
      <c r="E423">
        <f>IF($U423="","",INDEX('Per Line'!$D$2:$D$3001,$U423)&amp;"")</f>
        <v/>
      </c>
      <c r="F423">
        <f>IF($U423="","",INDEX('Per Line'!$E$2:$E$3001,$U423))</f>
        <v/>
      </c>
      <c r="G423" s="7">
        <f>IF($U423="","",F423*S423/100)</f>
        <v/>
      </c>
      <c r="H423">
        <f>IF($U423="","",INDEX('Per Line'!$O$2:$O$3001,$U423)&amp;"")</f>
        <v/>
      </c>
      <c r="I423" s="11">
        <f>IF($U423="","",INDEX('Per Line'!$Q$2:$Q$3001,$U423))</f>
        <v/>
      </c>
      <c r="J423">
        <f>IF($U423="","",INDEX('Per Line'!$R$2:$R$3001,$U423)&amp;"")</f>
        <v/>
      </c>
      <c r="K423">
        <f>IF($U423="","",Settings!$C$7)</f>
        <v/>
      </c>
      <c r="L423" s="7">
        <f>IF($U423="","",SUMIFS('Per Line'!$N$2:$N$3001,'Per Line'!$A$2:$A$3001,$A423,'Per Line'!$W$2:$W$3001,0))</f>
        <v/>
      </c>
      <c r="M423" s="7">
        <f>IF($U423="","",L423*K423)</f>
        <v/>
      </c>
      <c r="N423">
        <f>IF($U423="","",Settings!$C$6)</f>
        <v/>
      </c>
      <c r="O423" s="7">
        <f>IF($U423="","",SUMIFS('Per Line'!$N$2:$N$3001,'Per Line'!$A$2:$A$3001,$A423,'Per Line'!$W$2:$W$3001,1))</f>
        <v/>
      </c>
      <c r="P423" s="7">
        <f>IF($U423="","",O423*N423)</f>
        <v/>
      </c>
      <c r="Q423" s="7">
        <f>IF($U423="","",P423+M423)</f>
        <v/>
      </c>
      <c r="R423" s="7">
        <f>IF($U423="","",S423-Q423)</f>
        <v/>
      </c>
      <c r="S423" s="7">
        <f>IF($U423="","",L423+O423)</f>
        <v/>
      </c>
      <c r="T423" s="7">
        <f>IF($U423="","",S423-Q423-G423)</f>
        <v/>
      </c>
      <c r="U423" s="13">
        <f>IF(ROWS($U$2:$U423)&lt;=MAX('Per Line'!$V$2:$V$3001),MATCH(ROWS($U$2:$U423),'Per Line'!$V$2:$V$3001,0),"")</f>
        <v/>
      </c>
    </row>
    <row r="424">
      <c r="A424">
        <f>IF($U424="","",INDEX('Per Line'!$A$2:$A$3001,$U424)&amp;"")</f>
        <v/>
      </c>
      <c r="B424" s="12" t="n"/>
      <c r="C424">
        <f>IF($U424="","",INDEX('Per Line'!$B$2:$B$3001,$U424)&amp;"")</f>
        <v/>
      </c>
      <c r="D424">
        <f>IF($U424="","",INDEX('Per Line'!$C$2:$C$3001,$U424)&amp;"")</f>
        <v/>
      </c>
      <c r="E424">
        <f>IF($U424="","",INDEX('Per Line'!$D$2:$D$3001,$U424)&amp;"")</f>
        <v/>
      </c>
      <c r="F424">
        <f>IF($U424="","",INDEX('Per Line'!$E$2:$E$3001,$U424))</f>
        <v/>
      </c>
      <c r="G424" s="7">
        <f>IF($U424="","",F424*S424/100)</f>
        <v/>
      </c>
      <c r="H424">
        <f>IF($U424="","",INDEX('Per Line'!$O$2:$O$3001,$U424)&amp;"")</f>
        <v/>
      </c>
      <c r="I424" s="11">
        <f>IF($U424="","",INDEX('Per Line'!$Q$2:$Q$3001,$U424))</f>
        <v/>
      </c>
      <c r="J424">
        <f>IF($U424="","",INDEX('Per Line'!$R$2:$R$3001,$U424)&amp;"")</f>
        <v/>
      </c>
      <c r="K424">
        <f>IF($U424="","",Settings!$C$7)</f>
        <v/>
      </c>
      <c r="L424" s="7">
        <f>IF($U424="","",SUMIFS('Per Line'!$N$2:$N$3001,'Per Line'!$A$2:$A$3001,$A424,'Per Line'!$W$2:$W$3001,0))</f>
        <v/>
      </c>
      <c r="M424" s="7">
        <f>IF($U424="","",L424*K424)</f>
        <v/>
      </c>
      <c r="N424">
        <f>IF($U424="","",Settings!$C$6)</f>
        <v/>
      </c>
      <c r="O424" s="7">
        <f>IF($U424="","",SUMIFS('Per Line'!$N$2:$N$3001,'Per Line'!$A$2:$A$3001,$A424,'Per Line'!$W$2:$W$3001,1))</f>
        <v/>
      </c>
      <c r="P424" s="7">
        <f>IF($U424="","",O424*N424)</f>
        <v/>
      </c>
      <c r="Q424" s="7">
        <f>IF($U424="","",P424+M424)</f>
        <v/>
      </c>
      <c r="R424" s="7">
        <f>IF($U424="","",S424-Q424)</f>
        <v/>
      </c>
      <c r="S424" s="7">
        <f>IF($U424="","",L424+O424)</f>
        <v/>
      </c>
      <c r="T424" s="7">
        <f>IF($U424="","",S424-Q424-G424)</f>
        <v/>
      </c>
      <c r="U424" s="13">
        <f>IF(ROWS($U$2:$U424)&lt;=MAX('Per Line'!$V$2:$V$3001),MATCH(ROWS($U$2:$U424),'Per Line'!$V$2:$V$3001,0),"")</f>
        <v/>
      </c>
    </row>
    <row r="425">
      <c r="A425">
        <f>IF($U425="","",INDEX('Per Line'!$A$2:$A$3001,$U425)&amp;"")</f>
        <v/>
      </c>
      <c r="B425" s="12" t="n"/>
      <c r="C425">
        <f>IF($U425="","",INDEX('Per Line'!$B$2:$B$3001,$U425)&amp;"")</f>
        <v/>
      </c>
      <c r="D425">
        <f>IF($U425="","",INDEX('Per Line'!$C$2:$C$3001,$U425)&amp;"")</f>
        <v/>
      </c>
      <c r="E425">
        <f>IF($U425="","",INDEX('Per Line'!$D$2:$D$3001,$U425)&amp;"")</f>
        <v/>
      </c>
      <c r="F425">
        <f>IF($U425="","",INDEX('Per Line'!$E$2:$E$3001,$U425))</f>
        <v/>
      </c>
      <c r="G425" s="7">
        <f>IF($U425="","",F425*S425/100)</f>
        <v/>
      </c>
      <c r="H425">
        <f>IF($U425="","",INDEX('Per Line'!$O$2:$O$3001,$U425)&amp;"")</f>
        <v/>
      </c>
      <c r="I425" s="11">
        <f>IF($U425="","",INDEX('Per Line'!$Q$2:$Q$3001,$U425))</f>
        <v/>
      </c>
      <c r="J425">
        <f>IF($U425="","",INDEX('Per Line'!$R$2:$R$3001,$U425)&amp;"")</f>
        <v/>
      </c>
      <c r="K425">
        <f>IF($U425="","",Settings!$C$7)</f>
        <v/>
      </c>
      <c r="L425" s="7">
        <f>IF($U425="","",SUMIFS('Per Line'!$N$2:$N$3001,'Per Line'!$A$2:$A$3001,$A425,'Per Line'!$W$2:$W$3001,0))</f>
        <v/>
      </c>
      <c r="M425" s="7">
        <f>IF($U425="","",L425*K425)</f>
        <v/>
      </c>
      <c r="N425">
        <f>IF($U425="","",Settings!$C$6)</f>
        <v/>
      </c>
      <c r="O425" s="7">
        <f>IF($U425="","",SUMIFS('Per Line'!$N$2:$N$3001,'Per Line'!$A$2:$A$3001,$A425,'Per Line'!$W$2:$W$3001,1))</f>
        <v/>
      </c>
      <c r="P425" s="7">
        <f>IF($U425="","",O425*N425)</f>
        <v/>
      </c>
      <c r="Q425" s="7">
        <f>IF($U425="","",P425+M425)</f>
        <v/>
      </c>
      <c r="R425" s="7">
        <f>IF($U425="","",S425-Q425)</f>
        <v/>
      </c>
      <c r="S425" s="7">
        <f>IF($U425="","",L425+O425)</f>
        <v/>
      </c>
      <c r="T425" s="7">
        <f>IF($U425="","",S425-Q425-G425)</f>
        <v/>
      </c>
      <c r="U425" s="13">
        <f>IF(ROWS($U$2:$U425)&lt;=MAX('Per Line'!$V$2:$V$3001),MATCH(ROWS($U$2:$U425),'Per Line'!$V$2:$V$3001,0),"")</f>
        <v/>
      </c>
    </row>
    <row r="426">
      <c r="A426">
        <f>IF($U426="","",INDEX('Per Line'!$A$2:$A$3001,$U426)&amp;"")</f>
        <v/>
      </c>
      <c r="B426" s="12" t="n"/>
      <c r="C426">
        <f>IF($U426="","",INDEX('Per Line'!$B$2:$B$3001,$U426)&amp;"")</f>
        <v/>
      </c>
      <c r="D426">
        <f>IF($U426="","",INDEX('Per Line'!$C$2:$C$3001,$U426)&amp;"")</f>
        <v/>
      </c>
      <c r="E426">
        <f>IF($U426="","",INDEX('Per Line'!$D$2:$D$3001,$U426)&amp;"")</f>
        <v/>
      </c>
      <c r="F426">
        <f>IF($U426="","",INDEX('Per Line'!$E$2:$E$3001,$U426))</f>
        <v/>
      </c>
      <c r="G426" s="7">
        <f>IF($U426="","",F426*S426/100)</f>
        <v/>
      </c>
      <c r="H426">
        <f>IF($U426="","",INDEX('Per Line'!$O$2:$O$3001,$U426)&amp;"")</f>
        <v/>
      </c>
      <c r="I426" s="11">
        <f>IF($U426="","",INDEX('Per Line'!$Q$2:$Q$3001,$U426))</f>
        <v/>
      </c>
      <c r="J426">
        <f>IF($U426="","",INDEX('Per Line'!$R$2:$R$3001,$U426)&amp;"")</f>
        <v/>
      </c>
      <c r="K426">
        <f>IF($U426="","",Settings!$C$7)</f>
        <v/>
      </c>
      <c r="L426" s="7">
        <f>IF($U426="","",SUMIFS('Per Line'!$N$2:$N$3001,'Per Line'!$A$2:$A$3001,$A426,'Per Line'!$W$2:$W$3001,0))</f>
        <v/>
      </c>
      <c r="M426" s="7">
        <f>IF($U426="","",L426*K426)</f>
        <v/>
      </c>
      <c r="N426">
        <f>IF($U426="","",Settings!$C$6)</f>
        <v/>
      </c>
      <c r="O426" s="7">
        <f>IF($U426="","",SUMIFS('Per Line'!$N$2:$N$3001,'Per Line'!$A$2:$A$3001,$A426,'Per Line'!$W$2:$W$3001,1))</f>
        <v/>
      </c>
      <c r="P426" s="7">
        <f>IF($U426="","",O426*N426)</f>
        <v/>
      </c>
      <c r="Q426" s="7">
        <f>IF($U426="","",P426+M426)</f>
        <v/>
      </c>
      <c r="R426" s="7">
        <f>IF($U426="","",S426-Q426)</f>
        <v/>
      </c>
      <c r="S426" s="7">
        <f>IF($U426="","",L426+O426)</f>
        <v/>
      </c>
      <c r="T426" s="7">
        <f>IF($U426="","",S426-Q426-G426)</f>
        <v/>
      </c>
      <c r="U426" s="13">
        <f>IF(ROWS($U$2:$U426)&lt;=MAX('Per Line'!$V$2:$V$3001),MATCH(ROWS($U$2:$U426),'Per Line'!$V$2:$V$3001,0),"")</f>
        <v/>
      </c>
    </row>
    <row r="427">
      <c r="A427">
        <f>IF($U427="","",INDEX('Per Line'!$A$2:$A$3001,$U427)&amp;"")</f>
        <v/>
      </c>
      <c r="B427" s="12" t="n"/>
      <c r="C427">
        <f>IF($U427="","",INDEX('Per Line'!$B$2:$B$3001,$U427)&amp;"")</f>
        <v/>
      </c>
      <c r="D427">
        <f>IF($U427="","",INDEX('Per Line'!$C$2:$C$3001,$U427)&amp;"")</f>
        <v/>
      </c>
      <c r="E427">
        <f>IF($U427="","",INDEX('Per Line'!$D$2:$D$3001,$U427)&amp;"")</f>
        <v/>
      </c>
      <c r="F427">
        <f>IF($U427="","",INDEX('Per Line'!$E$2:$E$3001,$U427))</f>
        <v/>
      </c>
      <c r="G427" s="7">
        <f>IF($U427="","",F427*S427/100)</f>
        <v/>
      </c>
      <c r="H427">
        <f>IF($U427="","",INDEX('Per Line'!$O$2:$O$3001,$U427)&amp;"")</f>
        <v/>
      </c>
      <c r="I427" s="11">
        <f>IF($U427="","",INDEX('Per Line'!$Q$2:$Q$3001,$U427))</f>
        <v/>
      </c>
      <c r="J427">
        <f>IF($U427="","",INDEX('Per Line'!$R$2:$R$3001,$U427)&amp;"")</f>
        <v/>
      </c>
      <c r="K427">
        <f>IF($U427="","",Settings!$C$7)</f>
        <v/>
      </c>
      <c r="L427" s="7">
        <f>IF($U427="","",SUMIFS('Per Line'!$N$2:$N$3001,'Per Line'!$A$2:$A$3001,$A427,'Per Line'!$W$2:$W$3001,0))</f>
        <v/>
      </c>
      <c r="M427" s="7">
        <f>IF($U427="","",L427*K427)</f>
        <v/>
      </c>
      <c r="N427">
        <f>IF($U427="","",Settings!$C$6)</f>
        <v/>
      </c>
      <c r="O427" s="7">
        <f>IF($U427="","",SUMIFS('Per Line'!$N$2:$N$3001,'Per Line'!$A$2:$A$3001,$A427,'Per Line'!$W$2:$W$3001,1))</f>
        <v/>
      </c>
      <c r="P427" s="7">
        <f>IF($U427="","",O427*N427)</f>
        <v/>
      </c>
      <c r="Q427" s="7">
        <f>IF($U427="","",P427+M427)</f>
        <v/>
      </c>
      <c r="R427" s="7">
        <f>IF($U427="","",S427-Q427)</f>
        <v/>
      </c>
      <c r="S427" s="7">
        <f>IF($U427="","",L427+O427)</f>
        <v/>
      </c>
      <c r="T427" s="7">
        <f>IF($U427="","",S427-Q427-G427)</f>
        <v/>
      </c>
      <c r="U427" s="13">
        <f>IF(ROWS($U$2:$U427)&lt;=MAX('Per Line'!$V$2:$V$3001),MATCH(ROWS($U$2:$U427),'Per Line'!$V$2:$V$3001,0),"")</f>
        <v/>
      </c>
    </row>
    <row r="428">
      <c r="A428">
        <f>IF($U428="","",INDEX('Per Line'!$A$2:$A$3001,$U428)&amp;"")</f>
        <v/>
      </c>
      <c r="B428" s="12" t="n"/>
      <c r="C428">
        <f>IF($U428="","",INDEX('Per Line'!$B$2:$B$3001,$U428)&amp;"")</f>
        <v/>
      </c>
      <c r="D428">
        <f>IF($U428="","",INDEX('Per Line'!$C$2:$C$3001,$U428)&amp;"")</f>
        <v/>
      </c>
      <c r="E428">
        <f>IF($U428="","",INDEX('Per Line'!$D$2:$D$3001,$U428)&amp;"")</f>
        <v/>
      </c>
      <c r="F428">
        <f>IF($U428="","",INDEX('Per Line'!$E$2:$E$3001,$U428))</f>
        <v/>
      </c>
      <c r="G428" s="7">
        <f>IF($U428="","",F428*S428/100)</f>
        <v/>
      </c>
      <c r="H428">
        <f>IF($U428="","",INDEX('Per Line'!$O$2:$O$3001,$U428)&amp;"")</f>
        <v/>
      </c>
      <c r="I428" s="11">
        <f>IF($U428="","",INDEX('Per Line'!$Q$2:$Q$3001,$U428))</f>
        <v/>
      </c>
      <c r="J428">
        <f>IF($U428="","",INDEX('Per Line'!$R$2:$R$3001,$U428)&amp;"")</f>
        <v/>
      </c>
      <c r="K428">
        <f>IF($U428="","",Settings!$C$7)</f>
        <v/>
      </c>
      <c r="L428" s="7">
        <f>IF($U428="","",SUMIFS('Per Line'!$N$2:$N$3001,'Per Line'!$A$2:$A$3001,$A428,'Per Line'!$W$2:$W$3001,0))</f>
        <v/>
      </c>
      <c r="M428" s="7">
        <f>IF($U428="","",L428*K428)</f>
        <v/>
      </c>
      <c r="N428">
        <f>IF($U428="","",Settings!$C$6)</f>
        <v/>
      </c>
      <c r="O428" s="7">
        <f>IF($U428="","",SUMIFS('Per Line'!$N$2:$N$3001,'Per Line'!$A$2:$A$3001,$A428,'Per Line'!$W$2:$W$3001,1))</f>
        <v/>
      </c>
      <c r="P428" s="7">
        <f>IF($U428="","",O428*N428)</f>
        <v/>
      </c>
      <c r="Q428" s="7">
        <f>IF($U428="","",P428+M428)</f>
        <v/>
      </c>
      <c r="R428" s="7">
        <f>IF($U428="","",S428-Q428)</f>
        <v/>
      </c>
      <c r="S428" s="7">
        <f>IF($U428="","",L428+O428)</f>
        <v/>
      </c>
      <c r="T428" s="7">
        <f>IF($U428="","",S428-Q428-G428)</f>
        <v/>
      </c>
      <c r="U428" s="13">
        <f>IF(ROWS($U$2:$U428)&lt;=MAX('Per Line'!$V$2:$V$3001),MATCH(ROWS($U$2:$U428),'Per Line'!$V$2:$V$3001,0),"")</f>
        <v/>
      </c>
    </row>
    <row r="429">
      <c r="A429">
        <f>IF($U429="","",INDEX('Per Line'!$A$2:$A$3001,$U429)&amp;"")</f>
        <v/>
      </c>
      <c r="B429" s="12" t="n"/>
      <c r="C429">
        <f>IF($U429="","",INDEX('Per Line'!$B$2:$B$3001,$U429)&amp;"")</f>
        <v/>
      </c>
      <c r="D429">
        <f>IF($U429="","",INDEX('Per Line'!$C$2:$C$3001,$U429)&amp;"")</f>
        <v/>
      </c>
      <c r="E429">
        <f>IF($U429="","",INDEX('Per Line'!$D$2:$D$3001,$U429)&amp;"")</f>
        <v/>
      </c>
      <c r="F429">
        <f>IF($U429="","",INDEX('Per Line'!$E$2:$E$3001,$U429))</f>
        <v/>
      </c>
      <c r="G429" s="7">
        <f>IF($U429="","",F429*S429/100)</f>
        <v/>
      </c>
      <c r="H429">
        <f>IF($U429="","",INDEX('Per Line'!$O$2:$O$3001,$U429)&amp;"")</f>
        <v/>
      </c>
      <c r="I429" s="11">
        <f>IF($U429="","",INDEX('Per Line'!$Q$2:$Q$3001,$U429))</f>
        <v/>
      </c>
      <c r="J429">
        <f>IF($U429="","",INDEX('Per Line'!$R$2:$R$3001,$U429)&amp;"")</f>
        <v/>
      </c>
      <c r="K429">
        <f>IF($U429="","",Settings!$C$7)</f>
        <v/>
      </c>
      <c r="L429" s="7">
        <f>IF($U429="","",SUMIFS('Per Line'!$N$2:$N$3001,'Per Line'!$A$2:$A$3001,$A429,'Per Line'!$W$2:$W$3001,0))</f>
        <v/>
      </c>
      <c r="M429" s="7">
        <f>IF($U429="","",L429*K429)</f>
        <v/>
      </c>
      <c r="N429">
        <f>IF($U429="","",Settings!$C$6)</f>
        <v/>
      </c>
      <c r="O429" s="7">
        <f>IF($U429="","",SUMIFS('Per Line'!$N$2:$N$3001,'Per Line'!$A$2:$A$3001,$A429,'Per Line'!$W$2:$W$3001,1))</f>
        <v/>
      </c>
      <c r="P429" s="7">
        <f>IF($U429="","",O429*N429)</f>
        <v/>
      </c>
      <c r="Q429" s="7">
        <f>IF($U429="","",P429+M429)</f>
        <v/>
      </c>
      <c r="R429" s="7">
        <f>IF($U429="","",S429-Q429)</f>
        <v/>
      </c>
      <c r="S429" s="7">
        <f>IF($U429="","",L429+O429)</f>
        <v/>
      </c>
      <c r="T429" s="7">
        <f>IF($U429="","",S429-Q429-G429)</f>
        <v/>
      </c>
      <c r="U429" s="13">
        <f>IF(ROWS($U$2:$U429)&lt;=MAX('Per Line'!$V$2:$V$3001),MATCH(ROWS($U$2:$U429),'Per Line'!$V$2:$V$3001,0),"")</f>
        <v/>
      </c>
    </row>
    <row r="430">
      <c r="A430">
        <f>IF($U430="","",INDEX('Per Line'!$A$2:$A$3001,$U430)&amp;"")</f>
        <v/>
      </c>
      <c r="B430" s="12" t="n"/>
      <c r="C430">
        <f>IF($U430="","",INDEX('Per Line'!$B$2:$B$3001,$U430)&amp;"")</f>
        <v/>
      </c>
      <c r="D430">
        <f>IF($U430="","",INDEX('Per Line'!$C$2:$C$3001,$U430)&amp;"")</f>
        <v/>
      </c>
      <c r="E430">
        <f>IF($U430="","",INDEX('Per Line'!$D$2:$D$3001,$U430)&amp;"")</f>
        <v/>
      </c>
      <c r="F430">
        <f>IF($U430="","",INDEX('Per Line'!$E$2:$E$3001,$U430))</f>
        <v/>
      </c>
      <c r="G430" s="7">
        <f>IF($U430="","",F430*S430/100)</f>
        <v/>
      </c>
      <c r="H430">
        <f>IF($U430="","",INDEX('Per Line'!$O$2:$O$3001,$U430)&amp;"")</f>
        <v/>
      </c>
      <c r="I430" s="11">
        <f>IF($U430="","",INDEX('Per Line'!$Q$2:$Q$3001,$U430))</f>
        <v/>
      </c>
      <c r="J430">
        <f>IF($U430="","",INDEX('Per Line'!$R$2:$R$3001,$U430)&amp;"")</f>
        <v/>
      </c>
      <c r="K430">
        <f>IF($U430="","",Settings!$C$7)</f>
        <v/>
      </c>
      <c r="L430" s="7">
        <f>IF($U430="","",SUMIFS('Per Line'!$N$2:$N$3001,'Per Line'!$A$2:$A$3001,$A430,'Per Line'!$W$2:$W$3001,0))</f>
        <v/>
      </c>
      <c r="M430" s="7">
        <f>IF($U430="","",L430*K430)</f>
        <v/>
      </c>
      <c r="N430">
        <f>IF($U430="","",Settings!$C$6)</f>
        <v/>
      </c>
      <c r="O430" s="7">
        <f>IF($U430="","",SUMIFS('Per Line'!$N$2:$N$3001,'Per Line'!$A$2:$A$3001,$A430,'Per Line'!$W$2:$W$3001,1))</f>
        <v/>
      </c>
      <c r="P430" s="7">
        <f>IF($U430="","",O430*N430)</f>
        <v/>
      </c>
      <c r="Q430" s="7">
        <f>IF($U430="","",P430+M430)</f>
        <v/>
      </c>
      <c r="R430" s="7">
        <f>IF($U430="","",S430-Q430)</f>
        <v/>
      </c>
      <c r="S430" s="7">
        <f>IF($U430="","",L430+O430)</f>
        <v/>
      </c>
      <c r="T430" s="7">
        <f>IF($U430="","",S430-Q430-G430)</f>
        <v/>
      </c>
      <c r="U430" s="13">
        <f>IF(ROWS($U$2:$U430)&lt;=MAX('Per Line'!$V$2:$V$3001),MATCH(ROWS($U$2:$U430),'Per Line'!$V$2:$V$3001,0),"")</f>
        <v/>
      </c>
    </row>
    <row r="431">
      <c r="A431">
        <f>IF($U431="","",INDEX('Per Line'!$A$2:$A$3001,$U431)&amp;"")</f>
        <v/>
      </c>
      <c r="B431" s="12" t="n"/>
      <c r="C431">
        <f>IF($U431="","",INDEX('Per Line'!$B$2:$B$3001,$U431)&amp;"")</f>
        <v/>
      </c>
      <c r="D431">
        <f>IF($U431="","",INDEX('Per Line'!$C$2:$C$3001,$U431)&amp;"")</f>
        <v/>
      </c>
      <c r="E431">
        <f>IF($U431="","",INDEX('Per Line'!$D$2:$D$3001,$U431)&amp;"")</f>
        <v/>
      </c>
      <c r="F431">
        <f>IF($U431="","",INDEX('Per Line'!$E$2:$E$3001,$U431))</f>
        <v/>
      </c>
      <c r="G431" s="7">
        <f>IF($U431="","",F431*S431/100)</f>
        <v/>
      </c>
      <c r="H431">
        <f>IF($U431="","",INDEX('Per Line'!$O$2:$O$3001,$U431)&amp;"")</f>
        <v/>
      </c>
      <c r="I431" s="11">
        <f>IF($U431="","",INDEX('Per Line'!$Q$2:$Q$3001,$U431))</f>
        <v/>
      </c>
      <c r="J431">
        <f>IF($U431="","",INDEX('Per Line'!$R$2:$R$3001,$U431)&amp;"")</f>
        <v/>
      </c>
      <c r="K431">
        <f>IF($U431="","",Settings!$C$7)</f>
        <v/>
      </c>
      <c r="L431" s="7">
        <f>IF($U431="","",SUMIFS('Per Line'!$N$2:$N$3001,'Per Line'!$A$2:$A$3001,$A431,'Per Line'!$W$2:$W$3001,0))</f>
        <v/>
      </c>
      <c r="M431" s="7">
        <f>IF($U431="","",L431*K431)</f>
        <v/>
      </c>
      <c r="N431">
        <f>IF($U431="","",Settings!$C$6)</f>
        <v/>
      </c>
      <c r="O431" s="7">
        <f>IF($U431="","",SUMIFS('Per Line'!$N$2:$N$3001,'Per Line'!$A$2:$A$3001,$A431,'Per Line'!$W$2:$W$3001,1))</f>
        <v/>
      </c>
      <c r="P431" s="7">
        <f>IF($U431="","",O431*N431)</f>
        <v/>
      </c>
      <c r="Q431" s="7">
        <f>IF($U431="","",P431+M431)</f>
        <v/>
      </c>
      <c r="R431" s="7">
        <f>IF($U431="","",S431-Q431)</f>
        <v/>
      </c>
      <c r="S431" s="7">
        <f>IF($U431="","",L431+O431)</f>
        <v/>
      </c>
      <c r="T431" s="7">
        <f>IF($U431="","",S431-Q431-G431)</f>
        <v/>
      </c>
      <c r="U431" s="13">
        <f>IF(ROWS($U$2:$U431)&lt;=MAX('Per Line'!$V$2:$V$3001),MATCH(ROWS($U$2:$U431),'Per Line'!$V$2:$V$3001,0),"")</f>
        <v/>
      </c>
    </row>
    <row r="432">
      <c r="A432">
        <f>IF($U432="","",INDEX('Per Line'!$A$2:$A$3001,$U432)&amp;"")</f>
        <v/>
      </c>
      <c r="B432" s="12" t="n"/>
      <c r="C432">
        <f>IF($U432="","",INDEX('Per Line'!$B$2:$B$3001,$U432)&amp;"")</f>
        <v/>
      </c>
      <c r="D432">
        <f>IF($U432="","",INDEX('Per Line'!$C$2:$C$3001,$U432)&amp;"")</f>
        <v/>
      </c>
      <c r="E432">
        <f>IF($U432="","",INDEX('Per Line'!$D$2:$D$3001,$U432)&amp;"")</f>
        <v/>
      </c>
      <c r="F432">
        <f>IF($U432="","",INDEX('Per Line'!$E$2:$E$3001,$U432))</f>
        <v/>
      </c>
      <c r="G432" s="7">
        <f>IF($U432="","",F432*S432/100)</f>
        <v/>
      </c>
      <c r="H432">
        <f>IF($U432="","",INDEX('Per Line'!$O$2:$O$3001,$U432)&amp;"")</f>
        <v/>
      </c>
      <c r="I432" s="11">
        <f>IF($U432="","",INDEX('Per Line'!$Q$2:$Q$3001,$U432))</f>
        <v/>
      </c>
      <c r="J432">
        <f>IF($U432="","",INDEX('Per Line'!$R$2:$R$3001,$U432)&amp;"")</f>
        <v/>
      </c>
      <c r="K432">
        <f>IF($U432="","",Settings!$C$7)</f>
        <v/>
      </c>
      <c r="L432" s="7">
        <f>IF($U432="","",SUMIFS('Per Line'!$N$2:$N$3001,'Per Line'!$A$2:$A$3001,$A432,'Per Line'!$W$2:$W$3001,0))</f>
        <v/>
      </c>
      <c r="M432" s="7">
        <f>IF($U432="","",L432*K432)</f>
        <v/>
      </c>
      <c r="N432">
        <f>IF($U432="","",Settings!$C$6)</f>
        <v/>
      </c>
      <c r="O432" s="7">
        <f>IF($U432="","",SUMIFS('Per Line'!$N$2:$N$3001,'Per Line'!$A$2:$A$3001,$A432,'Per Line'!$W$2:$W$3001,1))</f>
        <v/>
      </c>
      <c r="P432" s="7">
        <f>IF($U432="","",O432*N432)</f>
        <v/>
      </c>
      <c r="Q432" s="7">
        <f>IF($U432="","",P432+M432)</f>
        <v/>
      </c>
      <c r="R432" s="7">
        <f>IF($U432="","",S432-Q432)</f>
        <v/>
      </c>
      <c r="S432" s="7">
        <f>IF($U432="","",L432+O432)</f>
        <v/>
      </c>
      <c r="T432" s="7">
        <f>IF($U432="","",S432-Q432-G432)</f>
        <v/>
      </c>
      <c r="U432" s="13">
        <f>IF(ROWS($U$2:$U432)&lt;=MAX('Per Line'!$V$2:$V$3001),MATCH(ROWS($U$2:$U432),'Per Line'!$V$2:$V$3001,0),"")</f>
        <v/>
      </c>
    </row>
    <row r="433">
      <c r="A433">
        <f>IF($U433="","",INDEX('Per Line'!$A$2:$A$3001,$U433)&amp;"")</f>
        <v/>
      </c>
      <c r="B433" s="12" t="n"/>
      <c r="C433">
        <f>IF($U433="","",INDEX('Per Line'!$B$2:$B$3001,$U433)&amp;"")</f>
        <v/>
      </c>
      <c r="D433">
        <f>IF($U433="","",INDEX('Per Line'!$C$2:$C$3001,$U433)&amp;"")</f>
        <v/>
      </c>
      <c r="E433">
        <f>IF($U433="","",INDEX('Per Line'!$D$2:$D$3001,$U433)&amp;"")</f>
        <v/>
      </c>
      <c r="F433">
        <f>IF($U433="","",INDEX('Per Line'!$E$2:$E$3001,$U433))</f>
        <v/>
      </c>
      <c r="G433" s="7">
        <f>IF($U433="","",F433*S433/100)</f>
        <v/>
      </c>
      <c r="H433">
        <f>IF($U433="","",INDEX('Per Line'!$O$2:$O$3001,$U433)&amp;"")</f>
        <v/>
      </c>
      <c r="I433" s="11">
        <f>IF($U433="","",INDEX('Per Line'!$Q$2:$Q$3001,$U433))</f>
        <v/>
      </c>
      <c r="J433">
        <f>IF($U433="","",INDEX('Per Line'!$R$2:$R$3001,$U433)&amp;"")</f>
        <v/>
      </c>
      <c r="K433">
        <f>IF($U433="","",Settings!$C$7)</f>
        <v/>
      </c>
      <c r="L433" s="7">
        <f>IF($U433="","",SUMIFS('Per Line'!$N$2:$N$3001,'Per Line'!$A$2:$A$3001,$A433,'Per Line'!$W$2:$W$3001,0))</f>
        <v/>
      </c>
      <c r="M433" s="7">
        <f>IF($U433="","",L433*K433)</f>
        <v/>
      </c>
      <c r="N433">
        <f>IF($U433="","",Settings!$C$6)</f>
        <v/>
      </c>
      <c r="O433" s="7">
        <f>IF($U433="","",SUMIFS('Per Line'!$N$2:$N$3001,'Per Line'!$A$2:$A$3001,$A433,'Per Line'!$W$2:$W$3001,1))</f>
        <v/>
      </c>
      <c r="P433" s="7">
        <f>IF($U433="","",O433*N433)</f>
        <v/>
      </c>
      <c r="Q433" s="7">
        <f>IF($U433="","",P433+M433)</f>
        <v/>
      </c>
      <c r="R433" s="7">
        <f>IF($U433="","",S433-Q433)</f>
        <v/>
      </c>
      <c r="S433" s="7">
        <f>IF($U433="","",L433+O433)</f>
        <v/>
      </c>
      <c r="T433" s="7">
        <f>IF($U433="","",S433-Q433-G433)</f>
        <v/>
      </c>
      <c r="U433" s="13">
        <f>IF(ROWS($U$2:$U433)&lt;=MAX('Per Line'!$V$2:$V$3001),MATCH(ROWS($U$2:$U433),'Per Line'!$V$2:$V$3001,0),"")</f>
        <v/>
      </c>
    </row>
    <row r="434">
      <c r="A434">
        <f>IF($U434="","",INDEX('Per Line'!$A$2:$A$3001,$U434)&amp;"")</f>
        <v/>
      </c>
      <c r="B434" s="12" t="n"/>
      <c r="C434">
        <f>IF($U434="","",INDEX('Per Line'!$B$2:$B$3001,$U434)&amp;"")</f>
        <v/>
      </c>
      <c r="D434">
        <f>IF($U434="","",INDEX('Per Line'!$C$2:$C$3001,$U434)&amp;"")</f>
        <v/>
      </c>
      <c r="E434">
        <f>IF($U434="","",INDEX('Per Line'!$D$2:$D$3001,$U434)&amp;"")</f>
        <v/>
      </c>
      <c r="F434">
        <f>IF($U434="","",INDEX('Per Line'!$E$2:$E$3001,$U434))</f>
        <v/>
      </c>
      <c r="G434" s="7">
        <f>IF($U434="","",F434*S434/100)</f>
        <v/>
      </c>
      <c r="H434">
        <f>IF($U434="","",INDEX('Per Line'!$O$2:$O$3001,$U434)&amp;"")</f>
        <v/>
      </c>
      <c r="I434" s="11">
        <f>IF($U434="","",INDEX('Per Line'!$Q$2:$Q$3001,$U434))</f>
        <v/>
      </c>
      <c r="J434">
        <f>IF($U434="","",INDEX('Per Line'!$R$2:$R$3001,$U434)&amp;"")</f>
        <v/>
      </c>
      <c r="K434">
        <f>IF($U434="","",Settings!$C$7)</f>
        <v/>
      </c>
      <c r="L434" s="7">
        <f>IF($U434="","",SUMIFS('Per Line'!$N$2:$N$3001,'Per Line'!$A$2:$A$3001,$A434,'Per Line'!$W$2:$W$3001,0))</f>
        <v/>
      </c>
      <c r="M434" s="7">
        <f>IF($U434="","",L434*K434)</f>
        <v/>
      </c>
      <c r="N434">
        <f>IF($U434="","",Settings!$C$6)</f>
        <v/>
      </c>
      <c r="O434" s="7">
        <f>IF($U434="","",SUMIFS('Per Line'!$N$2:$N$3001,'Per Line'!$A$2:$A$3001,$A434,'Per Line'!$W$2:$W$3001,1))</f>
        <v/>
      </c>
      <c r="P434" s="7">
        <f>IF($U434="","",O434*N434)</f>
        <v/>
      </c>
      <c r="Q434" s="7">
        <f>IF($U434="","",P434+M434)</f>
        <v/>
      </c>
      <c r="R434" s="7">
        <f>IF($U434="","",S434-Q434)</f>
        <v/>
      </c>
      <c r="S434" s="7">
        <f>IF($U434="","",L434+O434)</f>
        <v/>
      </c>
      <c r="T434" s="7">
        <f>IF($U434="","",S434-Q434-G434)</f>
        <v/>
      </c>
      <c r="U434" s="13">
        <f>IF(ROWS($U$2:$U434)&lt;=MAX('Per Line'!$V$2:$V$3001),MATCH(ROWS($U$2:$U434),'Per Line'!$V$2:$V$3001,0),"")</f>
        <v/>
      </c>
    </row>
    <row r="435">
      <c r="A435">
        <f>IF($U435="","",INDEX('Per Line'!$A$2:$A$3001,$U435)&amp;"")</f>
        <v/>
      </c>
      <c r="B435" s="12" t="n"/>
      <c r="C435">
        <f>IF($U435="","",INDEX('Per Line'!$B$2:$B$3001,$U435)&amp;"")</f>
        <v/>
      </c>
      <c r="D435">
        <f>IF($U435="","",INDEX('Per Line'!$C$2:$C$3001,$U435)&amp;"")</f>
        <v/>
      </c>
      <c r="E435">
        <f>IF($U435="","",INDEX('Per Line'!$D$2:$D$3001,$U435)&amp;"")</f>
        <v/>
      </c>
      <c r="F435">
        <f>IF($U435="","",INDEX('Per Line'!$E$2:$E$3001,$U435))</f>
        <v/>
      </c>
      <c r="G435" s="7">
        <f>IF($U435="","",F435*S435/100)</f>
        <v/>
      </c>
      <c r="H435">
        <f>IF($U435="","",INDEX('Per Line'!$O$2:$O$3001,$U435)&amp;"")</f>
        <v/>
      </c>
      <c r="I435" s="11">
        <f>IF($U435="","",INDEX('Per Line'!$Q$2:$Q$3001,$U435))</f>
        <v/>
      </c>
      <c r="J435">
        <f>IF($U435="","",INDEX('Per Line'!$R$2:$R$3001,$U435)&amp;"")</f>
        <v/>
      </c>
      <c r="K435">
        <f>IF($U435="","",Settings!$C$7)</f>
        <v/>
      </c>
      <c r="L435" s="7">
        <f>IF($U435="","",SUMIFS('Per Line'!$N$2:$N$3001,'Per Line'!$A$2:$A$3001,$A435,'Per Line'!$W$2:$W$3001,0))</f>
        <v/>
      </c>
      <c r="M435" s="7">
        <f>IF($U435="","",L435*K435)</f>
        <v/>
      </c>
      <c r="N435">
        <f>IF($U435="","",Settings!$C$6)</f>
        <v/>
      </c>
      <c r="O435" s="7">
        <f>IF($U435="","",SUMIFS('Per Line'!$N$2:$N$3001,'Per Line'!$A$2:$A$3001,$A435,'Per Line'!$W$2:$W$3001,1))</f>
        <v/>
      </c>
      <c r="P435" s="7">
        <f>IF($U435="","",O435*N435)</f>
        <v/>
      </c>
      <c r="Q435" s="7">
        <f>IF($U435="","",P435+M435)</f>
        <v/>
      </c>
      <c r="R435" s="7">
        <f>IF($U435="","",S435-Q435)</f>
        <v/>
      </c>
      <c r="S435" s="7">
        <f>IF($U435="","",L435+O435)</f>
        <v/>
      </c>
      <c r="T435" s="7">
        <f>IF($U435="","",S435-Q435-G435)</f>
        <v/>
      </c>
      <c r="U435" s="13">
        <f>IF(ROWS($U$2:$U435)&lt;=MAX('Per Line'!$V$2:$V$3001),MATCH(ROWS($U$2:$U435),'Per Line'!$V$2:$V$3001,0),"")</f>
        <v/>
      </c>
    </row>
    <row r="436">
      <c r="A436">
        <f>IF($U436="","",INDEX('Per Line'!$A$2:$A$3001,$U436)&amp;"")</f>
        <v/>
      </c>
      <c r="B436" s="12" t="n"/>
      <c r="C436">
        <f>IF($U436="","",INDEX('Per Line'!$B$2:$B$3001,$U436)&amp;"")</f>
        <v/>
      </c>
      <c r="D436">
        <f>IF($U436="","",INDEX('Per Line'!$C$2:$C$3001,$U436)&amp;"")</f>
        <v/>
      </c>
      <c r="E436">
        <f>IF($U436="","",INDEX('Per Line'!$D$2:$D$3001,$U436)&amp;"")</f>
        <v/>
      </c>
      <c r="F436">
        <f>IF($U436="","",INDEX('Per Line'!$E$2:$E$3001,$U436))</f>
        <v/>
      </c>
      <c r="G436" s="7">
        <f>IF($U436="","",F436*S436/100)</f>
        <v/>
      </c>
      <c r="H436">
        <f>IF($U436="","",INDEX('Per Line'!$O$2:$O$3001,$U436)&amp;"")</f>
        <v/>
      </c>
      <c r="I436" s="11">
        <f>IF($U436="","",INDEX('Per Line'!$Q$2:$Q$3001,$U436))</f>
        <v/>
      </c>
      <c r="J436">
        <f>IF($U436="","",INDEX('Per Line'!$R$2:$R$3001,$U436)&amp;"")</f>
        <v/>
      </c>
      <c r="K436">
        <f>IF($U436="","",Settings!$C$7)</f>
        <v/>
      </c>
      <c r="L436" s="7">
        <f>IF($U436="","",SUMIFS('Per Line'!$N$2:$N$3001,'Per Line'!$A$2:$A$3001,$A436,'Per Line'!$W$2:$W$3001,0))</f>
        <v/>
      </c>
      <c r="M436" s="7">
        <f>IF($U436="","",L436*K436)</f>
        <v/>
      </c>
      <c r="N436">
        <f>IF($U436="","",Settings!$C$6)</f>
        <v/>
      </c>
      <c r="O436" s="7">
        <f>IF($U436="","",SUMIFS('Per Line'!$N$2:$N$3001,'Per Line'!$A$2:$A$3001,$A436,'Per Line'!$W$2:$W$3001,1))</f>
        <v/>
      </c>
      <c r="P436" s="7">
        <f>IF($U436="","",O436*N436)</f>
        <v/>
      </c>
      <c r="Q436" s="7">
        <f>IF($U436="","",P436+M436)</f>
        <v/>
      </c>
      <c r="R436" s="7">
        <f>IF($U436="","",S436-Q436)</f>
        <v/>
      </c>
      <c r="S436" s="7">
        <f>IF($U436="","",L436+O436)</f>
        <v/>
      </c>
      <c r="T436" s="7">
        <f>IF($U436="","",S436-Q436-G436)</f>
        <v/>
      </c>
      <c r="U436" s="13">
        <f>IF(ROWS($U$2:$U436)&lt;=MAX('Per Line'!$V$2:$V$3001),MATCH(ROWS($U$2:$U436),'Per Line'!$V$2:$V$3001,0),"")</f>
        <v/>
      </c>
    </row>
    <row r="437">
      <c r="A437">
        <f>IF($U437="","",INDEX('Per Line'!$A$2:$A$3001,$U437)&amp;"")</f>
        <v/>
      </c>
      <c r="B437" s="12" t="n"/>
      <c r="C437">
        <f>IF($U437="","",INDEX('Per Line'!$B$2:$B$3001,$U437)&amp;"")</f>
        <v/>
      </c>
      <c r="D437">
        <f>IF($U437="","",INDEX('Per Line'!$C$2:$C$3001,$U437)&amp;"")</f>
        <v/>
      </c>
      <c r="E437">
        <f>IF($U437="","",INDEX('Per Line'!$D$2:$D$3001,$U437)&amp;"")</f>
        <v/>
      </c>
      <c r="F437">
        <f>IF($U437="","",INDEX('Per Line'!$E$2:$E$3001,$U437))</f>
        <v/>
      </c>
      <c r="G437" s="7">
        <f>IF($U437="","",F437*S437/100)</f>
        <v/>
      </c>
      <c r="H437">
        <f>IF($U437="","",INDEX('Per Line'!$O$2:$O$3001,$U437)&amp;"")</f>
        <v/>
      </c>
      <c r="I437" s="11">
        <f>IF($U437="","",INDEX('Per Line'!$Q$2:$Q$3001,$U437))</f>
        <v/>
      </c>
      <c r="J437">
        <f>IF($U437="","",INDEX('Per Line'!$R$2:$R$3001,$U437)&amp;"")</f>
        <v/>
      </c>
      <c r="K437">
        <f>IF($U437="","",Settings!$C$7)</f>
        <v/>
      </c>
      <c r="L437" s="7">
        <f>IF($U437="","",SUMIFS('Per Line'!$N$2:$N$3001,'Per Line'!$A$2:$A$3001,$A437,'Per Line'!$W$2:$W$3001,0))</f>
        <v/>
      </c>
      <c r="M437" s="7">
        <f>IF($U437="","",L437*K437)</f>
        <v/>
      </c>
      <c r="N437">
        <f>IF($U437="","",Settings!$C$6)</f>
        <v/>
      </c>
      <c r="O437" s="7">
        <f>IF($U437="","",SUMIFS('Per Line'!$N$2:$N$3001,'Per Line'!$A$2:$A$3001,$A437,'Per Line'!$W$2:$W$3001,1))</f>
        <v/>
      </c>
      <c r="P437" s="7">
        <f>IF($U437="","",O437*N437)</f>
        <v/>
      </c>
      <c r="Q437" s="7">
        <f>IF($U437="","",P437+M437)</f>
        <v/>
      </c>
      <c r="R437" s="7">
        <f>IF($U437="","",S437-Q437)</f>
        <v/>
      </c>
      <c r="S437" s="7">
        <f>IF($U437="","",L437+O437)</f>
        <v/>
      </c>
      <c r="T437" s="7">
        <f>IF($U437="","",S437-Q437-G437)</f>
        <v/>
      </c>
      <c r="U437" s="13">
        <f>IF(ROWS($U$2:$U437)&lt;=MAX('Per Line'!$V$2:$V$3001),MATCH(ROWS($U$2:$U437),'Per Line'!$V$2:$V$3001,0),"")</f>
        <v/>
      </c>
    </row>
    <row r="438">
      <c r="A438">
        <f>IF($U438="","",INDEX('Per Line'!$A$2:$A$3001,$U438)&amp;"")</f>
        <v/>
      </c>
      <c r="B438" s="12" t="n"/>
      <c r="C438">
        <f>IF($U438="","",INDEX('Per Line'!$B$2:$B$3001,$U438)&amp;"")</f>
        <v/>
      </c>
      <c r="D438">
        <f>IF($U438="","",INDEX('Per Line'!$C$2:$C$3001,$U438)&amp;"")</f>
        <v/>
      </c>
      <c r="E438">
        <f>IF($U438="","",INDEX('Per Line'!$D$2:$D$3001,$U438)&amp;"")</f>
        <v/>
      </c>
      <c r="F438">
        <f>IF($U438="","",INDEX('Per Line'!$E$2:$E$3001,$U438))</f>
        <v/>
      </c>
      <c r="G438" s="7">
        <f>IF($U438="","",F438*S438/100)</f>
        <v/>
      </c>
      <c r="H438">
        <f>IF($U438="","",INDEX('Per Line'!$O$2:$O$3001,$U438)&amp;"")</f>
        <v/>
      </c>
      <c r="I438" s="11">
        <f>IF($U438="","",INDEX('Per Line'!$Q$2:$Q$3001,$U438))</f>
        <v/>
      </c>
      <c r="J438">
        <f>IF($U438="","",INDEX('Per Line'!$R$2:$R$3001,$U438)&amp;"")</f>
        <v/>
      </c>
      <c r="K438">
        <f>IF($U438="","",Settings!$C$7)</f>
        <v/>
      </c>
      <c r="L438" s="7">
        <f>IF($U438="","",SUMIFS('Per Line'!$N$2:$N$3001,'Per Line'!$A$2:$A$3001,$A438,'Per Line'!$W$2:$W$3001,0))</f>
        <v/>
      </c>
      <c r="M438" s="7">
        <f>IF($U438="","",L438*K438)</f>
        <v/>
      </c>
      <c r="N438">
        <f>IF($U438="","",Settings!$C$6)</f>
        <v/>
      </c>
      <c r="O438" s="7">
        <f>IF($U438="","",SUMIFS('Per Line'!$N$2:$N$3001,'Per Line'!$A$2:$A$3001,$A438,'Per Line'!$W$2:$W$3001,1))</f>
        <v/>
      </c>
      <c r="P438" s="7">
        <f>IF($U438="","",O438*N438)</f>
        <v/>
      </c>
      <c r="Q438" s="7">
        <f>IF($U438="","",P438+M438)</f>
        <v/>
      </c>
      <c r="R438" s="7">
        <f>IF($U438="","",S438-Q438)</f>
        <v/>
      </c>
      <c r="S438" s="7">
        <f>IF($U438="","",L438+O438)</f>
        <v/>
      </c>
      <c r="T438" s="7">
        <f>IF($U438="","",S438-Q438-G438)</f>
        <v/>
      </c>
      <c r="U438" s="13">
        <f>IF(ROWS($U$2:$U438)&lt;=MAX('Per Line'!$V$2:$V$3001),MATCH(ROWS($U$2:$U438),'Per Line'!$V$2:$V$3001,0),"")</f>
        <v/>
      </c>
    </row>
    <row r="439">
      <c r="A439">
        <f>IF($U439="","",INDEX('Per Line'!$A$2:$A$3001,$U439)&amp;"")</f>
        <v/>
      </c>
      <c r="B439" s="12" t="n"/>
      <c r="C439">
        <f>IF($U439="","",INDEX('Per Line'!$B$2:$B$3001,$U439)&amp;"")</f>
        <v/>
      </c>
      <c r="D439">
        <f>IF($U439="","",INDEX('Per Line'!$C$2:$C$3001,$U439)&amp;"")</f>
        <v/>
      </c>
      <c r="E439">
        <f>IF($U439="","",INDEX('Per Line'!$D$2:$D$3001,$U439)&amp;"")</f>
        <v/>
      </c>
      <c r="F439">
        <f>IF($U439="","",INDEX('Per Line'!$E$2:$E$3001,$U439))</f>
        <v/>
      </c>
      <c r="G439" s="7">
        <f>IF($U439="","",F439*S439/100)</f>
        <v/>
      </c>
      <c r="H439">
        <f>IF($U439="","",INDEX('Per Line'!$O$2:$O$3001,$U439)&amp;"")</f>
        <v/>
      </c>
      <c r="I439" s="11">
        <f>IF($U439="","",INDEX('Per Line'!$Q$2:$Q$3001,$U439))</f>
        <v/>
      </c>
      <c r="J439">
        <f>IF($U439="","",INDEX('Per Line'!$R$2:$R$3001,$U439)&amp;"")</f>
        <v/>
      </c>
      <c r="K439">
        <f>IF($U439="","",Settings!$C$7)</f>
        <v/>
      </c>
      <c r="L439" s="7">
        <f>IF($U439="","",SUMIFS('Per Line'!$N$2:$N$3001,'Per Line'!$A$2:$A$3001,$A439,'Per Line'!$W$2:$W$3001,0))</f>
        <v/>
      </c>
      <c r="M439" s="7">
        <f>IF($U439="","",L439*K439)</f>
        <v/>
      </c>
      <c r="N439">
        <f>IF($U439="","",Settings!$C$6)</f>
        <v/>
      </c>
      <c r="O439" s="7">
        <f>IF($U439="","",SUMIFS('Per Line'!$N$2:$N$3001,'Per Line'!$A$2:$A$3001,$A439,'Per Line'!$W$2:$W$3001,1))</f>
        <v/>
      </c>
      <c r="P439" s="7">
        <f>IF($U439="","",O439*N439)</f>
        <v/>
      </c>
      <c r="Q439" s="7">
        <f>IF($U439="","",P439+M439)</f>
        <v/>
      </c>
      <c r="R439" s="7">
        <f>IF($U439="","",S439-Q439)</f>
        <v/>
      </c>
      <c r="S439" s="7">
        <f>IF($U439="","",L439+O439)</f>
        <v/>
      </c>
      <c r="T439" s="7">
        <f>IF($U439="","",S439-Q439-G439)</f>
        <v/>
      </c>
      <c r="U439" s="13">
        <f>IF(ROWS($U$2:$U439)&lt;=MAX('Per Line'!$V$2:$V$3001),MATCH(ROWS($U$2:$U439),'Per Line'!$V$2:$V$3001,0),"")</f>
        <v/>
      </c>
    </row>
    <row r="440">
      <c r="A440">
        <f>IF($U440="","",INDEX('Per Line'!$A$2:$A$3001,$U440)&amp;"")</f>
        <v/>
      </c>
      <c r="B440" s="12" t="n"/>
      <c r="C440">
        <f>IF($U440="","",INDEX('Per Line'!$B$2:$B$3001,$U440)&amp;"")</f>
        <v/>
      </c>
      <c r="D440">
        <f>IF($U440="","",INDEX('Per Line'!$C$2:$C$3001,$U440)&amp;"")</f>
        <v/>
      </c>
      <c r="E440">
        <f>IF($U440="","",INDEX('Per Line'!$D$2:$D$3001,$U440)&amp;"")</f>
        <v/>
      </c>
      <c r="F440">
        <f>IF($U440="","",INDEX('Per Line'!$E$2:$E$3001,$U440))</f>
        <v/>
      </c>
      <c r="G440" s="7">
        <f>IF($U440="","",F440*S440/100)</f>
        <v/>
      </c>
      <c r="H440">
        <f>IF($U440="","",INDEX('Per Line'!$O$2:$O$3001,$U440)&amp;"")</f>
        <v/>
      </c>
      <c r="I440" s="11">
        <f>IF($U440="","",INDEX('Per Line'!$Q$2:$Q$3001,$U440))</f>
        <v/>
      </c>
      <c r="J440">
        <f>IF($U440="","",INDEX('Per Line'!$R$2:$R$3001,$U440)&amp;"")</f>
        <v/>
      </c>
      <c r="K440">
        <f>IF($U440="","",Settings!$C$7)</f>
        <v/>
      </c>
      <c r="L440" s="7">
        <f>IF($U440="","",SUMIFS('Per Line'!$N$2:$N$3001,'Per Line'!$A$2:$A$3001,$A440,'Per Line'!$W$2:$W$3001,0))</f>
        <v/>
      </c>
      <c r="M440" s="7">
        <f>IF($U440="","",L440*K440)</f>
        <v/>
      </c>
      <c r="N440">
        <f>IF($U440="","",Settings!$C$6)</f>
        <v/>
      </c>
      <c r="O440" s="7">
        <f>IF($U440="","",SUMIFS('Per Line'!$N$2:$N$3001,'Per Line'!$A$2:$A$3001,$A440,'Per Line'!$W$2:$W$3001,1))</f>
        <v/>
      </c>
      <c r="P440" s="7">
        <f>IF($U440="","",O440*N440)</f>
        <v/>
      </c>
      <c r="Q440" s="7">
        <f>IF($U440="","",P440+M440)</f>
        <v/>
      </c>
      <c r="R440" s="7">
        <f>IF($U440="","",S440-Q440)</f>
        <v/>
      </c>
      <c r="S440" s="7">
        <f>IF($U440="","",L440+O440)</f>
        <v/>
      </c>
      <c r="T440" s="7">
        <f>IF($U440="","",S440-Q440-G440)</f>
        <v/>
      </c>
      <c r="U440" s="13">
        <f>IF(ROWS($U$2:$U440)&lt;=MAX('Per Line'!$V$2:$V$3001),MATCH(ROWS($U$2:$U440),'Per Line'!$V$2:$V$3001,0),"")</f>
        <v/>
      </c>
    </row>
    <row r="441">
      <c r="A441">
        <f>IF($U441="","",INDEX('Per Line'!$A$2:$A$3001,$U441)&amp;"")</f>
        <v/>
      </c>
      <c r="B441" s="12" t="n"/>
      <c r="C441">
        <f>IF($U441="","",INDEX('Per Line'!$B$2:$B$3001,$U441)&amp;"")</f>
        <v/>
      </c>
      <c r="D441">
        <f>IF($U441="","",INDEX('Per Line'!$C$2:$C$3001,$U441)&amp;"")</f>
        <v/>
      </c>
      <c r="E441">
        <f>IF($U441="","",INDEX('Per Line'!$D$2:$D$3001,$U441)&amp;"")</f>
        <v/>
      </c>
      <c r="F441">
        <f>IF($U441="","",INDEX('Per Line'!$E$2:$E$3001,$U441))</f>
        <v/>
      </c>
      <c r="G441" s="7">
        <f>IF($U441="","",F441*S441/100)</f>
        <v/>
      </c>
      <c r="H441">
        <f>IF($U441="","",INDEX('Per Line'!$O$2:$O$3001,$U441)&amp;"")</f>
        <v/>
      </c>
      <c r="I441" s="11">
        <f>IF($U441="","",INDEX('Per Line'!$Q$2:$Q$3001,$U441))</f>
        <v/>
      </c>
      <c r="J441">
        <f>IF($U441="","",INDEX('Per Line'!$R$2:$R$3001,$U441)&amp;"")</f>
        <v/>
      </c>
      <c r="K441">
        <f>IF($U441="","",Settings!$C$7)</f>
        <v/>
      </c>
      <c r="L441" s="7">
        <f>IF($U441="","",SUMIFS('Per Line'!$N$2:$N$3001,'Per Line'!$A$2:$A$3001,$A441,'Per Line'!$W$2:$W$3001,0))</f>
        <v/>
      </c>
      <c r="M441" s="7">
        <f>IF($U441="","",L441*K441)</f>
        <v/>
      </c>
      <c r="N441">
        <f>IF($U441="","",Settings!$C$6)</f>
        <v/>
      </c>
      <c r="O441" s="7">
        <f>IF($U441="","",SUMIFS('Per Line'!$N$2:$N$3001,'Per Line'!$A$2:$A$3001,$A441,'Per Line'!$W$2:$W$3001,1))</f>
        <v/>
      </c>
      <c r="P441" s="7">
        <f>IF($U441="","",O441*N441)</f>
        <v/>
      </c>
      <c r="Q441" s="7">
        <f>IF($U441="","",P441+M441)</f>
        <v/>
      </c>
      <c r="R441" s="7">
        <f>IF($U441="","",S441-Q441)</f>
        <v/>
      </c>
      <c r="S441" s="7">
        <f>IF($U441="","",L441+O441)</f>
        <v/>
      </c>
      <c r="T441" s="7">
        <f>IF($U441="","",S441-Q441-G441)</f>
        <v/>
      </c>
      <c r="U441" s="13">
        <f>IF(ROWS($U$2:$U441)&lt;=MAX('Per Line'!$V$2:$V$3001),MATCH(ROWS($U$2:$U441),'Per Line'!$V$2:$V$3001,0),"")</f>
        <v/>
      </c>
    </row>
    <row r="442">
      <c r="A442">
        <f>IF($U442="","",INDEX('Per Line'!$A$2:$A$3001,$U442)&amp;"")</f>
        <v/>
      </c>
      <c r="B442" s="12" t="n"/>
      <c r="C442">
        <f>IF($U442="","",INDEX('Per Line'!$B$2:$B$3001,$U442)&amp;"")</f>
        <v/>
      </c>
      <c r="D442">
        <f>IF($U442="","",INDEX('Per Line'!$C$2:$C$3001,$U442)&amp;"")</f>
        <v/>
      </c>
      <c r="E442">
        <f>IF($U442="","",INDEX('Per Line'!$D$2:$D$3001,$U442)&amp;"")</f>
        <v/>
      </c>
      <c r="F442">
        <f>IF($U442="","",INDEX('Per Line'!$E$2:$E$3001,$U442))</f>
        <v/>
      </c>
      <c r="G442" s="7">
        <f>IF($U442="","",F442*S442/100)</f>
        <v/>
      </c>
      <c r="H442">
        <f>IF($U442="","",INDEX('Per Line'!$O$2:$O$3001,$U442)&amp;"")</f>
        <v/>
      </c>
      <c r="I442" s="11">
        <f>IF($U442="","",INDEX('Per Line'!$Q$2:$Q$3001,$U442))</f>
        <v/>
      </c>
      <c r="J442">
        <f>IF($U442="","",INDEX('Per Line'!$R$2:$R$3001,$U442)&amp;"")</f>
        <v/>
      </c>
      <c r="K442">
        <f>IF($U442="","",Settings!$C$7)</f>
        <v/>
      </c>
      <c r="L442" s="7">
        <f>IF($U442="","",SUMIFS('Per Line'!$N$2:$N$3001,'Per Line'!$A$2:$A$3001,$A442,'Per Line'!$W$2:$W$3001,0))</f>
        <v/>
      </c>
      <c r="M442" s="7">
        <f>IF($U442="","",L442*K442)</f>
        <v/>
      </c>
      <c r="N442">
        <f>IF($U442="","",Settings!$C$6)</f>
        <v/>
      </c>
      <c r="O442" s="7">
        <f>IF($U442="","",SUMIFS('Per Line'!$N$2:$N$3001,'Per Line'!$A$2:$A$3001,$A442,'Per Line'!$W$2:$W$3001,1))</f>
        <v/>
      </c>
      <c r="P442" s="7">
        <f>IF($U442="","",O442*N442)</f>
        <v/>
      </c>
      <c r="Q442" s="7">
        <f>IF($U442="","",P442+M442)</f>
        <v/>
      </c>
      <c r="R442" s="7">
        <f>IF($U442="","",S442-Q442)</f>
        <v/>
      </c>
      <c r="S442" s="7">
        <f>IF($U442="","",L442+O442)</f>
        <v/>
      </c>
      <c r="T442" s="7">
        <f>IF($U442="","",S442-Q442-G442)</f>
        <v/>
      </c>
      <c r="U442" s="13">
        <f>IF(ROWS($U$2:$U442)&lt;=MAX('Per Line'!$V$2:$V$3001),MATCH(ROWS($U$2:$U442),'Per Line'!$V$2:$V$3001,0),"")</f>
        <v/>
      </c>
    </row>
    <row r="443">
      <c r="A443">
        <f>IF($U443="","",INDEX('Per Line'!$A$2:$A$3001,$U443)&amp;"")</f>
        <v/>
      </c>
      <c r="B443" s="12" t="n"/>
      <c r="C443">
        <f>IF($U443="","",INDEX('Per Line'!$B$2:$B$3001,$U443)&amp;"")</f>
        <v/>
      </c>
      <c r="D443">
        <f>IF($U443="","",INDEX('Per Line'!$C$2:$C$3001,$U443)&amp;"")</f>
        <v/>
      </c>
      <c r="E443">
        <f>IF($U443="","",INDEX('Per Line'!$D$2:$D$3001,$U443)&amp;"")</f>
        <v/>
      </c>
      <c r="F443">
        <f>IF($U443="","",INDEX('Per Line'!$E$2:$E$3001,$U443))</f>
        <v/>
      </c>
      <c r="G443" s="7">
        <f>IF($U443="","",F443*S443/100)</f>
        <v/>
      </c>
      <c r="H443">
        <f>IF($U443="","",INDEX('Per Line'!$O$2:$O$3001,$U443)&amp;"")</f>
        <v/>
      </c>
      <c r="I443" s="11">
        <f>IF($U443="","",INDEX('Per Line'!$Q$2:$Q$3001,$U443))</f>
        <v/>
      </c>
      <c r="J443">
        <f>IF($U443="","",INDEX('Per Line'!$R$2:$R$3001,$U443)&amp;"")</f>
        <v/>
      </c>
      <c r="K443">
        <f>IF($U443="","",Settings!$C$7)</f>
        <v/>
      </c>
      <c r="L443" s="7">
        <f>IF($U443="","",SUMIFS('Per Line'!$N$2:$N$3001,'Per Line'!$A$2:$A$3001,$A443,'Per Line'!$W$2:$W$3001,0))</f>
        <v/>
      </c>
      <c r="M443" s="7">
        <f>IF($U443="","",L443*K443)</f>
        <v/>
      </c>
      <c r="N443">
        <f>IF($U443="","",Settings!$C$6)</f>
        <v/>
      </c>
      <c r="O443" s="7">
        <f>IF($U443="","",SUMIFS('Per Line'!$N$2:$N$3001,'Per Line'!$A$2:$A$3001,$A443,'Per Line'!$W$2:$W$3001,1))</f>
        <v/>
      </c>
      <c r="P443" s="7">
        <f>IF($U443="","",O443*N443)</f>
        <v/>
      </c>
      <c r="Q443" s="7">
        <f>IF($U443="","",P443+M443)</f>
        <v/>
      </c>
      <c r="R443" s="7">
        <f>IF($U443="","",S443-Q443)</f>
        <v/>
      </c>
      <c r="S443" s="7">
        <f>IF($U443="","",L443+O443)</f>
        <v/>
      </c>
      <c r="T443" s="7">
        <f>IF($U443="","",S443-Q443-G443)</f>
        <v/>
      </c>
      <c r="U443" s="13">
        <f>IF(ROWS($U$2:$U443)&lt;=MAX('Per Line'!$V$2:$V$3001),MATCH(ROWS($U$2:$U443),'Per Line'!$V$2:$V$3001,0),"")</f>
        <v/>
      </c>
    </row>
    <row r="444">
      <c r="A444">
        <f>IF($U444="","",INDEX('Per Line'!$A$2:$A$3001,$U444)&amp;"")</f>
        <v/>
      </c>
      <c r="B444" s="12" t="n"/>
      <c r="C444">
        <f>IF($U444="","",INDEX('Per Line'!$B$2:$B$3001,$U444)&amp;"")</f>
        <v/>
      </c>
      <c r="D444">
        <f>IF($U444="","",INDEX('Per Line'!$C$2:$C$3001,$U444)&amp;"")</f>
        <v/>
      </c>
      <c r="E444">
        <f>IF($U444="","",INDEX('Per Line'!$D$2:$D$3001,$U444)&amp;"")</f>
        <v/>
      </c>
      <c r="F444">
        <f>IF($U444="","",INDEX('Per Line'!$E$2:$E$3001,$U444))</f>
        <v/>
      </c>
      <c r="G444" s="7">
        <f>IF($U444="","",F444*S444/100)</f>
        <v/>
      </c>
      <c r="H444">
        <f>IF($U444="","",INDEX('Per Line'!$O$2:$O$3001,$U444)&amp;"")</f>
        <v/>
      </c>
      <c r="I444" s="11">
        <f>IF($U444="","",INDEX('Per Line'!$Q$2:$Q$3001,$U444))</f>
        <v/>
      </c>
      <c r="J444">
        <f>IF($U444="","",INDEX('Per Line'!$R$2:$R$3001,$U444)&amp;"")</f>
        <v/>
      </c>
      <c r="K444">
        <f>IF($U444="","",Settings!$C$7)</f>
        <v/>
      </c>
      <c r="L444" s="7">
        <f>IF($U444="","",SUMIFS('Per Line'!$N$2:$N$3001,'Per Line'!$A$2:$A$3001,$A444,'Per Line'!$W$2:$W$3001,0))</f>
        <v/>
      </c>
      <c r="M444" s="7">
        <f>IF($U444="","",L444*K444)</f>
        <v/>
      </c>
      <c r="N444">
        <f>IF($U444="","",Settings!$C$6)</f>
        <v/>
      </c>
      <c r="O444" s="7">
        <f>IF($U444="","",SUMIFS('Per Line'!$N$2:$N$3001,'Per Line'!$A$2:$A$3001,$A444,'Per Line'!$W$2:$W$3001,1))</f>
        <v/>
      </c>
      <c r="P444" s="7">
        <f>IF($U444="","",O444*N444)</f>
        <v/>
      </c>
      <c r="Q444" s="7">
        <f>IF($U444="","",P444+M444)</f>
        <v/>
      </c>
      <c r="R444" s="7">
        <f>IF($U444="","",S444-Q444)</f>
        <v/>
      </c>
      <c r="S444" s="7">
        <f>IF($U444="","",L444+O444)</f>
        <v/>
      </c>
      <c r="T444" s="7">
        <f>IF($U444="","",S444-Q444-G444)</f>
        <v/>
      </c>
      <c r="U444" s="13">
        <f>IF(ROWS($U$2:$U444)&lt;=MAX('Per Line'!$V$2:$V$3001),MATCH(ROWS($U$2:$U444),'Per Line'!$V$2:$V$3001,0),"")</f>
        <v/>
      </c>
    </row>
    <row r="445">
      <c r="A445">
        <f>IF($U445="","",INDEX('Per Line'!$A$2:$A$3001,$U445)&amp;"")</f>
        <v/>
      </c>
      <c r="B445" s="12" t="n"/>
      <c r="C445">
        <f>IF($U445="","",INDEX('Per Line'!$B$2:$B$3001,$U445)&amp;"")</f>
        <v/>
      </c>
      <c r="D445">
        <f>IF($U445="","",INDEX('Per Line'!$C$2:$C$3001,$U445)&amp;"")</f>
        <v/>
      </c>
      <c r="E445">
        <f>IF($U445="","",INDEX('Per Line'!$D$2:$D$3001,$U445)&amp;"")</f>
        <v/>
      </c>
      <c r="F445">
        <f>IF($U445="","",INDEX('Per Line'!$E$2:$E$3001,$U445))</f>
        <v/>
      </c>
      <c r="G445" s="7">
        <f>IF($U445="","",F445*S445/100)</f>
        <v/>
      </c>
      <c r="H445">
        <f>IF($U445="","",INDEX('Per Line'!$O$2:$O$3001,$U445)&amp;"")</f>
        <v/>
      </c>
      <c r="I445" s="11">
        <f>IF($U445="","",INDEX('Per Line'!$Q$2:$Q$3001,$U445))</f>
        <v/>
      </c>
      <c r="J445">
        <f>IF($U445="","",INDEX('Per Line'!$R$2:$R$3001,$U445)&amp;"")</f>
        <v/>
      </c>
      <c r="K445">
        <f>IF($U445="","",Settings!$C$7)</f>
        <v/>
      </c>
      <c r="L445" s="7">
        <f>IF($U445="","",SUMIFS('Per Line'!$N$2:$N$3001,'Per Line'!$A$2:$A$3001,$A445,'Per Line'!$W$2:$W$3001,0))</f>
        <v/>
      </c>
      <c r="M445" s="7">
        <f>IF($U445="","",L445*K445)</f>
        <v/>
      </c>
      <c r="N445">
        <f>IF($U445="","",Settings!$C$6)</f>
        <v/>
      </c>
      <c r="O445" s="7">
        <f>IF($U445="","",SUMIFS('Per Line'!$N$2:$N$3001,'Per Line'!$A$2:$A$3001,$A445,'Per Line'!$W$2:$W$3001,1))</f>
        <v/>
      </c>
      <c r="P445" s="7">
        <f>IF($U445="","",O445*N445)</f>
        <v/>
      </c>
      <c r="Q445" s="7">
        <f>IF($U445="","",P445+M445)</f>
        <v/>
      </c>
      <c r="R445" s="7">
        <f>IF($U445="","",S445-Q445)</f>
        <v/>
      </c>
      <c r="S445" s="7">
        <f>IF($U445="","",L445+O445)</f>
        <v/>
      </c>
      <c r="T445" s="7">
        <f>IF($U445="","",S445-Q445-G445)</f>
        <v/>
      </c>
      <c r="U445" s="13">
        <f>IF(ROWS($U$2:$U445)&lt;=MAX('Per Line'!$V$2:$V$3001),MATCH(ROWS($U$2:$U445),'Per Line'!$V$2:$V$3001,0),"")</f>
        <v/>
      </c>
    </row>
    <row r="446">
      <c r="A446">
        <f>IF($U446="","",INDEX('Per Line'!$A$2:$A$3001,$U446)&amp;"")</f>
        <v/>
      </c>
      <c r="B446" s="12" t="n"/>
      <c r="C446">
        <f>IF($U446="","",INDEX('Per Line'!$B$2:$B$3001,$U446)&amp;"")</f>
        <v/>
      </c>
      <c r="D446">
        <f>IF($U446="","",INDEX('Per Line'!$C$2:$C$3001,$U446)&amp;"")</f>
        <v/>
      </c>
      <c r="E446">
        <f>IF($U446="","",INDEX('Per Line'!$D$2:$D$3001,$U446)&amp;"")</f>
        <v/>
      </c>
      <c r="F446">
        <f>IF($U446="","",INDEX('Per Line'!$E$2:$E$3001,$U446))</f>
        <v/>
      </c>
      <c r="G446" s="7">
        <f>IF($U446="","",F446*S446/100)</f>
        <v/>
      </c>
      <c r="H446">
        <f>IF($U446="","",INDEX('Per Line'!$O$2:$O$3001,$U446)&amp;"")</f>
        <v/>
      </c>
      <c r="I446" s="11">
        <f>IF($U446="","",INDEX('Per Line'!$Q$2:$Q$3001,$U446))</f>
        <v/>
      </c>
      <c r="J446">
        <f>IF($U446="","",INDEX('Per Line'!$R$2:$R$3001,$U446)&amp;"")</f>
        <v/>
      </c>
      <c r="K446">
        <f>IF($U446="","",Settings!$C$7)</f>
        <v/>
      </c>
      <c r="L446" s="7">
        <f>IF($U446="","",SUMIFS('Per Line'!$N$2:$N$3001,'Per Line'!$A$2:$A$3001,$A446,'Per Line'!$W$2:$W$3001,0))</f>
        <v/>
      </c>
      <c r="M446" s="7">
        <f>IF($U446="","",L446*K446)</f>
        <v/>
      </c>
      <c r="N446">
        <f>IF($U446="","",Settings!$C$6)</f>
        <v/>
      </c>
      <c r="O446" s="7">
        <f>IF($U446="","",SUMIFS('Per Line'!$N$2:$N$3001,'Per Line'!$A$2:$A$3001,$A446,'Per Line'!$W$2:$W$3001,1))</f>
        <v/>
      </c>
      <c r="P446" s="7">
        <f>IF($U446="","",O446*N446)</f>
        <v/>
      </c>
      <c r="Q446" s="7">
        <f>IF($U446="","",P446+M446)</f>
        <v/>
      </c>
      <c r="R446" s="7">
        <f>IF($U446="","",S446-Q446)</f>
        <v/>
      </c>
      <c r="S446" s="7">
        <f>IF($U446="","",L446+O446)</f>
        <v/>
      </c>
      <c r="T446" s="7">
        <f>IF($U446="","",S446-Q446-G446)</f>
        <v/>
      </c>
      <c r="U446" s="13">
        <f>IF(ROWS($U$2:$U446)&lt;=MAX('Per Line'!$V$2:$V$3001),MATCH(ROWS($U$2:$U446),'Per Line'!$V$2:$V$3001,0),"")</f>
        <v/>
      </c>
    </row>
    <row r="447">
      <c r="A447">
        <f>IF($U447="","",INDEX('Per Line'!$A$2:$A$3001,$U447)&amp;"")</f>
        <v/>
      </c>
      <c r="B447" s="12" t="n"/>
      <c r="C447">
        <f>IF($U447="","",INDEX('Per Line'!$B$2:$B$3001,$U447)&amp;"")</f>
        <v/>
      </c>
      <c r="D447">
        <f>IF($U447="","",INDEX('Per Line'!$C$2:$C$3001,$U447)&amp;"")</f>
        <v/>
      </c>
      <c r="E447">
        <f>IF($U447="","",INDEX('Per Line'!$D$2:$D$3001,$U447)&amp;"")</f>
        <v/>
      </c>
      <c r="F447">
        <f>IF($U447="","",INDEX('Per Line'!$E$2:$E$3001,$U447))</f>
        <v/>
      </c>
      <c r="G447" s="7">
        <f>IF($U447="","",F447*S447/100)</f>
        <v/>
      </c>
      <c r="H447">
        <f>IF($U447="","",INDEX('Per Line'!$O$2:$O$3001,$U447)&amp;"")</f>
        <v/>
      </c>
      <c r="I447" s="11">
        <f>IF($U447="","",INDEX('Per Line'!$Q$2:$Q$3001,$U447))</f>
        <v/>
      </c>
      <c r="J447">
        <f>IF($U447="","",INDEX('Per Line'!$R$2:$R$3001,$U447)&amp;"")</f>
        <v/>
      </c>
      <c r="K447">
        <f>IF($U447="","",Settings!$C$7)</f>
        <v/>
      </c>
      <c r="L447" s="7">
        <f>IF($U447="","",SUMIFS('Per Line'!$N$2:$N$3001,'Per Line'!$A$2:$A$3001,$A447,'Per Line'!$W$2:$W$3001,0))</f>
        <v/>
      </c>
      <c r="M447" s="7">
        <f>IF($U447="","",L447*K447)</f>
        <v/>
      </c>
      <c r="N447">
        <f>IF($U447="","",Settings!$C$6)</f>
        <v/>
      </c>
      <c r="O447" s="7">
        <f>IF($U447="","",SUMIFS('Per Line'!$N$2:$N$3001,'Per Line'!$A$2:$A$3001,$A447,'Per Line'!$W$2:$W$3001,1))</f>
        <v/>
      </c>
      <c r="P447" s="7">
        <f>IF($U447="","",O447*N447)</f>
        <v/>
      </c>
      <c r="Q447" s="7">
        <f>IF($U447="","",P447+M447)</f>
        <v/>
      </c>
      <c r="R447" s="7">
        <f>IF($U447="","",S447-Q447)</f>
        <v/>
      </c>
      <c r="S447" s="7">
        <f>IF($U447="","",L447+O447)</f>
        <v/>
      </c>
      <c r="T447" s="7">
        <f>IF($U447="","",S447-Q447-G447)</f>
        <v/>
      </c>
      <c r="U447" s="13">
        <f>IF(ROWS($U$2:$U447)&lt;=MAX('Per Line'!$V$2:$V$3001),MATCH(ROWS($U$2:$U447),'Per Line'!$V$2:$V$3001,0),"")</f>
        <v/>
      </c>
    </row>
    <row r="448">
      <c r="A448">
        <f>IF($U448="","",INDEX('Per Line'!$A$2:$A$3001,$U448)&amp;"")</f>
        <v/>
      </c>
      <c r="B448" s="12" t="n"/>
      <c r="C448">
        <f>IF($U448="","",INDEX('Per Line'!$B$2:$B$3001,$U448)&amp;"")</f>
        <v/>
      </c>
      <c r="D448">
        <f>IF($U448="","",INDEX('Per Line'!$C$2:$C$3001,$U448)&amp;"")</f>
        <v/>
      </c>
      <c r="E448">
        <f>IF($U448="","",INDEX('Per Line'!$D$2:$D$3001,$U448)&amp;"")</f>
        <v/>
      </c>
      <c r="F448">
        <f>IF($U448="","",INDEX('Per Line'!$E$2:$E$3001,$U448))</f>
        <v/>
      </c>
      <c r="G448" s="7">
        <f>IF($U448="","",F448*S448/100)</f>
        <v/>
      </c>
      <c r="H448">
        <f>IF($U448="","",INDEX('Per Line'!$O$2:$O$3001,$U448)&amp;"")</f>
        <v/>
      </c>
      <c r="I448" s="11">
        <f>IF($U448="","",INDEX('Per Line'!$Q$2:$Q$3001,$U448))</f>
        <v/>
      </c>
      <c r="J448">
        <f>IF($U448="","",INDEX('Per Line'!$R$2:$R$3001,$U448)&amp;"")</f>
        <v/>
      </c>
      <c r="K448">
        <f>IF($U448="","",Settings!$C$7)</f>
        <v/>
      </c>
      <c r="L448" s="7">
        <f>IF($U448="","",SUMIFS('Per Line'!$N$2:$N$3001,'Per Line'!$A$2:$A$3001,$A448,'Per Line'!$W$2:$W$3001,0))</f>
        <v/>
      </c>
      <c r="M448" s="7">
        <f>IF($U448="","",L448*K448)</f>
        <v/>
      </c>
      <c r="N448">
        <f>IF($U448="","",Settings!$C$6)</f>
        <v/>
      </c>
      <c r="O448" s="7">
        <f>IF($U448="","",SUMIFS('Per Line'!$N$2:$N$3001,'Per Line'!$A$2:$A$3001,$A448,'Per Line'!$W$2:$W$3001,1))</f>
        <v/>
      </c>
      <c r="P448" s="7">
        <f>IF($U448="","",O448*N448)</f>
        <v/>
      </c>
      <c r="Q448" s="7">
        <f>IF($U448="","",P448+M448)</f>
        <v/>
      </c>
      <c r="R448" s="7">
        <f>IF($U448="","",S448-Q448)</f>
        <v/>
      </c>
      <c r="S448" s="7">
        <f>IF($U448="","",L448+O448)</f>
        <v/>
      </c>
      <c r="T448" s="7">
        <f>IF($U448="","",S448-Q448-G448)</f>
        <v/>
      </c>
      <c r="U448" s="13">
        <f>IF(ROWS($U$2:$U448)&lt;=MAX('Per Line'!$V$2:$V$3001),MATCH(ROWS($U$2:$U448),'Per Line'!$V$2:$V$3001,0),"")</f>
        <v/>
      </c>
    </row>
    <row r="449">
      <c r="A449">
        <f>IF($U449="","",INDEX('Per Line'!$A$2:$A$3001,$U449)&amp;"")</f>
        <v/>
      </c>
      <c r="B449" s="12" t="n"/>
      <c r="C449">
        <f>IF($U449="","",INDEX('Per Line'!$B$2:$B$3001,$U449)&amp;"")</f>
        <v/>
      </c>
      <c r="D449">
        <f>IF($U449="","",INDEX('Per Line'!$C$2:$C$3001,$U449)&amp;"")</f>
        <v/>
      </c>
      <c r="E449">
        <f>IF($U449="","",INDEX('Per Line'!$D$2:$D$3001,$U449)&amp;"")</f>
        <v/>
      </c>
      <c r="F449">
        <f>IF($U449="","",INDEX('Per Line'!$E$2:$E$3001,$U449))</f>
        <v/>
      </c>
      <c r="G449" s="7">
        <f>IF($U449="","",F449*S449/100)</f>
        <v/>
      </c>
      <c r="H449">
        <f>IF($U449="","",INDEX('Per Line'!$O$2:$O$3001,$U449)&amp;"")</f>
        <v/>
      </c>
      <c r="I449" s="11">
        <f>IF($U449="","",INDEX('Per Line'!$Q$2:$Q$3001,$U449))</f>
        <v/>
      </c>
      <c r="J449">
        <f>IF($U449="","",INDEX('Per Line'!$R$2:$R$3001,$U449)&amp;"")</f>
        <v/>
      </c>
      <c r="K449">
        <f>IF($U449="","",Settings!$C$7)</f>
        <v/>
      </c>
      <c r="L449" s="7">
        <f>IF($U449="","",SUMIFS('Per Line'!$N$2:$N$3001,'Per Line'!$A$2:$A$3001,$A449,'Per Line'!$W$2:$W$3001,0))</f>
        <v/>
      </c>
      <c r="M449" s="7">
        <f>IF($U449="","",L449*K449)</f>
        <v/>
      </c>
      <c r="N449">
        <f>IF($U449="","",Settings!$C$6)</f>
        <v/>
      </c>
      <c r="O449" s="7">
        <f>IF($U449="","",SUMIFS('Per Line'!$N$2:$N$3001,'Per Line'!$A$2:$A$3001,$A449,'Per Line'!$W$2:$W$3001,1))</f>
        <v/>
      </c>
      <c r="P449" s="7">
        <f>IF($U449="","",O449*N449)</f>
        <v/>
      </c>
      <c r="Q449" s="7">
        <f>IF($U449="","",P449+M449)</f>
        <v/>
      </c>
      <c r="R449" s="7">
        <f>IF($U449="","",S449-Q449)</f>
        <v/>
      </c>
      <c r="S449" s="7">
        <f>IF($U449="","",L449+O449)</f>
        <v/>
      </c>
      <c r="T449" s="7">
        <f>IF($U449="","",S449-Q449-G449)</f>
        <v/>
      </c>
      <c r="U449" s="13">
        <f>IF(ROWS($U$2:$U449)&lt;=MAX('Per Line'!$V$2:$V$3001),MATCH(ROWS($U$2:$U449),'Per Line'!$V$2:$V$3001,0),"")</f>
        <v/>
      </c>
    </row>
    <row r="450">
      <c r="A450">
        <f>IF($U450="","",INDEX('Per Line'!$A$2:$A$3001,$U450)&amp;"")</f>
        <v/>
      </c>
      <c r="B450" s="12" t="n"/>
      <c r="C450">
        <f>IF($U450="","",INDEX('Per Line'!$B$2:$B$3001,$U450)&amp;"")</f>
        <v/>
      </c>
      <c r="D450">
        <f>IF($U450="","",INDEX('Per Line'!$C$2:$C$3001,$U450)&amp;"")</f>
        <v/>
      </c>
      <c r="E450">
        <f>IF($U450="","",INDEX('Per Line'!$D$2:$D$3001,$U450)&amp;"")</f>
        <v/>
      </c>
      <c r="F450">
        <f>IF($U450="","",INDEX('Per Line'!$E$2:$E$3001,$U450))</f>
        <v/>
      </c>
      <c r="G450" s="7">
        <f>IF($U450="","",F450*S450/100)</f>
        <v/>
      </c>
      <c r="H450">
        <f>IF($U450="","",INDEX('Per Line'!$O$2:$O$3001,$U450)&amp;"")</f>
        <v/>
      </c>
      <c r="I450" s="11">
        <f>IF($U450="","",INDEX('Per Line'!$Q$2:$Q$3001,$U450))</f>
        <v/>
      </c>
      <c r="J450">
        <f>IF($U450="","",INDEX('Per Line'!$R$2:$R$3001,$U450)&amp;"")</f>
        <v/>
      </c>
      <c r="K450">
        <f>IF($U450="","",Settings!$C$7)</f>
        <v/>
      </c>
      <c r="L450" s="7">
        <f>IF($U450="","",SUMIFS('Per Line'!$N$2:$N$3001,'Per Line'!$A$2:$A$3001,$A450,'Per Line'!$W$2:$W$3001,0))</f>
        <v/>
      </c>
      <c r="M450" s="7">
        <f>IF($U450="","",L450*K450)</f>
        <v/>
      </c>
      <c r="N450">
        <f>IF($U450="","",Settings!$C$6)</f>
        <v/>
      </c>
      <c r="O450" s="7">
        <f>IF($U450="","",SUMIFS('Per Line'!$N$2:$N$3001,'Per Line'!$A$2:$A$3001,$A450,'Per Line'!$W$2:$W$3001,1))</f>
        <v/>
      </c>
      <c r="P450" s="7">
        <f>IF($U450="","",O450*N450)</f>
        <v/>
      </c>
      <c r="Q450" s="7">
        <f>IF($U450="","",P450+M450)</f>
        <v/>
      </c>
      <c r="R450" s="7">
        <f>IF($U450="","",S450-Q450)</f>
        <v/>
      </c>
      <c r="S450" s="7">
        <f>IF($U450="","",L450+O450)</f>
        <v/>
      </c>
      <c r="T450" s="7">
        <f>IF($U450="","",S450-Q450-G450)</f>
        <v/>
      </c>
      <c r="U450" s="13">
        <f>IF(ROWS($U$2:$U450)&lt;=MAX('Per Line'!$V$2:$V$3001),MATCH(ROWS($U$2:$U450),'Per Line'!$V$2:$V$3001,0),"")</f>
        <v/>
      </c>
    </row>
    <row r="451">
      <c r="A451">
        <f>IF($U451="","",INDEX('Per Line'!$A$2:$A$3001,$U451)&amp;"")</f>
        <v/>
      </c>
      <c r="B451" s="12" t="n"/>
      <c r="C451">
        <f>IF($U451="","",INDEX('Per Line'!$B$2:$B$3001,$U451)&amp;"")</f>
        <v/>
      </c>
      <c r="D451">
        <f>IF($U451="","",INDEX('Per Line'!$C$2:$C$3001,$U451)&amp;"")</f>
        <v/>
      </c>
      <c r="E451">
        <f>IF($U451="","",INDEX('Per Line'!$D$2:$D$3001,$U451)&amp;"")</f>
        <v/>
      </c>
      <c r="F451">
        <f>IF($U451="","",INDEX('Per Line'!$E$2:$E$3001,$U451))</f>
        <v/>
      </c>
      <c r="G451" s="7">
        <f>IF($U451="","",F451*S451/100)</f>
        <v/>
      </c>
      <c r="H451">
        <f>IF($U451="","",INDEX('Per Line'!$O$2:$O$3001,$U451)&amp;"")</f>
        <v/>
      </c>
      <c r="I451" s="11">
        <f>IF($U451="","",INDEX('Per Line'!$Q$2:$Q$3001,$U451))</f>
        <v/>
      </c>
      <c r="J451">
        <f>IF($U451="","",INDEX('Per Line'!$R$2:$R$3001,$U451)&amp;"")</f>
        <v/>
      </c>
      <c r="K451">
        <f>IF($U451="","",Settings!$C$7)</f>
        <v/>
      </c>
      <c r="L451" s="7">
        <f>IF($U451="","",SUMIFS('Per Line'!$N$2:$N$3001,'Per Line'!$A$2:$A$3001,$A451,'Per Line'!$W$2:$W$3001,0))</f>
        <v/>
      </c>
      <c r="M451" s="7">
        <f>IF($U451="","",L451*K451)</f>
        <v/>
      </c>
      <c r="N451">
        <f>IF($U451="","",Settings!$C$6)</f>
        <v/>
      </c>
      <c r="O451" s="7">
        <f>IF($U451="","",SUMIFS('Per Line'!$N$2:$N$3001,'Per Line'!$A$2:$A$3001,$A451,'Per Line'!$W$2:$W$3001,1))</f>
        <v/>
      </c>
      <c r="P451" s="7">
        <f>IF($U451="","",O451*N451)</f>
        <v/>
      </c>
      <c r="Q451" s="7">
        <f>IF($U451="","",P451+M451)</f>
        <v/>
      </c>
      <c r="R451" s="7">
        <f>IF($U451="","",S451-Q451)</f>
        <v/>
      </c>
      <c r="S451" s="7">
        <f>IF($U451="","",L451+O451)</f>
        <v/>
      </c>
      <c r="T451" s="7">
        <f>IF($U451="","",S451-Q451-G451)</f>
        <v/>
      </c>
      <c r="U451" s="13">
        <f>IF(ROWS($U$2:$U451)&lt;=MAX('Per Line'!$V$2:$V$3001),MATCH(ROWS($U$2:$U451),'Per Line'!$V$2:$V$3001,0),"")</f>
        <v/>
      </c>
    </row>
    <row r="452">
      <c r="A452">
        <f>IF($U452="","",INDEX('Per Line'!$A$2:$A$3001,$U452)&amp;"")</f>
        <v/>
      </c>
      <c r="B452" s="12" t="n"/>
      <c r="C452">
        <f>IF($U452="","",INDEX('Per Line'!$B$2:$B$3001,$U452)&amp;"")</f>
        <v/>
      </c>
      <c r="D452">
        <f>IF($U452="","",INDEX('Per Line'!$C$2:$C$3001,$U452)&amp;"")</f>
        <v/>
      </c>
      <c r="E452">
        <f>IF($U452="","",INDEX('Per Line'!$D$2:$D$3001,$U452)&amp;"")</f>
        <v/>
      </c>
      <c r="F452">
        <f>IF($U452="","",INDEX('Per Line'!$E$2:$E$3001,$U452))</f>
        <v/>
      </c>
      <c r="G452" s="7">
        <f>IF($U452="","",F452*S452/100)</f>
        <v/>
      </c>
      <c r="H452">
        <f>IF($U452="","",INDEX('Per Line'!$O$2:$O$3001,$U452)&amp;"")</f>
        <v/>
      </c>
      <c r="I452" s="11">
        <f>IF($U452="","",INDEX('Per Line'!$Q$2:$Q$3001,$U452))</f>
        <v/>
      </c>
      <c r="J452">
        <f>IF($U452="","",INDEX('Per Line'!$R$2:$R$3001,$U452)&amp;"")</f>
        <v/>
      </c>
      <c r="K452">
        <f>IF($U452="","",Settings!$C$7)</f>
        <v/>
      </c>
      <c r="L452" s="7">
        <f>IF($U452="","",SUMIFS('Per Line'!$N$2:$N$3001,'Per Line'!$A$2:$A$3001,$A452,'Per Line'!$W$2:$W$3001,0))</f>
        <v/>
      </c>
      <c r="M452" s="7">
        <f>IF($U452="","",L452*K452)</f>
        <v/>
      </c>
      <c r="N452">
        <f>IF($U452="","",Settings!$C$6)</f>
        <v/>
      </c>
      <c r="O452" s="7">
        <f>IF($U452="","",SUMIFS('Per Line'!$N$2:$N$3001,'Per Line'!$A$2:$A$3001,$A452,'Per Line'!$W$2:$W$3001,1))</f>
        <v/>
      </c>
      <c r="P452" s="7">
        <f>IF($U452="","",O452*N452)</f>
        <v/>
      </c>
      <c r="Q452" s="7">
        <f>IF($U452="","",P452+M452)</f>
        <v/>
      </c>
      <c r="R452" s="7">
        <f>IF($U452="","",S452-Q452)</f>
        <v/>
      </c>
      <c r="S452" s="7">
        <f>IF($U452="","",L452+O452)</f>
        <v/>
      </c>
      <c r="T452" s="7">
        <f>IF($U452="","",S452-Q452-G452)</f>
        <v/>
      </c>
      <c r="U452" s="13">
        <f>IF(ROWS($U$2:$U452)&lt;=MAX('Per Line'!$V$2:$V$3001),MATCH(ROWS($U$2:$U452),'Per Line'!$V$2:$V$3001,0),"")</f>
        <v/>
      </c>
    </row>
    <row r="453">
      <c r="A453">
        <f>IF($U453="","",INDEX('Per Line'!$A$2:$A$3001,$U453)&amp;"")</f>
        <v/>
      </c>
      <c r="B453" s="12" t="n"/>
      <c r="C453">
        <f>IF($U453="","",INDEX('Per Line'!$B$2:$B$3001,$U453)&amp;"")</f>
        <v/>
      </c>
      <c r="D453">
        <f>IF($U453="","",INDEX('Per Line'!$C$2:$C$3001,$U453)&amp;"")</f>
        <v/>
      </c>
      <c r="E453">
        <f>IF($U453="","",INDEX('Per Line'!$D$2:$D$3001,$U453)&amp;"")</f>
        <v/>
      </c>
      <c r="F453">
        <f>IF($U453="","",INDEX('Per Line'!$E$2:$E$3001,$U453))</f>
        <v/>
      </c>
      <c r="G453" s="7">
        <f>IF($U453="","",F453*S453/100)</f>
        <v/>
      </c>
      <c r="H453">
        <f>IF($U453="","",INDEX('Per Line'!$O$2:$O$3001,$U453)&amp;"")</f>
        <v/>
      </c>
      <c r="I453" s="11">
        <f>IF($U453="","",INDEX('Per Line'!$Q$2:$Q$3001,$U453))</f>
        <v/>
      </c>
      <c r="J453">
        <f>IF($U453="","",INDEX('Per Line'!$R$2:$R$3001,$U453)&amp;"")</f>
        <v/>
      </c>
      <c r="K453">
        <f>IF($U453="","",Settings!$C$7)</f>
        <v/>
      </c>
      <c r="L453" s="7">
        <f>IF($U453="","",SUMIFS('Per Line'!$N$2:$N$3001,'Per Line'!$A$2:$A$3001,$A453,'Per Line'!$W$2:$W$3001,0))</f>
        <v/>
      </c>
      <c r="M453" s="7">
        <f>IF($U453="","",L453*K453)</f>
        <v/>
      </c>
      <c r="N453">
        <f>IF($U453="","",Settings!$C$6)</f>
        <v/>
      </c>
      <c r="O453" s="7">
        <f>IF($U453="","",SUMIFS('Per Line'!$N$2:$N$3001,'Per Line'!$A$2:$A$3001,$A453,'Per Line'!$W$2:$W$3001,1))</f>
        <v/>
      </c>
      <c r="P453" s="7">
        <f>IF($U453="","",O453*N453)</f>
        <v/>
      </c>
      <c r="Q453" s="7">
        <f>IF($U453="","",P453+M453)</f>
        <v/>
      </c>
      <c r="R453" s="7">
        <f>IF($U453="","",S453-Q453)</f>
        <v/>
      </c>
      <c r="S453" s="7">
        <f>IF($U453="","",L453+O453)</f>
        <v/>
      </c>
      <c r="T453" s="7">
        <f>IF($U453="","",S453-Q453-G453)</f>
        <v/>
      </c>
      <c r="U453" s="13">
        <f>IF(ROWS($U$2:$U453)&lt;=MAX('Per Line'!$V$2:$V$3001),MATCH(ROWS($U$2:$U453),'Per Line'!$V$2:$V$3001,0),"")</f>
        <v/>
      </c>
    </row>
    <row r="454">
      <c r="A454">
        <f>IF($U454="","",INDEX('Per Line'!$A$2:$A$3001,$U454)&amp;"")</f>
        <v/>
      </c>
      <c r="B454" s="12" t="n"/>
      <c r="C454">
        <f>IF($U454="","",INDEX('Per Line'!$B$2:$B$3001,$U454)&amp;"")</f>
        <v/>
      </c>
      <c r="D454">
        <f>IF($U454="","",INDEX('Per Line'!$C$2:$C$3001,$U454)&amp;"")</f>
        <v/>
      </c>
      <c r="E454">
        <f>IF($U454="","",INDEX('Per Line'!$D$2:$D$3001,$U454)&amp;"")</f>
        <v/>
      </c>
      <c r="F454">
        <f>IF($U454="","",INDEX('Per Line'!$E$2:$E$3001,$U454))</f>
        <v/>
      </c>
      <c r="G454" s="7">
        <f>IF($U454="","",F454*S454/100)</f>
        <v/>
      </c>
      <c r="H454">
        <f>IF($U454="","",INDEX('Per Line'!$O$2:$O$3001,$U454)&amp;"")</f>
        <v/>
      </c>
      <c r="I454" s="11">
        <f>IF($U454="","",INDEX('Per Line'!$Q$2:$Q$3001,$U454))</f>
        <v/>
      </c>
      <c r="J454">
        <f>IF($U454="","",INDEX('Per Line'!$R$2:$R$3001,$U454)&amp;"")</f>
        <v/>
      </c>
      <c r="K454">
        <f>IF($U454="","",Settings!$C$7)</f>
        <v/>
      </c>
      <c r="L454" s="7">
        <f>IF($U454="","",SUMIFS('Per Line'!$N$2:$N$3001,'Per Line'!$A$2:$A$3001,$A454,'Per Line'!$W$2:$W$3001,0))</f>
        <v/>
      </c>
      <c r="M454" s="7">
        <f>IF($U454="","",L454*K454)</f>
        <v/>
      </c>
      <c r="N454">
        <f>IF($U454="","",Settings!$C$6)</f>
        <v/>
      </c>
      <c r="O454" s="7">
        <f>IF($U454="","",SUMIFS('Per Line'!$N$2:$N$3001,'Per Line'!$A$2:$A$3001,$A454,'Per Line'!$W$2:$W$3001,1))</f>
        <v/>
      </c>
      <c r="P454" s="7">
        <f>IF($U454="","",O454*N454)</f>
        <v/>
      </c>
      <c r="Q454" s="7">
        <f>IF($U454="","",P454+M454)</f>
        <v/>
      </c>
      <c r="R454" s="7">
        <f>IF($U454="","",S454-Q454)</f>
        <v/>
      </c>
      <c r="S454" s="7">
        <f>IF($U454="","",L454+O454)</f>
        <v/>
      </c>
      <c r="T454" s="7">
        <f>IF($U454="","",S454-Q454-G454)</f>
        <v/>
      </c>
      <c r="U454" s="13">
        <f>IF(ROWS($U$2:$U454)&lt;=MAX('Per Line'!$V$2:$V$3001),MATCH(ROWS($U$2:$U454),'Per Line'!$V$2:$V$3001,0),"")</f>
        <v/>
      </c>
    </row>
    <row r="455">
      <c r="A455">
        <f>IF($U455="","",INDEX('Per Line'!$A$2:$A$3001,$U455)&amp;"")</f>
        <v/>
      </c>
      <c r="B455" s="12" t="n"/>
      <c r="C455">
        <f>IF($U455="","",INDEX('Per Line'!$B$2:$B$3001,$U455)&amp;"")</f>
        <v/>
      </c>
      <c r="D455">
        <f>IF($U455="","",INDEX('Per Line'!$C$2:$C$3001,$U455)&amp;"")</f>
        <v/>
      </c>
      <c r="E455">
        <f>IF($U455="","",INDEX('Per Line'!$D$2:$D$3001,$U455)&amp;"")</f>
        <v/>
      </c>
      <c r="F455">
        <f>IF($U455="","",INDEX('Per Line'!$E$2:$E$3001,$U455))</f>
        <v/>
      </c>
      <c r="G455" s="7">
        <f>IF($U455="","",F455*S455/100)</f>
        <v/>
      </c>
      <c r="H455">
        <f>IF($U455="","",INDEX('Per Line'!$O$2:$O$3001,$U455)&amp;"")</f>
        <v/>
      </c>
      <c r="I455" s="11">
        <f>IF($U455="","",INDEX('Per Line'!$Q$2:$Q$3001,$U455))</f>
        <v/>
      </c>
      <c r="J455">
        <f>IF($U455="","",INDEX('Per Line'!$R$2:$R$3001,$U455)&amp;"")</f>
        <v/>
      </c>
      <c r="K455">
        <f>IF($U455="","",Settings!$C$7)</f>
        <v/>
      </c>
      <c r="L455" s="7">
        <f>IF($U455="","",SUMIFS('Per Line'!$N$2:$N$3001,'Per Line'!$A$2:$A$3001,$A455,'Per Line'!$W$2:$W$3001,0))</f>
        <v/>
      </c>
      <c r="M455" s="7">
        <f>IF($U455="","",L455*K455)</f>
        <v/>
      </c>
      <c r="N455">
        <f>IF($U455="","",Settings!$C$6)</f>
        <v/>
      </c>
      <c r="O455" s="7">
        <f>IF($U455="","",SUMIFS('Per Line'!$N$2:$N$3001,'Per Line'!$A$2:$A$3001,$A455,'Per Line'!$W$2:$W$3001,1))</f>
        <v/>
      </c>
      <c r="P455" s="7">
        <f>IF($U455="","",O455*N455)</f>
        <v/>
      </c>
      <c r="Q455" s="7">
        <f>IF($U455="","",P455+M455)</f>
        <v/>
      </c>
      <c r="R455" s="7">
        <f>IF($U455="","",S455-Q455)</f>
        <v/>
      </c>
      <c r="S455" s="7">
        <f>IF($U455="","",L455+O455)</f>
        <v/>
      </c>
      <c r="T455" s="7">
        <f>IF($U455="","",S455-Q455-G455)</f>
        <v/>
      </c>
      <c r="U455" s="13">
        <f>IF(ROWS($U$2:$U455)&lt;=MAX('Per Line'!$V$2:$V$3001),MATCH(ROWS($U$2:$U455),'Per Line'!$V$2:$V$3001,0),"")</f>
        <v/>
      </c>
    </row>
    <row r="456">
      <c r="A456">
        <f>IF($U456="","",INDEX('Per Line'!$A$2:$A$3001,$U456)&amp;"")</f>
        <v/>
      </c>
      <c r="B456" s="12" t="n"/>
      <c r="C456">
        <f>IF($U456="","",INDEX('Per Line'!$B$2:$B$3001,$U456)&amp;"")</f>
        <v/>
      </c>
      <c r="D456">
        <f>IF($U456="","",INDEX('Per Line'!$C$2:$C$3001,$U456)&amp;"")</f>
        <v/>
      </c>
      <c r="E456">
        <f>IF($U456="","",INDEX('Per Line'!$D$2:$D$3001,$U456)&amp;"")</f>
        <v/>
      </c>
      <c r="F456">
        <f>IF($U456="","",INDEX('Per Line'!$E$2:$E$3001,$U456))</f>
        <v/>
      </c>
      <c r="G456" s="7">
        <f>IF($U456="","",F456*S456/100)</f>
        <v/>
      </c>
      <c r="H456">
        <f>IF($U456="","",INDEX('Per Line'!$O$2:$O$3001,$U456)&amp;"")</f>
        <v/>
      </c>
      <c r="I456" s="11">
        <f>IF($U456="","",INDEX('Per Line'!$Q$2:$Q$3001,$U456))</f>
        <v/>
      </c>
      <c r="J456">
        <f>IF($U456="","",INDEX('Per Line'!$R$2:$R$3001,$U456)&amp;"")</f>
        <v/>
      </c>
      <c r="K456">
        <f>IF($U456="","",Settings!$C$7)</f>
        <v/>
      </c>
      <c r="L456" s="7">
        <f>IF($U456="","",SUMIFS('Per Line'!$N$2:$N$3001,'Per Line'!$A$2:$A$3001,$A456,'Per Line'!$W$2:$W$3001,0))</f>
        <v/>
      </c>
      <c r="M456" s="7">
        <f>IF($U456="","",L456*K456)</f>
        <v/>
      </c>
      <c r="N456">
        <f>IF($U456="","",Settings!$C$6)</f>
        <v/>
      </c>
      <c r="O456" s="7">
        <f>IF($U456="","",SUMIFS('Per Line'!$N$2:$N$3001,'Per Line'!$A$2:$A$3001,$A456,'Per Line'!$W$2:$W$3001,1))</f>
        <v/>
      </c>
      <c r="P456" s="7">
        <f>IF($U456="","",O456*N456)</f>
        <v/>
      </c>
      <c r="Q456" s="7">
        <f>IF($U456="","",P456+M456)</f>
        <v/>
      </c>
      <c r="R456" s="7">
        <f>IF($U456="","",S456-Q456)</f>
        <v/>
      </c>
      <c r="S456" s="7">
        <f>IF($U456="","",L456+O456)</f>
        <v/>
      </c>
      <c r="T456" s="7">
        <f>IF($U456="","",S456-Q456-G456)</f>
        <v/>
      </c>
      <c r="U456" s="13">
        <f>IF(ROWS($U$2:$U456)&lt;=MAX('Per Line'!$V$2:$V$3001),MATCH(ROWS($U$2:$U456),'Per Line'!$V$2:$V$3001,0),"")</f>
        <v/>
      </c>
    </row>
    <row r="457">
      <c r="A457">
        <f>IF($U457="","",INDEX('Per Line'!$A$2:$A$3001,$U457)&amp;"")</f>
        <v/>
      </c>
      <c r="B457" s="12" t="n"/>
      <c r="C457">
        <f>IF($U457="","",INDEX('Per Line'!$B$2:$B$3001,$U457)&amp;"")</f>
        <v/>
      </c>
      <c r="D457">
        <f>IF($U457="","",INDEX('Per Line'!$C$2:$C$3001,$U457)&amp;"")</f>
        <v/>
      </c>
      <c r="E457">
        <f>IF($U457="","",INDEX('Per Line'!$D$2:$D$3001,$U457)&amp;"")</f>
        <v/>
      </c>
      <c r="F457">
        <f>IF($U457="","",INDEX('Per Line'!$E$2:$E$3001,$U457))</f>
        <v/>
      </c>
      <c r="G457" s="7">
        <f>IF($U457="","",F457*S457/100)</f>
        <v/>
      </c>
      <c r="H457">
        <f>IF($U457="","",INDEX('Per Line'!$O$2:$O$3001,$U457)&amp;"")</f>
        <v/>
      </c>
      <c r="I457" s="11">
        <f>IF($U457="","",INDEX('Per Line'!$Q$2:$Q$3001,$U457))</f>
        <v/>
      </c>
      <c r="J457">
        <f>IF($U457="","",INDEX('Per Line'!$R$2:$R$3001,$U457)&amp;"")</f>
        <v/>
      </c>
      <c r="K457">
        <f>IF($U457="","",Settings!$C$7)</f>
        <v/>
      </c>
      <c r="L457" s="7">
        <f>IF($U457="","",SUMIFS('Per Line'!$N$2:$N$3001,'Per Line'!$A$2:$A$3001,$A457,'Per Line'!$W$2:$W$3001,0))</f>
        <v/>
      </c>
      <c r="M457" s="7">
        <f>IF($U457="","",L457*K457)</f>
        <v/>
      </c>
      <c r="N457">
        <f>IF($U457="","",Settings!$C$6)</f>
        <v/>
      </c>
      <c r="O457" s="7">
        <f>IF($U457="","",SUMIFS('Per Line'!$N$2:$N$3001,'Per Line'!$A$2:$A$3001,$A457,'Per Line'!$W$2:$W$3001,1))</f>
        <v/>
      </c>
      <c r="P457" s="7">
        <f>IF($U457="","",O457*N457)</f>
        <v/>
      </c>
      <c r="Q457" s="7">
        <f>IF($U457="","",P457+M457)</f>
        <v/>
      </c>
      <c r="R457" s="7">
        <f>IF($U457="","",S457-Q457)</f>
        <v/>
      </c>
      <c r="S457" s="7">
        <f>IF($U457="","",L457+O457)</f>
        <v/>
      </c>
      <c r="T457" s="7">
        <f>IF($U457="","",S457-Q457-G457)</f>
        <v/>
      </c>
      <c r="U457" s="13">
        <f>IF(ROWS($U$2:$U457)&lt;=MAX('Per Line'!$V$2:$V$3001),MATCH(ROWS($U$2:$U457),'Per Line'!$V$2:$V$3001,0),"")</f>
        <v/>
      </c>
    </row>
    <row r="458">
      <c r="A458">
        <f>IF($U458="","",INDEX('Per Line'!$A$2:$A$3001,$U458)&amp;"")</f>
        <v/>
      </c>
      <c r="B458" s="12" t="n"/>
      <c r="C458">
        <f>IF($U458="","",INDEX('Per Line'!$B$2:$B$3001,$U458)&amp;"")</f>
        <v/>
      </c>
      <c r="D458">
        <f>IF($U458="","",INDEX('Per Line'!$C$2:$C$3001,$U458)&amp;"")</f>
        <v/>
      </c>
      <c r="E458">
        <f>IF($U458="","",INDEX('Per Line'!$D$2:$D$3001,$U458)&amp;"")</f>
        <v/>
      </c>
      <c r="F458">
        <f>IF($U458="","",INDEX('Per Line'!$E$2:$E$3001,$U458))</f>
        <v/>
      </c>
      <c r="G458" s="7">
        <f>IF($U458="","",F458*S458/100)</f>
        <v/>
      </c>
      <c r="H458">
        <f>IF($U458="","",INDEX('Per Line'!$O$2:$O$3001,$U458)&amp;"")</f>
        <v/>
      </c>
      <c r="I458" s="11">
        <f>IF($U458="","",INDEX('Per Line'!$Q$2:$Q$3001,$U458))</f>
        <v/>
      </c>
      <c r="J458">
        <f>IF($U458="","",INDEX('Per Line'!$R$2:$R$3001,$U458)&amp;"")</f>
        <v/>
      </c>
      <c r="K458">
        <f>IF($U458="","",Settings!$C$7)</f>
        <v/>
      </c>
      <c r="L458" s="7">
        <f>IF($U458="","",SUMIFS('Per Line'!$N$2:$N$3001,'Per Line'!$A$2:$A$3001,$A458,'Per Line'!$W$2:$W$3001,0))</f>
        <v/>
      </c>
      <c r="M458" s="7">
        <f>IF($U458="","",L458*K458)</f>
        <v/>
      </c>
      <c r="N458">
        <f>IF($U458="","",Settings!$C$6)</f>
        <v/>
      </c>
      <c r="O458" s="7">
        <f>IF($U458="","",SUMIFS('Per Line'!$N$2:$N$3001,'Per Line'!$A$2:$A$3001,$A458,'Per Line'!$W$2:$W$3001,1))</f>
        <v/>
      </c>
      <c r="P458" s="7">
        <f>IF($U458="","",O458*N458)</f>
        <v/>
      </c>
      <c r="Q458" s="7">
        <f>IF($U458="","",P458+M458)</f>
        <v/>
      </c>
      <c r="R458" s="7">
        <f>IF($U458="","",S458-Q458)</f>
        <v/>
      </c>
      <c r="S458" s="7">
        <f>IF($U458="","",L458+O458)</f>
        <v/>
      </c>
      <c r="T458" s="7">
        <f>IF($U458="","",S458-Q458-G458)</f>
        <v/>
      </c>
      <c r="U458" s="13">
        <f>IF(ROWS($U$2:$U458)&lt;=MAX('Per Line'!$V$2:$V$3001),MATCH(ROWS($U$2:$U458),'Per Line'!$V$2:$V$3001,0),"")</f>
        <v/>
      </c>
    </row>
    <row r="459">
      <c r="A459">
        <f>IF($U459="","",INDEX('Per Line'!$A$2:$A$3001,$U459)&amp;"")</f>
        <v/>
      </c>
      <c r="B459" s="12" t="n"/>
      <c r="C459">
        <f>IF($U459="","",INDEX('Per Line'!$B$2:$B$3001,$U459)&amp;"")</f>
        <v/>
      </c>
      <c r="D459">
        <f>IF($U459="","",INDEX('Per Line'!$C$2:$C$3001,$U459)&amp;"")</f>
        <v/>
      </c>
      <c r="E459">
        <f>IF($U459="","",INDEX('Per Line'!$D$2:$D$3001,$U459)&amp;"")</f>
        <v/>
      </c>
      <c r="F459">
        <f>IF($U459="","",INDEX('Per Line'!$E$2:$E$3001,$U459))</f>
        <v/>
      </c>
      <c r="G459" s="7">
        <f>IF($U459="","",F459*S459/100)</f>
        <v/>
      </c>
      <c r="H459">
        <f>IF($U459="","",INDEX('Per Line'!$O$2:$O$3001,$U459)&amp;"")</f>
        <v/>
      </c>
      <c r="I459" s="11">
        <f>IF($U459="","",INDEX('Per Line'!$Q$2:$Q$3001,$U459))</f>
        <v/>
      </c>
      <c r="J459">
        <f>IF($U459="","",INDEX('Per Line'!$R$2:$R$3001,$U459)&amp;"")</f>
        <v/>
      </c>
      <c r="K459">
        <f>IF($U459="","",Settings!$C$7)</f>
        <v/>
      </c>
      <c r="L459" s="7">
        <f>IF($U459="","",SUMIFS('Per Line'!$N$2:$N$3001,'Per Line'!$A$2:$A$3001,$A459,'Per Line'!$W$2:$W$3001,0))</f>
        <v/>
      </c>
      <c r="M459" s="7">
        <f>IF($U459="","",L459*K459)</f>
        <v/>
      </c>
      <c r="N459">
        <f>IF($U459="","",Settings!$C$6)</f>
        <v/>
      </c>
      <c r="O459" s="7">
        <f>IF($U459="","",SUMIFS('Per Line'!$N$2:$N$3001,'Per Line'!$A$2:$A$3001,$A459,'Per Line'!$W$2:$W$3001,1))</f>
        <v/>
      </c>
      <c r="P459" s="7">
        <f>IF($U459="","",O459*N459)</f>
        <v/>
      </c>
      <c r="Q459" s="7">
        <f>IF($U459="","",P459+M459)</f>
        <v/>
      </c>
      <c r="R459" s="7">
        <f>IF($U459="","",S459-Q459)</f>
        <v/>
      </c>
      <c r="S459" s="7">
        <f>IF($U459="","",L459+O459)</f>
        <v/>
      </c>
      <c r="T459" s="7">
        <f>IF($U459="","",S459-Q459-G459)</f>
        <v/>
      </c>
      <c r="U459" s="13">
        <f>IF(ROWS($U$2:$U459)&lt;=MAX('Per Line'!$V$2:$V$3001),MATCH(ROWS($U$2:$U459),'Per Line'!$V$2:$V$3001,0),"")</f>
        <v/>
      </c>
    </row>
    <row r="460">
      <c r="A460">
        <f>IF($U460="","",INDEX('Per Line'!$A$2:$A$3001,$U460)&amp;"")</f>
        <v/>
      </c>
      <c r="B460" s="12" t="n"/>
      <c r="C460">
        <f>IF($U460="","",INDEX('Per Line'!$B$2:$B$3001,$U460)&amp;"")</f>
        <v/>
      </c>
      <c r="D460">
        <f>IF($U460="","",INDEX('Per Line'!$C$2:$C$3001,$U460)&amp;"")</f>
        <v/>
      </c>
      <c r="E460">
        <f>IF($U460="","",INDEX('Per Line'!$D$2:$D$3001,$U460)&amp;"")</f>
        <v/>
      </c>
      <c r="F460">
        <f>IF($U460="","",INDEX('Per Line'!$E$2:$E$3001,$U460))</f>
        <v/>
      </c>
      <c r="G460" s="7">
        <f>IF($U460="","",F460*S460/100)</f>
        <v/>
      </c>
      <c r="H460">
        <f>IF($U460="","",INDEX('Per Line'!$O$2:$O$3001,$U460)&amp;"")</f>
        <v/>
      </c>
      <c r="I460" s="11">
        <f>IF($U460="","",INDEX('Per Line'!$Q$2:$Q$3001,$U460))</f>
        <v/>
      </c>
      <c r="J460">
        <f>IF($U460="","",INDEX('Per Line'!$R$2:$R$3001,$U460)&amp;"")</f>
        <v/>
      </c>
      <c r="K460">
        <f>IF($U460="","",Settings!$C$7)</f>
        <v/>
      </c>
      <c r="L460" s="7">
        <f>IF($U460="","",SUMIFS('Per Line'!$N$2:$N$3001,'Per Line'!$A$2:$A$3001,$A460,'Per Line'!$W$2:$W$3001,0))</f>
        <v/>
      </c>
      <c r="M460" s="7">
        <f>IF($U460="","",L460*K460)</f>
        <v/>
      </c>
      <c r="N460">
        <f>IF($U460="","",Settings!$C$6)</f>
        <v/>
      </c>
      <c r="O460" s="7">
        <f>IF($U460="","",SUMIFS('Per Line'!$N$2:$N$3001,'Per Line'!$A$2:$A$3001,$A460,'Per Line'!$W$2:$W$3001,1))</f>
        <v/>
      </c>
      <c r="P460" s="7">
        <f>IF($U460="","",O460*N460)</f>
        <v/>
      </c>
      <c r="Q460" s="7">
        <f>IF($U460="","",P460+M460)</f>
        <v/>
      </c>
      <c r="R460" s="7">
        <f>IF($U460="","",S460-Q460)</f>
        <v/>
      </c>
      <c r="S460" s="7">
        <f>IF($U460="","",L460+O460)</f>
        <v/>
      </c>
      <c r="T460" s="7">
        <f>IF($U460="","",S460-Q460-G460)</f>
        <v/>
      </c>
      <c r="U460" s="13">
        <f>IF(ROWS($U$2:$U460)&lt;=MAX('Per Line'!$V$2:$V$3001),MATCH(ROWS($U$2:$U460),'Per Line'!$V$2:$V$3001,0),"")</f>
        <v/>
      </c>
    </row>
    <row r="461">
      <c r="A461">
        <f>IF($U461="","",INDEX('Per Line'!$A$2:$A$3001,$U461)&amp;"")</f>
        <v/>
      </c>
      <c r="B461" s="12" t="n"/>
      <c r="C461">
        <f>IF($U461="","",INDEX('Per Line'!$B$2:$B$3001,$U461)&amp;"")</f>
        <v/>
      </c>
      <c r="D461">
        <f>IF($U461="","",INDEX('Per Line'!$C$2:$C$3001,$U461)&amp;"")</f>
        <v/>
      </c>
      <c r="E461">
        <f>IF($U461="","",INDEX('Per Line'!$D$2:$D$3001,$U461)&amp;"")</f>
        <v/>
      </c>
      <c r="F461">
        <f>IF($U461="","",INDEX('Per Line'!$E$2:$E$3001,$U461))</f>
        <v/>
      </c>
      <c r="G461" s="7">
        <f>IF($U461="","",F461*S461/100)</f>
        <v/>
      </c>
      <c r="H461">
        <f>IF($U461="","",INDEX('Per Line'!$O$2:$O$3001,$U461)&amp;"")</f>
        <v/>
      </c>
      <c r="I461" s="11">
        <f>IF($U461="","",INDEX('Per Line'!$Q$2:$Q$3001,$U461))</f>
        <v/>
      </c>
      <c r="J461">
        <f>IF($U461="","",INDEX('Per Line'!$R$2:$R$3001,$U461)&amp;"")</f>
        <v/>
      </c>
      <c r="K461">
        <f>IF($U461="","",Settings!$C$7)</f>
        <v/>
      </c>
      <c r="L461" s="7">
        <f>IF($U461="","",SUMIFS('Per Line'!$N$2:$N$3001,'Per Line'!$A$2:$A$3001,$A461,'Per Line'!$W$2:$W$3001,0))</f>
        <v/>
      </c>
      <c r="M461" s="7">
        <f>IF($U461="","",L461*K461)</f>
        <v/>
      </c>
      <c r="N461">
        <f>IF($U461="","",Settings!$C$6)</f>
        <v/>
      </c>
      <c r="O461" s="7">
        <f>IF($U461="","",SUMIFS('Per Line'!$N$2:$N$3001,'Per Line'!$A$2:$A$3001,$A461,'Per Line'!$W$2:$W$3001,1))</f>
        <v/>
      </c>
      <c r="P461" s="7">
        <f>IF($U461="","",O461*N461)</f>
        <v/>
      </c>
      <c r="Q461" s="7">
        <f>IF($U461="","",P461+M461)</f>
        <v/>
      </c>
      <c r="R461" s="7">
        <f>IF($U461="","",S461-Q461)</f>
        <v/>
      </c>
      <c r="S461" s="7">
        <f>IF($U461="","",L461+O461)</f>
        <v/>
      </c>
      <c r="T461" s="7">
        <f>IF($U461="","",S461-Q461-G461)</f>
        <v/>
      </c>
      <c r="U461" s="13">
        <f>IF(ROWS($U$2:$U461)&lt;=MAX('Per Line'!$V$2:$V$3001),MATCH(ROWS($U$2:$U461),'Per Line'!$V$2:$V$3001,0),"")</f>
        <v/>
      </c>
    </row>
    <row r="462">
      <c r="A462">
        <f>IF($U462="","",INDEX('Per Line'!$A$2:$A$3001,$U462)&amp;"")</f>
        <v/>
      </c>
      <c r="B462" s="12" t="n"/>
      <c r="C462">
        <f>IF($U462="","",INDEX('Per Line'!$B$2:$B$3001,$U462)&amp;"")</f>
        <v/>
      </c>
      <c r="D462">
        <f>IF($U462="","",INDEX('Per Line'!$C$2:$C$3001,$U462)&amp;"")</f>
        <v/>
      </c>
      <c r="E462">
        <f>IF($U462="","",INDEX('Per Line'!$D$2:$D$3001,$U462)&amp;"")</f>
        <v/>
      </c>
      <c r="F462">
        <f>IF($U462="","",INDEX('Per Line'!$E$2:$E$3001,$U462))</f>
        <v/>
      </c>
      <c r="G462" s="7">
        <f>IF($U462="","",F462*S462/100)</f>
        <v/>
      </c>
      <c r="H462">
        <f>IF($U462="","",INDEX('Per Line'!$O$2:$O$3001,$U462)&amp;"")</f>
        <v/>
      </c>
      <c r="I462" s="11">
        <f>IF($U462="","",INDEX('Per Line'!$Q$2:$Q$3001,$U462))</f>
        <v/>
      </c>
      <c r="J462">
        <f>IF($U462="","",INDEX('Per Line'!$R$2:$R$3001,$U462)&amp;"")</f>
        <v/>
      </c>
      <c r="K462">
        <f>IF($U462="","",Settings!$C$7)</f>
        <v/>
      </c>
      <c r="L462" s="7">
        <f>IF($U462="","",SUMIFS('Per Line'!$N$2:$N$3001,'Per Line'!$A$2:$A$3001,$A462,'Per Line'!$W$2:$W$3001,0))</f>
        <v/>
      </c>
      <c r="M462" s="7">
        <f>IF($U462="","",L462*K462)</f>
        <v/>
      </c>
      <c r="N462">
        <f>IF($U462="","",Settings!$C$6)</f>
        <v/>
      </c>
      <c r="O462" s="7">
        <f>IF($U462="","",SUMIFS('Per Line'!$N$2:$N$3001,'Per Line'!$A$2:$A$3001,$A462,'Per Line'!$W$2:$W$3001,1))</f>
        <v/>
      </c>
      <c r="P462" s="7">
        <f>IF($U462="","",O462*N462)</f>
        <v/>
      </c>
      <c r="Q462" s="7">
        <f>IF($U462="","",P462+M462)</f>
        <v/>
      </c>
      <c r="R462" s="7">
        <f>IF($U462="","",S462-Q462)</f>
        <v/>
      </c>
      <c r="S462" s="7">
        <f>IF($U462="","",L462+O462)</f>
        <v/>
      </c>
      <c r="T462" s="7">
        <f>IF($U462="","",S462-Q462-G462)</f>
        <v/>
      </c>
      <c r="U462" s="13">
        <f>IF(ROWS($U$2:$U462)&lt;=MAX('Per Line'!$V$2:$V$3001),MATCH(ROWS($U$2:$U462),'Per Line'!$V$2:$V$3001,0),"")</f>
        <v/>
      </c>
    </row>
    <row r="463">
      <c r="A463">
        <f>IF($U463="","",INDEX('Per Line'!$A$2:$A$3001,$U463)&amp;"")</f>
        <v/>
      </c>
      <c r="B463" s="12" t="n"/>
      <c r="C463">
        <f>IF($U463="","",INDEX('Per Line'!$B$2:$B$3001,$U463)&amp;"")</f>
        <v/>
      </c>
      <c r="D463">
        <f>IF($U463="","",INDEX('Per Line'!$C$2:$C$3001,$U463)&amp;"")</f>
        <v/>
      </c>
      <c r="E463">
        <f>IF($U463="","",INDEX('Per Line'!$D$2:$D$3001,$U463)&amp;"")</f>
        <v/>
      </c>
      <c r="F463">
        <f>IF($U463="","",INDEX('Per Line'!$E$2:$E$3001,$U463))</f>
        <v/>
      </c>
      <c r="G463" s="7">
        <f>IF($U463="","",F463*S463/100)</f>
        <v/>
      </c>
      <c r="H463">
        <f>IF($U463="","",INDEX('Per Line'!$O$2:$O$3001,$U463)&amp;"")</f>
        <v/>
      </c>
      <c r="I463" s="11">
        <f>IF($U463="","",INDEX('Per Line'!$Q$2:$Q$3001,$U463))</f>
        <v/>
      </c>
      <c r="J463">
        <f>IF($U463="","",INDEX('Per Line'!$R$2:$R$3001,$U463)&amp;"")</f>
        <v/>
      </c>
      <c r="K463">
        <f>IF($U463="","",Settings!$C$7)</f>
        <v/>
      </c>
      <c r="L463" s="7">
        <f>IF($U463="","",SUMIFS('Per Line'!$N$2:$N$3001,'Per Line'!$A$2:$A$3001,$A463,'Per Line'!$W$2:$W$3001,0))</f>
        <v/>
      </c>
      <c r="M463" s="7">
        <f>IF($U463="","",L463*K463)</f>
        <v/>
      </c>
      <c r="N463">
        <f>IF($U463="","",Settings!$C$6)</f>
        <v/>
      </c>
      <c r="O463" s="7">
        <f>IF($U463="","",SUMIFS('Per Line'!$N$2:$N$3001,'Per Line'!$A$2:$A$3001,$A463,'Per Line'!$W$2:$W$3001,1))</f>
        <v/>
      </c>
      <c r="P463" s="7">
        <f>IF($U463="","",O463*N463)</f>
        <v/>
      </c>
      <c r="Q463" s="7">
        <f>IF($U463="","",P463+M463)</f>
        <v/>
      </c>
      <c r="R463" s="7">
        <f>IF($U463="","",S463-Q463)</f>
        <v/>
      </c>
      <c r="S463" s="7">
        <f>IF($U463="","",L463+O463)</f>
        <v/>
      </c>
      <c r="T463" s="7">
        <f>IF($U463="","",S463-Q463-G463)</f>
        <v/>
      </c>
      <c r="U463" s="13">
        <f>IF(ROWS($U$2:$U463)&lt;=MAX('Per Line'!$V$2:$V$3001),MATCH(ROWS($U$2:$U463),'Per Line'!$V$2:$V$3001,0),"")</f>
        <v/>
      </c>
    </row>
    <row r="464">
      <c r="A464">
        <f>IF($U464="","",INDEX('Per Line'!$A$2:$A$3001,$U464)&amp;"")</f>
        <v/>
      </c>
      <c r="B464" s="12" t="n"/>
      <c r="C464">
        <f>IF($U464="","",INDEX('Per Line'!$B$2:$B$3001,$U464)&amp;"")</f>
        <v/>
      </c>
      <c r="D464">
        <f>IF($U464="","",INDEX('Per Line'!$C$2:$C$3001,$U464)&amp;"")</f>
        <v/>
      </c>
      <c r="E464">
        <f>IF($U464="","",INDEX('Per Line'!$D$2:$D$3001,$U464)&amp;"")</f>
        <v/>
      </c>
      <c r="F464">
        <f>IF($U464="","",INDEX('Per Line'!$E$2:$E$3001,$U464))</f>
        <v/>
      </c>
      <c r="G464" s="7">
        <f>IF($U464="","",F464*S464/100)</f>
        <v/>
      </c>
      <c r="H464">
        <f>IF($U464="","",INDEX('Per Line'!$O$2:$O$3001,$U464)&amp;"")</f>
        <v/>
      </c>
      <c r="I464" s="11">
        <f>IF($U464="","",INDEX('Per Line'!$Q$2:$Q$3001,$U464))</f>
        <v/>
      </c>
      <c r="J464">
        <f>IF($U464="","",INDEX('Per Line'!$R$2:$R$3001,$U464)&amp;"")</f>
        <v/>
      </c>
      <c r="K464">
        <f>IF($U464="","",Settings!$C$7)</f>
        <v/>
      </c>
      <c r="L464" s="7">
        <f>IF($U464="","",SUMIFS('Per Line'!$N$2:$N$3001,'Per Line'!$A$2:$A$3001,$A464,'Per Line'!$W$2:$W$3001,0))</f>
        <v/>
      </c>
      <c r="M464" s="7">
        <f>IF($U464="","",L464*K464)</f>
        <v/>
      </c>
      <c r="N464">
        <f>IF($U464="","",Settings!$C$6)</f>
        <v/>
      </c>
      <c r="O464" s="7">
        <f>IF($U464="","",SUMIFS('Per Line'!$N$2:$N$3001,'Per Line'!$A$2:$A$3001,$A464,'Per Line'!$W$2:$W$3001,1))</f>
        <v/>
      </c>
      <c r="P464" s="7">
        <f>IF($U464="","",O464*N464)</f>
        <v/>
      </c>
      <c r="Q464" s="7">
        <f>IF($U464="","",P464+M464)</f>
        <v/>
      </c>
      <c r="R464" s="7">
        <f>IF($U464="","",S464-Q464)</f>
        <v/>
      </c>
      <c r="S464" s="7">
        <f>IF($U464="","",L464+O464)</f>
        <v/>
      </c>
      <c r="T464" s="7">
        <f>IF($U464="","",S464-Q464-G464)</f>
        <v/>
      </c>
      <c r="U464" s="13">
        <f>IF(ROWS($U$2:$U464)&lt;=MAX('Per Line'!$V$2:$V$3001),MATCH(ROWS($U$2:$U464),'Per Line'!$V$2:$V$3001,0),"")</f>
        <v/>
      </c>
    </row>
    <row r="465">
      <c r="A465">
        <f>IF($U465="","",INDEX('Per Line'!$A$2:$A$3001,$U465)&amp;"")</f>
        <v/>
      </c>
      <c r="B465" s="12" t="n"/>
      <c r="C465">
        <f>IF($U465="","",INDEX('Per Line'!$B$2:$B$3001,$U465)&amp;"")</f>
        <v/>
      </c>
      <c r="D465">
        <f>IF($U465="","",INDEX('Per Line'!$C$2:$C$3001,$U465)&amp;"")</f>
        <v/>
      </c>
      <c r="E465">
        <f>IF($U465="","",INDEX('Per Line'!$D$2:$D$3001,$U465)&amp;"")</f>
        <v/>
      </c>
      <c r="F465">
        <f>IF($U465="","",INDEX('Per Line'!$E$2:$E$3001,$U465))</f>
        <v/>
      </c>
      <c r="G465" s="7">
        <f>IF($U465="","",F465*S465/100)</f>
        <v/>
      </c>
      <c r="H465">
        <f>IF($U465="","",INDEX('Per Line'!$O$2:$O$3001,$U465)&amp;"")</f>
        <v/>
      </c>
      <c r="I465" s="11">
        <f>IF($U465="","",INDEX('Per Line'!$Q$2:$Q$3001,$U465))</f>
        <v/>
      </c>
      <c r="J465">
        <f>IF($U465="","",INDEX('Per Line'!$R$2:$R$3001,$U465)&amp;"")</f>
        <v/>
      </c>
      <c r="K465">
        <f>IF($U465="","",Settings!$C$7)</f>
        <v/>
      </c>
      <c r="L465" s="7">
        <f>IF($U465="","",SUMIFS('Per Line'!$N$2:$N$3001,'Per Line'!$A$2:$A$3001,$A465,'Per Line'!$W$2:$W$3001,0))</f>
        <v/>
      </c>
      <c r="M465" s="7">
        <f>IF($U465="","",L465*K465)</f>
        <v/>
      </c>
      <c r="N465">
        <f>IF($U465="","",Settings!$C$6)</f>
        <v/>
      </c>
      <c r="O465" s="7">
        <f>IF($U465="","",SUMIFS('Per Line'!$N$2:$N$3001,'Per Line'!$A$2:$A$3001,$A465,'Per Line'!$W$2:$W$3001,1))</f>
        <v/>
      </c>
      <c r="P465" s="7">
        <f>IF($U465="","",O465*N465)</f>
        <v/>
      </c>
      <c r="Q465" s="7">
        <f>IF($U465="","",P465+M465)</f>
        <v/>
      </c>
      <c r="R465" s="7">
        <f>IF($U465="","",S465-Q465)</f>
        <v/>
      </c>
      <c r="S465" s="7">
        <f>IF($U465="","",L465+O465)</f>
        <v/>
      </c>
      <c r="T465" s="7">
        <f>IF($U465="","",S465-Q465-G465)</f>
        <v/>
      </c>
      <c r="U465" s="13">
        <f>IF(ROWS($U$2:$U465)&lt;=MAX('Per Line'!$V$2:$V$3001),MATCH(ROWS($U$2:$U465),'Per Line'!$V$2:$V$3001,0),"")</f>
        <v/>
      </c>
    </row>
    <row r="466">
      <c r="A466">
        <f>IF($U466="","",INDEX('Per Line'!$A$2:$A$3001,$U466)&amp;"")</f>
        <v/>
      </c>
      <c r="B466" s="12" t="n"/>
      <c r="C466">
        <f>IF($U466="","",INDEX('Per Line'!$B$2:$B$3001,$U466)&amp;"")</f>
        <v/>
      </c>
      <c r="D466">
        <f>IF($U466="","",INDEX('Per Line'!$C$2:$C$3001,$U466)&amp;"")</f>
        <v/>
      </c>
      <c r="E466">
        <f>IF($U466="","",INDEX('Per Line'!$D$2:$D$3001,$U466)&amp;"")</f>
        <v/>
      </c>
      <c r="F466">
        <f>IF($U466="","",INDEX('Per Line'!$E$2:$E$3001,$U466))</f>
        <v/>
      </c>
      <c r="G466" s="7">
        <f>IF($U466="","",F466*S466/100)</f>
        <v/>
      </c>
      <c r="H466">
        <f>IF($U466="","",INDEX('Per Line'!$O$2:$O$3001,$U466)&amp;"")</f>
        <v/>
      </c>
      <c r="I466" s="11">
        <f>IF($U466="","",INDEX('Per Line'!$Q$2:$Q$3001,$U466))</f>
        <v/>
      </c>
      <c r="J466">
        <f>IF($U466="","",INDEX('Per Line'!$R$2:$R$3001,$U466)&amp;"")</f>
        <v/>
      </c>
      <c r="K466">
        <f>IF($U466="","",Settings!$C$7)</f>
        <v/>
      </c>
      <c r="L466" s="7">
        <f>IF($U466="","",SUMIFS('Per Line'!$N$2:$N$3001,'Per Line'!$A$2:$A$3001,$A466,'Per Line'!$W$2:$W$3001,0))</f>
        <v/>
      </c>
      <c r="M466" s="7">
        <f>IF($U466="","",L466*K466)</f>
        <v/>
      </c>
      <c r="N466">
        <f>IF($U466="","",Settings!$C$6)</f>
        <v/>
      </c>
      <c r="O466" s="7">
        <f>IF($U466="","",SUMIFS('Per Line'!$N$2:$N$3001,'Per Line'!$A$2:$A$3001,$A466,'Per Line'!$W$2:$W$3001,1))</f>
        <v/>
      </c>
      <c r="P466" s="7">
        <f>IF($U466="","",O466*N466)</f>
        <v/>
      </c>
      <c r="Q466" s="7">
        <f>IF($U466="","",P466+M466)</f>
        <v/>
      </c>
      <c r="R466" s="7">
        <f>IF($U466="","",S466-Q466)</f>
        <v/>
      </c>
      <c r="S466" s="7">
        <f>IF($U466="","",L466+O466)</f>
        <v/>
      </c>
      <c r="T466" s="7">
        <f>IF($U466="","",S466-Q466-G466)</f>
        <v/>
      </c>
      <c r="U466" s="13">
        <f>IF(ROWS($U$2:$U466)&lt;=MAX('Per Line'!$V$2:$V$3001),MATCH(ROWS($U$2:$U466),'Per Line'!$V$2:$V$3001,0),"")</f>
        <v/>
      </c>
    </row>
    <row r="467">
      <c r="A467">
        <f>IF($U467="","",INDEX('Per Line'!$A$2:$A$3001,$U467)&amp;"")</f>
        <v/>
      </c>
      <c r="B467" s="12" t="n"/>
      <c r="C467">
        <f>IF($U467="","",INDEX('Per Line'!$B$2:$B$3001,$U467)&amp;"")</f>
        <v/>
      </c>
      <c r="D467">
        <f>IF($U467="","",INDEX('Per Line'!$C$2:$C$3001,$U467)&amp;"")</f>
        <v/>
      </c>
      <c r="E467">
        <f>IF($U467="","",INDEX('Per Line'!$D$2:$D$3001,$U467)&amp;"")</f>
        <v/>
      </c>
      <c r="F467">
        <f>IF($U467="","",INDEX('Per Line'!$E$2:$E$3001,$U467))</f>
        <v/>
      </c>
      <c r="G467" s="7">
        <f>IF($U467="","",F467*S467/100)</f>
        <v/>
      </c>
      <c r="H467">
        <f>IF($U467="","",INDEX('Per Line'!$O$2:$O$3001,$U467)&amp;"")</f>
        <v/>
      </c>
      <c r="I467" s="11">
        <f>IF($U467="","",INDEX('Per Line'!$Q$2:$Q$3001,$U467))</f>
        <v/>
      </c>
      <c r="J467">
        <f>IF($U467="","",INDEX('Per Line'!$R$2:$R$3001,$U467)&amp;"")</f>
        <v/>
      </c>
      <c r="K467">
        <f>IF($U467="","",Settings!$C$7)</f>
        <v/>
      </c>
      <c r="L467" s="7">
        <f>IF($U467="","",SUMIFS('Per Line'!$N$2:$N$3001,'Per Line'!$A$2:$A$3001,$A467,'Per Line'!$W$2:$W$3001,0))</f>
        <v/>
      </c>
      <c r="M467" s="7">
        <f>IF($U467="","",L467*K467)</f>
        <v/>
      </c>
      <c r="N467">
        <f>IF($U467="","",Settings!$C$6)</f>
        <v/>
      </c>
      <c r="O467" s="7">
        <f>IF($U467="","",SUMIFS('Per Line'!$N$2:$N$3001,'Per Line'!$A$2:$A$3001,$A467,'Per Line'!$W$2:$W$3001,1))</f>
        <v/>
      </c>
      <c r="P467" s="7">
        <f>IF($U467="","",O467*N467)</f>
        <v/>
      </c>
      <c r="Q467" s="7">
        <f>IF($U467="","",P467+M467)</f>
        <v/>
      </c>
      <c r="R467" s="7">
        <f>IF($U467="","",S467-Q467)</f>
        <v/>
      </c>
      <c r="S467" s="7">
        <f>IF($U467="","",L467+O467)</f>
        <v/>
      </c>
      <c r="T467" s="7">
        <f>IF($U467="","",S467-Q467-G467)</f>
        <v/>
      </c>
      <c r="U467" s="13">
        <f>IF(ROWS($U$2:$U467)&lt;=MAX('Per Line'!$V$2:$V$3001),MATCH(ROWS($U$2:$U467),'Per Line'!$V$2:$V$3001,0),"")</f>
        <v/>
      </c>
    </row>
    <row r="468">
      <c r="A468">
        <f>IF($U468="","",INDEX('Per Line'!$A$2:$A$3001,$U468)&amp;"")</f>
        <v/>
      </c>
      <c r="B468" s="12" t="n"/>
      <c r="C468">
        <f>IF($U468="","",INDEX('Per Line'!$B$2:$B$3001,$U468)&amp;"")</f>
        <v/>
      </c>
      <c r="D468">
        <f>IF($U468="","",INDEX('Per Line'!$C$2:$C$3001,$U468)&amp;"")</f>
        <v/>
      </c>
      <c r="E468">
        <f>IF($U468="","",INDEX('Per Line'!$D$2:$D$3001,$U468)&amp;"")</f>
        <v/>
      </c>
      <c r="F468">
        <f>IF($U468="","",INDEX('Per Line'!$E$2:$E$3001,$U468))</f>
        <v/>
      </c>
      <c r="G468" s="7">
        <f>IF($U468="","",F468*S468/100)</f>
        <v/>
      </c>
      <c r="H468">
        <f>IF($U468="","",INDEX('Per Line'!$O$2:$O$3001,$U468)&amp;"")</f>
        <v/>
      </c>
      <c r="I468" s="11">
        <f>IF($U468="","",INDEX('Per Line'!$Q$2:$Q$3001,$U468))</f>
        <v/>
      </c>
      <c r="J468">
        <f>IF($U468="","",INDEX('Per Line'!$R$2:$R$3001,$U468)&amp;"")</f>
        <v/>
      </c>
      <c r="K468">
        <f>IF($U468="","",Settings!$C$7)</f>
        <v/>
      </c>
      <c r="L468" s="7">
        <f>IF($U468="","",SUMIFS('Per Line'!$N$2:$N$3001,'Per Line'!$A$2:$A$3001,$A468,'Per Line'!$W$2:$W$3001,0))</f>
        <v/>
      </c>
      <c r="M468" s="7">
        <f>IF($U468="","",L468*K468)</f>
        <v/>
      </c>
      <c r="N468">
        <f>IF($U468="","",Settings!$C$6)</f>
        <v/>
      </c>
      <c r="O468" s="7">
        <f>IF($U468="","",SUMIFS('Per Line'!$N$2:$N$3001,'Per Line'!$A$2:$A$3001,$A468,'Per Line'!$W$2:$W$3001,1))</f>
        <v/>
      </c>
      <c r="P468" s="7">
        <f>IF($U468="","",O468*N468)</f>
        <v/>
      </c>
      <c r="Q468" s="7">
        <f>IF($U468="","",P468+M468)</f>
        <v/>
      </c>
      <c r="R468" s="7">
        <f>IF($U468="","",S468-Q468)</f>
        <v/>
      </c>
      <c r="S468" s="7">
        <f>IF($U468="","",L468+O468)</f>
        <v/>
      </c>
      <c r="T468" s="7">
        <f>IF($U468="","",S468-Q468-G468)</f>
        <v/>
      </c>
      <c r="U468" s="13">
        <f>IF(ROWS($U$2:$U468)&lt;=MAX('Per Line'!$V$2:$V$3001),MATCH(ROWS($U$2:$U468),'Per Line'!$V$2:$V$3001,0),"")</f>
        <v/>
      </c>
    </row>
    <row r="469">
      <c r="A469">
        <f>IF($U469="","",INDEX('Per Line'!$A$2:$A$3001,$U469)&amp;"")</f>
        <v/>
      </c>
      <c r="B469" s="12" t="n"/>
      <c r="C469">
        <f>IF($U469="","",INDEX('Per Line'!$B$2:$B$3001,$U469)&amp;"")</f>
        <v/>
      </c>
      <c r="D469">
        <f>IF($U469="","",INDEX('Per Line'!$C$2:$C$3001,$U469)&amp;"")</f>
        <v/>
      </c>
      <c r="E469">
        <f>IF($U469="","",INDEX('Per Line'!$D$2:$D$3001,$U469)&amp;"")</f>
        <v/>
      </c>
      <c r="F469">
        <f>IF($U469="","",INDEX('Per Line'!$E$2:$E$3001,$U469))</f>
        <v/>
      </c>
      <c r="G469" s="7">
        <f>IF($U469="","",F469*S469/100)</f>
        <v/>
      </c>
      <c r="H469">
        <f>IF($U469="","",INDEX('Per Line'!$O$2:$O$3001,$U469)&amp;"")</f>
        <v/>
      </c>
      <c r="I469" s="11">
        <f>IF($U469="","",INDEX('Per Line'!$Q$2:$Q$3001,$U469))</f>
        <v/>
      </c>
      <c r="J469">
        <f>IF($U469="","",INDEX('Per Line'!$R$2:$R$3001,$U469)&amp;"")</f>
        <v/>
      </c>
      <c r="K469">
        <f>IF($U469="","",Settings!$C$7)</f>
        <v/>
      </c>
      <c r="L469" s="7">
        <f>IF($U469="","",SUMIFS('Per Line'!$N$2:$N$3001,'Per Line'!$A$2:$A$3001,$A469,'Per Line'!$W$2:$W$3001,0))</f>
        <v/>
      </c>
      <c r="M469" s="7">
        <f>IF($U469="","",L469*K469)</f>
        <v/>
      </c>
      <c r="N469">
        <f>IF($U469="","",Settings!$C$6)</f>
        <v/>
      </c>
      <c r="O469" s="7">
        <f>IF($U469="","",SUMIFS('Per Line'!$N$2:$N$3001,'Per Line'!$A$2:$A$3001,$A469,'Per Line'!$W$2:$W$3001,1))</f>
        <v/>
      </c>
      <c r="P469" s="7">
        <f>IF($U469="","",O469*N469)</f>
        <v/>
      </c>
      <c r="Q469" s="7">
        <f>IF($U469="","",P469+M469)</f>
        <v/>
      </c>
      <c r="R469" s="7">
        <f>IF($U469="","",S469-Q469)</f>
        <v/>
      </c>
      <c r="S469" s="7">
        <f>IF($U469="","",L469+O469)</f>
        <v/>
      </c>
      <c r="T469" s="7">
        <f>IF($U469="","",S469-Q469-G469)</f>
        <v/>
      </c>
      <c r="U469" s="13">
        <f>IF(ROWS($U$2:$U469)&lt;=MAX('Per Line'!$V$2:$V$3001),MATCH(ROWS($U$2:$U469),'Per Line'!$V$2:$V$3001,0),"")</f>
        <v/>
      </c>
    </row>
    <row r="470">
      <c r="A470">
        <f>IF($U470="","",INDEX('Per Line'!$A$2:$A$3001,$U470)&amp;"")</f>
        <v/>
      </c>
      <c r="B470" s="12" t="n"/>
      <c r="C470">
        <f>IF($U470="","",INDEX('Per Line'!$B$2:$B$3001,$U470)&amp;"")</f>
        <v/>
      </c>
      <c r="D470">
        <f>IF($U470="","",INDEX('Per Line'!$C$2:$C$3001,$U470)&amp;"")</f>
        <v/>
      </c>
      <c r="E470">
        <f>IF($U470="","",INDEX('Per Line'!$D$2:$D$3001,$U470)&amp;"")</f>
        <v/>
      </c>
      <c r="F470">
        <f>IF($U470="","",INDEX('Per Line'!$E$2:$E$3001,$U470))</f>
        <v/>
      </c>
      <c r="G470" s="7">
        <f>IF($U470="","",F470*S470/100)</f>
        <v/>
      </c>
      <c r="H470">
        <f>IF($U470="","",INDEX('Per Line'!$O$2:$O$3001,$U470)&amp;"")</f>
        <v/>
      </c>
      <c r="I470" s="11">
        <f>IF($U470="","",INDEX('Per Line'!$Q$2:$Q$3001,$U470))</f>
        <v/>
      </c>
      <c r="J470">
        <f>IF($U470="","",INDEX('Per Line'!$R$2:$R$3001,$U470)&amp;"")</f>
        <v/>
      </c>
      <c r="K470">
        <f>IF($U470="","",Settings!$C$7)</f>
        <v/>
      </c>
      <c r="L470" s="7">
        <f>IF($U470="","",SUMIFS('Per Line'!$N$2:$N$3001,'Per Line'!$A$2:$A$3001,$A470,'Per Line'!$W$2:$W$3001,0))</f>
        <v/>
      </c>
      <c r="M470" s="7">
        <f>IF($U470="","",L470*K470)</f>
        <v/>
      </c>
      <c r="N470">
        <f>IF($U470="","",Settings!$C$6)</f>
        <v/>
      </c>
      <c r="O470" s="7">
        <f>IF($U470="","",SUMIFS('Per Line'!$N$2:$N$3001,'Per Line'!$A$2:$A$3001,$A470,'Per Line'!$W$2:$W$3001,1))</f>
        <v/>
      </c>
      <c r="P470" s="7">
        <f>IF($U470="","",O470*N470)</f>
        <v/>
      </c>
      <c r="Q470" s="7">
        <f>IF($U470="","",P470+M470)</f>
        <v/>
      </c>
      <c r="R470" s="7">
        <f>IF($U470="","",S470-Q470)</f>
        <v/>
      </c>
      <c r="S470" s="7">
        <f>IF($U470="","",L470+O470)</f>
        <v/>
      </c>
      <c r="T470" s="7">
        <f>IF($U470="","",S470-Q470-G470)</f>
        <v/>
      </c>
      <c r="U470" s="13">
        <f>IF(ROWS($U$2:$U470)&lt;=MAX('Per Line'!$V$2:$V$3001),MATCH(ROWS($U$2:$U470),'Per Line'!$V$2:$V$3001,0),"")</f>
        <v/>
      </c>
    </row>
    <row r="471">
      <c r="A471">
        <f>IF($U471="","",INDEX('Per Line'!$A$2:$A$3001,$U471)&amp;"")</f>
        <v/>
      </c>
      <c r="B471" s="12" t="n"/>
      <c r="C471">
        <f>IF($U471="","",INDEX('Per Line'!$B$2:$B$3001,$U471)&amp;"")</f>
        <v/>
      </c>
      <c r="D471">
        <f>IF($U471="","",INDEX('Per Line'!$C$2:$C$3001,$U471)&amp;"")</f>
        <v/>
      </c>
      <c r="E471">
        <f>IF($U471="","",INDEX('Per Line'!$D$2:$D$3001,$U471)&amp;"")</f>
        <v/>
      </c>
      <c r="F471">
        <f>IF($U471="","",INDEX('Per Line'!$E$2:$E$3001,$U471))</f>
        <v/>
      </c>
      <c r="G471" s="7">
        <f>IF($U471="","",F471*S471/100)</f>
        <v/>
      </c>
      <c r="H471">
        <f>IF($U471="","",INDEX('Per Line'!$O$2:$O$3001,$U471)&amp;"")</f>
        <v/>
      </c>
      <c r="I471" s="11">
        <f>IF($U471="","",INDEX('Per Line'!$Q$2:$Q$3001,$U471))</f>
        <v/>
      </c>
      <c r="J471">
        <f>IF($U471="","",INDEX('Per Line'!$R$2:$R$3001,$U471)&amp;"")</f>
        <v/>
      </c>
      <c r="K471">
        <f>IF($U471="","",Settings!$C$7)</f>
        <v/>
      </c>
      <c r="L471" s="7">
        <f>IF($U471="","",SUMIFS('Per Line'!$N$2:$N$3001,'Per Line'!$A$2:$A$3001,$A471,'Per Line'!$W$2:$W$3001,0))</f>
        <v/>
      </c>
      <c r="M471" s="7">
        <f>IF($U471="","",L471*K471)</f>
        <v/>
      </c>
      <c r="N471">
        <f>IF($U471="","",Settings!$C$6)</f>
        <v/>
      </c>
      <c r="O471" s="7">
        <f>IF($U471="","",SUMIFS('Per Line'!$N$2:$N$3001,'Per Line'!$A$2:$A$3001,$A471,'Per Line'!$W$2:$W$3001,1))</f>
        <v/>
      </c>
      <c r="P471" s="7">
        <f>IF($U471="","",O471*N471)</f>
        <v/>
      </c>
      <c r="Q471" s="7">
        <f>IF($U471="","",P471+M471)</f>
        <v/>
      </c>
      <c r="R471" s="7">
        <f>IF($U471="","",S471-Q471)</f>
        <v/>
      </c>
      <c r="S471" s="7">
        <f>IF($U471="","",L471+O471)</f>
        <v/>
      </c>
      <c r="T471" s="7">
        <f>IF($U471="","",S471-Q471-G471)</f>
        <v/>
      </c>
      <c r="U471" s="13">
        <f>IF(ROWS($U$2:$U471)&lt;=MAX('Per Line'!$V$2:$V$3001),MATCH(ROWS($U$2:$U471),'Per Line'!$V$2:$V$3001,0),"")</f>
        <v/>
      </c>
    </row>
    <row r="472">
      <c r="A472">
        <f>IF($U472="","",INDEX('Per Line'!$A$2:$A$3001,$U472)&amp;"")</f>
        <v/>
      </c>
      <c r="B472" s="12" t="n"/>
      <c r="C472">
        <f>IF($U472="","",INDEX('Per Line'!$B$2:$B$3001,$U472)&amp;"")</f>
        <v/>
      </c>
      <c r="D472">
        <f>IF($U472="","",INDEX('Per Line'!$C$2:$C$3001,$U472)&amp;"")</f>
        <v/>
      </c>
      <c r="E472">
        <f>IF($U472="","",INDEX('Per Line'!$D$2:$D$3001,$U472)&amp;"")</f>
        <v/>
      </c>
      <c r="F472">
        <f>IF($U472="","",INDEX('Per Line'!$E$2:$E$3001,$U472))</f>
        <v/>
      </c>
      <c r="G472" s="7">
        <f>IF($U472="","",F472*S472/100)</f>
        <v/>
      </c>
      <c r="H472">
        <f>IF($U472="","",INDEX('Per Line'!$O$2:$O$3001,$U472)&amp;"")</f>
        <v/>
      </c>
      <c r="I472" s="11">
        <f>IF($U472="","",INDEX('Per Line'!$Q$2:$Q$3001,$U472))</f>
        <v/>
      </c>
      <c r="J472">
        <f>IF($U472="","",INDEX('Per Line'!$R$2:$R$3001,$U472)&amp;"")</f>
        <v/>
      </c>
      <c r="K472">
        <f>IF($U472="","",Settings!$C$7)</f>
        <v/>
      </c>
      <c r="L472" s="7">
        <f>IF($U472="","",SUMIFS('Per Line'!$N$2:$N$3001,'Per Line'!$A$2:$A$3001,$A472,'Per Line'!$W$2:$W$3001,0))</f>
        <v/>
      </c>
      <c r="M472" s="7">
        <f>IF($U472="","",L472*K472)</f>
        <v/>
      </c>
      <c r="N472">
        <f>IF($U472="","",Settings!$C$6)</f>
        <v/>
      </c>
      <c r="O472" s="7">
        <f>IF($U472="","",SUMIFS('Per Line'!$N$2:$N$3001,'Per Line'!$A$2:$A$3001,$A472,'Per Line'!$W$2:$W$3001,1))</f>
        <v/>
      </c>
      <c r="P472" s="7">
        <f>IF($U472="","",O472*N472)</f>
        <v/>
      </c>
      <c r="Q472" s="7">
        <f>IF($U472="","",P472+M472)</f>
        <v/>
      </c>
      <c r="R472" s="7">
        <f>IF($U472="","",S472-Q472)</f>
        <v/>
      </c>
      <c r="S472" s="7">
        <f>IF($U472="","",L472+O472)</f>
        <v/>
      </c>
      <c r="T472" s="7">
        <f>IF($U472="","",S472-Q472-G472)</f>
        <v/>
      </c>
      <c r="U472" s="13">
        <f>IF(ROWS($U$2:$U472)&lt;=MAX('Per Line'!$V$2:$V$3001),MATCH(ROWS($U$2:$U472),'Per Line'!$V$2:$V$3001,0),"")</f>
        <v/>
      </c>
    </row>
    <row r="473">
      <c r="A473">
        <f>IF($U473="","",INDEX('Per Line'!$A$2:$A$3001,$U473)&amp;"")</f>
        <v/>
      </c>
      <c r="B473" s="12" t="n"/>
      <c r="C473">
        <f>IF($U473="","",INDEX('Per Line'!$B$2:$B$3001,$U473)&amp;"")</f>
        <v/>
      </c>
      <c r="D473">
        <f>IF($U473="","",INDEX('Per Line'!$C$2:$C$3001,$U473)&amp;"")</f>
        <v/>
      </c>
      <c r="E473">
        <f>IF($U473="","",INDEX('Per Line'!$D$2:$D$3001,$U473)&amp;"")</f>
        <v/>
      </c>
      <c r="F473">
        <f>IF($U473="","",INDEX('Per Line'!$E$2:$E$3001,$U473))</f>
        <v/>
      </c>
      <c r="G473" s="7">
        <f>IF($U473="","",F473*S473/100)</f>
        <v/>
      </c>
      <c r="H473">
        <f>IF($U473="","",INDEX('Per Line'!$O$2:$O$3001,$U473)&amp;"")</f>
        <v/>
      </c>
      <c r="I473" s="11">
        <f>IF($U473="","",INDEX('Per Line'!$Q$2:$Q$3001,$U473))</f>
        <v/>
      </c>
      <c r="J473">
        <f>IF($U473="","",INDEX('Per Line'!$R$2:$R$3001,$U473)&amp;"")</f>
        <v/>
      </c>
      <c r="K473">
        <f>IF($U473="","",Settings!$C$7)</f>
        <v/>
      </c>
      <c r="L473" s="7">
        <f>IF($U473="","",SUMIFS('Per Line'!$N$2:$N$3001,'Per Line'!$A$2:$A$3001,$A473,'Per Line'!$W$2:$W$3001,0))</f>
        <v/>
      </c>
      <c r="M473" s="7">
        <f>IF($U473="","",L473*K473)</f>
        <v/>
      </c>
      <c r="N473">
        <f>IF($U473="","",Settings!$C$6)</f>
        <v/>
      </c>
      <c r="O473" s="7">
        <f>IF($U473="","",SUMIFS('Per Line'!$N$2:$N$3001,'Per Line'!$A$2:$A$3001,$A473,'Per Line'!$W$2:$W$3001,1))</f>
        <v/>
      </c>
      <c r="P473" s="7">
        <f>IF($U473="","",O473*N473)</f>
        <v/>
      </c>
      <c r="Q473" s="7">
        <f>IF($U473="","",P473+M473)</f>
        <v/>
      </c>
      <c r="R473" s="7">
        <f>IF($U473="","",S473-Q473)</f>
        <v/>
      </c>
      <c r="S473" s="7">
        <f>IF($U473="","",L473+O473)</f>
        <v/>
      </c>
      <c r="T473" s="7">
        <f>IF($U473="","",S473-Q473-G473)</f>
        <v/>
      </c>
      <c r="U473" s="13">
        <f>IF(ROWS($U$2:$U473)&lt;=MAX('Per Line'!$V$2:$V$3001),MATCH(ROWS($U$2:$U473),'Per Line'!$V$2:$V$3001,0),"")</f>
        <v/>
      </c>
    </row>
    <row r="474">
      <c r="A474">
        <f>IF($U474="","",INDEX('Per Line'!$A$2:$A$3001,$U474)&amp;"")</f>
        <v/>
      </c>
      <c r="B474" s="12" t="n"/>
      <c r="C474">
        <f>IF($U474="","",INDEX('Per Line'!$B$2:$B$3001,$U474)&amp;"")</f>
        <v/>
      </c>
      <c r="D474">
        <f>IF($U474="","",INDEX('Per Line'!$C$2:$C$3001,$U474)&amp;"")</f>
        <v/>
      </c>
      <c r="E474">
        <f>IF($U474="","",INDEX('Per Line'!$D$2:$D$3001,$U474)&amp;"")</f>
        <v/>
      </c>
      <c r="F474">
        <f>IF($U474="","",INDEX('Per Line'!$E$2:$E$3001,$U474))</f>
        <v/>
      </c>
      <c r="G474" s="7">
        <f>IF($U474="","",F474*S474/100)</f>
        <v/>
      </c>
      <c r="H474">
        <f>IF($U474="","",INDEX('Per Line'!$O$2:$O$3001,$U474)&amp;"")</f>
        <v/>
      </c>
      <c r="I474" s="11">
        <f>IF($U474="","",INDEX('Per Line'!$Q$2:$Q$3001,$U474))</f>
        <v/>
      </c>
      <c r="J474">
        <f>IF($U474="","",INDEX('Per Line'!$R$2:$R$3001,$U474)&amp;"")</f>
        <v/>
      </c>
      <c r="K474">
        <f>IF($U474="","",Settings!$C$7)</f>
        <v/>
      </c>
      <c r="L474" s="7">
        <f>IF($U474="","",SUMIFS('Per Line'!$N$2:$N$3001,'Per Line'!$A$2:$A$3001,$A474,'Per Line'!$W$2:$W$3001,0))</f>
        <v/>
      </c>
      <c r="M474" s="7">
        <f>IF($U474="","",L474*K474)</f>
        <v/>
      </c>
      <c r="N474">
        <f>IF($U474="","",Settings!$C$6)</f>
        <v/>
      </c>
      <c r="O474" s="7">
        <f>IF($U474="","",SUMIFS('Per Line'!$N$2:$N$3001,'Per Line'!$A$2:$A$3001,$A474,'Per Line'!$W$2:$W$3001,1))</f>
        <v/>
      </c>
      <c r="P474" s="7">
        <f>IF($U474="","",O474*N474)</f>
        <v/>
      </c>
      <c r="Q474" s="7">
        <f>IF($U474="","",P474+M474)</f>
        <v/>
      </c>
      <c r="R474" s="7">
        <f>IF($U474="","",S474-Q474)</f>
        <v/>
      </c>
      <c r="S474" s="7">
        <f>IF($U474="","",L474+O474)</f>
        <v/>
      </c>
      <c r="T474" s="7">
        <f>IF($U474="","",S474-Q474-G474)</f>
        <v/>
      </c>
      <c r="U474" s="13">
        <f>IF(ROWS($U$2:$U474)&lt;=MAX('Per Line'!$V$2:$V$3001),MATCH(ROWS($U$2:$U474),'Per Line'!$V$2:$V$3001,0),"")</f>
        <v/>
      </c>
    </row>
    <row r="475">
      <c r="A475">
        <f>IF($U475="","",INDEX('Per Line'!$A$2:$A$3001,$U475)&amp;"")</f>
        <v/>
      </c>
      <c r="B475" s="12" t="n"/>
      <c r="C475">
        <f>IF($U475="","",INDEX('Per Line'!$B$2:$B$3001,$U475)&amp;"")</f>
        <v/>
      </c>
      <c r="D475">
        <f>IF($U475="","",INDEX('Per Line'!$C$2:$C$3001,$U475)&amp;"")</f>
        <v/>
      </c>
      <c r="E475">
        <f>IF($U475="","",INDEX('Per Line'!$D$2:$D$3001,$U475)&amp;"")</f>
        <v/>
      </c>
      <c r="F475">
        <f>IF($U475="","",INDEX('Per Line'!$E$2:$E$3001,$U475))</f>
        <v/>
      </c>
      <c r="G475" s="7">
        <f>IF($U475="","",F475*S475/100)</f>
        <v/>
      </c>
      <c r="H475">
        <f>IF($U475="","",INDEX('Per Line'!$O$2:$O$3001,$U475)&amp;"")</f>
        <v/>
      </c>
      <c r="I475" s="11">
        <f>IF($U475="","",INDEX('Per Line'!$Q$2:$Q$3001,$U475))</f>
        <v/>
      </c>
      <c r="J475">
        <f>IF($U475="","",INDEX('Per Line'!$R$2:$R$3001,$U475)&amp;"")</f>
        <v/>
      </c>
      <c r="K475">
        <f>IF($U475="","",Settings!$C$7)</f>
        <v/>
      </c>
      <c r="L475" s="7">
        <f>IF($U475="","",SUMIFS('Per Line'!$N$2:$N$3001,'Per Line'!$A$2:$A$3001,$A475,'Per Line'!$W$2:$W$3001,0))</f>
        <v/>
      </c>
      <c r="M475" s="7">
        <f>IF($U475="","",L475*K475)</f>
        <v/>
      </c>
      <c r="N475">
        <f>IF($U475="","",Settings!$C$6)</f>
        <v/>
      </c>
      <c r="O475" s="7">
        <f>IF($U475="","",SUMIFS('Per Line'!$N$2:$N$3001,'Per Line'!$A$2:$A$3001,$A475,'Per Line'!$W$2:$W$3001,1))</f>
        <v/>
      </c>
      <c r="P475" s="7">
        <f>IF($U475="","",O475*N475)</f>
        <v/>
      </c>
      <c r="Q475" s="7">
        <f>IF($U475="","",P475+M475)</f>
        <v/>
      </c>
      <c r="R475" s="7">
        <f>IF($U475="","",S475-Q475)</f>
        <v/>
      </c>
      <c r="S475" s="7">
        <f>IF($U475="","",L475+O475)</f>
        <v/>
      </c>
      <c r="T475" s="7">
        <f>IF($U475="","",S475-Q475-G475)</f>
        <v/>
      </c>
      <c r="U475" s="13">
        <f>IF(ROWS($U$2:$U475)&lt;=MAX('Per Line'!$V$2:$V$3001),MATCH(ROWS($U$2:$U475),'Per Line'!$V$2:$V$3001,0),"")</f>
        <v/>
      </c>
    </row>
    <row r="476">
      <c r="A476">
        <f>IF($U476="","",INDEX('Per Line'!$A$2:$A$3001,$U476)&amp;"")</f>
        <v/>
      </c>
      <c r="B476" s="12" t="n"/>
      <c r="C476">
        <f>IF($U476="","",INDEX('Per Line'!$B$2:$B$3001,$U476)&amp;"")</f>
        <v/>
      </c>
      <c r="D476">
        <f>IF($U476="","",INDEX('Per Line'!$C$2:$C$3001,$U476)&amp;"")</f>
        <v/>
      </c>
      <c r="E476">
        <f>IF($U476="","",INDEX('Per Line'!$D$2:$D$3001,$U476)&amp;"")</f>
        <v/>
      </c>
      <c r="F476">
        <f>IF($U476="","",INDEX('Per Line'!$E$2:$E$3001,$U476))</f>
        <v/>
      </c>
      <c r="G476" s="7">
        <f>IF($U476="","",F476*S476/100)</f>
        <v/>
      </c>
      <c r="H476">
        <f>IF($U476="","",INDEX('Per Line'!$O$2:$O$3001,$U476)&amp;"")</f>
        <v/>
      </c>
      <c r="I476" s="11">
        <f>IF($U476="","",INDEX('Per Line'!$Q$2:$Q$3001,$U476))</f>
        <v/>
      </c>
      <c r="J476">
        <f>IF($U476="","",INDEX('Per Line'!$R$2:$R$3001,$U476)&amp;"")</f>
        <v/>
      </c>
      <c r="K476">
        <f>IF($U476="","",Settings!$C$7)</f>
        <v/>
      </c>
      <c r="L476" s="7">
        <f>IF($U476="","",SUMIFS('Per Line'!$N$2:$N$3001,'Per Line'!$A$2:$A$3001,$A476,'Per Line'!$W$2:$W$3001,0))</f>
        <v/>
      </c>
      <c r="M476" s="7">
        <f>IF($U476="","",L476*K476)</f>
        <v/>
      </c>
      <c r="N476">
        <f>IF($U476="","",Settings!$C$6)</f>
        <v/>
      </c>
      <c r="O476" s="7">
        <f>IF($U476="","",SUMIFS('Per Line'!$N$2:$N$3001,'Per Line'!$A$2:$A$3001,$A476,'Per Line'!$W$2:$W$3001,1))</f>
        <v/>
      </c>
      <c r="P476" s="7">
        <f>IF($U476="","",O476*N476)</f>
        <v/>
      </c>
      <c r="Q476" s="7">
        <f>IF($U476="","",P476+M476)</f>
        <v/>
      </c>
      <c r="R476" s="7">
        <f>IF($U476="","",S476-Q476)</f>
        <v/>
      </c>
      <c r="S476" s="7">
        <f>IF($U476="","",L476+O476)</f>
        <v/>
      </c>
      <c r="T476" s="7">
        <f>IF($U476="","",S476-Q476-G476)</f>
        <v/>
      </c>
      <c r="U476" s="13">
        <f>IF(ROWS($U$2:$U476)&lt;=MAX('Per Line'!$V$2:$V$3001),MATCH(ROWS($U$2:$U476),'Per Line'!$V$2:$V$3001,0),"")</f>
        <v/>
      </c>
    </row>
    <row r="477">
      <c r="A477">
        <f>IF($U477="","",INDEX('Per Line'!$A$2:$A$3001,$U477)&amp;"")</f>
        <v/>
      </c>
      <c r="B477" s="12" t="n"/>
      <c r="C477">
        <f>IF($U477="","",INDEX('Per Line'!$B$2:$B$3001,$U477)&amp;"")</f>
        <v/>
      </c>
      <c r="D477">
        <f>IF($U477="","",INDEX('Per Line'!$C$2:$C$3001,$U477)&amp;"")</f>
        <v/>
      </c>
      <c r="E477">
        <f>IF($U477="","",INDEX('Per Line'!$D$2:$D$3001,$U477)&amp;"")</f>
        <v/>
      </c>
      <c r="F477">
        <f>IF($U477="","",INDEX('Per Line'!$E$2:$E$3001,$U477))</f>
        <v/>
      </c>
      <c r="G477" s="7">
        <f>IF($U477="","",F477*S477/100)</f>
        <v/>
      </c>
      <c r="H477">
        <f>IF($U477="","",INDEX('Per Line'!$O$2:$O$3001,$U477)&amp;"")</f>
        <v/>
      </c>
      <c r="I477" s="11">
        <f>IF($U477="","",INDEX('Per Line'!$Q$2:$Q$3001,$U477))</f>
        <v/>
      </c>
      <c r="J477">
        <f>IF($U477="","",INDEX('Per Line'!$R$2:$R$3001,$U477)&amp;"")</f>
        <v/>
      </c>
      <c r="K477">
        <f>IF($U477="","",Settings!$C$7)</f>
        <v/>
      </c>
      <c r="L477" s="7">
        <f>IF($U477="","",SUMIFS('Per Line'!$N$2:$N$3001,'Per Line'!$A$2:$A$3001,$A477,'Per Line'!$W$2:$W$3001,0))</f>
        <v/>
      </c>
      <c r="M477" s="7">
        <f>IF($U477="","",L477*K477)</f>
        <v/>
      </c>
      <c r="N477">
        <f>IF($U477="","",Settings!$C$6)</f>
        <v/>
      </c>
      <c r="O477" s="7">
        <f>IF($U477="","",SUMIFS('Per Line'!$N$2:$N$3001,'Per Line'!$A$2:$A$3001,$A477,'Per Line'!$W$2:$W$3001,1))</f>
        <v/>
      </c>
      <c r="P477" s="7">
        <f>IF($U477="","",O477*N477)</f>
        <v/>
      </c>
      <c r="Q477" s="7">
        <f>IF($U477="","",P477+M477)</f>
        <v/>
      </c>
      <c r="R477" s="7">
        <f>IF($U477="","",S477-Q477)</f>
        <v/>
      </c>
      <c r="S477" s="7">
        <f>IF($U477="","",L477+O477)</f>
        <v/>
      </c>
      <c r="T477" s="7">
        <f>IF($U477="","",S477-Q477-G477)</f>
        <v/>
      </c>
      <c r="U477" s="13">
        <f>IF(ROWS($U$2:$U477)&lt;=MAX('Per Line'!$V$2:$V$3001),MATCH(ROWS($U$2:$U477),'Per Line'!$V$2:$V$3001,0),"")</f>
        <v/>
      </c>
    </row>
    <row r="478">
      <c r="A478">
        <f>IF($U478="","",INDEX('Per Line'!$A$2:$A$3001,$U478)&amp;"")</f>
        <v/>
      </c>
      <c r="B478" s="12" t="n"/>
      <c r="C478">
        <f>IF($U478="","",INDEX('Per Line'!$B$2:$B$3001,$U478)&amp;"")</f>
        <v/>
      </c>
      <c r="D478">
        <f>IF($U478="","",INDEX('Per Line'!$C$2:$C$3001,$U478)&amp;"")</f>
        <v/>
      </c>
      <c r="E478">
        <f>IF($U478="","",INDEX('Per Line'!$D$2:$D$3001,$U478)&amp;"")</f>
        <v/>
      </c>
      <c r="F478">
        <f>IF($U478="","",INDEX('Per Line'!$E$2:$E$3001,$U478))</f>
        <v/>
      </c>
      <c r="G478" s="7">
        <f>IF($U478="","",F478*S478/100)</f>
        <v/>
      </c>
      <c r="H478">
        <f>IF($U478="","",INDEX('Per Line'!$O$2:$O$3001,$U478)&amp;"")</f>
        <v/>
      </c>
      <c r="I478" s="11">
        <f>IF($U478="","",INDEX('Per Line'!$Q$2:$Q$3001,$U478))</f>
        <v/>
      </c>
      <c r="J478">
        <f>IF($U478="","",INDEX('Per Line'!$R$2:$R$3001,$U478)&amp;"")</f>
        <v/>
      </c>
      <c r="K478">
        <f>IF($U478="","",Settings!$C$7)</f>
        <v/>
      </c>
      <c r="L478" s="7">
        <f>IF($U478="","",SUMIFS('Per Line'!$N$2:$N$3001,'Per Line'!$A$2:$A$3001,$A478,'Per Line'!$W$2:$W$3001,0))</f>
        <v/>
      </c>
      <c r="M478" s="7">
        <f>IF($U478="","",L478*K478)</f>
        <v/>
      </c>
      <c r="N478">
        <f>IF($U478="","",Settings!$C$6)</f>
        <v/>
      </c>
      <c r="O478" s="7">
        <f>IF($U478="","",SUMIFS('Per Line'!$N$2:$N$3001,'Per Line'!$A$2:$A$3001,$A478,'Per Line'!$W$2:$W$3001,1))</f>
        <v/>
      </c>
      <c r="P478" s="7">
        <f>IF($U478="","",O478*N478)</f>
        <v/>
      </c>
      <c r="Q478" s="7">
        <f>IF($U478="","",P478+M478)</f>
        <v/>
      </c>
      <c r="R478" s="7">
        <f>IF($U478="","",S478-Q478)</f>
        <v/>
      </c>
      <c r="S478" s="7">
        <f>IF($U478="","",L478+O478)</f>
        <v/>
      </c>
      <c r="T478" s="7">
        <f>IF($U478="","",S478-Q478-G478)</f>
        <v/>
      </c>
      <c r="U478" s="13">
        <f>IF(ROWS($U$2:$U478)&lt;=MAX('Per Line'!$V$2:$V$3001),MATCH(ROWS($U$2:$U478),'Per Line'!$V$2:$V$3001,0),"")</f>
        <v/>
      </c>
    </row>
    <row r="479">
      <c r="A479">
        <f>IF($U479="","",INDEX('Per Line'!$A$2:$A$3001,$U479)&amp;"")</f>
        <v/>
      </c>
      <c r="B479" s="12" t="n"/>
      <c r="C479">
        <f>IF($U479="","",INDEX('Per Line'!$B$2:$B$3001,$U479)&amp;"")</f>
        <v/>
      </c>
      <c r="D479">
        <f>IF($U479="","",INDEX('Per Line'!$C$2:$C$3001,$U479)&amp;"")</f>
        <v/>
      </c>
      <c r="E479">
        <f>IF($U479="","",INDEX('Per Line'!$D$2:$D$3001,$U479)&amp;"")</f>
        <v/>
      </c>
      <c r="F479">
        <f>IF($U479="","",INDEX('Per Line'!$E$2:$E$3001,$U479))</f>
        <v/>
      </c>
      <c r="G479" s="7">
        <f>IF($U479="","",F479*S479/100)</f>
        <v/>
      </c>
      <c r="H479">
        <f>IF($U479="","",INDEX('Per Line'!$O$2:$O$3001,$U479)&amp;"")</f>
        <v/>
      </c>
      <c r="I479" s="11">
        <f>IF($U479="","",INDEX('Per Line'!$Q$2:$Q$3001,$U479))</f>
        <v/>
      </c>
      <c r="J479">
        <f>IF($U479="","",INDEX('Per Line'!$R$2:$R$3001,$U479)&amp;"")</f>
        <v/>
      </c>
      <c r="K479">
        <f>IF($U479="","",Settings!$C$7)</f>
        <v/>
      </c>
      <c r="L479" s="7">
        <f>IF($U479="","",SUMIFS('Per Line'!$N$2:$N$3001,'Per Line'!$A$2:$A$3001,$A479,'Per Line'!$W$2:$W$3001,0))</f>
        <v/>
      </c>
      <c r="M479" s="7">
        <f>IF($U479="","",L479*K479)</f>
        <v/>
      </c>
      <c r="N479">
        <f>IF($U479="","",Settings!$C$6)</f>
        <v/>
      </c>
      <c r="O479" s="7">
        <f>IF($U479="","",SUMIFS('Per Line'!$N$2:$N$3001,'Per Line'!$A$2:$A$3001,$A479,'Per Line'!$W$2:$W$3001,1))</f>
        <v/>
      </c>
      <c r="P479" s="7">
        <f>IF($U479="","",O479*N479)</f>
        <v/>
      </c>
      <c r="Q479" s="7">
        <f>IF($U479="","",P479+M479)</f>
        <v/>
      </c>
      <c r="R479" s="7">
        <f>IF($U479="","",S479-Q479)</f>
        <v/>
      </c>
      <c r="S479" s="7">
        <f>IF($U479="","",L479+O479)</f>
        <v/>
      </c>
      <c r="T479" s="7">
        <f>IF($U479="","",S479-Q479-G479)</f>
        <v/>
      </c>
      <c r="U479" s="13">
        <f>IF(ROWS($U$2:$U479)&lt;=MAX('Per Line'!$V$2:$V$3001),MATCH(ROWS($U$2:$U479),'Per Line'!$V$2:$V$3001,0),"")</f>
        <v/>
      </c>
    </row>
    <row r="480">
      <c r="A480">
        <f>IF($U480="","",INDEX('Per Line'!$A$2:$A$3001,$U480)&amp;"")</f>
        <v/>
      </c>
      <c r="B480" s="12" t="n"/>
      <c r="C480">
        <f>IF($U480="","",INDEX('Per Line'!$B$2:$B$3001,$U480)&amp;"")</f>
        <v/>
      </c>
      <c r="D480">
        <f>IF($U480="","",INDEX('Per Line'!$C$2:$C$3001,$U480)&amp;"")</f>
        <v/>
      </c>
      <c r="E480">
        <f>IF($U480="","",INDEX('Per Line'!$D$2:$D$3001,$U480)&amp;"")</f>
        <v/>
      </c>
      <c r="F480">
        <f>IF($U480="","",INDEX('Per Line'!$E$2:$E$3001,$U480))</f>
        <v/>
      </c>
      <c r="G480" s="7">
        <f>IF($U480="","",F480*S480/100)</f>
        <v/>
      </c>
      <c r="H480">
        <f>IF($U480="","",INDEX('Per Line'!$O$2:$O$3001,$U480)&amp;"")</f>
        <v/>
      </c>
      <c r="I480" s="11">
        <f>IF($U480="","",INDEX('Per Line'!$Q$2:$Q$3001,$U480))</f>
        <v/>
      </c>
      <c r="J480">
        <f>IF($U480="","",INDEX('Per Line'!$R$2:$R$3001,$U480)&amp;"")</f>
        <v/>
      </c>
      <c r="K480">
        <f>IF($U480="","",Settings!$C$7)</f>
        <v/>
      </c>
      <c r="L480" s="7">
        <f>IF($U480="","",SUMIFS('Per Line'!$N$2:$N$3001,'Per Line'!$A$2:$A$3001,$A480,'Per Line'!$W$2:$W$3001,0))</f>
        <v/>
      </c>
      <c r="M480" s="7">
        <f>IF($U480="","",L480*K480)</f>
        <v/>
      </c>
      <c r="N480">
        <f>IF($U480="","",Settings!$C$6)</f>
        <v/>
      </c>
      <c r="O480" s="7">
        <f>IF($U480="","",SUMIFS('Per Line'!$N$2:$N$3001,'Per Line'!$A$2:$A$3001,$A480,'Per Line'!$W$2:$W$3001,1))</f>
        <v/>
      </c>
      <c r="P480" s="7">
        <f>IF($U480="","",O480*N480)</f>
        <v/>
      </c>
      <c r="Q480" s="7">
        <f>IF($U480="","",P480+M480)</f>
        <v/>
      </c>
      <c r="R480" s="7">
        <f>IF($U480="","",S480-Q480)</f>
        <v/>
      </c>
      <c r="S480" s="7">
        <f>IF($U480="","",L480+O480)</f>
        <v/>
      </c>
      <c r="T480" s="7">
        <f>IF($U480="","",S480-Q480-G480)</f>
        <v/>
      </c>
      <c r="U480" s="13">
        <f>IF(ROWS($U$2:$U480)&lt;=MAX('Per Line'!$V$2:$V$3001),MATCH(ROWS($U$2:$U480),'Per Line'!$V$2:$V$3001,0),"")</f>
        <v/>
      </c>
    </row>
    <row r="481">
      <c r="A481">
        <f>IF($U481="","",INDEX('Per Line'!$A$2:$A$3001,$U481)&amp;"")</f>
        <v/>
      </c>
      <c r="B481" s="12" t="n"/>
      <c r="C481">
        <f>IF($U481="","",INDEX('Per Line'!$B$2:$B$3001,$U481)&amp;"")</f>
        <v/>
      </c>
      <c r="D481">
        <f>IF($U481="","",INDEX('Per Line'!$C$2:$C$3001,$U481)&amp;"")</f>
        <v/>
      </c>
      <c r="E481">
        <f>IF($U481="","",INDEX('Per Line'!$D$2:$D$3001,$U481)&amp;"")</f>
        <v/>
      </c>
      <c r="F481">
        <f>IF($U481="","",INDEX('Per Line'!$E$2:$E$3001,$U481))</f>
        <v/>
      </c>
      <c r="G481" s="7">
        <f>IF($U481="","",F481*S481/100)</f>
        <v/>
      </c>
      <c r="H481">
        <f>IF($U481="","",INDEX('Per Line'!$O$2:$O$3001,$U481)&amp;"")</f>
        <v/>
      </c>
      <c r="I481" s="11">
        <f>IF($U481="","",INDEX('Per Line'!$Q$2:$Q$3001,$U481))</f>
        <v/>
      </c>
      <c r="J481">
        <f>IF($U481="","",INDEX('Per Line'!$R$2:$R$3001,$U481)&amp;"")</f>
        <v/>
      </c>
      <c r="K481">
        <f>IF($U481="","",Settings!$C$7)</f>
        <v/>
      </c>
      <c r="L481" s="7">
        <f>IF($U481="","",SUMIFS('Per Line'!$N$2:$N$3001,'Per Line'!$A$2:$A$3001,$A481,'Per Line'!$W$2:$W$3001,0))</f>
        <v/>
      </c>
      <c r="M481" s="7">
        <f>IF($U481="","",L481*K481)</f>
        <v/>
      </c>
      <c r="N481">
        <f>IF($U481="","",Settings!$C$6)</f>
        <v/>
      </c>
      <c r="O481" s="7">
        <f>IF($U481="","",SUMIFS('Per Line'!$N$2:$N$3001,'Per Line'!$A$2:$A$3001,$A481,'Per Line'!$W$2:$W$3001,1))</f>
        <v/>
      </c>
      <c r="P481" s="7">
        <f>IF($U481="","",O481*N481)</f>
        <v/>
      </c>
      <c r="Q481" s="7">
        <f>IF($U481="","",P481+M481)</f>
        <v/>
      </c>
      <c r="R481" s="7">
        <f>IF($U481="","",S481-Q481)</f>
        <v/>
      </c>
      <c r="S481" s="7">
        <f>IF($U481="","",L481+O481)</f>
        <v/>
      </c>
      <c r="T481" s="7">
        <f>IF($U481="","",S481-Q481-G481)</f>
        <v/>
      </c>
      <c r="U481" s="13">
        <f>IF(ROWS($U$2:$U481)&lt;=MAX('Per Line'!$V$2:$V$3001),MATCH(ROWS($U$2:$U481),'Per Line'!$V$2:$V$3001,0),"")</f>
        <v/>
      </c>
    </row>
    <row r="482">
      <c r="A482">
        <f>IF($U482="","",INDEX('Per Line'!$A$2:$A$3001,$U482)&amp;"")</f>
        <v/>
      </c>
      <c r="B482" s="12" t="n"/>
      <c r="C482">
        <f>IF($U482="","",INDEX('Per Line'!$B$2:$B$3001,$U482)&amp;"")</f>
        <v/>
      </c>
      <c r="D482">
        <f>IF($U482="","",INDEX('Per Line'!$C$2:$C$3001,$U482)&amp;"")</f>
        <v/>
      </c>
      <c r="E482">
        <f>IF($U482="","",INDEX('Per Line'!$D$2:$D$3001,$U482)&amp;"")</f>
        <v/>
      </c>
      <c r="F482">
        <f>IF($U482="","",INDEX('Per Line'!$E$2:$E$3001,$U482))</f>
        <v/>
      </c>
      <c r="G482" s="7">
        <f>IF($U482="","",F482*S482/100)</f>
        <v/>
      </c>
      <c r="H482">
        <f>IF($U482="","",INDEX('Per Line'!$O$2:$O$3001,$U482)&amp;"")</f>
        <v/>
      </c>
      <c r="I482" s="11">
        <f>IF($U482="","",INDEX('Per Line'!$Q$2:$Q$3001,$U482))</f>
        <v/>
      </c>
      <c r="J482">
        <f>IF($U482="","",INDEX('Per Line'!$R$2:$R$3001,$U482)&amp;"")</f>
        <v/>
      </c>
      <c r="K482">
        <f>IF($U482="","",Settings!$C$7)</f>
        <v/>
      </c>
      <c r="L482" s="7">
        <f>IF($U482="","",SUMIFS('Per Line'!$N$2:$N$3001,'Per Line'!$A$2:$A$3001,$A482,'Per Line'!$W$2:$W$3001,0))</f>
        <v/>
      </c>
      <c r="M482" s="7">
        <f>IF($U482="","",L482*K482)</f>
        <v/>
      </c>
      <c r="N482">
        <f>IF($U482="","",Settings!$C$6)</f>
        <v/>
      </c>
      <c r="O482" s="7">
        <f>IF($U482="","",SUMIFS('Per Line'!$N$2:$N$3001,'Per Line'!$A$2:$A$3001,$A482,'Per Line'!$W$2:$W$3001,1))</f>
        <v/>
      </c>
      <c r="P482" s="7">
        <f>IF($U482="","",O482*N482)</f>
        <v/>
      </c>
      <c r="Q482" s="7">
        <f>IF($U482="","",P482+M482)</f>
        <v/>
      </c>
      <c r="R482" s="7">
        <f>IF($U482="","",S482-Q482)</f>
        <v/>
      </c>
      <c r="S482" s="7">
        <f>IF($U482="","",L482+O482)</f>
        <v/>
      </c>
      <c r="T482" s="7">
        <f>IF($U482="","",S482-Q482-G482)</f>
        <v/>
      </c>
      <c r="U482" s="13">
        <f>IF(ROWS($U$2:$U482)&lt;=MAX('Per Line'!$V$2:$V$3001),MATCH(ROWS($U$2:$U482),'Per Line'!$V$2:$V$3001,0),"")</f>
        <v/>
      </c>
    </row>
    <row r="483">
      <c r="A483">
        <f>IF($U483="","",INDEX('Per Line'!$A$2:$A$3001,$U483)&amp;"")</f>
        <v/>
      </c>
      <c r="B483" s="12" t="n"/>
      <c r="C483">
        <f>IF($U483="","",INDEX('Per Line'!$B$2:$B$3001,$U483)&amp;"")</f>
        <v/>
      </c>
      <c r="D483">
        <f>IF($U483="","",INDEX('Per Line'!$C$2:$C$3001,$U483)&amp;"")</f>
        <v/>
      </c>
      <c r="E483">
        <f>IF($U483="","",INDEX('Per Line'!$D$2:$D$3001,$U483)&amp;"")</f>
        <v/>
      </c>
      <c r="F483">
        <f>IF($U483="","",INDEX('Per Line'!$E$2:$E$3001,$U483))</f>
        <v/>
      </c>
      <c r="G483" s="7">
        <f>IF($U483="","",F483*S483/100)</f>
        <v/>
      </c>
      <c r="H483">
        <f>IF($U483="","",INDEX('Per Line'!$O$2:$O$3001,$U483)&amp;"")</f>
        <v/>
      </c>
      <c r="I483" s="11">
        <f>IF($U483="","",INDEX('Per Line'!$Q$2:$Q$3001,$U483))</f>
        <v/>
      </c>
      <c r="J483">
        <f>IF($U483="","",INDEX('Per Line'!$R$2:$R$3001,$U483)&amp;"")</f>
        <v/>
      </c>
      <c r="K483">
        <f>IF($U483="","",Settings!$C$7)</f>
        <v/>
      </c>
      <c r="L483" s="7">
        <f>IF($U483="","",SUMIFS('Per Line'!$N$2:$N$3001,'Per Line'!$A$2:$A$3001,$A483,'Per Line'!$W$2:$W$3001,0))</f>
        <v/>
      </c>
      <c r="M483" s="7">
        <f>IF($U483="","",L483*K483)</f>
        <v/>
      </c>
      <c r="N483">
        <f>IF($U483="","",Settings!$C$6)</f>
        <v/>
      </c>
      <c r="O483" s="7">
        <f>IF($U483="","",SUMIFS('Per Line'!$N$2:$N$3001,'Per Line'!$A$2:$A$3001,$A483,'Per Line'!$W$2:$W$3001,1))</f>
        <v/>
      </c>
      <c r="P483" s="7">
        <f>IF($U483="","",O483*N483)</f>
        <v/>
      </c>
      <c r="Q483" s="7">
        <f>IF($U483="","",P483+M483)</f>
        <v/>
      </c>
      <c r="R483" s="7">
        <f>IF($U483="","",S483-Q483)</f>
        <v/>
      </c>
      <c r="S483" s="7">
        <f>IF($U483="","",L483+O483)</f>
        <v/>
      </c>
      <c r="T483" s="7">
        <f>IF($U483="","",S483-Q483-G483)</f>
        <v/>
      </c>
      <c r="U483" s="13">
        <f>IF(ROWS($U$2:$U483)&lt;=MAX('Per Line'!$V$2:$V$3001),MATCH(ROWS($U$2:$U483),'Per Line'!$V$2:$V$3001,0),"")</f>
        <v/>
      </c>
    </row>
    <row r="484">
      <c r="A484">
        <f>IF($U484="","",INDEX('Per Line'!$A$2:$A$3001,$U484)&amp;"")</f>
        <v/>
      </c>
      <c r="B484" s="12" t="n"/>
      <c r="C484">
        <f>IF($U484="","",INDEX('Per Line'!$B$2:$B$3001,$U484)&amp;"")</f>
        <v/>
      </c>
      <c r="D484">
        <f>IF($U484="","",INDEX('Per Line'!$C$2:$C$3001,$U484)&amp;"")</f>
        <v/>
      </c>
      <c r="E484">
        <f>IF($U484="","",INDEX('Per Line'!$D$2:$D$3001,$U484)&amp;"")</f>
        <v/>
      </c>
      <c r="F484">
        <f>IF($U484="","",INDEX('Per Line'!$E$2:$E$3001,$U484))</f>
        <v/>
      </c>
      <c r="G484" s="7">
        <f>IF($U484="","",F484*S484/100)</f>
        <v/>
      </c>
      <c r="H484">
        <f>IF($U484="","",INDEX('Per Line'!$O$2:$O$3001,$U484)&amp;"")</f>
        <v/>
      </c>
      <c r="I484" s="11">
        <f>IF($U484="","",INDEX('Per Line'!$Q$2:$Q$3001,$U484))</f>
        <v/>
      </c>
      <c r="J484">
        <f>IF($U484="","",INDEX('Per Line'!$R$2:$R$3001,$U484)&amp;"")</f>
        <v/>
      </c>
      <c r="K484">
        <f>IF($U484="","",Settings!$C$7)</f>
        <v/>
      </c>
      <c r="L484" s="7">
        <f>IF($U484="","",SUMIFS('Per Line'!$N$2:$N$3001,'Per Line'!$A$2:$A$3001,$A484,'Per Line'!$W$2:$W$3001,0))</f>
        <v/>
      </c>
      <c r="M484" s="7">
        <f>IF($U484="","",L484*K484)</f>
        <v/>
      </c>
      <c r="N484">
        <f>IF($U484="","",Settings!$C$6)</f>
        <v/>
      </c>
      <c r="O484" s="7">
        <f>IF($U484="","",SUMIFS('Per Line'!$N$2:$N$3001,'Per Line'!$A$2:$A$3001,$A484,'Per Line'!$W$2:$W$3001,1))</f>
        <v/>
      </c>
      <c r="P484" s="7">
        <f>IF($U484="","",O484*N484)</f>
        <v/>
      </c>
      <c r="Q484" s="7">
        <f>IF($U484="","",P484+M484)</f>
        <v/>
      </c>
      <c r="R484" s="7">
        <f>IF($U484="","",S484-Q484)</f>
        <v/>
      </c>
      <c r="S484" s="7">
        <f>IF($U484="","",L484+O484)</f>
        <v/>
      </c>
      <c r="T484" s="7">
        <f>IF($U484="","",S484-Q484-G484)</f>
        <v/>
      </c>
      <c r="U484" s="13">
        <f>IF(ROWS($U$2:$U484)&lt;=MAX('Per Line'!$V$2:$V$3001),MATCH(ROWS($U$2:$U484),'Per Line'!$V$2:$V$3001,0),"")</f>
        <v/>
      </c>
    </row>
    <row r="485">
      <c r="A485">
        <f>IF($U485="","",INDEX('Per Line'!$A$2:$A$3001,$U485)&amp;"")</f>
        <v/>
      </c>
      <c r="B485" s="12" t="n"/>
      <c r="C485">
        <f>IF($U485="","",INDEX('Per Line'!$B$2:$B$3001,$U485)&amp;"")</f>
        <v/>
      </c>
      <c r="D485">
        <f>IF($U485="","",INDEX('Per Line'!$C$2:$C$3001,$U485)&amp;"")</f>
        <v/>
      </c>
      <c r="E485">
        <f>IF($U485="","",INDEX('Per Line'!$D$2:$D$3001,$U485)&amp;"")</f>
        <v/>
      </c>
      <c r="F485">
        <f>IF($U485="","",INDEX('Per Line'!$E$2:$E$3001,$U485))</f>
        <v/>
      </c>
      <c r="G485" s="7">
        <f>IF($U485="","",F485*S485/100)</f>
        <v/>
      </c>
      <c r="H485">
        <f>IF($U485="","",INDEX('Per Line'!$O$2:$O$3001,$U485)&amp;"")</f>
        <v/>
      </c>
      <c r="I485" s="11">
        <f>IF($U485="","",INDEX('Per Line'!$Q$2:$Q$3001,$U485))</f>
        <v/>
      </c>
      <c r="J485">
        <f>IF($U485="","",INDEX('Per Line'!$R$2:$R$3001,$U485)&amp;"")</f>
        <v/>
      </c>
      <c r="K485">
        <f>IF($U485="","",Settings!$C$7)</f>
        <v/>
      </c>
      <c r="L485" s="7">
        <f>IF($U485="","",SUMIFS('Per Line'!$N$2:$N$3001,'Per Line'!$A$2:$A$3001,$A485,'Per Line'!$W$2:$W$3001,0))</f>
        <v/>
      </c>
      <c r="M485" s="7">
        <f>IF($U485="","",L485*K485)</f>
        <v/>
      </c>
      <c r="N485">
        <f>IF($U485="","",Settings!$C$6)</f>
        <v/>
      </c>
      <c r="O485" s="7">
        <f>IF($U485="","",SUMIFS('Per Line'!$N$2:$N$3001,'Per Line'!$A$2:$A$3001,$A485,'Per Line'!$W$2:$W$3001,1))</f>
        <v/>
      </c>
      <c r="P485" s="7">
        <f>IF($U485="","",O485*N485)</f>
        <v/>
      </c>
      <c r="Q485" s="7">
        <f>IF($U485="","",P485+M485)</f>
        <v/>
      </c>
      <c r="R485" s="7">
        <f>IF($U485="","",S485-Q485)</f>
        <v/>
      </c>
      <c r="S485" s="7">
        <f>IF($U485="","",L485+O485)</f>
        <v/>
      </c>
      <c r="T485" s="7">
        <f>IF($U485="","",S485-Q485-G485)</f>
        <v/>
      </c>
      <c r="U485" s="13">
        <f>IF(ROWS($U$2:$U485)&lt;=MAX('Per Line'!$V$2:$V$3001),MATCH(ROWS($U$2:$U485),'Per Line'!$V$2:$V$3001,0),"")</f>
        <v/>
      </c>
    </row>
    <row r="486">
      <c r="A486">
        <f>IF($U486="","",INDEX('Per Line'!$A$2:$A$3001,$U486)&amp;"")</f>
        <v/>
      </c>
      <c r="B486" s="12" t="n"/>
      <c r="C486">
        <f>IF($U486="","",INDEX('Per Line'!$B$2:$B$3001,$U486)&amp;"")</f>
        <v/>
      </c>
      <c r="D486">
        <f>IF($U486="","",INDEX('Per Line'!$C$2:$C$3001,$U486)&amp;"")</f>
        <v/>
      </c>
      <c r="E486">
        <f>IF($U486="","",INDEX('Per Line'!$D$2:$D$3001,$U486)&amp;"")</f>
        <v/>
      </c>
      <c r="F486">
        <f>IF($U486="","",INDEX('Per Line'!$E$2:$E$3001,$U486))</f>
        <v/>
      </c>
      <c r="G486" s="7">
        <f>IF($U486="","",F486*S486/100)</f>
        <v/>
      </c>
      <c r="H486">
        <f>IF($U486="","",INDEX('Per Line'!$O$2:$O$3001,$U486)&amp;"")</f>
        <v/>
      </c>
      <c r="I486" s="11">
        <f>IF($U486="","",INDEX('Per Line'!$Q$2:$Q$3001,$U486))</f>
        <v/>
      </c>
      <c r="J486">
        <f>IF($U486="","",INDEX('Per Line'!$R$2:$R$3001,$U486)&amp;"")</f>
        <v/>
      </c>
      <c r="K486">
        <f>IF($U486="","",Settings!$C$7)</f>
        <v/>
      </c>
      <c r="L486" s="7">
        <f>IF($U486="","",SUMIFS('Per Line'!$N$2:$N$3001,'Per Line'!$A$2:$A$3001,$A486,'Per Line'!$W$2:$W$3001,0))</f>
        <v/>
      </c>
      <c r="M486" s="7">
        <f>IF($U486="","",L486*K486)</f>
        <v/>
      </c>
      <c r="N486">
        <f>IF($U486="","",Settings!$C$6)</f>
        <v/>
      </c>
      <c r="O486" s="7">
        <f>IF($U486="","",SUMIFS('Per Line'!$N$2:$N$3001,'Per Line'!$A$2:$A$3001,$A486,'Per Line'!$W$2:$W$3001,1))</f>
        <v/>
      </c>
      <c r="P486" s="7">
        <f>IF($U486="","",O486*N486)</f>
        <v/>
      </c>
      <c r="Q486" s="7">
        <f>IF($U486="","",P486+M486)</f>
        <v/>
      </c>
      <c r="R486" s="7">
        <f>IF($U486="","",S486-Q486)</f>
        <v/>
      </c>
      <c r="S486" s="7">
        <f>IF($U486="","",L486+O486)</f>
        <v/>
      </c>
      <c r="T486" s="7">
        <f>IF($U486="","",S486-Q486-G486)</f>
        <v/>
      </c>
      <c r="U486" s="13">
        <f>IF(ROWS($U$2:$U486)&lt;=MAX('Per Line'!$V$2:$V$3001),MATCH(ROWS($U$2:$U486),'Per Line'!$V$2:$V$3001,0),"")</f>
        <v/>
      </c>
    </row>
    <row r="487">
      <c r="A487">
        <f>IF($U487="","",INDEX('Per Line'!$A$2:$A$3001,$U487)&amp;"")</f>
        <v/>
      </c>
      <c r="B487" s="12" t="n"/>
      <c r="C487">
        <f>IF($U487="","",INDEX('Per Line'!$B$2:$B$3001,$U487)&amp;"")</f>
        <v/>
      </c>
      <c r="D487">
        <f>IF($U487="","",INDEX('Per Line'!$C$2:$C$3001,$U487)&amp;"")</f>
        <v/>
      </c>
      <c r="E487">
        <f>IF($U487="","",INDEX('Per Line'!$D$2:$D$3001,$U487)&amp;"")</f>
        <v/>
      </c>
      <c r="F487">
        <f>IF($U487="","",INDEX('Per Line'!$E$2:$E$3001,$U487))</f>
        <v/>
      </c>
      <c r="G487" s="7">
        <f>IF($U487="","",F487*S487/100)</f>
        <v/>
      </c>
      <c r="H487">
        <f>IF($U487="","",INDEX('Per Line'!$O$2:$O$3001,$U487)&amp;"")</f>
        <v/>
      </c>
      <c r="I487" s="11">
        <f>IF($U487="","",INDEX('Per Line'!$Q$2:$Q$3001,$U487))</f>
        <v/>
      </c>
      <c r="J487">
        <f>IF($U487="","",INDEX('Per Line'!$R$2:$R$3001,$U487)&amp;"")</f>
        <v/>
      </c>
      <c r="K487">
        <f>IF($U487="","",Settings!$C$7)</f>
        <v/>
      </c>
      <c r="L487" s="7">
        <f>IF($U487="","",SUMIFS('Per Line'!$N$2:$N$3001,'Per Line'!$A$2:$A$3001,$A487,'Per Line'!$W$2:$W$3001,0))</f>
        <v/>
      </c>
      <c r="M487" s="7">
        <f>IF($U487="","",L487*K487)</f>
        <v/>
      </c>
      <c r="N487">
        <f>IF($U487="","",Settings!$C$6)</f>
        <v/>
      </c>
      <c r="O487" s="7">
        <f>IF($U487="","",SUMIFS('Per Line'!$N$2:$N$3001,'Per Line'!$A$2:$A$3001,$A487,'Per Line'!$W$2:$W$3001,1))</f>
        <v/>
      </c>
      <c r="P487" s="7">
        <f>IF($U487="","",O487*N487)</f>
        <v/>
      </c>
      <c r="Q487" s="7">
        <f>IF($U487="","",P487+M487)</f>
        <v/>
      </c>
      <c r="R487" s="7">
        <f>IF($U487="","",S487-Q487)</f>
        <v/>
      </c>
      <c r="S487" s="7">
        <f>IF($U487="","",L487+O487)</f>
        <v/>
      </c>
      <c r="T487" s="7">
        <f>IF($U487="","",S487-Q487-G487)</f>
        <v/>
      </c>
      <c r="U487" s="13">
        <f>IF(ROWS($U$2:$U487)&lt;=MAX('Per Line'!$V$2:$V$3001),MATCH(ROWS($U$2:$U487),'Per Line'!$V$2:$V$3001,0),"")</f>
        <v/>
      </c>
    </row>
    <row r="488">
      <c r="A488">
        <f>IF($U488="","",INDEX('Per Line'!$A$2:$A$3001,$U488)&amp;"")</f>
        <v/>
      </c>
      <c r="B488" s="12" t="n"/>
      <c r="C488">
        <f>IF($U488="","",INDEX('Per Line'!$B$2:$B$3001,$U488)&amp;"")</f>
        <v/>
      </c>
      <c r="D488">
        <f>IF($U488="","",INDEX('Per Line'!$C$2:$C$3001,$U488)&amp;"")</f>
        <v/>
      </c>
      <c r="E488">
        <f>IF($U488="","",INDEX('Per Line'!$D$2:$D$3001,$U488)&amp;"")</f>
        <v/>
      </c>
      <c r="F488">
        <f>IF($U488="","",INDEX('Per Line'!$E$2:$E$3001,$U488))</f>
        <v/>
      </c>
      <c r="G488" s="7">
        <f>IF($U488="","",F488*S488/100)</f>
        <v/>
      </c>
      <c r="H488">
        <f>IF($U488="","",INDEX('Per Line'!$O$2:$O$3001,$U488)&amp;"")</f>
        <v/>
      </c>
      <c r="I488" s="11">
        <f>IF($U488="","",INDEX('Per Line'!$Q$2:$Q$3001,$U488))</f>
        <v/>
      </c>
      <c r="J488">
        <f>IF($U488="","",INDEX('Per Line'!$R$2:$R$3001,$U488)&amp;"")</f>
        <v/>
      </c>
      <c r="K488">
        <f>IF($U488="","",Settings!$C$7)</f>
        <v/>
      </c>
      <c r="L488" s="7">
        <f>IF($U488="","",SUMIFS('Per Line'!$N$2:$N$3001,'Per Line'!$A$2:$A$3001,$A488,'Per Line'!$W$2:$W$3001,0))</f>
        <v/>
      </c>
      <c r="M488" s="7">
        <f>IF($U488="","",L488*K488)</f>
        <v/>
      </c>
      <c r="N488">
        <f>IF($U488="","",Settings!$C$6)</f>
        <v/>
      </c>
      <c r="O488" s="7">
        <f>IF($U488="","",SUMIFS('Per Line'!$N$2:$N$3001,'Per Line'!$A$2:$A$3001,$A488,'Per Line'!$W$2:$W$3001,1))</f>
        <v/>
      </c>
      <c r="P488" s="7">
        <f>IF($U488="","",O488*N488)</f>
        <v/>
      </c>
      <c r="Q488" s="7">
        <f>IF($U488="","",P488+M488)</f>
        <v/>
      </c>
      <c r="R488" s="7">
        <f>IF($U488="","",S488-Q488)</f>
        <v/>
      </c>
      <c r="S488" s="7">
        <f>IF($U488="","",L488+O488)</f>
        <v/>
      </c>
      <c r="T488" s="7">
        <f>IF($U488="","",S488-Q488-G488)</f>
        <v/>
      </c>
      <c r="U488" s="13">
        <f>IF(ROWS($U$2:$U488)&lt;=MAX('Per Line'!$V$2:$V$3001),MATCH(ROWS($U$2:$U488),'Per Line'!$V$2:$V$3001,0),"")</f>
        <v/>
      </c>
    </row>
    <row r="489">
      <c r="A489">
        <f>IF($U489="","",INDEX('Per Line'!$A$2:$A$3001,$U489)&amp;"")</f>
        <v/>
      </c>
      <c r="B489" s="12" t="n"/>
      <c r="C489">
        <f>IF($U489="","",INDEX('Per Line'!$B$2:$B$3001,$U489)&amp;"")</f>
        <v/>
      </c>
      <c r="D489">
        <f>IF($U489="","",INDEX('Per Line'!$C$2:$C$3001,$U489)&amp;"")</f>
        <v/>
      </c>
      <c r="E489">
        <f>IF($U489="","",INDEX('Per Line'!$D$2:$D$3001,$U489)&amp;"")</f>
        <v/>
      </c>
      <c r="F489">
        <f>IF($U489="","",INDEX('Per Line'!$E$2:$E$3001,$U489))</f>
        <v/>
      </c>
      <c r="G489" s="7">
        <f>IF($U489="","",F489*S489/100)</f>
        <v/>
      </c>
      <c r="H489">
        <f>IF($U489="","",INDEX('Per Line'!$O$2:$O$3001,$U489)&amp;"")</f>
        <v/>
      </c>
      <c r="I489" s="11">
        <f>IF($U489="","",INDEX('Per Line'!$Q$2:$Q$3001,$U489))</f>
        <v/>
      </c>
      <c r="J489">
        <f>IF($U489="","",INDEX('Per Line'!$R$2:$R$3001,$U489)&amp;"")</f>
        <v/>
      </c>
      <c r="K489">
        <f>IF($U489="","",Settings!$C$7)</f>
        <v/>
      </c>
      <c r="L489" s="7">
        <f>IF($U489="","",SUMIFS('Per Line'!$N$2:$N$3001,'Per Line'!$A$2:$A$3001,$A489,'Per Line'!$W$2:$W$3001,0))</f>
        <v/>
      </c>
      <c r="M489" s="7">
        <f>IF($U489="","",L489*K489)</f>
        <v/>
      </c>
      <c r="N489">
        <f>IF($U489="","",Settings!$C$6)</f>
        <v/>
      </c>
      <c r="O489" s="7">
        <f>IF($U489="","",SUMIFS('Per Line'!$N$2:$N$3001,'Per Line'!$A$2:$A$3001,$A489,'Per Line'!$W$2:$W$3001,1))</f>
        <v/>
      </c>
      <c r="P489" s="7">
        <f>IF($U489="","",O489*N489)</f>
        <v/>
      </c>
      <c r="Q489" s="7">
        <f>IF($U489="","",P489+M489)</f>
        <v/>
      </c>
      <c r="R489" s="7">
        <f>IF($U489="","",S489-Q489)</f>
        <v/>
      </c>
      <c r="S489" s="7">
        <f>IF($U489="","",L489+O489)</f>
        <v/>
      </c>
      <c r="T489" s="7">
        <f>IF($U489="","",S489-Q489-G489)</f>
        <v/>
      </c>
      <c r="U489" s="13">
        <f>IF(ROWS($U$2:$U489)&lt;=MAX('Per Line'!$V$2:$V$3001),MATCH(ROWS($U$2:$U489),'Per Line'!$V$2:$V$3001,0),"")</f>
        <v/>
      </c>
    </row>
    <row r="490">
      <c r="A490">
        <f>IF($U490="","",INDEX('Per Line'!$A$2:$A$3001,$U490)&amp;"")</f>
        <v/>
      </c>
      <c r="B490" s="12" t="n"/>
      <c r="C490">
        <f>IF($U490="","",INDEX('Per Line'!$B$2:$B$3001,$U490)&amp;"")</f>
        <v/>
      </c>
      <c r="D490">
        <f>IF($U490="","",INDEX('Per Line'!$C$2:$C$3001,$U490)&amp;"")</f>
        <v/>
      </c>
      <c r="E490">
        <f>IF($U490="","",INDEX('Per Line'!$D$2:$D$3001,$U490)&amp;"")</f>
        <v/>
      </c>
      <c r="F490">
        <f>IF($U490="","",INDEX('Per Line'!$E$2:$E$3001,$U490))</f>
        <v/>
      </c>
      <c r="G490" s="7">
        <f>IF($U490="","",F490*S490/100)</f>
        <v/>
      </c>
      <c r="H490">
        <f>IF($U490="","",INDEX('Per Line'!$O$2:$O$3001,$U490)&amp;"")</f>
        <v/>
      </c>
      <c r="I490" s="11">
        <f>IF($U490="","",INDEX('Per Line'!$Q$2:$Q$3001,$U490))</f>
        <v/>
      </c>
      <c r="J490">
        <f>IF($U490="","",INDEX('Per Line'!$R$2:$R$3001,$U490)&amp;"")</f>
        <v/>
      </c>
      <c r="K490">
        <f>IF($U490="","",Settings!$C$7)</f>
        <v/>
      </c>
      <c r="L490" s="7">
        <f>IF($U490="","",SUMIFS('Per Line'!$N$2:$N$3001,'Per Line'!$A$2:$A$3001,$A490,'Per Line'!$W$2:$W$3001,0))</f>
        <v/>
      </c>
      <c r="M490" s="7">
        <f>IF($U490="","",L490*K490)</f>
        <v/>
      </c>
      <c r="N490">
        <f>IF($U490="","",Settings!$C$6)</f>
        <v/>
      </c>
      <c r="O490" s="7">
        <f>IF($U490="","",SUMIFS('Per Line'!$N$2:$N$3001,'Per Line'!$A$2:$A$3001,$A490,'Per Line'!$W$2:$W$3001,1))</f>
        <v/>
      </c>
      <c r="P490" s="7">
        <f>IF($U490="","",O490*N490)</f>
        <v/>
      </c>
      <c r="Q490" s="7">
        <f>IF($U490="","",P490+M490)</f>
        <v/>
      </c>
      <c r="R490" s="7">
        <f>IF($U490="","",S490-Q490)</f>
        <v/>
      </c>
      <c r="S490" s="7">
        <f>IF($U490="","",L490+O490)</f>
        <v/>
      </c>
      <c r="T490" s="7">
        <f>IF($U490="","",S490-Q490-G490)</f>
        <v/>
      </c>
      <c r="U490" s="13">
        <f>IF(ROWS($U$2:$U490)&lt;=MAX('Per Line'!$V$2:$V$3001),MATCH(ROWS($U$2:$U490),'Per Line'!$V$2:$V$3001,0),"")</f>
        <v/>
      </c>
    </row>
    <row r="491">
      <c r="A491">
        <f>IF($U491="","",INDEX('Per Line'!$A$2:$A$3001,$U491)&amp;"")</f>
        <v/>
      </c>
      <c r="B491" s="12" t="n"/>
      <c r="C491">
        <f>IF($U491="","",INDEX('Per Line'!$B$2:$B$3001,$U491)&amp;"")</f>
        <v/>
      </c>
      <c r="D491">
        <f>IF($U491="","",INDEX('Per Line'!$C$2:$C$3001,$U491)&amp;"")</f>
        <v/>
      </c>
      <c r="E491">
        <f>IF($U491="","",INDEX('Per Line'!$D$2:$D$3001,$U491)&amp;"")</f>
        <v/>
      </c>
      <c r="F491">
        <f>IF($U491="","",INDEX('Per Line'!$E$2:$E$3001,$U491))</f>
        <v/>
      </c>
      <c r="G491" s="7">
        <f>IF($U491="","",F491*S491/100)</f>
        <v/>
      </c>
      <c r="H491">
        <f>IF($U491="","",INDEX('Per Line'!$O$2:$O$3001,$U491)&amp;"")</f>
        <v/>
      </c>
      <c r="I491" s="11">
        <f>IF($U491="","",INDEX('Per Line'!$Q$2:$Q$3001,$U491))</f>
        <v/>
      </c>
      <c r="J491">
        <f>IF($U491="","",INDEX('Per Line'!$R$2:$R$3001,$U491)&amp;"")</f>
        <v/>
      </c>
      <c r="K491">
        <f>IF($U491="","",Settings!$C$7)</f>
        <v/>
      </c>
      <c r="L491" s="7">
        <f>IF($U491="","",SUMIFS('Per Line'!$N$2:$N$3001,'Per Line'!$A$2:$A$3001,$A491,'Per Line'!$W$2:$W$3001,0))</f>
        <v/>
      </c>
      <c r="M491" s="7">
        <f>IF($U491="","",L491*K491)</f>
        <v/>
      </c>
      <c r="N491">
        <f>IF($U491="","",Settings!$C$6)</f>
        <v/>
      </c>
      <c r="O491" s="7">
        <f>IF($U491="","",SUMIFS('Per Line'!$N$2:$N$3001,'Per Line'!$A$2:$A$3001,$A491,'Per Line'!$W$2:$W$3001,1))</f>
        <v/>
      </c>
      <c r="P491" s="7">
        <f>IF($U491="","",O491*N491)</f>
        <v/>
      </c>
      <c r="Q491" s="7">
        <f>IF($U491="","",P491+M491)</f>
        <v/>
      </c>
      <c r="R491" s="7">
        <f>IF($U491="","",S491-Q491)</f>
        <v/>
      </c>
      <c r="S491" s="7">
        <f>IF($U491="","",L491+O491)</f>
        <v/>
      </c>
      <c r="T491" s="7">
        <f>IF($U491="","",S491-Q491-G491)</f>
        <v/>
      </c>
      <c r="U491" s="13">
        <f>IF(ROWS($U$2:$U491)&lt;=MAX('Per Line'!$V$2:$V$3001),MATCH(ROWS($U$2:$U491),'Per Line'!$V$2:$V$3001,0),"")</f>
        <v/>
      </c>
    </row>
    <row r="492">
      <c r="A492">
        <f>IF($U492="","",INDEX('Per Line'!$A$2:$A$3001,$U492)&amp;"")</f>
        <v/>
      </c>
      <c r="B492" s="12" t="n"/>
      <c r="C492">
        <f>IF($U492="","",INDEX('Per Line'!$B$2:$B$3001,$U492)&amp;"")</f>
        <v/>
      </c>
      <c r="D492">
        <f>IF($U492="","",INDEX('Per Line'!$C$2:$C$3001,$U492)&amp;"")</f>
        <v/>
      </c>
      <c r="E492">
        <f>IF($U492="","",INDEX('Per Line'!$D$2:$D$3001,$U492)&amp;"")</f>
        <v/>
      </c>
      <c r="F492">
        <f>IF($U492="","",INDEX('Per Line'!$E$2:$E$3001,$U492))</f>
        <v/>
      </c>
      <c r="G492" s="7">
        <f>IF($U492="","",F492*S492/100)</f>
        <v/>
      </c>
      <c r="H492">
        <f>IF($U492="","",INDEX('Per Line'!$O$2:$O$3001,$U492)&amp;"")</f>
        <v/>
      </c>
      <c r="I492" s="11">
        <f>IF($U492="","",INDEX('Per Line'!$Q$2:$Q$3001,$U492))</f>
        <v/>
      </c>
      <c r="J492">
        <f>IF($U492="","",INDEX('Per Line'!$R$2:$R$3001,$U492)&amp;"")</f>
        <v/>
      </c>
      <c r="K492">
        <f>IF($U492="","",Settings!$C$7)</f>
        <v/>
      </c>
      <c r="L492" s="7">
        <f>IF($U492="","",SUMIFS('Per Line'!$N$2:$N$3001,'Per Line'!$A$2:$A$3001,$A492,'Per Line'!$W$2:$W$3001,0))</f>
        <v/>
      </c>
      <c r="M492" s="7">
        <f>IF($U492="","",L492*K492)</f>
        <v/>
      </c>
      <c r="N492">
        <f>IF($U492="","",Settings!$C$6)</f>
        <v/>
      </c>
      <c r="O492" s="7">
        <f>IF($U492="","",SUMIFS('Per Line'!$N$2:$N$3001,'Per Line'!$A$2:$A$3001,$A492,'Per Line'!$W$2:$W$3001,1))</f>
        <v/>
      </c>
      <c r="P492" s="7">
        <f>IF($U492="","",O492*N492)</f>
        <v/>
      </c>
      <c r="Q492" s="7">
        <f>IF($U492="","",P492+M492)</f>
        <v/>
      </c>
      <c r="R492" s="7">
        <f>IF($U492="","",S492-Q492)</f>
        <v/>
      </c>
      <c r="S492" s="7">
        <f>IF($U492="","",L492+O492)</f>
        <v/>
      </c>
      <c r="T492" s="7">
        <f>IF($U492="","",S492-Q492-G492)</f>
        <v/>
      </c>
      <c r="U492" s="13">
        <f>IF(ROWS($U$2:$U492)&lt;=MAX('Per Line'!$V$2:$V$3001),MATCH(ROWS($U$2:$U492),'Per Line'!$V$2:$V$3001,0),"")</f>
        <v/>
      </c>
    </row>
    <row r="493">
      <c r="A493">
        <f>IF($U493="","",INDEX('Per Line'!$A$2:$A$3001,$U493)&amp;"")</f>
        <v/>
      </c>
      <c r="B493" s="12" t="n"/>
      <c r="C493">
        <f>IF($U493="","",INDEX('Per Line'!$B$2:$B$3001,$U493)&amp;"")</f>
        <v/>
      </c>
      <c r="D493">
        <f>IF($U493="","",INDEX('Per Line'!$C$2:$C$3001,$U493)&amp;"")</f>
        <v/>
      </c>
      <c r="E493">
        <f>IF($U493="","",INDEX('Per Line'!$D$2:$D$3001,$U493)&amp;"")</f>
        <v/>
      </c>
      <c r="F493">
        <f>IF($U493="","",INDEX('Per Line'!$E$2:$E$3001,$U493))</f>
        <v/>
      </c>
      <c r="G493" s="7">
        <f>IF($U493="","",F493*S493/100)</f>
        <v/>
      </c>
      <c r="H493">
        <f>IF($U493="","",INDEX('Per Line'!$O$2:$O$3001,$U493)&amp;"")</f>
        <v/>
      </c>
      <c r="I493" s="11">
        <f>IF($U493="","",INDEX('Per Line'!$Q$2:$Q$3001,$U493))</f>
        <v/>
      </c>
      <c r="J493">
        <f>IF($U493="","",INDEX('Per Line'!$R$2:$R$3001,$U493)&amp;"")</f>
        <v/>
      </c>
      <c r="K493">
        <f>IF($U493="","",Settings!$C$7)</f>
        <v/>
      </c>
      <c r="L493" s="7">
        <f>IF($U493="","",SUMIFS('Per Line'!$N$2:$N$3001,'Per Line'!$A$2:$A$3001,$A493,'Per Line'!$W$2:$W$3001,0))</f>
        <v/>
      </c>
      <c r="M493" s="7">
        <f>IF($U493="","",L493*K493)</f>
        <v/>
      </c>
      <c r="N493">
        <f>IF($U493="","",Settings!$C$6)</f>
        <v/>
      </c>
      <c r="O493" s="7">
        <f>IF($U493="","",SUMIFS('Per Line'!$N$2:$N$3001,'Per Line'!$A$2:$A$3001,$A493,'Per Line'!$W$2:$W$3001,1))</f>
        <v/>
      </c>
      <c r="P493" s="7">
        <f>IF($U493="","",O493*N493)</f>
        <v/>
      </c>
      <c r="Q493" s="7">
        <f>IF($U493="","",P493+M493)</f>
        <v/>
      </c>
      <c r="R493" s="7">
        <f>IF($U493="","",S493-Q493)</f>
        <v/>
      </c>
      <c r="S493" s="7">
        <f>IF($U493="","",L493+O493)</f>
        <v/>
      </c>
      <c r="T493" s="7">
        <f>IF($U493="","",S493-Q493-G493)</f>
        <v/>
      </c>
      <c r="U493" s="13">
        <f>IF(ROWS($U$2:$U493)&lt;=MAX('Per Line'!$V$2:$V$3001),MATCH(ROWS($U$2:$U493),'Per Line'!$V$2:$V$3001,0),"")</f>
        <v/>
      </c>
    </row>
    <row r="494">
      <c r="A494">
        <f>IF($U494="","",INDEX('Per Line'!$A$2:$A$3001,$U494)&amp;"")</f>
        <v/>
      </c>
      <c r="B494" s="12" t="n"/>
      <c r="C494">
        <f>IF($U494="","",INDEX('Per Line'!$B$2:$B$3001,$U494)&amp;"")</f>
        <v/>
      </c>
      <c r="D494">
        <f>IF($U494="","",INDEX('Per Line'!$C$2:$C$3001,$U494)&amp;"")</f>
        <v/>
      </c>
      <c r="E494">
        <f>IF($U494="","",INDEX('Per Line'!$D$2:$D$3001,$U494)&amp;"")</f>
        <v/>
      </c>
      <c r="F494">
        <f>IF($U494="","",INDEX('Per Line'!$E$2:$E$3001,$U494))</f>
        <v/>
      </c>
      <c r="G494" s="7">
        <f>IF($U494="","",F494*S494/100)</f>
        <v/>
      </c>
      <c r="H494">
        <f>IF($U494="","",INDEX('Per Line'!$O$2:$O$3001,$U494)&amp;"")</f>
        <v/>
      </c>
      <c r="I494" s="11">
        <f>IF($U494="","",INDEX('Per Line'!$Q$2:$Q$3001,$U494))</f>
        <v/>
      </c>
      <c r="J494">
        <f>IF($U494="","",INDEX('Per Line'!$R$2:$R$3001,$U494)&amp;"")</f>
        <v/>
      </c>
      <c r="K494">
        <f>IF($U494="","",Settings!$C$7)</f>
        <v/>
      </c>
      <c r="L494" s="7">
        <f>IF($U494="","",SUMIFS('Per Line'!$N$2:$N$3001,'Per Line'!$A$2:$A$3001,$A494,'Per Line'!$W$2:$W$3001,0))</f>
        <v/>
      </c>
      <c r="M494" s="7">
        <f>IF($U494="","",L494*K494)</f>
        <v/>
      </c>
      <c r="N494">
        <f>IF($U494="","",Settings!$C$6)</f>
        <v/>
      </c>
      <c r="O494" s="7">
        <f>IF($U494="","",SUMIFS('Per Line'!$N$2:$N$3001,'Per Line'!$A$2:$A$3001,$A494,'Per Line'!$W$2:$W$3001,1))</f>
        <v/>
      </c>
      <c r="P494" s="7">
        <f>IF($U494="","",O494*N494)</f>
        <v/>
      </c>
      <c r="Q494" s="7">
        <f>IF($U494="","",P494+M494)</f>
        <v/>
      </c>
      <c r="R494" s="7">
        <f>IF($U494="","",S494-Q494)</f>
        <v/>
      </c>
      <c r="S494" s="7">
        <f>IF($U494="","",L494+O494)</f>
        <v/>
      </c>
      <c r="T494" s="7">
        <f>IF($U494="","",S494-Q494-G494)</f>
        <v/>
      </c>
      <c r="U494" s="13">
        <f>IF(ROWS($U$2:$U494)&lt;=MAX('Per Line'!$V$2:$V$3001),MATCH(ROWS($U$2:$U494),'Per Line'!$V$2:$V$3001,0),"")</f>
        <v/>
      </c>
    </row>
    <row r="495">
      <c r="A495">
        <f>IF($U495="","",INDEX('Per Line'!$A$2:$A$3001,$U495)&amp;"")</f>
        <v/>
      </c>
      <c r="B495" s="12" t="n"/>
      <c r="C495">
        <f>IF($U495="","",INDEX('Per Line'!$B$2:$B$3001,$U495)&amp;"")</f>
        <v/>
      </c>
      <c r="D495">
        <f>IF($U495="","",INDEX('Per Line'!$C$2:$C$3001,$U495)&amp;"")</f>
        <v/>
      </c>
      <c r="E495">
        <f>IF($U495="","",INDEX('Per Line'!$D$2:$D$3001,$U495)&amp;"")</f>
        <v/>
      </c>
      <c r="F495">
        <f>IF($U495="","",INDEX('Per Line'!$E$2:$E$3001,$U495))</f>
        <v/>
      </c>
      <c r="G495" s="7">
        <f>IF($U495="","",F495*S495/100)</f>
        <v/>
      </c>
      <c r="H495">
        <f>IF($U495="","",INDEX('Per Line'!$O$2:$O$3001,$U495)&amp;"")</f>
        <v/>
      </c>
      <c r="I495" s="11">
        <f>IF($U495="","",INDEX('Per Line'!$Q$2:$Q$3001,$U495))</f>
        <v/>
      </c>
      <c r="J495">
        <f>IF($U495="","",INDEX('Per Line'!$R$2:$R$3001,$U495)&amp;"")</f>
        <v/>
      </c>
      <c r="K495">
        <f>IF($U495="","",Settings!$C$7)</f>
        <v/>
      </c>
      <c r="L495" s="7">
        <f>IF($U495="","",SUMIFS('Per Line'!$N$2:$N$3001,'Per Line'!$A$2:$A$3001,$A495,'Per Line'!$W$2:$W$3001,0))</f>
        <v/>
      </c>
      <c r="M495" s="7">
        <f>IF($U495="","",L495*K495)</f>
        <v/>
      </c>
      <c r="N495">
        <f>IF($U495="","",Settings!$C$6)</f>
        <v/>
      </c>
      <c r="O495" s="7">
        <f>IF($U495="","",SUMIFS('Per Line'!$N$2:$N$3001,'Per Line'!$A$2:$A$3001,$A495,'Per Line'!$W$2:$W$3001,1))</f>
        <v/>
      </c>
      <c r="P495" s="7">
        <f>IF($U495="","",O495*N495)</f>
        <v/>
      </c>
      <c r="Q495" s="7">
        <f>IF($U495="","",P495+M495)</f>
        <v/>
      </c>
      <c r="R495" s="7">
        <f>IF($U495="","",S495-Q495)</f>
        <v/>
      </c>
      <c r="S495" s="7">
        <f>IF($U495="","",L495+O495)</f>
        <v/>
      </c>
      <c r="T495" s="7">
        <f>IF($U495="","",S495-Q495-G495)</f>
        <v/>
      </c>
      <c r="U495" s="13">
        <f>IF(ROWS($U$2:$U495)&lt;=MAX('Per Line'!$V$2:$V$3001),MATCH(ROWS($U$2:$U495),'Per Line'!$V$2:$V$3001,0),"")</f>
        <v/>
      </c>
    </row>
    <row r="496">
      <c r="A496">
        <f>IF($U496="","",INDEX('Per Line'!$A$2:$A$3001,$U496)&amp;"")</f>
        <v/>
      </c>
      <c r="B496" s="12" t="n"/>
      <c r="C496">
        <f>IF($U496="","",INDEX('Per Line'!$B$2:$B$3001,$U496)&amp;"")</f>
        <v/>
      </c>
      <c r="D496">
        <f>IF($U496="","",INDEX('Per Line'!$C$2:$C$3001,$U496)&amp;"")</f>
        <v/>
      </c>
      <c r="E496">
        <f>IF($U496="","",INDEX('Per Line'!$D$2:$D$3001,$U496)&amp;"")</f>
        <v/>
      </c>
      <c r="F496">
        <f>IF($U496="","",INDEX('Per Line'!$E$2:$E$3001,$U496))</f>
        <v/>
      </c>
      <c r="G496" s="7">
        <f>IF($U496="","",F496*S496/100)</f>
        <v/>
      </c>
      <c r="H496">
        <f>IF($U496="","",INDEX('Per Line'!$O$2:$O$3001,$U496)&amp;"")</f>
        <v/>
      </c>
      <c r="I496" s="11">
        <f>IF($U496="","",INDEX('Per Line'!$Q$2:$Q$3001,$U496))</f>
        <v/>
      </c>
      <c r="J496">
        <f>IF($U496="","",INDEX('Per Line'!$R$2:$R$3001,$U496)&amp;"")</f>
        <v/>
      </c>
      <c r="K496">
        <f>IF($U496="","",Settings!$C$7)</f>
        <v/>
      </c>
      <c r="L496" s="7">
        <f>IF($U496="","",SUMIFS('Per Line'!$N$2:$N$3001,'Per Line'!$A$2:$A$3001,$A496,'Per Line'!$W$2:$W$3001,0))</f>
        <v/>
      </c>
      <c r="M496" s="7">
        <f>IF($U496="","",L496*K496)</f>
        <v/>
      </c>
      <c r="N496">
        <f>IF($U496="","",Settings!$C$6)</f>
        <v/>
      </c>
      <c r="O496" s="7">
        <f>IF($U496="","",SUMIFS('Per Line'!$N$2:$N$3001,'Per Line'!$A$2:$A$3001,$A496,'Per Line'!$W$2:$W$3001,1))</f>
        <v/>
      </c>
      <c r="P496" s="7">
        <f>IF($U496="","",O496*N496)</f>
        <v/>
      </c>
      <c r="Q496" s="7">
        <f>IF($U496="","",P496+M496)</f>
        <v/>
      </c>
      <c r="R496" s="7">
        <f>IF($U496="","",S496-Q496)</f>
        <v/>
      </c>
      <c r="S496" s="7">
        <f>IF($U496="","",L496+O496)</f>
        <v/>
      </c>
      <c r="T496" s="7">
        <f>IF($U496="","",S496-Q496-G496)</f>
        <v/>
      </c>
      <c r="U496" s="13">
        <f>IF(ROWS($U$2:$U496)&lt;=MAX('Per Line'!$V$2:$V$3001),MATCH(ROWS($U$2:$U496),'Per Line'!$V$2:$V$3001,0),"")</f>
        <v/>
      </c>
    </row>
    <row r="497">
      <c r="A497">
        <f>IF($U497="","",INDEX('Per Line'!$A$2:$A$3001,$U497)&amp;"")</f>
        <v/>
      </c>
      <c r="B497" s="12" t="n"/>
      <c r="C497">
        <f>IF($U497="","",INDEX('Per Line'!$B$2:$B$3001,$U497)&amp;"")</f>
        <v/>
      </c>
      <c r="D497">
        <f>IF($U497="","",INDEX('Per Line'!$C$2:$C$3001,$U497)&amp;"")</f>
        <v/>
      </c>
      <c r="E497">
        <f>IF($U497="","",INDEX('Per Line'!$D$2:$D$3001,$U497)&amp;"")</f>
        <v/>
      </c>
      <c r="F497">
        <f>IF($U497="","",INDEX('Per Line'!$E$2:$E$3001,$U497))</f>
        <v/>
      </c>
      <c r="G497" s="7">
        <f>IF($U497="","",F497*S497/100)</f>
        <v/>
      </c>
      <c r="H497">
        <f>IF($U497="","",INDEX('Per Line'!$O$2:$O$3001,$U497)&amp;"")</f>
        <v/>
      </c>
      <c r="I497" s="11">
        <f>IF($U497="","",INDEX('Per Line'!$Q$2:$Q$3001,$U497))</f>
        <v/>
      </c>
      <c r="J497">
        <f>IF($U497="","",INDEX('Per Line'!$R$2:$R$3001,$U497)&amp;"")</f>
        <v/>
      </c>
      <c r="K497">
        <f>IF($U497="","",Settings!$C$7)</f>
        <v/>
      </c>
      <c r="L497" s="7">
        <f>IF($U497="","",SUMIFS('Per Line'!$N$2:$N$3001,'Per Line'!$A$2:$A$3001,$A497,'Per Line'!$W$2:$W$3001,0))</f>
        <v/>
      </c>
      <c r="M497" s="7">
        <f>IF($U497="","",L497*K497)</f>
        <v/>
      </c>
      <c r="N497">
        <f>IF($U497="","",Settings!$C$6)</f>
        <v/>
      </c>
      <c r="O497" s="7">
        <f>IF($U497="","",SUMIFS('Per Line'!$N$2:$N$3001,'Per Line'!$A$2:$A$3001,$A497,'Per Line'!$W$2:$W$3001,1))</f>
        <v/>
      </c>
      <c r="P497" s="7">
        <f>IF($U497="","",O497*N497)</f>
        <v/>
      </c>
      <c r="Q497" s="7">
        <f>IF($U497="","",P497+M497)</f>
        <v/>
      </c>
      <c r="R497" s="7">
        <f>IF($U497="","",S497-Q497)</f>
        <v/>
      </c>
      <c r="S497" s="7">
        <f>IF($U497="","",L497+O497)</f>
        <v/>
      </c>
      <c r="T497" s="7">
        <f>IF($U497="","",S497-Q497-G497)</f>
        <v/>
      </c>
      <c r="U497" s="13">
        <f>IF(ROWS($U$2:$U497)&lt;=MAX('Per Line'!$V$2:$V$3001),MATCH(ROWS($U$2:$U497),'Per Line'!$V$2:$V$3001,0),"")</f>
        <v/>
      </c>
    </row>
    <row r="498">
      <c r="A498">
        <f>IF($U498="","",INDEX('Per Line'!$A$2:$A$3001,$U498)&amp;"")</f>
        <v/>
      </c>
      <c r="B498" s="12" t="n"/>
      <c r="C498">
        <f>IF($U498="","",INDEX('Per Line'!$B$2:$B$3001,$U498)&amp;"")</f>
        <v/>
      </c>
      <c r="D498">
        <f>IF($U498="","",INDEX('Per Line'!$C$2:$C$3001,$U498)&amp;"")</f>
        <v/>
      </c>
      <c r="E498">
        <f>IF($U498="","",INDEX('Per Line'!$D$2:$D$3001,$U498)&amp;"")</f>
        <v/>
      </c>
      <c r="F498">
        <f>IF($U498="","",INDEX('Per Line'!$E$2:$E$3001,$U498))</f>
        <v/>
      </c>
      <c r="G498" s="7">
        <f>IF($U498="","",F498*S498/100)</f>
        <v/>
      </c>
      <c r="H498">
        <f>IF($U498="","",INDEX('Per Line'!$O$2:$O$3001,$U498)&amp;"")</f>
        <v/>
      </c>
      <c r="I498" s="11">
        <f>IF($U498="","",INDEX('Per Line'!$Q$2:$Q$3001,$U498))</f>
        <v/>
      </c>
      <c r="J498">
        <f>IF($U498="","",INDEX('Per Line'!$R$2:$R$3001,$U498)&amp;"")</f>
        <v/>
      </c>
      <c r="K498">
        <f>IF($U498="","",Settings!$C$7)</f>
        <v/>
      </c>
      <c r="L498" s="7">
        <f>IF($U498="","",SUMIFS('Per Line'!$N$2:$N$3001,'Per Line'!$A$2:$A$3001,$A498,'Per Line'!$W$2:$W$3001,0))</f>
        <v/>
      </c>
      <c r="M498" s="7">
        <f>IF($U498="","",L498*K498)</f>
        <v/>
      </c>
      <c r="N498">
        <f>IF($U498="","",Settings!$C$6)</f>
        <v/>
      </c>
      <c r="O498" s="7">
        <f>IF($U498="","",SUMIFS('Per Line'!$N$2:$N$3001,'Per Line'!$A$2:$A$3001,$A498,'Per Line'!$W$2:$W$3001,1))</f>
        <v/>
      </c>
      <c r="P498" s="7">
        <f>IF($U498="","",O498*N498)</f>
        <v/>
      </c>
      <c r="Q498" s="7">
        <f>IF($U498="","",P498+M498)</f>
        <v/>
      </c>
      <c r="R498" s="7">
        <f>IF($U498="","",S498-Q498)</f>
        <v/>
      </c>
      <c r="S498" s="7">
        <f>IF($U498="","",L498+O498)</f>
        <v/>
      </c>
      <c r="T498" s="7">
        <f>IF($U498="","",S498-Q498-G498)</f>
        <v/>
      </c>
      <c r="U498" s="13">
        <f>IF(ROWS($U$2:$U498)&lt;=MAX('Per Line'!$V$2:$V$3001),MATCH(ROWS($U$2:$U498),'Per Line'!$V$2:$V$3001,0),"")</f>
        <v/>
      </c>
    </row>
    <row r="499">
      <c r="A499">
        <f>IF($U499="","",INDEX('Per Line'!$A$2:$A$3001,$U499)&amp;"")</f>
        <v/>
      </c>
      <c r="B499" s="12" t="n"/>
      <c r="C499">
        <f>IF($U499="","",INDEX('Per Line'!$B$2:$B$3001,$U499)&amp;"")</f>
        <v/>
      </c>
      <c r="D499">
        <f>IF($U499="","",INDEX('Per Line'!$C$2:$C$3001,$U499)&amp;"")</f>
        <v/>
      </c>
      <c r="E499">
        <f>IF($U499="","",INDEX('Per Line'!$D$2:$D$3001,$U499)&amp;"")</f>
        <v/>
      </c>
      <c r="F499">
        <f>IF($U499="","",INDEX('Per Line'!$E$2:$E$3001,$U499))</f>
        <v/>
      </c>
      <c r="G499" s="7">
        <f>IF($U499="","",F499*S499/100)</f>
        <v/>
      </c>
      <c r="H499">
        <f>IF($U499="","",INDEX('Per Line'!$O$2:$O$3001,$U499)&amp;"")</f>
        <v/>
      </c>
      <c r="I499" s="11">
        <f>IF($U499="","",INDEX('Per Line'!$Q$2:$Q$3001,$U499))</f>
        <v/>
      </c>
      <c r="J499">
        <f>IF($U499="","",INDEX('Per Line'!$R$2:$R$3001,$U499)&amp;"")</f>
        <v/>
      </c>
      <c r="K499">
        <f>IF($U499="","",Settings!$C$7)</f>
        <v/>
      </c>
      <c r="L499" s="7">
        <f>IF($U499="","",SUMIFS('Per Line'!$N$2:$N$3001,'Per Line'!$A$2:$A$3001,$A499,'Per Line'!$W$2:$W$3001,0))</f>
        <v/>
      </c>
      <c r="M499" s="7">
        <f>IF($U499="","",L499*K499)</f>
        <v/>
      </c>
      <c r="N499">
        <f>IF($U499="","",Settings!$C$6)</f>
        <v/>
      </c>
      <c r="O499" s="7">
        <f>IF($U499="","",SUMIFS('Per Line'!$N$2:$N$3001,'Per Line'!$A$2:$A$3001,$A499,'Per Line'!$W$2:$W$3001,1))</f>
        <v/>
      </c>
      <c r="P499" s="7">
        <f>IF($U499="","",O499*N499)</f>
        <v/>
      </c>
      <c r="Q499" s="7">
        <f>IF($U499="","",P499+M499)</f>
        <v/>
      </c>
      <c r="R499" s="7">
        <f>IF($U499="","",S499-Q499)</f>
        <v/>
      </c>
      <c r="S499" s="7">
        <f>IF($U499="","",L499+O499)</f>
        <v/>
      </c>
      <c r="T499" s="7">
        <f>IF($U499="","",S499-Q499-G499)</f>
        <v/>
      </c>
      <c r="U499" s="13">
        <f>IF(ROWS($U$2:$U499)&lt;=MAX('Per Line'!$V$2:$V$3001),MATCH(ROWS($U$2:$U499),'Per Line'!$V$2:$V$3001,0),"")</f>
        <v/>
      </c>
    </row>
    <row r="500">
      <c r="A500">
        <f>IF($U500="","",INDEX('Per Line'!$A$2:$A$3001,$U500)&amp;"")</f>
        <v/>
      </c>
      <c r="B500" s="12" t="n"/>
      <c r="C500">
        <f>IF($U500="","",INDEX('Per Line'!$B$2:$B$3001,$U500)&amp;"")</f>
        <v/>
      </c>
      <c r="D500">
        <f>IF($U500="","",INDEX('Per Line'!$C$2:$C$3001,$U500)&amp;"")</f>
        <v/>
      </c>
      <c r="E500">
        <f>IF($U500="","",INDEX('Per Line'!$D$2:$D$3001,$U500)&amp;"")</f>
        <v/>
      </c>
      <c r="F500">
        <f>IF($U500="","",INDEX('Per Line'!$E$2:$E$3001,$U500))</f>
        <v/>
      </c>
      <c r="G500" s="7">
        <f>IF($U500="","",F500*S500/100)</f>
        <v/>
      </c>
      <c r="H500">
        <f>IF($U500="","",INDEX('Per Line'!$O$2:$O$3001,$U500)&amp;"")</f>
        <v/>
      </c>
      <c r="I500" s="11">
        <f>IF($U500="","",INDEX('Per Line'!$Q$2:$Q$3001,$U500))</f>
        <v/>
      </c>
      <c r="J500">
        <f>IF($U500="","",INDEX('Per Line'!$R$2:$R$3001,$U500)&amp;"")</f>
        <v/>
      </c>
      <c r="K500">
        <f>IF($U500="","",Settings!$C$7)</f>
        <v/>
      </c>
      <c r="L500" s="7">
        <f>IF($U500="","",SUMIFS('Per Line'!$N$2:$N$3001,'Per Line'!$A$2:$A$3001,$A500,'Per Line'!$W$2:$W$3001,0))</f>
        <v/>
      </c>
      <c r="M500" s="7">
        <f>IF($U500="","",L500*K500)</f>
        <v/>
      </c>
      <c r="N500">
        <f>IF($U500="","",Settings!$C$6)</f>
        <v/>
      </c>
      <c r="O500" s="7">
        <f>IF($U500="","",SUMIFS('Per Line'!$N$2:$N$3001,'Per Line'!$A$2:$A$3001,$A500,'Per Line'!$W$2:$W$3001,1))</f>
        <v/>
      </c>
      <c r="P500" s="7">
        <f>IF($U500="","",O500*N500)</f>
        <v/>
      </c>
      <c r="Q500" s="7">
        <f>IF($U500="","",P500+M500)</f>
        <v/>
      </c>
      <c r="R500" s="7">
        <f>IF($U500="","",S500-Q500)</f>
        <v/>
      </c>
      <c r="S500" s="7">
        <f>IF($U500="","",L500+O500)</f>
        <v/>
      </c>
      <c r="T500" s="7">
        <f>IF($U500="","",S500-Q500-G500)</f>
        <v/>
      </c>
      <c r="U500" s="13">
        <f>IF(ROWS($U$2:$U500)&lt;=MAX('Per Line'!$V$2:$V$3001),MATCH(ROWS($U$2:$U500),'Per Line'!$V$2:$V$3001,0),"")</f>
        <v/>
      </c>
    </row>
    <row r="501">
      <c r="A501">
        <f>IF($U501="","",INDEX('Per Line'!$A$2:$A$3001,$U501)&amp;"")</f>
        <v/>
      </c>
      <c r="B501" s="12" t="n"/>
      <c r="C501">
        <f>IF($U501="","",INDEX('Per Line'!$B$2:$B$3001,$U501)&amp;"")</f>
        <v/>
      </c>
      <c r="D501">
        <f>IF($U501="","",INDEX('Per Line'!$C$2:$C$3001,$U501)&amp;"")</f>
        <v/>
      </c>
      <c r="E501">
        <f>IF($U501="","",INDEX('Per Line'!$D$2:$D$3001,$U501)&amp;"")</f>
        <v/>
      </c>
      <c r="F501">
        <f>IF($U501="","",INDEX('Per Line'!$E$2:$E$3001,$U501))</f>
        <v/>
      </c>
      <c r="G501" s="7">
        <f>IF($U501="","",F501*S501/100)</f>
        <v/>
      </c>
      <c r="H501">
        <f>IF($U501="","",INDEX('Per Line'!$O$2:$O$3001,$U501)&amp;"")</f>
        <v/>
      </c>
      <c r="I501" s="11">
        <f>IF($U501="","",INDEX('Per Line'!$Q$2:$Q$3001,$U501))</f>
        <v/>
      </c>
      <c r="J501">
        <f>IF($U501="","",INDEX('Per Line'!$R$2:$R$3001,$U501)&amp;"")</f>
        <v/>
      </c>
      <c r="K501">
        <f>IF($U501="","",Settings!$C$7)</f>
        <v/>
      </c>
      <c r="L501" s="7">
        <f>IF($U501="","",SUMIFS('Per Line'!$N$2:$N$3001,'Per Line'!$A$2:$A$3001,$A501,'Per Line'!$W$2:$W$3001,0))</f>
        <v/>
      </c>
      <c r="M501" s="7">
        <f>IF($U501="","",L501*K501)</f>
        <v/>
      </c>
      <c r="N501">
        <f>IF($U501="","",Settings!$C$6)</f>
        <v/>
      </c>
      <c r="O501" s="7">
        <f>IF($U501="","",SUMIFS('Per Line'!$N$2:$N$3001,'Per Line'!$A$2:$A$3001,$A501,'Per Line'!$W$2:$W$3001,1))</f>
        <v/>
      </c>
      <c r="P501" s="7">
        <f>IF($U501="","",O501*N501)</f>
        <v/>
      </c>
      <c r="Q501" s="7">
        <f>IF($U501="","",P501+M501)</f>
        <v/>
      </c>
      <c r="R501" s="7">
        <f>IF($U501="","",S501-Q501)</f>
        <v/>
      </c>
      <c r="S501" s="7">
        <f>IF($U501="","",L501+O501)</f>
        <v/>
      </c>
      <c r="T501" s="7">
        <f>IF($U501="","",S501-Q501-G501)</f>
        <v/>
      </c>
      <c r="U501" s="13">
        <f>IF(ROWS($U$2:$U501)&lt;=MAX('Per Line'!$V$2:$V$3001),MATCH(ROWS($U$2:$U501),'Per Line'!$V$2:$V$3001,0),"")</f>
        <v/>
      </c>
    </row>
    <row r="502">
      <c r="A502">
        <f>IF($U502="","",INDEX('Per Line'!$A$2:$A$3001,$U502)&amp;"")</f>
        <v/>
      </c>
      <c r="B502" s="12" t="n"/>
      <c r="C502">
        <f>IF($U502="","",INDEX('Per Line'!$B$2:$B$3001,$U502)&amp;"")</f>
        <v/>
      </c>
      <c r="D502">
        <f>IF($U502="","",INDEX('Per Line'!$C$2:$C$3001,$U502)&amp;"")</f>
        <v/>
      </c>
      <c r="E502">
        <f>IF($U502="","",INDEX('Per Line'!$D$2:$D$3001,$U502)&amp;"")</f>
        <v/>
      </c>
      <c r="F502">
        <f>IF($U502="","",INDEX('Per Line'!$E$2:$E$3001,$U502))</f>
        <v/>
      </c>
      <c r="G502" s="7">
        <f>IF($U502="","",F502*S502/100)</f>
        <v/>
      </c>
      <c r="H502">
        <f>IF($U502="","",INDEX('Per Line'!$O$2:$O$3001,$U502)&amp;"")</f>
        <v/>
      </c>
      <c r="I502" s="11">
        <f>IF($U502="","",INDEX('Per Line'!$Q$2:$Q$3001,$U502))</f>
        <v/>
      </c>
      <c r="J502">
        <f>IF($U502="","",INDEX('Per Line'!$R$2:$R$3001,$U502)&amp;"")</f>
        <v/>
      </c>
      <c r="K502">
        <f>IF($U502="","",Settings!$C$7)</f>
        <v/>
      </c>
      <c r="L502" s="7">
        <f>IF($U502="","",SUMIFS('Per Line'!$N$2:$N$3001,'Per Line'!$A$2:$A$3001,$A502,'Per Line'!$W$2:$W$3001,0))</f>
        <v/>
      </c>
      <c r="M502" s="7">
        <f>IF($U502="","",L502*K502)</f>
        <v/>
      </c>
      <c r="N502">
        <f>IF($U502="","",Settings!$C$6)</f>
        <v/>
      </c>
      <c r="O502" s="7">
        <f>IF($U502="","",SUMIFS('Per Line'!$N$2:$N$3001,'Per Line'!$A$2:$A$3001,$A502,'Per Line'!$W$2:$W$3001,1))</f>
        <v/>
      </c>
      <c r="P502" s="7">
        <f>IF($U502="","",O502*N502)</f>
        <v/>
      </c>
      <c r="Q502" s="7">
        <f>IF($U502="","",P502+M502)</f>
        <v/>
      </c>
      <c r="R502" s="7">
        <f>IF($U502="","",S502-Q502)</f>
        <v/>
      </c>
      <c r="S502" s="7">
        <f>IF($U502="","",L502+O502)</f>
        <v/>
      </c>
      <c r="T502" s="7">
        <f>IF($U502="","",S502-Q502-G502)</f>
        <v/>
      </c>
      <c r="U502" s="13">
        <f>IF(ROWS($U$2:$U502)&lt;=MAX('Per Line'!$V$2:$V$3001),MATCH(ROWS($U$2:$U502),'Per Line'!$V$2:$V$3001,0),"")</f>
        <v/>
      </c>
    </row>
    <row r="503">
      <c r="A503">
        <f>IF($U503="","",INDEX('Per Line'!$A$2:$A$3001,$U503)&amp;"")</f>
        <v/>
      </c>
      <c r="B503" s="12" t="n"/>
      <c r="C503">
        <f>IF($U503="","",INDEX('Per Line'!$B$2:$B$3001,$U503)&amp;"")</f>
        <v/>
      </c>
      <c r="D503">
        <f>IF($U503="","",INDEX('Per Line'!$C$2:$C$3001,$U503)&amp;"")</f>
        <v/>
      </c>
      <c r="E503">
        <f>IF($U503="","",INDEX('Per Line'!$D$2:$D$3001,$U503)&amp;"")</f>
        <v/>
      </c>
      <c r="F503">
        <f>IF($U503="","",INDEX('Per Line'!$E$2:$E$3001,$U503))</f>
        <v/>
      </c>
      <c r="G503" s="7">
        <f>IF($U503="","",F503*S503/100)</f>
        <v/>
      </c>
      <c r="H503">
        <f>IF($U503="","",INDEX('Per Line'!$O$2:$O$3001,$U503)&amp;"")</f>
        <v/>
      </c>
      <c r="I503" s="11">
        <f>IF($U503="","",INDEX('Per Line'!$Q$2:$Q$3001,$U503))</f>
        <v/>
      </c>
      <c r="J503">
        <f>IF($U503="","",INDEX('Per Line'!$R$2:$R$3001,$U503)&amp;"")</f>
        <v/>
      </c>
      <c r="K503">
        <f>IF($U503="","",Settings!$C$7)</f>
        <v/>
      </c>
      <c r="L503" s="7">
        <f>IF($U503="","",SUMIFS('Per Line'!$N$2:$N$3001,'Per Line'!$A$2:$A$3001,$A503,'Per Line'!$W$2:$W$3001,0))</f>
        <v/>
      </c>
      <c r="M503" s="7">
        <f>IF($U503="","",L503*K503)</f>
        <v/>
      </c>
      <c r="N503">
        <f>IF($U503="","",Settings!$C$6)</f>
        <v/>
      </c>
      <c r="O503" s="7">
        <f>IF($U503="","",SUMIFS('Per Line'!$N$2:$N$3001,'Per Line'!$A$2:$A$3001,$A503,'Per Line'!$W$2:$W$3001,1))</f>
        <v/>
      </c>
      <c r="P503" s="7">
        <f>IF($U503="","",O503*N503)</f>
        <v/>
      </c>
      <c r="Q503" s="7">
        <f>IF($U503="","",P503+M503)</f>
        <v/>
      </c>
      <c r="R503" s="7">
        <f>IF($U503="","",S503-Q503)</f>
        <v/>
      </c>
      <c r="S503" s="7">
        <f>IF($U503="","",L503+O503)</f>
        <v/>
      </c>
      <c r="T503" s="7">
        <f>IF($U503="","",S503-Q503-G503)</f>
        <v/>
      </c>
      <c r="U503" s="13">
        <f>IF(ROWS($U$2:$U503)&lt;=MAX('Per Line'!$V$2:$V$3001),MATCH(ROWS($U$2:$U503),'Per Line'!$V$2:$V$3001,0),"")</f>
        <v/>
      </c>
    </row>
    <row r="504">
      <c r="A504">
        <f>IF($U504="","",INDEX('Per Line'!$A$2:$A$3001,$U504)&amp;"")</f>
        <v/>
      </c>
      <c r="B504" s="12" t="n"/>
      <c r="C504">
        <f>IF($U504="","",INDEX('Per Line'!$B$2:$B$3001,$U504)&amp;"")</f>
        <v/>
      </c>
      <c r="D504">
        <f>IF($U504="","",INDEX('Per Line'!$C$2:$C$3001,$U504)&amp;"")</f>
        <v/>
      </c>
      <c r="E504">
        <f>IF($U504="","",INDEX('Per Line'!$D$2:$D$3001,$U504)&amp;"")</f>
        <v/>
      </c>
      <c r="F504">
        <f>IF($U504="","",INDEX('Per Line'!$E$2:$E$3001,$U504))</f>
        <v/>
      </c>
      <c r="G504" s="7">
        <f>IF($U504="","",F504*S504/100)</f>
        <v/>
      </c>
      <c r="H504">
        <f>IF($U504="","",INDEX('Per Line'!$O$2:$O$3001,$U504)&amp;"")</f>
        <v/>
      </c>
      <c r="I504" s="11">
        <f>IF($U504="","",INDEX('Per Line'!$Q$2:$Q$3001,$U504))</f>
        <v/>
      </c>
      <c r="J504">
        <f>IF($U504="","",INDEX('Per Line'!$R$2:$R$3001,$U504)&amp;"")</f>
        <v/>
      </c>
      <c r="K504">
        <f>IF($U504="","",Settings!$C$7)</f>
        <v/>
      </c>
      <c r="L504" s="7">
        <f>IF($U504="","",SUMIFS('Per Line'!$N$2:$N$3001,'Per Line'!$A$2:$A$3001,$A504,'Per Line'!$W$2:$W$3001,0))</f>
        <v/>
      </c>
      <c r="M504" s="7">
        <f>IF($U504="","",L504*K504)</f>
        <v/>
      </c>
      <c r="N504">
        <f>IF($U504="","",Settings!$C$6)</f>
        <v/>
      </c>
      <c r="O504" s="7">
        <f>IF($U504="","",SUMIFS('Per Line'!$N$2:$N$3001,'Per Line'!$A$2:$A$3001,$A504,'Per Line'!$W$2:$W$3001,1))</f>
        <v/>
      </c>
      <c r="P504" s="7">
        <f>IF($U504="","",O504*N504)</f>
        <v/>
      </c>
      <c r="Q504" s="7">
        <f>IF($U504="","",P504+M504)</f>
        <v/>
      </c>
      <c r="R504" s="7">
        <f>IF($U504="","",S504-Q504)</f>
        <v/>
      </c>
      <c r="S504" s="7">
        <f>IF($U504="","",L504+O504)</f>
        <v/>
      </c>
      <c r="T504" s="7">
        <f>IF($U504="","",S504-Q504-G504)</f>
        <v/>
      </c>
      <c r="U504" s="13">
        <f>IF(ROWS($U$2:$U504)&lt;=MAX('Per Line'!$V$2:$V$3001),MATCH(ROWS($U$2:$U504),'Per Line'!$V$2:$V$3001,0),"")</f>
        <v/>
      </c>
    </row>
    <row r="505">
      <c r="A505">
        <f>IF($U505="","",INDEX('Per Line'!$A$2:$A$3001,$U505)&amp;"")</f>
        <v/>
      </c>
      <c r="B505" s="12" t="n"/>
      <c r="C505">
        <f>IF($U505="","",INDEX('Per Line'!$B$2:$B$3001,$U505)&amp;"")</f>
        <v/>
      </c>
      <c r="D505">
        <f>IF($U505="","",INDEX('Per Line'!$C$2:$C$3001,$U505)&amp;"")</f>
        <v/>
      </c>
      <c r="E505">
        <f>IF($U505="","",INDEX('Per Line'!$D$2:$D$3001,$U505)&amp;"")</f>
        <v/>
      </c>
      <c r="F505">
        <f>IF($U505="","",INDEX('Per Line'!$E$2:$E$3001,$U505))</f>
        <v/>
      </c>
      <c r="G505" s="7">
        <f>IF($U505="","",F505*S505/100)</f>
        <v/>
      </c>
      <c r="H505">
        <f>IF($U505="","",INDEX('Per Line'!$O$2:$O$3001,$U505)&amp;"")</f>
        <v/>
      </c>
      <c r="I505" s="11">
        <f>IF($U505="","",INDEX('Per Line'!$Q$2:$Q$3001,$U505))</f>
        <v/>
      </c>
      <c r="J505">
        <f>IF($U505="","",INDEX('Per Line'!$R$2:$R$3001,$U505)&amp;"")</f>
        <v/>
      </c>
      <c r="K505">
        <f>IF($U505="","",Settings!$C$7)</f>
        <v/>
      </c>
      <c r="L505" s="7">
        <f>IF($U505="","",SUMIFS('Per Line'!$N$2:$N$3001,'Per Line'!$A$2:$A$3001,$A505,'Per Line'!$W$2:$W$3001,0))</f>
        <v/>
      </c>
      <c r="M505" s="7">
        <f>IF($U505="","",L505*K505)</f>
        <v/>
      </c>
      <c r="N505">
        <f>IF($U505="","",Settings!$C$6)</f>
        <v/>
      </c>
      <c r="O505" s="7">
        <f>IF($U505="","",SUMIFS('Per Line'!$N$2:$N$3001,'Per Line'!$A$2:$A$3001,$A505,'Per Line'!$W$2:$W$3001,1))</f>
        <v/>
      </c>
      <c r="P505" s="7">
        <f>IF($U505="","",O505*N505)</f>
        <v/>
      </c>
      <c r="Q505" s="7">
        <f>IF($U505="","",P505+M505)</f>
        <v/>
      </c>
      <c r="R505" s="7">
        <f>IF($U505="","",S505-Q505)</f>
        <v/>
      </c>
      <c r="S505" s="7">
        <f>IF($U505="","",L505+O505)</f>
        <v/>
      </c>
      <c r="T505" s="7">
        <f>IF($U505="","",S505-Q505-G505)</f>
        <v/>
      </c>
      <c r="U505" s="13">
        <f>IF(ROWS($U$2:$U505)&lt;=MAX('Per Line'!$V$2:$V$3001),MATCH(ROWS($U$2:$U505),'Per Line'!$V$2:$V$3001,0),"")</f>
        <v/>
      </c>
    </row>
    <row r="506">
      <c r="A506">
        <f>IF($U506="","",INDEX('Per Line'!$A$2:$A$3001,$U506)&amp;"")</f>
        <v/>
      </c>
      <c r="B506" s="12" t="n"/>
      <c r="C506">
        <f>IF($U506="","",INDEX('Per Line'!$B$2:$B$3001,$U506)&amp;"")</f>
        <v/>
      </c>
      <c r="D506">
        <f>IF($U506="","",INDEX('Per Line'!$C$2:$C$3001,$U506)&amp;"")</f>
        <v/>
      </c>
      <c r="E506">
        <f>IF($U506="","",INDEX('Per Line'!$D$2:$D$3001,$U506)&amp;"")</f>
        <v/>
      </c>
      <c r="F506">
        <f>IF($U506="","",INDEX('Per Line'!$E$2:$E$3001,$U506))</f>
        <v/>
      </c>
      <c r="G506" s="7">
        <f>IF($U506="","",F506*S506/100)</f>
        <v/>
      </c>
      <c r="H506">
        <f>IF($U506="","",INDEX('Per Line'!$O$2:$O$3001,$U506)&amp;"")</f>
        <v/>
      </c>
      <c r="I506" s="11">
        <f>IF($U506="","",INDEX('Per Line'!$Q$2:$Q$3001,$U506))</f>
        <v/>
      </c>
      <c r="J506">
        <f>IF($U506="","",INDEX('Per Line'!$R$2:$R$3001,$U506)&amp;"")</f>
        <v/>
      </c>
      <c r="K506">
        <f>IF($U506="","",Settings!$C$7)</f>
        <v/>
      </c>
      <c r="L506" s="7">
        <f>IF($U506="","",SUMIFS('Per Line'!$N$2:$N$3001,'Per Line'!$A$2:$A$3001,$A506,'Per Line'!$W$2:$W$3001,0))</f>
        <v/>
      </c>
      <c r="M506" s="7">
        <f>IF($U506="","",L506*K506)</f>
        <v/>
      </c>
      <c r="N506">
        <f>IF($U506="","",Settings!$C$6)</f>
        <v/>
      </c>
      <c r="O506" s="7">
        <f>IF($U506="","",SUMIFS('Per Line'!$N$2:$N$3001,'Per Line'!$A$2:$A$3001,$A506,'Per Line'!$W$2:$W$3001,1))</f>
        <v/>
      </c>
      <c r="P506" s="7">
        <f>IF($U506="","",O506*N506)</f>
        <v/>
      </c>
      <c r="Q506" s="7">
        <f>IF($U506="","",P506+M506)</f>
        <v/>
      </c>
      <c r="R506" s="7">
        <f>IF($U506="","",S506-Q506)</f>
        <v/>
      </c>
      <c r="S506" s="7">
        <f>IF($U506="","",L506+O506)</f>
        <v/>
      </c>
      <c r="T506" s="7">
        <f>IF($U506="","",S506-Q506-G506)</f>
        <v/>
      </c>
      <c r="U506" s="13">
        <f>IF(ROWS($U$2:$U506)&lt;=MAX('Per Line'!$V$2:$V$3001),MATCH(ROWS($U$2:$U506),'Per Line'!$V$2:$V$3001,0),"")</f>
        <v/>
      </c>
    </row>
    <row r="507">
      <c r="A507">
        <f>IF($U507="","",INDEX('Per Line'!$A$2:$A$3001,$U507)&amp;"")</f>
        <v/>
      </c>
      <c r="B507" s="12" t="n"/>
      <c r="C507">
        <f>IF($U507="","",INDEX('Per Line'!$B$2:$B$3001,$U507)&amp;"")</f>
        <v/>
      </c>
      <c r="D507">
        <f>IF($U507="","",INDEX('Per Line'!$C$2:$C$3001,$U507)&amp;"")</f>
        <v/>
      </c>
      <c r="E507">
        <f>IF($U507="","",INDEX('Per Line'!$D$2:$D$3001,$U507)&amp;"")</f>
        <v/>
      </c>
      <c r="F507">
        <f>IF($U507="","",INDEX('Per Line'!$E$2:$E$3001,$U507))</f>
        <v/>
      </c>
      <c r="G507" s="7">
        <f>IF($U507="","",F507*S507/100)</f>
        <v/>
      </c>
      <c r="H507">
        <f>IF($U507="","",INDEX('Per Line'!$O$2:$O$3001,$U507)&amp;"")</f>
        <v/>
      </c>
      <c r="I507" s="11">
        <f>IF($U507="","",INDEX('Per Line'!$Q$2:$Q$3001,$U507))</f>
        <v/>
      </c>
      <c r="J507">
        <f>IF($U507="","",INDEX('Per Line'!$R$2:$R$3001,$U507)&amp;"")</f>
        <v/>
      </c>
      <c r="K507">
        <f>IF($U507="","",Settings!$C$7)</f>
        <v/>
      </c>
      <c r="L507" s="7">
        <f>IF($U507="","",SUMIFS('Per Line'!$N$2:$N$3001,'Per Line'!$A$2:$A$3001,$A507,'Per Line'!$W$2:$W$3001,0))</f>
        <v/>
      </c>
      <c r="M507" s="7">
        <f>IF($U507="","",L507*K507)</f>
        <v/>
      </c>
      <c r="N507">
        <f>IF($U507="","",Settings!$C$6)</f>
        <v/>
      </c>
      <c r="O507" s="7">
        <f>IF($U507="","",SUMIFS('Per Line'!$N$2:$N$3001,'Per Line'!$A$2:$A$3001,$A507,'Per Line'!$W$2:$W$3001,1))</f>
        <v/>
      </c>
      <c r="P507" s="7">
        <f>IF($U507="","",O507*N507)</f>
        <v/>
      </c>
      <c r="Q507" s="7">
        <f>IF($U507="","",P507+M507)</f>
        <v/>
      </c>
      <c r="R507" s="7">
        <f>IF($U507="","",S507-Q507)</f>
        <v/>
      </c>
      <c r="S507" s="7">
        <f>IF($U507="","",L507+O507)</f>
        <v/>
      </c>
      <c r="T507" s="7">
        <f>IF($U507="","",S507-Q507-G507)</f>
        <v/>
      </c>
      <c r="U507" s="13">
        <f>IF(ROWS($U$2:$U507)&lt;=MAX('Per Line'!$V$2:$V$3001),MATCH(ROWS($U$2:$U507),'Per Line'!$V$2:$V$3001,0),"")</f>
        <v/>
      </c>
    </row>
    <row r="508">
      <c r="A508">
        <f>IF($U508="","",INDEX('Per Line'!$A$2:$A$3001,$U508)&amp;"")</f>
        <v/>
      </c>
      <c r="B508" s="12" t="n"/>
      <c r="C508">
        <f>IF($U508="","",INDEX('Per Line'!$B$2:$B$3001,$U508)&amp;"")</f>
        <v/>
      </c>
      <c r="D508">
        <f>IF($U508="","",INDEX('Per Line'!$C$2:$C$3001,$U508)&amp;"")</f>
        <v/>
      </c>
      <c r="E508">
        <f>IF($U508="","",INDEX('Per Line'!$D$2:$D$3001,$U508)&amp;"")</f>
        <v/>
      </c>
      <c r="F508">
        <f>IF($U508="","",INDEX('Per Line'!$E$2:$E$3001,$U508))</f>
        <v/>
      </c>
      <c r="G508" s="7">
        <f>IF($U508="","",F508*S508/100)</f>
        <v/>
      </c>
      <c r="H508">
        <f>IF($U508="","",INDEX('Per Line'!$O$2:$O$3001,$U508)&amp;"")</f>
        <v/>
      </c>
      <c r="I508" s="11">
        <f>IF($U508="","",INDEX('Per Line'!$Q$2:$Q$3001,$U508))</f>
        <v/>
      </c>
      <c r="J508">
        <f>IF($U508="","",INDEX('Per Line'!$R$2:$R$3001,$U508)&amp;"")</f>
        <v/>
      </c>
      <c r="K508">
        <f>IF($U508="","",Settings!$C$7)</f>
        <v/>
      </c>
      <c r="L508" s="7">
        <f>IF($U508="","",SUMIFS('Per Line'!$N$2:$N$3001,'Per Line'!$A$2:$A$3001,$A508,'Per Line'!$W$2:$W$3001,0))</f>
        <v/>
      </c>
      <c r="M508" s="7">
        <f>IF($U508="","",L508*K508)</f>
        <v/>
      </c>
      <c r="N508">
        <f>IF($U508="","",Settings!$C$6)</f>
        <v/>
      </c>
      <c r="O508" s="7">
        <f>IF($U508="","",SUMIFS('Per Line'!$N$2:$N$3001,'Per Line'!$A$2:$A$3001,$A508,'Per Line'!$W$2:$W$3001,1))</f>
        <v/>
      </c>
      <c r="P508" s="7">
        <f>IF($U508="","",O508*N508)</f>
        <v/>
      </c>
      <c r="Q508" s="7">
        <f>IF($U508="","",P508+M508)</f>
        <v/>
      </c>
      <c r="R508" s="7">
        <f>IF($U508="","",S508-Q508)</f>
        <v/>
      </c>
      <c r="S508" s="7">
        <f>IF($U508="","",L508+O508)</f>
        <v/>
      </c>
      <c r="T508" s="7">
        <f>IF($U508="","",S508-Q508-G508)</f>
        <v/>
      </c>
      <c r="U508" s="13">
        <f>IF(ROWS($U$2:$U508)&lt;=MAX('Per Line'!$V$2:$V$3001),MATCH(ROWS($U$2:$U508),'Per Line'!$V$2:$V$3001,0),"")</f>
        <v/>
      </c>
    </row>
    <row r="509">
      <c r="A509">
        <f>IF($U509="","",INDEX('Per Line'!$A$2:$A$3001,$U509)&amp;"")</f>
        <v/>
      </c>
      <c r="B509" s="12" t="n"/>
      <c r="C509">
        <f>IF($U509="","",INDEX('Per Line'!$B$2:$B$3001,$U509)&amp;"")</f>
        <v/>
      </c>
      <c r="D509">
        <f>IF($U509="","",INDEX('Per Line'!$C$2:$C$3001,$U509)&amp;"")</f>
        <v/>
      </c>
      <c r="E509">
        <f>IF($U509="","",INDEX('Per Line'!$D$2:$D$3001,$U509)&amp;"")</f>
        <v/>
      </c>
      <c r="F509">
        <f>IF($U509="","",INDEX('Per Line'!$E$2:$E$3001,$U509))</f>
        <v/>
      </c>
      <c r="G509" s="7">
        <f>IF($U509="","",F509*S509/100)</f>
        <v/>
      </c>
      <c r="H509">
        <f>IF($U509="","",INDEX('Per Line'!$O$2:$O$3001,$U509)&amp;"")</f>
        <v/>
      </c>
      <c r="I509" s="11">
        <f>IF($U509="","",INDEX('Per Line'!$Q$2:$Q$3001,$U509))</f>
        <v/>
      </c>
      <c r="J509">
        <f>IF($U509="","",INDEX('Per Line'!$R$2:$R$3001,$U509)&amp;"")</f>
        <v/>
      </c>
      <c r="K509">
        <f>IF($U509="","",Settings!$C$7)</f>
        <v/>
      </c>
      <c r="L509" s="7">
        <f>IF($U509="","",SUMIFS('Per Line'!$N$2:$N$3001,'Per Line'!$A$2:$A$3001,$A509,'Per Line'!$W$2:$W$3001,0))</f>
        <v/>
      </c>
      <c r="M509" s="7">
        <f>IF($U509="","",L509*K509)</f>
        <v/>
      </c>
      <c r="N509">
        <f>IF($U509="","",Settings!$C$6)</f>
        <v/>
      </c>
      <c r="O509" s="7">
        <f>IF($U509="","",SUMIFS('Per Line'!$N$2:$N$3001,'Per Line'!$A$2:$A$3001,$A509,'Per Line'!$W$2:$W$3001,1))</f>
        <v/>
      </c>
      <c r="P509" s="7">
        <f>IF($U509="","",O509*N509)</f>
        <v/>
      </c>
      <c r="Q509" s="7">
        <f>IF($U509="","",P509+M509)</f>
        <v/>
      </c>
      <c r="R509" s="7">
        <f>IF($U509="","",S509-Q509)</f>
        <v/>
      </c>
      <c r="S509" s="7">
        <f>IF($U509="","",L509+O509)</f>
        <v/>
      </c>
      <c r="T509" s="7">
        <f>IF($U509="","",S509-Q509-G509)</f>
        <v/>
      </c>
      <c r="U509" s="13">
        <f>IF(ROWS($U$2:$U509)&lt;=MAX('Per Line'!$V$2:$V$3001),MATCH(ROWS($U$2:$U509),'Per Line'!$V$2:$V$3001,0),"")</f>
        <v/>
      </c>
    </row>
    <row r="510">
      <c r="A510">
        <f>IF($U510="","",INDEX('Per Line'!$A$2:$A$3001,$U510)&amp;"")</f>
        <v/>
      </c>
      <c r="B510" s="12" t="n"/>
      <c r="C510">
        <f>IF($U510="","",INDEX('Per Line'!$B$2:$B$3001,$U510)&amp;"")</f>
        <v/>
      </c>
      <c r="D510">
        <f>IF($U510="","",INDEX('Per Line'!$C$2:$C$3001,$U510)&amp;"")</f>
        <v/>
      </c>
      <c r="E510">
        <f>IF($U510="","",INDEX('Per Line'!$D$2:$D$3001,$U510)&amp;"")</f>
        <v/>
      </c>
      <c r="F510">
        <f>IF($U510="","",INDEX('Per Line'!$E$2:$E$3001,$U510))</f>
        <v/>
      </c>
      <c r="G510" s="7">
        <f>IF($U510="","",F510*S510/100)</f>
        <v/>
      </c>
      <c r="H510">
        <f>IF($U510="","",INDEX('Per Line'!$O$2:$O$3001,$U510)&amp;"")</f>
        <v/>
      </c>
      <c r="I510" s="11">
        <f>IF($U510="","",INDEX('Per Line'!$Q$2:$Q$3001,$U510))</f>
        <v/>
      </c>
      <c r="J510">
        <f>IF($U510="","",INDEX('Per Line'!$R$2:$R$3001,$U510)&amp;"")</f>
        <v/>
      </c>
      <c r="K510">
        <f>IF($U510="","",Settings!$C$7)</f>
        <v/>
      </c>
      <c r="L510" s="7">
        <f>IF($U510="","",SUMIFS('Per Line'!$N$2:$N$3001,'Per Line'!$A$2:$A$3001,$A510,'Per Line'!$W$2:$W$3001,0))</f>
        <v/>
      </c>
      <c r="M510" s="7">
        <f>IF($U510="","",L510*K510)</f>
        <v/>
      </c>
      <c r="N510">
        <f>IF($U510="","",Settings!$C$6)</f>
        <v/>
      </c>
      <c r="O510" s="7">
        <f>IF($U510="","",SUMIFS('Per Line'!$N$2:$N$3001,'Per Line'!$A$2:$A$3001,$A510,'Per Line'!$W$2:$W$3001,1))</f>
        <v/>
      </c>
      <c r="P510" s="7">
        <f>IF($U510="","",O510*N510)</f>
        <v/>
      </c>
      <c r="Q510" s="7">
        <f>IF($U510="","",P510+M510)</f>
        <v/>
      </c>
      <c r="R510" s="7">
        <f>IF($U510="","",S510-Q510)</f>
        <v/>
      </c>
      <c r="S510" s="7">
        <f>IF($U510="","",L510+O510)</f>
        <v/>
      </c>
      <c r="T510" s="7">
        <f>IF($U510="","",S510-Q510-G510)</f>
        <v/>
      </c>
      <c r="U510" s="13">
        <f>IF(ROWS($U$2:$U510)&lt;=MAX('Per Line'!$V$2:$V$3001),MATCH(ROWS($U$2:$U510),'Per Line'!$V$2:$V$3001,0),"")</f>
        <v/>
      </c>
    </row>
    <row r="511">
      <c r="A511">
        <f>IF($U511="","",INDEX('Per Line'!$A$2:$A$3001,$U511)&amp;"")</f>
        <v/>
      </c>
      <c r="B511" s="12" t="n"/>
      <c r="C511">
        <f>IF($U511="","",INDEX('Per Line'!$B$2:$B$3001,$U511)&amp;"")</f>
        <v/>
      </c>
      <c r="D511">
        <f>IF($U511="","",INDEX('Per Line'!$C$2:$C$3001,$U511)&amp;"")</f>
        <v/>
      </c>
      <c r="E511">
        <f>IF($U511="","",INDEX('Per Line'!$D$2:$D$3001,$U511)&amp;"")</f>
        <v/>
      </c>
      <c r="F511">
        <f>IF($U511="","",INDEX('Per Line'!$E$2:$E$3001,$U511))</f>
        <v/>
      </c>
      <c r="G511" s="7">
        <f>IF($U511="","",F511*S511/100)</f>
        <v/>
      </c>
      <c r="H511">
        <f>IF($U511="","",INDEX('Per Line'!$O$2:$O$3001,$U511)&amp;"")</f>
        <v/>
      </c>
      <c r="I511" s="11">
        <f>IF($U511="","",INDEX('Per Line'!$Q$2:$Q$3001,$U511))</f>
        <v/>
      </c>
      <c r="J511">
        <f>IF($U511="","",INDEX('Per Line'!$R$2:$R$3001,$U511)&amp;"")</f>
        <v/>
      </c>
      <c r="K511">
        <f>IF($U511="","",Settings!$C$7)</f>
        <v/>
      </c>
      <c r="L511" s="7">
        <f>IF($U511="","",SUMIFS('Per Line'!$N$2:$N$3001,'Per Line'!$A$2:$A$3001,$A511,'Per Line'!$W$2:$W$3001,0))</f>
        <v/>
      </c>
      <c r="M511" s="7">
        <f>IF($U511="","",L511*K511)</f>
        <v/>
      </c>
      <c r="N511">
        <f>IF($U511="","",Settings!$C$6)</f>
        <v/>
      </c>
      <c r="O511" s="7">
        <f>IF($U511="","",SUMIFS('Per Line'!$N$2:$N$3001,'Per Line'!$A$2:$A$3001,$A511,'Per Line'!$W$2:$W$3001,1))</f>
        <v/>
      </c>
      <c r="P511" s="7">
        <f>IF($U511="","",O511*N511)</f>
        <v/>
      </c>
      <c r="Q511" s="7">
        <f>IF($U511="","",P511+M511)</f>
        <v/>
      </c>
      <c r="R511" s="7">
        <f>IF($U511="","",S511-Q511)</f>
        <v/>
      </c>
      <c r="S511" s="7">
        <f>IF($U511="","",L511+O511)</f>
        <v/>
      </c>
      <c r="T511" s="7">
        <f>IF($U511="","",S511-Q511-G511)</f>
        <v/>
      </c>
      <c r="U511" s="13">
        <f>IF(ROWS($U$2:$U511)&lt;=MAX('Per Line'!$V$2:$V$3001),MATCH(ROWS($U$2:$U511),'Per Line'!$V$2:$V$3001,0),"")</f>
        <v/>
      </c>
    </row>
    <row r="512">
      <c r="A512">
        <f>IF($U512="","",INDEX('Per Line'!$A$2:$A$3001,$U512)&amp;"")</f>
        <v/>
      </c>
      <c r="B512" s="12" t="n"/>
      <c r="C512">
        <f>IF($U512="","",INDEX('Per Line'!$B$2:$B$3001,$U512)&amp;"")</f>
        <v/>
      </c>
      <c r="D512">
        <f>IF($U512="","",INDEX('Per Line'!$C$2:$C$3001,$U512)&amp;"")</f>
        <v/>
      </c>
      <c r="E512">
        <f>IF($U512="","",INDEX('Per Line'!$D$2:$D$3001,$U512)&amp;"")</f>
        <v/>
      </c>
      <c r="F512">
        <f>IF($U512="","",INDEX('Per Line'!$E$2:$E$3001,$U512))</f>
        <v/>
      </c>
      <c r="G512" s="7">
        <f>IF($U512="","",F512*S512/100)</f>
        <v/>
      </c>
      <c r="H512">
        <f>IF($U512="","",INDEX('Per Line'!$O$2:$O$3001,$U512)&amp;"")</f>
        <v/>
      </c>
      <c r="I512" s="11">
        <f>IF($U512="","",INDEX('Per Line'!$Q$2:$Q$3001,$U512))</f>
        <v/>
      </c>
      <c r="J512">
        <f>IF($U512="","",INDEX('Per Line'!$R$2:$R$3001,$U512)&amp;"")</f>
        <v/>
      </c>
      <c r="K512">
        <f>IF($U512="","",Settings!$C$7)</f>
        <v/>
      </c>
      <c r="L512" s="7">
        <f>IF($U512="","",SUMIFS('Per Line'!$N$2:$N$3001,'Per Line'!$A$2:$A$3001,$A512,'Per Line'!$W$2:$W$3001,0))</f>
        <v/>
      </c>
      <c r="M512" s="7">
        <f>IF($U512="","",L512*K512)</f>
        <v/>
      </c>
      <c r="N512">
        <f>IF($U512="","",Settings!$C$6)</f>
        <v/>
      </c>
      <c r="O512" s="7">
        <f>IF($U512="","",SUMIFS('Per Line'!$N$2:$N$3001,'Per Line'!$A$2:$A$3001,$A512,'Per Line'!$W$2:$W$3001,1))</f>
        <v/>
      </c>
      <c r="P512" s="7">
        <f>IF($U512="","",O512*N512)</f>
        <v/>
      </c>
      <c r="Q512" s="7">
        <f>IF($U512="","",P512+M512)</f>
        <v/>
      </c>
      <c r="R512" s="7">
        <f>IF($U512="","",S512-Q512)</f>
        <v/>
      </c>
      <c r="S512" s="7">
        <f>IF($U512="","",L512+O512)</f>
        <v/>
      </c>
      <c r="T512" s="7">
        <f>IF($U512="","",S512-Q512-G512)</f>
        <v/>
      </c>
      <c r="U512" s="13">
        <f>IF(ROWS($U$2:$U512)&lt;=MAX('Per Line'!$V$2:$V$3001),MATCH(ROWS($U$2:$U512),'Per Line'!$V$2:$V$3001,0),"")</f>
        <v/>
      </c>
    </row>
    <row r="513">
      <c r="A513">
        <f>IF($U513="","",INDEX('Per Line'!$A$2:$A$3001,$U513)&amp;"")</f>
        <v/>
      </c>
      <c r="B513" s="12" t="n"/>
      <c r="C513">
        <f>IF($U513="","",INDEX('Per Line'!$B$2:$B$3001,$U513)&amp;"")</f>
        <v/>
      </c>
      <c r="D513">
        <f>IF($U513="","",INDEX('Per Line'!$C$2:$C$3001,$U513)&amp;"")</f>
        <v/>
      </c>
      <c r="E513">
        <f>IF($U513="","",INDEX('Per Line'!$D$2:$D$3001,$U513)&amp;"")</f>
        <v/>
      </c>
      <c r="F513">
        <f>IF($U513="","",INDEX('Per Line'!$E$2:$E$3001,$U513))</f>
        <v/>
      </c>
      <c r="G513" s="7">
        <f>IF($U513="","",F513*S513/100)</f>
        <v/>
      </c>
      <c r="H513">
        <f>IF($U513="","",INDEX('Per Line'!$O$2:$O$3001,$U513)&amp;"")</f>
        <v/>
      </c>
      <c r="I513" s="11">
        <f>IF($U513="","",INDEX('Per Line'!$Q$2:$Q$3001,$U513))</f>
        <v/>
      </c>
      <c r="J513">
        <f>IF($U513="","",INDEX('Per Line'!$R$2:$R$3001,$U513)&amp;"")</f>
        <v/>
      </c>
      <c r="K513">
        <f>IF($U513="","",Settings!$C$7)</f>
        <v/>
      </c>
      <c r="L513" s="7">
        <f>IF($U513="","",SUMIFS('Per Line'!$N$2:$N$3001,'Per Line'!$A$2:$A$3001,$A513,'Per Line'!$W$2:$W$3001,0))</f>
        <v/>
      </c>
      <c r="M513" s="7">
        <f>IF($U513="","",L513*K513)</f>
        <v/>
      </c>
      <c r="N513">
        <f>IF($U513="","",Settings!$C$6)</f>
        <v/>
      </c>
      <c r="O513" s="7">
        <f>IF($U513="","",SUMIFS('Per Line'!$N$2:$N$3001,'Per Line'!$A$2:$A$3001,$A513,'Per Line'!$W$2:$W$3001,1))</f>
        <v/>
      </c>
      <c r="P513" s="7">
        <f>IF($U513="","",O513*N513)</f>
        <v/>
      </c>
      <c r="Q513" s="7">
        <f>IF($U513="","",P513+M513)</f>
        <v/>
      </c>
      <c r="R513" s="7">
        <f>IF($U513="","",S513-Q513)</f>
        <v/>
      </c>
      <c r="S513" s="7">
        <f>IF($U513="","",L513+O513)</f>
        <v/>
      </c>
      <c r="T513" s="7">
        <f>IF($U513="","",S513-Q513-G513)</f>
        <v/>
      </c>
      <c r="U513" s="13">
        <f>IF(ROWS($U$2:$U513)&lt;=MAX('Per Line'!$V$2:$V$3001),MATCH(ROWS($U$2:$U513),'Per Line'!$V$2:$V$3001,0),"")</f>
        <v/>
      </c>
    </row>
    <row r="514">
      <c r="A514">
        <f>IF($U514="","",INDEX('Per Line'!$A$2:$A$3001,$U514)&amp;"")</f>
        <v/>
      </c>
      <c r="B514" s="12" t="n"/>
      <c r="C514">
        <f>IF($U514="","",INDEX('Per Line'!$B$2:$B$3001,$U514)&amp;"")</f>
        <v/>
      </c>
      <c r="D514">
        <f>IF($U514="","",INDEX('Per Line'!$C$2:$C$3001,$U514)&amp;"")</f>
        <v/>
      </c>
      <c r="E514">
        <f>IF($U514="","",INDEX('Per Line'!$D$2:$D$3001,$U514)&amp;"")</f>
        <v/>
      </c>
      <c r="F514">
        <f>IF($U514="","",INDEX('Per Line'!$E$2:$E$3001,$U514))</f>
        <v/>
      </c>
      <c r="G514" s="7">
        <f>IF($U514="","",F514*S514/100)</f>
        <v/>
      </c>
      <c r="H514">
        <f>IF($U514="","",INDEX('Per Line'!$O$2:$O$3001,$U514)&amp;"")</f>
        <v/>
      </c>
      <c r="I514" s="11">
        <f>IF($U514="","",INDEX('Per Line'!$Q$2:$Q$3001,$U514))</f>
        <v/>
      </c>
      <c r="J514">
        <f>IF($U514="","",INDEX('Per Line'!$R$2:$R$3001,$U514)&amp;"")</f>
        <v/>
      </c>
      <c r="K514">
        <f>IF($U514="","",Settings!$C$7)</f>
        <v/>
      </c>
      <c r="L514" s="7">
        <f>IF($U514="","",SUMIFS('Per Line'!$N$2:$N$3001,'Per Line'!$A$2:$A$3001,$A514,'Per Line'!$W$2:$W$3001,0))</f>
        <v/>
      </c>
      <c r="M514" s="7">
        <f>IF($U514="","",L514*K514)</f>
        <v/>
      </c>
      <c r="N514">
        <f>IF($U514="","",Settings!$C$6)</f>
        <v/>
      </c>
      <c r="O514" s="7">
        <f>IF($U514="","",SUMIFS('Per Line'!$N$2:$N$3001,'Per Line'!$A$2:$A$3001,$A514,'Per Line'!$W$2:$W$3001,1))</f>
        <v/>
      </c>
      <c r="P514" s="7">
        <f>IF($U514="","",O514*N514)</f>
        <v/>
      </c>
      <c r="Q514" s="7">
        <f>IF($U514="","",P514+M514)</f>
        <v/>
      </c>
      <c r="R514" s="7">
        <f>IF($U514="","",S514-Q514)</f>
        <v/>
      </c>
      <c r="S514" s="7">
        <f>IF($U514="","",L514+O514)</f>
        <v/>
      </c>
      <c r="T514" s="7">
        <f>IF($U514="","",S514-Q514-G514)</f>
        <v/>
      </c>
      <c r="U514" s="13">
        <f>IF(ROWS($U$2:$U514)&lt;=MAX('Per Line'!$V$2:$V$3001),MATCH(ROWS($U$2:$U514),'Per Line'!$V$2:$V$3001,0),"")</f>
        <v/>
      </c>
    </row>
    <row r="515">
      <c r="A515">
        <f>IF($U515="","",INDEX('Per Line'!$A$2:$A$3001,$U515)&amp;"")</f>
        <v/>
      </c>
      <c r="B515" s="12" t="n"/>
      <c r="C515">
        <f>IF($U515="","",INDEX('Per Line'!$B$2:$B$3001,$U515)&amp;"")</f>
        <v/>
      </c>
      <c r="D515">
        <f>IF($U515="","",INDEX('Per Line'!$C$2:$C$3001,$U515)&amp;"")</f>
        <v/>
      </c>
      <c r="E515">
        <f>IF($U515="","",INDEX('Per Line'!$D$2:$D$3001,$U515)&amp;"")</f>
        <v/>
      </c>
      <c r="F515">
        <f>IF($U515="","",INDEX('Per Line'!$E$2:$E$3001,$U515))</f>
        <v/>
      </c>
      <c r="G515" s="7">
        <f>IF($U515="","",F515*S515/100)</f>
        <v/>
      </c>
      <c r="H515">
        <f>IF($U515="","",INDEX('Per Line'!$O$2:$O$3001,$U515)&amp;"")</f>
        <v/>
      </c>
      <c r="I515" s="11">
        <f>IF($U515="","",INDEX('Per Line'!$Q$2:$Q$3001,$U515))</f>
        <v/>
      </c>
      <c r="J515">
        <f>IF($U515="","",INDEX('Per Line'!$R$2:$R$3001,$U515)&amp;"")</f>
        <v/>
      </c>
      <c r="K515">
        <f>IF($U515="","",Settings!$C$7)</f>
        <v/>
      </c>
      <c r="L515" s="7">
        <f>IF($U515="","",SUMIFS('Per Line'!$N$2:$N$3001,'Per Line'!$A$2:$A$3001,$A515,'Per Line'!$W$2:$W$3001,0))</f>
        <v/>
      </c>
      <c r="M515" s="7">
        <f>IF($U515="","",L515*K515)</f>
        <v/>
      </c>
      <c r="N515">
        <f>IF($U515="","",Settings!$C$6)</f>
        <v/>
      </c>
      <c r="O515" s="7">
        <f>IF($U515="","",SUMIFS('Per Line'!$N$2:$N$3001,'Per Line'!$A$2:$A$3001,$A515,'Per Line'!$W$2:$W$3001,1))</f>
        <v/>
      </c>
      <c r="P515" s="7">
        <f>IF($U515="","",O515*N515)</f>
        <v/>
      </c>
      <c r="Q515" s="7">
        <f>IF($U515="","",P515+M515)</f>
        <v/>
      </c>
      <c r="R515" s="7">
        <f>IF($U515="","",S515-Q515)</f>
        <v/>
      </c>
      <c r="S515" s="7">
        <f>IF($U515="","",L515+O515)</f>
        <v/>
      </c>
      <c r="T515" s="7">
        <f>IF($U515="","",S515-Q515-G515)</f>
        <v/>
      </c>
      <c r="U515" s="13">
        <f>IF(ROWS($U$2:$U515)&lt;=MAX('Per Line'!$V$2:$V$3001),MATCH(ROWS($U$2:$U515),'Per Line'!$V$2:$V$3001,0),"")</f>
        <v/>
      </c>
    </row>
    <row r="516">
      <c r="A516">
        <f>IF($U516="","",INDEX('Per Line'!$A$2:$A$3001,$U516)&amp;"")</f>
        <v/>
      </c>
      <c r="B516" s="12" t="n"/>
      <c r="C516">
        <f>IF($U516="","",INDEX('Per Line'!$B$2:$B$3001,$U516)&amp;"")</f>
        <v/>
      </c>
      <c r="D516">
        <f>IF($U516="","",INDEX('Per Line'!$C$2:$C$3001,$U516)&amp;"")</f>
        <v/>
      </c>
      <c r="E516">
        <f>IF($U516="","",INDEX('Per Line'!$D$2:$D$3001,$U516)&amp;"")</f>
        <v/>
      </c>
      <c r="F516">
        <f>IF($U516="","",INDEX('Per Line'!$E$2:$E$3001,$U516))</f>
        <v/>
      </c>
      <c r="G516" s="7">
        <f>IF($U516="","",F516*S516/100)</f>
        <v/>
      </c>
      <c r="H516">
        <f>IF($U516="","",INDEX('Per Line'!$O$2:$O$3001,$U516)&amp;"")</f>
        <v/>
      </c>
      <c r="I516" s="11">
        <f>IF($U516="","",INDEX('Per Line'!$Q$2:$Q$3001,$U516))</f>
        <v/>
      </c>
      <c r="J516">
        <f>IF($U516="","",INDEX('Per Line'!$R$2:$R$3001,$U516)&amp;"")</f>
        <v/>
      </c>
      <c r="K516">
        <f>IF($U516="","",Settings!$C$7)</f>
        <v/>
      </c>
      <c r="L516" s="7">
        <f>IF($U516="","",SUMIFS('Per Line'!$N$2:$N$3001,'Per Line'!$A$2:$A$3001,$A516,'Per Line'!$W$2:$W$3001,0))</f>
        <v/>
      </c>
      <c r="M516" s="7">
        <f>IF($U516="","",L516*K516)</f>
        <v/>
      </c>
      <c r="N516">
        <f>IF($U516="","",Settings!$C$6)</f>
        <v/>
      </c>
      <c r="O516" s="7">
        <f>IF($U516="","",SUMIFS('Per Line'!$N$2:$N$3001,'Per Line'!$A$2:$A$3001,$A516,'Per Line'!$W$2:$W$3001,1))</f>
        <v/>
      </c>
      <c r="P516" s="7">
        <f>IF($U516="","",O516*N516)</f>
        <v/>
      </c>
      <c r="Q516" s="7">
        <f>IF($U516="","",P516+M516)</f>
        <v/>
      </c>
      <c r="R516" s="7">
        <f>IF($U516="","",S516-Q516)</f>
        <v/>
      </c>
      <c r="S516" s="7">
        <f>IF($U516="","",L516+O516)</f>
        <v/>
      </c>
      <c r="T516" s="7">
        <f>IF($U516="","",S516-Q516-G516)</f>
        <v/>
      </c>
      <c r="U516" s="13">
        <f>IF(ROWS($U$2:$U516)&lt;=MAX('Per Line'!$V$2:$V$3001),MATCH(ROWS($U$2:$U516),'Per Line'!$V$2:$V$3001,0),"")</f>
        <v/>
      </c>
    </row>
    <row r="517">
      <c r="A517">
        <f>IF($U517="","",INDEX('Per Line'!$A$2:$A$3001,$U517)&amp;"")</f>
        <v/>
      </c>
      <c r="B517" s="12" t="n"/>
      <c r="C517">
        <f>IF($U517="","",INDEX('Per Line'!$B$2:$B$3001,$U517)&amp;"")</f>
        <v/>
      </c>
      <c r="D517">
        <f>IF($U517="","",INDEX('Per Line'!$C$2:$C$3001,$U517)&amp;"")</f>
        <v/>
      </c>
      <c r="E517">
        <f>IF($U517="","",INDEX('Per Line'!$D$2:$D$3001,$U517)&amp;"")</f>
        <v/>
      </c>
      <c r="F517">
        <f>IF($U517="","",INDEX('Per Line'!$E$2:$E$3001,$U517))</f>
        <v/>
      </c>
      <c r="G517" s="7">
        <f>IF($U517="","",F517*S517/100)</f>
        <v/>
      </c>
      <c r="H517">
        <f>IF($U517="","",INDEX('Per Line'!$O$2:$O$3001,$U517)&amp;"")</f>
        <v/>
      </c>
      <c r="I517" s="11">
        <f>IF($U517="","",INDEX('Per Line'!$Q$2:$Q$3001,$U517))</f>
        <v/>
      </c>
      <c r="J517">
        <f>IF($U517="","",INDEX('Per Line'!$R$2:$R$3001,$U517)&amp;"")</f>
        <v/>
      </c>
      <c r="K517">
        <f>IF($U517="","",Settings!$C$7)</f>
        <v/>
      </c>
      <c r="L517" s="7">
        <f>IF($U517="","",SUMIFS('Per Line'!$N$2:$N$3001,'Per Line'!$A$2:$A$3001,$A517,'Per Line'!$W$2:$W$3001,0))</f>
        <v/>
      </c>
      <c r="M517" s="7">
        <f>IF($U517="","",L517*K517)</f>
        <v/>
      </c>
      <c r="N517">
        <f>IF($U517="","",Settings!$C$6)</f>
        <v/>
      </c>
      <c r="O517" s="7">
        <f>IF($U517="","",SUMIFS('Per Line'!$N$2:$N$3001,'Per Line'!$A$2:$A$3001,$A517,'Per Line'!$W$2:$W$3001,1))</f>
        <v/>
      </c>
      <c r="P517" s="7">
        <f>IF($U517="","",O517*N517)</f>
        <v/>
      </c>
      <c r="Q517" s="7">
        <f>IF($U517="","",P517+M517)</f>
        <v/>
      </c>
      <c r="R517" s="7">
        <f>IF($U517="","",S517-Q517)</f>
        <v/>
      </c>
      <c r="S517" s="7">
        <f>IF($U517="","",L517+O517)</f>
        <v/>
      </c>
      <c r="T517" s="7">
        <f>IF($U517="","",S517-Q517-G517)</f>
        <v/>
      </c>
      <c r="U517" s="13">
        <f>IF(ROWS($U$2:$U517)&lt;=MAX('Per Line'!$V$2:$V$3001),MATCH(ROWS($U$2:$U517),'Per Line'!$V$2:$V$3001,0),"")</f>
        <v/>
      </c>
    </row>
    <row r="518">
      <c r="A518">
        <f>IF($U518="","",INDEX('Per Line'!$A$2:$A$3001,$U518)&amp;"")</f>
        <v/>
      </c>
      <c r="B518" s="12" t="n"/>
      <c r="C518">
        <f>IF($U518="","",INDEX('Per Line'!$B$2:$B$3001,$U518)&amp;"")</f>
        <v/>
      </c>
      <c r="D518">
        <f>IF($U518="","",INDEX('Per Line'!$C$2:$C$3001,$U518)&amp;"")</f>
        <v/>
      </c>
      <c r="E518">
        <f>IF($U518="","",INDEX('Per Line'!$D$2:$D$3001,$U518)&amp;"")</f>
        <v/>
      </c>
      <c r="F518">
        <f>IF($U518="","",INDEX('Per Line'!$E$2:$E$3001,$U518))</f>
        <v/>
      </c>
      <c r="G518" s="7">
        <f>IF($U518="","",F518*S518/100)</f>
        <v/>
      </c>
      <c r="H518">
        <f>IF($U518="","",INDEX('Per Line'!$O$2:$O$3001,$U518)&amp;"")</f>
        <v/>
      </c>
      <c r="I518" s="11">
        <f>IF($U518="","",INDEX('Per Line'!$Q$2:$Q$3001,$U518))</f>
        <v/>
      </c>
      <c r="J518">
        <f>IF($U518="","",INDEX('Per Line'!$R$2:$R$3001,$U518)&amp;"")</f>
        <v/>
      </c>
      <c r="K518">
        <f>IF($U518="","",Settings!$C$7)</f>
        <v/>
      </c>
      <c r="L518" s="7">
        <f>IF($U518="","",SUMIFS('Per Line'!$N$2:$N$3001,'Per Line'!$A$2:$A$3001,$A518,'Per Line'!$W$2:$W$3001,0))</f>
        <v/>
      </c>
      <c r="M518" s="7">
        <f>IF($U518="","",L518*K518)</f>
        <v/>
      </c>
      <c r="N518">
        <f>IF($U518="","",Settings!$C$6)</f>
        <v/>
      </c>
      <c r="O518" s="7">
        <f>IF($U518="","",SUMIFS('Per Line'!$N$2:$N$3001,'Per Line'!$A$2:$A$3001,$A518,'Per Line'!$W$2:$W$3001,1))</f>
        <v/>
      </c>
      <c r="P518" s="7">
        <f>IF($U518="","",O518*N518)</f>
        <v/>
      </c>
      <c r="Q518" s="7">
        <f>IF($U518="","",P518+M518)</f>
        <v/>
      </c>
      <c r="R518" s="7">
        <f>IF($U518="","",S518-Q518)</f>
        <v/>
      </c>
      <c r="S518" s="7">
        <f>IF($U518="","",L518+O518)</f>
        <v/>
      </c>
      <c r="T518" s="7">
        <f>IF($U518="","",S518-Q518-G518)</f>
        <v/>
      </c>
      <c r="U518" s="13">
        <f>IF(ROWS($U$2:$U518)&lt;=MAX('Per Line'!$V$2:$V$3001),MATCH(ROWS($U$2:$U518),'Per Line'!$V$2:$V$3001,0),"")</f>
        <v/>
      </c>
    </row>
    <row r="519">
      <c r="A519">
        <f>IF($U519="","",INDEX('Per Line'!$A$2:$A$3001,$U519)&amp;"")</f>
        <v/>
      </c>
      <c r="B519" s="12" t="n"/>
      <c r="C519">
        <f>IF($U519="","",INDEX('Per Line'!$B$2:$B$3001,$U519)&amp;"")</f>
        <v/>
      </c>
      <c r="D519">
        <f>IF($U519="","",INDEX('Per Line'!$C$2:$C$3001,$U519)&amp;"")</f>
        <v/>
      </c>
      <c r="E519">
        <f>IF($U519="","",INDEX('Per Line'!$D$2:$D$3001,$U519)&amp;"")</f>
        <v/>
      </c>
      <c r="F519">
        <f>IF($U519="","",INDEX('Per Line'!$E$2:$E$3001,$U519))</f>
        <v/>
      </c>
      <c r="G519" s="7">
        <f>IF($U519="","",F519*S519/100)</f>
        <v/>
      </c>
      <c r="H519">
        <f>IF($U519="","",INDEX('Per Line'!$O$2:$O$3001,$U519)&amp;"")</f>
        <v/>
      </c>
      <c r="I519" s="11">
        <f>IF($U519="","",INDEX('Per Line'!$Q$2:$Q$3001,$U519))</f>
        <v/>
      </c>
      <c r="J519">
        <f>IF($U519="","",INDEX('Per Line'!$R$2:$R$3001,$U519)&amp;"")</f>
        <v/>
      </c>
      <c r="K519">
        <f>IF($U519="","",Settings!$C$7)</f>
        <v/>
      </c>
      <c r="L519" s="7">
        <f>IF($U519="","",SUMIFS('Per Line'!$N$2:$N$3001,'Per Line'!$A$2:$A$3001,$A519,'Per Line'!$W$2:$W$3001,0))</f>
        <v/>
      </c>
      <c r="M519" s="7">
        <f>IF($U519="","",L519*K519)</f>
        <v/>
      </c>
      <c r="N519">
        <f>IF($U519="","",Settings!$C$6)</f>
        <v/>
      </c>
      <c r="O519" s="7">
        <f>IF($U519="","",SUMIFS('Per Line'!$N$2:$N$3001,'Per Line'!$A$2:$A$3001,$A519,'Per Line'!$W$2:$W$3001,1))</f>
        <v/>
      </c>
      <c r="P519" s="7">
        <f>IF($U519="","",O519*N519)</f>
        <v/>
      </c>
      <c r="Q519" s="7">
        <f>IF($U519="","",P519+M519)</f>
        <v/>
      </c>
      <c r="R519" s="7">
        <f>IF($U519="","",S519-Q519)</f>
        <v/>
      </c>
      <c r="S519" s="7">
        <f>IF($U519="","",L519+O519)</f>
        <v/>
      </c>
      <c r="T519" s="7">
        <f>IF($U519="","",S519-Q519-G519)</f>
        <v/>
      </c>
      <c r="U519" s="13">
        <f>IF(ROWS($U$2:$U519)&lt;=MAX('Per Line'!$V$2:$V$3001),MATCH(ROWS($U$2:$U519),'Per Line'!$V$2:$V$3001,0),"")</f>
        <v/>
      </c>
    </row>
    <row r="520">
      <c r="A520">
        <f>IF($U520="","",INDEX('Per Line'!$A$2:$A$3001,$U520)&amp;"")</f>
        <v/>
      </c>
      <c r="B520" s="12" t="n"/>
      <c r="C520">
        <f>IF($U520="","",INDEX('Per Line'!$B$2:$B$3001,$U520)&amp;"")</f>
        <v/>
      </c>
      <c r="D520">
        <f>IF($U520="","",INDEX('Per Line'!$C$2:$C$3001,$U520)&amp;"")</f>
        <v/>
      </c>
      <c r="E520">
        <f>IF($U520="","",INDEX('Per Line'!$D$2:$D$3001,$U520)&amp;"")</f>
        <v/>
      </c>
      <c r="F520">
        <f>IF($U520="","",INDEX('Per Line'!$E$2:$E$3001,$U520))</f>
        <v/>
      </c>
      <c r="G520" s="7">
        <f>IF($U520="","",F520*S520/100)</f>
        <v/>
      </c>
      <c r="H520">
        <f>IF($U520="","",INDEX('Per Line'!$O$2:$O$3001,$U520)&amp;"")</f>
        <v/>
      </c>
      <c r="I520" s="11">
        <f>IF($U520="","",INDEX('Per Line'!$Q$2:$Q$3001,$U520))</f>
        <v/>
      </c>
      <c r="J520">
        <f>IF($U520="","",INDEX('Per Line'!$R$2:$R$3001,$U520)&amp;"")</f>
        <v/>
      </c>
      <c r="K520">
        <f>IF($U520="","",Settings!$C$7)</f>
        <v/>
      </c>
      <c r="L520" s="7">
        <f>IF($U520="","",SUMIFS('Per Line'!$N$2:$N$3001,'Per Line'!$A$2:$A$3001,$A520,'Per Line'!$W$2:$W$3001,0))</f>
        <v/>
      </c>
      <c r="M520" s="7">
        <f>IF($U520="","",L520*K520)</f>
        <v/>
      </c>
      <c r="N520">
        <f>IF($U520="","",Settings!$C$6)</f>
        <v/>
      </c>
      <c r="O520" s="7">
        <f>IF($U520="","",SUMIFS('Per Line'!$N$2:$N$3001,'Per Line'!$A$2:$A$3001,$A520,'Per Line'!$W$2:$W$3001,1))</f>
        <v/>
      </c>
      <c r="P520" s="7">
        <f>IF($U520="","",O520*N520)</f>
        <v/>
      </c>
      <c r="Q520" s="7">
        <f>IF($U520="","",P520+M520)</f>
        <v/>
      </c>
      <c r="R520" s="7">
        <f>IF($U520="","",S520-Q520)</f>
        <v/>
      </c>
      <c r="S520" s="7">
        <f>IF($U520="","",L520+O520)</f>
        <v/>
      </c>
      <c r="T520" s="7">
        <f>IF($U520="","",S520-Q520-G520)</f>
        <v/>
      </c>
      <c r="U520" s="13">
        <f>IF(ROWS($U$2:$U520)&lt;=MAX('Per Line'!$V$2:$V$3001),MATCH(ROWS($U$2:$U520),'Per Line'!$V$2:$V$3001,0),"")</f>
        <v/>
      </c>
    </row>
    <row r="521">
      <c r="A521">
        <f>IF($U521="","",INDEX('Per Line'!$A$2:$A$3001,$U521)&amp;"")</f>
        <v/>
      </c>
      <c r="B521" s="12" t="n"/>
      <c r="C521">
        <f>IF($U521="","",INDEX('Per Line'!$B$2:$B$3001,$U521)&amp;"")</f>
        <v/>
      </c>
      <c r="D521">
        <f>IF($U521="","",INDEX('Per Line'!$C$2:$C$3001,$U521)&amp;"")</f>
        <v/>
      </c>
      <c r="E521">
        <f>IF($U521="","",INDEX('Per Line'!$D$2:$D$3001,$U521)&amp;"")</f>
        <v/>
      </c>
      <c r="F521">
        <f>IF($U521="","",INDEX('Per Line'!$E$2:$E$3001,$U521))</f>
        <v/>
      </c>
      <c r="G521" s="7">
        <f>IF($U521="","",F521*S521/100)</f>
        <v/>
      </c>
      <c r="H521">
        <f>IF($U521="","",INDEX('Per Line'!$O$2:$O$3001,$U521)&amp;"")</f>
        <v/>
      </c>
      <c r="I521" s="11">
        <f>IF($U521="","",INDEX('Per Line'!$Q$2:$Q$3001,$U521))</f>
        <v/>
      </c>
      <c r="J521">
        <f>IF($U521="","",INDEX('Per Line'!$R$2:$R$3001,$U521)&amp;"")</f>
        <v/>
      </c>
      <c r="K521">
        <f>IF($U521="","",Settings!$C$7)</f>
        <v/>
      </c>
      <c r="L521" s="7">
        <f>IF($U521="","",SUMIFS('Per Line'!$N$2:$N$3001,'Per Line'!$A$2:$A$3001,$A521,'Per Line'!$W$2:$W$3001,0))</f>
        <v/>
      </c>
      <c r="M521" s="7">
        <f>IF($U521="","",L521*K521)</f>
        <v/>
      </c>
      <c r="N521">
        <f>IF($U521="","",Settings!$C$6)</f>
        <v/>
      </c>
      <c r="O521" s="7">
        <f>IF($U521="","",SUMIFS('Per Line'!$N$2:$N$3001,'Per Line'!$A$2:$A$3001,$A521,'Per Line'!$W$2:$W$3001,1))</f>
        <v/>
      </c>
      <c r="P521" s="7">
        <f>IF($U521="","",O521*N521)</f>
        <v/>
      </c>
      <c r="Q521" s="7">
        <f>IF($U521="","",P521+M521)</f>
        <v/>
      </c>
      <c r="R521" s="7">
        <f>IF($U521="","",S521-Q521)</f>
        <v/>
      </c>
      <c r="S521" s="7">
        <f>IF($U521="","",L521+O521)</f>
        <v/>
      </c>
      <c r="T521" s="7">
        <f>IF($U521="","",S521-Q521-G521)</f>
        <v/>
      </c>
      <c r="U521" s="13">
        <f>IF(ROWS($U$2:$U521)&lt;=MAX('Per Line'!$V$2:$V$3001),MATCH(ROWS($U$2:$U521),'Per Line'!$V$2:$V$3001,0),"")</f>
        <v/>
      </c>
    </row>
    <row r="522">
      <c r="A522">
        <f>IF($U522="","",INDEX('Per Line'!$A$2:$A$3001,$U522)&amp;"")</f>
        <v/>
      </c>
      <c r="B522" s="12" t="n"/>
      <c r="C522">
        <f>IF($U522="","",INDEX('Per Line'!$B$2:$B$3001,$U522)&amp;"")</f>
        <v/>
      </c>
      <c r="D522">
        <f>IF($U522="","",INDEX('Per Line'!$C$2:$C$3001,$U522)&amp;"")</f>
        <v/>
      </c>
      <c r="E522">
        <f>IF($U522="","",INDEX('Per Line'!$D$2:$D$3001,$U522)&amp;"")</f>
        <v/>
      </c>
      <c r="F522">
        <f>IF($U522="","",INDEX('Per Line'!$E$2:$E$3001,$U522))</f>
        <v/>
      </c>
      <c r="G522" s="7">
        <f>IF($U522="","",F522*S522/100)</f>
        <v/>
      </c>
      <c r="H522">
        <f>IF($U522="","",INDEX('Per Line'!$O$2:$O$3001,$U522)&amp;"")</f>
        <v/>
      </c>
      <c r="I522" s="11">
        <f>IF($U522="","",INDEX('Per Line'!$Q$2:$Q$3001,$U522))</f>
        <v/>
      </c>
      <c r="J522">
        <f>IF($U522="","",INDEX('Per Line'!$R$2:$R$3001,$U522)&amp;"")</f>
        <v/>
      </c>
      <c r="K522">
        <f>IF($U522="","",Settings!$C$7)</f>
        <v/>
      </c>
      <c r="L522" s="7">
        <f>IF($U522="","",SUMIFS('Per Line'!$N$2:$N$3001,'Per Line'!$A$2:$A$3001,$A522,'Per Line'!$W$2:$W$3001,0))</f>
        <v/>
      </c>
      <c r="M522" s="7">
        <f>IF($U522="","",L522*K522)</f>
        <v/>
      </c>
      <c r="N522">
        <f>IF($U522="","",Settings!$C$6)</f>
        <v/>
      </c>
      <c r="O522" s="7">
        <f>IF($U522="","",SUMIFS('Per Line'!$N$2:$N$3001,'Per Line'!$A$2:$A$3001,$A522,'Per Line'!$W$2:$W$3001,1))</f>
        <v/>
      </c>
      <c r="P522" s="7">
        <f>IF($U522="","",O522*N522)</f>
        <v/>
      </c>
      <c r="Q522" s="7">
        <f>IF($U522="","",P522+M522)</f>
        <v/>
      </c>
      <c r="R522" s="7">
        <f>IF($U522="","",S522-Q522)</f>
        <v/>
      </c>
      <c r="S522" s="7">
        <f>IF($U522="","",L522+O522)</f>
        <v/>
      </c>
      <c r="T522" s="7">
        <f>IF($U522="","",S522-Q522-G522)</f>
        <v/>
      </c>
      <c r="U522" s="13">
        <f>IF(ROWS($U$2:$U522)&lt;=MAX('Per Line'!$V$2:$V$3001),MATCH(ROWS($U$2:$U522),'Per Line'!$V$2:$V$3001,0),"")</f>
        <v/>
      </c>
    </row>
    <row r="523">
      <c r="A523">
        <f>IF($U523="","",INDEX('Per Line'!$A$2:$A$3001,$U523)&amp;"")</f>
        <v/>
      </c>
      <c r="B523" s="12" t="n"/>
      <c r="C523">
        <f>IF($U523="","",INDEX('Per Line'!$B$2:$B$3001,$U523)&amp;"")</f>
        <v/>
      </c>
      <c r="D523">
        <f>IF($U523="","",INDEX('Per Line'!$C$2:$C$3001,$U523)&amp;"")</f>
        <v/>
      </c>
      <c r="E523">
        <f>IF($U523="","",INDEX('Per Line'!$D$2:$D$3001,$U523)&amp;"")</f>
        <v/>
      </c>
      <c r="F523">
        <f>IF($U523="","",INDEX('Per Line'!$E$2:$E$3001,$U523))</f>
        <v/>
      </c>
      <c r="G523" s="7">
        <f>IF($U523="","",F523*S523/100)</f>
        <v/>
      </c>
      <c r="H523">
        <f>IF($U523="","",INDEX('Per Line'!$O$2:$O$3001,$U523)&amp;"")</f>
        <v/>
      </c>
      <c r="I523" s="11">
        <f>IF($U523="","",INDEX('Per Line'!$Q$2:$Q$3001,$U523))</f>
        <v/>
      </c>
      <c r="J523">
        <f>IF($U523="","",INDEX('Per Line'!$R$2:$R$3001,$U523)&amp;"")</f>
        <v/>
      </c>
      <c r="K523">
        <f>IF($U523="","",Settings!$C$7)</f>
        <v/>
      </c>
      <c r="L523" s="7">
        <f>IF($U523="","",SUMIFS('Per Line'!$N$2:$N$3001,'Per Line'!$A$2:$A$3001,$A523,'Per Line'!$W$2:$W$3001,0))</f>
        <v/>
      </c>
      <c r="M523" s="7">
        <f>IF($U523="","",L523*K523)</f>
        <v/>
      </c>
      <c r="N523">
        <f>IF($U523="","",Settings!$C$6)</f>
        <v/>
      </c>
      <c r="O523" s="7">
        <f>IF($U523="","",SUMIFS('Per Line'!$N$2:$N$3001,'Per Line'!$A$2:$A$3001,$A523,'Per Line'!$W$2:$W$3001,1))</f>
        <v/>
      </c>
      <c r="P523" s="7">
        <f>IF($U523="","",O523*N523)</f>
        <v/>
      </c>
      <c r="Q523" s="7">
        <f>IF($U523="","",P523+M523)</f>
        <v/>
      </c>
      <c r="R523" s="7">
        <f>IF($U523="","",S523-Q523)</f>
        <v/>
      </c>
      <c r="S523" s="7">
        <f>IF($U523="","",L523+O523)</f>
        <v/>
      </c>
      <c r="T523" s="7">
        <f>IF($U523="","",S523-Q523-G523)</f>
        <v/>
      </c>
      <c r="U523" s="13">
        <f>IF(ROWS($U$2:$U523)&lt;=MAX('Per Line'!$V$2:$V$3001),MATCH(ROWS($U$2:$U523),'Per Line'!$V$2:$V$3001,0),"")</f>
        <v/>
      </c>
    </row>
    <row r="524">
      <c r="A524">
        <f>IF($U524="","",INDEX('Per Line'!$A$2:$A$3001,$U524)&amp;"")</f>
        <v/>
      </c>
      <c r="B524" s="12" t="n"/>
      <c r="C524">
        <f>IF($U524="","",INDEX('Per Line'!$B$2:$B$3001,$U524)&amp;"")</f>
        <v/>
      </c>
      <c r="D524">
        <f>IF($U524="","",INDEX('Per Line'!$C$2:$C$3001,$U524)&amp;"")</f>
        <v/>
      </c>
      <c r="E524">
        <f>IF($U524="","",INDEX('Per Line'!$D$2:$D$3001,$U524)&amp;"")</f>
        <v/>
      </c>
      <c r="F524">
        <f>IF($U524="","",INDEX('Per Line'!$E$2:$E$3001,$U524))</f>
        <v/>
      </c>
      <c r="G524" s="7">
        <f>IF($U524="","",F524*S524/100)</f>
        <v/>
      </c>
      <c r="H524">
        <f>IF($U524="","",INDEX('Per Line'!$O$2:$O$3001,$U524)&amp;"")</f>
        <v/>
      </c>
      <c r="I524" s="11">
        <f>IF($U524="","",INDEX('Per Line'!$Q$2:$Q$3001,$U524))</f>
        <v/>
      </c>
      <c r="J524">
        <f>IF($U524="","",INDEX('Per Line'!$R$2:$R$3001,$U524)&amp;"")</f>
        <v/>
      </c>
      <c r="K524">
        <f>IF($U524="","",Settings!$C$7)</f>
        <v/>
      </c>
      <c r="L524" s="7">
        <f>IF($U524="","",SUMIFS('Per Line'!$N$2:$N$3001,'Per Line'!$A$2:$A$3001,$A524,'Per Line'!$W$2:$W$3001,0))</f>
        <v/>
      </c>
      <c r="M524" s="7">
        <f>IF($U524="","",L524*K524)</f>
        <v/>
      </c>
      <c r="N524">
        <f>IF($U524="","",Settings!$C$6)</f>
        <v/>
      </c>
      <c r="O524" s="7">
        <f>IF($U524="","",SUMIFS('Per Line'!$N$2:$N$3001,'Per Line'!$A$2:$A$3001,$A524,'Per Line'!$W$2:$W$3001,1))</f>
        <v/>
      </c>
      <c r="P524" s="7">
        <f>IF($U524="","",O524*N524)</f>
        <v/>
      </c>
      <c r="Q524" s="7">
        <f>IF($U524="","",P524+M524)</f>
        <v/>
      </c>
      <c r="R524" s="7">
        <f>IF($U524="","",S524-Q524)</f>
        <v/>
      </c>
      <c r="S524" s="7">
        <f>IF($U524="","",L524+O524)</f>
        <v/>
      </c>
      <c r="T524" s="7">
        <f>IF($U524="","",S524-Q524-G524)</f>
        <v/>
      </c>
      <c r="U524" s="13">
        <f>IF(ROWS($U$2:$U524)&lt;=MAX('Per Line'!$V$2:$V$3001),MATCH(ROWS($U$2:$U524),'Per Line'!$V$2:$V$3001,0),"")</f>
        <v/>
      </c>
    </row>
    <row r="525">
      <c r="A525">
        <f>IF($U525="","",INDEX('Per Line'!$A$2:$A$3001,$U525)&amp;"")</f>
        <v/>
      </c>
      <c r="B525" s="12" t="n"/>
      <c r="C525">
        <f>IF($U525="","",INDEX('Per Line'!$B$2:$B$3001,$U525)&amp;"")</f>
        <v/>
      </c>
      <c r="D525">
        <f>IF($U525="","",INDEX('Per Line'!$C$2:$C$3001,$U525)&amp;"")</f>
        <v/>
      </c>
      <c r="E525">
        <f>IF($U525="","",INDEX('Per Line'!$D$2:$D$3001,$U525)&amp;"")</f>
        <v/>
      </c>
      <c r="F525">
        <f>IF($U525="","",INDEX('Per Line'!$E$2:$E$3001,$U525))</f>
        <v/>
      </c>
      <c r="G525" s="7">
        <f>IF($U525="","",F525*S525/100)</f>
        <v/>
      </c>
      <c r="H525">
        <f>IF($U525="","",INDEX('Per Line'!$O$2:$O$3001,$U525)&amp;"")</f>
        <v/>
      </c>
      <c r="I525" s="11">
        <f>IF($U525="","",INDEX('Per Line'!$Q$2:$Q$3001,$U525))</f>
        <v/>
      </c>
      <c r="J525">
        <f>IF($U525="","",INDEX('Per Line'!$R$2:$R$3001,$U525)&amp;"")</f>
        <v/>
      </c>
      <c r="K525">
        <f>IF($U525="","",Settings!$C$7)</f>
        <v/>
      </c>
      <c r="L525" s="7">
        <f>IF($U525="","",SUMIFS('Per Line'!$N$2:$N$3001,'Per Line'!$A$2:$A$3001,$A525,'Per Line'!$W$2:$W$3001,0))</f>
        <v/>
      </c>
      <c r="M525" s="7">
        <f>IF($U525="","",L525*K525)</f>
        <v/>
      </c>
      <c r="N525">
        <f>IF($U525="","",Settings!$C$6)</f>
        <v/>
      </c>
      <c r="O525" s="7">
        <f>IF($U525="","",SUMIFS('Per Line'!$N$2:$N$3001,'Per Line'!$A$2:$A$3001,$A525,'Per Line'!$W$2:$W$3001,1))</f>
        <v/>
      </c>
      <c r="P525" s="7">
        <f>IF($U525="","",O525*N525)</f>
        <v/>
      </c>
      <c r="Q525" s="7">
        <f>IF($U525="","",P525+M525)</f>
        <v/>
      </c>
      <c r="R525" s="7">
        <f>IF($U525="","",S525-Q525)</f>
        <v/>
      </c>
      <c r="S525" s="7">
        <f>IF($U525="","",L525+O525)</f>
        <v/>
      </c>
      <c r="T525" s="7">
        <f>IF($U525="","",S525-Q525-G525)</f>
        <v/>
      </c>
      <c r="U525" s="13">
        <f>IF(ROWS($U$2:$U525)&lt;=MAX('Per Line'!$V$2:$V$3001),MATCH(ROWS($U$2:$U525),'Per Line'!$V$2:$V$3001,0),"")</f>
        <v/>
      </c>
    </row>
    <row r="526">
      <c r="A526">
        <f>IF($U526="","",INDEX('Per Line'!$A$2:$A$3001,$U526)&amp;"")</f>
        <v/>
      </c>
      <c r="B526" s="12" t="n"/>
      <c r="C526">
        <f>IF($U526="","",INDEX('Per Line'!$B$2:$B$3001,$U526)&amp;"")</f>
        <v/>
      </c>
      <c r="D526">
        <f>IF($U526="","",INDEX('Per Line'!$C$2:$C$3001,$U526)&amp;"")</f>
        <v/>
      </c>
      <c r="E526">
        <f>IF($U526="","",INDEX('Per Line'!$D$2:$D$3001,$U526)&amp;"")</f>
        <v/>
      </c>
      <c r="F526">
        <f>IF($U526="","",INDEX('Per Line'!$E$2:$E$3001,$U526))</f>
        <v/>
      </c>
      <c r="G526" s="7">
        <f>IF($U526="","",F526*S526/100)</f>
        <v/>
      </c>
      <c r="H526">
        <f>IF($U526="","",INDEX('Per Line'!$O$2:$O$3001,$U526)&amp;"")</f>
        <v/>
      </c>
      <c r="I526" s="11">
        <f>IF($U526="","",INDEX('Per Line'!$Q$2:$Q$3001,$U526))</f>
        <v/>
      </c>
      <c r="J526">
        <f>IF($U526="","",INDEX('Per Line'!$R$2:$R$3001,$U526)&amp;"")</f>
        <v/>
      </c>
      <c r="K526">
        <f>IF($U526="","",Settings!$C$7)</f>
        <v/>
      </c>
      <c r="L526" s="7">
        <f>IF($U526="","",SUMIFS('Per Line'!$N$2:$N$3001,'Per Line'!$A$2:$A$3001,$A526,'Per Line'!$W$2:$W$3001,0))</f>
        <v/>
      </c>
      <c r="M526" s="7">
        <f>IF($U526="","",L526*K526)</f>
        <v/>
      </c>
      <c r="N526">
        <f>IF($U526="","",Settings!$C$6)</f>
        <v/>
      </c>
      <c r="O526" s="7">
        <f>IF($U526="","",SUMIFS('Per Line'!$N$2:$N$3001,'Per Line'!$A$2:$A$3001,$A526,'Per Line'!$W$2:$W$3001,1))</f>
        <v/>
      </c>
      <c r="P526" s="7">
        <f>IF($U526="","",O526*N526)</f>
        <v/>
      </c>
      <c r="Q526" s="7">
        <f>IF($U526="","",P526+M526)</f>
        <v/>
      </c>
      <c r="R526" s="7">
        <f>IF($U526="","",S526-Q526)</f>
        <v/>
      </c>
      <c r="S526" s="7">
        <f>IF($U526="","",L526+O526)</f>
        <v/>
      </c>
      <c r="T526" s="7">
        <f>IF($U526="","",S526-Q526-G526)</f>
        <v/>
      </c>
      <c r="U526" s="13">
        <f>IF(ROWS($U$2:$U526)&lt;=MAX('Per Line'!$V$2:$V$3001),MATCH(ROWS($U$2:$U526),'Per Line'!$V$2:$V$3001,0),"")</f>
        <v/>
      </c>
    </row>
    <row r="527">
      <c r="A527">
        <f>IF($U527="","",INDEX('Per Line'!$A$2:$A$3001,$U527)&amp;"")</f>
        <v/>
      </c>
      <c r="B527" s="12" t="n"/>
      <c r="C527">
        <f>IF($U527="","",INDEX('Per Line'!$B$2:$B$3001,$U527)&amp;"")</f>
        <v/>
      </c>
      <c r="D527">
        <f>IF($U527="","",INDEX('Per Line'!$C$2:$C$3001,$U527)&amp;"")</f>
        <v/>
      </c>
      <c r="E527">
        <f>IF($U527="","",INDEX('Per Line'!$D$2:$D$3001,$U527)&amp;"")</f>
        <v/>
      </c>
      <c r="F527">
        <f>IF($U527="","",INDEX('Per Line'!$E$2:$E$3001,$U527))</f>
        <v/>
      </c>
      <c r="G527" s="7">
        <f>IF($U527="","",F527*S527/100)</f>
        <v/>
      </c>
      <c r="H527">
        <f>IF($U527="","",INDEX('Per Line'!$O$2:$O$3001,$U527)&amp;"")</f>
        <v/>
      </c>
      <c r="I527" s="11">
        <f>IF($U527="","",INDEX('Per Line'!$Q$2:$Q$3001,$U527))</f>
        <v/>
      </c>
      <c r="J527">
        <f>IF($U527="","",INDEX('Per Line'!$R$2:$R$3001,$U527)&amp;"")</f>
        <v/>
      </c>
      <c r="K527">
        <f>IF($U527="","",Settings!$C$7)</f>
        <v/>
      </c>
      <c r="L527" s="7">
        <f>IF($U527="","",SUMIFS('Per Line'!$N$2:$N$3001,'Per Line'!$A$2:$A$3001,$A527,'Per Line'!$W$2:$W$3001,0))</f>
        <v/>
      </c>
      <c r="M527" s="7">
        <f>IF($U527="","",L527*K527)</f>
        <v/>
      </c>
      <c r="N527">
        <f>IF($U527="","",Settings!$C$6)</f>
        <v/>
      </c>
      <c r="O527" s="7">
        <f>IF($U527="","",SUMIFS('Per Line'!$N$2:$N$3001,'Per Line'!$A$2:$A$3001,$A527,'Per Line'!$W$2:$W$3001,1))</f>
        <v/>
      </c>
      <c r="P527" s="7">
        <f>IF($U527="","",O527*N527)</f>
        <v/>
      </c>
      <c r="Q527" s="7">
        <f>IF($U527="","",P527+M527)</f>
        <v/>
      </c>
      <c r="R527" s="7">
        <f>IF($U527="","",S527-Q527)</f>
        <v/>
      </c>
      <c r="S527" s="7">
        <f>IF($U527="","",L527+O527)</f>
        <v/>
      </c>
      <c r="T527" s="7">
        <f>IF($U527="","",S527-Q527-G527)</f>
        <v/>
      </c>
      <c r="U527" s="13">
        <f>IF(ROWS($U$2:$U527)&lt;=MAX('Per Line'!$V$2:$V$3001),MATCH(ROWS($U$2:$U527),'Per Line'!$V$2:$V$3001,0),"")</f>
        <v/>
      </c>
    </row>
    <row r="528">
      <c r="A528">
        <f>IF($U528="","",INDEX('Per Line'!$A$2:$A$3001,$U528)&amp;"")</f>
        <v/>
      </c>
      <c r="B528" s="12" t="n"/>
      <c r="C528">
        <f>IF($U528="","",INDEX('Per Line'!$B$2:$B$3001,$U528)&amp;"")</f>
        <v/>
      </c>
      <c r="D528">
        <f>IF($U528="","",INDEX('Per Line'!$C$2:$C$3001,$U528)&amp;"")</f>
        <v/>
      </c>
      <c r="E528">
        <f>IF($U528="","",INDEX('Per Line'!$D$2:$D$3001,$U528)&amp;"")</f>
        <v/>
      </c>
      <c r="F528">
        <f>IF($U528="","",INDEX('Per Line'!$E$2:$E$3001,$U528))</f>
        <v/>
      </c>
      <c r="G528" s="7">
        <f>IF($U528="","",F528*S528/100)</f>
        <v/>
      </c>
      <c r="H528">
        <f>IF($U528="","",INDEX('Per Line'!$O$2:$O$3001,$U528)&amp;"")</f>
        <v/>
      </c>
      <c r="I528" s="11">
        <f>IF($U528="","",INDEX('Per Line'!$Q$2:$Q$3001,$U528))</f>
        <v/>
      </c>
      <c r="J528">
        <f>IF($U528="","",INDEX('Per Line'!$R$2:$R$3001,$U528)&amp;"")</f>
        <v/>
      </c>
      <c r="K528">
        <f>IF($U528="","",Settings!$C$7)</f>
        <v/>
      </c>
      <c r="L528" s="7">
        <f>IF($U528="","",SUMIFS('Per Line'!$N$2:$N$3001,'Per Line'!$A$2:$A$3001,$A528,'Per Line'!$W$2:$W$3001,0))</f>
        <v/>
      </c>
      <c r="M528" s="7">
        <f>IF($U528="","",L528*K528)</f>
        <v/>
      </c>
      <c r="N528">
        <f>IF($U528="","",Settings!$C$6)</f>
        <v/>
      </c>
      <c r="O528" s="7">
        <f>IF($U528="","",SUMIFS('Per Line'!$N$2:$N$3001,'Per Line'!$A$2:$A$3001,$A528,'Per Line'!$W$2:$W$3001,1))</f>
        <v/>
      </c>
      <c r="P528" s="7">
        <f>IF($U528="","",O528*N528)</f>
        <v/>
      </c>
      <c r="Q528" s="7">
        <f>IF($U528="","",P528+M528)</f>
        <v/>
      </c>
      <c r="R528" s="7">
        <f>IF($U528="","",S528-Q528)</f>
        <v/>
      </c>
      <c r="S528" s="7">
        <f>IF($U528="","",L528+O528)</f>
        <v/>
      </c>
      <c r="T528" s="7">
        <f>IF($U528="","",S528-Q528-G528)</f>
        <v/>
      </c>
      <c r="U528" s="13">
        <f>IF(ROWS($U$2:$U528)&lt;=MAX('Per Line'!$V$2:$V$3001),MATCH(ROWS($U$2:$U528),'Per Line'!$V$2:$V$3001,0),"")</f>
        <v/>
      </c>
    </row>
    <row r="529">
      <c r="A529">
        <f>IF($U529="","",INDEX('Per Line'!$A$2:$A$3001,$U529)&amp;"")</f>
        <v/>
      </c>
      <c r="B529" s="12" t="n"/>
      <c r="C529">
        <f>IF($U529="","",INDEX('Per Line'!$B$2:$B$3001,$U529)&amp;"")</f>
        <v/>
      </c>
      <c r="D529">
        <f>IF($U529="","",INDEX('Per Line'!$C$2:$C$3001,$U529)&amp;"")</f>
        <v/>
      </c>
      <c r="E529">
        <f>IF($U529="","",INDEX('Per Line'!$D$2:$D$3001,$U529)&amp;"")</f>
        <v/>
      </c>
      <c r="F529">
        <f>IF($U529="","",INDEX('Per Line'!$E$2:$E$3001,$U529))</f>
        <v/>
      </c>
      <c r="G529" s="7">
        <f>IF($U529="","",F529*S529/100)</f>
        <v/>
      </c>
      <c r="H529">
        <f>IF($U529="","",INDEX('Per Line'!$O$2:$O$3001,$U529)&amp;"")</f>
        <v/>
      </c>
      <c r="I529" s="11">
        <f>IF($U529="","",INDEX('Per Line'!$Q$2:$Q$3001,$U529))</f>
        <v/>
      </c>
      <c r="J529">
        <f>IF($U529="","",INDEX('Per Line'!$R$2:$R$3001,$U529)&amp;"")</f>
        <v/>
      </c>
      <c r="K529">
        <f>IF($U529="","",Settings!$C$7)</f>
        <v/>
      </c>
      <c r="L529" s="7">
        <f>IF($U529="","",SUMIFS('Per Line'!$N$2:$N$3001,'Per Line'!$A$2:$A$3001,$A529,'Per Line'!$W$2:$W$3001,0))</f>
        <v/>
      </c>
      <c r="M529" s="7">
        <f>IF($U529="","",L529*K529)</f>
        <v/>
      </c>
      <c r="N529">
        <f>IF($U529="","",Settings!$C$6)</f>
        <v/>
      </c>
      <c r="O529" s="7">
        <f>IF($U529="","",SUMIFS('Per Line'!$N$2:$N$3001,'Per Line'!$A$2:$A$3001,$A529,'Per Line'!$W$2:$W$3001,1))</f>
        <v/>
      </c>
      <c r="P529" s="7">
        <f>IF($U529="","",O529*N529)</f>
        <v/>
      </c>
      <c r="Q529" s="7">
        <f>IF($U529="","",P529+M529)</f>
        <v/>
      </c>
      <c r="R529" s="7">
        <f>IF($U529="","",S529-Q529)</f>
        <v/>
      </c>
      <c r="S529" s="7">
        <f>IF($U529="","",L529+O529)</f>
        <v/>
      </c>
      <c r="T529" s="7">
        <f>IF($U529="","",S529-Q529-G529)</f>
        <v/>
      </c>
      <c r="U529" s="13">
        <f>IF(ROWS($U$2:$U529)&lt;=MAX('Per Line'!$V$2:$V$3001),MATCH(ROWS($U$2:$U529),'Per Line'!$V$2:$V$3001,0),"")</f>
        <v/>
      </c>
    </row>
    <row r="530">
      <c r="A530">
        <f>IF($U530="","",INDEX('Per Line'!$A$2:$A$3001,$U530)&amp;"")</f>
        <v/>
      </c>
      <c r="B530" s="12" t="n"/>
      <c r="C530">
        <f>IF($U530="","",INDEX('Per Line'!$B$2:$B$3001,$U530)&amp;"")</f>
        <v/>
      </c>
      <c r="D530">
        <f>IF($U530="","",INDEX('Per Line'!$C$2:$C$3001,$U530)&amp;"")</f>
        <v/>
      </c>
      <c r="E530">
        <f>IF($U530="","",INDEX('Per Line'!$D$2:$D$3001,$U530)&amp;"")</f>
        <v/>
      </c>
      <c r="F530">
        <f>IF($U530="","",INDEX('Per Line'!$E$2:$E$3001,$U530))</f>
        <v/>
      </c>
      <c r="G530" s="7">
        <f>IF($U530="","",F530*S530/100)</f>
        <v/>
      </c>
      <c r="H530">
        <f>IF($U530="","",INDEX('Per Line'!$O$2:$O$3001,$U530)&amp;"")</f>
        <v/>
      </c>
      <c r="I530" s="11">
        <f>IF($U530="","",INDEX('Per Line'!$Q$2:$Q$3001,$U530))</f>
        <v/>
      </c>
      <c r="J530">
        <f>IF($U530="","",INDEX('Per Line'!$R$2:$R$3001,$U530)&amp;"")</f>
        <v/>
      </c>
      <c r="K530">
        <f>IF($U530="","",Settings!$C$7)</f>
        <v/>
      </c>
      <c r="L530" s="7">
        <f>IF($U530="","",SUMIFS('Per Line'!$N$2:$N$3001,'Per Line'!$A$2:$A$3001,$A530,'Per Line'!$W$2:$W$3001,0))</f>
        <v/>
      </c>
      <c r="M530" s="7">
        <f>IF($U530="","",L530*K530)</f>
        <v/>
      </c>
      <c r="N530">
        <f>IF($U530="","",Settings!$C$6)</f>
        <v/>
      </c>
      <c r="O530" s="7">
        <f>IF($U530="","",SUMIFS('Per Line'!$N$2:$N$3001,'Per Line'!$A$2:$A$3001,$A530,'Per Line'!$W$2:$W$3001,1))</f>
        <v/>
      </c>
      <c r="P530" s="7">
        <f>IF($U530="","",O530*N530)</f>
        <v/>
      </c>
      <c r="Q530" s="7">
        <f>IF($U530="","",P530+M530)</f>
        <v/>
      </c>
      <c r="R530" s="7">
        <f>IF($U530="","",S530-Q530)</f>
        <v/>
      </c>
      <c r="S530" s="7">
        <f>IF($U530="","",L530+O530)</f>
        <v/>
      </c>
      <c r="T530" s="7">
        <f>IF($U530="","",S530-Q530-G530)</f>
        <v/>
      </c>
      <c r="U530" s="13">
        <f>IF(ROWS($U$2:$U530)&lt;=MAX('Per Line'!$V$2:$V$3001),MATCH(ROWS($U$2:$U530),'Per Line'!$V$2:$V$3001,0),"")</f>
        <v/>
      </c>
    </row>
    <row r="531">
      <c r="A531">
        <f>IF($U531="","",INDEX('Per Line'!$A$2:$A$3001,$U531)&amp;"")</f>
        <v/>
      </c>
      <c r="B531" s="12" t="n"/>
      <c r="C531">
        <f>IF($U531="","",INDEX('Per Line'!$B$2:$B$3001,$U531)&amp;"")</f>
        <v/>
      </c>
      <c r="D531">
        <f>IF($U531="","",INDEX('Per Line'!$C$2:$C$3001,$U531)&amp;"")</f>
        <v/>
      </c>
      <c r="E531">
        <f>IF($U531="","",INDEX('Per Line'!$D$2:$D$3001,$U531)&amp;"")</f>
        <v/>
      </c>
      <c r="F531">
        <f>IF($U531="","",INDEX('Per Line'!$E$2:$E$3001,$U531))</f>
        <v/>
      </c>
      <c r="G531" s="7">
        <f>IF($U531="","",F531*S531/100)</f>
        <v/>
      </c>
      <c r="H531">
        <f>IF($U531="","",INDEX('Per Line'!$O$2:$O$3001,$U531)&amp;"")</f>
        <v/>
      </c>
      <c r="I531" s="11">
        <f>IF($U531="","",INDEX('Per Line'!$Q$2:$Q$3001,$U531))</f>
        <v/>
      </c>
      <c r="J531">
        <f>IF($U531="","",INDEX('Per Line'!$R$2:$R$3001,$U531)&amp;"")</f>
        <v/>
      </c>
      <c r="K531">
        <f>IF($U531="","",Settings!$C$7)</f>
        <v/>
      </c>
      <c r="L531" s="7">
        <f>IF($U531="","",SUMIFS('Per Line'!$N$2:$N$3001,'Per Line'!$A$2:$A$3001,$A531,'Per Line'!$W$2:$W$3001,0))</f>
        <v/>
      </c>
      <c r="M531" s="7">
        <f>IF($U531="","",L531*K531)</f>
        <v/>
      </c>
      <c r="N531">
        <f>IF($U531="","",Settings!$C$6)</f>
        <v/>
      </c>
      <c r="O531" s="7">
        <f>IF($U531="","",SUMIFS('Per Line'!$N$2:$N$3001,'Per Line'!$A$2:$A$3001,$A531,'Per Line'!$W$2:$W$3001,1))</f>
        <v/>
      </c>
      <c r="P531" s="7">
        <f>IF($U531="","",O531*N531)</f>
        <v/>
      </c>
      <c r="Q531" s="7">
        <f>IF($U531="","",P531+M531)</f>
        <v/>
      </c>
      <c r="R531" s="7">
        <f>IF($U531="","",S531-Q531)</f>
        <v/>
      </c>
      <c r="S531" s="7">
        <f>IF($U531="","",L531+O531)</f>
        <v/>
      </c>
      <c r="T531" s="7">
        <f>IF($U531="","",S531-Q531-G531)</f>
        <v/>
      </c>
      <c r="U531" s="13">
        <f>IF(ROWS($U$2:$U531)&lt;=MAX('Per Line'!$V$2:$V$3001),MATCH(ROWS($U$2:$U531),'Per Line'!$V$2:$V$3001,0),"")</f>
        <v/>
      </c>
    </row>
    <row r="532">
      <c r="A532">
        <f>IF($U532="","",INDEX('Per Line'!$A$2:$A$3001,$U532)&amp;"")</f>
        <v/>
      </c>
      <c r="B532" s="12" t="n"/>
      <c r="C532">
        <f>IF($U532="","",INDEX('Per Line'!$B$2:$B$3001,$U532)&amp;"")</f>
        <v/>
      </c>
      <c r="D532">
        <f>IF($U532="","",INDEX('Per Line'!$C$2:$C$3001,$U532)&amp;"")</f>
        <v/>
      </c>
      <c r="E532">
        <f>IF($U532="","",INDEX('Per Line'!$D$2:$D$3001,$U532)&amp;"")</f>
        <v/>
      </c>
      <c r="F532">
        <f>IF($U532="","",INDEX('Per Line'!$E$2:$E$3001,$U532))</f>
        <v/>
      </c>
      <c r="G532" s="7">
        <f>IF($U532="","",F532*S532/100)</f>
        <v/>
      </c>
      <c r="H532">
        <f>IF($U532="","",INDEX('Per Line'!$O$2:$O$3001,$U532)&amp;"")</f>
        <v/>
      </c>
      <c r="I532" s="11">
        <f>IF($U532="","",INDEX('Per Line'!$Q$2:$Q$3001,$U532))</f>
        <v/>
      </c>
      <c r="J532">
        <f>IF($U532="","",INDEX('Per Line'!$R$2:$R$3001,$U532)&amp;"")</f>
        <v/>
      </c>
      <c r="K532">
        <f>IF($U532="","",Settings!$C$7)</f>
        <v/>
      </c>
      <c r="L532" s="7">
        <f>IF($U532="","",SUMIFS('Per Line'!$N$2:$N$3001,'Per Line'!$A$2:$A$3001,$A532,'Per Line'!$W$2:$W$3001,0))</f>
        <v/>
      </c>
      <c r="M532" s="7">
        <f>IF($U532="","",L532*K532)</f>
        <v/>
      </c>
      <c r="N532">
        <f>IF($U532="","",Settings!$C$6)</f>
        <v/>
      </c>
      <c r="O532" s="7">
        <f>IF($U532="","",SUMIFS('Per Line'!$N$2:$N$3001,'Per Line'!$A$2:$A$3001,$A532,'Per Line'!$W$2:$W$3001,1))</f>
        <v/>
      </c>
      <c r="P532" s="7">
        <f>IF($U532="","",O532*N532)</f>
        <v/>
      </c>
      <c r="Q532" s="7">
        <f>IF($U532="","",P532+M532)</f>
        <v/>
      </c>
      <c r="R532" s="7">
        <f>IF($U532="","",S532-Q532)</f>
        <v/>
      </c>
      <c r="S532" s="7">
        <f>IF($U532="","",L532+O532)</f>
        <v/>
      </c>
      <c r="T532" s="7">
        <f>IF($U532="","",S532-Q532-G532)</f>
        <v/>
      </c>
      <c r="U532" s="13">
        <f>IF(ROWS($U$2:$U532)&lt;=MAX('Per Line'!$V$2:$V$3001),MATCH(ROWS($U$2:$U532),'Per Line'!$V$2:$V$3001,0),"")</f>
        <v/>
      </c>
    </row>
    <row r="533">
      <c r="A533">
        <f>IF($U533="","",INDEX('Per Line'!$A$2:$A$3001,$U533)&amp;"")</f>
        <v/>
      </c>
      <c r="B533" s="12" t="n"/>
      <c r="C533">
        <f>IF($U533="","",INDEX('Per Line'!$B$2:$B$3001,$U533)&amp;"")</f>
        <v/>
      </c>
      <c r="D533">
        <f>IF($U533="","",INDEX('Per Line'!$C$2:$C$3001,$U533)&amp;"")</f>
        <v/>
      </c>
      <c r="E533">
        <f>IF($U533="","",INDEX('Per Line'!$D$2:$D$3001,$U533)&amp;"")</f>
        <v/>
      </c>
      <c r="F533">
        <f>IF($U533="","",INDEX('Per Line'!$E$2:$E$3001,$U533))</f>
        <v/>
      </c>
      <c r="G533" s="7">
        <f>IF($U533="","",F533*S533/100)</f>
        <v/>
      </c>
      <c r="H533">
        <f>IF($U533="","",INDEX('Per Line'!$O$2:$O$3001,$U533)&amp;"")</f>
        <v/>
      </c>
      <c r="I533" s="11">
        <f>IF($U533="","",INDEX('Per Line'!$Q$2:$Q$3001,$U533))</f>
        <v/>
      </c>
      <c r="J533">
        <f>IF($U533="","",INDEX('Per Line'!$R$2:$R$3001,$U533)&amp;"")</f>
        <v/>
      </c>
      <c r="K533">
        <f>IF($U533="","",Settings!$C$7)</f>
        <v/>
      </c>
      <c r="L533" s="7">
        <f>IF($U533="","",SUMIFS('Per Line'!$N$2:$N$3001,'Per Line'!$A$2:$A$3001,$A533,'Per Line'!$W$2:$W$3001,0))</f>
        <v/>
      </c>
      <c r="M533" s="7">
        <f>IF($U533="","",L533*K533)</f>
        <v/>
      </c>
      <c r="N533">
        <f>IF($U533="","",Settings!$C$6)</f>
        <v/>
      </c>
      <c r="O533" s="7">
        <f>IF($U533="","",SUMIFS('Per Line'!$N$2:$N$3001,'Per Line'!$A$2:$A$3001,$A533,'Per Line'!$W$2:$W$3001,1))</f>
        <v/>
      </c>
      <c r="P533" s="7">
        <f>IF($U533="","",O533*N533)</f>
        <v/>
      </c>
      <c r="Q533" s="7">
        <f>IF($U533="","",P533+M533)</f>
        <v/>
      </c>
      <c r="R533" s="7">
        <f>IF($U533="","",S533-Q533)</f>
        <v/>
      </c>
      <c r="S533" s="7">
        <f>IF($U533="","",L533+O533)</f>
        <v/>
      </c>
      <c r="T533" s="7">
        <f>IF($U533="","",S533-Q533-G533)</f>
        <v/>
      </c>
      <c r="U533" s="13">
        <f>IF(ROWS($U$2:$U533)&lt;=MAX('Per Line'!$V$2:$V$3001),MATCH(ROWS($U$2:$U533),'Per Line'!$V$2:$V$3001,0),"")</f>
        <v/>
      </c>
    </row>
    <row r="534">
      <c r="A534">
        <f>IF($U534="","",INDEX('Per Line'!$A$2:$A$3001,$U534)&amp;"")</f>
        <v/>
      </c>
      <c r="B534" s="12" t="n"/>
      <c r="C534">
        <f>IF($U534="","",INDEX('Per Line'!$B$2:$B$3001,$U534)&amp;"")</f>
        <v/>
      </c>
      <c r="D534">
        <f>IF($U534="","",INDEX('Per Line'!$C$2:$C$3001,$U534)&amp;"")</f>
        <v/>
      </c>
      <c r="E534">
        <f>IF($U534="","",INDEX('Per Line'!$D$2:$D$3001,$U534)&amp;"")</f>
        <v/>
      </c>
      <c r="F534">
        <f>IF($U534="","",INDEX('Per Line'!$E$2:$E$3001,$U534))</f>
        <v/>
      </c>
      <c r="G534" s="7">
        <f>IF($U534="","",F534*S534/100)</f>
        <v/>
      </c>
      <c r="H534">
        <f>IF($U534="","",INDEX('Per Line'!$O$2:$O$3001,$U534)&amp;"")</f>
        <v/>
      </c>
      <c r="I534" s="11">
        <f>IF($U534="","",INDEX('Per Line'!$Q$2:$Q$3001,$U534))</f>
        <v/>
      </c>
      <c r="J534">
        <f>IF($U534="","",INDEX('Per Line'!$R$2:$R$3001,$U534)&amp;"")</f>
        <v/>
      </c>
      <c r="K534">
        <f>IF($U534="","",Settings!$C$7)</f>
        <v/>
      </c>
      <c r="L534" s="7">
        <f>IF($U534="","",SUMIFS('Per Line'!$N$2:$N$3001,'Per Line'!$A$2:$A$3001,$A534,'Per Line'!$W$2:$W$3001,0))</f>
        <v/>
      </c>
      <c r="M534" s="7">
        <f>IF($U534="","",L534*K534)</f>
        <v/>
      </c>
      <c r="N534">
        <f>IF($U534="","",Settings!$C$6)</f>
        <v/>
      </c>
      <c r="O534" s="7">
        <f>IF($U534="","",SUMIFS('Per Line'!$N$2:$N$3001,'Per Line'!$A$2:$A$3001,$A534,'Per Line'!$W$2:$W$3001,1))</f>
        <v/>
      </c>
      <c r="P534" s="7">
        <f>IF($U534="","",O534*N534)</f>
        <v/>
      </c>
      <c r="Q534" s="7">
        <f>IF($U534="","",P534+M534)</f>
        <v/>
      </c>
      <c r="R534" s="7">
        <f>IF($U534="","",S534-Q534)</f>
        <v/>
      </c>
      <c r="S534" s="7">
        <f>IF($U534="","",L534+O534)</f>
        <v/>
      </c>
      <c r="T534" s="7">
        <f>IF($U534="","",S534-Q534-G534)</f>
        <v/>
      </c>
      <c r="U534" s="13">
        <f>IF(ROWS($U$2:$U534)&lt;=MAX('Per Line'!$V$2:$V$3001),MATCH(ROWS($U$2:$U534),'Per Line'!$V$2:$V$3001,0),"")</f>
        <v/>
      </c>
    </row>
    <row r="535">
      <c r="A535">
        <f>IF($U535="","",INDEX('Per Line'!$A$2:$A$3001,$U535)&amp;"")</f>
        <v/>
      </c>
      <c r="B535" s="12" t="n"/>
      <c r="C535">
        <f>IF($U535="","",INDEX('Per Line'!$B$2:$B$3001,$U535)&amp;"")</f>
        <v/>
      </c>
      <c r="D535">
        <f>IF($U535="","",INDEX('Per Line'!$C$2:$C$3001,$U535)&amp;"")</f>
        <v/>
      </c>
      <c r="E535">
        <f>IF($U535="","",INDEX('Per Line'!$D$2:$D$3001,$U535)&amp;"")</f>
        <v/>
      </c>
      <c r="F535">
        <f>IF($U535="","",INDEX('Per Line'!$E$2:$E$3001,$U535))</f>
        <v/>
      </c>
      <c r="G535" s="7">
        <f>IF($U535="","",F535*S535/100)</f>
        <v/>
      </c>
      <c r="H535">
        <f>IF($U535="","",INDEX('Per Line'!$O$2:$O$3001,$U535)&amp;"")</f>
        <v/>
      </c>
      <c r="I535" s="11">
        <f>IF($U535="","",INDEX('Per Line'!$Q$2:$Q$3001,$U535))</f>
        <v/>
      </c>
      <c r="J535">
        <f>IF($U535="","",INDEX('Per Line'!$R$2:$R$3001,$U535)&amp;"")</f>
        <v/>
      </c>
      <c r="K535">
        <f>IF($U535="","",Settings!$C$7)</f>
        <v/>
      </c>
      <c r="L535" s="7">
        <f>IF($U535="","",SUMIFS('Per Line'!$N$2:$N$3001,'Per Line'!$A$2:$A$3001,$A535,'Per Line'!$W$2:$W$3001,0))</f>
        <v/>
      </c>
      <c r="M535" s="7">
        <f>IF($U535="","",L535*K535)</f>
        <v/>
      </c>
      <c r="N535">
        <f>IF($U535="","",Settings!$C$6)</f>
        <v/>
      </c>
      <c r="O535" s="7">
        <f>IF($U535="","",SUMIFS('Per Line'!$N$2:$N$3001,'Per Line'!$A$2:$A$3001,$A535,'Per Line'!$W$2:$W$3001,1))</f>
        <v/>
      </c>
      <c r="P535" s="7">
        <f>IF($U535="","",O535*N535)</f>
        <v/>
      </c>
      <c r="Q535" s="7">
        <f>IF($U535="","",P535+M535)</f>
        <v/>
      </c>
      <c r="R535" s="7">
        <f>IF($U535="","",S535-Q535)</f>
        <v/>
      </c>
      <c r="S535" s="7">
        <f>IF($U535="","",L535+O535)</f>
        <v/>
      </c>
      <c r="T535" s="7">
        <f>IF($U535="","",S535-Q535-G535)</f>
        <v/>
      </c>
      <c r="U535" s="13">
        <f>IF(ROWS($U$2:$U535)&lt;=MAX('Per Line'!$V$2:$V$3001),MATCH(ROWS($U$2:$U535),'Per Line'!$V$2:$V$3001,0),"")</f>
        <v/>
      </c>
    </row>
    <row r="536">
      <c r="A536">
        <f>IF($U536="","",INDEX('Per Line'!$A$2:$A$3001,$U536)&amp;"")</f>
        <v/>
      </c>
      <c r="B536" s="12" t="n"/>
      <c r="C536">
        <f>IF($U536="","",INDEX('Per Line'!$B$2:$B$3001,$U536)&amp;"")</f>
        <v/>
      </c>
      <c r="D536">
        <f>IF($U536="","",INDEX('Per Line'!$C$2:$C$3001,$U536)&amp;"")</f>
        <v/>
      </c>
      <c r="E536">
        <f>IF($U536="","",INDEX('Per Line'!$D$2:$D$3001,$U536)&amp;"")</f>
        <v/>
      </c>
      <c r="F536">
        <f>IF($U536="","",INDEX('Per Line'!$E$2:$E$3001,$U536))</f>
        <v/>
      </c>
      <c r="G536" s="7">
        <f>IF($U536="","",F536*S536/100)</f>
        <v/>
      </c>
      <c r="H536">
        <f>IF($U536="","",INDEX('Per Line'!$O$2:$O$3001,$U536)&amp;"")</f>
        <v/>
      </c>
      <c r="I536" s="11">
        <f>IF($U536="","",INDEX('Per Line'!$Q$2:$Q$3001,$U536))</f>
        <v/>
      </c>
      <c r="J536">
        <f>IF($U536="","",INDEX('Per Line'!$R$2:$R$3001,$U536)&amp;"")</f>
        <v/>
      </c>
      <c r="K536">
        <f>IF($U536="","",Settings!$C$7)</f>
        <v/>
      </c>
      <c r="L536" s="7">
        <f>IF($U536="","",SUMIFS('Per Line'!$N$2:$N$3001,'Per Line'!$A$2:$A$3001,$A536,'Per Line'!$W$2:$W$3001,0))</f>
        <v/>
      </c>
      <c r="M536" s="7">
        <f>IF($U536="","",L536*K536)</f>
        <v/>
      </c>
      <c r="N536">
        <f>IF($U536="","",Settings!$C$6)</f>
        <v/>
      </c>
      <c r="O536" s="7">
        <f>IF($U536="","",SUMIFS('Per Line'!$N$2:$N$3001,'Per Line'!$A$2:$A$3001,$A536,'Per Line'!$W$2:$W$3001,1))</f>
        <v/>
      </c>
      <c r="P536" s="7">
        <f>IF($U536="","",O536*N536)</f>
        <v/>
      </c>
      <c r="Q536" s="7">
        <f>IF($U536="","",P536+M536)</f>
        <v/>
      </c>
      <c r="R536" s="7">
        <f>IF($U536="","",S536-Q536)</f>
        <v/>
      </c>
      <c r="S536" s="7">
        <f>IF($U536="","",L536+O536)</f>
        <v/>
      </c>
      <c r="T536" s="7">
        <f>IF($U536="","",S536-Q536-G536)</f>
        <v/>
      </c>
      <c r="U536" s="13">
        <f>IF(ROWS($U$2:$U536)&lt;=MAX('Per Line'!$V$2:$V$3001),MATCH(ROWS($U$2:$U536),'Per Line'!$V$2:$V$3001,0),"")</f>
        <v/>
      </c>
    </row>
    <row r="537">
      <c r="A537">
        <f>IF($U537="","",INDEX('Per Line'!$A$2:$A$3001,$U537)&amp;"")</f>
        <v/>
      </c>
      <c r="B537" s="12" t="n"/>
      <c r="C537">
        <f>IF($U537="","",INDEX('Per Line'!$B$2:$B$3001,$U537)&amp;"")</f>
        <v/>
      </c>
      <c r="D537">
        <f>IF($U537="","",INDEX('Per Line'!$C$2:$C$3001,$U537)&amp;"")</f>
        <v/>
      </c>
      <c r="E537">
        <f>IF($U537="","",INDEX('Per Line'!$D$2:$D$3001,$U537)&amp;"")</f>
        <v/>
      </c>
      <c r="F537">
        <f>IF($U537="","",INDEX('Per Line'!$E$2:$E$3001,$U537))</f>
        <v/>
      </c>
      <c r="G537" s="7">
        <f>IF($U537="","",F537*S537/100)</f>
        <v/>
      </c>
      <c r="H537">
        <f>IF($U537="","",INDEX('Per Line'!$O$2:$O$3001,$U537)&amp;"")</f>
        <v/>
      </c>
      <c r="I537" s="11">
        <f>IF($U537="","",INDEX('Per Line'!$Q$2:$Q$3001,$U537))</f>
        <v/>
      </c>
      <c r="J537">
        <f>IF($U537="","",INDEX('Per Line'!$R$2:$R$3001,$U537)&amp;"")</f>
        <v/>
      </c>
      <c r="K537">
        <f>IF($U537="","",Settings!$C$7)</f>
        <v/>
      </c>
      <c r="L537" s="7">
        <f>IF($U537="","",SUMIFS('Per Line'!$N$2:$N$3001,'Per Line'!$A$2:$A$3001,$A537,'Per Line'!$W$2:$W$3001,0))</f>
        <v/>
      </c>
      <c r="M537" s="7">
        <f>IF($U537="","",L537*K537)</f>
        <v/>
      </c>
      <c r="N537">
        <f>IF($U537="","",Settings!$C$6)</f>
        <v/>
      </c>
      <c r="O537" s="7">
        <f>IF($U537="","",SUMIFS('Per Line'!$N$2:$N$3001,'Per Line'!$A$2:$A$3001,$A537,'Per Line'!$W$2:$W$3001,1))</f>
        <v/>
      </c>
      <c r="P537" s="7">
        <f>IF($U537="","",O537*N537)</f>
        <v/>
      </c>
      <c r="Q537" s="7">
        <f>IF($U537="","",P537+M537)</f>
        <v/>
      </c>
      <c r="R537" s="7">
        <f>IF($U537="","",S537-Q537)</f>
        <v/>
      </c>
      <c r="S537" s="7">
        <f>IF($U537="","",L537+O537)</f>
        <v/>
      </c>
      <c r="T537" s="7">
        <f>IF($U537="","",S537-Q537-G537)</f>
        <v/>
      </c>
      <c r="U537" s="13">
        <f>IF(ROWS($U$2:$U537)&lt;=MAX('Per Line'!$V$2:$V$3001),MATCH(ROWS($U$2:$U537),'Per Line'!$V$2:$V$3001,0),"")</f>
        <v/>
      </c>
    </row>
    <row r="538">
      <c r="A538">
        <f>IF($U538="","",INDEX('Per Line'!$A$2:$A$3001,$U538)&amp;"")</f>
        <v/>
      </c>
      <c r="B538" s="12" t="n"/>
      <c r="C538">
        <f>IF($U538="","",INDEX('Per Line'!$B$2:$B$3001,$U538)&amp;"")</f>
        <v/>
      </c>
      <c r="D538">
        <f>IF($U538="","",INDEX('Per Line'!$C$2:$C$3001,$U538)&amp;"")</f>
        <v/>
      </c>
      <c r="E538">
        <f>IF($U538="","",INDEX('Per Line'!$D$2:$D$3001,$U538)&amp;"")</f>
        <v/>
      </c>
      <c r="F538">
        <f>IF($U538="","",INDEX('Per Line'!$E$2:$E$3001,$U538))</f>
        <v/>
      </c>
      <c r="G538" s="7">
        <f>IF($U538="","",F538*S538/100)</f>
        <v/>
      </c>
      <c r="H538">
        <f>IF($U538="","",INDEX('Per Line'!$O$2:$O$3001,$U538)&amp;"")</f>
        <v/>
      </c>
      <c r="I538" s="11">
        <f>IF($U538="","",INDEX('Per Line'!$Q$2:$Q$3001,$U538))</f>
        <v/>
      </c>
      <c r="J538">
        <f>IF($U538="","",INDEX('Per Line'!$R$2:$R$3001,$U538)&amp;"")</f>
        <v/>
      </c>
      <c r="K538">
        <f>IF($U538="","",Settings!$C$7)</f>
        <v/>
      </c>
      <c r="L538" s="7">
        <f>IF($U538="","",SUMIFS('Per Line'!$N$2:$N$3001,'Per Line'!$A$2:$A$3001,$A538,'Per Line'!$W$2:$W$3001,0))</f>
        <v/>
      </c>
      <c r="M538" s="7">
        <f>IF($U538="","",L538*K538)</f>
        <v/>
      </c>
      <c r="N538">
        <f>IF($U538="","",Settings!$C$6)</f>
        <v/>
      </c>
      <c r="O538" s="7">
        <f>IF($U538="","",SUMIFS('Per Line'!$N$2:$N$3001,'Per Line'!$A$2:$A$3001,$A538,'Per Line'!$W$2:$W$3001,1))</f>
        <v/>
      </c>
      <c r="P538" s="7">
        <f>IF($U538="","",O538*N538)</f>
        <v/>
      </c>
      <c r="Q538" s="7">
        <f>IF($U538="","",P538+M538)</f>
        <v/>
      </c>
      <c r="R538" s="7">
        <f>IF($U538="","",S538-Q538)</f>
        <v/>
      </c>
      <c r="S538" s="7">
        <f>IF($U538="","",L538+O538)</f>
        <v/>
      </c>
      <c r="T538" s="7">
        <f>IF($U538="","",S538-Q538-G538)</f>
        <v/>
      </c>
      <c r="U538" s="13">
        <f>IF(ROWS($U$2:$U538)&lt;=MAX('Per Line'!$V$2:$V$3001),MATCH(ROWS($U$2:$U538),'Per Line'!$V$2:$V$3001,0),"")</f>
        <v/>
      </c>
    </row>
    <row r="539">
      <c r="A539">
        <f>IF($U539="","",INDEX('Per Line'!$A$2:$A$3001,$U539)&amp;"")</f>
        <v/>
      </c>
      <c r="B539" s="12" t="n"/>
      <c r="C539">
        <f>IF($U539="","",INDEX('Per Line'!$B$2:$B$3001,$U539)&amp;"")</f>
        <v/>
      </c>
      <c r="D539">
        <f>IF($U539="","",INDEX('Per Line'!$C$2:$C$3001,$U539)&amp;"")</f>
        <v/>
      </c>
      <c r="E539">
        <f>IF($U539="","",INDEX('Per Line'!$D$2:$D$3001,$U539)&amp;"")</f>
        <v/>
      </c>
      <c r="F539">
        <f>IF($U539="","",INDEX('Per Line'!$E$2:$E$3001,$U539))</f>
        <v/>
      </c>
      <c r="G539" s="7">
        <f>IF($U539="","",F539*S539/100)</f>
        <v/>
      </c>
      <c r="H539">
        <f>IF($U539="","",INDEX('Per Line'!$O$2:$O$3001,$U539)&amp;"")</f>
        <v/>
      </c>
      <c r="I539" s="11">
        <f>IF($U539="","",INDEX('Per Line'!$Q$2:$Q$3001,$U539))</f>
        <v/>
      </c>
      <c r="J539">
        <f>IF($U539="","",INDEX('Per Line'!$R$2:$R$3001,$U539)&amp;"")</f>
        <v/>
      </c>
      <c r="K539">
        <f>IF($U539="","",Settings!$C$7)</f>
        <v/>
      </c>
      <c r="L539" s="7">
        <f>IF($U539="","",SUMIFS('Per Line'!$N$2:$N$3001,'Per Line'!$A$2:$A$3001,$A539,'Per Line'!$W$2:$W$3001,0))</f>
        <v/>
      </c>
      <c r="M539" s="7">
        <f>IF($U539="","",L539*K539)</f>
        <v/>
      </c>
      <c r="N539">
        <f>IF($U539="","",Settings!$C$6)</f>
        <v/>
      </c>
      <c r="O539" s="7">
        <f>IF($U539="","",SUMIFS('Per Line'!$N$2:$N$3001,'Per Line'!$A$2:$A$3001,$A539,'Per Line'!$W$2:$W$3001,1))</f>
        <v/>
      </c>
      <c r="P539" s="7">
        <f>IF($U539="","",O539*N539)</f>
        <v/>
      </c>
      <c r="Q539" s="7">
        <f>IF($U539="","",P539+M539)</f>
        <v/>
      </c>
      <c r="R539" s="7">
        <f>IF($U539="","",S539-Q539)</f>
        <v/>
      </c>
      <c r="S539" s="7">
        <f>IF($U539="","",L539+O539)</f>
        <v/>
      </c>
      <c r="T539" s="7">
        <f>IF($U539="","",S539-Q539-G539)</f>
        <v/>
      </c>
      <c r="U539" s="13">
        <f>IF(ROWS($U$2:$U539)&lt;=MAX('Per Line'!$V$2:$V$3001),MATCH(ROWS($U$2:$U539),'Per Line'!$V$2:$V$3001,0),"")</f>
        <v/>
      </c>
    </row>
    <row r="540">
      <c r="A540">
        <f>IF($U540="","",INDEX('Per Line'!$A$2:$A$3001,$U540)&amp;"")</f>
        <v/>
      </c>
      <c r="B540" s="12" t="n"/>
      <c r="C540">
        <f>IF($U540="","",INDEX('Per Line'!$B$2:$B$3001,$U540)&amp;"")</f>
        <v/>
      </c>
      <c r="D540">
        <f>IF($U540="","",INDEX('Per Line'!$C$2:$C$3001,$U540)&amp;"")</f>
        <v/>
      </c>
      <c r="E540">
        <f>IF($U540="","",INDEX('Per Line'!$D$2:$D$3001,$U540)&amp;"")</f>
        <v/>
      </c>
      <c r="F540">
        <f>IF($U540="","",INDEX('Per Line'!$E$2:$E$3001,$U540))</f>
        <v/>
      </c>
      <c r="G540" s="7">
        <f>IF($U540="","",F540*S540/100)</f>
        <v/>
      </c>
      <c r="H540">
        <f>IF($U540="","",INDEX('Per Line'!$O$2:$O$3001,$U540)&amp;"")</f>
        <v/>
      </c>
      <c r="I540" s="11">
        <f>IF($U540="","",INDEX('Per Line'!$Q$2:$Q$3001,$U540))</f>
        <v/>
      </c>
      <c r="J540">
        <f>IF($U540="","",INDEX('Per Line'!$R$2:$R$3001,$U540)&amp;"")</f>
        <v/>
      </c>
      <c r="K540">
        <f>IF($U540="","",Settings!$C$7)</f>
        <v/>
      </c>
      <c r="L540" s="7">
        <f>IF($U540="","",SUMIFS('Per Line'!$N$2:$N$3001,'Per Line'!$A$2:$A$3001,$A540,'Per Line'!$W$2:$W$3001,0))</f>
        <v/>
      </c>
      <c r="M540" s="7">
        <f>IF($U540="","",L540*K540)</f>
        <v/>
      </c>
      <c r="N540">
        <f>IF($U540="","",Settings!$C$6)</f>
        <v/>
      </c>
      <c r="O540" s="7">
        <f>IF($U540="","",SUMIFS('Per Line'!$N$2:$N$3001,'Per Line'!$A$2:$A$3001,$A540,'Per Line'!$W$2:$W$3001,1))</f>
        <v/>
      </c>
      <c r="P540" s="7">
        <f>IF($U540="","",O540*N540)</f>
        <v/>
      </c>
      <c r="Q540" s="7">
        <f>IF($U540="","",P540+M540)</f>
        <v/>
      </c>
      <c r="R540" s="7">
        <f>IF($U540="","",S540-Q540)</f>
        <v/>
      </c>
      <c r="S540" s="7">
        <f>IF($U540="","",L540+O540)</f>
        <v/>
      </c>
      <c r="T540" s="7">
        <f>IF($U540="","",S540-Q540-G540)</f>
        <v/>
      </c>
      <c r="U540" s="13">
        <f>IF(ROWS($U$2:$U540)&lt;=MAX('Per Line'!$V$2:$V$3001),MATCH(ROWS($U$2:$U540),'Per Line'!$V$2:$V$3001,0),"")</f>
        <v/>
      </c>
    </row>
    <row r="541">
      <c r="A541">
        <f>IF($U541="","",INDEX('Per Line'!$A$2:$A$3001,$U541)&amp;"")</f>
        <v/>
      </c>
      <c r="B541" s="12" t="n"/>
      <c r="C541">
        <f>IF($U541="","",INDEX('Per Line'!$B$2:$B$3001,$U541)&amp;"")</f>
        <v/>
      </c>
      <c r="D541">
        <f>IF($U541="","",INDEX('Per Line'!$C$2:$C$3001,$U541)&amp;"")</f>
        <v/>
      </c>
      <c r="E541">
        <f>IF($U541="","",INDEX('Per Line'!$D$2:$D$3001,$U541)&amp;"")</f>
        <v/>
      </c>
      <c r="F541">
        <f>IF($U541="","",INDEX('Per Line'!$E$2:$E$3001,$U541))</f>
        <v/>
      </c>
      <c r="G541" s="7">
        <f>IF($U541="","",F541*S541/100)</f>
        <v/>
      </c>
      <c r="H541">
        <f>IF($U541="","",INDEX('Per Line'!$O$2:$O$3001,$U541)&amp;"")</f>
        <v/>
      </c>
      <c r="I541" s="11">
        <f>IF($U541="","",INDEX('Per Line'!$Q$2:$Q$3001,$U541))</f>
        <v/>
      </c>
      <c r="J541">
        <f>IF($U541="","",INDEX('Per Line'!$R$2:$R$3001,$U541)&amp;"")</f>
        <v/>
      </c>
      <c r="K541">
        <f>IF($U541="","",Settings!$C$7)</f>
        <v/>
      </c>
      <c r="L541" s="7">
        <f>IF($U541="","",SUMIFS('Per Line'!$N$2:$N$3001,'Per Line'!$A$2:$A$3001,$A541,'Per Line'!$W$2:$W$3001,0))</f>
        <v/>
      </c>
      <c r="M541" s="7">
        <f>IF($U541="","",L541*K541)</f>
        <v/>
      </c>
      <c r="N541">
        <f>IF($U541="","",Settings!$C$6)</f>
        <v/>
      </c>
      <c r="O541" s="7">
        <f>IF($U541="","",SUMIFS('Per Line'!$N$2:$N$3001,'Per Line'!$A$2:$A$3001,$A541,'Per Line'!$W$2:$W$3001,1))</f>
        <v/>
      </c>
      <c r="P541" s="7">
        <f>IF($U541="","",O541*N541)</f>
        <v/>
      </c>
      <c r="Q541" s="7">
        <f>IF($U541="","",P541+M541)</f>
        <v/>
      </c>
      <c r="R541" s="7">
        <f>IF($U541="","",S541-Q541)</f>
        <v/>
      </c>
      <c r="S541" s="7">
        <f>IF($U541="","",L541+O541)</f>
        <v/>
      </c>
      <c r="T541" s="7">
        <f>IF($U541="","",S541-Q541-G541)</f>
        <v/>
      </c>
      <c r="U541" s="13">
        <f>IF(ROWS($U$2:$U541)&lt;=MAX('Per Line'!$V$2:$V$3001),MATCH(ROWS($U$2:$U541),'Per Line'!$V$2:$V$3001,0),"")</f>
        <v/>
      </c>
    </row>
    <row r="542">
      <c r="A542">
        <f>IF($U542="","",INDEX('Per Line'!$A$2:$A$3001,$U542)&amp;"")</f>
        <v/>
      </c>
      <c r="B542" s="12" t="n"/>
      <c r="C542">
        <f>IF($U542="","",INDEX('Per Line'!$B$2:$B$3001,$U542)&amp;"")</f>
        <v/>
      </c>
      <c r="D542">
        <f>IF($U542="","",INDEX('Per Line'!$C$2:$C$3001,$U542)&amp;"")</f>
        <v/>
      </c>
      <c r="E542">
        <f>IF($U542="","",INDEX('Per Line'!$D$2:$D$3001,$U542)&amp;"")</f>
        <v/>
      </c>
      <c r="F542">
        <f>IF($U542="","",INDEX('Per Line'!$E$2:$E$3001,$U542))</f>
        <v/>
      </c>
      <c r="G542" s="7">
        <f>IF($U542="","",F542*S542/100)</f>
        <v/>
      </c>
      <c r="H542">
        <f>IF($U542="","",INDEX('Per Line'!$O$2:$O$3001,$U542)&amp;"")</f>
        <v/>
      </c>
      <c r="I542" s="11">
        <f>IF($U542="","",INDEX('Per Line'!$Q$2:$Q$3001,$U542))</f>
        <v/>
      </c>
      <c r="J542">
        <f>IF($U542="","",INDEX('Per Line'!$R$2:$R$3001,$U542)&amp;"")</f>
        <v/>
      </c>
      <c r="K542">
        <f>IF($U542="","",Settings!$C$7)</f>
        <v/>
      </c>
      <c r="L542" s="7">
        <f>IF($U542="","",SUMIFS('Per Line'!$N$2:$N$3001,'Per Line'!$A$2:$A$3001,$A542,'Per Line'!$W$2:$W$3001,0))</f>
        <v/>
      </c>
      <c r="M542" s="7">
        <f>IF($U542="","",L542*K542)</f>
        <v/>
      </c>
      <c r="N542">
        <f>IF($U542="","",Settings!$C$6)</f>
        <v/>
      </c>
      <c r="O542" s="7">
        <f>IF($U542="","",SUMIFS('Per Line'!$N$2:$N$3001,'Per Line'!$A$2:$A$3001,$A542,'Per Line'!$W$2:$W$3001,1))</f>
        <v/>
      </c>
      <c r="P542" s="7">
        <f>IF($U542="","",O542*N542)</f>
        <v/>
      </c>
      <c r="Q542" s="7">
        <f>IF($U542="","",P542+M542)</f>
        <v/>
      </c>
      <c r="R542" s="7">
        <f>IF($U542="","",S542-Q542)</f>
        <v/>
      </c>
      <c r="S542" s="7">
        <f>IF($U542="","",L542+O542)</f>
        <v/>
      </c>
      <c r="T542" s="7">
        <f>IF($U542="","",S542-Q542-G542)</f>
        <v/>
      </c>
      <c r="U542" s="13">
        <f>IF(ROWS($U$2:$U542)&lt;=MAX('Per Line'!$V$2:$V$3001),MATCH(ROWS($U$2:$U542),'Per Line'!$V$2:$V$3001,0),"")</f>
        <v/>
      </c>
    </row>
    <row r="543">
      <c r="A543">
        <f>IF($U543="","",INDEX('Per Line'!$A$2:$A$3001,$U543)&amp;"")</f>
        <v/>
      </c>
      <c r="B543" s="12" t="n"/>
      <c r="C543">
        <f>IF($U543="","",INDEX('Per Line'!$B$2:$B$3001,$U543)&amp;"")</f>
        <v/>
      </c>
      <c r="D543">
        <f>IF($U543="","",INDEX('Per Line'!$C$2:$C$3001,$U543)&amp;"")</f>
        <v/>
      </c>
      <c r="E543">
        <f>IF($U543="","",INDEX('Per Line'!$D$2:$D$3001,$U543)&amp;"")</f>
        <v/>
      </c>
      <c r="F543">
        <f>IF($U543="","",INDEX('Per Line'!$E$2:$E$3001,$U543))</f>
        <v/>
      </c>
      <c r="G543" s="7">
        <f>IF($U543="","",F543*S543/100)</f>
        <v/>
      </c>
      <c r="H543">
        <f>IF($U543="","",INDEX('Per Line'!$O$2:$O$3001,$U543)&amp;"")</f>
        <v/>
      </c>
      <c r="I543" s="11">
        <f>IF($U543="","",INDEX('Per Line'!$Q$2:$Q$3001,$U543))</f>
        <v/>
      </c>
      <c r="J543">
        <f>IF($U543="","",INDEX('Per Line'!$R$2:$R$3001,$U543)&amp;"")</f>
        <v/>
      </c>
      <c r="K543">
        <f>IF($U543="","",Settings!$C$7)</f>
        <v/>
      </c>
      <c r="L543" s="7">
        <f>IF($U543="","",SUMIFS('Per Line'!$N$2:$N$3001,'Per Line'!$A$2:$A$3001,$A543,'Per Line'!$W$2:$W$3001,0))</f>
        <v/>
      </c>
      <c r="M543" s="7">
        <f>IF($U543="","",L543*K543)</f>
        <v/>
      </c>
      <c r="N543">
        <f>IF($U543="","",Settings!$C$6)</f>
        <v/>
      </c>
      <c r="O543" s="7">
        <f>IF($U543="","",SUMIFS('Per Line'!$N$2:$N$3001,'Per Line'!$A$2:$A$3001,$A543,'Per Line'!$W$2:$W$3001,1))</f>
        <v/>
      </c>
      <c r="P543" s="7">
        <f>IF($U543="","",O543*N543)</f>
        <v/>
      </c>
      <c r="Q543" s="7">
        <f>IF($U543="","",P543+M543)</f>
        <v/>
      </c>
      <c r="R543" s="7">
        <f>IF($U543="","",S543-Q543)</f>
        <v/>
      </c>
      <c r="S543" s="7">
        <f>IF($U543="","",L543+O543)</f>
        <v/>
      </c>
      <c r="T543" s="7">
        <f>IF($U543="","",S543-Q543-G543)</f>
        <v/>
      </c>
      <c r="U543" s="13">
        <f>IF(ROWS($U$2:$U543)&lt;=MAX('Per Line'!$V$2:$V$3001),MATCH(ROWS($U$2:$U543),'Per Line'!$V$2:$V$3001,0),"")</f>
        <v/>
      </c>
    </row>
    <row r="544">
      <c r="A544">
        <f>IF($U544="","",INDEX('Per Line'!$A$2:$A$3001,$U544)&amp;"")</f>
        <v/>
      </c>
      <c r="B544" s="12" t="n"/>
      <c r="C544">
        <f>IF($U544="","",INDEX('Per Line'!$B$2:$B$3001,$U544)&amp;"")</f>
        <v/>
      </c>
      <c r="D544">
        <f>IF($U544="","",INDEX('Per Line'!$C$2:$C$3001,$U544)&amp;"")</f>
        <v/>
      </c>
      <c r="E544">
        <f>IF($U544="","",INDEX('Per Line'!$D$2:$D$3001,$U544)&amp;"")</f>
        <v/>
      </c>
      <c r="F544">
        <f>IF($U544="","",INDEX('Per Line'!$E$2:$E$3001,$U544))</f>
        <v/>
      </c>
      <c r="G544" s="7">
        <f>IF($U544="","",F544*S544/100)</f>
        <v/>
      </c>
      <c r="H544">
        <f>IF($U544="","",INDEX('Per Line'!$O$2:$O$3001,$U544)&amp;"")</f>
        <v/>
      </c>
      <c r="I544" s="11">
        <f>IF($U544="","",INDEX('Per Line'!$Q$2:$Q$3001,$U544))</f>
        <v/>
      </c>
      <c r="J544">
        <f>IF($U544="","",INDEX('Per Line'!$R$2:$R$3001,$U544)&amp;"")</f>
        <v/>
      </c>
      <c r="K544">
        <f>IF($U544="","",Settings!$C$7)</f>
        <v/>
      </c>
      <c r="L544" s="7">
        <f>IF($U544="","",SUMIFS('Per Line'!$N$2:$N$3001,'Per Line'!$A$2:$A$3001,$A544,'Per Line'!$W$2:$W$3001,0))</f>
        <v/>
      </c>
      <c r="M544" s="7">
        <f>IF($U544="","",L544*K544)</f>
        <v/>
      </c>
      <c r="N544">
        <f>IF($U544="","",Settings!$C$6)</f>
        <v/>
      </c>
      <c r="O544" s="7">
        <f>IF($U544="","",SUMIFS('Per Line'!$N$2:$N$3001,'Per Line'!$A$2:$A$3001,$A544,'Per Line'!$W$2:$W$3001,1))</f>
        <v/>
      </c>
      <c r="P544" s="7">
        <f>IF($U544="","",O544*N544)</f>
        <v/>
      </c>
      <c r="Q544" s="7">
        <f>IF($U544="","",P544+M544)</f>
        <v/>
      </c>
      <c r="R544" s="7">
        <f>IF($U544="","",S544-Q544)</f>
        <v/>
      </c>
      <c r="S544" s="7">
        <f>IF($U544="","",L544+O544)</f>
        <v/>
      </c>
      <c r="T544" s="7">
        <f>IF($U544="","",S544-Q544-G544)</f>
        <v/>
      </c>
      <c r="U544" s="13">
        <f>IF(ROWS($U$2:$U544)&lt;=MAX('Per Line'!$V$2:$V$3001),MATCH(ROWS($U$2:$U544),'Per Line'!$V$2:$V$3001,0),"")</f>
        <v/>
      </c>
    </row>
    <row r="545">
      <c r="A545">
        <f>IF($U545="","",INDEX('Per Line'!$A$2:$A$3001,$U545)&amp;"")</f>
        <v/>
      </c>
      <c r="B545" s="12" t="n"/>
      <c r="C545">
        <f>IF($U545="","",INDEX('Per Line'!$B$2:$B$3001,$U545)&amp;"")</f>
        <v/>
      </c>
      <c r="D545">
        <f>IF($U545="","",INDEX('Per Line'!$C$2:$C$3001,$U545)&amp;"")</f>
        <v/>
      </c>
      <c r="E545">
        <f>IF($U545="","",INDEX('Per Line'!$D$2:$D$3001,$U545)&amp;"")</f>
        <v/>
      </c>
      <c r="F545">
        <f>IF($U545="","",INDEX('Per Line'!$E$2:$E$3001,$U545))</f>
        <v/>
      </c>
      <c r="G545" s="7">
        <f>IF($U545="","",F545*S545/100)</f>
        <v/>
      </c>
      <c r="H545">
        <f>IF($U545="","",INDEX('Per Line'!$O$2:$O$3001,$U545)&amp;"")</f>
        <v/>
      </c>
      <c r="I545" s="11">
        <f>IF($U545="","",INDEX('Per Line'!$Q$2:$Q$3001,$U545))</f>
        <v/>
      </c>
      <c r="J545">
        <f>IF($U545="","",INDEX('Per Line'!$R$2:$R$3001,$U545)&amp;"")</f>
        <v/>
      </c>
      <c r="K545">
        <f>IF($U545="","",Settings!$C$7)</f>
        <v/>
      </c>
      <c r="L545" s="7">
        <f>IF($U545="","",SUMIFS('Per Line'!$N$2:$N$3001,'Per Line'!$A$2:$A$3001,$A545,'Per Line'!$W$2:$W$3001,0))</f>
        <v/>
      </c>
      <c r="M545" s="7">
        <f>IF($U545="","",L545*K545)</f>
        <v/>
      </c>
      <c r="N545">
        <f>IF($U545="","",Settings!$C$6)</f>
        <v/>
      </c>
      <c r="O545" s="7">
        <f>IF($U545="","",SUMIFS('Per Line'!$N$2:$N$3001,'Per Line'!$A$2:$A$3001,$A545,'Per Line'!$W$2:$W$3001,1))</f>
        <v/>
      </c>
      <c r="P545" s="7">
        <f>IF($U545="","",O545*N545)</f>
        <v/>
      </c>
      <c r="Q545" s="7">
        <f>IF($U545="","",P545+M545)</f>
        <v/>
      </c>
      <c r="R545" s="7">
        <f>IF($U545="","",S545-Q545)</f>
        <v/>
      </c>
      <c r="S545" s="7">
        <f>IF($U545="","",L545+O545)</f>
        <v/>
      </c>
      <c r="T545" s="7">
        <f>IF($U545="","",S545-Q545-G545)</f>
        <v/>
      </c>
      <c r="U545" s="13">
        <f>IF(ROWS($U$2:$U545)&lt;=MAX('Per Line'!$V$2:$V$3001),MATCH(ROWS($U$2:$U545),'Per Line'!$V$2:$V$3001,0),"")</f>
        <v/>
      </c>
    </row>
    <row r="546">
      <c r="A546">
        <f>IF($U546="","",INDEX('Per Line'!$A$2:$A$3001,$U546)&amp;"")</f>
        <v/>
      </c>
      <c r="B546" s="12" t="n"/>
      <c r="C546">
        <f>IF($U546="","",INDEX('Per Line'!$B$2:$B$3001,$U546)&amp;"")</f>
        <v/>
      </c>
      <c r="D546">
        <f>IF($U546="","",INDEX('Per Line'!$C$2:$C$3001,$U546)&amp;"")</f>
        <v/>
      </c>
      <c r="E546">
        <f>IF($U546="","",INDEX('Per Line'!$D$2:$D$3001,$U546)&amp;"")</f>
        <v/>
      </c>
      <c r="F546">
        <f>IF($U546="","",INDEX('Per Line'!$E$2:$E$3001,$U546))</f>
        <v/>
      </c>
      <c r="G546" s="7">
        <f>IF($U546="","",F546*S546/100)</f>
        <v/>
      </c>
      <c r="H546">
        <f>IF($U546="","",INDEX('Per Line'!$O$2:$O$3001,$U546)&amp;"")</f>
        <v/>
      </c>
      <c r="I546" s="11">
        <f>IF($U546="","",INDEX('Per Line'!$Q$2:$Q$3001,$U546))</f>
        <v/>
      </c>
      <c r="J546">
        <f>IF($U546="","",INDEX('Per Line'!$R$2:$R$3001,$U546)&amp;"")</f>
        <v/>
      </c>
      <c r="K546">
        <f>IF($U546="","",Settings!$C$7)</f>
        <v/>
      </c>
      <c r="L546" s="7">
        <f>IF($U546="","",SUMIFS('Per Line'!$N$2:$N$3001,'Per Line'!$A$2:$A$3001,$A546,'Per Line'!$W$2:$W$3001,0))</f>
        <v/>
      </c>
      <c r="M546" s="7">
        <f>IF($U546="","",L546*K546)</f>
        <v/>
      </c>
      <c r="N546">
        <f>IF($U546="","",Settings!$C$6)</f>
        <v/>
      </c>
      <c r="O546" s="7">
        <f>IF($U546="","",SUMIFS('Per Line'!$N$2:$N$3001,'Per Line'!$A$2:$A$3001,$A546,'Per Line'!$W$2:$W$3001,1))</f>
        <v/>
      </c>
      <c r="P546" s="7">
        <f>IF($U546="","",O546*N546)</f>
        <v/>
      </c>
      <c r="Q546" s="7">
        <f>IF($U546="","",P546+M546)</f>
        <v/>
      </c>
      <c r="R546" s="7">
        <f>IF($U546="","",S546-Q546)</f>
        <v/>
      </c>
      <c r="S546" s="7">
        <f>IF($U546="","",L546+O546)</f>
        <v/>
      </c>
      <c r="T546" s="7">
        <f>IF($U546="","",S546-Q546-G546)</f>
        <v/>
      </c>
      <c r="U546" s="13">
        <f>IF(ROWS($U$2:$U546)&lt;=MAX('Per Line'!$V$2:$V$3001),MATCH(ROWS($U$2:$U546),'Per Line'!$V$2:$V$3001,0),"")</f>
        <v/>
      </c>
    </row>
    <row r="547">
      <c r="A547">
        <f>IF($U547="","",INDEX('Per Line'!$A$2:$A$3001,$U547)&amp;"")</f>
        <v/>
      </c>
      <c r="B547" s="12" t="n"/>
      <c r="C547">
        <f>IF($U547="","",INDEX('Per Line'!$B$2:$B$3001,$U547)&amp;"")</f>
        <v/>
      </c>
      <c r="D547">
        <f>IF($U547="","",INDEX('Per Line'!$C$2:$C$3001,$U547)&amp;"")</f>
        <v/>
      </c>
      <c r="E547">
        <f>IF($U547="","",INDEX('Per Line'!$D$2:$D$3001,$U547)&amp;"")</f>
        <v/>
      </c>
      <c r="F547">
        <f>IF($U547="","",INDEX('Per Line'!$E$2:$E$3001,$U547))</f>
        <v/>
      </c>
      <c r="G547" s="7">
        <f>IF($U547="","",F547*S547/100)</f>
        <v/>
      </c>
      <c r="H547">
        <f>IF($U547="","",INDEX('Per Line'!$O$2:$O$3001,$U547)&amp;"")</f>
        <v/>
      </c>
      <c r="I547" s="11">
        <f>IF($U547="","",INDEX('Per Line'!$Q$2:$Q$3001,$U547))</f>
        <v/>
      </c>
      <c r="J547">
        <f>IF($U547="","",INDEX('Per Line'!$R$2:$R$3001,$U547)&amp;"")</f>
        <v/>
      </c>
      <c r="K547">
        <f>IF($U547="","",Settings!$C$7)</f>
        <v/>
      </c>
      <c r="L547" s="7">
        <f>IF($U547="","",SUMIFS('Per Line'!$N$2:$N$3001,'Per Line'!$A$2:$A$3001,$A547,'Per Line'!$W$2:$W$3001,0))</f>
        <v/>
      </c>
      <c r="M547" s="7">
        <f>IF($U547="","",L547*K547)</f>
        <v/>
      </c>
      <c r="N547">
        <f>IF($U547="","",Settings!$C$6)</f>
        <v/>
      </c>
      <c r="O547" s="7">
        <f>IF($U547="","",SUMIFS('Per Line'!$N$2:$N$3001,'Per Line'!$A$2:$A$3001,$A547,'Per Line'!$W$2:$W$3001,1))</f>
        <v/>
      </c>
      <c r="P547" s="7">
        <f>IF($U547="","",O547*N547)</f>
        <v/>
      </c>
      <c r="Q547" s="7">
        <f>IF($U547="","",P547+M547)</f>
        <v/>
      </c>
      <c r="R547" s="7">
        <f>IF($U547="","",S547-Q547)</f>
        <v/>
      </c>
      <c r="S547" s="7">
        <f>IF($U547="","",L547+O547)</f>
        <v/>
      </c>
      <c r="T547" s="7">
        <f>IF($U547="","",S547-Q547-G547)</f>
        <v/>
      </c>
      <c r="U547" s="13">
        <f>IF(ROWS($U$2:$U547)&lt;=MAX('Per Line'!$V$2:$V$3001),MATCH(ROWS($U$2:$U547),'Per Line'!$V$2:$V$3001,0),"")</f>
        <v/>
      </c>
    </row>
    <row r="548">
      <c r="A548">
        <f>IF($U548="","",INDEX('Per Line'!$A$2:$A$3001,$U548)&amp;"")</f>
        <v/>
      </c>
      <c r="B548" s="12" t="n"/>
      <c r="C548">
        <f>IF($U548="","",INDEX('Per Line'!$B$2:$B$3001,$U548)&amp;"")</f>
        <v/>
      </c>
      <c r="D548">
        <f>IF($U548="","",INDEX('Per Line'!$C$2:$C$3001,$U548)&amp;"")</f>
        <v/>
      </c>
      <c r="E548">
        <f>IF($U548="","",INDEX('Per Line'!$D$2:$D$3001,$U548)&amp;"")</f>
        <v/>
      </c>
      <c r="F548">
        <f>IF($U548="","",INDEX('Per Line'!$E$2:$E$3001,$U548))</f>
        <v/>
      </c>
      <c r="G548" s="7">
        <f>IF($U548="","",F548*S548/100)</f>
        <v/>
      </c>
      <c r="H548">
        <f>IF($U548="","",INDEX('Per Line'!$O$2:$O$3001,$U548)&amp;"")</f>
        <v/>
      </c>
      <c r="I548" s="11">
        <f>IF($U548="","",INDEX('Per Line'!$Q$2:$Q$3001,$U548))</f>
        <v/>
      </c>
      <c r="J548">
        <f>IF($U548="","",INDEX('Per Line'!$R$2:$R$3001,$U548)&amp;"")</f>
        <v/>
      </c>
      <c r="K548">
        <f>IF($U548="","",Settings!$C$7)</f>
        <v/>
      </c>
      <c r="L548" s="7">
        <f>IF($U548="","",SUMIFS('Per Line'!$N$2:$N$3001,'Per Line'!$A$2:$A$3001,$A548,'Per Line'!$W$2:$W$3001,0))</f>
        <v/>
      </c>
      <c r="M548" s="7">
        <f>IF($U548="","",L548*K548)</f>
        <v/>
      </c>
      <c r="N548">
        <f>IF($U548="","",Settings!$C$6)</f>
        <v/>
      </c>
      <c r="O548" s="7">
        <f>IF($U548="","",SUMIFS('Per Line'!$N$2:$N$3001,'Per Line'!$A$2:$A$3001,$A548,'Per Line'!$W$2:$W$3001,1))</f>
        <v/>
      </c>
      <c r="P548" s="7">
        <f>IF($U548="","",O548*N548)</f>
        <v/>
      </c>
      <c r="Q548" s="7">
        <f>IF($U548="","",P548+M548)</f>
        <v/>
      </c>
      <c r="R548" s="7">
        <f>IF($U548="","",S548-Q548)</f>
        <v/>
      </c>
      <c r="S548" s="7">
        <f>IF($U548="","",L548+O548)</f>
        <v/>
      </c>
      <c r="T548" s="7">
        <f>IF($U548="","",S548-Q548-G548)</f>
        <v/>
      </c>
      <c r="U548" s="13">
        <f>IF(ROWS($U$2:$U548)&lt;=MAX('Per Line'!$V$2:$V$3001),MATCH(ROWS($U$2:$U548),'Per Line'!$V$2:$V$3001,0),"")</f>
        <v/>
      </c>
    </row>
    <row r="549">
      <c r="A549">
        <f>IF($U549="","",INDEX('Per Line'!$A$2:$A$3001,$U549)&amp;"")</f>
        <v/>
      </c>
      <c r="B549" s="12" t="n"/>
      <c r="C549">
        <f>IF($U549="","",INDEX('Per Line'!$B$2:$B$3001,$U549)&amp;"")</f>
        <v/>
      </c>
      <c r="D549">
        <f>IF($U549="","",INDEX('Per Line'!$C$2:$C$3001,$U549)&amp;"")</f>
        <v/>
      </c>
      <c r="E549">
        <f>IF($U549="","",INDEX('Per Line'!$D$2:$D$3001,$U549)&amp;"")</f>
        <v/>
      </c>
      <c r="F549">
        <f>IF($U549="","",INDEX('Per Line'!$E$2:$E$3001,$U549))</f>
        <v/>
      </c>
      <c r="G549" s="7">
        <f>IF($U549="","",F549*S549/100)</f>
        <v/>
      </c>
      <c r="H549">
        <f>IF($U549="","",INDEX('Per Line'!$O$2:$O$3001,$U549)&amp;"")</f>
        <v/>
      </c>
      <c r="I549" s="11">
        <f>IF($U549="","",INDEX('Per Line'!$Q$2:$Q$3001,$U549))</f>
        <v/>
      </c>
      <c r="J549">
        <f>IF($U549="","",INDEX('Per Line'!$R$2:$R$3001,$U549)&amp;"")</f>
        <v/>
      </c>
      <c r="K549">
        <f>IF($U549="","",Settings!$C$7)</f>
        <v/>
      </c>
      <c r="L549" s="7">
        <f>IF($U549="","",SUMIFS('Per Line'!$N$2:$N$3001,'Per Line'!$A$2:$A$3001,$A549,'Per Line'!$W$2:$W$3001,0))</f>
        <v/>
      </c>
      <c r="M549" s="7">
        <f>IF($U549="","",L549*K549)</f>
        <v/>
      </c>
      <c r="N549">
        <f>IF($U549="","",Settings!$C$6)</f>
        <v/>
      </c>
      <c r="O549" s="7">
        <f>IF($U549="","",SUMIFS('Per Line'!$N$2:$N$3001,'Per Line'!$A$2:$A$3001,$A549,'Per Line'!$W$2:$W$3001,1))</f>
        <v/>
      </c>
      <c r="P549" s="7">
        <f>IF($U549="","",O549*N549)</f>
        <v/>
      </c>
      <c r="Q549" s="7">
        <f>IF($U549="","",P549+M549)</f>
        <v/>
      </c>
      <c r="R549" s="7">
        <f>IF($U549="","",S549-Q549)</f>
        <v/>
      </c>
      <c r="S549" s="7">
        <f>IF($U549="","",L549+O549)</f>
        <v/>
      </c>
      <c r="T549" s="7">
        <f>IF($U549="","",S549-Q549-G549)</f>
        <v/>
      </c>
      <c r="U549" s="13">
        <f>IF(ROWS($U$2:$U549)&lt;=MAX('Per Line'!$V$2:$V$3001),MATCH(ROWS($U$2:$U549),'Per Line'!$V$2:$V$3001,0),"")</f>
        <v/>
      </c>
    </row>
    <row r="550">
      <c r="A550">
        <f>IF($U550="","",INDEX('Per Line'!$A$2:$A$3001,$U550)&amp;"")</f>
        <v/>
      </c>
      <c r="B550" s="12" t="n"/>
      <c r="C550">
        <f>IF($U550="","",INDEX('Per Line'!$B$2:$B$3001,$U550)&amp;"")</f>
        <v/>
      </c>
      <c r="D550">
        <f>IF($U550="","",INDEX('Per Line'!$C$2:$C$3001,$U550)&amp;"")</f>
        <v/>
      </c>
      <c r="E550">
        <f>IF($U550="","",INDEX('Per Line'!$D$2:$D$3001,$U550)&amp;"")</f>
        <v/>
      </c>
      <c r="F550">
        <f>IF($U550="","",INDEX('Per Line'!$E$2:$E$3001,$U550))</f>
        <v/>
      </c>
      <c r="G550" s="7">
        <f>IF($U550="","",F550*S550/100)</f>
        <v/>
      </c>
      <c r="H550">
        <f>IF($U550="","",INDEX('Per Line'!$O$2:$O$3001,$U550)&amp;"")</f>
        <v/>
      </c>
      <c r="I550" s="11">
        <f>IF($U550="","",INDEX('Per Line'!$Q$2:$Q$3001,$U550))</f>
        <v/>
      </c>
      <c r="J550">
        <f>IF($U550="","",INDEX('Per Line'!$R$2:$R$3001,$U550)&amp;"")</f>
        <v/>
      </c>
      <c r="K550">
        <f>IF($U550="","",Settings!$C$7)</f>
        <v/>
      </c>
      <c r="L550" s="7">
        <f>IF($U550="","",SUMIFS('Per Line'!$N$2:$N$3001,'Per Line'!$A$2:$A$3001,$A550,'Per Line'!$W$2:$W$3001,0))</f>
        <v/>
      </c>
      <c r="M550" s="7">
        <f>IF($U550="","",L550*K550)</f>
        <v/>
      </c>
      <c r="N550">
        <f>IF($U550="","",Settings!$C$6)</f>
        <v/>
      </c>
      <c r="O550" s="7">
        <f>IF($U550="","",SUMIFS('Per Line'!$N$2:$N$3001,'Per Line'!$A$2:$A$3001,$A550,'Per Line'!$W$2:$W$3001,1))</f>
        <v/>
      </c>
      <c r="P550" s="7">
        <f>IF($U550="","",O550*N550)</f>
        <v/>
      </c>
      <c r="Q550" s="7">
        <f>IF($U550="","",P550+M550)</f>
        <v/>
      </c>
      <c r="R550" s="7">
        <f>IF($U550="","",S550-Q550)</f>
        <v/>
      </c>
      <c r="S550" s="7">
        <f>IF($U550="","",L550+O550)</f>
        <v/>
      </c>
      <c r="T550" s="7">
        <f>IF($U550="","",S550-Q550-G550)</f>
        <v/>
      </c>
      <c r="U550" s="13">
        <f>IF(ROWS($U$2:$U550)&lt;=MAX('Per Line'!$V$2:$V$3001),MATCH(ROWS($U$2:$U550),'Per Line'!$V$2:$V$3001,0),"")</f>
        <v/>
      </c>
    </row>
    <row r="551">
      <c r="A551">
        <f>IF($U551="","",INDEX('Per Line'!$A$2:$A$3001,$U551)&amp;"")</f>
        <v/>
      </c>
      <c r="B551" s="12" t="n"/>
      <c r="C551">
        <f>IF($U551="","",INDEX('Per Line'!$B$2:$B$3001,$U551)&amp;"")</f>
        <v/>
      </c>
      <c r="D551">
        <f>IF($U551="","",INDEX('Per Line'!$C$2:$C$3001,$U551)&amp;"")</f>
        <v/>
      </c>
      <c r="E551">
        <f>IF($U551="","",INDEX('Per Line'!$D$2:$D$3001,$U551)&amp;"")</f>
        <v/>
      </c>
      <c r="F551">
        <f>IF($U551="","",INDEX('Per Line'!$E$2:$E$3001,$U551))</f>
        <v/>
      </c>
      <c r="G551" s="7">
        <f>IF($U551="","",F551*S551/100)</f>
        <v/>
      </c>
      <c r="H551">
        <f>IF($U551="","",INDEX('Per Line'!$O$2:$O$3001,$U551)&amp;"")</f>
        <v/>
      </c>
      <c r="I551" s="11">
        <f>IF($U551="","",INDEX('Per Line'!$Q$2:$Q$3001,$U551))</f>
        <v/>
      </c>
      <c r="J551">
        <f>IF($U551="","",INDEX('Per Line'!$R$2:$R$3001,$U551)&amp;"")</f>
        <v/>
      </c>
      <c r="K551">
        <f>IF($U551="","",Settings!$C$7)</f>
        <v/>
      </c>
      <c r="L551" s="7">
        <f>IF($U551="","",SUMIFS('Per Line'!$N$2:$N$3001,'Per Line'!$A$2:$A$3001,$A551,'Per Line'!$W$2:$W$3001,0))</f>
        <v/>
      </c>
      <c r="M551" s="7">
        <f>IF($U551="","",L551*K551)</f>
        <v/>
      </c>
      <c r="N551">
        <f>IF($U551="","",Settings!$C$6)</f>
        <v/>
      </c>
      <c r="O551" s="7">
        <f>IF($U551="","",SUMIFS('Per Line'!$N$2:$N$3001,'Per Line'!$A$2:$A$3001,$A551,'Per Line'!$W$2:$W$3001,1))</f>
        <v/>
      </c>
      <c r="P551" s="7">
        <f>IF($U551="","",O551*N551)</f>
        <v/>
      </c>
      <c r="Q551" s="7">
        <f>IF($U551="","",P551+M551)</f>
        <v/>
      </c>
      <c r="R551" s="7">
        <f>IF($U551="","",S551-Q551)</f>
        <v/>
      </c>
      <c r="S551" s="7">
        <f>IF($U551="","",L551+O551)</f>
        <v/>
      </c>
      <c r="T551" s="7">
        <f>IF($U551="","",S551-Q551-G551)</f>
        <v/>
      </c>
      <c r="U551" s="13">
        <f>IF(ROWS($U$2:$U551)&lt;=MAX('Per Line'!$V$2:$V$3001),MATCH(ROWS($U$2:$U551),'Per Line'!$V$2:$V$3001,0),"")</f>
        <v/>
      </c>
    </row>
    <row r="552">
      <c r="A552">
        <f>IF($U552="","",INDEX('Per Line'!$A$2:$A$3001,$U552)&amp;"")</f>
        <v/>
      </c>
      <c r="B552" s="12" t="n"/>
      <c r="C552">
        <f>IF($U552="","",INDEX('Per Line'!$B$2:$B$3001,$U552)&amp;"")</f>
        <v/>
      </c>
      <c r="D552">
        <f>IF($U552="","",INDEX('Per Line'!$C$2:$C$3001,$U552)&amp;"")</f>
        <v/>
      </c>
      <c r="E552">
        <f>IF($U552="","",INDEX('Per Line'!$D$2:$D$3001,$U552)&amp;"")</f>
        <v/>
      </c>
      <c r="F552">
        <f>IF($U552="","",INDEX('Per Line'!$E$2:$E$3001,$U552))</f>
        <v/>
      </c>
      <c r="G552" s="7">
        <f>IF($U552="","",F552*S552/100)</f>
        <v/>
      </c>
      <c r="H552">
        <f>IF($U552="","",INDEX('Per Line'!$O$2:$O$3001,$U552)&amp;"")</f>
        <v/>
      </c>
      <c r="I552" s="11">
        <f>IF($U552="","",INDEX('Per Line'!$Q$2:$Q$3001,$U552))</f>
        <v/>
      </c>
      <c r="J552">
        <f>IF($U552="","",INDEX('Per Line'!$R$2:$R$3001,$U552)&amp;"")</f>
        <v/>
      </c>
      <c r="K552">
        <f>IF($U552="","",Settings!$C$7)</f>
        <v/>
      </c>
      <c r="L552" s="7">
        <f>IF($U552="","",SUMIFS('Per Line'!$N$2:$N$3001,'Per Line'!$A$2:$A$3001,$A552,'Per Line'!$W$2:$W$3001,0))</f>
        <v/>
      </c>
      <c r="M552" s="7">
        <f>IF($U552="","",L552*K552)</f>
        <v/>
      </c>
      <c r="N552">
        <f>IF($U552="","",Settings!$C$6)</f>
        <v/>
      </c>
      <c r="O552" s="7">
        <f>IF($U552="","",SUMIFS('Per Line'!$N$2:$N$3001,'Per Line'!$A$2:$A$3001,$A552,'Per Line'!$W$2:$W$3001,1))</f>
        <v/>
      </c>
      <c r="P552" s="7">
        <f>IF($U552="","",O552*N552)</f>
        <v/>
      </c>
      <c r="Q552" s="7">
        <f>IF($U552="","",P552+M552)</f>
        <v/>
      </c>
      <c r="R552" s="7">
        <f>IF($U552="","",S552-Q552)</f>
        <v/>
      </c>
      <c r="S552" s="7">
        <f>IF($U552="","",L552+O552)</f>
        <v/>
      </c>
      <c r="T552" s="7">
        <f>IF($U552="","",S552-Q552-G552)</f>
        <v/>
      </c>
      <c r="U552" s="13">
        <f>IF(ROWS($U$2:$U552)&lt;=MAX('Per Line'!$V$2:$V$3001),MATCH(ROWS($U$2:$U552),'Per Line'!$V$2:$V$3001,0),"")</f>
        <v/>
      </c>
    </row>
    <row r="553">
      <c r="A553">
        <f>IF($U553="","",INDEX('Per Line'!$A$2:$A$3001,$U553)&amp;"")</f>
        <v/>
      </c>
      <c r="B553" s="12" t="n"/>
      <c r="C553">
        <f>IF($U553="","",INDEX('Per Line'!$B$2:$B$3001,$U553)&amp;"")</f>
        <v/>
      </c>
      <c r="D553">
        <f>IF($U553="","",INDEX('Per Line'!$C$2:$C$3001,$U553)&amp;"")</f>
        <v/>
      </c>
      <c r="E553">
        <f>IF($U553="","",INDEX('Per Line'!$D$2:$D$3001,$U553)&amp;"")</f>
        <v/>
      </c>
      <c r="F553">
        <f>IF($U553="","",INDEX('Per Line'!$E$2:$E$3001,$U553))</f>
        <v/>
      </c>
      <c r="G553" s="7">
        <f>IF($U553="","",F553*S553/100)</f>
        <v/>
      </c>
      <c r="H553">
        <f>IF($U553="","",INDEX('Per Line'!$O$2:$O$3001,$U553)&amp;"")</f>
        <v/>
      </c>
      <c r="I553" s="11">
        <f>IF($U553="","",INDEX('Per Line'!$Q$2:$Q$3001,$U553))</f>
        <v/>
      </c>
      <c r="J553">
        <f>IF($U553="","",INDEX('Per Line'!$R$2:$R$3001,$U553)&amp;"")</f>
        <v/>
      </c>
      <c r="K553">
        <f>IF($U553="","",Settings!$C$7)</f>
        <v/>
      </c>
      <c r="L553" s="7">
        <f>IF($U553="","",SUMIFS('Per Line'!$N$2:$N$3001,'Per Line'!$A$2:$A$3001,$A553,'Per Line'!$W$2:$W$3001,0))</f>
        <v/>
      </c>
      <c r="M553" s="7">
        <f>IF($U553="","",L553*K553)</f>
        <v/>
      </c>
      <c r="N553">
        <f>IF($U553="","",Settings!$C$6)</f>
        <v/>
      </c>
      <c r="O553" s="7">
        <f>IF($U553="","",SUMIFS('Per Line'!$N$2:$N$3001,'Per Line'!$A$2:$A$3001,$A553,'Per Line'!$W$2:$W$3001,1))</f>
        <v/>
      </c>
      <c r="P553" s="7">
        <f>IF($U553="","",O553*N553)</f>
        <v/>
      </c>
      <c r="Q553" s="7">
        <f>IF($U553="","",P553+M553)</f>
        <v/>
      </c>
      <c r="R553" s="7">
        <f>IF($U553="","",S553-Q553)</f>
        <v/>
      </c>
      <c r="S553" s="7">
        <f>IF($U553="","",L553+O553)</f>
        <v/>
      </c>
      <c r="T553" s="7">
        <f>IF($U553="","",S553-Q553-G553)</f>
        <v/>
      </c>
      <c r="U553" s="13">
        <f>IF(ROWS($U$2:$U553)&lt;=MAX('Per Line'!$V$2:$V$3001),MATCH(ROWS($U$2:$U553),'Per Line'!$V$2:$V$3001,0),"")</f>
        <v/>
      </c>
    </row>
    <row r="554">
      <c r="A554">
        <f>IF($U554="","",INDEX('Per Line'!$A$2:$A$3001,$U554)&amp;"")</f>
        <v/>
      </c>
      <c r="B554" s="12" t="n"/>
      <c r="C554">
        <f>IF($U554="","",INDEX('Per Line'!$B$2:$B$3001,$U554)&amp;"")</f>
        <v/>
      </c>
      <c r="D554">
        <f>IF($U554="","",INDEX('Per Line'!$C$2:$C$3001,$U554)&amp;"")</f>
        <v/>
      </c>
      <c r="E554">
        <f>IF($U554="","",INDEX('Per Line'!$D$2:$D$3001,$U554)&amp;"")</f>
        <v/>
      </c>
      <c r="F554">
        <f>IF($U554="","",INDEX('Per Line'!$E$2:$E$3001,$U554))</f>
        <v/>
      </c>
      <c r="G554" s="7">
        <f>IF($U554="","",F554*S554/100)</f>
        <v/>
      </c>
      <c r="H554">
        <f>IF($U554="","",INDEX('Per Line'!$O$2:$O$3001,$U554)&amp;"")</f>
        <v/>
      </c>
      <c r="I554" s="11">
        <f>IF($U554="","",INDEX('Per Line'!$Q$2:$Q$3001,$U554))</f>
        <v/>
      </c>
      <c r="J554">
        <f>IF($U554="","",INDEX('Per Line'!$R$2:$R$3001,$U554)&amp;"")</f>
        <v/>
      </c>
      <c r="K554">
        <f>IF($U554="","",Settings!$C$7)</f>
        <v/>
      </c>
      <c r="L554" s="7">
        <f>IF($U554="","",SUMIFS('Per Line'!$N$2:$N$3001,'Per Line'!$A$2:$A$3001,$A554,'Per Line'!$W$2:$W$3001,0))</f>
        <v/>
      </c>
      <c r="M554" s="7">
        <f>IF($U554="","",L554*K554)</f>
        <v/>
      </c>
      <c r="N554">
        <f>IF($U554="","",Settings!$C$6)</f>
        <v/>
      </c>
      <c r="O554" s="7">
        <f>IF($U554="","",SUMIFS('Per Line'!$N$2:$N$3001,'Per Line'!$A$2:$A$3001,$A554,'Per Line'!$W$2:$W$3001,1))</f>
        <v/>
      </c>
      <c r="P554" s="7">
        <f>IF($U554="","",O554*N554)</f>
        <v/>
      </c>
      <c r="Q554" s="7">
        <f>IF($U554="","",P554+M554)</f>
        <v/>
      </c>
      <c r="R554" s="7">
        <f>IF($U554="","",S554-Q554)</f>
        <v/>
      </c>
      <c r="S554" s="7">
        <f>IF($U554="","",L554+O554)</f>
        <v/>
      </c>
      <c r="T554" s="7">
        <f>IF($U554="","",S554-Q554-G554)</f>
        <v/>
      </c>
      <c r="U554" s="13">
        <f>IF(ROWS($U$2:$U554)&lt;=MAX('Per Line'!$V$2:$V$3001),MATCH(ROWS($U$2:$U554),'Per Line'!$V$2:$V$3001,0),"")</f>
        <v/>
      </c>
    </row>
    <row r="555">
      <c r="A555">
        <f>IF($U555="","",INDEX('Per Line'!$A$2:$A$3001,$U555)&amp;"")</f>
        <v/>
      </c>
      <c r="B555" s="12" t="n"/>
      <c r="C555">
        <f>IF($U555="","",INDEX('Per Line'!$B$2:$B$3001,$U555)&amp;"")</f>
        <v/>
      </c>
      <c r="D555">
        <f>IF($U555="","",INDEX('Per Line'!$C$2:$C$3001,$U555)&amp;"")</f>
        <v/>
      </c>
      <c r="E555">
        <f>IF($U555="","",INDEX('Per Line'!$D$2:$D$3001,$U555)&amp;"")</f>
        <v/>
      </c>
      <c r="F555">
        <f>IF($U555="","",INDEX('Per Line'!$E$2:$E$3001,$U555))</f>
        <v/>
      </c>
      <c r="G555" s="7">
        <f>IF($U555="","",F555*S555/100)</f>
        <v/>
      </c>
      <c r="H555">
        <f>IF($U555="","",INDEX('Per Line'!$O$2:$O$3001,$U555)&amp;"")</f>
        <v/>
      </c>
      <c r="I555" s="11">
        <f>IF($U555="","",INDEX('Per Line'!$Q$2:$Q$3001,$U555))</f>
        <v/>
      </c>
      <c r="J555">
        <f>IF($U555="","",INDEX('Per Line'!$R$2:$R$3001,$U555)&amp;"")</f>
        <v/>
      </c>
      <c r="K555">
        <f>IF($U555="","",Settings!$C$7)</f>
        <v/>
      </c>
      <c r="L555" s="7">
        <f>IF($U555="","",SUMIFS('Per Line'!$N$2:$N$3001,'Per Line'!$A$2:$A$3001,$A555,'Per Line'!$W$2:$W$3001,0))</f>
        <v/>
      </c>
      <c r="M555" s="7">
        <f>IF($U555="","",L555*K555)</f>
        <v/>
      </c>
      <c r="N555">
        <f>IF($U555="","",Settings!$C$6)</f>
        <v/>
      </c>
      <c r="O555" s="7">
        <f>IF($U555="","",SUMIFS('Per Line'!$N$2:$N$3001,'Per Line'!$A$2:$A$3001,$A555,'Per Line'!$W$2:$W$3001,1))</f>
        <v/>
      </c>
      <c r="P555" s="7">
        <f>IF($U555="","",O555*N555)</f>
        <v/>
      </c>
      <c r="Q555" s="7">
        <f>IF($U555="","",P555+M555)</f>
        <v/>
      </c>
      <c r="R555" s="7">
        <f>IF($U555="","",S555-Q555)</f>
        <v/>
      </c>
      <c r="S555" s="7">
        <f>IF($U555="","",L555+O555)</f>
        <v/>
      </c>
      <c r="T555" s="7">
        <f>IF($U555="","",S555-Q555-G555)</f>
        <v/>
      </c>
      <c r="U555" s="13">
        <f>IF(ROWS($U$2:$U555)&lt;=MAX('Per Line'!$V$2:$V$3001),MATCH(ROWS($U$2:$U555),'Per Line'!$V$2:$V$3001,0),"")</f>
        <v/>
      </c>
    </row>
    <row r="556">
      <c r="A556">
        <f>IF($U556="","",INDEX('Per Line'!$A$2:$A$3001,$U556)&amp;"")</f>
        <v/>
      </c>
      <c r="B556" s="12" t="n"/>
      <c r="C556">
        <f>IF($U556="","",INDEX('Per Line'!$B$2:$B$3001,$U556)&amp;"")</f>
        <v/>
      </c>
      <c r="D556">
        <f>IF($U556="","",INDEX('Per Line'!$C$2:$C$3001,$U556)&amp;"")</f>
        <v/>
      </c>
      <c r="E556">
        <f>IF($U556="","",INDEX('Per Line'!$D$2:$D$3001,$U556)&amp;"")</f>
        <v/>
      </c>
      <c r="F556">
        <f>IF($U556="","",INDEX('Per Line'!$E$2:$E$3001,$U556))</f>
        <v/>
      </c>
      <c r="G556" s="7">
        <f>IF($U556="","",F556*S556/100)</f>
        <v/>
      </c>
      <c r="H556">
        <f>IF($U556="","",INDEX('Per Line'!$O$2:$O$3001,$U556)&amp;"")</f>
        <v/>
      </c>
      <c r="I556" s="11">
        <f>IF($U556="","",INDEX('Per Line'!$Q$2:$Q$3001,$U556))</f>
        <v/>
      </c>
      <c r="J556">
        <f>IF($U556="","",INDEX('Per Line'!$R$2:$R$3001,$U556)&amp;"")</f>
        <v/>
      </c>
      <c r="K556">
        <f>IF($U556="","",Settings!$C$7)</f>
        <v/>
      </c>
      <c r="L556" s="7">
        <f>IF($U556="","",SUMIFS('Per Line'!$N$2:$N$3001,'Per Line'!$A$2:$A$3001,$A556,'Per Line'!$W$2:$W$3001,0))</f>
        <v/>
      </c>
      <c r="M556" s="7">
        <f>IF($U556="","",L556*K556)</f>
        <v/>
      </c>
      <c r="N556">
        <f>IF($U556="","",Settings!$C$6)</f>
        <v/>
      </c>
      <c r="O556" s="7">
        <f>IF($U556="","",SUMIFS('Per Line'!$N$2:$N$3001,'Per Line'!$A$2:$A$3001,$A556,'Per Line'!$W$2:$W$3001,1))</f>
        <v/>
      </c>
      <c r="P556" s="7">
        <f>IF($U556="","",O556*N556)</f>
        <v/>
      </c>
      <c r="Q556" s="7">
        <f>IF($U556="","",P556+M556)</f>
        <v/>
      </c>
      <c r="R556" s="7">
        <f>IF($U556="","",S556-Q556)</f>
        <v/>
      </c>
      <c r="S556" s="7">
        <f>IF($U556="","",L556+O556)</f>
        <v/>
      </c>
      <c r="T556" s="7">
        <f>IF($U556="","",S556-Q556-G556)</f>
        <v/>
      </c>
      <c r="U556" s="13">
        <f>IF(ROWS($U$2:$U556)&lt;=MAX('Per Line'!$V$2:$V$3001),MATCH(ROWS($U$2:$U556),'Per Line'!$V$2:$V$3001,0),"")</f>
        <v/>
      </c>
    </row>
    <row r="557">
      <c r="A557">
        <f>IF($U557="","",INDEX('Per Line'!$A$2:$A$3001,$U557)&amp;"")</f>
        <v/>
      </c>
      <c r="B557" s="12" t="n"/>
      <c r="C557">
        <f>IF($U557="","",INDEX('Per Line'!$B$2:$B$3001,$U557)&amp;"")</f>
        <v/>
      </c>
      <c r="D557">
        <f>IF($U557="","",INDEX('Per Line'!$C$2:$C$3001,$U557)&amp;"")</f>
        <v/>
      </c>
      <c r="E557">
        <f>IF($U557="","",INDEX('Per Line'!$D$2:$D$3001,$U557)&amp;"")</f>
        <v/>
      </c>
      <c r="F557">
        <f>IF($U557="","",INDEX('Per Line'!$E$2:$E$3001,$U557))</f>
        <v/>
      </c>
      <c r="G557" s="7">
        <f>IF($U557="","",F557*S557/100)</f>
        <v/>
      </c>
      <c r="H557">
        <f>IF($U557="","",INDEX('Per Line'!$O$2:$O$3001,$U557)&amp;"")</f>
        <v/>
      </c>
      <c r="I557" s="11">
        <f>IF($U557="","",INDEX('Per Line'!$Q$2:$Q$3001,$U557))</f>
        <v/>
      </c>
      <c r="J557">
        <f>IF($U557="","",INDEX('Per Line'!$R$2:$R$3001,$U557)&amp;"")</f>
        <v/>
      </c>
      <c r="K557">
        <f>IF($U557="","",Settings!$C$7)</f>
        <v/>
      </c>
      <c r="L557" s="7">
        <f>IF($U557="","",SUMIFS('Per Line'!$N$2:$N$3001,'Per Line'!$A$2:$A$3001,$A557,'Per Line'!$W$2:$W$3001,0))</f>
        <v/>
      </c>
      <c r="M557" s="7">
        <f>IF($U557="","",L557*K557)</f>
        <v/>
      </c>
      <c r="N557">
        <f>IF($U557="","",Settings!$C$6)</f>
        <v/>
      </c>
      <c r="O557" s="7">
        <f>IF($U557="","",SUMIFS('Per Line'!$N$2:$N$3001,'Per Line'!$A$2:$A$3001,$A557,'Per Line'!$W$2:$W$3001,1))</f>
        <v/>
      </c>
      <c r="P557" s="7">
        <f>IF($U557="","",O557*N557)</f>
        <v/>
      </c>
      <c r="Q557" s="7">
        <f>IF($U557="","",P557+M557)</f>
        <v/>
      </c>
      <c r="R557" s="7">
        <f>IF($U557="","",S557-Q557)</f>
        <v/>
      </c>
      <c r="S557" s="7">
        <f>IF($U557="","",L557+O557)</f>
        <v/>
      </c>
      <c r="T557" s="7">
        <f>IF($U557="","",S557-Q557-G557)</f>
        <v/>
      </c>
      <c r="U557" s="13">
        <f>IF(ROWS($U$2:$U557)&lt;=MAX('Per Line'!$V$2:$V$3001),MATCH(ROWS($U$2:$U557),'Per Line'!$V$2:$V$3001,0),"")</f>
        <v/>
      </c>
    </row>
    <row r="558">
      <c r="A558">
        <f>IF($U558="","",INDEX('Per Line'!$A$2:$A$3001,$U558)&amp;"")</f>
        <v/>
      </c>
      <c r="B558" s="12" t="n"/>
      <c r="C558">
        <f>IF($U558="","",INDEX('Per Line'!$B$2:$B$3001,$U558)&amp;"")</f>
        <v/>
      </c>
      <c r="D558">
        <f>IF($U558="","",INDEX('Per Line'!$C$2:$C$3001,$U558)&amp;"")</f>
        <v/>
      </c>
      <c r="E558">
        <f>IF($U558="","",INDEX('Per Line'!$D$2:$D$3001,$U558)&amp;"")</f>
        <v/>
      </c>
      <c r="F558">
        <f>IF($U558="","",INDEX('Per Line'!$E$2:$E$3001,$U558))</f>
        <v/>
      </c>
      <c r="G558" s="7">
        <f>IF($U558="","",F558*S558/100)</f>
        <v/>
      </c>
      <c r="H558">
        <f>IF($U558="","",INDEX('Per Line'!$O$2:$O$3001,$U558)&amp;"")</f>
        <v/>
      </c>
      <c r="I558" s="11">
        <f>IF($U558="","",INDEX('Per Line'!$Q$2:$Q$3001,$U558))</f>
        <v/>
      </c>
      <c r="J558">
        <f>IF($U558="","",INDEX('Per Line'!$R$2:$R$3001,$U558)&amp;"")</f>
        <v/>
      </c>
      <c r="K558">
        <f>IF($U558="","",Settings!$C$7)</f>
        <v/>
      </c>
      <c r="L558" s="7">
        <f>IF($U558="","",SUMIFS('Per Line'!$N$2:$N$3001,'Per Line'!$A$2:$A$3001,$A558,'Per Line'!$W$2:$W$3001,0))</f>
        <v/>
      </c>
      <c r="M558" s="7">
        <f>IF($U558="","",L558*K558)</f>
        <v/>
      </c>
      <c r="N558">
        <f>IF($U558="","",Settings!$C$6)</f>
        <v/>
      </c>
      <c r="O558" s="7">
        <f>IF($U558="","",SUMIFS('Per Line'!$N$2:$N$3001,'Per Line'!$A$2:$A$3001,$A558,'Per Line'!$W$2:$W$3001,1))</f>
        <v/>
      </c>
      <c r="P558" s="7">
        <f>IF($U558="","",O558*N558)</f>
        <v/>
      </c>
      <c r="Q558" s="7">
        <f>IF($U558="","",P558+M558)</f>
        <v/>
      </c>
      <c r="R558" s="7">
        <f>IF($U558="","",S558-Q558)</f>
        <v/>
      </c>
      <c r="S558" s="7">
        <f>IF($U558="","",L558+O558)</f>
        <v/>
      </c>
      <c r="T558" s="7">
        <f>IF($U558="","",S558-Q558-G558)</f>
        <v/>
      </c>
      <c r="U558" s="13">
        <f>IF(ROWS($U$2:$U558)&lt;=MAX('Per Line'!$V$2:$V$3001),MATCH(ROWS($U$2:$U558),'Per Line'!$V$2:$V$3001,0),"")</f>
        <v/>
      </c>
    </row>
    <row r="559">
      <c r="A559">
        <f>IF($U559="","",INDEX('Per Line'!$A$2:$A$3001,$U559)&amp;"")</f>
        <v/>
      </c>
      <c r="B559" s="12" t="n"/>
      <c r="C559">
        <f>IF($U559="","",INDEX('Per Line'!$B$2:$B$3001,$U559)&amp;"")</f>
        <v/>
      </c>
      <c r="D559">
        <f>IF($U559="","",INDEX('Per Line'!$C$2:$C$3001,$U559)&amp;"")</f>
        <v/>
      </c>
      <c r="E559">
        <f>IF($U559="","",INDEX('Per Line'!$D$2:$D$3001,$U559)&amp;"")</f>
        <v/>
      </c>
      <c r="F559">
        <f>IF($U559="","",INDEX('Per Line'!$E$2:$E$3001,$U559))</f>
        <v/>
      </c>
      <c r="G559" s="7">
        <f>IF($U559="","",F559*S559/100)</f>
        <v/>
      </c>
      <c r="H559">
        <f>IF($U559="","",INDEX('Per Line'!$O$2:$O$3001,$U559)&amp;"")</f>
        <v/>
      </c>
      <c r="I559" s="11">
        <f>IF($U559="","",INDEX('Per Line'!$Q$2:$Q$3001,$U559))</f>
        <v/>
      </c>
      <c r="J559">
        <f>IF($U559="","",INDEX('Per Line'!$R$2:$R$3001,$U559)&amp;"")</f>
        <v/>
      </c>
      <c r="K559">
        <f>IF($U559="","",Settings!$C$7)</f>
        <v/>
      </c>
      <c r="L559" s="7">
        <f>IF($U559="","",SUMIFS('Per Line'!$N$2:$N$3001,'Per Line'!$A$2:$A$3001,$A559,'Per Line'!$W$2:$W$3001,0))</f>
        <v/>
      </c>
      <c r="M559" s="7">
        <f>IF($U559="","",L559*K559)</f>
        <v/>
      </c>
      <c r="N559">
        <f>IF($U559="","",Settings!$C$6)</f>
        <v/>
      </c>
      <c r="O559" s="7">
        <f>IF($U559="","",SUMIFS('Per Line'!$N$2:$N$3001,'Per Line'!$A$2:$A$3001,$A559,'Per Line'!$W$2:$W$3001,1))</f>
        <v/>
      </c>
      <c r="P559" s="7">
        <f>IF($U559="","",O559*N559)</f>
        <v/>
      </c>
      <c r="Q559" s="7">
        <f>IF($U559="","",P559+M559)</f>
        <v/>
      </c>
      <c r="R559" s="7">
        <f>IF($U559="","",S559-Q559)</f>
        <v/>
      </c>
      <c r="S559" s="7">
        <f>IF($U559="","",L559+O559)</f>
        <v/>
      </c>
      <c r="T559" s="7">
        <f>IF($U559="","",S559-Q559-G559)</f>
        <v/>
      </c>
      <c r="U559" s="13">
        <f>IF(ROWS($U$2:$U559)&lt;=MAX('Per Line'!$V$2:$V$3001),MATCH(ROWS($U$2:$U559),'Per Line'!$V$2:$V$3001,0),"")</f>
        <v/>
      </c>
    </row>
    <row r="560">
      <c r="A560">
        <f>IF($U560="","",INDEX('Per Line'!$A$2:$A$3001,$U560)&amp;"")</f>
        <v/>
      </c>
      <c r="B560" s="12" t="n"/>
      <c r="C560">
        <f>IF($U560="","",INDEX('Per Line'!$B$2:$B$3001,$U560)&amp;"")</f>
        <v/>
      </c>
      <c r="D560">
        <f>IF($U560="","",INDEX('Per Line'!$C$2:$C$3001,$U560)&amp;"")</f>
        <v/>
      </c>
      <c r="E560">
        <f>IF($U560="","",INDEX('Per Line'!$D$2:$D$3001,$U560)&amp;"")</f>
        <v/>
      </c>
      <c r="F560">
        <f>IF($U560="","",INDEX('Per Line'!$E$2:$E$3001,$U560))</f>
        <v/>
      </c>
      <c r="G560" s="7">
        <f>IF($U560="","",F560*S560/100)</f>
        <v/>
      </c>
      <c r="H560">
        <f>IF($U560="","",INDEX('Per Line'!$O$2:$O$3001,$U560)&amp;"")</f>
        <v/>
      </c>
      <c r="I560" s="11">
        <f>IF($U560="","",INDEX('Per Line'!$Q$2:$Q$3001,$U560))</f>
        <v/>
      </c>
      <c r="J560">
        <f>IF($U560="","",INDEX('Per Line'!$R$2:$R$3001,$U560)&amp;"")</f>
        <v/>
      </c>
      <c r="K560">
        <f>IF($U560="","",Settings!$C$7)</f>
        <v/>
      </c>
      <c r="L560" s="7">
        <f>IF($U560="","",SUMIFS('Per Line'!$N$2:$N$3001,'Per Line'!$A$2:$A$3001,$A560,'Per Line'!$W$2:$W$3001,0))</f>
        <v/>
      </c>
      <c r="M560" s="7">
        <f>IF($U560="","",L560*K560)</f>
        <v/>
      </c>
      <c r="N560">
        <f>IF($U560="","",Settings!$C$6)</f>
        <v/>
      </c>
      <c r="O560" s="7">
        <f>IF($U560="","",SUMIFS('Per Line'!$N$2:$N$3001,'Per Line'!$A$2:$A$3001,$A560,'Per Line'!$W$2:$W$3001,1))</f>
        <v/>
      </c>
      <c r="P560" s="7">
        <f>IF($U560="","",O560*N560)</f>
        <v/>
      </c>
      <c r="Q560" s="7">
        <f>IF($U560="","",P560+M560)</f>
        <v/>
      </c>
      <c r="R560" s="7">
        <f>IF($U560="","",S560-Q560)</f>
        <v/>
      </c>
      <c r="S560" s="7">
        <f>IF($U560="","",L560+O560)</f>
        <v/>
      </c>
      <c r="T560" s="7">
        <f>IF($U560="","",S560-Q560-G560)</f>
        <v/>
      </c>
      <c r="U560" s="13">
        <f>IF(ROWS($U$2:$U560)&lt;=MAX('Per Line'!$V$2:$V$3001),MATCH(ROWS($U$2:$U560),'Per Line'!$V$2:$V$3001,0),"")</f>
        <v/>
      </c>
    </row>
    <row r="561">
      <c r="A561">
        <f>IF($U561="","",INDEX('Per Line'!$A$2:$A$3001,$U561)&amp;"")</f>
        <v/>
      </c>
      <c r="B561" s="12" t="n"/>
      <c r="C561">
        <f>IF($U561="","",INDEX('Per Line'!$B$2:$B$3001,$U561)&amp;"")</f>
        <v/>
      </c>
      <c r="D561">
        <f>IF($U561="","",INDEX('Per Line'!$C$2:$C$3001,$U561)&amp;"")</f>
        <v/>
      </c>
      <c r="E561">
        <f>IF($U561="","",INDEX('Per Line'!$D$2:$D$3001,$U561)&amp;"")</f>
        <v/>
      </c>
      <c r="F561">
        <f>IF($U561="","",INDEX('Per Line'!$E$2:$E$3001,$U561))</f>
        <v/>
      </c>
      <c r="G561" s="7">
        <f>IF($U561="","",F561*S561/100)</f>
        <v/>
      </c>
      <c r="H561">
        <f>IF($U561="","",INDEX('Per Line'!$O$2:$O$3001,$U561)&amp;"")</f>
        <v/>
      </c>
      <c r="I561" s="11">
        <f>IF($U561="","",INDEX('Per Line'!$Q$2:$Q$3001,$U561))</f>
        <v/>
      </c>
      <c r="J561">
        <f>IF($U561="","",INDEX('Per Line'!$R$2:$R$3001,$U561)&amp;"")</f>
        <v/>
      </c>
      <c r="K561">
        <f>IF($U561="","",Settings!$C$7)</f>
        <v/>
      </c>
      <c r="L561" s="7">
        <f>IF($U561="","",SUMIFS('Per Line'!$N$2:$N$3001,'Per Line'!$A$2:$A$3001,$A561,'Per Line'!$W$2:$W$3001,0))</f>
        <v/>
      </c>
      <c r="M561" s="7">
        <f>IF($U561="","",L561*K561)</f>
        <v/>
      </c>
      <c r="N561">
        <f>IF($U561="","",Settings!$C$6)</f>
        <v/>
      </c>
      <c r="O561" s="7">
        <f>IF($U561="","",SUMIFS('Per Line'!$N$2:$N$3001,'Per Line'!$A$2:$A$3001,$A561,'Per Line'!$W$2:$W$3001,1))</f>
        <v/>
      </c>
      <c r="P561" s="7">
        <f>IF($U561="","",O561*N561)</f>
        <v/>
      </c>
      <c r="Q561" s="7">
        <f>IF($U561="","",P561+M561)</f>
        <v/>
      </c>
      <c r="R561" s="7">
        <f>IF($U561="","",S561-Q561)</f>
        <v/>
      </c>
      <c r="S561" s="7">
        <f>IF($U561="","",L561+O561)</f>
        <v/>
      </c>
      <c r="T561" s="7">
        <f>IF($U561="","",S561-Q561-G561)</f>
        <v/>
      </c>
      <c r="U561" s="13">
        <f>IF(ROWS($U$2:$U561)&lt;=MAX('Per Line'!$V$2:$V$3001),MATCH(ROWS($U$2:$U561),'Per Line'!$V$2:$V$3001,0),"")</f>
        <v/>
      </c>
    </row>
    <row r="562">
      <c r="A562">
        <f>IF($U562="","",INDEX('Per Line'!$A$2:$A$3001,$U562)&amp;"")</f>
        <v/>
      </c>
      <c r="B562" s="12" t="n"/>
      <c r="C562">
        <f>IF($U562="","",INDEX('Per Line'!$B$2:$B$3001,$U562)&amp;"")</f>
        <v/>
      </c>
      <c r="D562">
        <f>IF($U562="","",INDEX('Per Line'!$C$2:$C$3001,$U562)&amp;"")</f>
        <v/>
      </c>
      <c r="E562">
        <f>IF($U562="","",INDEX('Per Line'!$D$2:$D$3001,$U562)&amp;"")</f>
        <v/>
      </c>
      <c r="F562">
        <f>IF($U562="","",INDEX('Per Line'!$E$2:$E$3001,$U562))</f>
        <v/>
      </c>
      <c r="G562" s="7">
        <f>IF($U562="","",F562*S562/100)</f>
        <v/>
      </c>
      <c r="H562">
        <f>IF($U562="","",INDEX('Per Line'!$O$2:$O$3001,$U562)&amp;"")</f>
        <v/>
      </c>
      <c r="I562" s="11">
        <f>IF($U562="","",INDEX('Per Line'!$Q$2:$Q$3001,$U562))</f>
        <v/>
      </c>
      <c r="J562">
        <f>IF($U562="","",INDEX('Per Line'!$R$2:$R$3001,$U562)&amp;"")</f>
        <v/>
      </c>
      <c r="K562">
        <f>IF($U562="","",Settings!$C$7)</f>
        <v/>
      </c>
      <c r="L562" s="7">
        <f>IF($U562="","",SUMIFS('Per Line'!$N$2:$N$3001,'Per Line'!$A$2:$A$3001,$A562,'Per Line'!$W$2:$W$3001,0))</f>
        <v/>
      </c>
      <c r="M562" s="7">
        <f>IF($U562="","",L562*K562)</f>
        <v/>
      </c>
      <c r="N562">
        <f>IF($U562="","",Settings!$C$6)</f>
        <v/>
      </c>
      <c r="O562" s="7">
        <f>IF($U562="","",SUMIFS('Per Line'!$N$2:$N$3001,'Per Line'!$A$2:$A$3001,$A562,'Per Line'!$W$2:$W$3001,1))</f>
        <v/>
      </c>
      <c r="P562" s="7">
        <f>IF($U562="","",O562*N562)</f>
        <v/>
      </c>
      <c r="Q562" s="7">
        <f>IF($U562="","",P562+M562)</f>
        <v/>
      </c>
      <c r="R562" s="7">
        <f>IF($U562="","",S562-Q562)</f>
        <v/>
      </c>
      <c r="S562" s="7">
        <f>IF($U562="","",L562+O562)</f>
        <v/>
      </c>
      <c r="T562" s="7">
        <f>IF($U562="","",S562-Q562-G562)</f>
        <v/>
      </c>
      <c r="U562" s="13">
        <f>IF(ROWS($U$2:$U562)&lt;=MAX('Per Line'!$V$2:$V$3001),MATCH(ROWS($U$2:$U562),'Per Line'!$V$2:$V$3001,0),"")</f>
        <v/>
      </c>
    </row>
    <row r="563">
      <c r="A563">
        <f>IF($U563="","",INDEX('Per Line'!$A$2:$A$3001,$U563)&amp;"")</f>
        <v/>
      </c>
      <c r="B563" s="12" t="n"/>
      <c r="C563">
        <f>IF($U563="","",INDEX('Per Line'!$B$2:$B$3001,$U563)&amp;"")</f>
        <v/>
      </c>
      <c r="D563">
        <f>IF($U563="","",INDEX('Per Line'!$C$2:$C$3001,$U563)&amp;"")</f>
        <v/>
      </c>
      <c r="E563">
        <f>IF($U563="","",INDEX('Per Line'!$D$2:$D$3001,$U563)&amp;"")</f>
        <v/>
      </c>
      <c r="F563">
        <f>IF($U563="","",INDEX('Per Line'!$E$2:$E$3001,$U563))</f>
        <v/>
      </c>
      <c r="G563" s="7">
        <f>IF($U563="","",F563*S563/100)</f>
        <v/>
      </c>
      <c r="H563">
        <f>IF($U563="","",INDEX('Per Line'!$O$2:$O$3001,$U563)&amp;"")</f>
        <v/>
      </c>
      <c r="I563" s="11">
        <f>IF($U563="","",INDEX('Per Line'!$Q$2:$Q$3001,$U563))</f>
        <v/>
      </c>
      <c r="J563">
        <f>IF($U563="","",INDEX('Per Line'!$R$2:$R$3001,$U563)&amp;"")</f>
        <v/>
      </c>
      <c r="K563">
        <f>IF($U563="","",Settings!$C$7)</f>
        <v/>
      </c>
      <c r="L563" s="7">
        <f>IF($U563="","",SUMIFS('Per Line'!$N$2:$N$3001,'Per Line'!$A$2:$A$3001,$A563,'Per Line'!$W$2:$W$3001,0))</f>
        <v/>
      </c>
      <c r="M563" s="7">
        <f>IF($U563="","",L563*K563)</f>
        <v/>
      </c>
      <c r="N563">
        <f>IF($U563="","",Settings!$C$6)</f>
        <v/>
      </c>
      <c r="O563" s="7">
        <f>IF($U563="","",SUMIFS('Per Line'!$N$2:$N$3001,'Per Line'!$A$2:$A$3001,$A563,'Per Line'!$W$2:$W$3001,1))</f>
        <v/>
      </c>
      <c r="P563" s="7">
        <f>IF($U563="","",O563*N563)</f>
        <v/>
      </c>
      <c r="Q563" s="7">
        <f>IF($U563="","",P563+M563)</f>
        <v/>
      </c>
      <c r="R563" s="7">
        <f>IF($U563="","",S563-Q563)</f>
        <v/>
      </c>
      <c r="S563" s="7">
        <f>IF($U563="","",L563+O563)</f>
        <v/>
      </c>
      <c r="T563" s="7">
        <f>IF($U563="","",S563-Q563-G563)</f>
        <v/>
      </c>
      <c r="U563" s="13">
        <f>IF(ROWS($U$2:$U563)&lt;=MAX('Per Line'!$V$2:$V$3001),MATCH(ROWS($U$2:$U563),'Per Line'!$V$2:$V$3001,0),"")</f>
        <v/>
      </c>
    </row>
    <row r="564">
      <c r="A564">
        <f>IF($U564="","",INDEX('Per Line'!$A$2:$A$3001,$U564)&amp;"")</f>
        <v/>
      </c>
      <c r="B564" s="12" t="n"/>
      <c r="C564">
        <f>IF($U564="","",INDEX('Per Line'!$B$2:$B$3001,$U564)&amp;"")</f>
        <v/>
      </c>
      <c r="D564">
        <f>IF($U564="","",INDEX('Per Line'!$C$2:$C$3001,$U564)&amp;"")</f>
        <v/>
      </c>
      <c r="E564">
        <f>IF($U564="","",INDEX('Per Line'!$D$2:$D$3001,$U564)&amp;"")</f>
        <v/>
      </c>
      <c r="F564">
        <f>IF($U564="","",INDEX('Per Line'!$E$2:$E$3001,$U564))</f>
        <v/>
      </c>
      <c r="G564" s="7">
        <f>IF($U564="","",F564*S564/100)</f>
        <v/>
      </c>
      <c r="H564">
        <f>IF($U564="","",INDEX('Per Line'!$O$2:$O$3001,$U564)&amp;"")</f>
        <v/>
      </c>
      <c r="I564" s="11">
        <f>IF($U564="","",INDEX('Per Line'!$Q$2:$Q$3001,$U564))</f>
        <v/>
      </c>
      <c r="J564">
        <f>IF($U564="","",INDEX('Per Line'!$R$2:$R$3001,$U564)&amp;"")</f>
        <v/>
      </c>
      <c r="K564">
        <f>IF($U564="","",Settings!$C$7)</f>
        <v/>
      </c>
      <c r="L564" s="7">
        <f>IF($U564="","",SUMIFS('Per Line'!$N$2:$N$3001,'Per Line'!$A$2:$A$3001,$A564,'Per Line'!$W$2:$W$3001,0))</f>
        <v/>
      </c>
      <c r="M564" s="7">
        <f>IF($U564="","",L564*K564)</f>
        <v/>
      </c>
      <c r="N564">
        <f>IF($U564="","",Settings!$C$6)</f>
        <v/>
      </c>
      <c r="O564" s="7">
        <f>IF($U564="","",SUMIFS('Per Line'!$N$2:$N$3001,'Per Line'!$A$2:$A$3001,$A564,'Per Line'!$W$2:$W$3001,1))</f>
        <v/>
      </c>
      <c r="P564" s="7">
        <f>IF($U564="","",O564*N564)</f>
        <v/>
      </c>
      <c r="Q564" s="7">
        <f>IF($U564="","",P564+M564)</f>
        <v/>
      </c>
      <c r="R564" s="7">
        <f>IF($U564="","",S564-Q564)</f>
        <v/>
      </c>
      <c r="S564" s="7">
        <f>IF($U564="","",L564+O564)</f>
        <v/>
      </c>
      <c r="T564" s="7">
        <f>IF($U564="","",S564-Q564-G564)</f>
        <v/>
      </c>
      <c r="U564" s="13">
        <f>IF(ROWS($U$2:$U564)&lt;=MAX('Per Line'!$V$2:$V$3001),MATCH(ROWS($U$2:$U564),'Per Line'!$V$2:$V$3001,0),"")</f>
        <v/>
      </c>
    </row>
    <row r="565">
      <c r="A565">
        <f>IF($U565="","",INDEX('Per Line'!$A$2:$A$3001,$U565)&amp;"")</f>
        <v/>
      </c>
      <c r="B565" s="12" t="n"/>
      <c r="C565">
        <f>IF($U565="","",INDEX('Per Line'!$B$2:$B$3001,$U565)&amp;"")</f>
        <v/>
      </c>
      <c r="D565">
        <f>IF($U565="","",INDEX('Per Line'!$C$2:$C$3001,$U565)&amp;"")</f>
        <v/>
      </c>
      <c r="E565">
        <f>IF($U565="","",INDEX('Per Line'!$D$2:$D$3001,$U565)&amp;"")</f>
        <v/>
      </c>
      <c r="F565">
        <f>IF($U565="","",INDEX('Per Line'!$E$2:$E$3001,$U565))</f>
        <v/>
      </c>
      <c r="G565" s="7">
        <f>IF($U565="","",F565*S565/100)</f>
        <v/>
      </c>
      <c r="H565">
        <f>IF($U565="","",INDEX('Per Line'!$O$2:$O$3001,$U565)&amp;"")</f>
        <v/>
      </c>
      <c r="I565" s="11">
        <f>IF($U565="","",INDEX('Per Line'!$Q$2:$Q$3001,$U565))</f>
        <v/>
      </c>
      <c r="J565">
        <f>IF($U565="","",INDEX('Per Line'!$R$2:$R$3001,$U565)&amp;"")</f>
        <v/>
      </c>
      <c r="K565">
        <f>IF($U565="","",Settings!$C$7)</f>
        <v/>
      </c>
      <c r="L565" s="7">
        <f>IF($U565="","",SUMIFS('Per Line'!$N$2:$N$3001,'Per Line'!$A$2:$A$3001,$A565,'Per Line'!$W$2:$W$3001,0))</f>
        <v/>
      </c>
      <c r="M565" s="7">
        <f>IF($U565="","",L565*K565)</f>
        <v/>
      </c>
      <c r="N565">
        <f>IF($U565="","",Settings!$C$6)</f>
        <v/>
      </c>
      <c r="O565" s="7">
        <f>IF($U565="","",SUMIFS('Per Line'!$N$2:$N$3001,'Per Line'!$A$2:$A$3001,$A565,'Per Line'!$W$2:$W$3001,1))</f>
        <v/>
      </c>
      <c r="P565" s="7">
        <f>IF($U565="","",O565*N565)</f>
        <v/>
      </c>
      <c r="Q565" s="7">
        <f>IF($U565="","",P565+M565)</f>
        <v/>
      </c>
      <c r="R565" s="7">
        <f>IF($U565="","",S565-Q565)</f>
        <v/>
      </c>
      <c r="S565" s="7">
        <f>IF($U565="","",L565+O565)</f>
        <v/>
      </c>
      <c r="T565" s="7">
        <f>IF($U565="","",S565-Q565-G565)</f>
        <v/>
      </c>
      <c r="U565" s="13">
        <f>IF(ROWS($U$2:$U565)&lt;=MAX('Per Line'!$V$2:$V$3001),MATCH(ROWS($U$2:$U565),'Per Line'!$V$2:$V$3001,0),"")</f>
        <v/>
      </c>
    </row>
    <row r="566">
      <c r="A566">
        <f>IF($U566="","",INDEX('Per Line'!$A$2:$A$3001,$U566)&amp;"")</f>
        <v/>
      </c>
      <c r="B566" s="12" t="n"/>
      <c r="C566">
        <f>IF($U566="","",INDEX('Per Line'!$B$2:$B$3001,$U566)&amp;"")</f>
        <v/>
      </c>
      <c r="D566">
        <f>IF($U566="","",INDEX('Per Line'!$C$2:$C$3001,$U566)&amp;"")</f>
        <v/>
      </c>
      <c r="E566">
        <f>IF($U566="","",INDEX('Per Line'!$D$2:$D$3001,$U566)&amp;"")</f>
        <v/>
      </c>
      <c r="F566">
        <f>IF($U566="","",INDEX('Per Line'!$E$2:$E$3001,$U566))</f>
        <v/>
      </c>
      <c r="G566" s="7">
        <f>IF($U566="","",F566*S566/100)</f>
        <v/>
      </c>
      <c r="H566">
        <f>IF($U566="","",INDEX('Per Line'!$O$2:$O$3001,$U566)&amp;"")</f>
        <v/>
      </c>
      <c r="I566" s="11">
        <f>IF($U566="","",INDEX('Per Line'!$Q$2:$Q$3001,$U566))</f>
        <v/>
      </c>
      <c r="J566">
        <f>IF($U566="","",INDEX('Per Line'!$R$2:$R$3001,$U566)&amp;"")</f>
        <v/>
      </c>
      <c r="K566">
        <f>IF($U566="","",Settings!$C$7)</f>
        <v/>
      </c>
      <c r="L566" s="7">
        <f>IF($U566="","",SUMIFS('Per Line'!$N$2:$N$3001,'Per Line'!$A$2:$A$3001,$A566,'Per Line'!$W$2:$W$3001,0))</f>
        <v/>
      </c>
      <c r="M566" s="7">
        <f>IF($U566="","",L566*K566)</f>
        <v/>
      </c>
      <c r="N566">
        <f>IF($U566="","",Settings!$C$6)</f>
        <v/>
      </c>
      <c r="O566" s="7">
        <f>IF($U566="","",SUMIFS('Per Line'!$N$2:$N$3001,'Per Line'!$A$2:$A$3001,$A566,'Per Line'!$W$2:$W$3001,1))</f>
        <v/>
      </c>
      <c r="P566" s="7">
        <f>IF($U566="","",O566*N566)</f>
        <v/>
      </c>
      <c r="Q566" s="7">
        <f>IF($U566="","",P566+M566)</f>
        <v/>
      </c>
      <c r="R566" s="7">
        <f>IF($U566="","",S566-Q566)</f>
        <v/>
      </c>
      <c r="S566" s="7">
        <f>IF($U566="","",L566+O566)</f>
        <v/>
      </c>
      <c r="T566" s="7">
        <f>IF($U566="","",S566-Q566-G566)</f>
        <v/>
      </c>
      <c r="U566" s="13">
        <f>IF(ROWS($U$2:$U566)&lt;=MAX('Per Line'!$V$2:$V$3001),MATCH(ROWS($U$2:$U566),'Per Line'!$V$2:$V$3001,0),"")</f>
        <v/>
      </c>
    </row>
    <row r="567">
      <c r="A567">
        <f>IF($U567="","",INDEX('Per Line'!$A$2:$A$3001,$U567)&amp;"")</f>
        <v/>
      </c>
      <c r="B567" s="12" t="n"/>
      <c r="C567">
        <f>IF($U567="","",INDEX('Per Line'!$B$2:$B$3001,$U567)&amp;"")</f>
        <v/>
      </c>
      <c r="D567">
        <f>IF($U567="","",INDEX('Per Line'!$C$2:$C$3001,$U567)&amp;"")</f>
        <v/>
      </c>
      <c r="E567">
        <f>IF($U567="","",INDEX('Per Line'!$D$2:$D$3001,$U567)&amp;"")</f>
        <v/>
      </c>
      <c r="F567">
        <f>IF($U567="","",INDEX('Per Line'!$E$2:$E$3001,$U567))</f>
        <v/>
      </c>
      <c r="G567" s="7">
        <f>IF($U567="","",F567*S567/100)</f>
        <v/>
      </c>
      <c r="H567">
        <f>IF($U567="","",INDEX('Per Line'!$O$2:$O$3001,$U567)&amp;"")</f>
        <v/>
      </c>
      <c r="I567" s="11">
        <f>IF($U567="","",INDEX('Per Line'!$Q$2:$Q$3001,$U567))</f>
        <v/>
      </c>
      <c r="J567">
        <f>IF($U567="","",INDEX('Per Line'!$R$2:$R$3001,$U567)&amp;"")</f>
        <v/>
      </c>
      <c r="K567">
        <f>IF($U567="","",Settings!$C$7)</f>
        <v/>
      </c>
      <c r="L567" s="7">
        <f>IF($U567="","",SUMIFS('Per Line'!$N$2:$N$3001,'Per Line'!$A$2:$A$3001,$A567,'Per Line'!$W$2:$W$3001,0))</f>
        <v/>
      </c>
      <c r="M567" s="7">
        <f>IF($U567="","",L567*K567)</f>
        <v/>
      </c>
      <c r="N567">
        <f>IF($U567="","",Settings!$C$6)</f>
        <v/>
      </c>
      <c r="O567" s="7">
        <f>IF($U567="","",SUMIFS('Per Line'!$N$2:$N$3001,'Per Line'!$A$2:$A$3001,$A567,'Per Line'!$W$2:$W$3001,1))</f>
        <v/>
      </c>
      <c r="P567" s="7">
        <f>IF($U567="","",O567*N567)</f>
        <v/>
      </c>
      <c r="Q567" s="7">
        <f>IF($U567="","",P567+M567)</f>
        <v/>
      </c>
      <c r="R567" s="7">
        <f>IF($U567="","",S567-Q567)</f>
        <v/>
      </c>
      <c r="S567" s="7">
        <f>IF($U567="","",L567+O567)</f>
        <v/>
      </c>
      <c r="T567" s="7">
        <f>IF($U567="","",S567-Q567-G567)</f>
        <v/>
      </c>
      <c r="U567" s="13">
        <f>IF(ROWS($U$2:$U567)&lt;=MAX('Per Line'!$V$2:$V$3001),MATCH(ROWS($U$2:$U567),'Per Line'!$V$2:$V$3001,0),"")</f>
        <v/>
      </c>
    </row>
    <row r="568">
      <c r="A568">
        <f>IF($U568="","",INDEX('Per Line'!$A$2:$A$3001,$U568)&amp;"")</f>
        <v/>
      </c>
      <c r="B568" s="12" t="n"/>
      <c r="C568">
        <f>IF($U568="","",INDEX('Per Line'!$B$2:$B$3001,$U568)&amp;"")</f>
        <v/>
      </c>
      <c r="D568">
        <f>IF($U568="","",INDEX('Per Line'!$C$2:$C$3001,$U568)&amp;"")</f>
        <v/>
      </c>
      <c r="E568">
        <f>IF($U568="","",INDEX('Per Line'!$D$2:$D$3001,$U568)&amp;"")</f>
        <v/>
      </c>
      <c r="F568">
        <f>IF($U568="","",INDEX('Per Line'!$E$2:$E$3001,$U568))</f>
        <v/>
      </c>
      <c r="G568" s="7">
        <f>IF($U568="","",F568*S568/100)</f>
        <v/>
      </c>
      <c r="H568">
        <f>IF($U568="","",INDEX('Per Line'!$O$2:$O$3001,$U568)&amp;"")</f>
        <v/>
      </c>
      <c r="I568" s="11">
        <f>IF($U568="","",INDEX('Per Line'!$Q$2:$Q$3001,$U568))</f>
        <v/>
      </c>
      <c r="J568">
        <f>IF($U568="","",INDEX('Per Line'!$R$2:$R$3001,$U568)&amp;"")</f>
        <v/>
      </c>
      <c r="K568">
        <f>IF($U568="","",Settings!$C$7)</f>
        <v/>
      </c>
      <c r="L568" s="7">
        <f>IF($U568="","",SUMIFS('Per Line'!$N$2:$N$3001,'Per Line'!$A$2:$A$3001,$A568,'Per Line'!$W$2:$W$3001,0))</f>
        <v/>
      </c>
      <c r="M568" s="7">
        <f>IF($U568="","",L568*K568)</f>
        <v/>
      </c>
      <c r="N568">
        <f>IF($U568="","",Settings!$C$6)</f>
        <v/>
      </c>
      <c r="O568" s="7">
        <f>IF($U568="","",SUMIFS('Per Line'!$N$2:$N$3001,'Per Line'!$A$2:$A$3001,$A568,'Per Line'!$W$2:$W$3001,1))</f>
        <v/>
      </c>
      <c r="P568" s="7">
        <f>IF($U568="","",O568*N568)</f>
        <v/>
      </c>
      <c r="Q568" s="7">
        <f>IF($U568="","",P568+M568)</f>
        <v/>
      </c>
      <c r="R568" s="7">
        <f>IF($U568="","",S568-Q568)</f>
        <v/>
      </c>
      <c r="S568" s="7">
        <f>IF($U568="","",L568+O568)</f>
        <v/>
      </c>
      <c r="T568" s="7">
        <f>IF($U568="","",S568-Q568-G568)</f>
        <v/>
      </c>
      <c r="U568" s="13">
        <f>IF(ROWS($U$2:$U568)&lt;=MAX('Per Line'!$V$2:$V$3001),MATCH(ROWS($U$2:$U568),'Per Line'!$V$2:$V$3001,0),"")</f>
        <v/>
      </c>
    </row>
    <row r="569">
      <c r="A569">
        <f>IF($U569="","",INDEX('Per Line'!$A$2:$A$3001,$U569)&amp;"")</f>
        <v/>
      </c>
      <c r="B569" s="12" t="n"/>
      <c r="C569">
        <f>IF($U569="","",INDEX('Per Line'!$B$2:$B$3001,$U569)&amp;"")</f>
        <v/>
      </c>
      <c r="D569">
        <f>IF($U569="","",INDEX('Per Line'!$C$2:$C$3001,$U569)&amp;"")</f>
        <v/>
      </c>
      <c r="E569">
        <f>IF($U569="","",INDEX('Per Line'!$D$2:$D$3001,$U569)&amp;"")</f>
        <v/>
      </c>
      <c r="F569">
        <f>IF($U569="","",INDEX('Per Line'!$E$2:$E$3001,$U569))</f>
        <v/>
      </c>
      <c r="G569" s="7">
        <f>IF($U569="","",F569*S569/100)</f>
        <v/>
      </c>
      <c r="H569">
        <f>IF($U569="","",INDEX('Per Line'!$O$2:$O$3001,$U569)&amp;"")</f>
        <v/>
      </c>
      <c r="I569" s="11">
        <f>IF($U569="","",INDEX('Per Line'!$Q$2:$Q$3001,$U569))</f>
        <v/>
      </c>
      <c r="J569">
        <f>IF($U569="","",INDEX('Per Line'!$R$2:$R$3001,$U569)&amp;"")</f>
        <v/>
      </c>
      <c r="K569">
        <f>IF($U569="","",Settings!$C$7)</f>
        <v/>
      </c>
      <c r="L569" s="7">
        <f>IF($U569="","",SUMIFS('Per Line'!$N$2:$N$3001,'Per Line'!$A$2:$A$3001,$A569,'Per Line'!$W$2:$W$3001,0))</f>
        <v/>
      </c>
      <c r="M569" s="7">
        <f>IF($U569="","",L569*K569)</f>
        <v/>
      </c>
      <c r="N569">
        <f>IF($U569="","",Settings!$C$6)</f>
        <v/>
      </c>
      <c r="O569" s="7">
        <f>IF($U569="","",SUMIFS('Per Line'!$N$2:$N$3001,'Per Line'!$A$2:$A$3001,$A569,'Per Line'!$W$2:$W$3001,1))</f>
        <v/>
      </c>
      <c r="P569" s="7">
        <f>IF($U569="","",O569*N569)</f>
        <v/>
      </c>
      <c r="Q569" s="7">
        <f>IF($U569="","",P569+M569)</f>
        <v/>
      </c>
      <c r="R569" s="7">
        <f>IF($U569="","",S569-Q569)</f>
        <v/>
      </c>
      <c r="S569" s="7">
        <f>IF($U569="","",L569+O569)</f>
        <v/>
      </c>
      <c r="T569" s="7">
        <f>IF($U569="","",S569-Q569-G569)</f>
        <v/>
      </c>
      <c r="U569" s="13">
        <f>IF(ROWS($U$2:$U569)&lt;=MAX('Per Line'!$V$2:$V$3001),MATCH(ROWS($U$2:$U569),'Per Line'!$V$2:$V$3001,0),"")</f>
        <v/>
      </c>
    </row>
    <row r="570">
      <c r="A570">
        <f>IF($U570="","",INDEX('Per Line'!$A$2:$A$3001,$U570)&amp;"")</f>
        <v/>
      </c>
      <c r="B570" s="12" t="n"/>
      <c r="C570">
        <f>IF($U570="","",INDEX('Per Line'!$B$2:$B$3001,$U570)&amp;"")</f>
        <v/>
      </c>
      <c r="D570">
        <f>IF($U570="","",INDEX('Per Line'!$C$2:$C$3001,$U570)&amp;"")</f>
        <v/>
      </c>
      <c r="E570">
        <f>IF($U570="","",INDEX('Per Line'!$D$2:$D$3001,$U570)&amp;"")</f>
        <v/>
      </c>
      <c r="F570">
        <f>IF($U570="","",INDEX('Per Line'!$E$2:$E$3001,$U570))</f>
        <v/>
      </c>
      <c r="G570" s="7">
        <f>IF($U570="","",F570*S570/100)</f>
        <v/>
      </c>
      <c r="H570">
        <f>IF($U570="","",INDEX('Per Line'!$O$2:$O$3001,$U570)&amp;"")</f>
        <v/>
      </c>
      <c r="I570" s="11">
        <f>IF($U570="","",INDEX('Per Line'!$Q$2:$Q$3001,$U570))</f>
        <v/>
      </c>
      <c r="J570">
        <f>IF($U570="","",INDEX('Per Line'!$R$2:$R$3001,$U570)&amp;"")</f>
        <v/>
      </c>
      <c r="K570">
        <f>IF($U570="","",Settings!$C$7)</f>
        <v/>
      </c>
      <c r="L570" s="7">
        <f>IF($U570="","",SUMIFS('Per Line'!$N$2:$N$3001,'Per Line'!$A$2:$A$3001,$A570,'Per Line'!$W$2:$W$3001,0))</f>
        <v/>
      </c>
      <c r="M570" s="7">
        <f>IF($U570="","",L570*K570)</f>
        <v/>
      </c>
      <c r="N570">
        <f>IF($U570="","",Settings!$C$6)</f>
        <v/>
      </c>
      <c r="O570" s="7">
        <f>IF($U570="","",SUMIFS('Per Line'!$N$2:$N$3001,'Per Line'!$A$2:$A$3001,$A570,'Per Line'!$W$2:$W$3001,1))</f>
        <v/>
      </c>
      <c r="P570" s="7">
        <f>IF($U570="","",O570*N570)</f>
        <v/>
      </c>
      <c r="Q570" s="7">
        <f>IF($U570="","",P570+M570)</f>
        <v/>
      </c>
      <c r="R570" s="7">
        <f>IF($U570="","",S570-Q570)</f>
        <v/>
      </c>
      <c r="S570" s="7">
        <f>IF($U570="","",L570+O570)</f>
        <v/>
      </c>
      <c r="T570" s="7">
        <f>IF($U570="","",S570-Q570-G570)</f>
        <v/>
      </c>
      <c r="U570" s="13">
        <f>IF(ROWS($U$2:$U570)&lt;=MAX('Per Line'!$V$2:$V$3001),MATCH(ROWS($U$2:$U570),'Per Line'!$V$2:$V$3001,0),"")</f>
        <v/>
      </c>
    </row>
    <row r="571">
      <c r="A571">
        <f>IF($U571="","",INDEX('Per Line'!$A$2:$A$3001,$U571)&amp;"")</f>
        <v/>
      </c>
      <c r="B571" s="12" t="n"/>
      <c r="C571">
        <f>IF($U571="","",INDEX('Per Line'!$B$2:$B$3001,$U571)&amp;"")</f>
        <v/>
      </c>
      <c r="D571">
        <f>IF($U571="","",INDEX('Per Line'!$C$2:$C$3001,$U571)&amp;"")</f>
        <v/>
      </c>
      <c r="E571">
        <f>IF($U571="","",INDEX('Per Line'!$D$2:$D$3001,$U571)&amp;"")</f>
        <v/>
      </c>
      <c r="F571">
        <f>IF($U571="","",INDEX('Per Line'!$E$2:$E$3001,$U571))</f>
        <v/>
      </c>
      <c r="G571" s="7">
        <f>IF($U571="","",F571*S571/100)</f>
        <v/>
      </c>
      <c r="H571">
        <f>IF($U571="","",INDEX('Per Line'!$O$2:$O$3001,$U571)&amp;"")</f>
        <v/>
      </c>
      <c r="I571" s="11">
        <f>IF($U571="","",INDEX('Per Line'!$Q$2:$Q$3001,$U571))</f>
        <v/>
      </c>
      <c r="J571">
        <f>IF($U571="","",INDEX('Per Line'!$R$2:$R$3001,$U571)&amp;"")</f>
        <v/>
      </c>
      <c r="K571">
        <f>IF($U571="","",Settings!$C$7)</f>
        <v/>
      </c>
      <c r="L571" s="7">
        <f>IF($U571="","",SUMIFS('Per Line'!$N$2:$N$3001,'Per Line'!$A$2:$A$3001,$A571,'Per Line'!$W$2:$W$3001,0))</f>
        <v/>
      </c>
      <c r="M571" s="7">
        <f>IF($U571="","",L571*K571)</f>
        <v/>
      </c>
      <c r="N571">
        <f>IF($U571="","",Settings!$C$6)</f>
        <v/>
      </c>
      <c r="O571" s="7">
        <f>IF($U571="","",SUMIFS('Per Line'!$N$2:$N$3001,'Per Line'!$A$2:$A$3001,$A571,'Per Line'!$W$2:$W$3001,1))</f>
        <v/>
      </c>
      <c r="P571" s="7">
        <f>IF($U571="","",O571*N571)</f>
        <v/>
      </c>
      <c r="Q571" s="7">
        <f>IF($U571="","",P571+M571)</f>
        <v/>
      </c>
      <c r="R571" s="7">
        <f>IF($U571="","",S571-Q571)</f>
        <v/>
      </c>
      <c r="S571" s="7">
        <f>IF($U571="","",L571+O571)</f>
        <v/>
      </c>
      <c r="T571" s="7">
        <f>IF($U571="","",S571-Q571-G571)</f>
        <v/>
      </c>
      <c r="U571" s="13">
        <f>IF(ROWS($U$2:$U571)&lt;=MAX('Per Line'!$V$2:$V$3001),MATCH(ROWS($U$2:$U571),'Per Line'!$V$2:$V$3001,0),"")</f>
        <v/>
      </c>
    </row>
    <row r="572">
      <c r="A572">
        <f>IF($U572="","",INDEX('Per Line'!$A$2:$A$3001,$U572)&amp;"")</f>
        <v/>
      </c>
      <c r="B572" s="12" t="n"/>
      <c r="C572">
        <f>IF($U572="","",INDEX('Per Line'!$B$2:$B$3001,$U572)&amp;"")</f>
        <v/>
      </c>
      <c r="D572">
        <f>IF($U572="","",INDEX('Per Line'!$C$2:$C$3001,$U572)&amp;"")</f>
        <v/>
      </c>
      <c r="E572">
        <f>IF($U572="","",INDEX('Per Line'!$D$2:$D$3001,$U572)&amp;"")</f>
        <v/>
      </c>
      <c r="F572">
        <f>IF($U572="","",INDEX('Per Line'!$E$2:$E$3001,$U572))</f>
        <v/>
      </c>
      <c r="G572" s="7">
        <f>IF($U572="","",F572*S572/100)</f>
        <v/>
      </c>
      <c r="H572">
        <f>IF($U572="","",INDEX('Per Line'!$O$2:$O$3001,$U572)&amp;"")</f>
        <v/>
      </c>
      <c r="I572" s="11">
        <f>IF($U572="","",INDEX('Per Line'!$Q$2:$Q$3001,$U572))</f>
        <v/>
      </c>
      <c r="J572">
        <f>IF($U572="","",INDEX('Per Line'!$R$2:$R$3001,$U572)&amp;"")</f>
        <v/>
      </c>
      <c r="K572">
        <f>IF($U572="","",Settings!$C$7)</f>
        <v/>
      </c>
      <c r="L572" s="7">
        <f>IF($U572="","",SUMIFS('Per Line'!$N$2:$N$3001,'Per Line'!$A$2:$A$3001,$A572,'Per Line'!$W$2:$W$3001,0))</f>
        <v/>
      </c>
      <c r="M572" s="7">
        <f>IF($U572="","",L572*K572)</f>
        <v/>
      </c>
      <c r="N572">
        <f>IF($U572="","",Settings!$C$6)</f>
        <v/>
      </c>
      <c r="O572" s="7">
        <f>IF($U572="","",SUMIFS('Per Line'!$N$2:$N$3001,'Per Line'!$A$2:$A$3001,$A572,'Per Line'!$W$2:$W$3001,1))</f>
        <v/>
      </c>
      <c r="P572" s="7">
        <f>IF($U572="","",O572*N572)</f>
        <v/>
      </c>
      <c r="Q572" s="7">
        <f>IF($U572="","",P572+M572)</f>
        <v/>
      </c>
      <c r="R572" s="7">
        <f>IF($U572="","",S572-Q572)</f>
        <v/>
      </c>
      <c r="S572" s="7">
        <f>IF($U572="","",L572+O572)</f>
        <v/>
      </c>
      <c r="T572" s="7">
        <f>IF($U572="","",S572-Q572-G572)</f>
        <v/>
      </c>
      <c r="U572" s="13">
        <f>IF(ROWS($U$2:$U572)&lt;=MAX('Per Line'!$V$2:$V$3001),MATCH(ROWS($U$2:$U572),'Per Line'!$V$2:$V$3001,0),"")</f>
        <v/>
      </c>
    </row>
    <row r="573">
      <c r="A573">
        <f>IF($U573="","",INDEX('Per Line'!$A$2:$A$3001,$U573)&amp;"")</f>
        <v/>
      </c>
      <c r="B573" s="12" t="n"/>
      <c r="C573">
        <f>IF($U573="","",INDEX('Per Line'!$B$2:$B$3001,$U573)&amp;"")</f>
        <v/>
      </c>
      <c r="D573">
        <f>IF($U573="","",INDEX('Per Line'!$C$2:$C$3001,$U573)&amp;"")</f>
        <v/>
      </c>
      <c r="E573">
        <f>IF($U573="","",INDEX('Per Line'!$D$2:$D$3001,$U573)&amp;"")</f>
        <v/>
      </c>
      <c r="F573">
        <f>IF($U573="","",INDEX('Per Line'!$E$2:$E$3001,$U573))</f>
        <v/>
      </c>
      <c r="G573" s="7">
        <f>IF($U573="","",F573*S573/100)</f>
        <v/>
      </c>
      <c r="H573">
        <f>IF($U573="","",INDEX('Per Line'!$O$2:$O$3001,$U573)&amp;"")</f>
        <v/>
      </c>
      <c r="I573" s="11">
        <f>IF($U573="","",INDEX('Per Line'!$Q$2:$Q$3001,$U573))</f>
        <v/>
      </c>
      <c r="J573">
        <f>IF($U573="","",INDEX('Per Line'!$R$2:$R$3001,$U573)&amp;"")</f>
        <v/>
      </c>
      <c r="K573">
        <f>IF($U573="","",Settings!$C$7)</f>
        <v/>
      </c>
      <c r="L573" s="7">
        <f>IF($U573="","",SUMIFS('Per Line'!$N$2:$N$3001,'Per Line'!$A$2:$A$3001,$A573,'Per Line'!$W$2:$W$3001,0))</f>
        <v/>
      </c>
      <c r="M573" s="7">
        <f>IF($U573="","",L573*K573)</f>
        <v/>
      </c>
      <c r="N573">
        <f>IF($U573="","",Settings!$C$6)</f>
        <v/>
      </c>
      <c r="O573" s="7">
        <f>IF($U573="","",SUMIFS('Per Line'!$N$2:$N$3001,'Per Line'!$A$2:$A$3001,$A573,'Per Line'!$W$2:$W$3001,1))</f>
        <v/>
      </c>
      <c r="P573" s="7">
        <f>IF($U573="","",O573*N573)</f>
        <v/>
      </c>
      <c r="Q573" s="7">
        <f>IF($U573="","",P573+M573)</f>
        <v/>
      </c>
      <c r="R573" s="7">
        <f>IF($U573="","",S573-Q573)</f>
        <v/>
      </c>
      <c r="S573" s="7">
        <f>IF($U573="","",L573+O573)</f>
        <v/>
      </c>
      <c r="T573" s="7">
        <f>IF($U573="","",S573-Q573-G573)</f>
        <v/>
      </c>
      <c r="U573" s="13">
        <f>IF(ROWS($U$2:$U573)&lt;=MAX('Per Line'!$V$2:$V$3001),MATCH(ROWS($U$2:$U573),'Per Line'!$V$2:$V$3001,0),"")</f>
        <v/>
      </c>
    </row>
    <row r="574">
      <c r="A574">
        <f>IF($U574="","",INDEX('Per Line'!$A$2:$A$3001,$U574)&amp;"")</f>
        <v/>
      </c>
      <c r="B574" s="12" t="n"/>
      <c r="C574">
        <f>IF($U574="","",INDEX('Per Line'!$B$2:$B$3001,$U574)&amp;"")</f>
        <v/>
      </c>
      <c r="D574">
        <f>IF($U574="","",INDEX('Per Line'!$C$2:$C$3001,$U574)&amp;"")</f>
        <v/>
      </c>
      <c r="E574">
        <f>IF($U574="","",INDEX('Per Line'!$D$2:$D$3001,$U574)&amp;"")</f>
        <v/>
      </c>
      <c r="F574">
        <f>IF($U574="","",INDEX('Per Line'!$E$2:$E$3001,$U574))</f>
        <v/>
      </c>
      <c r="G574" s="7">
        <f>IF($U574="","",F574*S574/100)</f>
        <v/>
      </c>
      <c r="H574">
        <f>IF($U574="","",INDEX('Per Line'!$O$2:$O$3001,$U574)&amp;"")</f>
        <v/>
      </c>
      <c r="I574" s="11">
        <f>IF($U574="","",INDEX('Per Line'!$Q$2:$Q$3001,$U574))</f>
        <v/>
      </c>
      <c r="J574">
        <f>IF($U574="","",INDEX('Per Line'!$R$2:$R$3001,$U574)&amp;"")</f>
        <v/>
      </c>
      <c r="K574">
        <f>IF($U574="","",Settings!$C$7)</f>
        <v/>
      </c>
      <c r="L574" s="7">
        <f>IF($U574="","",SUMIFS('Per Line'!$N$2:$N$3001,'Per Line'!$A$2:$A$3001,$A574,'Per Line'!$W$2:$W$3001,0))</f>
        <v/>
      </c>
      <c r="M574" s="7">
        <f>IF($U574="","",L574*K574)</f>
        <v/>
      </c>
      <c r="N574">
        <f>IF($U574="","",Settings!$C$6)</f>
        <v/>
      </c>
      <c r="O574" s="7">
        <f>IF($U574="","",SUMIFS('Per Line'!$N$2:$N$3001,'Per Line'!$A$2:$A$3001,$A574,'Per Line'!$W$2:$W$3001,1))</f>
        <v/>
      </c>
      <c r="P574" s="7">
        <f>IF($U574="","",O574*N574)</f>
        <v/>
      </c>
      <c r="Q574" s="7">
        <f>IF($U574="","",P574+M574)</f>
        <v/>
      </c>
      <c r="R574" s="7">
        <f>IF($U574="","",S574-Q574)</f>
        <v/>
      </c>
      <c r="S574" s="7">
        <f>IF($U574="","",L574+O574)</f>
        <v/>
      </c>
      <c r="T574" s="7">
        <f>IF($U574="","",S574-Q574-G574)</f>
        <v/>
      </c>
      <c r="U574" s="13">
        <f>IF(ROWS($U$2:$U574)&lt;=MAX('Per Line'!$V$2:$V$3001),MATCH(ROWS($U$2:$U574),'Per Line'!$V$2:$V$3001,0),"")</f>
        <v/>
      </c>
    </row>
    <row r="575">
      <c r="A575">
        <f>IF($U575="","",INDEX('Per Line'!$A$2:$A$3001,$U575)&amp;"")</f>
        <v/>
      </c>
      <c r="B575" s="12" t="n"/>
      <c r="C575">
        <f>IF($U575="","",INDEX('Per Line'!$B$2:$B$3001,$U575)&amp;"")</f>
        <v/>
      </c>
      <c r="D575">
        <f>IF($U575="","",INDEX('Per Line'!$C$2:$C$3001,$U575)&amp;"")</f>
        <v/>
      </c>
      <c r="E575">
        <f>IF($U575="","",INDEX('Per Line'!$D$2:$D$3001,$U575)&amp;"")</f>
        <v/>
      </c>
      <c r="F575">
        <f>IF($U575="","",INDEX('Per Line'!$E$2:$E$3001,$U575))</f>
        <v/>
      </c>
      <c r="G575" s="7">
        <f>IF($U575="","",F575*S575/100)</f>
        <v/>
      </c>
      <c r="H575">
        <f>IF($U575="","",INDEX('Per Line'!$O$2:$O$3001,$U575)&amp;"")</f>
        <v/>
      </c>
      <c r="I575" s="11">
        <f>IF($U575="","",INDEX('Per Line'!$Q$2:$Q$3001,$U575))</f>
        <v/>
      </c>
      <c r="J575">
        <f>IF($U575="","",INDEX('Per Line'!$R$2:$R$3001,$U575)&amp;"")</f>
        <v/>
      </c>
      <c r="K575">
        <f>IF($U575="","",Settings!$C$7)</f>
        <v/>
      </c>
      <c r="L575" s="7">
        <f>IF($U575="","",SUMIFS('Per Line'!$N$2:$N$3001,'Per Line'!$A$2:$A$3001,$A575,'Per Line'!$W$2:$W$3001,0))</f>
        <v/>
      </c>
      <c r="M575" s="7">
        <f>IF($U575="","",L575*K575)</f>
        <v/>
      </c>
      <c r="N575">
        <f>IF($U575="","",Settings!$C$6)</f>
        <v/>
      </c>
      <c r="O575" s="7">
        <f>IF($U575="","",SUMIFS('Per Line'!$N$2:$N$3001,'Per Line'!$A$2:$A$3001,$A575,'Per Line'!$W$2:$W$3001,1))</f>
        <v/>
      </c>
      <c r="P575" s="7">
        <f>IF($U575="","",O575*N575)</f>
        <v/>
      </c>
      <c r="Q575" s="7">
        <f>IF($U575="","",P575+M575)</f>
        <v/>
      </c>
      <c r="R575" s="7">
        <f>IF($U575="","",S575-Q575)</f>
        <v/>
      </c>
      <c r="S575" s="7">
        <f>IF($U575="","",L575+O575)</f>
        <v/>
      </c>
      <c r="T575" s="7">
        <f>IF($U575="","",S575-Q575-G575)</f>
        <v/>
      </c>
      <c r="U575" s="13">
        <f>IF(ROWS($U$2:$U575)&lt;=MAX('Per Line'!$V$2:$V$3001),MATCH(ROWS($U$2:$U575),'Per Line'!$V$2:$V$3001,0),"")</f>
        <v/>
      </c>
    </row>
    <row r="576">
      <c r="A576">
        <f>IF($U576="","",INDEX('Per Line'!$A$2:$A$3001,$U576)&amp;"")</f>
        <v/>
      </c>
      <c r="B576" s="12" t="n"/>
      <c r="C576">
        <f>IF($U576="","",INDEX('Per Line'!$B$2:$B$3001,$U576)&amp;"")</f>
        <v/>
      </c>
      <c r="D576">
        <f>IF($U576="","",INDEX('Per Line'!$C$2:$C$3001,$U576)&amp;"")</f>
        <v/>
      </c>
      <c r="E576">
        <f>IF($U576="","",INDEX('Per Line'!$D$2:$D$3001,$U576)&amp;"")</f>
        <v/>
      </c>
      <c r="F576">
        <f>IF($U576="","",INDEX('Per Line'!$E$2:$E$3001,$U576))</f>
        <v/>
      </c>
      <c r="G576" s="7">
        <f>IF($U576="","",F576*S576/100)</f>
        <v/>
      </c>
      <c r="H576">
        <f>IF($U576="","",INDEX('Per Line'!$O$2:$O$3001,$U576)&amp;"")</f>
        <v/>
      </c>
      <c r="I576" s="11">
        <f>IF($U576="","",INDEX('Per Line'!$Q$2:$Q$3001,$U576))</f>
        <v/>
      </c>
      <c r="J576">
        <f>IF($U576="","",INDEX('Per Line'!$R$2:$R$3001,$U576)&amp;"")</f>
        <v/>
      </c>
      <c r="K576">
        <f>IF($U576="","",Settings!$C$7)</f>
        <v/>
      </c>
      <c r="L576" s="7">
        <f>IF($U576="","",SUMIFS('Per Line'!$N$2:$N$3001,'Per Line'!$A$2:$A$3001,$A576,'Per Line'!$W$2:$W$3001,0))</f>
        <v/>
      </c>
      <c r="M576" s="7">
        <f>IF($U576="","",L576*K576)</f>
        <v/>
      </c>
      <c r="N576">
        <f>IF($U576="","",Settings!$C$6)</f>
        <v/>
      </c>
      <c r="O576" s="7">
        <f>IF($U576="","",SUMIFS('Per Line'!$N$2:$N$3001,'Per Line'!$A$2:$A$3001,$A576,'Per Line'!$W$2:$W$3001,1))</f>
        <v/>
      </c>
      <c r="P576" s="7">
        <f>IF($U576="","",O576*N576)</f>
        <v/>
      </c>
      <c r="Q576" s="7">
        <f>IF($U576="","",P576+M576)</f>
        <v/>
      </c>
      <c r="R576" s="7">
        <f>IF($U576="","",S576-Q576)</f>
        <v/>
      </c>
      <c r="S576" s="7">
        <f>IF($U576="","",L576+O576)</f>
        <v/>
      </c>
      <c r="T576" s="7">
        <f>IF($U576="","",S576-Q576-G576)</f>
        <v/>
      </c>
      <c r="U576" s="13">
        <f>IF(ROWS($U$2:$U576)&lt;=MAX('Per Line'!$V$2:$V$3001),MATCH(ROWS($U$2:$U576),'Per Line'!$V$2:$V$3001,0),"")</f>
        <v/>
      </c>
    </row>
    <row r="577">
      <c r="A577">
        <f>IF($U577="","",INDEX('Per Line'!$A$2:$A$3001,$U577)&amp;"")</f>
        <v/>
      </c>
      <c r="B577" s="12" t="n"/>
      <c r="C577">
        <f>IF($U577="","",INDEX('Per Line'!$B$2:$B$3001,$U577)&amp;"")</f>
        <v/>
      </c>
      <c r="D577">
        <f>IF($U577="","",INDEX('Per Line'!$C$2:$C$3001,$U577)&amp;"")</f>
        <v/>
      </c>
      <c r="E577">
        <f>IF($U577="","",INDEX('Per Line'!$D$2:$D$3001,$U577)&amp;"")</f>
        <v/>
      </c>
      <c r="F577">
        <f>IF($U577="","",INDEX('Per Line'!$E$2:$E$3001,$U577))</f>
        <v/>
      </c>
      <c r="G577" s="7">
        <f>IF($U577="","",F577*S577/100)</f>
        <v/>
      </c>
      <c r="H577">
        <f>IF($U577="","",INDEX('Per Line'!$O$2:$O$3001,$U577)&amp;"")</f>
        <v/>
      </c>
      <c r="I577" s="11">
        <f>IF($U577="","",INDEX('Per Line'!$Q$2:$Q$3001,$U577))</f>
        <v/>
      </c>
      <c r="J577">
        <f>IF($U577="","",INDEX('Per Line'!$R$2:$R$3001,$U577)&amp;"")</f>
        <v/>
      </c>
      <c r="K577">
        <f>IF($U577="","",Settings!$C$7)</f>
        <v/>
      </c>
      <c r="L577" s="7">
        <f>IF($U577="","",SUMIFS('Per Line'!$N$2:$N$3001,'Per Line'!$A$2:$A$3001,$A577,'Per Line'!$W$2:$W$3001,0))</f>
        <v/>
      </c>
      <c r="M577" s="7">
        <f>IF($U577="","",L577*K577)</f>
        <v/>
      </c>
      <c r="N577">
        <f>IF($U577="","",Settings!$C$6)</f>
        <v/>
      </c>
      <c r="O577" s="7">
        <f>IF($U577="","",SUMIFS('Per Line'!$N$2:$N$3001,'Per Line'!$A$2:$A$3001,$A577,'Per Line'!$W$2:$W$3001,1))</f>
        <v/>
      </c>
      <c r="P577" s="7">
        <f>IF($U577="","",O577*N577)</f>
        <v/>
      </c>
      <c r="Q577" s="7">
        <f>IF($U577="","",P577+M577)</f>
        <v/>
      </c>
      <c r="R577" s="7">
        <f>IF($U577="","",S577-Q577)</f>
        <v/>
      </c>
      <c r="S577" s="7">
        <f>IF($U577="","",L577+O577)</f>
        <v/>
      </c>
      <c r="T577" s="7">
        <f>IF($U577="","",S577-Q577-G577)</f>
        <v/>
      </c>
      <c r="U577" s="13">
        <f>IF(ROWS($U$2:$U577)&lt;=MAX('Per Line'!$V$2:$V$3001),MATCH(ROWS($U$2:$U577),'Per Line'!$V$2:$V$3001,0),"")</f>
        <v/>
      </c>
    </row>
    <row r="578">
      <c r="A578">
        <f>IF($U578="","",INDEX('Per Line'!$A$2:$A$3001,$U578)&amp;"")</f>
        <v/>
      </c>
      <c r="B578" s="12" t="n"/>
      <c r="C578">
        <f>IF($U578="","",INDEX('Per Line'!$B$2:$B$3001,$U578)&amp;"")</f>
        <v/>
      </c>
      <c r="D578">
        <f>IF($U578="","",INDEX('Per Line'!$C$2:$C$3001,$U578)&amp;"")</f>
        <v/>
      </c>
      <c r="E578">
        <f>IF($U578="","",INDEX('Per Line'!$D$2:$D$3001,$U578)&amp;"")</f>
        <v/>
      </c>
      <c r="F578">
        <f>IF($U578="","",INDEX('Per Line'!$E$2:$E$3001,$U578))</f>
        <v/>
      </c>
      <c r="G578" s="7">
        <f>IF($U578="","",F578*S578/100)</f>
        <v/>
      </c>
      <c r="H578">
        <f>IF($U578="","",INDEX('Per Line'!$O$2:$O$3001,$U578)&amp;"")</f>
        <v/>
      </c>
      <c r="I578" s="11">
        <f>IF($U578="","",INDEX('Per Line'!$Q$2:$Q$3001,$U578))</f>
        <v/>
      </c>
      <c r="J578">
        <f>IF($U578="","",INDEX('Per Line'!$R$2:$R$3001,$U578)&amp;"")</f>
        <v/>
      </c>
      <c r="K578">
        <f>IF($U578="","",Settings!$C$7)</f>
        <v/>
      </c>
      <c r="L578" s="7">
        <f>IF($U578="","",SUMIFS('Per Line'!$N$2:$N$3001,'Per Line'!$A$2:$A$3001,$A578,'Per Line'!$W$2:$W$3001,0))</f>
        <v/>
      </c>
      <c r="M578" s="7">
        <f>IF($U578="","",L578*K578)</f>
        <v/>
      </c>
      <c r="N578">
        <f>IF($U578="","",Settings!$C$6)</f>
        <v/>
      </c>
      <c r="O578" s="7">
        <f>IF($U578="","",SUMIFS('Per Line'!$N$2:$N$3001,'Per Line'!$A$2:$A$3001,$A578,'Per Line'!$W$2:$W$3001,1))</f>
        <v/>
      </c>
      <c r="P578" s="7">
        <f>IF($U578="","",O578*N578)</f>
        <v/>
      </c>
      <c r="Q578" s="7">
        <f>IF($U578="","",P578+M578)</f>
        <v/>
      </c>
      <c r="R578" s="7">
        <f>IF($U578="","",S578-Q578)</f>
        <v/>
      </c>
      <c r="S578" s="7">
        <f>IF($U578="","",L578+O578)</f>
        <v/>
      </c>
      <c r="T578" s="7">
        <f>IF($U578="","",S578-Q578-G578)</f>
        <v/>
      </c>
      <c r="U578" s="13">
        <f>IF(ROWS($U$2:$U578)&lt;=MAX('Per Line'!$V$2:$V$3001),MATCH(ROWS($U$2:$U578),'Per Line'!$V$2:$V$3001,0),"")</f>
        <v/>
      </c>
    </row>
    <row r="579">
      <c r="A579">
        <f>IF($U579="","",INDEX('Per Line'!$A$2:$A$3001,$U579)&amp;"")</f>
        <v/>
      </c>
      <c r="B579" s="12" t="n"/>
      <c r="C579">
        <f>IF($U579="","",INDEX('Per Line'!$B$2:$B$3001,$U579)&amp;"")</f>
        <v/>
      </c>
      <c r="D579">
        <f>IF($U579="","",INDEX('Per Line'!$C$2:$C$3001,$U579)&amp;"")</f>
        <v/>
      </c>
      <c r="E579">
        <f>IF($U579="","",INDEX('Per Line'!$D$2:$D$3001,$U579)&amp;"")</f>
        <v/>
      </c>
      <c r="F579">
        <f>IF($U579="","",INDEX('Per Line'!$E$2:$E$3001,$U579))</f>
        <v/>
      </c>
      <c r="G579" s="7">
        <f>IF($U579="","",F579*S579/100)</f>
        <v/>
      </c>
      <c r="H579">
        <f>IF($U579="","",INDEX('Per Line'!$O$2:$O$3001,$U579)&amp;"")</f>
        <v/>
      </c>
      <c r="I579" s="11">
        <f>IF($U579="","",INDEX('Per Line'!$Q$2:$Q$3001,$U579))</f>
        <v/>
      </c>
      <c r="J579">
        <f>IF($U579="","",INDEX('Per Line'!$R$2:$R$3001,$U579)&amp;"")</f>
        <v/>
      </c>
      <c r="K579">
        <f>IF($U579="","",Settings!$C$7)</f>
        <v/>
      </c>
      <c r="L579" s="7">
        <f>IF($U579="","",SUMIFS('Per Line'!$N$2:$N$3001,'Per Line'!$A$2:$A$3001,$A579,'Per Line'!$W$2:$W$3001,0))</f>
        <v/>
      </c>
      <c r="M579" s="7">
        <f>IF($U579="","",L579*K579)</f>
        <v/>
      </c>
      <c r="N579">
        <f>IF($U579="","",Settings!$C$6)</f>
        <v/>
      </c>
      <c r="O579" s="7">
        <f>IF($U579="","",SUMIFS('Per Line'!$N$2:$N$3001,'Per Line'!$A$2:$A$3001,$A579,'Per Line'!$W$2:$W$3001,1))</f>
        <v/>
      </c>
      <c r="P579" s="7">
        <f>IF($U579="","",O579*N579)</f>
        <v/>
      </c>
      <c r="Q579" s="7">
        <f>IF($U579="","",P579+M579)</f>
        <v/>
      </c>
      <c r="R579" s="7">
        <f>IF($U579="","",S579-Q579)</f>
        <v/>
      </c>
      <c r="S579" s="7">
        <f>IF($U579="","",L579+O579)</f>
        <v/>
      </c>
      <c r="T579" s="7">
        <f>IF($U579="","",S579-Q579-G579)</f>
        <v/>
      </c>
      <c r="U579" s="13">
        <f>IF(ROWS($U$2:$U579)&lt;=MAX('Per Line'!$V$2:$V$3001),MATCH(ROWS($U$2:$U579),'Per Line'!$V$2:$V$3001,0),"")</f>
        <v/>
      </c>
    </row>
    <row r="580">
      <c r="A580">
        <f>IF($U580="","",INDEX('Per Line'!$A$2:$A$3001,$U580)&amp;"")</f>
        <v/>
      </c>
      <c r="B580" s="12" t="n"/>
      <c r="C580">
        <f>IF($U580="","",INDEX('Per Line'!$B$2:$B$3001,$U580)&amp;"")</f>
        <v/>
      </c>
      <c r="D580">
        <f>IF($U580="","",INDEX('Per Line'!$C$2:$C$3001,$U580)&amp;"")</f>
        <v/>
      </c>
      <c r="E580">
        <f>IF($U580="","",INDEX('Per Line'!$D$2:$D$3001,$U580)&amp;"")</f>
        <v/>
      </c>
      <c r="F580">
        <f>IF($U580="","",INDEX('Per Line'!$E$2:$E$3001,$U580))</f>
        <v/>
      </c>
      <c r="G580" s="7">
        <f>IF($U580="","",F580*S580/100)</f>
        <v/>
      </c>
      <c r="H580">
        <f>IF($U580="","",INDEX('Per Line'!$O$2:$O$3001,$U580)&amp;"")</f>
        <v/>
      </c>
      <c r="I580" s="11">
        <f>IF($U580="","",INDEX('Per Line'!$Q$2:$Q$3001,$U580))</f>
        <v/>
      </c>
      <c r="J580">
        <f>IF($U580="","",INDEX('Per Line'!$R$2:$R$3001,$U580)&amp;"")</f>
        <v/>
      </c>
      <c r="K580">
        <f>IF($U580="","",Settings!$C$7)</f>
        <v/>
      </c>
      <c r="L580" s="7">
        <f>IF($U580="","",SUMIFS('Per Line'!$N$2:$N$3001,'Per Line'!$A$2:$A$3001,$A580,'Per Line'!$W$2:$W$3001,0))</f>
        <v/>
      </c>
      <c r="M580" s="7">
        <f>IF($U580="","",L580*K580)</f>
        <v/>
      </c>
      <c r="N580">
        <f>IF($U580="","",Settings!$C$6)</f>
        <v/>
      </c>
      <c r="O580" s="7">
        <f>IF($U580="","",SUMIFS('Per Line'!$N$2:$N$3001,'Per Line'!$A$2:$A$3001,$A580,'Per Line'!$W$2:$W$3001,1))</f>
        <v/>
      </c>
      <c r="P580" s="7">
        <f>IF($U580="","",O580*N580)</f>
        <v/>
      </c>
      <c r="Q580" s="7">
        <f>IF($U580="","",P580+M580)</f>
        <v/>
      </c>
      <c r="R580" s="7">
        <f>IF($U580="","",S580-Q580)</f>
        <v/>
      </c>
      <c r="S580" s="7">
        <f>IF($U580="","",L580+O580)</f>
        <v/>
      </c>
      <c r="T580" s="7">
        <f>IF($U580="","",S580-Q580-G580)</f>
        <v/>
      </c>
      <c r="U580" s="13">
        <f>IF(ROWS($U$2:$U580)&lt;=MAX('Per Line'!$V$2:$V$3001),MATCH(ROWS($U$2:$U580),'Per Line'!$V$2:$V$3001,0),"")</f>
        <v/>
      </c>
    </row>
    <row r="581">
      <c r="A581">
        <f>IF($U581="","",INDEX('Per Line'!$A$2:$A$3001,$U581)&amp;"")</f>
        <v/>
      </c>
      <c r="B581" s="12" t="n"/>
      <c r="C581">
        <f>IF($U581="","",INDEX('Per Line'!$B$2:$B$3001,$U581)&amp;"")</f>
        <v/>
      </c>
      <c r="D581">
        <f>IF($U581="","",INDEX('Per Line'!$C$2:$C$3001,$U581)&amp;"")</f>
        <v/>
      </c>
      <c r="E581">
        <f>IF($U581="","",INDEX('Per Line'!$D$2:$D$3001,$U581)&amp;"")</f>
        <v/>
      </c>
      <c r="F581">
        <f>IF($U581="","",INDEX('Per Line'!$E$2:$E$3001,$U581))</f>
        <v/>
      </c>
      <c r="G581" s="7">
        <f>IF($U581="","",F581*S581/100)</f>
        <v/>
      </c>
      <c r="H581">
        <f>IF($U581="","",INDEX('Per Line'!$O$2:$O$3001,$U581)&amp;"")</f>
        <v/>
      </c>
      <c r="I581" s="11">
        <f>IF($U581="","",INDEX('Per Line'!$Q$2:$Q$3001,$U581))</f>
        <v/>
      </c>
      <c r="J581">
        <f>IF($U581="","",INDEX('Per Line'!$R$2:$R$3001,$U581)&amp;"")</f>
        <v/>
      </c>
      <c r="K581">
        <f>IF($U581="","",Settings!$C$7)</f>
        <v/>
      </c>
      <c r="L581" s="7">
        <f>IF($U581="","",SUMIFS('Per Line'!$N$2:$N$3001,'Per Line'!$A$2:$A$3001,$A581,'Per Line'!$W$2:$W$3001,0))</f>
        <v/>
      </c>
      <c r="M581" s="7">
        <f>IF($U581="","",L581*K581)</f>
        <v/>
      </c>
      <c r="N581">
        <f>IF($U581="","",Settings!$C$6)</f>
        <v/>
      </c>
      <c r="O581" s="7">
        <f>IF($U581="","",SUMIFS('Per Line'!$N$2:$N$3001,'Per Line'!$A$2:$A$3001,$A581,'Per Line'!$W$2:$W$3001,1))</f>
        <v/>
      </c>
      <c r="P581" s="7">
        <f>IF($U581="","",O581*N581)</f>
        <v/>
      </c>
      <c r="Q581" s="7">
        <f>IF($U581="","",P581+M581)</f>
        <v/>
      </c>
      <c r="R581" s="7">
        <f>IF($U581="","",S581-Q581)</f>
        <v/>
      </c>
      <c r="S581" s="7">
        <f>IF($U581="","",L581+O581)</f>
        <v/>
      </c>
      <c r="T581" s="7">
        <f>IF($U581="","",S581-Q581-G581)</f>
        <v/>
      </c>
      <c r="U581" s="13">
        <f>IF(ROWS($U$2:$U581)&lt;=MAX('Per Line'!$V$2:$V$3001),MATCH(ROWS($U$2:$U581),'Per Line'!$V$2:$V$3001,0),"")</f>
        <v/>
      </c>
    </row>
    <row r="582">
      <c r="A582">
        <f>IF($U582="","",INDEX('Per Line'!$A$2:$A$3001,$U582)&amp;"")</f>
        <v/>
      </c>
      <c r="B582" s="12" t="n"/>
      <c r="C582">
        <f>IF($U582="","",INDEX('Per Line'!$B$2:$B$3001,$U582)&amp;"")</f>
        <v/>
      </c>
      <c r="D582">
        <f>IF($U582="","",INDEX('Per Line'!$C$2:$C$3001,$U582)&amp;"")</f>
        <v/>
      </c>
      <c r="E582">
        <f>IF($U582="","",INDEX('Per Line'!$D$2:$D$3001,$U582)&amp;"")</f>
        <v/>
      </c>
      <c r="F582">
        <f>IF($U582="","",INDEX('Per Line'!$E$2:$E$3001,$U582))</f>
        <v/>
      </c>
      <c r="G582" s="7">
        <f>IF($U582="","",F582*S582/100)</f>
        <v/>
      </c>
      <c r="H582">
        <f>IF($U582="","",INDEX('Per Line'!$O$2:$O$3001,$U582)&amp;"")</f>
        <v/>
      </c>
      <c r="I582" s="11">
        <f>IF($U582="","",INDEX('Per Line'!$Q$2:$Q$3001,$U582))</f>
        <v/>
      </c>
      <c r="J582">
        <f>IF($U582="","",INDEX('Per Line'!$R$2:$R$3001,$U582)&amp;"")</f>
        <v/>
      </c>
      <c r="K582">
        <f>IF($U582="","",Settings!$C$7)</f>
        <v/>
      </c>
      <c r="L582" s="7">
        <f>IF($U582="","",SUMIFS('Per Line'!$N$2:$N$3001,'Per Line'!$A$2:$A$3001,$A582,'Per Line'!$W$2:$W$3001,0))</f>
        <v/>
      </c>
      <c r="M582" s="7">
        <f>IF($U582="","",L582*K582)</f>
        <v/>
      </c>
      <c r="N582">
        <f>IF($U582="","",Settings!$C$6)</f>
        <v/>
      </c>
      <c r="O582" s="7">
        <f>IF($U582="","",SUMIFS('Per Line'!$N$2:$N$3001,'Per Line'!$A$2:$A$3001,$A582,'Per Line'!$W$2:$W$3001,1))</f>
        <v/>
      </c>
      <c r="P582" s="7">
        <f>IF($U582="","",O582*N582)</f>
        <v/>
      </c>
      <c r="Q582" s="7">
        <f>IF($U582="","",P582+M582)</f>
        <v/>
      </c>
      <c r="R582" s="7">
        <f>IF($U582="","",S582-Q582)</f>
        <v/>
      </c>
      <c r="S582" s="7">
        <f>IF($U582="","",L582+O582)</f>
        <v/>
      </c>
      <c r="T582" s="7">
        <f>IF($U582="","",S582-Q582-G582)</f>
        <v/>
      </c>
      <c r="U582" s="13">
        <f>IF(ROWS($U$2:$U582)&lt;=MAX('Per Line'!$V$2:$V$3001),MATCH(ROWS($U$2:$U582),'Per Line'!$V$2:$V$3001,0),"")</f>
        <v/>
      </c>
    </row>
    <row r="583">
      <c r="A583">
        <f>IF($U583="","",INDEX('Per Line'!$A$2:$A$3001,$U583)&amp;"")</f>
        <v/>
      </c>
      <c r="B583" s="12" t="n"/>
      <c r="C583">
        <f>IF($U583="","",INDEX('Per Line'!$B$2:$B$3001,$U583)&amp;"")</f>
        <v/>
      </c>
      <c r="D583">
        <f>IF($U583="","",INDEX('Per Line'!$C$2:$C$3001,$U583)&amp;"")</f>
        <v/>
      </c>
      <c r="E583">
        <f>IF($U583="","",INDEX('Per Line'!$D$2:$D$3001,$U583)&amp;"")</f>
        <v/>
      </c>
      <c r="F583">
        <f>IF($U583="","",INDEX('Per Line'!$E$2:$E$3001,$U583))</f>
        <v/>
      </c>
      <c r="G583" s="7">
        <f>IF($U583="","",F583*S583/100)</f>
        <v/>
      </c>
      <c r="H583">
        <f>IF($U583="","",INDEX('Per Line'!$O$2:$O$3001,$U583)&amp;"")</f>
        <v/>
      </c>
      <c r="I583" s="11">
        <f>IF($U583="","",INDEX('Per Line'!$Q$2:$Q$3001,$U583))</f>
        <v/>
      </c>
      <c r="J583">
        <f>IF($U583="","",INDEX('Per Line'!$R$2:$R$3001,$U583)&amp;"")</f>
        <v/>
      </c>
      <c r="K583">
        <f>IF($U583="","",Settings!$C$7)</f>
        <v/>
      </c>
      <c r="L583" s="7">
        <f>IF($U583="","",SUMIFS('Per Line'!$N$2:$N$3001,'Per Line'!$A$2:$A$3001,$A583,'Per Line'!$W$2:$W$3001,0))</f>
        <v/>
      </c>
      <c r="M583" s="7">
        <f>IF($U583="","",L583*K583)</f>
        <v/>
      </c>
      <c r="N583">
        <f>IF($U583="","",Settings!$C$6)</f>
        <v/>
      </c>
      <c r="O583" s="7">
        <f>IF($U583="","",SUMIFS('Per Line'!$N$2:$N$3001,'Per Line'!$A$2:$A$3001,$A583,'Per Line'!$W$2:$W$3001,1))</f>
        <v/>
      </c>
      <c r="P583" s="7">
        <f>IF($U583="","",O583*N583)</f>
        <v/>
      </c>
      <c r="Q583" s="7">
        <f>IF($U583="","",P583+M583)</f>
        <v/>
      </c>
      <c r="R583" s="7">
        <f>IF($U583="","",S583-Q583)</f>
        <v/>
      </c>
      <c r="S583" s="7">
        <f>IF($U583="","",L583+O583)</f>
        <v/>
      </c>
      <c r="T583" s="7">
        <f>IF($U583="","",S583-Q583-G583)</f>
        <v/>
      </c>
      <c r="U583" s="13">
        <f>IF(ROWS($U$2:$U583)&lt;=MAX('Per Line'!$V$2:$V$3001),MATCH(ROWS($U$2:$U583),'Per Line'!$V$2:$V$3001,0),"")</f>
        <v/>
      </c>
    </row>
    <row r="584">
      <c r="A584">
        <f>IF($U584="","",INDEX('Per Line'!$A$2:$A$3001,$U584)&amp;"")</f>
        <v/>
      </c>
      <c r="B584" s="12" t="n"/>
      <c r="C584">
        <f>IF($U584="","",INDEX('Per Line'!$B$2:$B$3001,$U584)&amp;"")</f>
        <v/>
      </c>
      <c r="D584">
        <f>IF($U584="","",INDEX('Per Line'!$C$2:$C$3001,$U584)&amp;"")</f>
        <v/>
      </c>
      <c r="E584">
        <f>IF($U584="","",INDEX('Per Line'!$D$2:$D$3001,$U584)&amp;"")</f>
        <v/>
      </c>
      <c r="F584">
        <f>IF($U584="","",INDEX('Per Line'!$E$2:$E$3001,$U584))</f>
        <v/>
      </c>
      <c r="G584" s="7">
        <f>IF($U584="","",F584*S584/100)</f>
        <v/>
      </c>
      <c r="H584">
        <f>IF($U584="","",INDEX('Per Line'!$O$2:$O$3001,$U584)&amp;"")</f>
        <v/>
      </c>
      <c r="I584" s="11">
        <f>IF($U584="","",INDEX('Per Line'!$Q$2:$Q$3001,$U584))</f>
        <v/>
      </c>
      <c r="J584">
        <f>IF($U584="","",INDEX('Per Line'!$R$2:$R$3001,$U584)&amp;"")</f>
        <v/>
      </c>
      <c r="K584">
        <f>IF($U584="","",Settings!$C$7)</f>
        <v/>
      </c>
      <c r="L584" s="7">
        <f>IF($U584="","",SUMIFS('Per Line'!$N$2:$N$3001,'Per Line'!$A$2:$A$3001,$A584,'Per Line'!$W$2:$W$3001,0))</f>
        <v/>
      </c>
      <c r="M584" s="7">
        <f>IF($U584="","",L584*K584)</f>
        <v/>
      </c>
      <c r="N584">
        <f>IF($U584="","",Settings!$C$6)</f>
        <v/>
      </c>
      <c r="O584" s="7">
        <f>IF($U584="","",SUMIFS('Per Line'!$N$2:$N$3001,'Per Line'!$A$2:$A$3001,$A584,'Per Line'!$W$2:$W$3001,1))</f>
        <v/>
      </c>
      <c r="P584" s="7">
        <f>IF($U584="","",O584*N584)</f>
        <v/>
      </c>
      <c r="Q584" s="7">
        <f>IF($U584="","",P584+M584)</f>
        <v/>
      </c>
      <c r="R584" s="7">
        <f>IF($U584="","",S584-Q584)</f>
        <v/>
      </c>
      <c r="S584" s="7">
        <f>IF($U584="","",L584+O584)</f>
        <v/>
      </c>
      <c r="T584" s="7">
        <f>IF($U584="","",S584-Q584-G584)</f>
        <v/>
      </c>
      <c r="U584" s="13">
        <f>IF(ROWS($U$2:$U584)&lt;=MAX('Per Line'!$V$2:$V$3001),MATCH(ROWS($U$2:$U584),'Per Line'!$V$2:$V$3001,0),"")</f>
        <v/>
      </c>
    </row>
    <row r="585">
      <c r="A585">
        <f>IF($U585="","",INDEX('Per Line'!$A$2:$A$3001,$U585)&amp;"")</f>
        <v/>
      </c>
      <c r="B585" s="12" t="n"/>
      <c r="C585">
        <f>IF($U585="","",INDEX('Per Line'!$B$2:$B$3001,$U585)&amp;"")</f>
        <v/>
      </c>
      <c r="D585">
        <f>IF($U585="","",INDEX('Per Line'!$C$2:$C$3001,$U585)&amp;"")</f>
        <v/>
      </c>
      <c r="E585">
        <f>IF($U585="","",INDEX('Per Line'!$D$2:$D$3001,$U585)&amp;"")</f>
        <v/>
      </c>
      <c r="F585">
        <f>IF($U585="","",INDEX('Per Line'!$E$2:$E$3001,$U585))</f>
        <v/>
      </c>
      <c r="G585" s="7">
        <f>IF($U585="","",F585*S585/100)</f>
        <v/>
      </c>
      <c r="H585">
        <f>IF($U585="","",INDEX('Per Line'!$O$2:$O$3001,$U585)&amp;"")</f>
        <v/>
      </c>
      <c r="I585" s="11">
        <f>IF($U585="","",INDEX('Per Line'!$Q$2:$Q$3001,$U585))</f>
        <v/>
      </c>
      <c r="J585">
        <f>IF($U585="","",INDEX('Per Line'!$R$2:$R$3001,$U585)&amp;"")</f>
        <v/>
      </c>
      <c r="K585">
        <f>IF($U585="","",Settings!$C$7)</f>
        <v/>
      </c>
      <c r="L585" s="7">
        <f>IF($U585="","",SUMIFS('Per Line'!$N$2:$N$3001,'Per Line'!$A$2:$A$3001,$A585,'Per Line'!$W$2:$W$3001,0))</f>
        <v/>
      </c>
      <c r="M585" s="7">
        <f>IF($U585="","",L585*K585)</f>
        <v/>
      </c>
      <c r="N585">
        <f>IF($U585="","",Settings!$C$6)</f>
        <v/>
      </c>
      <c r="O585" s="7">
        <f>IF($U585="","",SUMIFS('Per Line'!$N$2:$N$3001,'Per Line'!$A$2:$A$3001,$A585,'Per Line'!$W$2:$W$3001,1))</f>
        <v/>
      </c>
      <c r="P585" s="7">
        <f>IF($U585="","",O585*N585)</f>
        <v/>
      </c>
      <c r="Q585" s="7">
        <f>IF($U585="","",P585+M585)</f>
        <v/>
      </c>
      <c r="R585" s="7">
        <f>IF($U585="","",S585-Q585)</f>
        <v/>
      </c>
      <c r="S585" s="7">
        <f>IF($U585="","",L585+O585)</f>
        <v/>
      </c>
      <c r="T585" s="7">
        <f>IF($U585="","",S585-Q585-G585)</f>
        <v/>
      </c>
      <c r="U585" s="13">
        <f>IF(ROWS($U$2:$U585)&lt;=MAX('Per Line'!$V$2:$V$3001),MATCH(ROWS($U$2:$U585),'Per Line'!$V$2:$V$3001,0),"")</f>
        <v/>
      </c>
    </row>
    <row r="586">
      <c r="A586">
        <f>IF($U586="","",INDEX('Per Line'!$A$2:$A$3001,$U586)&amp;"")</f>
        <v/>
      </c>
      <c r="B586" s="12" t="n"/>
      <c r="C586">
        <f>IF($U586="","",INDEX('Per Line'!$B$2:$B$3001,$U586)&amp;"")</f>
        <v/>
      </c>
      <c r="D586">
        <f>IF($U586="","",INDEX('Per Line'!$C$2:$C$3001,$U586)&amp;"")</f>
        <v/>
      </c>
      <c r="E586">
        <f>IF($U586="","",INDEX('Per Line'!$D$2:$D$3001,$U586)&amp;"")</f>
        <v/>
      </c>
      <c r="F586">
        <f>IF($U586="","",INDEX('Per Line'!$E$2:$E$3001,$U586))</f>
        <v/>
      </c>
      <c r="G586" s="7">
        <f>IF($U586="","",F586*S586/100)</f>
        <v/>
      </c>
      <c r="H586">
        <f>IF($U586="","",INDEX('Per Line'!$O$2:$O$3001,$U586)&amp;"")</f>
        <v/>
      </c>
      <c r="I586" s="11">
        <f>IF($U586="","",INDEX('Per Line'!$Q$2:$Q$3001,$U586))</f>
        <v/>
      </c>
      <c r="J586">
        <f>IF($U586="","",INDEX('Per Line'!$R$2:$R$3001,$U586)&amp;"")</f>
        <v/>
      </c>
      <c r="K586">
        <f>IF($U586="","",Settings!$C$7)</f>
        <v/>
      </c>
      <c r="L586" s="7">
        <f>IF($U586="","",SUMIFS('Per Line'!$N$2:$N$3001,'Per Line'!$A$2:$A$3001,$A586,'Per Line'!$W$2:$W$3001,0))</f>
        <v/>
      </c>
      <c r="M586" s="7">
        <f>IF($U586="","",L586*K586)</f>
        <v/>
      </c>
      <c r="N586">
        <f>IF($U586="","",Settings!$C$6)</f>
        <v/>
      </c>
      <c r="O586" s="7">
        <f>IF($U586="","",SUMIFS('Per Line'!$N$2:$N$3001,'Per Line'!$A$2:$A$3001,$A586,'Per Line'!$W$2:$W$3001,1))</f>
        <v/>
      </c>
      <c r="P586" s="7">
        <f>IF($U586="","",O586*N586)</f>
        <v/>
      </c>
      <c r="Q586" s="7">
        <f>IF($U586="","",P586+M586)</f>
        <v/>
      </c>
      <c r="R586" s="7">
        <f>IF($U586="","",S586-Q586)</f>
        <v/>
      </c>
      <c r="S586" s="7">
        <f>IF($U586="","",L586+O586)</f>
        <v/>
      </c>
      <c r="T586" s="7">
        <f>IF($U586="","",S586-Q586-G586)</f>
        <v/>
      </c>
      <c r="U586" s="13">
        <f>IF(ROWS($U$2:$U586)&lt;=MAX('Per Line'!$V$2:$V$3001),MATCH(ROWS($U$2:$U586),'Per Line'!$V$2:$V$3001,0),"")</f>
        <v/>
      </c>
    </row>
    <row r="587">
      <c r="A587">
        <f>IF($U587="","",INDEX('Per Line'!$A$2:$A$3001,$U587)&amp;"")</f>
        <v/>
      </c>
      <c r="B587" s="12" t="n"/>
      <c r="C587">
        <f>IF($U587="","",INDEX('Per Line'!$B$2:$B$3001,$U587)&amp;"")</f>
        <v/>
      </c>
      <c r="D587">
        <f>IF($U587="","",INDEX('Per Line'!$C$2:$C$3001,$U587)&amp;"")</f>
        <v/>
      </c>
      <c r="E587">
        <f>IF($U587="","",INDEX('Per Line'!$D$2:$D$3001,$U587)&amp;"")</f>
        <v/>
      </c>
      <c r="F587">
        <f>IF($U587="","",INDEX('Per Line'!$E$2:$E$3001,$U587))</f>
        <v/>
      </c>
      <c r="G587" s="7">
        <f>IF($U587="","",F587*S587/100)</f>
        <v/>
      </c>
      <c r="H587">
        <f>IF($U587="","",INDEX('Per Line'!$O$2:$O$3001,$U587)&amp;"")</f>
        <v/>
      </c>
      <c r="I587" s="11">
        <f>IF($U587="","",INDEX('Per Line'!$Q$2:$Q$3001,$U587))</f>
        <v/>
      </c>
      <c r="J587">
        <f>IF($U587="","",INDEX('Per Line'!$R$2:$R$3001,$U587)&amp;"")</f>
        <v/>
      </c>
      <c r="K587">
        <f>IF($U587="","",Settings!$C$7)</f>
        <v/>
      </c>
      <c r="L587" s="7">
        <f>IF($U587="","",SUMIFS('Per Line'!$N$2:$N$3001,'Per Line'!$A$2:$A$3001,$A587,'Per Line'!$W$2:$W$3001,0))</f>
        <v/>
      </c>
      <c r="M587" s="7">
        <f>IF($U587="","",L587*K587)</f>
        <v/>
      </c>
      <c r="N587">
        <f>IF($U587="","",Settings!$C$6)</f>
        <v/>
      </c>
      <c r="O587" s="7">
        <f>IF($U587="","",SUMIFS('Per Line'!$N$2:$N$3001,'Per Line'!$A$2:$A$3001,$A587,'Per Line'!$W$2:$W$3001,1))</f>
        <v/>
      </c>
      <c r="P587" s="7">
        <f>IF($U587="","",O587*N587)</f>
        <v/>
      </c>
      <c r="Q587" s="7">
        <f>IF($U587="","",P587+M587)</f>
        <v/>
      </c>
      <c r="R587" s="7">
        <f>IF($U587="","",S587-Q587)</f>
        <v/>
      </c>
      <c r="S587" s="7">
        <f>IF($U587="","",L587+O587)</f>
        <v/>
      </c>
      <c r="T587" s="7">
        <f>IF($U587="","",S587-Q587-G587)</f>
        <v/>
      </c>
      <c r="U587" s="13">
        <f>IF(ROWS($U$2:$U587)&lt;=MAX('Per Line'!$V$2:$V$3001),MATCH(ROWS($U$2:$U587),'Per Line'!$V$2:$V$3001,0),"")</f>
        <v/>
      </c>
    </row>
    <row r="588">
      <c r="A588">
        <f>IF($U588="","",INDEX('Per Line'!$A$2:$A$3001,$U588)&amp;"")</f>
        <v/>
      </c>
      <c r="B588" s="12" t="n"/>
      <c r="C588">
        <f>IF($U588="","",INDEX('Per Line'!$B$2:$B$3001,$U588)&amp;"")</f>
        <v/>
      </c>
      <c r="D588">
        <f>IF($U588="","",INDEX('Per Line'!$C$2:$C$3001,$U588)&amp;"")</f>
        <v/>
      </c>
      <c r="E588">
        <f>IF($U588="","",INDEX('Per Line'!$D$2:$D$3001,$U588)&amp;"")</f>
        <v/>
      </c>
      <c r="F588">
        <f>IF($U588="","",INDEX('Per Line'!$E$2:$E$3001,$U588))</f>
        <v/>
      </c>
      <c r="G588" s="7">
        <f>IF($U588="","",F588*S588/100)</f>
        <v/>
      </c>
      <c r="H588">
        <f>IF($U588="","",INDEX('Per Line'!$O$2:$O$3001,$U588)&amp;"")</f>
        <v/>
      </c>
      <c r="I588" s="11">
        <f>IF($U588="","",INDEX('Per Line'!$Q$2:$Q$3001,$U588))</f>
        <v/>
      </c>
      <c r="J588">
        <f>IF($U588="","",INDEX('Per Line'!$R$2:$R$3001,$U588)&amp;"")</f>
        <v/>
      </c>
      <c r="K588">
        <f>IF($U588="","",Settings!$C$7)</f>
        <v/>
      </c>
      <c r="L588" s="7">
        <f>IF($U588="","",SUMIFS('Per Line'!$N$2:$N$3001,'Per Line'!$A$2:$A$3001,$A588,'Per Line'!$W$2:$W$3001,0))</f>
        <v/>
      </c>
      <c r="M588" s="7">
        <f>IF($U588="","",L588*K588)</f>
        <v/>
      </c>
      <c r="N588">
        <f>IF($U588="","",Settings!$C$6)</f>
        <v/>
      </c>
      <c r="O588" s="7">
        <f>IF($U588="","",SUMIFS('Per Line'!$N$2:$N$3001,'Per Line'!$A$2:$A$3001,$A588,'Per Line'!$W$2:$W$3001,1))</f>
        <v/>
      </c>
      <c r="P588" s="7">
        <f>IF($U588="","",O588*N588)</f>
        <v/>
      </c>
      <c r="Q588" s="7">
        <f>IF($U588="","",P588+M588)</f>
        <v/>
      </c>
      <c r="R588" s="7">
        <f>IF($U588="","",S588-Q588)</f>
        <v/>
      </c>
      <c r="S588" s="7">
        <f>IF($U588="","",L588+O588)</f>
        <v/>
      </c>
      <c r="T588" s="7">
        <f>IF($U588="","",S588-Q588-G588)</f>
        <v/>
      </c>
      <c r="U588" s="13">
        <f>IF(ROWS($U$2:$U588)&lt;=MAX('Per Line'!$V$2:$V$3001),MATCH(ROWS($U$2:$U588),'Per Line'!$V$2:$V$3001,0),"")</f>
        <v/>
      </c>
    </row>
    <row r="589">
      <c r="A589">
        <f>IF($U589="","",INDEX('Per Line'!$A$2:$A$3001,$U589)&amp;"")</f>
        <v/>
      </c>
      <c r="B589" s="12" t="n"/>
      <c r="C589">
        <f>IF($U589="","",INDEX('Per Line'!$B$2:$B$3001,$U589)&amp;"")</f>
        <v/>
      </c>
      <c r="D589">
        <f>IF($U589="","",INDEX('Per Line'!$C$2:$C$3001,$U589)&amp;"")</f>
        <v/>
      </c>
      <c r="E589">
        <f>IF($U589="","",INDEX('Per Line'!$D$2:$D$3001,$U589)&amp;"")</f>
        <v/>
      </c>
      <c r="F589">
        <f>IF($U589="","",INDEX('Per Line'!$E$2:$E$3001,$U589))</f>
        <v/>
      </c>
      <c r="G589" s="7">
        <f>IF($U589="","",F589*S589/100)</f>
        <v/>
      </c>
      <c r="H589">
        <f>IF($U589="","",INDEX('Per Line'!$O$2:$O$3001,$U589)&amp;"")</f>
        <v/>
      </c>
      <c r="I589" s="11">
        <f>IF($U589="","",INDEX('Per Line'!$Q$2:$Q$3001,$U589))</f>
        <v/>
      </c>
      <c r="J589">
        <f>IF($U589="","",INDEX('Per Line'!$R$2:$R$3001,$U589)&amp;"")</f>
        <v/>
      </c>
      <c r="K589">
        <f>IF($U589="","",Settings!$C$7)</f>
        <v/>
      </c>
      <c r="L589" s="7">
        <f>IF($U589="","",SUMIFS('Per Line'!$N$2:$N$3001,'Per Line'!$A$2:$A$3001,$A589,'Per Line'!$W$2:$W$3001,0))</f>
        <v/>
      </c>
      <c r="M589" s="7">
        <f>IF($U589="","",L589*K589)</f>
        <v/>
      </c>
      <c r="N589">
        <f>IF($U589="","",Settings!$C$6)</f>
        <v/>
      </c>
      <c r="O589" s="7">
        <f>IF($U589="","",SUMIFS('Per Line'!$N$2:$N$3001,'Per Line'!$A$2:$A$3001,$A589,'Per Line'!$W$2:$W$3001,1))</f>
        <v/>
      </c>
      <c r="P589" s="7">
        <f>IF($U589="","",O589*N589)</f>
        <v/>
      </c>
      <c r="Q589" s="7">
        <f>IF($U589="","",P589+M589)</f>
        <v/>
      </c>
      <c r="R589" s="7">
        <f>IF($U589="","",S589-Q589)</f>
        <v/>
      </c>
      <c r="S589" s="7">
        <f>IF($U589="","",L589+O589)</f>
        <v/>
      </c>
      <c r="T589" s="7">
        <f>IF($U589="","",S589-Q589-G589)</f>
        <v/>
      </c>
      <c r="U589" s="13">
        <f>IF(ROWS($U$2:$U589)&lt;=MAX('Per Line'!$V$2:$V$3001),MATCH(ROWS($U$2:$U589),'Per Line'!$V$2:$V$3001,0),"")</f>
        <v/>
      </c>
    </row>
    <row r="590">
      <c r="A590">
        <f>IF($U590="","",INDEX('Per Line'!$A$2:$A$3001,$U590)&amp;"")</f>
        <v/>
      </c>
      <c r="B590" s="12" t="n"/>
      <c r="C590">
        <f>IF($U590="","",INDEX('Per Line'!$B$2:$B$3001,$U590)&amp;"")</f>
        <v/>
      </c>
      <c r="D590">
        <f>IF($U590="","",INDEX('Per Line'!$C$2:$C$3001,$U590)&amp;"")</f>
        <v/>
      </c>
      <c r="E590">
        <f>IF($U590="","",INDEX('Per Line'!$D$2:$D$3001,$U590)&amp;"")</f>
        <v/>
      </c>
      <c r="F590">
        <f>IF($U590="","",INDEX('Per Line'!$E$2:$E$3001,$U590))</f>
        <v/>
      </c>
      <c r="G590" s="7">
        <f>IF($U590="","",F590*S590/100)</f>
        <v/>
      </c>
      <c r="H590">
        <f>IF($U590="","",INDEX('Per Line'!$O$2:$O$3001,$U590)&amp;"")</f>
        <v/>
      </c>
      <c r="I590" s="11">
        <f>IF($U590="","",INDEX('Per Line'!$Q$2:$Q$3001,$U590))</f>
        <v/>
      </c>
      <c r="J590">
        <f>IF($U590="","",INDEX('Per Line'!$R$2:$R$3001,$U590)&amp;"")</f>
        <v/>
      </c>
      <c r="K590">
        <f>IF($U590="","",Settings!$C$7)</f>
        <v/>
      </c>
      <c r="L590" s="7">
        <f>IF($U590="","",SUMIFS('Per Line'!$N$2:$N$3001,'Per Line'!$A$2:$A$3001,$A590,'Per Line'!$W$2:$W$3001,0))</f>
        <v/>
      </c>
      <c r="M590" s="7">
        <f>IF($U590="","",L590*K590)</f>
        <v/>
      </c>
      <c r="N590">
        <f>IF($U590="","",Settings!$C$6)</f>
        <v/>
      </c>
      <c r="O590" s="7">
        <f>IF($U590="","",SUMIFS('Per Line'!$N$2:$N$3001,'Per Line'!$A$2:$A$3001,$A590,'Per Line'!$W$2:$W$3001,1))</f>
        <v/>
      </c>
      <c r="P590" s="7">
        <f>IF($U590="","",O590*N590)</f>
        <v/>
      </c>
      <c r="Q590" s="7">
        <f>IF($U590="","",P590+M590)</f>
        <v/>
      </c>
      <c r="R590" s="7">
        <f>IF($U590="","",S590-Q590)</f>
        <v/>
      </c>
      <c r="S590" s="7">
        <f>IF($U590="","",L590+O590)</f>
        <v/>
      </c>
      <c r="T590" s="7">
        <f>IF($U590="","",S590-Q590-G590)</f>
        <v/>
      </c>
      <c r="U590" s="13">
        <f>IF(ROWS($U$2:$U590)&lt;=MAX('Per Line'!$V$2:$V$3001),MATCH(ROWS($U$2:$U590),'Per Line'!$V$2:$V$3001,0),"")</f>
        <v/>
      </c>
    </row>
    <row r="591">
      <c r="A591">
        <f>IF($U591="","",INDEX('Per Line'!$A$2:$A$3001,$U591)&amp;"")</f>
        <v/>
      </c>
      <c r="B591" s="12" t="n"/>
      <c r="C591">
        <f>IF($U591="","",INDEX('Per Line'!$B$2:$B$3001,$U591)&amp;"")</f>
        <v/>
      </c>
      <c r="D591">
        <f>IF($U591="","",INDEX('Per Line'!$C$2:$C$3001,$U591)&amp;"")</f>
        <v/>
      </c>
      <c r="E591">
        <f>IF($U591="","",INDEX('Per Line'!$D$2:$D$3001,$U591)&amp;"")</f>
        <v/>
      </c>
      <c r="F591">
        <f>IF($U591="","",INDEX('Per Line'!$E$2:$E$3001,$U591))</f>
        <v/>
      </c>
      <c r="G591" s="7">
        <f>IF($U591="","",F591*S591/100)</f>
        <v/>
      </c>
      <c r="H591">
        <f>IF($U591="","",INDEX('Per Line'!$O$2:$O$3001,$U591)&amp;"")</f>
        <v/>
      </c>
      <c r="I591" s="11">
        <f>IF($U591="","",INDEX('Per Line'!$Q$2:$Q$3001,$U591))</f>
        <v/>
      </c>
      <c r="J591">
        <f>IF($U591="","",INDEX('Per Line'!$R$2:$R$3001,$U591)&amp;"")</f>
        <v/>
      </c>
      <c r="K591">
        <f>IF($U591="","",Settings!$C$7)</f>
        <v/>
      </c>
      <c r="L591" s="7">
        <f>IF($U591="","",SUMIFS('Per Line'!$N$2:$N$3001,'Per Line'!$A$2:$A$3001,$A591,'Per Line'!$W$2:$W$3001,0))</f>
        <v/>
      </c>
      <c r="M591" s="7">
        <f>IF($U591="","",L591*K591)</f>
        <v/>
      </c>
      <c r="N591">
        <f>IF($U591="","",Settings!$C$6)</f>
        <v/>
      </c>
      <c r="O591" s="7">
        <f>IF($U591="","",SUMIFS('Per Line'!$N$2:$N$3001,'Per Line'!$A$2:$A$3001,$A591,'Per Line'!$W$2:$W$3001,1))</f>
        <v/>
      </c>
      <c r="P591" s="7">
        <f>IF($U591="","",O591*N591)</f>
        <v/>
      </c>
      <c r="Q591" s="7">
        <f>IF($U591="","",P591+M591)</f>
        <v/>
      </c>
      <c r="R591" s="7">
        <f>IF($U591="","",S591-Q591)</f>
        <v/>
      </c>
      <c r="S591" s="7">
        <f>IF($U591="","",L591+O591)</f>
        <v/>
      </c>
      <c r="T591" s="7">
        <f>IF($U591="","",S591-Q591-G591)</f>
        <v/>
      </c>
      <c r="U591" s="13">
        <f>IF(ROWS($U$2:$U591)&lt;=MAX('Per Line'!$V$2:$V$3001),MATCH(ROWS($U$2:$U591),'Per Line'!$V$2:$V$3001,0),"")</f>
        <v/>
      </c>
    </row>
    <row r="592">
      <c r="A592">
        <f>IF($U592="","",INDEX('Per Line'!$A$2:$A$3001,$U592)&amp;"")</f>
        <v/>
      </c>
      <c r="B592" s="12" t="n"/>
      <c r="C592">
        <f>IF($U592="","",INDEX('Per Line'!$B$2:$B$3001,$U592)&amp;"")</f>
        <v/>
      </c>
      <c r="D592">
        <f>IF($U592="","",INDEX('Per Line'!$C$2:$C$3001,$U592)&amp;"")</f>
        <v/>
      </c>
      <c r="E592">
        <f>IF($U592="","",INDEX('Per Line'!$D$2:$D$3001,$U592)&amp;"")</f>
        <v/>
      </c>
      <c r="F592">
        <f>IF($U592="","",INDEX('Per Line'!$E$2:$E$3001,$U592))</f>
        <v/>
      </c>
      <c r="G592" s="7">
        <f>IF($U592="","",F592*S592/100)</f>
        <v/>
      </c>
      <c r="H592">
        <f>IF($U592="","",INDEX('Per Line'!$O$2:$O$3001,$U592)&amp;"")</f>
        <v/>
      </c>
      <c r="I592" s="11">
        <f>IF($U592="","",INDEX('Per Line'!$Q$2:$Q$3001,$U592))</f>
        <v/>
      </c>
      <c r="J592">
        <f>IF($U592="","",INDEX('Per Line'!$R$2:$R$3001,$U592)&amp;"")</f>
        <v/>
      </c>
      <c r="K592">
        <f>IF($U592="","",Settings!$C$7)</f>
        <v/>
      </c>
      <c r="L592" s="7">
        <f>IF($U592="","",SUMIFS('Per Line'!$N$2:$N$3001,'Per Line'!$A$2:$A$3001,$A592,'Per Line'!$W$2:$W$3001,0))</f>
        <v/>
      </c>
      <c r="M592" s="7">
        <f>IF($U592="","",L592*K592)</f>
        <v/>
      </c>
      <c r="N592">
        <f>IF($U592="","",Settings!$C$6)</f>
        <v/>
      </c>
      <c r="O592" s="7">
        <f>IF($U592="","",SUMIFS('Per Line'!$N$2:$N$3001,'Per Line'!$A$2:$A$3001,$A592,'Per Line'!$W$2:$W$3001,1))</f>
        <v/>
      </c>
      <c r="P592" s="7">
        <f>IF($U592="","",O592*N592)</f>
        <v/>
      </c>
      <c r="Q592" s="7">
        <f>IF($U592="","",P592+M592)</f>
        <v/>
      </c>
      <c r="R592" s="7">
        <f>IF($U592="","",S592-Q592)</f>
        <v/>
      </c>
      <c r="S592" s="7">
        <f>IF($U592="","",L592+O592)</f>
        <v/>
      </c>
      <c r="T592" s="7">
        <f>IF($U592="","",S592-Q592-G592)</f>
        <v/>
      </c>
      <c r="U592" s="13">
        <f>IF(ROWS($U$2:$U592)&lt;=MAX('Per Line'!$V$2:$V$3001),MATCH(ROWS($U$2:$U592),'Per Line'!$V$2:$V$3001,0),"")</f>
        <v/>
      </c>
    </row>
    <row r="593">
      <c r="A593">
        <f>IF($U593="","",INDEX('Per Line'!$A$2:$A$3001,$U593)&amp;"")</f>
        <v/>
      </c>
      <c r="B593" s="12" t="n"/>
      <c r="C593">
        <f>IF($U593="","",INDEX('Per Line'!$B$2:$B$3001,$U593)&amp;"")</f>
        <v/>
      </c>
      <c r="D593">
        <f>IF($U593="","",INDEX('Per Line'!$C$2:$C$3001,$U593)&amp;"")</f>
        <v/>
      </c>
      <c r="E593">
        <f>IF($U593="","",INDEX('Per Line'!$D$2:$D$3001,$U593)&amp;"")</f>
        <v/>
      </c>
      <c r="F593">
        <f>IF($U593="","",INDEX('Per Line'!$E$2:$E$3001,$U593))</f>
        <v/>
      </c>
      <c r="G593" s="7">
        <f>IF($U593="","",F593*S593/100)</f>
        <v/>
      </c>
      <c r="H593">
        <f>IF($U593="","",INDEX('Per Line'!$O$2:$O$3001,$U593)&amp;"")</f>
        <v/>
      </c>
      <c r="I593" s="11">
        <f>IF($U593="","",INDEX('Per Line'!$Q$2:$Q$3001,$U593))</f>
        <v/>
      </c>
      <c r="J593">
        <f>IF($U593="","",INDEX('Per Line'!$R$2:$R$3001,$U593)&amp;"")</f>
        <v/>
      </c>
      <c r="K593">
        <f>IF($U593="","",Settings!$C$7)</f>
        <v/>
      </c>
      <c r="L593" s="7">
        <f>IF($U593="","",SUMIFS('Per Line'!$N$2:$N$3001,'Per Line'!$A$2:$A$3001,$A593,'Per Line'!$W$2:$W$3001,0))</f>
        <v/>
      </c>
      <c r="M593" s="7">
        <f>IF($U593="","",L593*K593)</f>
        <v/>
      </c>
      <c r="N593">
        <f>IF($U593="","",Settings!$C$6)</f>
        <v/>
      </c>
      <c r="O593" s="7">
        <f>IF($U593="","",SUMIFS('Per Line'!$N$2:$N$3001,'Per Line'!$A$2:$A$3001,$A593,'Per Line'!$W$2:$W$3001,1))</f>
        <v/>
      </c>
      <c r="P593" s="7">
        <f>IF($U593="","",O593*N593)</f>
        <v/>
      </c>
      <c r="Q593" s="7">
        <f>IF($U593="","",P593+M593)</f>
        <v/>
      </c>
      <c r="R593" s="7">
        <f>IF($U593="","",S593-Q593)</f>
        <v/>
      </c>
      <c r="S593" s="7">
        <f>IF($U593="","",L593+O593)</f>
        <v/>
      </c>
      <c r="T593" s="7">
        <f>IF($U593="","",S593-Q593-G593)</f>
        <v/>
      </c>
      <c r="U593" s="13">
        <f>IF(ROWS($U$2:$U593)&lt;=MAX('Per Line'!$V$2:$V$3001),MATCH(ROWS($U$2:$U593),'Per Line'!$V$2:$V$3001,0),"")</f>
        <v/>
      </c>
    </row>
    <row r="594">
      <c r="A594">
        <f>IF($U594="","",INDEX('Per Line'!$A$2:$A$3001,$U594)&amp;"")</f>
        <v/>
      </c>
      <c r="B594" s="12" t="n"/>
      <c r="C594">
        <f>IF($U594="","",INDEX('Per Line'!$B$2:$B$3001,$U594)&amp;"")</f>
        <v/>
      </c>
      <c r="D594">
        <f>IF($U594="","",INDEX('Per Line'!$C$2:$C$3001,$U594)&amp;"")</f>
        <v/>
      </c>
      <c r="E594">
        <f>IF($U594="","",INDEX('Per Line'!$D$2:$D$3001,$U594)&amp;"")</f>
        <v/>
      </c>
      <c r="F594">
        <f>IF($U594="","",INDEX('Per Line'!$E$2:$E$3001,$U594))</f>
        <v/>
      </c>
      <c r="G594" s="7">
        <f>IF($U594="","",F594*S594/100)</f>
        <v/>
      </c>
      <c r="H594">
        <f>IF($U594="","",INDEX('Per Line'!$O$2:$O$3001,$U594)&amp;"")</f>
        <v/>
      </c>
      <c r="I594" s="11">
        <f>IF($U594="","",INDEX('Per Line'!$Q$2:$Q$3001,$U594))</f>
        <v/>
      </c>
      <c r="J594">
        <f>IF($U594="","",INDEX('Per Line'!$R$2:$R$3001,$U594)&amp;"")</f>
        <v/>
      </c>
      <c r="K594">
        <f>IF($U594="","",Settings!$C$7)</f>
        <v/>
      </c>
      <c r="L594" s="7">
        <f>IF($U594="","",SUMIFS('Per Line'!$N$2:$N$3001,'Per Line'!$A$2:$A$3001,$A594,'Per Line'!$W$2:$W$3001,0))</f>
        <v/>
      </c>
      <c r="M594" s="7">
        <f>IF($U594="","",L594*K594)</f>
        <v/>
      </c>
      <c r="N594">
        <f>IF($U594="","",Settings!$C$6)</f>
        <v/>
      </c>
      <c r="O594" s="7">
        <f>IF($U594="","",SUMIFS('Per Line'!$N$2:$N$3001,'Per Line'!$A$2:$A$3001,$A594,'Per Line'!$W$2:$W$3001,1))</f>
        <v/>
      </c>
      <c r="P594" s="7">
        <f>IF($U594="","",O594*N594)</f>
        <v/>
      </c>
      <c r="Q594" s="7">
        <f>IF($U594="","",P594+M594)</f>
        <v/>
      </c>
      <c r="R594" s="7">
        <f>IF($U594="","",S594-Q594)</f>
        <v/>
      </c>
      <c r="S594" s="7">
        <f>IF($U594="","",L594+O594)</f>
        <v/>
      </c>
      <c r="T594" s="7">
        <f>IF($U594="","",S594-Q594-G594)</f>
        <v/>
      </c>
      <c r="U594" s="13">
        <f>IF(ROWS($U$2:$U594)&lt;=MAX('Per Line'!$V$2:$V$3001),MATCH(ROWS($U$2:$U594),'Per Line'!$V$2:$V$3001,0),"")</f>
        <v/>
      </c>
    </row>
    <row r="595">
      <c r="A595">
        <f>IF($U595="","",INDEX('Per Line'!$A$2:$A$3001,$U595)&amp;"")</f>
        <v/>
      </c>
      <c r="B595" s="12" t="n"/>
      <c r="C595">
        <f>IF($U595="","",INDEX('Per Line'!$B$2:$B$3001,$U595)&amp;"")</f>
        <v/>
      </c>
      <c r="D595">
        <f>IF($U595="","",INDEX('Per Line'!$C$2:$C$3001,$U595)&amp;"")</f>
        <v/>
      </c>
      <c r="E595">
        <f>IF($U595="","",INDEX('Per Line'!$D$2:$D$3001,$U595)&amp;"")</f>
        <v/>
      </c>
      <c r="F595">
        <f>IF($U595="","",INDEX('Per Line'!$E$2:$E$3001,$U595))</f>
        <v/>
      </c>
      <c r="G595" s="7">
        <f>IF($U595="","",F595*S595/100)</f>
        <v/>
      </c>
      <c r="H595">
        <f>IF($U595="","",INDEX('Per Line'!$O$2:$O$3001,$U595)&amp;"")</f>
        <v/>
      </c>
      <c r="I595" s="11">
        <f>IF($U595="","",INDEX('Per Line'!$Q$2:$Q$3001,$U595))</f>
        <v/>
      </c>
      <c r="J595">
        <f>IF($U595="","",INDEX('Per Line'!$R$2:$R$3001,$U595)&amp;"")</f>
        <v/>
      </c>
      <c r="K595">
        <f>IF($U595="","",Settings!$C$7)</f>
        <v/>
      </c>
      <c r="L595" s="7">
        <f>IF($U595="","",SUMIFS('Per Line'!$N$2:$N$3001,'Per Line'!$A$2:$A$3001,$A595,'Per Line'!$W$2:$W$3001,0))</f>
        <v/>
      </c>
      <c r="M595" s="7">
        <f>IF($U595="","",L595*K595)</f>
        <v/>
      </c>
      <c r="N595">
        <f>IF($U595="","",Settings!$C$6)</f>
        <v/>
      </c>
      <c r="O595" s="7">
        <f>IF($U595="","",SUMIFS('Per Line'!$N$2:$N$3001,'Per Line'!$A$2:$A$3001,$A595,'Per Line'!$W$2:$W$3001,1))</f>
        <v/>
      </c>
      <c r="P595" s="7">
        <f>IF($U595="","",O595*N595)</f>
        <v/>
      </c>
      <c r="Q595" s="7">
        <f>IF($U595="","",P595+M595)</f>
        <v/>
      </c>
      <c r="R595" s="7">
        <f>IF($U595="","",S595-Q595)</f>
        <v/>
      </c>
      <c r="S595" s="7">
        <f>IF($U595="","",L595+O595)</f>
        <v/>
      </c>
      <c r="T595" s="7">
        <f>IF($U595="","",S595-Q595-G595)</f>
        <v/>
      </c>
      <c r="U595" s="13">
        <f>IF(ROWS($U$2:$U595)&lt;=MAX('Per Line'!$V$2:$V$3001),MATCH(ROWS($U$2:$U595),'Per Line'!$V$2:$V$3001,0),"")</f>
        <v/>
      </c>
    </row>
    <row r="596">
      <c r="A596">
        <f>IF($U596="","",INDEX('Per Line'!$A$2:$A$3001,$U596)&amp;"")</f>
        <v/>
      </c>
      <c r="B596" s="12" t="n"/>
      <c r="C596">
        <f>IF($U596="","",INDEX('Per Line'!$B$2:$B$3001,$U596)&amp;"")</f>
        <v/>
      </c>
      <c r="D596">
        <f>IF($U596="","",INDEX('Per Line'!$C$2:$C$3001,$U596)&amp;"")</f>
        <v/>
      </c>
      <c r="E596">
        <f>IF($U596="","",INDEX('Per Line'!$D$2:$D$3001,$U596)&amp;"")</f>
        <v/>
      </c>
      <c r="F596">
        <f>IF($U596="","",INDEX('Per Line'!$E$2:$E$3001,$U596))</f>
        <v/>
      </c>
      <c r="G596" s="7">
        <f>IF($U596="","",F596*S596/100)</f>
        <v/>
      </c>
      <c r="H596">
        <f>IF($U596="","",INDEX('Per Line'!$O$2:$O$3001,$U596)&amp;"")</f>
        <v/>
      </c>
      <c r="I596" s="11">
        <f>IF($U596="","",INDEX('Per Line'!$Q$2:$Q$3001,$U596))</f>
        <v/>
      </c>
      <c r="J596">
        <f>IF($U596="","",INDEX('Per Line'!$R$2:$R$3001,$U596)&amp;"")</f>
        <v/>
      </c>
      <c r="K596">
        <f>IF($U596="","",Settings!$C$7)</f>
        <v/>
      </c>
      <c r="L596" s="7">
        <f>IF($U596="","",SUMIFS('Per Line'!$N$2:$N$3001,'Per Line'!$A$2:$A$3001,$A596,'Per Line'!$W$2:$W$3001,0))</f>
        <v/>
      </c>
      <c r="M596" s="7">
        <f>IF($U596="","",L596*K596)</f>
        <v/>
      </c>
      <c r="N596">
        <f>IF($U596="","",Settings!$C$6)</f>
        <v/>
      </c>
      <c r="O596" s="7">
        <f>IF($U596="","",SUMIFS('Per Line'!$N$2:$N$3001,'Per Line'!$A$2:$A$3001,$A596,'Per Line'!$W$2:$W$3001,1))</f>
        <v/>
      </c>
      <c r="P596" s="7">
        <f>IF($U596="","",O596*N596)</f>
        <v/>
      </c>
      <c r="Q596" s="7">
        <f>IF($U596="","",P596+M596)</f>
        <v/>
      </c>
      <c r="R596" s="7">
        <f>IF($U596="","",S596-Q596)</f>
        <v/>
      </c>
      <c r="S596" s="7">
        <f>IF($U596="","",L596+O596)</f>
        <v/>
      </c>
      <c r="T596" s="7">
        <f>IF($U596="","",S596-Q596-G596)</f>
        <v/>
      </c>
      <c r="U596" s="13">
        <f>IF(ROWS($U$2:$U596)&lt;=MAX('Per Line'!$V$2:$V$3001),MATCH(ROWS($U$2:$U596),'Per Line'!$V$2:$V$3001,0),"")</f>
        <v/>
      </c>
    </row>
    <row r="597">
      <c r="A597">
        <f>IF($U597="","",INDEX('Per Line'!$A$2:$A$3001,$U597)&amp;"")</f>
        <v/>
      </c>
      <c r="B597" s="12" t="n"/>
      <c r="C597">
        <f>IF($U597="","",INDEX('Per Line'!$B$2:$B$3001,$U597)&amp;"")</f>
        <v/>
      </c>
      <c r="D597">
        <f>IF($U597="","",INDEX('Per Line'!$C$2:$C$3001,$U597)&amp;"")</f>
        <v/>
      </c>
      <c r="E597">
        <f>IF($U597="","",INDEX('Per Line'!$D$2:$D$3001,$U597)&amp;"")</f>
        <v/>
      </c>
      <c r="F597">
        <f>IF($U597="","",INDEX('Per Line'!$E$2:$E$3001,$U597))</f>
        <v/>
      </c>
      <c r="G597" s="7">
        <f>IF($U597="","",F597*S597/100)</f>
        <v/>
      </c>
      <c r="H597">
        <f>IF($U597="","",INDEX('Per Line'!$O$2:$O$3001,$U597)&amp;"")</f>
        <v/>
      </c>
      <c r="I597" s="11">
        <f>IF($U597="","",INDEX('Per Line'!$Q$2:$Q$3001,$U597))</f>
        <v/>
      </c>
      <c r="J597">
        <f>IF($U597="","",INDEX('Per Line'!$R$2:$R$3001,$U597)&amp;"")</f>
        <v/>
      </c>
      <c r="K597">
        <f>IF($U597="","",Settings!$C$7)</f>
        <v/>
      </c>
      <c r="L597" s="7">
        <f>IF($U597="","",SUMIFS('Per Line'!$N$2:$N$3001,'Per Line'!$A$2:$A$3001,$A597,'Per Line'!$W$2:$W$3001,0))</f>
        <v/>
      </c>
      <c r="M597" s="7">
        <f>IF($U597="","",L597*K597)</f>
        <v/>
      </c>
      <c r="N597">
        <f>IF($U597="","",Settings!$C$6)</f>
        <v/>
      </c>
      <c r="O597" s="7">
        <f>IF($U597="","",SUMIFS('Per Line'!$N$2:$N$3001,'Per Line'!$A$2:$A$3001,$A597,'Per Line'!$W$2:$W$3001,1))</f>
        <v/>
      </c>
      <c r="P597" s="7">
        <f>IF($U597="","",O597*N597)</f>
        <v/>
      </c>
      <c r="Q597" s="7">
        <f>IF($U597="","",P597+M597)</f>
        <v/>
      </c>
      <c r="R597" s="7">
        <f>IF($U597="","",S597-Q597)</f>
        <v/>
      </c>
      <c r="S597" s="7">
        <f>IF($U597="","",L597+O597)</f>
        <v/>
      </c>
      <c r="T597" s="7">
        <f>IF($U597="","",S597-Q597-G597)</f>
        <v/>
      </c>
      <c r="U597" s="13">
        <f>IF(ROWS($U$2:$U597)&lt;=MAX('Per Line'!$V$2:$V$3001),MATCH(ROWS($U$2:$U597),'Per Line'!$V$2:$V$3001,0),"")</f>
        <v/>
      </c>
    </row>
    <row r="598">
      <c r="A598">
        <f>IF($U598="","",INDEX('Per Line'!$A$2:$A$3001,$U598)&amp;"")</f>
        <v/>
      </c>
      <c r="B598" s="12" t="n"/>
      <c r="C598">
        <f>IF($U598="","",INDEX('Per Line'!$B$2:$B$3001,$U598)&amp;"")</f>
        <v/>
      </c>
      <c r="D598">
        <f>IF($U598="","",INDEX('Per Line'!$C$2:$C$3001,$U598)&amp;"")</f>
        <v/>
      </c>
      <c r="E598">
        <f>IF($U598="","",INDEX('Per Line'!$D$2:$D$3001,$U598)&amp;"")</f>
        <v/>
      </c>
      <c r="F598">
        <f>IF($U598="","",INDEX('Per Line'!$E$2:$E$3001,$U598))</f>
        <v/>
      </c>
      <c r="G598" s="7">
        <f>IF($U598="","",F598*S598/100)</f>
        <v/>
      </c>
      <c r="H598">
        <f>IF($U598="","",INDEX('Per Line'!$O$2:$O$3001,$U598)&amp;"")</f>
        <v/>
      </c>
      <c r="I598" s="11">
        <f>IF($U598="","",INDEX('Per Line'!$Q$2:$Q$3001,$U598))</f>
        <v/>
      </c>
      <c r="J598">
        <f>IF($U598="","",INDEX('Per Line'!$R$2:$R$3001,$U598)&amp;"")</f>
        <v/>
      </c>
      <c r="K598">
        <f>IF($U598="","",Settings!$C$7)</f>
        <v/>
      </c>
      <c r="L598" s="7">
        <f>IF($U598="","",SUMIFS('Per Line'!$N$2:$N$3001,'Per Line'!$A$2:$A$3001,$A598,'Per Line'!$W$2:$W$3001,0))</f>
        <v/>
      </c>
      <c r="M598" s="7">
        <f>IF($U598="","",L598*K598)</f>
        <v/>
      </c>
      <c r="N598">
        <f>IF($U598="","",Settings!$C$6)</f>
        <v/>
      </c>
      <c r="O598" s="7">
        <f>IF($U598="","",SUMIFS('Per Line'!$N$2:$N$3001,'Per Line'!$A$2:$A$3001,$A598,'Per Line'!$W$2:$W$3001,1))</f>
        <v/>
      </c>
      <c r="P598" s="7">
        <f>IF($U598="","",O598*N598)</f>
        <v/>
      </c>
      <c r="Q598" s="7">
        <f>IF($U598="","",P598+M598)</f>
        <v/>
      </c>
      <c r="R598" s="7">
        <f>IF($U598="","",S598-Q598)</f>
        <v/>
      </c>
      <c r="S598" s="7">
        <f>IF($U598="","",L598+O598)</f>
        <v/>
      </c>
      <c r="T598" s="7">
        <f>IF($U598="","",S598-Q598-G598)</f>
        <v/>
      </c>
      <c r="U598" s="13">
        <f>IF(ROWS($U$2:$U598)&lt;=MAX('Per Line'!$V$2:$V$3001),MATCH(ROWS($U$2:$U598),'Per Line'!$V$2:$V$3001,0),"")</f>
        <v/>
      </c>
    </row>
    <row r="599">
      <c r="A599">
        <f>IF($U599="","",INDEX('Per Line'!$A$2:$A$3001,$U599)&amp;"")</f>
        <v/>
      </c>
      <c r="B599" s="12" t="n"/>
      <c r="C599">
        <f>IF($U599="","",INDEX('Per Line'!$B$2:$B$3001,$U599)&amp;"")</f>
        <v/>
      </c>
      <c r="D599">
        <f>IF($U599="","",INDEX('Per Line'!$C$2:$C$3001,$U599)&amp;"")</f>
        <v/>
      </c>
      <c r="E599">
        <f>IF($U599="","",INDEX('Per Line'!$D$2:$D$3001,$U599)&amp;"")</f>
        <v/>
      </c>
      <c r="F599">
        <f>IF($U599="","",INDEX('Per Line'!$E$2:$E$3001,$U599))</f>
        <v/>
      </c>
      <c r="G599" s="7">
        <f>IF($U599="","",F599*S599/100)</f>
        <v/>
      </c>
      <c r="H599">
        <f>IF($U599="","",INDEX('Per Line'!$O$2:$O$3001,$U599)&amp;"")</f>
        <v/>
      </c>
      <c r="I599" s="11">
        <f>IF($U599="","",INDEX('Per Line'!$Q$2:$Q$3001,$U599))</f>
        <v/>
      </c>
      <c r="J599">
        <f>IF($U599="","",INDEX('Per Line'!$R$2:$R$3001,$U599)&amp;"")</f>
        <v/>
      </c>
      <c r="K599">
        <f>IF($U599="","",Settings!$C$7)</f>
        <v/>
      </c>
      <c r="L599" s="7">
        <f>IF($U599="","",SUMIFS('Per Line'!$N$2:$N$3001,'Per Line'!$A$2:$A$3001,$A599,'Per Line'!$W$2:$W$3001,0))</f>
        <v/>
      </c>
      <c r="M599" s="7">
        <f>IF($U599="","",L599*K599)</f>
        <v/>
      </c>
      <c r="N599">
        <f>IF($U599="","",Settings!$C$6)</f>
        <v/>
      </c>
      <c r="O599" s="7">
        <f>IF($U599="","",SUMIFS('Per Line'!$N$2:$N$3001,'Per Line'!$A$2:$A$3001,$A599,'Per Line'!$W$2:$W$3001,1))</f>
        <v/>
      </c>
      <c r="P599" s="7">
        <f>IF($U599="","",O599*N599)</f>
        <v/>
      </c>
      <c r="Q599" s="7">
        <f>IF($U599="","",P599+M599)</f>
        <v/>
      </c>
      <c r="R599" s="7">
        <f>IF($U599="","",S599-Q599)</f>
        <v/>
      </c>
      <c r="S599" s="7">
        <f>IF($U599="","",L599+O599)</f>
        <v/>
      </c>
      <c r="T599" s="7">
        <f>IF($U599="","",S599-Q599-G599)</f>
        <v/>
      </c>
      <c r="U599" s="13">
        <f>IF(ROWS($U$2:$U599)&lt;=MAX('Per Line'!$V$2:$V$3001),MATCH(ROWS($U$2:$U599),'Per Line'!$V$2:$V$3001,0),"")</f>
        <v/>
      </c>
    </row>
    <row r="600">
      <c r="A600">
        <f>IF($U600="","",INDEX('Per Line'!$A$2:$A$3001,$U600)&amp;"")</f>
        <v/>
      </c>
      <c r="B600" s="12" t="n"/>
      <c r="C600">
        <f>IF($U600="","",INDEX('Per Line'!$B$2:$B$3001,$U600)&amp;"")</f>
        <v/>
      </c>
      <c r="D600">
        <f>IF($U600="","",INDEX('Per Line'!$C$2:$C$3001,$U600)&amp;"")</f>
        <v/>
      </c>
      <c r="E600">
        <f>IF($U600="","",INDEX('Per Line'!$D$2:$D$3001,$U600)&amp;"")</f>
        <v/>
      </c>
      <c r="F600">
        <f>IF($U600="","",INDEX('Per Line'!$E$2:$E$3001,$U600))</f>
        <v/>
      </c>
      <c r="G600" s="7">
        <f>IF($U600="","",F600*S600/100)</f>
        <v/>
      </c>
      <c r="H600">
        <f>IF($U600="","",INDEX('Per Line'!$O$2:$O$3001,$U600)&amp;"")</f>
        <v/>
      </c>
      <c r="I600" s="11">
        <f>IF($U600="","",INDEX('Per Line'!$Q$2:$Q$3001,$U600))</f>
        <v/>
      </c>
      <c r="J600">
        <f>IF($U600="","",INDEX('Per Line'!$R$2:$R$3001,$U600)&amp;"")</f>
        <v/>
      </c>
      <c r="K600">
        <f>IF($U600="","",Settings!$C$7)</f>
        <v/>
      </c>
      <c r="L600" s="7">
        <f>IF($U600="","",SUMIFS('Per Line'!$N$2:$N$3001,'Per Line'!$A$2:$A$3001,$A600,'Per Line'!$W$2:$W$3001,0))</f>
        <v/>
      </c>
      <c r="M600" s="7">
        <f>IF($U600="","",L600*K600)</f>
        <v/>
      </c>
      <c r="N600">
        <f>IF($U600="","",Settings!$C$6)</f>
        <v/>
      </c>
      <c r="O600" s="7">
        <f>IF($U600="","",SUMIFS('Per Line'!$N$2:$N$3001,'Per Line'!$A$2:$A$3001,$A600,'Per Line'!$W$2:$W$3001,1))</f>
        <v/>
      </c>
      <c r="P600" s="7">
        <f>IF($U600="","",O600*N600)</f>
        <v/>
      </c>
      <c r="Q600" s="7">
        <f>IF($U600="","",P600+M600)</f>
        <v/>
      </c>
      <c r="R600" s="7">
        <f>IF($U600="","",S600-Q600)</f>
        <v/>
      </c>
      <c r="S600" s="7">
        <f>IF($U600="","",L600+O600)</f>
        <v/>
      </c>
      <c r="T600" s="7">
        <f>IF($U600="","",S600-Q600-G600)</f>
        <v/>
      </c>
      <c r="U600" s="13">
        <f>IF(ROWS($U$2:$U600)&lt;=MAX('Per Line'!$V$2:$V$3001),MATCH(ROWS($U$2:$U600),'Per Line'!$V$2:$V$3001,0),"")</f>
        <v/>
      </c>
    </row>
    <row r="601">
      <c r="A601">
        <f>IF($U601="","",INDEX('Per Line'!$A$2:$A$3001,$U601)&amp;"")</f>
        <v/>
      </c>
      <c r="B601" s="12" t="n"/>
      <c r="C601">
        <f>IF($U601="","",INDEX('Per Line'!$B$2:$B$3001,$U601)&amp;"")</f>
        <v/>
      </c>
      <c r="D601">
        <f>IF($U601="","",INDEX('Per Line'!$C$2:$C$3001,$U601)&amp;"")</f>
        <v/>
      </c>
      <c r="E601">
        <f>IF($U601="","",INDEX('Per Line'!$D$2:$D$3001,$U601)&amp;"")</f>
        <v/>
      </c>
      <c r="F601">
        <f>IF($U601="","",INDEX('Per Line'!$E$2:$E$3001,$U601))</f>
        <v/>
      </c>
      <c r="G601" s="7">
        <f>IF($U601="","",F601*S601/100)</f>
        <v/>
      </c>
      <c r="H601">
        <f>IF($U601="","",INDEX('Per Line'!$O$2:$O$3001,$U601)&amp;"")</f>
        <v/>
      </c>
      <c r="I601" s="11">
        <f>IF($U601="","",INDEX('Per Line'!$Q$2:$Q$3001,$U601))</f>
        <v/>
      </c>
      <c r="J601">
        <f>IF($U601="","",INDEX('Per Line'!$R$2:$R$3001,$U601)&amp;"")</f>
        <v/>
      </c>
      <c r="K601">
        <f>IF($U601="","",Settings!$C$7)</f>
        <v/>
      </c>
      <c r="L601" s="7">
        <f>IF($U601="","",SUMIFS('Per Line'!$N$2:$N$3001,'Per Line'!$A$2:$A$3001,$A601,'Per Line'!$W$2:$W$3001,0))</f>
        <v/>
      </c>
      <c r="M601" s="7">
        <f>IF($U601="","",L601*K601)</f>
        <v/>
      </c>
      <c r="N601">
        <f>IF($U601="","",Settings!$C$6)</f>
        <v/>
      </c>
      <c r="O601" s="7">
        <f>IF($U601="","",SUMIFS('Per Line'!$N$2:$N$3001,'Per Line'!$A$2:$A$3001,$A601,'Per Line'!$W$2:$W$3001,1))</f>
        <v/>
      </c>
      <c r="P601" s="7">
        <f>IF($U601="","",O601*N601)</f>
        <v/>
      </c>
      <c r="Q601" s="7">
        <f>IF($U601="","",P601+M601)</f>
        <v/>
      </c>
      <c r="R601" s="7">
        <f>IF($U601="","",S601-Q601)</f>
        <v/>
      </c>
      <c r="S601" s="7">
        <f>IF($U601="","",L601+O601)</f>
        <v/>
      </c>
      <c r="T601" s="7">
        <f>IF($U601="","",S601-Q601-G601)</f>
        <v/>
      </c>
      <c r="U601" s="13">
        <f>IF(ROWS($U$2:$U601)&lt;=MAX('Per Line'!$V$2:$V$3001),MATCH(ROWS($U$2:$U601),'Per Line'!$V$2:$V$3001,0),"")</f>
        <v/>
      </c>
    </row>
    <row r="602">
      <c r="A602">
        <f>IF($U602="","",INDEX('Per Line'!$A$2:$A$3001,$U602)&amp;"")</f>
        <v/>
      </c>
      <c r="B602" s="12" t="n"/>
      <c r="C602">
        <f>IF($U602="","",INDEX('Per Line'!$B$2:$B$3001,$U602)&amp;"")</f>
        <v/>
      </c>
      <c r="D602">
        <f>IF($U602="","",INDEX('Per Line'!$C$2:$C$3001,$U602)&amp;"")</f>
        <v/>
      </c>
      <c r="E602">
        <f>IF($U602="","",INDEX('Per Line'!$D$2:$D$3001,$U602)&amp;"")</f>
        <v/>
      </c>
      <c r="F602">
        <f>IF($U602="","",INDEX('Per Line'!$E$2:$E$3001,$U602))</f>
        <v/>
      </c>
      <c r="G602" s="7">
        <f>IF($U602="","",F602*S602/100)</f>
        <v/>
      </c>
      <c r="H602">
        <f>IF($U602="","",INDEX('Per Line'!$O$2:$O$3001,$U602)&amp;"")</f>
        <v/>
      </c>
      <c r="I602" s="11">
        <f>IF($U602="","",INDEX('Per Line'!$Q$2:$Q$3001,$U602))</f>
        <v/>
      </c>
      <c r="J602">
        <f>IF($U602="","",INDEX('Per Line'!$R$2:$R$3001,$U602)&amp;"")</f>
        <v/>
      </c>
      <c r="K602">
        <f>IF($U602="","",Settings!$C$7)</f>
        <v/>
      </c>
      <c r="L602" s="7">
        <f>IF($U602="","",SUMIFS('Per Line'!$N$2:$N$3001,'Per Line'!$A$2:$A$3001,$A602,'Per Line'!$W$2:$W$3001,0))</f>
        <v/>
      </c>
      <c r="M602" s="7">
        <f>IF($U602="","",L602*K602)</f>
        <v/>
      </c>
      <c r="N602">
        <f>IF($U602="","",Settings!$C$6)</f>
        <v/>
      </c>
      <c r="O602" s="7">
        <f>IF($U602="","",SUMIFS('Per Line'!$N$2:$N$3001,'Per Line'!$A$2:$A$3001,$A602,'Per Line'!$W$2:$W$3001,1))</f>
        <v/>
      </c>
      <c r="P602" s="7">
        <f>IF($U602="","",O602*N602)</f>
        <v/>
      </c>
      <c r="Q602" s="7">
        <f>IF($U602="","",P602+M602)</f>
        <v/>
      </c>
      <c r="R602" s="7">
        <f>IF($U602="","",S602-Q602)</f>
        <v/>
      </c>
      <c r="S602" s="7">
        <f>IF($U602="","",L602+O602)</f>
        <v/>
      </c>
      <c r="T602" s="7">
        <f>IF($U602="","",S602-Q602-G602)</f>
        <v/>
      </c>
      <c r="U602" s="13">
        <f>IF(ROWS($U$2:$U602)&lt;=MAX('Per Line'!$V$2:$V$3001),MATCH(ROWS($U$2:$U602),'Per Line'!$V$2:$V$3001,0),"")</f>
        <v/>
      </c>
    </row>
    <row r="603">
      <c r="A603">
        <f>IF($U603="","",INDEX('Per Line'!$A$2:$A$3001,$U603)&amp;"")</f>
        <v/>
      </c>
      <c r="B603" s="12" t="n"/>
      <c r="C603">
        <f>IF($U603="","",INDEX('Per Line'!$B$2:$B$3001,$U603)&amp;"")</f>
        <v/>
      </c>
      <c r="D603">
        <f>IF($U603="","",INDEX('Per Line'!$C$2:$C$3001,$U603)&amp;"")</f>
        <v/>
      </c>
      <c r="E603">
        <f>IF($U603="","",INDEX('Per Line'!$D$2:$D$3001,$U603)&amp;"")</f>
        <v/>
      </c>
      <c r="F603">
        <f>IF($U603="","",INDEX('Per Line'!$E$2:$E$3001,$U603))</f>
        <v/>
      </c>
      <c r="G603" s="7">
        <f>IF($U603="","",F603*S603/100)</f>
        <v/>
      </c>
      <c r="H603">
        <f>IF($U603="","",INDEX('Per Line'!$O$2:$O$3001,$U603)&amp;"")</f>
        <v/>
      </c>
      <c r="I603" s="11">
        <f>IF($U603="","",INDEX('Per Line'!$Q$2:$Q$3001,$U603))</f>
        <v/>
      </c>
      <c r="J603">
        <f>IF($U603="","",INDEX('Per Line'!$R$2:$R$3001,$U603)&amp;"")</f>
        <v/>
      </c>
      <c r="K603">
        <f>IF($U603="","",Settings!$C$7)</f>
        <v/>
      </c>
      <c r="L603" s="7">
        <f>IF($U603="","",SUMIFS('Per Line'!$N$2:$N$3001,'Per Line'!$A$2:$A$3001,$A603,'Per Line'!$W$2:$W$3001,0))</f>
        <v/>
      </c>
      <c r="M603" s="7">
        <f>IF($U603="","",L603*K603)</f>
        <v/>
      </c>
      <c r="N603">
        <f>IF($U603="","",Settings!$C$6)</f>
        <v/>
      </c>
      <c r="O603" s="7">
        <f>IF($U603="","",SUMIFS('Per Line'!$N$2:$N$3001,'Per Line'!$A$2:$A$3001,$A603,'Per Line'!$W$2:$W$3001,1))</f>
        <v/>
      </c>
      <c r="P603" s="7">
        <f>IF($U603="","",O603*N603)</f>
        <v/>
      </c>
      <c r="Q603" s="7">
        <f>IF($U603="","",P603+M603)</f>
        <v/>
      </c>
      <c r="R603" s="7">
        <f>IF($U603="","",S603-Q603)</f>
        <v/>
      </c>
      <c r="S603" s="7">
        <f>IF($U603="","",L603+O603)</f>
        <v/>
      </c>
      <c r="T603" s="7">
        <f>IF($U603="","",S603-Q603-G603)</f>
        <v/>
      </c>
      <c r="U603" s="13">
        <f>IF(ROWS($U$2:$U603)&lt;=MAX('Per Line'!$V$2:$V$3001),MATCH(ROWS($U$2:$U603),'Per Line'!$V$2:$V$3001,0),"")</f>
        <v/>
      </c>
    </row>
    <row r="604">
      <c r="A604">
        <f>IF($U604="","",INDEX('Per Line'!$A$2:$A$3001,$U604)&amp;"")</f>
        <v/>
      </c>
      <c r="B604" s="12" t="n"/>
      <c r="C604">
        <f>IF($U604="","",INDEX('Per Line'!$B$2:$B$3001,$U604)&amp;"")</f>
        <v/>
      </c>
      <c r="D604">
        <f>IF($U604="","",INDEX('Per Line'!$C$2:$C$3001,$U604)&amp;"")</f>
        <v/>
      </c>
      <c r="E604">
        <f>IF($U604="","",INDEX('Per Line'!$D$2:$D$3001,$U604)&amp;"")</f>
        <v/>
      </c>
      <c r="F604">
        <f>IF($U604="","",INDEX('Per Line'!$E$2:$E$3001,$U604))</f>
        <v/>
      </c>
      <c r="G604" s="7">
        <f>IF($U604="","",F604*S604/100)</f>
        <v/>
      </c>
      <c r="H604">
        <f>IF($U604="","",INDEX('Per Line'!$O$2:$O$3001,$U604)&amp;"")</f>
        <v/>
      </c>
      <c r="I604" s="11">
        <f>IF($U604="","",INDEX('Per Line'!$Q$2:$Q$3001,$U604))</f>
        <v/>
      </c>
      <c r="J604">
        <f>IF($U604="","",INDEX('Per Line'!$R$2:$R$3001,$U604)&amp;"")</f>
        <v/>
      </c>
      <c r="K604">
        <f>IF($U604="","",Settings!$C$7)</f>
        <v/>
      </c>
      <c r="L604" s="7">
        <f>IF($U604="","",SUMIFS('Per Line'!$N$2:$N$3001,'Per Line'!$A$2:$A$3001,$A604,'Per Line'!$W$2:$W$3001,0))</f>
        <v/>
      </c>
      <c r="M604" s="7">
        <f>IF($U604="","",L604*K604)</f>
        <v/>
      </c>
      <c r="N604">
        <f>IF($U604="","",Settings!$C$6)</f>
        <v/>
      </c>
      <c r="O604" s="7">
        <f>IF($U604="","",SUMIFS('Per Line'!$N$2:$N$3001,'Per Line'!$A$2:$A$3001,$A604,'Per Line'!$W$2:$W$3001,1))</f>
        <v/>
      </c>
      <c r="P604" s="7">
        <f>IF($U604="","",O604*N604)</f>
        <v/>
      </c>
      <c r="Q604" s="7">
        <f>IF($U604="","",P604+M604)</f>
        <v/>
      </c>
      <c r="R604" s="7">
        <f>IF($U604="","",S604-Q604)</f>
        <v/>
      </c>
      <c r="S604" s="7">
        <f>IF($U604="","",L604+O604)</f>
        <v/>
      </c>
      <c r="T604" s="7">
        <f>IF($U604="","",S604-Q604-G604)</f>
        <v/>
      </c>
      <c r="U604" s="13">
        <f>IF(ROWS($U$2:$U604)&lt;=MAX('Per Line'!$V$2:$V$3001),MATCH(ROWS($U$2:$U604),'Per Line'!$V$2:$V$3001,0),"")</f>
        <v/>
      </c>
    </row>
    <row r="605">
      <c r="A605">
        <f>IF($U605="","",INDEX('Per Line'!$A$2:$A$3001,$U605)&amp;"")</f>
        <v/>
      </c>
      <c r="B605" s="12" t="n"/>
      <c r="C605">
        <f>IF($U605="","",INDEX('Per Line'!$B$2:$B$3001,$U605)&amp;"")</f>
        <v/>
      </c>
      <c r="D605">
        <f>IF($U605="","",INDEX('Per Line'!$C$2:$C$3001,$U605)&amp;"")</f>
        <v/>
      </c>
      <c r="E605">
        <f>IF($U605="","",INDEX('Per Line'!$D$2:$D$3001,$U605)&amp;"")</f>
        <v/>
      </c>
      <c r="F605">
        <f>IF($U605="","",INDEX('Per Line'!$E$2:$E$3001,$U605))</f>
        <v/>
      </c>
      <c r="G605" s="7">
        <f>IF($U605="","",F605*S605/100)</f>
        <v/>
      </c>
      <c r="H605">
        <f>IF($U605="","",INDEX('Per Line'!$O$2:$O$3001,$U605)&amp;"")</f>
        <v/>
      </c>
      <c r="I605" s="11">
        <f>IF($U605="","",INDEX('Per Line'!$Q$2:$Q$3001,$U605))</f>
        <v/>
      </c>
      <c r="J605">
        <f>IF($U605="","",INDEX('Per Line'!$R$2:$R$3001,$U605)&amp;"")</f>
        <v/>
      </c>
      <c r="K605">
        <f>IF($U605="","",Settings!$C$7)</f>
        <v/>
      </c>
      <c r="L605" s="7">
        <f>IF($U605="","",SUMIFS('Per Line'!$N$2:$N$3001,'Per Line'!$A$2:$A$3001,$A605,'Per Line'!$W$2:$W$3001,0))</f>
        <v/>
      </c>
      <c r="M605" s="7">
        <f>IF($U605="","",L605*K605)</f>
        <v/>
      </c>
      <c r="N605">
        <f>IF($U605="","",Settings!$C$6)</f>
        <v/>
      </c>
      <c r="O605" s="7">
        <f>IF($U605="","",SUMIFS('Per Line'!$N$2:$N$3001,'Per Line'!$A$2:$A$3001,$A605,'Per Line'!$W$2:$W$3001,1))</f>
        <v/>
      </c>
      <c r="P605" s="7">
        <f>IF($U605="","",O605*N605)</f>
        <v/>
      </c>
      <c r="Q605" s="7">
        <f>IF($U605="","",P605+M605)</f>
        <v/>
      </c>
      <c r="R605" s="7">
        <f>IF($U605="","",S605-Q605)</f>
        <v/>
      </c>
      <c r="S605" s="7">
        <f>IF($U605="","",L605+O605)</f>
        <v/>
      </c>
      <c r="T605" s="7">
        <f>IF($U605="","",S605-Q605-G605)</f>
        <v/>
      </c>
      <c r="U605" s="13">
        <f>IF(ROWS($U$2:$U605)&lt;=MAX('Per Line'!$V$2:$V$3001),MATCH(ROWS($U$2:$U605),'Per Line'!$V$2:$V$3001,0),"")</f>
        <v/>
      </c>
    </row>
    <row r="606">
      <c r="A606">
        <f>IF($U606="","",INDEX('Per Line'!$A$2:$A$3001,$U606)&amp;"")</f>
        <v/>
      </c>
      <c r="B606" s="12" t="n"/>
      <c r="C606">
        <f>IF($U606="","",INDEX('Per Line'!$B$2:$B$3001,$U606)&amp;"")</f>
        <v/>
      </c>
      <c r="D606">
        <f>IF($U606="","",INDEX('Per Line'!$C$2:$C$3001,$U606)&amp;"")</f>
        <v/>
      </c>
      <c r="E606">
        <f>IF($U606="","",INDEX('Per Line'!$D$2:$D$3001,$U606)&amp;"")</f>
        <v/>
      </c>
      <c r="F606">
        <f>IF($U606="","",INDEX('Per Line'!$E$2:$E$3001,$U606))</f>
        <v/>
      </c>
      <c r="G606" s="7">
        <f>IF($U606="","",F606*S606/100)</f>
        <v/>
      </c>
      <c r="H606">
        <f>IF($U606="","",INDEX('Per Line'!$O$2:$O$3001,$U606)&amp;"")</f>
        <v/>
      </c>
      <c r="I606" s="11">
        <f>IF($U606="","",INDEX('Per Line'!$Q$2:$Q$3001,$U606))</f>
        <v/>
      </c>
      <c r="J606">
        <f>IF($U606="","",INDEX('Per Line'!$R$2:$R$3001,$U606)&amp;"")</f>
        <v/>
      </c>
      <c r="K606">
        <f>IF($U606="","",Settings!$C$7)</f>
        <v/>
      </c>
      <c r="L606" s="7">
        <f>IF($U606="","",SUMIFS('Per Line'!$N$2:$N$3001,'Per Line'!$A$2:$A$3001,$A606,'Per Line'!$W$2:$W$3001,0))</f>
        <v/>
      </c>
      <c r="M606" s="7">
        <f>IF($U606="","",L606*K606)</f>
        <v/>
      </c>
      <c r="N606">
        <f>IF($U606="","",Settings!$C$6)</f>
        <v/>
      </c>
      <c r="O606" s="7">
        <f>IF($U606="","",SUMIFS('Per Line'!$N$2:$N$3001,'Per Line'!$A$2:$A$3001,$A606,'Per Line'!$W$2:$W$3001,1))</f>
        <v/>
      </c>
      <c r="P606" s="7">
        <f>IF($U606="","",O606*N606)</f>
        <v/>
      </c>
      <c r="Q606" s="7">
        <f>IF($U606="","",P606+M606)</f>
        <v/>
      </c>
      <c r="R606" s="7">
        <f>IF($U606="","",S606-Q606)</f>
        <v/>
      </c>
      <c r="S606" s="7">
        <f>IF($U606="","",L606+O606)</f>
        <v/>
      </c>
      <c r="T606" s="7">
        <f>IF($U606="","",S606-Q606-G606)</f>
        <v/>
      </c>
      <c r="U606" s="13">
        <f>IF(ROWS($U$2:$U606)&lt;=MAX('Per Line'!$V$2:$V$3001),MATCH(ROWS($U$2:$U606),'Per Line'!$V$2:$V$3001,0),"")</f>
        <v/>
      </c>
    </row>
    <row r="607">
      <c r="A607">
        <f>IF($U607="","",INDEX('Per Line'!$A$2:$A$3001,$U607)&amp;"")</f>
        <v/>
      </c>
      <c r="B607" s="12" t="n"/>
      <c r="C607">
        <f>IF($U607="","",INDEX('Per Line'!$B$2:$B$3001,$U607)&amp;"")</f>
        <v/>
      </c>
      <c r="D607">
        <f>IF($U607="","",INDEX('Per Line'!$C$2:$C$3001,$U607)&amp;"")</f>
        <v/>
      </c>
      <c r="E607">
        <f>IF($U607="","",INDEX('Per Line'!$D$2:$D$3001,$U607)&amp;"")</f>
        <v/>
      </c>
      <c r="F607">
        <f>IF($U607="","",INDEX('Per Line'!$E$2:$E$3001,$U607))</f>
        <v/>
      </c>
      <c r="G607" s="7">
        <f>IF($U607="","",F607*S607/100)</f>
        <v/>
      </c>
      <c r="H607">
        <f>IF($U607="","",INDEX('Per Line'!$O$2:$O$3001,$U607)&amp;"")</f>
        <v/>
      </c>
      <c r="I607" s="11">
        <f>IF($U607="","",INDEX('Per Line'!$Q$2:$Q$3001,$U607))</f>
        <v/>
      </c>
      <c r="J607">
        <f>IF($U607="","",INDEX('Per Line'!$R$2:$R$3001,$U607)&amp;"")</f>
        <v/>
      </c>
      <c r="K607">
        <f>IF($U607="","",Settings!$C$7)</f>
        <v/>
      </c>
      <c r="L607" s="7">
        <f>IF($U607="","",SUMIFS('Per Line'!$N$2:$N$3001,'Per Line'!$A$2:$A$3001,$A607,'Per Line'!$W$2:$W$3001,0))</f>
        <v/>
      </c>
      <c r="M607" s="7">
        <f>IF($U607="","",L607*K607)</f>
        <v/>
      </c>
      <c r="N607">
        <f>IF($U607="","",Settings!$C$6)</f>
        <v/>
      </c>
      <c r="O607" s="7">
        <f>IF($U607="","",SUMIFS('Per Line'!$N$2:$N$3001,'Per Line'!$A$2:$A$3001,$A607,'Per Line'!$W$2:$W$3001,1))</f>
        <v/>
      </c>
      <c r="P607" s="7">
        <f>IF($U607="","",O607*N607)</f>
        <v/>
      </c>
      <c r="Q607" s="7">
        <f>IF($U607="","",P607+M607)</f>
        <v/>
      </c>
      <c r="R607" s="7">
        <f>IF($U607="","",S607-Q607)</f>
        <v/>
      </c>
      <c r="S607" s="7">
        <f>IF($U607="","",L607+O607)</f>
        <v/>
      </c>
      <c r="T607" s="7">
        <f>IF($U607="","",S607-Q607-G607)</f>
        <v/>
      </c>
      <c r="U607" s="13">
        <f>IF(ROWS($U$2:$U607)&lt;=MAX('Per Line'!$V$2:$V$3001),MATCH(ROWS($U$2:$U607),'Per Line'!$V$2:$V$3001,0),"")</f>
        <v/>
      </c>
    </row>
    <row r="608">
      <c r="A608">
        <f>IF($U608="","",INDEX('Per Line'!$A$2:$A$3001,$U608)&amp;"")</f>
        <v/>
      </c>
      <c r="B608" s="12" t="n"/>
      <c r="C608">
        <f>IF($U608="","",INDEX('Per Line'!$B$2:$B$3001,$U608)&amp;"")</f>
        <v/>
      </c>
      <c r="D608">
        <f>IF($U608="","",INDEX('Per Line'!$C$2:$C$3001,$U608)&amp;"")</f>
        <v/>
      </c>
      <c r="E608">
        <f>IF($U608="","",INDEX('Per Line'!$D$2:$D$3001,$U608)&amp;"")</f>
        <v/>
      </c>
      <c r="F608">
        <f>IF($U608="","",INDEX('Per Line'!$E$2:$E$3001,$U608))</f>
        <v/>
      </c>
      <c r="G608" s="7">
        <f>IF($U608="","",F608*S608/100)</f>
        <v/>
      </c>
      <c r="H608">
        <f>IF($U608="","",INDEX('Per Line'!$O$2:$O$3001,$U608)&amp;"")</f>
        <v/>
      </c>
      <c r="I608" s="11">
        <f>IF($U608="","",INDEX('Per Line'!$Q$2:$Q$3001,$U608))</f>
        <v/>
      </c>
      <c r="J608">
        <f>IF($U608="","",INDEX('Per Line'!$R$2:$R$3001,$U608)&amp;"")</f>
        <v/>
      </c>
      <c r="K608">
        <f>IF($U608="","",Settings!$C$7)</f>
        <v/>
      </c>
      <c r="L608" s="7">
        <f>IF($U608="","",SUMIFS('Per Line'!$N$2:$N$3001,'Per Line'!$A$2:$A$3001,$A608,'Per Line'!$W$2:$W$3001,0))</f>
        <v/>
      </c>
      <c r="M608" s="7">
        <f>IF($U608="","",L608*K608)</f>
        <v/>
      </c>
      <c r="N608">
        <f>IF($U608="","",Settings!$C$6)</f>
        <v/>
      </c>
      <c r="O608" s="7">
        <f>IF($U608="","",SUMIFS('Per Line'!$N$2:$N$3001,'Per Line'!$A$2:$A$3001,$A608,'Per Line'!$W$2:$W$3001,1))</f>
        <v/>
      </c>
      <c r="P608" s="7">
        <f>IF($U608="","",O608*N608)</f>
        <v/>
      </c>
      <c r="Q608" s="7">
        <f>IF($U608="","",P608+M608)</f>
        <v/>
      </c>
      <c r="R608" s="7">
        <f>IF($U608="","",S608-Q608)</f>
        <v/>
      </c>
      <c r="S608" s="7">
        <f>IF($U608="","",L608+O608)</f>
        <v/>
      </c>
      <c r="T608" s="7">
        <f>IF($U608="","",S608-Q608-G608)</f>
        <v/>
      </c>
      <c r="U608" s="13">
        <f>IF(ROWS($U$2:$U608)&lt;=MAX('Per Line'!$V$2:$V$3001),MATCH(ROWS($U$2:$U608),'Per Line'!$V$2:$V$3001,0),"")</f>
        <v/>
      </c>
    </row>
    <row r="609">
      <c r="A609">
        <f>IF($U609="","",INDEX('Per Line'!$A$2:$A$3001,$U609)&amp;"")</f>
        <v/>
      </c>
      <c r="B609" s="12" t="n"/>
      <c r="C609">
        <f>IF($U609="","",INDEX('Per Line'!$B$2:$B$3001,$U609)&amp;"")</f>
        <v/>
      </c>
      <c r="D609">
        <f>IF($U609="","",INDEX('Per Line'!$C$2:$C$3001,$U609)&amp;"")</f>
        <v/>
      </c>
      <c r="E609">
        <f>IF($U609="","",INDEX('Per Line'!$D$2:$D$3001,$U609)&amp;"")</f>
        <v/>
      </c>
      <c r="F609">
        <f>IF($U609="","",INDEX('Per Line'!$E$2:$E$3001,$U609))</f>
        <v/>
      </c>
      <c r="G609" s="7">
        <f>IF($U609="","",F609*S609/100)</f>
        <v/>
      </c>
      <c r="H609">
        <f>IF($U609="","",INDEX('Per Line'!$O$2:$O$3001,$U609)&amp;"")</f>
        <v/>
      </c>
      <c r="I609" s="11">
        <f>IF($U609="","",INDEX('Per Line'!$Q$2:$Q$3001,$U609))</f>
        <v/>
      </c>
      <c r="J609">
        <f>IF($U609="","",INDEX('Per Line'!$R$2:$R$3001,$U609)&amp;"")</f>
        <v/>
      </c>
      <c r="K609">
        <f>IF($U609="","",Settings!$C$7)</f>
        <v/>
      </c>
      <c r="L609" s="7">
        <f>IF($U609="","",SUMIFS('Per Line'!$N$2:$N$3001,'Per Line'!$A$2:$A$3001,$A609,'Per Line'!$W$2:$W$3001,0))</f>
        <v/>
      </c>
      <c r="M609" s="7">
        <f>IF($U609="","",L609*K609)</f>
        <v/>
      </c>
      <c r="N609">
        <f>IF($U609="","",Settings!$C$6)</f>
        <v/>
      </c>
      <c r="O609" s="7">
        <f>IF($U609="","",SUMIFS('Per Line'!$N$2:$N$3001,'Per Line'!$A$2:$A$3001,$A609,'Per Line'!$W$2:$W$3001,1))</f>
        <v/>
      </c>
      <c r="P609" s="7">
        <f>IF($U609="","",O609*N609)</f>
        <v/>
      </c>
      <c r="Q609" s="7">
        <f>IF($U609="","",P609+M609)</f>
        <v/>
      </c>
      <c r="R609" s="7">
        <f>IF($U609="","",S609-Q609)</f>
        <v/>
      </c>
      <c r="S609" s="7">
        <f>IF($U609="","",L609+O609)</f>
        <v/>
      </c>
      <c r="T609" s="7">
        <f>IF($U609="","",S609-Q609-G609)</f>
        <v/>
      </c>
      <c r="U609" s="13">
        <f>IF(ROWS($U$2:$U609)&lt;=MAX('Per Line'!$V$2:$V$3001),MATCH(ROWS($U$2:$U609),'Per Line'!$V$2:$V$3001,0),"")</f>
        <v/>
      </c>
    </row>
    <row r="610">
      <c r="A610">
        <f>IF($U610="","",INDEX('Per Line'!$A$2:$A$3001,$U610)&amp;"")</f>
        <v/>
      </c>
      <c r="B610" s="12" t="n"/>
      <c r="C610">
        <f>IF($U610="","",INDEX('Per Line'!$B$2:$B$3001,$U610)&amp;"")</f>
        <v/>
      </c>
      <c r="D610">
        <f>IF($U610="","",INDEX('Per Line'!$C$2:$C$3001,$U610)&amp;"")</f>
        <v/>
      </c>
      <c r="E610">
        <f>IF($U610="","",INDEX('Per Line'!$D$2:$D$3001,$U610)&amp;"")</f>
        <v/>
      </c>
      <c r="F610">
        <f>IF($U610="","",INDEX('Per Line'!$E$2:$E$3001,$U610))</f>
        <v/>
      </c>
      <c r="G610" s="7">
        <f>IF($U610="","",F610*S610/100)</f>
        <v/>
      </c>
      <c r="H610">
        <f>IF($U610="","",INDEX('Per Line'!$O$2:$O$3001,$U610)&amp;"")</f>
        <v/>
      </c>
      <c r="I610" s="11">
        <f>IF($U610="","",INDEX('Per Line'!$Q$2:$Q$3001,$U610))</f>
        <v/>
      </c>
      <c r="J610">
        <f>IF($U610="","",INDEX('Per Line'!$R$2:$R$3001,$U610)&amp;"")</f>
        <v/>
      </c>
      <c r="K610">
        <f>IF($U610="","",Settings!$C$7)</f>
        <v/>
      </c>
      <c r="L610" s="7">
        <f>IF($U610="","",SUMIFS('Per Line'!$N$2:$N$3001,'Per Line'!$A$2:$A$3001,$A610,'Per Line'!$W$2:$W$3001,0))</f>
        <v/>
      </c>
      <c r="M610" s="7">
        <f>IF($U610="","",L610*K610)</f>
        <v/>
      </c>
      <c r="N610">
        <f>IF($U610="","",Settings!$C$6)</f>
        <v/>
      </c>
      <c r="O610" s="7">
        <f>IF($U610="","",SUMIFS('Per Line'!$N$2:$N$3001,'Per Line'!$A$2:$A$3001,$A610,'Per Line'!$W$2:$W$3001,1))</f>
        <v/>
      </c>
      <c r="P610" s="7">
        <f>IF($U610="","",O610*N610)</f>
        <v/>
      </c>
      <c r="Q610" s="7">
        <f>IF($U610="","",P610+M610)</f>
        <v/>
      </c>
      <c r="R610" s="7">
        <f>IF($U610="","",S610-Q610)</f>
        <v/>
      </c>
      <c r="S610" s="7">
        <f>IF($U610="","",L610+O610)</f>
        <v/>
      </c>
      <c r="T610" s="7">
        <f>IF($U610="","",S610-Q610-G610)</f>
        <v/>
      </c>
      <c r="U610" s="13">
        <f>IF(ROWS($U$2:$U610)&lt;=MAX('Per Line'!$V$2:$V$3001),MATCH(ROWS($U$2:$U610),'Per Line'!$V$2:$V$3001,0),"")</f>
        <v/>
      </c>
    </row>
    <row r="611">
      <c r="A611">
        <f>IF($U611="","",INDEX('Per Line'!$A$2:$A$3001,$U611)&amp;"")</f>
        <v/>
      </c>
      <c r="B611" s="12" t="n"/>
      <c r="C611">
        <f>IF($U611="","",INDEX('Per Line'!$B$2:$B$3001,$U611)&amp;"")</f>
        <v/>
      </c>
      <c r="D611">
        <f>IF($U611="","",INDEX('Per Line'!$C$2:$C$3001,$U611)&amp;"")</f>
        <v/>
      </c>
      <c r="E611">
        <f>IF($U611="","",INDEX('Per Line'!$D$2:$D$3001,$U611)&amp;"")</f>
        <v/>
      </c>
      <c r="F611">
        <f>IF($U611="","",INDEX('Per Line'!$E$2:$E$3001,$U611))</f>
        <v/>
      </c>
      <c r="G611" s="7">
        <f>IF($U611="","",F611*S611/100)</f>
        <v/>
      </c>
      <c r="H611">
        <f>IF($U611="","",INDEX('Per Line'!$O$2:$O$3001,$U611)&amp;"")</f>
        <v/>
      </c>
      <c r="I611" s="11">
        <f>IF($U611="","",INDEX('Per Line'!$Q$2:$Q$3001,$U611))</f>
        <v/>
      </c>
      <c r="J611">
        <f>IF($U611="","",INDEX('Per Line'!$R$2:$R$3001,$U611)&amp;"")</f>
        <v/>
      </c>
      <c r="K611">
        <f>IF($U611="","",Settings!$C$7)</f>
        <v/>
      </c>
      <c r="L611" s="7">
        <f>IF($U611="","",SUMIFS('Per Line'!$N$2:$N$3001,'Per Line'!$A$2:$A$3001,$A611,'Per Line'!$W$2:$W$3001,0))</f>
        <v/>
      </c>
      <c r="M611" s="7">
        <f>IF($U611="","",L611*K611)</f>
        <v/>
      </c>
      <c r="N611">
        <f>IF($U611="","",Settings!$C$6)</f>
        <v/>
      </c>
      <c r="O611" s="7">
        <f>IF($U611="","",SUMIFS('Per Line'!$N$2:$N$3001,'Per Line'!$A$2:$A$3001,$A611,'Per Line'!$W$2:$W$3001,1))</f>
        <v/>
      </c>
      <c r="P611" s="7">
        <f>IF($U611="","",O611*N611)</f>
        <v/>
      </c>
      <c r="Q611" s="7">
        <f>IF($U611="","",P611+M611)</f>
        <v/>
      </c>
      <c r="R611" s="7">
        <f>IF($U611="","",S611-Q611)</f>
        <v/>
      </c>
      <c r="S611" s="7">
        <f>IF($U611="","",L611+O611)</f>
        <v/>
      </c>
      <c r="T611" s="7">
        <f>IF($U611="","",S611-Q611-G611)</f>
        <v/>
      </c>
      <c r="U611" s="13">
        <f>IF(ROWS($U$2:$U611)&lt;=MAX('Per Line'!$V$2:$V$3001),MATCH(ROWS($U$2:$U611),'Per Line'!$V$2:$V$3001,0),"")</f>
        <v/>
      </c>
    </row>
    <row r="612">
      <c r="A612">
        <f>IF($U612="","",INDEX('Per Line'!$A$2:$A$3001,$U612)&amp;"")</f>
        <v/>
      </c>
      <c r="B612" s="12" t="n"/>
      <c r="C612">
        <f>IF($U612="","",INDEX('Per Line'!$B$2:$B$3001,$U612)&amp;"")</f>
        <v/>
      </c>
      <c r="D612">
        <f>IF($U612="","",INDEX('Per Line'!$C$2:$C$3001,$U612)&amp;"")</f>
        <v/>
      </c>
      <c r="E612">
        <f>IF($U612="","",INDEX('Per Line'!$D$2:$D$3001,$U612)&amp;"")</f>
        <v/>
      </c>
      <c r="F612">
        <f>IF($U612="","",INDEX('Per Line'!$E$2:$E$3001,$U612))</f>
        <v/>
      </c>
      <c r="G612" s="7">
        <f>IF($U612="","",F612*S612/100)</f>
        <v/>
      </c>
      <c r="H612">
        <f>IF($U612="","",INDEX('Per Line'!$O$2:$O$3001,$U612)&amp;"")</f>
        <v/>
      </c>
      <c r="I612" s="11">
        <f>IF($U612="","",INDEX('Per Line'!$Q$2:$Q$3001,$U612))</f>
        <v/>
      </c>
      <c r="J612">
        <f>IF($U612="","",INDEX('Per Line'!$R$2:$R$3001,$U612)&amp;"")</f>
        <v/>
      </c>
      <c r="K612">
        <f>IF($U612="","",Settings!$C$7)</f>
        <v/>
      </c>
      <c r="L612" s="7">
        <f>IF($U612="","",SUMIFS('Per Line'!$N$2:$N$3001,'Per Line'!$A$2:$A$3001,$A612,'Per Line'!$W$2:$W$3001,0))</f>
        <v/>
      </c>
      <c r="M612" s="7">
        <f>IF($U612="","",L612*K612)</f>
        <v/>
      </c>
      <c r="N612">
        <f>IF($U612="","",Settings!$C$6)</f>
        <v/>
      </c>
      <c r="O612" s="7">
        <f>IF($U612="","",SUMIFS('Per Line'!$N$2:$N$3001,'Per Line'!$A$2:$A$3001,$A612,'Per Line'!$W$2:$W$3001,1))</f>
        <v/>
      </c>
      <c r="P612" s="7">
        <f>IF($U612="","",O612*N612)</f>
        <v/>
      </c>
      <c r="Q612" s="7">
        <f>IF($U612="","",P612+M612)</f>
        <v/>
      </c>
      <c r="R612" s="7">
        <f>IF($U612="","",S612-Q612)</f>
        <v/>
      </c>
      <c r="S612" s="7">
        <f>IF($U612="","",L612+O612)</f>
        <v/>
      </c>
      <c r="T612" s="7">
        <f>IF($U612="","",S612-Q612-G612)</f>
        <v/>
      </c>
      <c r="U612" s="13">
        <f>IF(ROWS($U$2:$U612)&lt;=MAX('Per Line'!$V$2:$V$3001),MATCH(ROWS($U$2:$U612),'Per Line'!$V$2:$V$3001,0),"")</f>
        <v/>
      </c>
    </row>
    <row r="613">
      <c r="A613">
        <f>IF($U613="","",INDEX('Per Line'!$A$2:$A$3001,$U613)&amp;"")</f>
        <v/>
      </c>
      <c r="B613" s="12" t="n"/>
      <c r="C613">
        <f>IF($U613="","",INDEX('Per Line'!$B$2:$B$3001,$U613)&amp;"")</f>
        <v/>
      </c>
      <c r="D613">
        <f>IF($U613="","",INDEX('Per Line'!$C$2:$C$3001,$U613)&amp;"")</f>
        <v/>
      </c>
      <c r="E613">
        <f>IF($U613="","",INDEX('Per Line'!$D$2:$D$3001,$U613)&amp;"")</f>
        <v/>
      </c>
      <c r="F613">
        <f>IF($U613="","",INDEX('Per Line'!$E$2:$E$3001,$U613))</f>
        <v/>
      </c>
      <c r="G613" s="7">
        <f>IF($U613="","",F613*S613/100)</f>
        <v/>
      </c>
      <c r="H613">
        <f>IF($U613="","",INDEX('Per Line'!$O$2:$O$3001,$U613)&amp;"")</f>
        <v/>
      </c>
      <c r="I613" s="11">
        <f>IF($U613="","",INDEX('Per Line'!$Q$2:$Q$3001,$U613))</f>
        <v/>
      </c>
      <c r="J613">
        <f>IF($U613="","",INDEX('Per Line'!$R$2:$R$3001,$U613)&amp;"")</f>
        <v/>
      </c>
      <c r="K613">
        <f>IF($U613="","",Settings!$C$7)</f>
        <v/>
      </c>
      <c r="L613" s="7">
        <f>IF($U613="","",SUMIFS('Per Line'!$N$2:$N$3001,'Per Line'!$A$2:$A$3001,$A613,'Per Line'!$W$2:$W$3001,0))</f>
        <v/>
      </c>
      <c r="M613" s="7">
        <f>IF($U613="","",L613*K613)</f>
        <v/>
      </c>
      <c r="N613">
        <f>IF($U613="","",Settings!$C$6)</f>
        <v/>
      </c>
      <c r="O613" s="7">
        <f>IF($U613="","",SUMIFS('Per Line'!$N$2:$N$3001,'Per Line'!$A$2:$A$3001,$A613,'Per Line'!$W$2:$W$3001,1))</f>
        <v/>
      </c>
      <c r="P613" s="7">
        <f>IF($U613="","",O613*N613)</f>
        <v/>
      </c>
      <c r="Q613" s="7">
        <f>IF($U613="","",P613+M613)</f>
        <v/>
      </c>
      <c r="R613" s="7">
        <f>IF($U613="","",S613-Q613)</f>
        <v/>
      </c>
      <c r="S613" s="7">
        <f>IF($U613="","",L613+O613)</f>
        <v/>
      </c>
      <c r="T613" s="7">
        <f>IF($U613="","",S613-Q613-G613)</f>
        <v/>
      </c>
      <c r="U613" s="13">
        <f>IF(ROWS($U$2:$U613)&lt;=MAX('Per Line'!$V$2:$V$3001),MATCH(ROWS($U$2:$U613),'Per Line'!$V$2:$V$3001,0),"")</f>
        <v/>
      </c>
    </row>
    <row r="614">
      <c r="A614">
        <f>IF($U614="","",INDEX('Per Line'!$A$2:$A$3001,$U614)&amp;"")</f>
        <v/>
      </c>
      <c r="B614" s="12" t="n"/>
      <c r="C614">
        <f>IF($U614="","",INDEX('Per Line'!$B$2:$B$3001,$U614)&amp;"")</f>
        <v/>
      </c>
      <c r="D614">
        <f>IF($U614="","",INDEX('Per Line'!$C$2:$C$3001,$U614)&amp;"")</f>
        <v/>
      </c>
      <c r="E614">
        <f>IF($U614="","",INDEX('Per Line'!$D$2:$D$3001,$U614)&amp;"")</f>
        <v/>
      </c>
      <c r="F614">
        <f>IF($U614="","",INDEX('Per Line'!$E$2:$E$3001,$U614))</f>
        <v/>
      </c>
      <c r="G614" s="7">
        <f>IF($U614="","",F614*S614/100)</f>
        <v/>
      </c>
      <c r="H614">
        <f>IF($U614="","",INDEX('Per Line'!$O$2:$O$3001,$U614)&amp;"")</f>
        <v/>
      </c>
      <c r="I614" s="11">
        <f>IF($U614="","",INDEX('Per Line'!$Q$2:$Q$3001,$U614))</f>
        <v/>
      </c>
      <c r="J614">
        <f>IF($U614="","",INDEX('Per Line'!$R$2:$R$3001,$U614)&amp;"")</f>
        <v/>
      </c>
      <c r="K614">
        <f>IF($U614="","",Settings!$C$7)</f>
        <v/>
      </c>
      <c r="L614" s="7">
        <f>IF($U614="","",SUMIFS('Per Line'!$N$2:$N$3001,'Per Line'!$A$2:$A$3001,$A614,'Per Line'!$W$2:$W$3001,0))</f>
        <v/>
      </c>
      <c r="M614" s="7">
        <f>IF($U614="","",L614*K614)</f>
        <v/>
      </c>
      <c r="N614">
        <f>IF($U614="","",Settings!$C$6)</f>
        <v/>
      </c>
      <c r="O614" s="7">
        <f>IF($U614="","",SUMIFS('Per Line'!$N$2:$N$3001,'Per Line'!$A$2:$A$3001,$A614,'Per Line'!$W$2:$W$3001,1))</f>
        <v/>
      </c>
      <c r="P614" s="7">
        <f>IF($U614="","",O614*N614)</f>
        <v/>
      </c>
      <c r="Q614" s="7">
        <f>IF($U614="","",P614+M614)</f>
        <v/>
      </c>
      <c r="R614" s="7">
        <f>IF($U614="","",S614-Q614)</f>
        <v/>
      </c>
      <c r="S614" s="7">
        <f>IF($U614="","",L614+O614)</f>
        <v/>
      </c>
      <c r="T614" s="7">
        <f>IF($U614="","",S614-Q614-G614)</f>
        <v/>
      </c>
      <c r="U614" s="13">
        <f>IF(ROWS($U$2:$U614)&lt;=MAX('Per Line'!$V$2:$V$3001),MATCH(ROWS($U$2:$U614),'Per Line'!$V$2:$V$3001,0),"")</f>
        <v/>
      </c>
    </row>
    <row r="615">
      <c r="A615">
        <f>IF($U615="","",INDEX('Per Line'!$A$2:$A$3001,$U615)&amp;"")</f>
        <v/>
      </c>
      <c r="B615" s="12" t="n"/>
      <c r="C615">
        <f>IF($U615="","",INDEX('Per Line'!$B$2:$B$3001,$U615)&amp;"")</f>
        <v/>
      </c>
      <c r="D615">
        <f>IF($U615="","",INDEX('Per Line'!$C$2:$C$3001,$U615)&amp;"")</f>
        <v/>
      </c>
      <c r="E615">
        <f>IF($U615="","",INDEX('Per Line'!$D$2:$D$3001,$U615)&amp;"")</f>
        <v/>
      </c>
      <c r="F615">
        <f>IF($U615="","",INDEX('Per Line'!$E$2:$E$3001,$U615))</f>
        <v/>
      </c>
      <c r="G615" s="7">
        <f>IF($U615="","",F615*S615/100)</f>
        <v/>
      </c>
      <c r="H615">
        <f>IF($U615="","",INDEX('Per Line'!$O$2:$O$3001,$U615)&amp;"")</f>
        <v/>
      </c>
      <c r="I615" s="11">
        <f>IF($U615="","",INDEX('Per Line'!$Q$2:$Q$3001,$U615))</f>
        <v/>
      </c>
      <c r="J615">
        <f>IF($U615="","",INDEX('Per Line'!$R$2:$R$3001,$U615)&amp;"")</f>
        <v/>
      </c>
      <c r="K615">
        <f>IF($U615="","",Settings!$C$7)</f>
        <v/>
      </c>
      <c r="L615" s="7">
        <f>IF($U615="","",SUMIFS('Per Line'!$N$2:$N$3001,'Per Line'!$A$2:$A$3001,$A615,'Per Line'!$W$2:$W$3001,0))</f>
        <v/>
      </c>
      <c r="M615" s="7">
        <f>IF($U615="","",L615*K615)</f>
        <v/>
      </c>
      <c r="N615">
        <f>IF($U615="","",Settings!$C$6)</f>
        <v/>
      </c>
      <c r="O615" s="7">
        <f>IF($U615="","",SUMIFS('Per Line'!$N$2:$N$3001,'Per Line'!$A$2:$A$3001,$A615,'Per Line'!$W$2:$W$3001,1))</f>
        <v/>
      </c>
      <c r="P615" s="7">
        <f>IF($U615="","",O615*N615)</f>
        <v/>
      </c>
      <c r="Q615" s="7">
        <f>IF($U615="","",P615+M615)</f>
        <v/>
      </c>
      <c r="R615" s="7">
        <f>IF($U615="","",S615-Q615)</f>
        <v/>
      </c>
      <c r="S615" s="7">
        <f>IF($U615="","",L615+O615)</f>
        <v/>
      </c>
      <c r="T615" s="7">
        <f>IF($U615="","",S615-Q615-G615)</f>
        <v/>
      </c>
      <c r="U615" s="13">
        <f>IF(ROWS($U$2:$U615)&lt;=MAX('Per Line'!$V$2:$V$3001),MATCH(ROWS($U$2:$U615),'Per Line'!$V$2:$V$3001,0),"")</f>
        <v/>
      </c>
    </row>
    <row r="616">
      <c r="A616">
        <f>IF($U616="","",INDEX('Per Line'!$A$2:$A$3001,$U616)&amp;"")</f>
        <v/>
      </c>
      <c r="B616" s="12" t="n"/>
      <c r="C616">
        <f>IF($U616="","",INDEX('Per Line'!$B$2:$B$3001,$U616)&amp;"")</f>
        <v/>
      </c>
      <c r="D616">
        <f>IF($U616="","",INDEX('Per Line'!$C$2:$C$3001,$U616)&amp;"")</f>
        <v/>
      </c>
      <c r="E616">
        <f>IF($U616="","",INDEX('Per Line'!$D$2:$D$3001,$U616)&amp;"")</f>
        <v/>
      </c>
      <c r="F616">
        <f>IF($U616="","",INDEX('Per Line'!$E$2:$E$3001,$U616))</f>
        <v/>
      </c>
      <c r="G616" s="7">
        <f>IF($U616="","",F616*S616/100)</f>
        <v/>
      </c>
      <c r="H616">
        <f>IF($U616="","",INDEX('Per Line'!$O$2:$O$3001,$U616)&amp;"")</f>
        <v/>
      </c>
      <c r="I616" s="11">
        <f>IF($U616="","",INDEX('Per Line'!$Q$2:$Q$3001,$U616))</f>
        <v/>
      </c>
      <c r="J616">
        <f>IF($U616="","",INDEX('Per Line'!$R$2:$R$3001,$U616)&amp;"")</f>
        <v/>
      </c>
      <c r="K616">
        <f>IF($U616="","",Settings!$C$7)</f>
        <v/>
      </c>
      <c r="L616" s="7">
        <f>IF($U616="","",SUMIFS('Per Line'!$N$2:$N$3001,'Per Line'!$A$2:$A$3001,$A616,'Per Line'!$W$2:$W$3001,0))</f>
        <v/>
      </c>
      <c r="M616" s="7">
        <f>IF($U616="","",L616*K616)</f>
        <v/>
      </c>
      <c r="N616">
        <f>IF($U616="","",Settings!$C$6)</f>
        <v/>
      </c>
      <c r="O616" s="7">
        <f>IF($U616="","",SUMIFS('Per Line'!$N$2:$N$3001,'Per Line'!$A$2:$A$3001,$A616,'Per Line'!$W$2:$W$3001,1))</f>
        <v/>
      </c>
      <c r="P616" s="7">
        <f>IF($U616="","",O616*N616)</f>
        <v/>
      </c>
      <c r="Q616" s="7">
        <f>IF($U616="","",P616+M616)</f>
        <v/>
      </c>
      <c r="R616" s="7">
        <f>IF($U616="","",S616-Q616)</f>
        <v/>
      </c>
      <c r="S616" s="7">
        <f>IF($U616="","",L616+O616)</f>
        <v/>
      </c>
      <c r="T616" s="7">
        <f>IF($U616="","",S616-Q616-G616)</f>
        <v/>
      </c>
      <c r="U616" s="13">
        <f>IF(ROWS($U$2:$U616)&lt;=MAX('Per Line'!$V$2:$V$3001),MATCH(ROWS($U$2:$U616),'Per Line'!$V$2:$V$3001,0),"")</f>
        <v/>
      </c>
    </row>
    <row r="617">
      <c r="A617">
        <f>IF($U617="","",INDEX('Per Line'!$A$2:$A$3001,$U617)&amp;"")</f>
        <v/>
      </c>
      <c r="B617" s="12" t="n"/>
      <c r="C617">
        <f>IF($U617="","",INDEX('Per Line'!$B$2:$B$3001,$U617)&amp;"")</f>
        <v/>
      </c>
      <c r="D617">
        <f>IF($U617="","",INDEX('Per Line'!$C$2:$C$3001,$U617)&amp;"")</f>
        <v/>
      </c>
      <c r="E617">
        <f>IF($U617="","",INDEX('Per Line'!$D$2:$D$3001,$U617)&amp;"")</f>
        <v/>
      </c>
      <c r="F617">
        <f>IF($U617="","",INDEX('Per Line'!$E$2:$E$3001,$U617))</f>
        <v/>
      </c>
      <c r="G617" s="7">
        <f>IF($U617="","",F617*S617/100)</f>
        <v/>
      </c>
      <c r="H617">
        <f>IF($U617="","",INDEX('Per Line'!$O$2:$O$3001,$U617)&amp;"")</f>
        <v/>
      </c>
      <c r="I617" s="11">
        <f>IF($U617="","",INDEX('Per Line'!$Q$2:$Q$3001,$U617))</f>
        <v/>
      </c>
      <c r="J617">
        <f>IF($U617="","",INDEX('Per Line'!$R$2:$R$3001,$U617)&amp;"")</f>
        <v/>
      </c>
      <c r="K617">
        <f>IF($U617="","",Settings!$C$7)</f>
        <v/>
      </c>
      <c r="L617" s="7">
        <f>IF($U617="","",SUMIFS('Per Line'!$N$2:$N$3001,'Per Line'!$A$2:$A$3001,$A617,'Per Line'!$W$2:$W$3001,0))</f>
        <v/>
      </c>
      <c r="M617" s="7">
        <f>IF($U617="","",L617*K617)</f>
        <v/>
      </c>
      <c r="N617">
        <f>IF($U617="","",Settings!$C$6)</f>
        <v/>
      </c>
      <c r="O617" s="7">
        <f>IF($U617="","",SUMIFS('Per Line'!$N$2:$N$3001,'Per Line'!$A$2:$A$3001,$A617,'Per Line'!$W$2:$W$3001,1))</f>
        <v/>
      </c>
      <c r="P617" s="7">
        <f>IF($U617="","",O617*N617)</f>
        <v/>
      </c>
      <c r="Q617" s="7">
        <f>IF($U617="","",P617+M617)</f>
        <v/>
      </c>
      <c r="R617" s="7">
        <f>IF($U617="","",S617-Q617)</f>
        <v/>
      </c>
      <c r="S617" s="7">
        <f>IF($U617="","",L617+O617)</f>
        <v/>
      </c>
      <c r="T617" s="7">
        <f>IF($U617="","",S617-Q617-G617)</f>
        <v/>
      </c>
      <c r="U617" s="13">
        <f>IF(ROWS($U$2:$U617)&lt;=MAX('Per Line'!$V$2:$V$3001),MATCH(ROWS($U$2:$U617),'Per Line'!$V$2:$V$3001,0),"")</f>
        <v/>
      </c>
    </row>
    <row r="618">
      <c r="A618">
        <f>IF($U618="","",INDEX('Per Line'!$A$2:$A$3001,$U618)&amp;"")</f>
        <v/>
      </c>
      <c r="B618" s="12" t="n"/>
      <c r="C618">
        <f>IF($U618="","",INDEX('Per Line'!$B$2:$B$3001,$U618)&amp;"")</f>
        <v/>
      </c>
      <c r="D618">
        <f>IF($U618="","",INDEX('Per Line'!$C$2:$C$3001,$U618)&amp;"")</f>
        <v/>
      </c>
      <c r="E618">
        <f>IF($U618="","",INDEX('Per Line'!$D$2:$D$3001,$U618)&amp;"")</f>
        <v/>
      </c>
      <c r="F618">
        <f>IF($U618="","",INDEX('Per Line'!$E$2:$E$3001,$U618))</f>
        <v/>
      </c>
      <c r="G618" s="7">
        <f>IF($U618="","",F618*S618/100)</f>
        <v/>
      </c>
      <c r="H618">
        <f>IF($U618="","",INDEX('Per Line'!$O$2:$O$3001,$U618)&amp;"")</f>
        <v/>
      </c>
      <c r="I618" s="11">
        <f>IF($U618="","",INDEX('Per Line'!$Q$2:$Q$3001,$U618))</f>
        <v/>
      </c>
      <c r="J618">
        <f>IF($U618="","",INDEX('Per Line'!$R$2:$R$3001,$U618)&amp;"")</f>
        <v/>
      </c>
      <c r="K618">
        <f>IF($U618="","",Settings!$C$7)</f>
        <v/>
      </c>
      <c r="L618" s="7">
        <f>IF($U618="","",SUMIFS('Per Line'!$N$2:$N$3001,'Per Line'!$A$2:$A$3001,$A618,'Per Line'!$W$2:$W$3001,0))</f>
        <v/>
      </c>
      <c r="M618" s="7">
        <f>IF($U618="","",L618*K618)</f>
        <v/>
      </c>
      <c r="N618">
        <f>IF($U618="","",Settings!$C$6)</f>
        <v/>
      </c>
      <c r="O618" s="7">
        <f>IF($U618="","",SUMIFS('Per Line'!$N$2:$N$3001,'Per Line'!$A$2:$A$3001,$A618,'Per Line'!$W$2:$W$3001,1))</f>
        <v/>
      </c>
      <c r="P618" s="7">
        <f>IF($U618="","",O618*N618)</f>
        <v/>
      </c>
      <c r="Q618" s="7">
        <f>IF($U618="","",P618+M618)</f>
        <v/>
      </c>
      <c r="R618" s="7">
        <f>IF($U618="","",S618-Q618)</f>
        <v/>
      </c>
      <c r="S618" s="7">
        <f>IF($U618="","",L618+O618)</f>
        <v/>
      </c>
      <c r="T618" s="7">
        <f>IF($U618="","",S618-Q618-G618)</f>
        <v/>
      </c>
      <c r="U618" s="13">
        <f>IF(ROWS($U$2:$U618)&lt;=MAX('Per Line'!$V$2:$V$3001),MATCH(ROWS($U$2:$U618),'Per Line'!$V$2:$V$3001,0),"")</f>
        <v/>
      </c>
    </row>
    <row r="619">
      <c r="A619">
        <f>IF($U619="","",INDEX('Per Line'!$A$2:$A$3001,$U619)&amp;"")</f>
        <v/>
      </c>
      <c r="B619" s="12" t="n"/>
      <c r="C619">
        <f>IF($U619="","",INDEX('Per Line'!$B$2:$B$3001,$U619)&amp;"")</f>
        <v/>
      </c>
      <c r="D619">
        <f>IF($U619="","",INDEX('Per Line'!$C$2:$C$3001,$U619)&amp;"")</f>
        <v/>
      </c>
      <c r="E619">
        <f>IF($U619="","",INDEX('Per Line'!$D$2:$D$3001,$U619)&amp;"")</f>
        <v/>
      </c>
      <c r="F619">
        <f>IF($U619="","",INDEX('Per Line'!$E$2:$E$3001,$U619))</f>
        <v/>
      </c>
      <c r="G619" s="7">
        <f>IF($U619="","",F619*S619/100)</f>
        <v/>
      </c>
      <c r="H619">
        <f>IF($U619="","",INDEX('Per Line'!$O$2:$O$3001,$U619)&amp;"")</f>
        <v/>
      </c>
      <c r="I619" s="11">
        <f>IF($U619="","",INDEX('Per Line'!$Q$2:$Q$3001,$U619))</f>
        <v/>
      </c>
      <c r="J619">
        <f>IF($U619="","",INDEX('Per Line'!$R$2:$R$3001,$U619)&amp;"")</f>
        <v/>
      </c>
      <c r="K619">
        <f>IF($U619="","",Settings!$C$7)</f>
        <v/>
      </c>
      <c r="L619" s="7">
        <f>IF($U619="","",SUMIFS('Per Line'!$N$2:$N$3001,'Per Line'!$A$2:$A$3001,$A619,'Per Line'!$W$2:$W$3001,0))</f>
        <v/>
      </c>
      <c r="M619" s="7">
        <f>IF($U619="","",L619*K619)</f>
        <v/>
      </c>
      <c r="N619">
        <f>IF($U619="","",Settings!$C$6)</f>
        <v/>
      </c>
      <c r="O619" s="7">
        <f>IF($U619="","",SUMIFS('Per Line'!$N$2:$N$3001,'Per Line'!$A$2:$A$3001,$A619,'Per Line'!$W$2:$W$3001,1))</f>
        <v/>
      </c>
      <c r="P619" s="7">
        <f>IF($U619="","",O619*N619)</f>
        <v/>
      </c>
      <c r="Q619" s="7">
        <f>IF($U619="","",P619+M619)</f>
        <v/>
      </c>
      <c r="R619" s="7">
        <f>IF($U619="","",S619-Q619)</f>
        <v/>
      </c>
      <c r="S619" s="7">
        <f>IF($U619="","",L619+O619)</f>
        <v/>
      </c>
      <c r="T619" s="7">
        <f>IF($U619="","",S619-Q619-G619)</f>
        <v/>
      </c>
      <c r="U619" s="13">
        <f>IF(ROWS($U$2:$U619)&lt;=MAX('Per Line'!$V$2:$V$3001),MATCH(ROWS($U$2:$U619),'Per Line'!$V$2:$V$3001,0),"")</f>
        <v/>
      </c>
    </row>
    <row r="620">
      <c r="A620">
        <f>IF($U620="","",INDEX('Per Line'!$A$2:$A$3001,$U620)&amp;"")</f>
        <v/>
      </c>
      <c r="B620" s="12" t="n"/>
      <c r="C620">
        <f>IF($U620="","",INDEX('Per Line'!$B$2:$B$3001,$U620)&amp;"")</f>
        <v/>
      </c>
      <c r="D620">
        <f>IF($U620="","",INDEX('Per Line'!$C$2:$C$3001,$U620)&amp;"")</f>
        <v/>
      </c>
      <c r="E620">
        <f>IF($U620="","",INDEX('Per Line'!$D$2:$D$3001,$U620)&amp;"")</f>
        <v/>
      </c>
      <c r="F620">
        <f>IF($U620="","",INDEX('Per Line'!$E$2:$E$3001,$U620))</f>
        <v/>
      </c>
      <c r="G620" s="7">
        <f>IF($U620="","",F620*S620/100)</f>
        <v/>
      </c>
      <c r="H620">
        <f>IF($U620="","",INDEX('Per Line'!$O$2:$O$3001,$U620)&amp;"")</f>
        <v/>
      </c>
      <c r="I620" s="11">
        <f>IF($U620="","",INDEX('Per Line'!$Q$2:$Q$3001,$U620))</f>
        <v/>
      </c>
      <c r="J620">
        <f>IF($U620="","",INDEX('Per Line'!$R$2:$R$3001,$U620)&amp;"")</f>
        <v/>
      </c>
      <c r="K620">
        <f>IF($U620="","",Settings!$C$7)</f>
        <v/>
      </c>
      <c r="L620" s="7">
        <f>IF($U620="","",SUMIFS('Per Line'!$N$2:$N$3001,'Per Line'!$A$2:$A$3001,$A620,'Per Line'!$W$2:$W$3001,0))</f>
        <v/>
      </c>
      <c r="M620" s="7">
        <f>IF($U620="","",L620*K620)</f>
        <v/>
      </c>
      <c r="N620">
        <f>IF($U620="","",Settings!$C$6)</f>
        <v/>
      </c>
      <c r="O620" s="7">
        <f>IF($U620="","",SUMIFS('Per Line'!$N$2:$N$3001,'Per Line'!$A$2:$A$3001,$A620,'Per Line'!$W$2:$W$3001,1))</f>
        <v/>
      </c>
      <c r="P620" s="7">
        <f>IF($U620="","",O620*N620)</f>
        <v/>
      </c>
      <c r="Q620" s="7">
        <f>IF($U620="","",P620+M620)</f>
        <v/>
      </c>
      <c r="R620" s="7">
        <f>IF($U620="","",S620-Q620)</f>
        <v/>
      </c>
      <c r="S620" s="7">
        <f>IF($U620="","",L620+O620)</f>
        <v/>
      </c>
      <c r="T620" s="7">
        <f>IF($U620="","",S620-Q620-G620)</f>
        <v/>
      </c>
      <c r="U620" s="13">
        <f>IF(ROWS($U$2:$U620)&lt;=MAX('Per Line'!$V$2:$V$3001),MATCH(ROWS($U$2:$U620),'Per Line'!$V$2:$V$3001,0),"")</f>
        <v/>
      </c>
    </row>
    <row r="621">
      <c r="A621">
        <f>IF($U621="","",INDEX('Per Line'!$A$2:$A$3001,$U621)&amp;"")</f>
        <v/>
      </c>
      <c r="B621" s="12" t="n"/>
      <c r="C621">
        <f>IF($U621="","",INDEX('Per Line'!$B$2:$B$3001,$U621)&amp;"")</f>
        <v/>
      </c>
      <c r="D621">
        <f>IF($U621="","",INDEX('Per Line'!$C$2:$C$3001,$U621)&amp;"")</f>
        <v/>
      </c>
      <c r="E621">
        <f>IF($U621="","",INDEX('Per Line'!$D$2:$D$3001,$U621)&amp;"")</f>
        <v/>
      </c>
      <c r="F621">
        <f>IF($U621="","",INDEX('Per Line'!$E$2:$E$3001,$U621))</f>
        <v/>
      </c>
      <c r="G621" s="7">
        <f>IF($U621="","",F621*S621/100)</f>
        <v/>
      </c>
      <c r="H621">
        <f>IF($U621="","",INDEX('Per Line'!$O$2:$O$3001,$U621)&amp;"")</f>
        <v/>
      </c>
      <c r="I621" s="11">
        <f>IF($U621="","",INDEX('Per Line'!$Q$2:$Q$3001,$U621))</f>
        <v/>
      </c>
      <c r="J621">
        <f>IF($U621="","",INDEX('Per Line'!$R$2:$R$3001,$U621)&amp;"")</f>
        <v/>
      </c>
      <c r="K621">
        <f>IF($U621="","",Settings!$C$7)</f>
        <v/>
      </c>
      <c r="L621" s="7">
        <f>IF($U621="","",SUMIFS('Per Line'!$N$2:$N$3001,'Per Line'!$A$2:$A$3001,$A621,'Per Line'!$W$2:$W$3001,0))</f>
        <v/>
      </c>
      <c r="M621" s="7">
        <f>IF($U621="","",L621*K621)</f>
        <v/>
      </c>
      <c r="N621">
        <f>IF($U621="","",Settings!$C$6)</f>
        <v/>
      </c>
      <c r="O621" s="7">
        <f>IF($U621="","",SUMIFS('Per Line'!$N$2:$N$3001,'Per Line'!$A$2:$A$3001,$A621,'Per Line'!$W$2:$W$3001,1))</f>
        <v/>
      </c>
      <c r="P621" s="7">
        <f>IF($U621="","",O621*N621)</f>
        <v/>
      </c>
      <c r="Q621" s="7">
        <f>IF($U621="","",P621+M621)</f>
        <v/>
      </c>
      <c r="R621" s="7">
        <f>IF($U621="","",S621-Q621)</f>
        <v/>
      </c>
      <c r="S621" s="7">
        <f>IF($U621="","",L621+O621)</f>
        <v/>
      </c>
      <c r="T621" s="7">
        <f>IF($U621="","",S621-Q621-G621)</f>
        <v/>
      </c>
      <c r="U621" s="13">
        <f>IF(ROWS($U$2:$U621)&lt;=MAX('Per Line'!$V$2:$V$3001),MATCH(ROWS($U$2:$U621),'Per Line'!$V$2:$V$3001,0),"")</f>
        <v/>
      </c>
    </row>
    <row r="622">
      <c r="A622">
        <f>IF($U622="","",INDEX('Per Line'!$A$2:$A$3001,$U622)&amp;"")</f>
        <v/>
      </c>
      <c r="B622" s="12" t="n"/>
      <c r="C622">
        <f>IF($U622="","",INDEX('Per Line'!$B$2:$B$3001,$U622)&amp;"")</f>
        <v/>
      </c>
      <c r="D622">
        <f>IF($U622="","",INDEX('Per Line'!$C$2:$C$3001,$U622)&amp;"")</f>
        <v/>
      </c>
      <c r="E622">
        <f>IF($U622="","",INDEX('Per Line'!$D$2:$D$3001,$U622)&amp;"")</f>
        <v/>
      </c>
      <c r="F622">
        <f>IF($U622="","",INDEX('Per Line'!$E$2:$E$3001,$U622))</f>
        <v/>
      </c>
      <c r="G622" s="7">
        <f>IF($U622="","",F622*S622/100)</f>
        <v/>
      </c>
      <c r="H622">
        <f>IF($U622="","",INDEX('Per Line'!$O$2:$O$3001,$U622)&amp;"")</f>
        <v/>
      </c>
      <c r="I622" s="11">
        <f>IF($U622="","",INDEX('Per Line'!$Q$2:$Q$3001,$U622))</f>
        <v/>
      </c>
      <c r="J622">
        <f>IF($U622="","",INDEX('Per Line'!$R$2:$R$3001,$U622)&amp;"")</f>
        <v/>
      </c>
      <c r="K622">
        <f>IF($U622="","",Settings!$C$7)</f>
        <v/>
      </c>
      <c r="L622" s="7">
        <f>IF($U622="","",SUMIFS('Per Line'!$N$2:$N$3001,'Per Line'!$A$2:$A$3001,$A622,'Per Line'!$W$2:$W$3001,0))</f>
        <v/>
      </c>
      <c r="M622" s="7">
        <f>IF($U622="","",L622*K622)</f>
        <v/>
      </c>
      <c r="N622">
        <f>IF($U622="","",Settings!$C$6)</f>
        <v/>
      </c>
      <c r="O622" s="7">
        <f>IF($U622="","",SUMIFS('Per Line'!$N$2:$N$3001,'Per Line'!$A$2:$A$3001,$A622,'Per Line'!$W$2:$W$3001,1))</f>
        <v/>
      </c>
      <c r="P622" s="7">
        <f>IF($U622="","",O622*N622)</f>
        <v/>
      </c>
      <c r="Q622" s="7">
        <f>IF($U622="","",P622+M622)</f>
        <v/>
      </c>
      <c r="R622" s="7">
        <f>IF($U622="","",S622-Q622)</f>
        <v/>
      </c>
      <c r="S622" s="7">
        <f>IF($U622="","",L622+O622)</f>
        <v/>
      </c>
      <c r="T622" s="7">
        <f>IF($U622="","",S622-Q622-G622)</f>
        <v/>
      </c>
      <c r="U622" s="13">
        <f>IF(ROWS($U$2:$U622)&lt;=MAX('Per Line'!$V$2:$V$3001),MATCH(ROWS($U$2:$U622),'Per Line'!$V$2:$V$3001,0),"")</f>
        <v/>
      </c>
    </row>
    <row r="623">
      <c r="A623">
        <f>IF($U623="","",INDEX('Per Line'!$A$2:$A$3001,$U623)&amp;"")</f>
        <v/>
      </c>
      <c r="B623" s="12" t="n"/>
      <c r="C623">
        <f>IF($U623="","",INDEX('Per Line'!$B$2:$B$3001,$U623)&amp;"")</f>
        <v/>
      </c>
      <c r="D623">
        <f>IF($U623="","",INDEX('Per Line'!$C$2:$C$3001,$U623)&amp;"")</f>
        <v/>
      </c>
      <c r="E623">
        <f>IF($U623="","",INDEX('Per Line'!$D$2:$D$3001,$U623)&amp;"")</f>
        <v/>
      </c>
      <c r="F623">
        <f>IF($U623="","",INDEX('Per Line'!$E$2:$E$3001,$U623))</f>
        <v/>
      </c>
      <c r="G623" s="7">
        <f>IF($U623="","",F623*S623/100)</f>
        <v/>
      </c>
      <c r="H623">
        <f>IF($U623="","",INDEX('Per Line'!$O$2:$O$3001,$U623)&amp;"")</f>
        <v/>
      </c>
      <c r="I623" s="11">
        <f>IF($U623="","",INDEX('Per Line'!$Q$2:$Q$3001,$U623))</f>
        <v/>
      </c>
      <c r="J623">
        <f>IF($U623="","",INDEX('Per Line'!$R$2:$R$3001,$U623)&amp;"")</f>
        <v/>
      </c>
      <c r="K623">
        <f>IF($U623="","",Settings!$C$7)</f>
        <v/>
      </c>
      <c r="L623" s="7">
        <f>IF($U623="","",SUMIFS('Per Line'!$N$2:$N$3001,'Per Line'!$A$2:$A$3001,$A623,'Per Line'!$W$2:$W$3001,0))</f>
        <v/>
      </c>
      <c r="M623" s="7">
        <f>IF($U623="","",L623*K623)</f>
        <v/>
      </c>
      <c r="N623">
        <f>IF($U623="","",Settings!$C$6)</f>
        <v/>
      </c>
      <c r="O623" s="7">
        <f>IF($U623="","",SUMIFS('Per Line'!$N$2:$N$3001,'Per Line'!$A$2:$A$3001,$A623,'Per Line'!$W$2:$W$3001,1))</f>
        <v/>
      </c>
      <c r="P623" s="7">
        <f>IF($U623="","",O623*N623)</f>
        <v/>
      </c>
      <c r="Q623" s="7">
        <f>IF($U623="","",P623+M623)</f>
        <v/>
      </c>
      <c r="R623" s="7">
        <f>IF($U623="","",S623-Q623)</f>
        <v/>
      </c>
      <c r="S623" s="7">
        <f>IF($U623="","",L623+O623)</f>
        <v/>
      </c>
      <c r="T623" s="7">
        <f>IF($U623="","",S623-Q623-G623)</f>
        <v/>
      </c>
      <c r="U623" s="13">
        <f>IF(ROWS($U$2:$U623)&lt;=MAX('Per Line'!$V$2:$V$3001),MATCH(ROWS($U$2:$U623),'Per Line'!$V$2:$V$3001,0),"")</f>
        <v/>
      </c>
    </row>
    <row r="624">
      <c r="A624">
        <f>IF($U624="","",INDEX('Per Line'!$A$2:$A$3001,$U624)&amp;"")</f>
        <v/>
      </c>
      <c r="B624" s="12" t="n"/>
      <c r="C624">
        <f>IF($U624="","",INDEX('Per Line'!$B$2:$B$3001,$U624)&amp;"")</f>
        <v/>
      </c>
      <c r="D624">
        <f>IF($U624="","",INDEX('Per Line'!$C$2:$C$3001,$U624)&amp;"")</f>
        <v/>
      </c>
      <c r="E624">
        <f>IF($U624="","",INDEX('Per Line'!$D$2:$D$3001,$U624)&amp;"")</f>
        <v/>
      </c>
      <c r="F624">
        <f>IF($U624="","",INDEX('Per Line'!$E$2:$E$3001,$U624))</f>
        <v/>
      </c>
      <c r="G624" s="7">
        <f>IF($U624="","",F624*S624/100)</f>
        <v/>
      </c>
      <c r="H624">
        <f>IF($U624="","",INDEX('Per Line'!$O$2:$O$3001,$U624)&amp;"")</f>
        <v/>
      </c>
      <c r="I624" s="11">
        <f>IF($U624="","",INDEX('Per Line'!$Q$2:$Q$3001,$U624))</f>
        <v/>
      </c>
      <c r="J624">
        <f>IF($U624="","",INDEX('Per Line'!$R$2:$R$3001,$U624)&amp;"")</f>
        <v/>
      </c>
      <c r="K624">
        <f>IF($U624="","",Settings!$C$7)</f>
        <v/>
      </c>
      <c r="L624" s="7">
        <f>IF($U624="","",SUMIFS('Per Line'!$N$2:$N$3001,'Per Line'!$A$2:$A$3001,$A624,'Per Line'!$W$2:$W$3001,0))</f>
        <v/>
      </c>
      <c r="M624" s="7">
        <f>IF($U624="","",L624*K624)</f>
        <v/>
      </c>
      <c r="N624">
        <f>IF($U624="","",Settings!$C$6)</f>
        <v/>
      </c>
      <c r="O624" s="7">
        <f>IF($U624="","",SUMIFS('Per Line'!$N$2:$N$3001,'Per Line'!$A$2:$A$3001,$A624,'Per Line'!$W$2:$W$3001,1))</f>
        <v/>
      </c>
      <c r="P624" s="7">
        <f>IF($U624="","",O624*N624)</f>
        <v/>
      </c>
      <c r="Q624" s="7">
        <f>IF($U624="","",P624+M624)</f>
        <v/>
      </c>
      <c r="R624" s="7">
        <f>IF($U624="","",S624-Q624)</f>
        <v/>
      </c>
      <c r="S624" s="7">
        <f>IF($U624="","",L624+O624)</f>
        <v/>
      </c>
      <c r="T624" s="7">
        <f>IF($U624="","",S624-Q624-G624)</f>
        <v/>
      </c>
      <c r="U624" s="13">
        <f>IF(ROWS($U$2:$U624)&lt;=MAX('Per Line'!$V$2:$V$3001),MATCH(ROWS($U$2:$U624),'Per Line'!$V$2:$V$3001,0),"")</f>
        <v/>
      </c>
    </row>
    <row r="625">
      <c r="A625">
        <f>IF($U625="","",INDEX('Per Line'!$A$2:$A$3001,$U625)&amp;"")</f>
        <v/>
      </c>
      <c r="B625" s="12" t="n"/>
      <c r="C625">
        <f>IF($U625="","",INDEX('Per Line'!$B$2:$B$3001,$U625)&amp;"")</f>
        <v/>
      </c>
      <c r="D625">
        <f>IF($U625="","",INDEX('Per Line'!$C$2:$C$3001,$U625)&amp;"")</f>
        <v/>
      </c>
      <c r="E625">
        <f>IF($U625="","",INDEX('Per Line'!$D$2:$D$3001,$U625)&amp;"")</f>
        <v/>
      </c>
      <c r="F625">
        <f>IF($U625="","",INDEX('Per Line'!$E$2:$E$3001,$U625))</f>
        <v/>
      </c>
      <c r="G625" s="7">
        <f>IF($U625="","",F625*S625/100)</f>
        <v/>
      </c>
      <c r="H625">
        <f>IF($U625="","",INDEX('Per Line'!$O$2:$O$3001,$U625)&amp;"")</f>
        <v/>
      </c>
      <c r="I625" s="11">
        <f>IF($U625="","",INDEX('Per Line'!$Q$2:$Q$3001,$U625))</f>
        <v/>
      </c>
      <c r="J625">
        <f>IF($U625="","",INDEX('Per Line'!$R$2:$R$3001,$U625)&amp;"")</f>
        <v/>
      </c>
      <c r="K625">
        <f>IF($U625="","",Settings!$C$7)</f>
        <v/>
      </c>
      <c r="L625" s="7">
        <f>IF($U625="","",SUMIFS('Per Line'!$N$2:$N$3001,'Per Line'!$A$2:$A$3001,$A625,'Per Line'!$W$2:$W$3001,0))</f>
        <v/>
      </c>
      <c r="M625" s="7">
        <f>IF($U625="","",L625*K625)</f>
        <v/>
      </c>
      <c r="N625">
        <f>IF($U625="","",Settings!$C$6)</f>
        <v/>
      </c>
      <c r="O625" s="7">
        <f>IF($U625="","",SUMIFS('Per Line'!$N$2:$N$3001,'Per Line'!$A$2:$A$3001,$A625,'Per Line'!$W$2:$W$3001,1))</f>
        <v/>
      </c>
      <c r="P625" s="7">
        <f>IF($U625="","",O625*N625)</f>
        <v/>
      </c>
      <c r="Q625" s="7">
        <f>IF($U625="","",P625+M625)</f>
        <v/>
      </c>
      <c r="R625" s="7">
        <f>IF($U625="","",S625-Q625)</f>
        <v/>
      </c>
      <c r="S625" s="7">
        <f>IF($U625="","",L625+O625)</f>
        <v/>
      </c>
      <c r="T625" s="7">
        <f>IF($U625="","",S625-Q625-G625)</f>
        <v/>
      </c>
      <c r="U625" s="13">
        <f>IF(ROWS($U$2:$U625)&lt;=MAX('Per Line'!$V$2:$V$3001),MATCH(ROWS($U$2:$U625),'Per Line'!$V$2:$V$3001,0),"")</f>
        <v/>
      </c>
    </row>
    <row r="626">
      <c r="A626">
        <f>IF($U626="","",INDEX('Per Line'!$A$2:$A$3001,$U626)&amp;"")</f>
        <v/>
      </c>
      <c r="B626" s="12" t="n"/>
      <c r="C626">
        <f>IF($U626="","",INDEX('Per Line'!$B$2:$B$3001,$U626)&amp;"")</f>
        <v/>
      </c>
      <c r="D626">
        <f>IF($U626="","",INDEX('Per Line'!$C$2:$C$3001,$U626)&amp;"")</f>
        <v/>
      </c>
      <c r="E626">
        <f>IF($U626="","",INDEX('Per Line'!$D$2:$D$3001,$U626)&amp;"")</f>
        <v/>
      </c>
      <c r="F626">
        <f>IF($U626="","",INDEX('Per Line'!$E$2:$E$3001,$U626))</f>
        <v/>
      </c>
      <c r="G626" s="7">
        <f>IF($U626="","",F626*S626/100)</f>
        <v/>
      </c>
      <c r="H626">
        <f>IF($U626="","",INDEX('Per Line'!$O$2:$O$3001,$U626)&amp;"")</f>
        <v/>
      </c>
      <c r="I626" s="11">
        <f>IF($U626="","",INDEX('Per Line'!$Q$2:$Q$3001,$U626))</f>
        <v/>
      </c>
      <c r="J626">
        <f>IF($U626="","",INDEX('Per Line'!$R$2:$R$3001,$U626)&amp;"")</f>
        <v/>
      </c>
      <c r="K626">
        <f>IF($U626="","",Settings!$C$7)</f>
        <v/>
      </c>
      <c r="L626" s="7">
        <f>IF($U626="","",SUMIFS('Per Line'!$N$2:$N$3001,'Per Line'!$A$2:$A$3001,$A626,'Per Line'!$W$2:$W$3001,0))</f>
        <v/>
      </c>
      <c r="M626" s="7">
        <f>IF($U626="","",L626*K626)</f>
        <v/>
      </c>
      <c r="N626">
        <f>IF($U626="","",Settings!$C$6)</f>
        <v/>
      </c>
      <c r="O626" s="7">
        <f>IF($U626="","",SUMIFS('Per Line'!$N$2:$N$3001,'Per Line'!$A$2:$A$3001,$A626,'Per Line'!$W$2:$W$3001,1))</f>
        <v/>
      </c>
      <c r="P626" s="7">
        <f>IF($U626="","",O626*N626)</f>
        <v/>
      </c>
      <c r="Q626" s="7">
        <f>IF($U626="","",P626+M626)</f>
        <v/>
      </c>
      <c r="R626" s="7">
        <f>IF($U626="","",S626-Q626)</f>
        <v/>
      </c>
      <c r="S626" s="7">
        <f>IF($U626="","",L626+O626)</f>
        <v/>
      </c>
      <c r="T626" s="7">
        <f>IF($U626="","",S626-Q626-G626)</f>
        <v/>
      </c>
      <c r="U626" s="13">
        <f>IF(ROWS($U$2:$U626)&lt;=MAX('Per Line'!$V$2:$V$3001),MATCH(ROWS($U$2:$U626),'Per Line'!$V$2:$V$3001,0),"")</f>
        <v/>
      </c>
    </row>
    <row r="627">
      <c r="A627">
        <f>IF($U627="","",INDEX('Per Line'!$A$2:$A$3001,$U627)&amp;"")</f>
        <v/>
      </c>
      <c r="B627" s="12" t="n"/>
      <c r="C627">
        <f>IF($U627="","",INDEX('Per Line'!$B$2:$B$3001,$U627)&amp;"")</f>
        <v/>
      </c>
      <c r="D627">
        <f>IF($U627="","",INDEX('Per Line'!$C$2:$C$3001,$U627)&amp;"")</f>
        <v/>
      </c>
      <c r="E627">
        <f>IF($U627="","",INDEX('Per Line'!$D$2:$D$3001,$U627)&amp;"")</f>
        <v/>
      </c>
      <c r="F627">
        <f>IF($U627="","",INDEX('Per Line'!$E$2:$E$3001,$U627))</f>
        <v/>
      </c>
      <c r="G627" s="7">
        <f>IF($U627="","",F627*S627/100)</f>
        <v/>
      </c>
      <c r="H627">
        <f>IF($U627="","",INDEX('Per Line'!$O$2:$O$3001,$U627)&amp;"")</f>
        <v/>
      </c>
      <c r="I627" s="11">
        <f>IF($U627="","",INDEX('Per Line'!$Q$2:$Q$3001,$U627))</f>
        <v/>
      </c>
      <c r="J627">
        <f>IF($U627="","",INDEX('Per Line'!$R$2:$R$3001,$U627)&amp;"")</f>
        <v/>
      </c>
      <c r="K627">
        <f>IF($U627="","",Settings!$C$7)</f>
        <v/>
      </c>
      <c r="L627" s="7">
        <f>IF($U627="","",SUMIFS('Per Line'!$N$2:$N$3001,'Per Line'!$A$2:$A$3001,$A627,'Per Line'!$W$2:$W$3001,0))</f>
        <v/>
      </c>
      <c r="M627" s="7">
        <f>IF($U627="","",L627*K627)</f>
        <v/>
      </c>
      <c r="N627">
        <f>IF($U627="","",Settings!$C$6)</f>
        <v/>
      </c>
      <c r="O627" s="7">
        <f>IF($U627="","",SUMIFS('Per Line'!$N$2:$N$3001,'Per Line'!$A$2:$A$3001,$A627,'Per Line'!$W$2:$W$3001,1))</f>
        <v/>
      </c>
      <c r="P627" s="7">
        <f>IF($U627="","",O627*N627)</f>
        <v/>
      </c>
      <c r="Q627" s="7">
        <f>IF($U627="","",P627+M627)</f>
        <v/>
      </c>
      <c r="R627" s="7">
        <f>IF($U627="","",S627-Q627)</f>
        <v/>
      </c>
      <c r="S627" s="7">
        <f>IF($U627="","",L627+O627)</f>
        <v/>
      </c>
      <c r="T627" s="7">
        <f>IF($U627="","",S627-Q627-G627)</f>
        <v/>
      </c>
      <c r="U627" s="13">
        <f>IF(ROWS($U$2:$U627)&lt;=MAX('Per Line'!$V$2:$V$3001),MATCH(ROWS($U$2:$U627),'Per Line'!$V$2:$V$3001,0),"")</f>
        <v/>
      </c>
    </row>
    <row r="628">
      <c r="A628">
        <f>IF($U628="","",INDEX('Per Line'!$A$2:$A$3001,$U628)&amp;"")</f>
        <v/>
      </c>
      <c r="B628" s="12" t="n"/>
      <c r="C628">
        <f>IF($U628="","",INDEX('Per Line'!$B$2:$B$3001,$U628)&amp;"")</f>
        <v/>
      </c>
      <c r="D628">
        <f>IF($U628="","",INDEX('Per Line'!$C$2:$C$3001,$U628)&amp;"")</f>
        <v/>
      </c>
      <c r="E628">
        <f>IF($U628="","",INDEX('Per Line'!$D$2:$D$3001,$U628)&amp;"")</f>
        <v/>
      </c>
      <c r="F628">
        <f>IF($U628="","",INDEX('Per Line'!$E$2:$E$3001,$U628))</f>
        <v/>
      </c>
      <c r="G628" s="7">
        <f>IF($U628="","",F628*S628/100)</f>
        <v/>
      </c>
      <c r="H628">
        <f>IF($U628="","",INDEX('Per Line'!$O$2:$O$3001,$U628)&amp;"")</f>
        <v/>
      </c>
      <c r="I628" s="11">
        <f>IF($U628="","",INDEX('Per Line'!$Q$2:$Q$3001,$U628))</f>
        <v/>
      </c>
      <c r="J628">
        <f>IF($U628="","",INDEX('Per Line'!$R$2:$R$3001,$U628)&amp;"")</f>
        <v/>
      </c>
      <c r="K628">
        <f>IF($U628="","",Settings!$C$7)</f>
        <v/>
      </c>
      <c r="L628" s="7">
        <f>IF($U628="","",SUMIFS('Per Line'!$N$2:$N$3001,'Per Line'!$A$2:$A$3001,$A628,'Per Line'!$W$2:$W$3001,0))</f>
        <v/>
      </c>
      <c r="M628" s="7">
        <f>IF($U628="","",L628*K628)</f>
        <v/>
      </c>
      <c r="N628">
        <f>IF($U628="","",Settings!$C$6)</f>
        <v/>
      </c>
      <c r="O628" s="7">
        <f>IF($U628="","",SUMIFS('Per Line'!$N$2:$N$3001,'Per Line'!$A$2:$A$3001,$A628,'Per Line'!$W$2:$W$3001,1))</f>
        <v/>
      </c>
      <c r="P628" s="7">
        <f>IF($U628="","",O628*N628)</f>
        <v/>
      </c>
      <c r="Q628" s="7">
        <f>IF($U628="","",P628+M628)</f>
        <v/>
      </c>
      <c r="R628" s="7">
        <f>IF($U628="","",S628-Q628)</f>
        <v/>
      </c>
      <c r="S628" s="7">
        <f>IF($U628="","",L628+O628)</f>
        <v/>
      </c>
      <c r="T628" s="7">
        <f>IF($U628="","",S628-Q628-G628)</f>
        <v/>
      </c>
      <c r="U628" s="13">
        <f>IF(ROWS($U$2:$U628)&lt;=MAX('Per Line'!$V$2:$V$3001),MATCH(ROWS($U$2:$U628),'Per Line'!$V$2:$V$3001,0),"")</f>
        <v/>
      </c>
    </row>
    <row r="629">
      <c r="A629">
        <f>IF($U629="","",INDEX('Per Line'!$A$2:$A$3001,$U629)&amp;"")</f>
        <v/>
      </c>
      <c r="B629" s="12" t="n"/>
      <c r="C629">
        <f>IF($U629="","",INDEX('Per Line'!$B$2:$B$3001,$U629)&amp;"")</f>
        <v/>
      </c>
      <c r="D629">
        <f>IF($U629="","",INDEX('Per Line'!$C$2:$C$3001,$U629)&amp;"")</f>
        <v/>
      </c>
      <c r="E629">
        <f>IF($U629="","",INDEX('Per Line'!$D$2:$D$3001,$U629)&amp;"")</f>
        <v/>
      </c>
      <c r="F629">
        <f>IF($U629="","",INDEX('Per Line'!$E$2:$E$3001,$U629))</f>
        <v/>
      </c>
      <c r="G629" s="7">
        <f>IF($U629="","",F629*S629/100)</f>
        <v/>
      </c>
      <c r="H629">
        <f>IF($U629="","",INDEX('Per Line'!$O$2:$O$3001,$U629)&amp;"")</f>
        <v/>
      </c>
      <c r="I629" s="11">
        <f>IF($U629="","",INDEX('Per Line'!$Q$2:$Q$3001,$U629))</f>
        <v/>
      </c>
      <c r="J629">
        <f>IF($U629="","",INDEX('Per Line'!$R$2:$R$3001,$U629)&amp;"")</f>
        <v/>
      </c>
      <c r="K629">
        <f>IF($U629="","",Settings!$C$7)</f>
        <v/>
      </c>
      <c r="L629" s="7">
        <f>IF($U629="","",SUMIFS('Per Line'!$N$2:$N$3001,'Per Line'!$A$2:$A$3001,$A629,'Per Line'!$W$2:$W$3001,0))</f>
        <v/>
      </c>
      <c r="M629" s="7">
        <f>IF($U629="","",L629*K629)</f>
        <v/>
      </c>
      <c r="N629">
        <f>IF($U629="","",Settings!$C$6)</f>
        <v/>
      </c>
      <c r="O629" s="7">
        <f>IF($U629="","",SUMIFS('Per Line'!$N$2:$N$3001,'Per Line'!$A$2:$A$3001,$A629,'Per Line'!$W$2:$W$3001,1))</f>
        <v/>
      </c>
      <c r="P629" s="7">
        <f>IF($U629="","",O629*N629)</f>
        <v/>
      </c>
      <c r="Q629" s="7">
        <f>IF($U629="","",P629+M629)</f>
        <v/>
      </c>
      <c r="R629" s="7">
        <f>IF($U629="","",S629-Q629)</f>
        <v/>
      </c>
      <c r="S629" s="7">
        <f>IF($U629="","",L629+O629)</f>
        <v/>
      </c>
      <c r="T629" s="7">
        <f>IF($U629="","",S629-Q629-G629)</f>
        <v/>
      </c>
      <c r="U629" s="13">
        <f>IF(ROWS($U$2:$U629)&lt;=MAX('Per Line'!$V$2:$V$3001),MATCH(ROWS($U$2:$U629),'Per Line'!$V$2:$V$3001,0),"")</f>
        <v/>
      </c>
    </row>
    <row r="630">
      <c r="A630">
        <f>IF($U630="","",INDEX('Per Line'!$A$2:$A$3001,$U630)&amp;"")</f>
        <v/>
      </c>
      <c r="B630" s="12" t="n"/>
      <c r="C630">
        <f>IF($U630="","",INDEX('Per Line'!$B$2:$B$3001,$U630)&amp;"")</f>
        <v/>
      </c>
      <c r="D630">
        <f>IF($U630="","",INDEX('Per Line'!$C$2:$C$3001,$U630)&amp;"")</f>
        <v/>
      </c>
      <c r="E630">
        <f>IF($U630="","",INDEX('Per Line'!$D$2:$D$3001,$U630)&amp;"")</f>
        <v/>
      </c>
      <c r="F630">
        <f>IF($U630="","",INDEX('Per Line'!$E$2:$E$3001,$U630))</f>
        <v/>
      </c>
      <c r="G630" s="7">
        <f>IF($U630="","",F630*S630/100)</f>
        <v/>
      </c>
      <c r="H630">
        <f>IF($U630="","",INDEX('Per Line'!$O$2:$O$3001,$U630)&amp;"")</f>
        <v/>
      </c>
      <c r="I630" s="11">
        <f>IF($U630="","",INDEX('Per Line'!$Q$2:$Q$3001,$U630))</f>
        <v/>
      </c>
      <c r="J630">
        <f>IF($U630="","",INDEX('Per Line'!$R$2:$R$3001,$U630)&amp;"")</f>
        <v/>
      </c>
      <c r="K630">
        <f>IF($U630="","",Settings!$C$7)</f>
        <v/>
      </c>
      <c r="L630" s="7">
        <f>IF($U630="","",SUMIFS('Per Line'!$N$2:$N$3001,'Per Line'!$A$2:$A$3001,$A630,'Per Line'!$W$2:$W$3001,0))</f>
        <v/>
      </c>
      <c r="M630" s="7">
        <f>IF($U630="","",L630*K630)</f>
        <v/>
      </c>
      <c r="N630">
        <f>IF($U630="","",Settings!$C$6)</f>
        <v/>
      </c>
      <c r="O630" s="7">
        <f>IF($U630="","",SUMIFS('Per Line'!$N$2:$N$3001,'Per Line'!$A$2:$A$3001,$A630,'Per Line'!$W$2:$W$3001,1))</f>
        <v/>
      </c>
      <c r="P630" s="7">
        <f>IF($U630="","",O630*N630)</f>
        <v/>
      </c>
      <c r="Q630" s="7">
        <f>IF($U630="","",P630+M630)</f>
        <v/>
      </c>
      <c r="R630" s="7">
        <f>IF($U630="","",S630-Q630)</f>
        <v/>
      </c>
      <c r="S630" s="7">
        <f>IF($U630="","",L630+O630)</f>
        <v/>
      </c>
      <c r="T630" s="7">
        <f>IF($U630="","",S630-Q630-G630)</f>
        <v/>
      </c>
      <c r="U630" s="13">
        <f>IF(ROWS($U$2:$U630)&lt;=MAX('Per Line'!$V$2:$V$3001),MATCH(ROWS($U$2:$U630),'Per Line'!$V$2:$V$3001,0),"")</f>
        <v/>
      </c>
    </row>
    <row r="631">
      <c r="A631">
        <f>IF($U631="","",INDEX('Per Line'!$A$2:$A$3001,$U631)&amp;"")</f>
        <v/>
      </c>
      <c r="B631" s="12" t="n"/>
      <c r="C631">
        <f>IF($U631="","",INDEX('Per Line'!$B$2:$B$3001,$U631)&amp;"")</f>
        <v/>
      </c>
      <c r="D631">
        <f>IF($U631="","",INDEX('Per Line'!$C$2:$C$3001,$U631)&amp;"")</f>
        <v/>
      </c>
      <c r="E631">
        <f>IF($U631="","",INDEX('Per Line'!$D$2:$D$3001,$U631)&amp;"")</f>
        <v/>
      </c>
      <c r="F631">
        <f>IF($U631="","",INDEX('Per Line'!$E$2:$E$3001,$U631))</f>
        <v/>
      </c>
      <c r="G631" s="7">
        <f>IF($U631="","",F631*S631/100)</f>
        <v/>
      </c>
      <c r="H631">
        <f>IF($U631="","",INDEX('Per Line'!$O$2:$O$3001,$U631)&amp;"")</f>
        <v/>
      </c>
      <c r="I631" s="11">
        <f>IF($U631="","",INDEX('Per Line'!$Q$2:$Q$3001,$U631))</f>
        <v/>
      </c>
      <c r="J631">
        <f>IF($U631="","",INDEX('Per Line'!$R$2:$R$3001,$U631)&amp;"")</f>
        <v/>
      </c>
      <c r="K631">
        <f>IF($U631="","",Settings!$C$7)</f>
        <v/>
      </c>
      <c r="L631" s="7">
        <f>IF($U631="","",SUMIFS('Per Line'!$N$2:$N$3001,'Per Line'!$A$2:$A$3001,$A631,'Per Line'!$W$2:$W$3001,0))</f>
        <v/>
      </c>
      <c r="M631" s="7">
        <f>IF($U631="","",L631*K631)</f>
        <v/>
      </c>
      <c r="N631">
        <f>IF($U631="","",Settings!$C$6)</f>
        <v/>
      </c>
      <c r="O631" s="7">
        <f>IF($U631="","",SUMIFS('Per Line'!$N$2:$N$3001,'Per Line'!$A$2:$A$3001,$A631,'Per Line'!$W$2:$W$3001,1))</f>
        <v/>
      </c>
      <c r="P631" s="7">
        <f>IF($U631="","",O631*N631)</f>
        <v/>
      </c>
      <c r="Q631" s="7">
        <f>IF($U631="","",P631+M631)</f>
        <v/>
      </c>
      <c r="R631" s="7">
        <f>IF($U631="","",S631-Q631)</f>
        <v/>
      </c>
      <c r="S631" s="7">
        <f>IF($U631="","",L631+O631)</f>
        <v/>
      </c>
      <c r="T631" s="7">
        <f>IF($U631="","",S631-Q631-G631)</f>
        <v/>
      </c>
      <c r="U631" s="13">
        <f>IF(ROWS($U$2:$U631)&lt;=MAX('Per Line'!$V$2:$V$3001),MATCH(ROWS($U$2:$U631),'Per Line'!$V$2:$V$3001,0),"")</f>
        <v/>
      </c>
    </row>
    <row r="632">
      <c r="A632">
        <f>IF($U632="","",INDEX('Per Line'!$A$2:$A$3001,$U632)&amp;"")</f>
        <v/>
      </c>
      <c r="B632" s="12" t="n"/>
      <c r="C632">
        <f>IF($U632="","",INDEX('Per Line'!$B$2:$B$3001,$U632)&amp;"")</f>
        <v/>
      </c>
      <c r="D632">
        <f>IF($U632="","",INDEX('Per Line'!$C$2:$C$3001,$U632)&amp;"")</f>
        <v/>
      </c>
      <c r="E632">
        <f>IF($U632="","",INDEX('Per Line'!$D$2:$D$3001,$U632)&amp;"")</f>
        <v/>
      </c>
      <c r="F632">
        <f>IF($U632="","",INDEX('Per Line'!$E$2:$E$3001,$U632))</f>
        <v/>
      </c>
      <c r="G632" s="7">
        <f>IF($U632="","",F632*S632/100)</f>
        <v/>
      </c>
      <c r="H632">
        <f>IF($U632="","",INDEX('Per Line'!$O$2:$O$3001,$U632)&amp;"")</f>
        <v/>
      </c>
      <c r="I632" s="11">
        <f>IF($U632="","",INDEX('Per Line'!$Q$2:$Q$3001,$U632))</f>
        <v/>
      </c>
      <c r="J632">
        <f>IF($U632="","",INDEX('Per Line'!$R$2:$R$3001,$U632)&amp;"")</f>
        <v/>
      </c>
      <c r="K632">
        <f>IF($U632="","",Settings!$C$7)</f>
        <v/>
      </c>
      <c r="L632" s="7">
        <f>IF($U632="","",SUMIFS('Per Line'!$N$2:$N$3001,'Per Line'!$A$2:$A$3001,$A632,'Per Line'!$W$2:$W$3001,0))</f>
        <v/>
      </c>
      <c r="M632" s="7">
        <f>IF($U632="","",L632*K632)</f>
        <v/>
      </c>
      <c r="N632">
        <f>IF($U632="","",Settings!$C$6)</f>
        <v/>
      </c>
      <c r="O632" s="7">
        <f>IF($U632="","",SUMIFS('Per Line'!$N$2:$N$3001,'Per Line'!$A$2:$A$3001,$A632,'Per Line'!$W$2:$W$3001,1))</f>
        <v/>
      </c>
      <c r="P632" s="7">
        <f>IF($U632="","",O632*N632)</f>
        <v/>
      </c>
      <c r="Q632" s="7">
        <f>IF($U632="","",P632+M632)</f>
        <v/>
      </c>
      <c r="R632" s="7">
        <f>IF($U632="","",S632-Q632)</f>
        <v/>
      </c>
      <c r="S632" s="7">
        <f>IF($U632="","",L632+O632)</f>
        <v/>
      </c>
      <c r="T632" s="7">
        <f>IF($U632="","",S632-Q632-G632)</f>
        <v/>
      </c>
      <c r="U632" s="13">
        <f>IF(ROWS($U$2:$U632)&lt;=MAX('Per Line'!$V$2:$V$3001),MATCH(ROWS($U$2:$U632),'Per Line'!$V$2:$V$3001,0),"")</f>
        <v/>
      </c>
    </row>
    <row r="633">
      <c r="A633">
        <f>IF($U633="","",INDEX('Per Line'!$A$2:$A$3001,$U633)&amp;"")</f>
        <v/>
      </c>
      <c r="B633" s="12" t="n"/>
      <c r="C633">
        <f>IF($U633="","",INDEX('Per Line'!$B$2:$B$3001,$U633)&amp;"")</f>
        <v/>
      </c>
      <c r="D633">
        <f>IF($U633="","",INDEX('Per Line'!$C$2:$C$3001,$U633)&amp;"")</f>
        <v/>
      </c>
      <c r="E633">
        <f>IF($U633="","",INDEX('Per Line'!$D$2:$D$3001,$U633)&amp;"")</f>
        <v/>
      </c>
      <c r="F633">
        <f>IF($U633="","",INDEX('Per Line'!$E$2:$E$3001,$U633))</f>
        <v/>
      </c>
      <c r="G633" s="7">
        <f>IF($U633="","",F633*S633/100)</f>
        <v/>
      </c>
      <c r="H633">
        <f>IF($U633="","",INDEX('Per Line'!$O$2:$O$3001,$U633)&amp;"")</f>
        <v/>
      </c>
      <c r="I633" s="11">
        <f>IF($U633="","",INDEX('Per Line'!$Q$2:$Q$3001,$U633))</f>
        <v/>
      </c>
      <c r="J633">
        <f>IF($U633="","",INDEX('Per Line'!$R$2:$R$3001,$U633)&amp;"")</f>
        <v/>
      </c>
      <c r="K633">
        <f>IF($U633="","",Settings!$C$7)</f>
        <v/>
      </c>
      <c r="L633" s="7">
        <f>IF($U633="","",SUMIFS('Per Line'!$N$2:$N$3001,'Per Line'!$A$2:$A$3001,$A633,'Per Line'!$W$2:$W$3001,0))</f>
        <v/>
      </c>
      <c r="M633" s="7">
        <f>IF($U633="","",L633*K633)</f>
        <v/>
      </c>
      <c r="N633">
        <f>IF($U633="","",Settings!$C$6)</f>
        <v/>
      </c>
      <c r="O633" s="7">
        <f>IF($U633="","",SUMIFS('Per Line'!$N$2:$N$3001,'Per Line'!$A$2:$A$3001,$A633,'Per Line'!$W$2:$W$3001,1))</f>
        <v/>
      </c>
      <c r="P633" s="7">
        <f>IF($U633="","",O633*N633)</f>
        <v/>
      </c>
      <c r="Q633" s="7">
        <f>IF($U633="","",P633+M633)</f>
        <v/>
      </c>
      <c r="R633" s="7">
        <f>IF($U633="","",S633-Q633)</f>
        <v/>
      </c>
      <c r="S633" s="7">
        <f>IF($U633="","",L633+O633)</f>
        <v/>
      </c>
      <c r="T633" s="7">
        <f>IF($U633="","",S633-Q633-G633)</f>
        <v/>
      </c>
      <c r="U633" s="13">
        <f>IF(ROWS($U$2:$U633)&lt;=MAX('Per Line'!$V$2:$V$3001),MATCH(ROWS($U$2:$U633),'Per Line'!$V$2:$V$3001,0),"")</f>
        <v/>
      </c>
    </row>
    <row r="634">
      <c r="A634">
        <f>IF($U634="","",INDEX('Per Line'!$A$2:$A$3001,$U634)&amp;"")</f>
        <v/>
      </c>
      <c r="B634" s="12" t="n"/>
      <c r="C634">
        <f>IF($U634="","",INDEX('Per Line'!$B$2:$B$3001,$U634)&amp;"")</f>
        <v/>
      </c>
      <c r="D634">
        <f>IF($U634="","",INDEX('Per Line'!$C$2:$C$3001,$U634)&amp;"")</f>
        <v/>
      </c>
      <c r="E634">
        <f>IF($U634="","",INDEX('Per Line'!$D$2:$D$3001,$U634)&amp;"")</f>
        <v/>
      </c>
      <c r="F634">
        <f>IF($U634="","",INDEX('Per Line'!$E$2:$E$3001,$U634))</f>
        <v/>
      </c>
      <c r="G634" s="7">
        <f>IF($U634="","",F634*S634/100)</f>
        <v/>
      </c>
      <c r="H634">
        <f>IF($U634="","",INDEX('Per Line'!$O$2:$O$3001,$U634)&amp;"")</f>
        <v/>
      </c>
      <c r="I634" s="11">
        <f>IF($U634="","",INDEX('Per Line'!$Q$2:$Q$3001,$U634))</f>
        <v/>
      </c>
      <c r="J634">
        <f>IF($U634="","",INDEX('Per Line'!$R$2:$R$3001,$U634)&amp;"")</f>
        <v/>
      </c>
      <c r="K634">
        <f>IF($U634="","",Settings!$C$7)</f>
        <v/>
      </c>
      <c r="L634" s="7">
        <f>IF($U634="","",SUMIFS('Per Line'!$N$2:$N$3001,'Per Line'!$A$2:$A$3001,$A634,'Per Line'!$W$2:$W$3001,0))</f>
        <v/>
      </c>
      <c r="M634" s="7">
        <f>IF($U634="","",L634*K634)</f>
        <v/>
      </c>
      <c r="N634">
        <f>IF($U634="","",Settings!$C$6)</f>
        <v/>
      </c>
      <c r="O634" s="7">
        <f>IF($U634="","",SUMIFS('Per Line'!$N$2:$N$3001,'Per Line'!$A$2:$A$3001,$A634,'Per Line'!$W$2:$W$3001,1))</f>
        <v/>
      </c>
      <c r="P634" s="7">
        <f>IF($U634="","",O634*N634)</f>
        <v/>
      </c>
      <c r="Q634" s="7">
        <f>IF($U634="","",P634+M634)</f>
        <v/>
      </c>
      <c r="R634" s="7">
        <f>IF($U634="","",S634-Q634)</f>
        <v/>
      </c>
      <c r="S634" s="7">
        <f>IF($U634="","",L634+O634)</f>
        <v/>
      </c>
      <c r="T634" s="7">
        <f>IF($U634="","",S634-Q634-G634)</f>
        <v/>
      </c>
      <c r="U634" s="13">
        <f>IF(ROWS($U$2:$U634)&lt;=MAX('Per Line'!$V$2:$V$3001),MATCH(ROWS($U$2:$U634),'Per Line'!$V$2:$V$3001,0),"")</f>
        <v/>
      </c>
    </row>
    <row r="635">
      <c r="A635">
        <f>IF($U635="","",INDEX('Per Line'!$A$2:$A$3001,$U635)&amp;"")</f>
        <v/>
      </c>
      <c r="B635" s="12" t="n"/>
      <c r="C635">
        <f>IF($U635="","",INDEX('Per Line'!$B$2:$B$3001,$U635)&amp;"")</f>
        <v/>
      </c>
      <c r="D635">
        <f>IF($U635="","",INDEX('Per Line'!$C$2:$C$3001,$U635)&amp;"")</f>
        <v/>
      </c>
      <c r="E635">
        <f>IF($U635="","",INDEX('Per Line'!$D$2:$D$3001,$U635)&amp;"")</f>
        <v/>
      </c>
      <c r="F635">
        <f>IF($U635="","",INDEX('Per Line'!$E$2:$E$3001,$U635))</f>
        <v/>
      </c>
      <c r="G635" s="7">
        <f>IF($U635="","",F635*S635/100)</f>
        <v/>
      </c>
      <c r="H635">
        <f>IF($U635="","",INDEX('Per Line'!$O$2:$O$3001,$U635)&amp;"")</f>
        <v/>
      </c>
      <c r="I635" s="11">
        <f>IF($U635="","",INDEX('Per Line'!$Q$2:$Q$3001,$U635))</f>
        <v/>
      </c>
      <c r="J635">
        <f>IF($U635="","",INDEX('Per Line'!$R$2:$R$3001,$U635)&amp;"")</f>
        <v/>
      </c>
      <c r="K635">
        <f>IF($U635="","",Settings!$C$7)</f>
        <v/>
      </c>
      <c r="L635" s="7">
        <f>IF($U635="","",SUMIFS('Per Line'!$N$2:$N$3001,'Per Line'!$A$2:$A$3001,$A635,'Per Line'!$W$2:$W$3001,0))</f>
        <v/>
      </c>
      <c r="M635" s="7">
        <f>IF($U635="","",L635*K635)</f>
        <v/>
      </c>
      <c r="N635">
        <f>IF($U635="","",Settings!$C$6)</f>
        <v/>
      </c>
      <c r="O635" s="7">
        <f>IF($U635="","",SUMIFS('Per Line'!$N$2:$N$3001,'Per Line'!$A$2:$A$3001,$A635,'Per Line'!$W$2:$W$3001,1))</f>
        <v/>
      </c>
      <c r="P635" s="7">
        <f>IF($U635="","",O635*N635)</f>
        <v/>
      </c>
      <c r="Q635" s="7">
        <f>IF($U635="","",P635+M635)</f>
        <v/>
      </c>
      <c r="R635" s="7">
        <f>IF($U635="","",S635-Q635)</f>
        <v/>
      </c>
      <c r="S635" s="7">
        <f>IF($U635="","",L635+O635)</f>
        <v/>
      </c>
      <c r="T635" s="7">
        <f>IF($U635="","",S635-Q635-G635)</f>
        <v/>
      </c>
      <c r="U635" s="13">
        <f>IF(ROWS($U$2:$U635)&lt;=MAX('Per Line'!$V$2:$V$3001),MATCH(ROWS($U$2:$U635),'Per Line'!$V$2:$V$3001,0),"")</f>
        <v/>
      </c>
    </row>
    <row r="636">
      <c r="A636">
        <f>IF($U636="","",INDEX('Per Line'!$A$2:$A$3001,$U636)&amp;"")</f>
        <v/>
      </c>
      <c r="B636" s="12" t="n"/>
      <c r="C636">
        <f>IF($U636="","",INDEX('Per Line'!$B$2:$B$3001,$U636)&amp;"")</f>
        <v/>
      </c>
      <c r="D636">
        <f>IF($U636="","",INDEX('Per Line'!$C$2:$C$3001,$U636)&amp;"")</f>
        <v/>
      </c>
      <c r="E636">
        <f>IF($U636="","",INDEX('Per Line'!$D$2:$D$3001,$U636)&amp;"")</f>
        <v/>
      </c>
      <c r="F636">
        <f>IF($U636="","",INDEX('Per Line'!$E$2:$E$3001,$U636))</f>
        <v/>
      </c>
      <c r="G636" s="7">
        <f>IF($U636="","",F636*S636/100)</f>
        <v/>
      </c>
      <c r="H636">
        <f>IF($U636="","",INDEX('Per Line'!$O$2:$O$3001,$U636)&amp;"")</f>
        <v/>
      </c>
      <c r="I636" s="11">
        <f>IF($U636="","",INDEX('Per Line'!$Q$2:$Q$3001,$U636))</f>
        <v/>
      </c>
      <c r="J636">
        <f>IF($U636="","",INDEX('Per Line'!$R$2:$R$3001,$U636)&amp;"")</f>
        <v/>
      </c>
      <c r="K636">
        <f>IF($U636="","",Settings!$C$7)</f>
        <v/>
      </c>
      <c r="L636" s="7">
        <f>IF($U636="","",SUMIFS('Per Line'!$N$2:$N$3001,'Per Line'!$A$2:$A$3001,$A636,'Per Line'!$W$2:$W$3001,0))</f>
        <v/>
      </c>
      <c r="M636" s="7">
        <f>IF($U636="","",L636*K636)</f>
        <v/>
      </c>
      <c r="N636">
        <f>IF($U636="","",Settings!$C$6)</f>
        <v/>
      </c>
      <c r="O636" s="7">
        <f>IF($U636="","",SUMIFS('Per Line'!$N$2:$N$3001,'Per Line'!$A$2:$A$3001,$A636,'Per Line'!$W$2:$W$3001,1))</f>
        <v/>
      </c>
      <c r="P636" s="7">
        <f>IF($U636="","",O636*N636)</f>
        <v/>
      </c>
      <c r="Q636" s="7">
        <f>IF($U636="","",P636+M636)</f>
        <v/>
      </c>
      <c r="R636" s="7">
        <f>IF($U636="","",S636-Q636)</f>
        <v/>
      </c>
      <c r="S636" s="7">
        <f>IF($U636="","",L636+O636)</f>
        <v/>
      </c>
      <c r="T636" s="7">
        <f>IF($U636="","",S636-Q636-G636)</f>
        <v/>
      </c>
      <c r="U636" s="13">
        <f>IF(ROWS($U$2:$U636)&lt;=MAX('Per Line'!$V$2:$V$3001),MATCH(ROWS($U$2:$U636),'Per Line'!$V$2:$V$3001,0),"")</f>
        <v/>
      </c>
    </row>
    <row r="637">
      <c r="A637">
        <f>IF($U637="","",INDEX('Per Line'!$A$2:$A$3001,$U637)&amp;"")</f>
        <v/>
      </c>
      <c r="B637" s="12" t="n"/>
      <c r="C637">
        <f>IF($U637="","",INDEX('Per Line'!$B$2:$B$3001,$U637)&amp;"")</f>
        <v/>
      </c>
      <c r="D637">
        <f>IF($U637="","",INDEX('Per Line'!$C$2:$C$3001,$U637)&amp;"")</f>
        <v/>
      </c>
      <c r="E637">
        <f>IF($U637="","",INDEX('Per Line'!$D$2:$D$3001,$U637)&amp;"")</f>
        <v/>
      </c>
      <c r="F637">
        <f>IF($U637="","",INDEX('Per Line'!$E$2:$E$3001,$U637))</f>
        <v/>
      </c>
      <c r="G637" s="7">
        <f>IF($U637="","",F637*S637/100)</f>
        <v/>
      </c>
      <c r="H637">
        <f>IF($U637="","",INDEX('Per Line'!$O$2:$O$3001,$U637)&amp;"")</f>
        <v/>
      </c>
      <c r="I637" s="11">
        <f>IF($U637="","",INDEX('Per Line'!$Q$2:$Q$3001,$U637))</f>
        <v/>
      </c>
      <c r="J637">
        <f>IF($U637="","",INDEX('Per Line'!$R$2:$R$3001,$U637)&amp;"")</f>
        <v/>
      </c>
      <c r="K637">
        <f>IF($U637="","",Settings!$C$7)</f>
        <v/>
      </c>
      <c r="L637" s="7">
        <f>IF($U637="","",SUMIFS('Per Line'!$N$2:$N$3001,'Per Line'!$A$2:$A$3001,$A637,'Per Line'!$W$2:$W$3001,0))</f>
        <v/>
      </c>
      <c r="M637" s="7">
        <f>IF($U637="","",L637*K637)</f>
        <v/>
      </c>
      <c r="N637">
        <f>IF($U637="","",Settings!$C$6)</f>
        <v/>
      </c>
      <c r="O637" s="7">
        <f>IF($U637="","",SUMIFS('Per Line'!$N$2:$N$3001,'Per Line'!$A$2:$A$3001,$A637,'Per Line'!$W$2:$W$3001,1))</f>
        <v/>
      </c>
      <c r="P637" s="7">
        <f>IF($U637="","",O637*N637)</f>
        <v/>
      </c>
      <c r="Q637" s="7">
        <f>IF($U637="","",P637+M637)</f>
        <v/>
      </c>
      <c r="R637" s="7">
        <f>IF($U637="","",S637-Q637)</f>
        <v/>
      </c>
      <c r="S637" s="7">
        <f>IF($U637="","",L637+O637)</f>
        <v/>
      </c>
      <c r="T637" s="7">
        <f>IF($U637="","",S637-Q637-G637)</f>
        <v/>
      </c>
      <c r="U637" s="13">
        <f>IF(ROWS($U$2:$U637)&lt;=MAX('Per Line'!$V$2:$V$3001),MATCH(ROWS($U$2:$U637),'Per Line'!$V$2:$V$3001,0),"")</f>
        <v/>
      </c>
    </row>
    <row r="638">
      <c r="A638">
        <f>IF($U638="","",INDEX('Per Line'!$A$2:$A$3001,$U638)&amp;"")</f>
        <v/>
      </c>
      <c r="B638" s="12" t="n"/>
      <c r="C638">
        <f>IF($U638="","",INDEX('Per Line'!$B$2:$B$3001,$U638)&amp;"")</f>
        <v/>
      </c>
      <c r="D638">
        <f>IF($U638="","",INDEX('Per Line'!$C$2:$C$3001,$U638)&amp;"")</f>
        <v/>
      </c>
      <c r="E638">
        <f>IF($U638="","",INDEX('Per Line'!$D$2:$D$3001,$U638)&amp;"")</f>
        <v/>
      </c>
      <c r="F638">
        <f>IF($U638="","",INDEX('Per Line'!$E$2:$E$3001,$U638))</f>
        <v/>
      </c>
      <c r="G638" s="7">
        <f>IF($U638="","",F638*S638/100)</f>
        <v/>
      </c>
      <c r="H638">
        <f>IF($U638="","",INDEX('Per Line'!$O$2:$O$3001,$U638)&amp;"")</f>
        <v/>
      </c>
      <c r="I638" s="11">
        <f>IF($U638="","",INDEX('Per Line'!$Q$2:$Q$3001,$U638))</f>
        <v/>
      </c>
      <c r="J638">
        <f>IF($U638="","",INDEX('Per Line'!$R$2:$R$3001,$U638)&amp;"")</f>
        <v/>
      </c>
      <c r="K638">
        <f>IF($U638="","",Settings!$C$7)</f>
        <v/>
      </c>
      <c r="L638" s="7">
        <f>IF($U638="","",SUMIFS('Per Line'!$N$2:$N$3001,'Per Line'!$A$2:$A$3001,$A638,'Per Line'!$W$2:$W$3001,0))</f>
        <v/>
      </c>
      <c r="M638" s="7">
        <f>IF($U638="","",L638*K638)</f>
        <v/>
      </c>
      <c r="N638">
        <f>IF($U638="","",Settings!$C$6)</f>
        <v/>
      </c>
      <c r="O638" s="7">
        <f>IF($U638="","",SUMIFS('Per Line'!$N$2:$N$3001,'Per Line'!$A$2:$A$3001,$A638,'Per Line'!$W$2:$W$3001,1))</f>
        <v/>
      </c>
      <c r="P638" s="7">
        <f>IF($U638="","",O638*N638)</f>
        <v/>
      </c>
      <c r="Q638" s="7">
        <f>IF($U638="","",P638+M638)</f>
        <v/>
      </c>
      <c r="R638" s="7">
        <f>IF($U638="","",S638-Q638)</f>
        <v/>
      </c>
      <c r="S638" s="7">
        <f>IF($U638="","",L638+O638)</f>
        <v/>
      </c>
      <c r="T638" s="7">
        <f>IF($U638="","",S638-Q638-G638)</f>
        <v/>
      </c>
      <c r="U638" s="13">
        <f>IF(ROWS($U$2:$U638)&lt;=MAX('Per Line'!$V$2:$V$3001),MATCH(ROWS($U$2:$U638),'Per Line'!$V$2:$V$3001,0),"")</f>
        <v/>
      </c>
    </row>
    <row r="639">
      <c r="A639">
        <f>IF($U639="","",INDEX('Per Line'!$A$2:$A$3001,$U639)&amp;"")</f>
        <v/>
      </c>
      <c r="B639" s="12" t="n"/>
      <c r="C639">
        <f>IF($U639="","",INDEX('Per Line'!$B$2:$B$3001,$U639)&amp;"")</f>
        <v/>
      </c>
      <c r="D639">
        <f>IF($U639="","",INDEX('Per Line'!$C$2:$C$3001,$U639)&amp;"")</f>
        <v/>
      </c>
      <c r="E639">
        <f>IF($U639="","",INDEX('Per Line'!$D$2:$D$3001,$U639)&amp;"")</f>
        <v/>
      </c>
      <c r="F639">
        <f>IF($U639="","",INDEX('Per Line'!$E$2:$E$3001,$U639))</f>
        <v/>
      </c>
      <c r="G639" s="7">
        <f>IF($U639="","",F639*S639/100)</f>
        <v/>
      </c>
      <c r="H639">
        <f>IF($U639="","",INDEX('Per Line'!$O$2:$O$3001,$U639)&amp;"")</f>
        <v/>
      </c>
      <c r="I639" s="11">
        <f>IF($U639="","",INDEX('Per Line'!$Q$2:$Q$3001,$U639))</f>
        <v/>
      </c>
      <c r="J639">
        <f>IF($U639="","",INDEX('Per Line'!$R$2:$R$3001,$U639)&amp;"")</f>
        <v/>
      </c>
      <c r="K639">
        <f>IF($U639="","",Settings!$C$7)</f>
        <v/>
      </c>
      <c r="L639" s="7">
        <f>IF($U639="","",SUMIFS('Per Line'!$N$2:$N$3001,'Per Line'!$A$2:$A$3001,$A639,'Per Line'!$W$2:$W$3001,0))</f>
        <v/>
      </c>
      <c r="M639" s="7">
        <f>IF($U639="","",L639*K639)</f>
        <v/>
      </c>
      <c r="N639">
        <f>IF($U639="","",Settings!$C$6)</f>
        <v/>
      </c>
      <c r="O639" s="7">
        <f>IF($U639="","",SUMIFS('Per Line'!$N$2:$N$3001,'Per Line'!$A$2:$A$3001,$A639,'Per Line'!$W$2:$W$3001,1))</f>
        <v/>
      </c>
      <c r="P639" s="7">
        <f>IF($U639="","",O639*N639)</f>
        <v/>
      </c>
      <c r="Q639" s="7">
        <f>IF($U639="","",P639+M639)</f>
        <v/>
      </c>
      <c r="R639" s="7">
        <f>IF($U639="","",S639-Q639)</f>
        <v/>
      </c>
      <c r="S639" s="7">
        <f>IF($U639="","",L639+O639)</f>
        <v/>
      </c>
      <c r="T639" s="7">
        <f>IF($U639="","",S639-Q639-G639)</f>
        <v/>
      </c>
      <c r="U639" s="13">
        <f>IF(ROWS($U$2:$U639)&lt;=MAX('Per Line'!$V$2:$V$3001),MATCH(ROWS($U$2:$U639),'Per Line'!$V$2:$V$3001,0),"")</f>
        <v/>
      </c>
    </row>
    <row r="640">
      <c r="A640">
        <f>IF($U640="","",INDEX('Per Line'!$A$2:$A$3001,$U640)&amp;"")</f>
        <v/>
      </c>
      <c r="B640" s="12" t="n"/>
      <c r="C640">
        <f>IF($U640="","",INDEX('Per Line'!$B$2:$B$3001,$U640)&amp;"")</f>
        <v/>
      </c>
      <c r="D640">
        <f>IF($U640="","",INDEX('Per Line'!$C$2:$C$3001,$U640)&amp;"")</f>
        <v/>
      </c>
      <c r="E640">
        <f>IF($U640="","",INDEX('Per Line'!$D$2:$D$3001,$U640)&amp;"")</f>
        <v/>
      </c>
      <c r="F640">
        <f>IF($U640="","",INDEX('Per Line'!$E$2:$E$3001,$U640))</f>
        <v/>
      </c>
      <c r="G640" s="7">
        <f>IF($U640="","",F640*S640/100)</f>
        <v/>
      </c>
      <c r="H640">
        <f>IF($U640="","",INDEX('Per Line'!$O$2:$O$3001,$U640)&amp;"")</f>
        <v/>
      </c>
      <c r="I640" s="11">
        <f>IF($U640="","",INDEX('Per Line'!$Q$2:$Q$3001,$U640))</f>
        <v/>
      </c>
      <c r="J640">
        <f>IF($U640="","",INDEX('Per Line'!$R$2:$R$3001,$U640)&amp;"")</f>
        <v/>
      </c>
      <c r="K640">
        <f>IF($U640="","",Settings!$C$7)</f>
        <v/>
      </c>
      <c r="L640" s="7">
        <f>IF($U640="","",SUMIFS('Per Line'!$N$2:$N$3001,'Per Line'!$A$2:$A$3001,$A640,'Per Line'!$W$2:$W$3001,0))</f>
        <v/>
      </c>
      <c r="M640" s="7">
        <f>IF($U640="","",L640*K640)</f>
        <v/>
      </c>
      <c r="N640">
        <f>IF($U640="","",Settings!$C$6)</f>
        <v/>
      </c>
      <c r="O640" s="7">
        <f>IF($U640="","",SUMIFS('Per Line'!$N$2:$N$3001,'Per Line'!$A$2:$A$3001,$A640,'Per Line'!$W$2:$W$3001,1))</f>
        <v/>
      </c>
      <c r="P640" s="7">
        <f>IF($U640="","",O640*N640)</f>
        <v/>
      </c>
      <c r="Q640" s="7">
        <f>IF($U640="","",P640+M640)</f>
        <v/>
      </c>
      <c r="R640" s="7">
        <f>IF($U640="","",S640-Q640)</f>
        <v/>
      </c>
      <c r="S640" s="7">
        <f>IF($U640="","",L640+O640)</f>
        <v/>
      </c>
      <c r="T640" s="7">
        <f>IF($U640="","",S640-Q640-G640)</f>
        <v/>
      </c>
      <c r="U640" s="13">
        <f>IF(ROWS($U$2:$U640)&lt;=MAX('Per Line'!$V$2:$V$3001),MATCH(ROWS($U$2:$U640),'Per Line'!$V$2:$V$3001,0),"")</f>
        <v/>
      </c>
    </row>
    <row r="641">
      <c r="A641">
        <f>IF($U641="","",INDEX('Per Line'!$A$2:$A$3001,$U641)&amp;"")</f>
        <v/>
      </c>
      <c r="B641" s="12" t="n"/>
      <c r="C641">
        <f>IF($U641="","",INDEX('Per Line'!$B$2:$B$3001,$U641)&amp;"")</f>
        <v/>
      </c>
      <c r="D641">
        <f>IF($U641="","",INDEX('Per Line'!$C$2:$C$3001,$U641)&amp;"")</f>
        <v/>
      </c>
      <c r="E641">
        <f>IF($U641="","",INDEX('Per Line'!$D$2:$D$3001,$U641)&amp;"")</f>
        <v/>
      </c>
      <c r="F641">
        <f>IF($U641="","",INDEX('Per Line'!$E$2:$E$3001,$U641))</f>
        <v/>
      </c>
      <c r="G641" s="7">
        <f>IF($U641="","",F641*S641/100)</f>
        <v/>
      </c>
      <c r="H641">
        <f>IF($U641="","",INDEX('Per Line'!$O$2:$O$3001,$U641)&amp;"")</f>
        <v/>
      </c>
      <c r="I641" s="11">
        <f>IF($U641="","",INDEX('Per Line'!$Q$2:$Q$3001,$U641))</f>
        <v/>
      </c>
      <c r="J641">
        <f>IF($U641="","",INDEX('Per Line'!$R$2:$R$3001,$U641)&amp;"")</f>
        <v/>
      </c>
      <c r="K641">
        <f>IF($U641="","",Settings!$C$7)</f>
        <v/>
      </c>
      <c r="L641" s="7">
        <f>IF($U641="","",SUMIFS('Per Line'!$N$2:$N$3001,'Per Line'!$A$2:$A$3001,$A641,'Per Line'!$W$2:$W$3001,0))</f>
        <v/>
      </c>
      <c r="M641" s="7">
        <f>IF($U641="","",L641*K641)</f>
        <v/>
      </c>
      <c r="N641">
        <f>IF($U641="","",Settings!$C$6)</f>
        <v/>
      </c>
      <c r="O641" s="7">
        <f>IF($U641="","",SUMIFS('Per Line'!$N$2:$N$3001,'Per Line'!$A$2:$A$3001,$A641,'Per Line'!$W$2:$W$3001,1))</f>
        <v/>
      </c>
      <c r="P641" s="7">
        <f>IF($U641="","",O641*N641)</f>
        <v/>
      </c>
      <c r="Q641" s="7">
        <f>IF($U641="","",P641+M641)</f>
        <v/>
      </c>
      <c r="R641" s="7">
        <f>IF($U641="","",S641-Q641)</f>
        <v/>
      </c>
      <c r="S641" s="7">
        <f>IF($U641="","",L641+O641)</f>
        <v/>
      </c>
      <c r="T641" s="7">
        <f>IF($U641="","",S641-Q641-G641)</f>
        <v/>
      </c>
      <c r="U641" s="13">
        <f>IF(ROWS($U$2:$U641)&lt;=MAX('Per Line'!$V$2:$V$3001),MATCH(ROWS($U$2:$U641),'Per Line'!$V$2:$V$3001,0),"")</f>
        <v/>
      </c>
    </row>
    <row r="642">
      <c r="A642">
        <f>IF($U642="","",INDEX('Per Line'!$A$2:$A$3001,$U642)&amp;"")</f>
        <v/>
      </c>
      <c r="B642" s="12" t="n"/>
      <c r="C642">
        <f>IF($U642="","",INDEX('Per Line'!$B$2:$B$3001,$U642)&amp;"")</f>
        <v/>
      </c>
      <c r="D642">
        <f>IF($U642="","",INDEX('Per Line'!$C$2:$C$3001,$U642)&amp;"")</f>
        <v/>
      </c>
      <c r="E642">
        <f>IF($U642="","",INDEX('Per Line'!$D$2:$D$3001,$U642)&amp;"")</f>
        <v/>
      </c>
      <c r="F642">
        <f>IF($U642="","",INDEX('Per Line'!$E$2:$E$3001,$U642))</f>
        <v/>
      </c>
      <c r="G642" s="7">
        <f>IF($U642="","",F642*S642/100)</f>
        <v/>
      </c>
      <c r="H642">
        <f>IF($U642="","",INDEX('Per Line'!$O$2:$O$3001,$U642)&amp;"")</f>
        <v/>
      </c>
      <c r="I642" s="11">
        <f>IF($U642="","",INDEX('Per Line'!$Q$2:$Q$3001,$U642))</f>
        <v/>
      </c>
      <c r="J642">
        <f>IF($U642="","",INDEX('Per Line'!$R$2:$R$3001,$U642)&amp;"")</f>
        <v/>
      </c>
      <c r="K642">
        <f>IF($U642="","",Settings!$C$7)</f>
        <v/>
      </c>
      <c r="L642" s="7">
        <f>IF($U642="","",SUMIFS('Per Line'!$N$2:$N$3001,'Per Line'!$A$2:$A$3001,$A642,'Per Line'!$W$2:$W$3001,0))</f>
        <v/>
      </c>
      <c r="M642" s="7">
        <f>IF($U642="","",L642*K642)</f>
        <v/>
      </c>
      <c r="N642">
        <f>IF($U642="","",Settings!$C$6)</f>
        <v/>
      </c>
      <c r="O642" s="7">
        <f>IF($U642="","",SUMIFS('Per Line'!$N$2:$N$3001,'Per Line'!$A$2:$A$3001,$A642,'Per Line'!$W$2:$W$3001,1))</f>
        <v/>
      </c>
      <c r="P642" s="7">
        <f>IF($U642="","",O642*N642)</f>
        <v/>
      </c>
      <c r="Q642" s="7">
        <f>IF($U642="","",P642+M642)</f>
        <v/>
      </c>
      <c r="R642" s="7">
        <f>IF($U642="","",S642-Q642)</f>
        <v/>
      </c>
      <c r="S642" s="7">
        <f>IF($U642="","",L642+O642)</f>
        <v/>
      </c>
      <c r="T642" s="7">
        <f>IF($U642="","",S642-Q642-G642)</f>
        <v/>
      </c>
      <c r="U642" s="13">
        <f>IF(ROWS($U$2:$U642)&lt;=MAX('Per Line'!$V$2:$V$3001),MATCH(ROWS($U$2:$U642),'Per Line'!$V$2:$V$3001,0),"")</f>
        <v/>
      </c>
    </row>
    <row r="643">
      <c r="A643">
        <f>IF($U643="","",INDEX('Per Line'!$A$2:$A$3001,$U643)&amp;"")</f>
        <v/>
      </c>
      <c r="B643" s="12" t="n"/>
      <c r="C643">
        <f>IF($U643="","",INDEX('Per Line'!$B$2:$B$3001,$U643)&amp;"")</f>
        <v/>
      </c>
      <c r="D643">
        <f>IF($U643="","",INDEX('Per Line'!$C$2:$C$3001,$U643)&amp;"")</f>
        <v/>
      </c>
      <c r="E643">
        <f>IF($U643="","",INDEX('Per Line'!$D$2:$D$3001,$U643)&amp;"")</f>
        <v/>
      </c>
      <c r="F643">
        <f>IF($U643="","",INDEX('Per Line'!$E$2:$E$3001,$U643))</f>
        <v/>
      </c>
      <c r="G643" s="7">
        <f>IF($U643="","",F643*S643/100)</f>
        <v/>
      </c>
      <c r="H643">
        <f>IF($U643="","",INDEX('Per Line'!$O$2:$O$3001,$U643)&amp;"")</f>
        <v/>
      </c>
      <c r="I643" s="11">
        <f>IF($U643="","",INDEX('Per Line'!$Q$2:$Q$3001,$U643))</f>
        <v/>
      </c>
      <c r="J643">
        <f>IF($U643="","",INDEX('Per Line'!$R$2:$R$3001,$U643)&amp;"")</f>
        <v/>
      </c>
      <c r="K643">
        <f>IF($U643="","",Settings!$C$7)</f>
        <v/>
      </c>
      <c r="L643" s="7">
        <f>IF($U643="","",SUMIFS('Per Line'!$N$2:$N$3001,'Per Line'!$A$2:$A$3001,$A643,'Per Line'!$W$2:$W$3001,0))</f>
        <v/>
      </c>
      <c r="M643" s="7">
        <f>IF($U643="","",L643*K643)</f>
        <v/>
      </c>
      <c r="N643">
        <f>IF($U643="","",Settings!$C$6)</f>
        <v/>
      </c>
      <c r="O643" s="7">
        <f>IF($U643="","",SUMIFS('Per Line'!$N$2:$N$3001,'Per Line'!$A$2:$A$3001,$A643,'Per Line'!$W$2:$W$3001,1))</f>
        <v/>
      </c>
      <c r="P643" s="7">
        <f>IF($U643="","",O643*N643)</f>
        <v/>
      </c>
      <c r="Q643" s="7">
        <f>IF($U643="","",P643+M643)</f>
        <v/>
      </c>
      <c r="R643" s="7">
        <f>IF($U643="","",S643-Q643)</f>
        <v/>
      </c>
      <c r="S643" s="7">
        <f>IF($U643="","",L643+O643)</f>
        <v/>
      </c>
      <c r="T643" s="7">
        <f>IF($U643="","",S643-Q643-G643)</f>
        <v/>
      </c>
      <c r="U643" s="13">
        <f>IF(ROWS($U$2:$U643)&lt;=MAX('Per Line'!$V$2:$V$3001),MATCH(ROWS($U$2:$U643),'Per Line'!$V$2:$V$3001,0),"")</f>
        <v/>
      </c>
    </row>
    <row r="644">
      <c r="A644">
        <f>IF($U644="","",INDEX('Per Line'!$A$2:$A$3001,$U644)&amp;"")</f>
        <v/>
      </c>
      <c r="B644" s="12" t="n"/>
      <c r="C644">
        <f>IF($U644="","",INDEX('Per Line'!$B$2:$B$3001,$U644)&amp;"")</f>
        <v/>
      </c>
      <c r="D644">
        <f>IF($U644="","",INDEX('Per Line'!$C$2:$C$3001,$U644)&amp;"")</f>
        <v/>
      </c>
      <c r="E644">
        <f>IF($U644="","",INDEX('Per Line'!$D$2:$D$3001,$U644)&amp;"")</f>
        <v/>
      </c>
      <c r="F644">
        <f>IF($U644="","",INDEX('Per Line'!$E$2:$E$3001,$U644))</f>
        <v/>
      </c>
      <c r="G644" s="7">
        <f>IF($U644="","",F644*S644/100)</f>
        <v/>
      </c>
      <c r="H644">
        <f>IF($U644="","",INDEX('Per Line'!$O$2:$O$3001,$U644)&amp;"")</f>
        <v/>
      </c>
      <c r="I644" s="11">
        <f>IF($U644="","",INDEX('Per Line'!$Q$2:$Q$3001,$U644))</f>
        <v/>
      </c>
      <c r="J644">
        <f>IF($U644="","",INDEX('Per Line'!$R$2:$R$3001,$U644)&amp;"")</f>
        <v/>
      </c>
      <c r="K644">
        <f>IF($U644="","",Settings!$C$7)</f>
        <v/>
      </c>
      <c r="L644" s="7">
        <f>IF($U644="","",SUMIFS('Per Line'!$N$2:$N$3001,'Per Line'!$A$2:$A$3001,$A644,'Per Line'!$W$2:$W$3001,0))</f>
        <v/>
      </c>
      <c r="M644" s="7">
        <f>IF($U644="","",L644*K644)</f>
        <v/>
      </c>
      <c r="N644">
        <f>IF($U644="","",Settings!$C$6)</f>
        <v/>
      </c>
      <c r="O644" s="7">
        <f>IF($U644="","",SUMIFS('Per Line'!$N$2:$N$3001,'Per Line'!$A$2:$A$3001,$A644,'Per Line'!$W$2:$W$3001,1))</f>
        <v/>
      </c>
      <c r="P644" s="7">
        <f>IF($U644="","",O644*N644)</f>
        <v/>
      </c>
      <c r="Q644" s="7">
        <f>IF($U644="","",P644+M644)</f>
        <v/>
      </c>
      <c r="R644" s="7">
        <f>IF($U644="","",S644-Q644)</f>
        <v/>
      </c>
      <c r="S644" s="7">
        <f>IF($U644="","",L644+O644)</f>
        <v/>
      </c>
      <c r="T644" s="7">
        <f>IF($U644="","",S644-Q644-G644)</f>
        <v/>
      </c>
      <c r="U644" s="13">
        <f>IF(ROWS($U$2:$U644)&lt;=MAX('Per Line'!$V$2:$V$3001),MATCH(ROWS($U$2:$U644),'Per Line'!$V$2:$V$3001,0),"")</f>
        <v/>
      </c>
    </row>
    <row r="645">
      <c r="A645">
        <f>IF($U645="","",INDEX('Per Line'!$A$2:$A$3001,$U645)&amp;"")</f>
        <v/>
      </c>
      <c r="B645" s="12" t="n"/>
      <c r="C645">
        <f>IF($U645="","",INDEX('Per Line'!$B$2:$B$3001,$U645)&amp;"")</f>
        <v/>
      </c>
      <c r="D645">
        <f>IF($U645="","",INDEX('Per Line'!$C$2:$C$3001,$U645)&amp;"")</f>
        <v/>
      </c>
      <c r="E645">
        <f>IF($U645="","",INDEX('Per Line'!$D$2:$D$3001,$U645)&amp;"")</f>
        <v/>
      </c>
      <c r="F645">
        <f>IF($U645="","",INDEX('Per Line'!$E$2:$E$3001,$U645))</f>
        <v/>
      </c>
      <c r="G645" s="7">
        <f>IF($U645="","",F645*S645/100)</f>
        <v/>
      </c>
      <c r="H645">
        <f>IF($U645="","",INDEX('Per Line'!$O$2:$O$3001,$U645)&amp;"")</f>
        <v/>
      </c>
      <c r="I645" s="11">
        <f>IF($U645="","",INDEX('Per Line'!$Q$2:$Q$3001,$U645))</f>
        <v/>
      </c>
      <c r="J645">
        <f>IF($U645="","",INDEX('Per Line'!$R$2:$R$3001,$U645)&amp;"")</f>
        <v/>
      </c>
      <c r="K645">
        <f>IF($U645="","",Settings!$C$7)</f>
        <v/>
      </c>
      <c r="L645" s="7">
        <f>IF($U645="","",SUMIFS('Per Line'!$N$2:$N$3001,'Per Line'!$A$2:$A$3001,$A645,'Per Line'!$W$2:$W$3001,0))</f>
        <v/>
      </c>
      <c r="M645" s="7">
        <f>IF($U645="","",L645*K645)</f>
        <v/>
      </c>
      <c r="N645">
        <f>IF($U645="","",Settings!$C$6)</f>
        <v/>
      </c>
      <c r="O645" s="7">
        <f>IF($U645="","",SUMIFS('Per Line'!$N$2:$N$3001,'Per Line'!$A$2:$A$3001,$A645,'Per Line'!$W$2:$W$3001,1))</f>
        <v/>
      </c>
      <c r="P645" s="7">
        <f>IF($U645="","",O645*N645)</f>
        <v/>
      </c>
      <c r="Q645" s="7">
        <f>IF($U645="","",P645+M645)</f>
        <v/>
      </c>
      <c r="R645" s="7">
        <f>IF($U645="","",S645-Q645)</f>
        <v/>
      </c>
      <c r="S645" s="7">
        <f>IF($U645="","",L645+O645)</f>
        <v/>
      </c>
      <c r="T645" s="7">
        <f>IF($U645="","",S645-Q645-G645)</f>
        <v/>
      </c>
      <c r="U645" s="13">
        <f>IF(ROWS($U$2:$U645)&lt;=MAX('Per Line'!$V$2:$V$3001),MATCH(ROWS($U$2:$U645),'Per Line'!$V$2:$V$3001,0),"")</f>
        <v/>
      </c>
    </row>
    <row r="646">
      <c r="A646">
        <f>IF($U646="","",INDEX('Per Line'!$A$2:$A$3001,$U646)&amp;"")</f>
        <v/>
      </c>
      <c r="B646" s="12" t="n"/>
      <c r="C646">
        <f>IF($U646="","",INDEX('Per Line'!$B$2:$B$3001,$U646)&amp;"")</f>
        <v/>
      </c>
      <c r="D646">
        <f>IF($U646="","",INDEX('Per Line'!$C$2:$C$3001,$U646)&amp;"")</f>
        <v/>
      </c>
      <c r="E646">
        <f>IF($U646="","",INDEX('Per Line'!$D$2:$D$3001,$U646)&amp;"")</f>
        <v/>
      </c>
      <c r="F646">
        <f>IF($U646="","",INDEX('Per Line'!$E$2:$E$3001,$U646))</f>
        <v/>
      </c>
      <c r="G646" s="7">
        <f>IF($U646="","",F646*S646/100)</f>
        <v/>
      </c>
      <c r="H646">
        <f>IF($U646="","",INDEX('Per Line'!$O$2:$O$3001,$U646)&amp;"")</f>
        <v/>
      </c>
      <c r="I646" s="11">
        <f>IF($U646="","",INDEX('Per Line'!$Q$2:$Q$3001,$U646))</f>
        <v/>
      </c>
      <c r="J646">
        <f>IF($U646="","",INDEX('Per Line'!$R$2:$R$3001,$U646)&amp;"")</f>
        <v/>
      </c>
      <c r="K646">
        <f>IF($U646="","",Settings!$C$7)</f>
        <v/>
      </c>
      <c r="L646" s="7">
        <f>IF($U646="","",SUMIFS('Per Line'!$N$2:$N$3001,'Per Line'!$A$2:$A$3001,$A646,'Per Line'!$W$2:$W$3001,0))</f>
        <v/>
      </c>
      <c r="M646" s="7">
        <f>IF($U646="","",L646*K646)</f>
        <v/>
      </c>
      <c r="N646">
        <f>IF($U646="","",Settings!$C$6)</f>
        <v/>
      </c>
      <c r="O646" s="7">
        <f>IF($U646="","",SUMIFS('Per Line'!$N$2:$N$3001,'Per Line'!$A$2:$A$3001,$A646,'Per Line'!$W$2:$W$3001,1))</f>
        <v/>
      </c>
      <c r="P646" s="7">
        <f>IF($U646="","",O646*N646)</f>
        <v/>
      </c>
      <c r="Q646" s="7">
        <f>IF($U646="","",P646+M646)</f>
        <v/>
      </c>
      <c r="R646" s="7">
        <f>IF($U646="","",S646-Q646)</f>
        <v/>
      </c>
      <c r="S646" s="7">
        <f>IF($U646="","",L646+O646)</f>
        <v/>
      </c>
      <c r="T646" s="7">
        <f>IF($U646="","",S646-Q646-G646)</f>
        <v/>
      </c>
      <c r="U646" s="13">
        <f>IF(ROWS($U$2:$U646)&lt;=MAX('Per Line'!$V$2:$V$3001),MATCH(ROWS($U$2:$U646),'Per Line'!$V$2:$V$3001,0),"")</f>
        <v/>
      </c>
    </row>
    <row r="647">
      <c r="A647">
        <f>IF($U647="","",INDEX('Per Line'!$A$2:$A$3001,$U647)&amp;"")</f>
        <v/>
      </c>
      <c r="B647" s="12" t="n"/>
      <c r="C647">
        <f>IF($U647="","",INDEX('Per Line'!$B$2:$B$3001,$U647)&amp;"")</f>
        <v/>
      </c>
      <c r="D647">
        <f>IF($U647="","",INDEX('Per Line'!$C$2:$C$3001,$U647)&amp;"")</f>
        <v/>
      </c>
      <c r="E647">
        <f>IF($U647="","",INDEX('Per Line'!$D$2:$D$3001,$U647)&amp;"")</f>
        <v/>
      </c>
      <c r="F647">
        <f>IF($U647="","",INDEX('Per Line'!$E$2:$E$3001,$U647))</f>
        <v/>
      </c>
      <c r="G647" s="7">
        <f>IF($U647="","",F647*S647/100)</f>
        <v/>
      </c>
      <c r="H647">
        <f>IF($U647="","",INDEX('Per Line'!$O$2:$O$3001,$U647)&amp;"")</f>
        <v/>
      </c>
      <c r="I647" s="11">
        <f>IF($U647="","",INDEX('Per Line'!$Q$2:$Q$3001,$U647))</f>
        <v/>
      </c>
      <c r="J647">
        <f>IF($U647="","",INDEX('Per Line'!$R$2:$R$3001,$U647)&amp;"")</f>
        <v/>
      </c>
      <c r="K647">
        <f>IF($U647="","",Settings!$C$7)</f>
        <v/>
      </c>
      <c r="L647" s="7">
        <f>IF($U647="","",SUMIFS('Per Line'!$N$2:$N$3001,'Per Line'!$A$2:$A$3001,$A647,'Per Line'!$W$2:$W$3001,0))</f>
        <v/>
      </c>
      <c r="M647" s="7">
        <f>IF($U647="","",L647*K647)</f>
        <v/>
      </c>
      <c r="N647">
        <f>IF($U647="","",Settings!$C$6)</f>
        <v/>
      </c>
      <c r="O647" s="7">
        <f>IF($U647="","",SUMIFS('Per Line'!$N$2:$N$3001,'Per Line'!$A$2:$A$3001,$A647,'Per Line'!$W$2:$W$3001,1))</f>
        <v/>
      </c>
      <c r="P647" s="7">
        <f>IF($U647="","",O647*N647)</f>
        <v/>
      </c>
      <c r="Q647" s="7">
        <f>IF($U647="","",P647+M647)</f>
        <v/>
      </c>
      <c r="R647" s="7">
        <f>IF($U647="","",S647-Q647)</f>
        <v/>
      </c>
      <c r="S647" s="7">
        <f>IF($U647="","",L647+O647)</f>
        <v/>
      </c>
      <c r="T647" s="7">
        <f>IF($U647="","",S647-Q647-G647)</f>
        <v/>
      </c>
      <c r="U647" s="13">
        <f>IF(ROWS($U$2:$U647)&lt;=MAX('Per Line'!$V$2:$V$3001),MATCH(ROWS($U$2:$U647),'Per Line'!$V$2:$V$3001,0),"")</f>
        <v/>
      </c>
    </row>
    <row r="648">
      <c r="A648">
        <f>IF($U648="","",INDEX('Per Line'!$A$2:$A$3001,$U648)&amp;"")</f>
        <v/>
      </c>
      <c r="B648" s="12" t="n"/>
      <c r="C648">
        <f>IF($U648="","",INDEX('Per Line'!$B$2:$B$3001,$U648)&amp;"")</f>
        <v/>
      </c>
      <c r="D648">
        <f>IF($U648="","",INDEX('Per Line'!$C$2:$C$3001,$U648)&amp;"")</f>
        <v/>
      </c>
      <c r="E648">
        <f>IF($U648="","",INDEX('Per Line'!$D$2:$D$3001,$U648)&amp;"")</f>
        <v/>
      </c>
      <c r="F648">
        <f>IF($U648="","",INDEX('Per Line'!$E$2:$E$3001,$U648))</f>
        <v/>
      </c>
      <c r="G648" s="7">
        <f>IF($U648="","",F648*S648/100)</f>
        <v/>
      </c>
      <c r="H648">
        <f>IF($U648="","",INDEX('Per Line'!$O$2:$O$3001,$U648)&amp;"")</f>
        <v/>
      </c>
      <c r="I648" s="11">
        <f>IF($U648="","",INDEX('Per Line'!$Q$2:$Q$3001,$U648))</f>
        <v/>
      </c>
      <c r="J648">
        <f>IF($U648="","",INDEX('Per Line'!$R$2:$R$3001,$U648)&amp;"")</f>
        <v/>
      </c>
      <c r="K648">
        <f>IF($U648="","",Settings!$C$7)</f>
        <v/>
      </c>
      <c r="L648" s="7">
        <f>IF($U648="","",SUMIFS('Per Line'!$N$2:$N$3001,'Per Line'!$A$2:$A$3001,$A648,'Per Line'!$W$2:$W$3001,0))</f>
        <v/>
      </c>
      <c r="M648" s="7">
        <f>IF($U648="","",L648*K648)</f>
        <v/>
      </c>
      <c r="N648">
        <f>IF($U648="","",Settings!$C$6)</f>
        <v/>
      </c>
      <c r="O648" s="7">
        <f>IF($U648="","",SUMIFS('Per Line'!$N$2:$N$3001,'Per Line'!$A$2:$A$3001,$A648,'Per Line'!$W$2:$W$3001,1))</f>
        <v/>
      </c>
      <c r="P648" s="7">
        <f>IF($U648="","",O648*N648)</f>
        <v/>
      </c>
      <c r="Q648" s="7">
        <f>IF($U648="","",P648+M648)</f>
        <v/>
      </c>
      <c r="R648" s="7">
        <f>IF($U648="","",S648-Q648)</f>
        <v/>
      </c>
      <c r="S648" s="7">
        <f>IF($U648="","",L648+O648)</f>
        <v/>
      </c>
      <c r="T648" s="7">
        <f>IF($U648="","",S648-Q648-G648)</f>
        <v/>
      </c>
      <c r="U648" s="13">
        <f>IF(ROWS($U$2:$U648)&lt;=MAX('Per Line'!$V$2:$V$3001),MATCH(ROWS($U$2:$U648),'Per Line'!$V$2:$V$3001,0),"")</f>
        <v/>
      </c>
    </row>
    <row r="649">
      <c r="A649">
        <f>IF($U649="","",INDEX('Per Line'!$A$2:$A$3001,$U649)&amp;"")</f>
        <v/>
      </c>
      <c r="B649" s="12" t="n"/>
      <c r="C649">
        <f>IF($U649="","",INDEX('Per Line'!$B$2:$B$3001,$U649)&amp;"")</f>
        <v/>
      </c>
      <c r="D649">
        <f>IF($U649="","",INDEX('Per Line'!$C$2:$C$3001,$U649)&amp;"")</f>
        <v/>
      </c>
      <c r="E649">
        <f>IF($U649="","",INDEX('Per Line'!$D$2:$D$3001,$U649)&amp;"")</f>
        <v/>
      </c>
      <c r="F649">
        <f>IF($U649="","",INDEX('Per Line'!$E$2:$E$3001,$U649))</f>
        <v/>
      </c>
      <c r="G649" s="7">
        <f>IF($U649="","",F649*S649/100)</f>
        <v/>
      </c>
      <c r="H649">
        <f>IF($U649="","",INDEX('Per Line'!$O$2:$O$3001,$U649)&amp;"")</f>
        <v/>
      </c>
      <c r="I649" s="11">
        <f>IF($U649="","",INDEX('Per Line'!$Q$2:$Q$3001,$U649))</f>
        <v/>
      </c>
      <c r="J649">
        <f>IF($U649="","",INDEX('Per Line'!$R$2:$R$3001,$U649)&amp;"")</f>
        <v/>
      </c>
      <c r="K649">
        <f>IF($U649="","",Settings!$C$7)</f>
        <v/>
      </c>
      <c r="L649" s="7">
        <f>IF($U649="","",SUMIFS('Per Line'!$N$2:$N$3001,'Per Line'!$A$2:$A$3001,$A649,'Per Line'!$W$2:$W$3001,0))</f>
        <v/>
      </c>
      <c r="M649" s="7">
        <f>IF($U649="","",L649*K649)</f>
        <v/>
      </c>
      <c r="N649">
        <f>IF($U649="","",Settings!$C$6)</f>
        <v/>
      </c>
      <c r="O649" s="7">
        <f>IF($U649="","",SUMIFS('Per Line'!$N$2:$N$3001,'Per Line'!$A$2:$A$3001,$A649,'Per Line'!$W$2:$W$3001,1))</f>
        <v/>
      </c>
      <c r="P649" s="7">
        <f>IF($U649="","",O649*N649)</f>
        <v/>
      </c>
      <c r="Q649" s="7">
        <f>IF($U649="","",P649+M649)</f>
        <v/>
      </c>
      <c r="R649" s="7">
        <f>IF($U649="","",S649-Q649)</f>
        <v/>
      </c>
      <c r="S649" s="7">
        <f>IF($U649="","",L649+O649)</f>
        <v/>
      </c>
      <c r="T649" s="7">
        <f>IF($U649="","",S649-Q649-G649)</f>
        <v/>
      </c>
      <c r="U649" s="13">
        <f>IF(ROWS($U$2:$U649)&lt;=MAX('Per Line'!$V$2:$V$3001),MATCH(ROWS($U$2:$U649),'Per Line'!$V$2:$V$3001,0),"")</f>
        <v/>
      </c>
    </row>
    <row r="650">
      <c r="A650">
        <f>IF($U650="","",INDEX('Per Line'!$A$2:$A$3001,$U650)&amp;"")</f>
        <v/>
      </c>
      <c r="B650" s="12" t="n"/>
      <c r="C650">
        <f>IF($U650="","",INDEX('Per Line'!$B$2:$B$3001,$U650)&amp;"")</f>
        <v/>
      </c>
      <c r="D650">
        <f>IF($U650="","",INDEX('Per Line'!$C$2:$C$3001,$U650)&amp;"")</f>
        <v/>
      </c>
      <c r="E650">
        <f>IF($U650="","",INDEX('Per Line'!$D$2:$D$3001,$U650)&amp;"")</f>
        <v/>
      </c>
      <c r="F650">
        <f>IF($U650="","",INDEX('Per Line'!$E$2:$E$3001,$U650))</f>
        <v/>
      </c>
      <c r="G650" s="7">
        <f>IF($U650="","",F650*S650/100)</f>
        <v/>
      </c>
      <c r="H650">
        <f>IF($U650="","",INDEX('Per Line'!$O$2:$O$3001,$U650)&amp;"")</f>
        <v/>
      </c>
      <c r="I650" s="11">
        <f>IF($U650="","",INDEX('Per Line'!$Q$2:$Q$3001,$U650))</f>
        <v/>
      </c>
      <c r="J650">
        <f>IF($U650="","",INDEX('Per Line'!$R$2:$R$3001,$U650)&amp;"")</f>
        <v/>
      </c>
      <c r="K650">
        <f>IF($U650="","",Settings!$C$7)</f>
        <v/>
      </c>
      <c r="L650" s="7">
        <f>IF($U650="","",SUMIFS('Per Line'!$N$2:$N$3001,'Per Line'!$A$2:$A$3001,$A650,'Per Line'!$W$2:$W$3001,0))</f>
        <v/>
      </c>
      <c r="M650" s="7">
        <f>IF($U650="","",L650*K650)</f>
        <v/>
      </c>
      <c r="N650">
        <f>IF($U650="","",Settings!$C$6)</f>
        <v/>
      </c>
      <c r="O650" s="7">
        <f>IF($U650="","",SUMIFS('Per Line'!$N$2:$N$3001,'Per Line'!$A$2:$A$3001,$A650,'Per Line'!$W$2:$W$3001,1))</f>
        <v/>
      </c>
      <c r="P650" s="7">
        <f>IF($U650="","",O650*N650)</f>
        <v/>
      </c>
      <c r="Q650" s="7">
        <f>IF($U650="","",P650+M650)</f>
        <v/>
      </c>
      <c r="R650" s="7">
        <f>IF($U650="","",S650-Q650)</f>
        <v/>
      </c>
      <c r="S650" s="7">
        <f>IF($U650="","",L650+O650)</f>
        <v/>
      </c>
      <c r="T650" s="7">
        <f>IF($U650="","",S650-Q650-G650)</f>
        <v/>
      </c>
      <c r="U650" s="13">
        <f>IF(ROWS($U$2:$U650)&lt;=MAX('Per Line'!$V$2:$V$3001),MATCH(ROWS($U$2:$U650),'Per Line'!$V$2:$V$3001,0),"")</f>
        <v/>
      </c>
    </row>
    <row r="651">
      <c r="A651">
        <f>IF($U651="","",INDEX('Per Line'!$A$2:$A$3001,$U651)&amp;"")</f>
        <v/>
      </c>
      <c r="B651" s="12" t="n"/>
      <c r="C651">
        <f>IF($U651="","",INDEX('Per Line'!$B$2:$B$3001,$U651)&amp;"")</f>
        <v/>
      </c>
      <c r="D651">
        <f>IF($U651="","",INDEX('Per Line'!$C$2:$C$3001,$U651)&amp;"")</f>
        <v/>
      </c>
      <c r="E651">
        <f>IF($U651="","",INDEX('Per Line'!$D$2:$D$3001,$U651)&amp;"")</f>
        <v/>
      </c>
      <c r="F651">
        <f>IF($U651="","",INDEX('Per Line'!$E$2:$E$3001,$U651))</f>
        <v/>
      </c>
      <c r="G651" s="7">
        <f>IF($U651="","",F651*S651/100)</f>
        <v/>
      </c>
      <c r="H651">
        <f>IF($U651="","",INDEX('Per Line'!$O$2:$O$3001,$U651)&amp;"")</f>
        <v/>
      </c>
      <c r="I651" s="11">
        <f>IF($U651="","",INDEX('Per Line'!$Q$2:$Q$3001,$U651))</f>
        <v/>
      </c>
      <c r="J651">
        <f>IF($U651="","",INDEX('Per Line'!$R$2:$R$3001,$U651)&amp;"")</f>
        <v/>
      </c>
      <c r="K651">
        <f>IF($U651="","",Settings!$C$7)</f>
        <v/>
      </c>
      <c r="L651" s="7">
        <f>IF($U651="","",SUMIFS('Per Line'!$N$2:$N$3001,'Per Line'!$A$2:$A$3001,$A651,'Per Line'!$W$2:$W$3001,0))</f>
        <v/>
      </c>
      <c r="M651" s="7">
        <f>IF($U651="","",L651*K651)</f>
        <v/>
      </c>
      <c r="N651">
        <f>IF($U651="","",Settings!$C$6)</f>
        <v/>
      </c>
      <c r="O651" s="7">
        <f>IF($U651="","",SUMIFS('Per Line'!$N$2:$N$3001,'Per Line'!$A$2:$A$3001,$A651,'Per Line'!$W$2:$W$3001,1))</f>
        <v/>
      </c>
      <c r="P651" s="7">
        <f>IF($U651="","",O651*N651)</f>
        <v/>
      </c>
      <c r="Q651" s="7">
        <f>IF($U651="","",P651+M651)</f>
        <v/>
      </c>
      <c r="R651" s="7">
        <f>IF($U651="","",S651-Q651)</f>
        <v/>
      </c>
      <c r="S651" s="7">
        <f>IF($U651="","",L651+O651)</f>
        <v/>
      </c>
      <c r="T651" s="7">
        <f>IF($U651="","",S651-Q651-G651)</f>
        <v/>
      </c>
      <c r="U651" s="13">
        <f>IF(ROWS($U$2:$U651)&lt;=MAX('Per Line'!$V$2:$V$3001),MATCH(ROWS($U$2:$U651),'Per Line'!$V$2:$V$3001,0),"")</f>
        <v/>
      </c>
    </row>
    <row r="652">
      <c r="A652">
        <f>IF($U652="","",INDEX('Per Line'!$A$2:$A$3001,$U652)&amp;"")</f>
        <v/>
      </c>
      <c r="B652" s="12" t="n"/>
      <c r="C652">
        <f>IF($U652="","",INDEX('Per Line'!$B$2:$B$3001,$U652)&amp;"")</f>
        <v/>
      </c>
      <c r="D652">
        <f>IF($U652="","",INDEX('Per Line'!$C$2:$C$3001,$U652)&amp;"")</f>
        <v/>
      </c>
      <c r="E652">
        <f>IF($U652="","",INDEX('Per Line'!$D$2:$D$3001,$U652)&amp;"")</f>
        <v/>
      </c>
      <c r="F652">
        <f>IF($U652="","",INDEX('Per Line'!$E$2:$E$3001,$U652))</f>
        <v/>
      </c>
      <c r="G652" s="7">
        <f>IF($U652="","",F652*S652/100)</f>
        <v/>
      </c>
      <c r="H652">
        <f>IF($U652="","",INDEX('Per Line'!$O$2:$O$3001,$U652)&amp;"")</f>
        <v/>
      </c>
      <c r="I652" s="11">
        <f>IF($U652="","",INDEX('Per Line'!$Q$2:$Q$3001,$U652))</f>
        <v/>
      </c>
      <c r="J652">
        <f>IF($U652="","",INDEX('Per Line'!$R$2:$R$3001,$U652)&amp;"")</f>
        <v/>
      </c>
      <c r="K652">
        <f>IF($U652="","",Settings!$C$7)</f>
        <v/>
      </c>
      <c r="L652" s="7">
        <f>IF($U652="","",SUMIFS('Per Line'!$N$2:$N$3001,'Per Line'!$A$2:$A$3001,$A652,'Per Line'!$W$2:$W$3001,0))</f>
        <v/>
      </c>
      <c r="M652" s="7">
        <f>IF($U652="","",L652*K652)</f>
        <v/>
      </c>
      <c r="N652">
        <f>IF($U652="","",Settings!$C$6)</f>
        <v/>
      </c>
      <c r="O652" s="7">
        <f>IF($U652="","",SUMIFS('Per Line'!$N$2:$N$3001,'Per Line'!$A$2:$A$3001,$A652,'Per Line'!$W$2:$W$3001,1))</f>
        <v/>
      </c>
      <c r="P652" s="7">
        <f>IF($U652="","",O652*N652)</f>
        <v/>
      </c>
      <c r="Q652" s="7">
        <f>IF($U652="","",P652+M652)</f>
        <v/>
      </c>
      <c r="R652" s="7">
        <f>IF($U652="","",S652-Q652)</f>
        <v/>
      </c>
      <c r="S652" s="7">
        <f>IF($U652="","",L652+O652)</f>
        <v/>
      </c>
      <c r="T652" s="7">
        <f>IF($U652="","",S652-Q652-G652)</f>
        <v/>
      </c>
      <c r="U652" s="13">
        <f>IF(ROWS($U$2:$U652)&lt;=MAX('Per Line'!$V$2:$V$3001),MATCH(ROWS($U$2:$U652),'Per Line'!$V$2:$V$3001,0),"")</f>
        <v/>
      </c>
    </row>
    <row r="653">
      <c r="A653">
        <f>IF($U653="","",INDEX('Per Line'!$A$2:$A$3001,$U653)&amp;"")</f>
        <v/>
      </c>
      <c r="B653" s="12" t="n"/>
      <c r="C653">
        <f>IF($U653="","",INDEX('Per Line'!$B$2:$B$3001,$U653)&amp;"")</f>
        <v/>
      </c>
      <c r="D653">
        <f>IF($U653="","",INDEX('Per Line'!$C$2:$C$3001,$U653)&amp;"")</f>
        <v/>
      </c>
      <c r="E653">
        <f>IF($U653="","",INDEX('Per Line'!$D$2:$D$3001,$U653)&amp;"")</f>
        <v/>
      </c>
      <c r="F653">
        <f>IF($U653="","",INDEX('Per Line'!$E$2:$E$3001,$U653))</f>
        <v/>
      </c>
      <c r="G653" s="7">
        <f>IF($U653="","",F653*S653/100)</f>
        <v/>
      </c>
      <c r="H653">
        <f>IF($U653="","",INDEX('Per Line'!$O$2:$O$3001,$U653)&amp;"")</f>
        <v/>
      </c>
      <c r="I653" s="11">
        <f>IF($U653="","",INDEX('Per Line'!$Q$2:$Q$3001,$U653))</f>
        <v/>
      </c>
      <c r="J653">
        <f>IF($U653="","",INDEX('Per Line'!$R$2:$R$3001,$U653)&amp;"")</f>
        <v/>
      </c>
      <c r="K653">
        <f>IF($U653="","",Settings!$C$7)</f>
        <v/>
      </c>
      <c r="L653" s="7">
        <f>IF($U653="","",SUMIFS('Per Line'!$N$2:$N$3001,'Per Line'!$A$2:$A$3001,$A653,'Per Line'!$W$2:$W$3001,0))</f>
        <v/>
      </c>
      <c r="M653" s="7">
        <f>IF($U653="","",L653*K653)</f>
        <v/>
      </c>
      <c r="N653">
        <f>IF($U653="","",Settings!$C$6)</f>
        <v/>
      </c>
      <c r="O653" s="7">
        <f>IF($U653="","",SUMIFS('Per Line'!$N$2:$N$3001,'Per Line'!$A$2:$A$3001,$A653,'Per Line'!$W$2:$W$3001,1))</f>
        <v/>
      </c>
      <c r="P653" s="7">
        <f>IF($U653="","",O653*N653)</f>
        <v/>
      </c>
      <c r="Q653" s="7">
        <f>IF($U653="","",P653+M653)</f>
        <v/>
      </c>
      <c r="R653" s="7">
        <f>IF($U653="","",S653-Q653)</f>
        <v/>
      </c>
      <c r="S653" s="7">
        <f>IF($U653="","",L653+O653)</f>
        <v/>
      </c>
      <c r="T653" s="7">
        <f>IF($U653="","",S653-Q653-G653)</f>
        <v/>
      </c>
      <c r="U653" s="13">
        <f>IF(ROWS($U$2:$U653)&lt;=MAX('Per Line'!$V$2:$V$3001),MATCH(ROWS($U$2:$U653),'Per Line'!$V$2:$V$3001,0),"")</f>
        <v/>
      </c>
    </row>
    <row r="654">
      <c r="A654">
        <f>IF($U654="","",INDEX('Per Line'!$A$2:$A$3001,$U654)&amp;"")</f>
        <v/>
      </c>
      <c r="B654" s="12" t="n"/>
      <c r="C654">
        <f>IF($U654="","",INDEX('Per Line'!$B$2:$B$3001,$U654)&amp;"")</f>
        <v/>
      </c>
      <c r="D654">
        <f>IF($U654="","",INDEX('Per Line'!$C$2:$C$3001,$U654)&amp;"")</f>
        <v/>
      </c>
      <c r="E654">
        <f>IF($U654="","",INDEX('Per Line'!$D$2:$D$3001,$U654)&amp;"")</f>
        <v/>
      </c>
      <c r="F654">
        <f>IF($U654="","",INDEX('Per Line'!$E$2:$E$3001,$U654))</f>
        <v/>
      </c>
      <c r="G654" s="7">
        <f>IF($U654="","",F654*S654/100)</f>
        <v/>
      </c>
      <c r="H654">
        <f>IF($U654="","",INDEX('Per Line'!$O$2:$O$3001,$U654)&amp;"")</f>
        <v/>
      </c>
      <c r="I654" s="11">
        <f>IF($U654="","",INDEX('Per Line'!$Q$2:$Q$3001,$U654))</f>
        <v/>
      </c>
      <c r="J654">
        <f>IF($U654="","",INDEX('Per Line'!$R$2:$R$3001,$U654)&amp;"")</f>
        <v/>
      </c>
      <c r="K654">
        <f>IF($U654="","",Settings!$C$7)</f>
        <v/>
      </c>
      <c r="L654" s="7">
        <f>IF($U654="","",SUMIFS('Per Line'!$N$2:$N$3001,'Per Line'!$A$2:$A$3001,$A654,'Per Line'!$W$2:$W$3001,0))</f>
        <v/>
      </c>
      <c r="M654" s="7">
        <f>IF($U654="","",L654*K654)</f>
        <v/>
      </c>
      <c r="N654">
        <f>IF($U654="","",Settings!$C$6)</f>
        <v/>
      </c>
      <c r="O654" s="7">
        <f>IF($U654="","",SUMIFS('Per Line'!$N$2:$N$3001,'Per Line'!$A$2:$A$3001,$A654,'Per Line'!$W$2:$W$3001,1))</f>
        <v/>
      </c>
      <c r="P654" s="7">
        <f>IF($U654="","",O654*N654)</f>
        <v/>
      </c>
      <c r="Q654" s="7">
        <f>IF($U654="","",P654+M654)</f>
        <v/>
      </c>
      <c r="R654" s="7">
        <f>IF($U654="","",S654-Q654)</f>
        <v/>
      </c>
      <c r="S654" s="7">
        <f>IF($U654="","",L654+O654)</f>
        <v/>
      </c>
      <c r="T654" s="7">
        <f>IF($U654="","",S654-Q654-G654)</f>
        <v/>
      </c>
      <c r="U654" s="13">
        <f>IF(ROWS($U$2:$U654)&lt;=MAX('Per Line'!$V$2:$V$3001),MATCH(ROWS($U$2:$U654),'Per Line'!$V$2:$V$3001,0),"")</f>
        <v/>
      </c>
    </row>
    <row r="655">
      <c r="A655">
        <f>IF($U655="","",INDEX('Per Line'!$A$2:$A$3001,$U655)&amp;"")</f>
        <v/>
      </c>
      <c r="B655" s="12" t="n"/>
      <c r="C655">
        <f>IF($U655="","",INDEX('Per Line'!$B$2:$B$3001,$U655)&amp;"")</f>
        <v/>
      </c>
      <c r="D655">
        <f>IF($U655="","",INDEX('Per Line'!$C$2:$C$3001,$U655)&amp;"")</f>
        <v/>
      </c>
      <c r="E655">
        <f>IF($U655="","",INDEX('Per Line'!$D$2:$D$3001,$U655)&amp;"")</f>
        <v/>
      </c>
      <c r="F655">
        <f>IF($U655="","",INDEX('Per Line'!$E$2:$E$3001,$U655))</f>
        <v/>
      </c>
      <c r="G655" s="7">
        <f>IF($U655="","",F655*S655/100)</f>
        <v/>
      </c>
      <c r="H655">
        <f>IF($U655="","",INDEX('Per Line'!$O$2:$O$3001,$U655)&amp;"")</f>
        <v/>
      </c>
      <c r="I655" s="11">
        <f>IF($U655="","",INDEX('Per Line'!$Q$2:$Q$3001,$U655))</f>
        <v/>
      </c>
      <c r="J655">
        <f>IF($U655="","",INDEX('Per Line'!$R$2:$R$3001,$U655)&amp;"")</f>
        <v/>
      </c>
      <c r="K655">
        <f>IF($U655="","",Settings!$C$7)</f>
        <v/>
      </c>
      <c r="L655" s="7">
        <f>IF($U655="","",SUMIFS('Per Line'!$N$2:$N$3001,'Per Line'!$A$2:$A$3001,$A655,'Per Line'!$W$2:$W$3001,0))</f>
        <v/>
      </c>
      <c r="M655" s="7">
        <f>IF($U655="","",L655*K655)</f>
        <v/>
      </c>
      <c r="N655">
        <f>IF($U655="","",Settings!$C$6)</f>
        <v/>
      </c>
      <c r="O655" s="7">
        <f>IF($U655="","",SUMIFS('Per Line'!$N$2:$N$3001,'Per Line'!$A$2:$A$3001,$A655,'Per Line'!$W$2:$W$3001,1))</f>
        <v/>
      </c>
      <c r="P655" s="7">
        <f>IF($U655="","",O655*N655)</f>
        <v/>
      </c>
      <c r="Q655" s="7">
        <f>IF($U655="","",P655+M655)</f>
        <v/>
      </c>
      <c r="R655" s="7">
        <f>IF($U655="","",S655-Q655)</f>
        <v/>
      </c>
      <c r="S655" s="7">
        <f>IF($U655="","",L655+O655)</f>
        <v/>
      </c>
      <c r="T655" s="7">
        <f>IF($U655="","",S655-Q655-G655)</f>
        <v/>
      </c>
      <c r="U655" s="13">
        <f>IF(ROWS($U$2:$U655)&lt;=MAX('Per Line'!$V$2:$V$3001),MATCH(ROWS($U$2:$U655),'Per Line'!$V$2:$V$3001,0),"")</f>
        <v/>
      </c>
    </row>
    <row r="656">
      <c r="A656">
        <f>IF($U656="","",INDEX('Per Line'!$A$2:$A$3001,$U656)&amp;"")</f>
        <v/>
      </c>
      <c r="B656" s="12" t="n"/>
      <c r="C656">
        <f>IF($U656="","",INDEX('Per Line'!$B$2:$B$3001,$U656)&amp;"")</f>
        <v/>
      </c>
      <c r="D656">
        <f>IF($U656="","",INDEX('Per Line'!$C$2:$C$3001,$U656)&amp;"")</f>
        <v/>
      </c>
      <c r="E656">
        <f>IF($U656="","",INDEX('Per Line'!$D$2:$D$3001,$U656)&amp;"")</f>
        <v/>
      </c>
      <c r="F656">
        <f>IF($U656="","",INDEX('Per Line'!$E$2:$E$3001,$U656))</f>
        <v/>
      </c>
      <c r="G656" s="7">
        <f>IF($U656="","",F656*S656/100)</f>
        <v/>
      </c>
      <c r="H656">
        <f>IF($U656="","",INDEX('Per Line'!$O$2:$O$3001,$U656)&amp;"")</f>
        <v/>
      </c>
      <c r="I656" s="11">
        <f>IF($U656="","",INDEX('Per Line'!$Q$2:$Q$3001,$U656))</f>
        <v/>
      </c>
      <c r="J656">
        <f>IF($U656="","",INDEX('Per Line'!$R$2:$R$3001,$U656)&amp;"")</f>
        <v/>
      </c>
      <c r="K656">
        <f>IF($U656="","",Settings!$C$7)</f>
        <v/>
      </c>
      <c r="L656" s="7">
        <f>IF($U656="","",SUMIFS('Per Line'!$N$2:$N$3001,'Per Line'!$A$2:$A$3001,$A656,'Per Line'!$W$2:$W$3001,0))</f>
        <v/>
      </c>
      <c r="M656" s="7">
        <f>IF($U656="","",L656*K656)</f>
        <v/>
      </c>
      <c r="N656">
        <f>IF($U656="","",Settings!$C$6)</f>
        <v/>
      </c>
      <c r="O656" s="7">
        <f>IF($U656="","",SUMIFS('Per Line'!$N$2:$N$3001,'Per Line'!$A$2:$A$3001,$A656,'Per Line'!$W$2:$W$3001,1))</f>
        <v/>
      </c>
      <c r="P656" s="7">
        <f>IF($U656="","",O656*N656)</f>
        <v/>
      </c>
      <c r="Q656" s="7">
        <f>IF($U656="","",P656+M656)</f>
        <v/>
      </c>
      <c r="R656" s="7">
        <f>IF($U656="","",S656-Q656)</f>
        <v/>
      </c>
      <c r="S656" s="7">
        <f>IF($U656="","",L656+O656)</f>
        <v/>
      </c>
      <c r="T656" s="7">
        <f>IF($U656="","",S656-Q656-G656)</f>
        <v/>
      </c>
      <c r="U656" s="13">
        <f>IF(ROWS($U$2:$U656)&lt;=MAX('Per Line'!$V$2:$V$3001),MATCH(ROWS($U$2:$U656),'Per Line'!$V$2:$V$3001,0),"")</f>
        <v/>
      </c>
    </row>
    <row r="657">
      <c r="A657">
        <f>IF($U657="","",INDEX('Per Line'!$A$2:$A$3001,$U657)&amp;"")</f>
        <v/>
      </c>
      <c r="B657" s="12" t="n"/>
      <c r="C657">
        <f>IF($U657="","",INDEX('Per Line'!$B$2:$B$3001,$U657)&amp;"")</f>
        <v/>
      </c>
      <c r="D657">
        <f>IF($U657="","",INDEX('Per Line'!$C$2:$C$3001,$U657)&amp;"")</f>
        <v/>
      </c>
      <c r="E657">
        <f>IF($U657="","",INDEX('Per Line'!$D$2:$D$3001,$U657)&amp;"")</f>
        <v/>
      </c>
      <c r="F657">
        <f>IF($U657="","",INDEX('Per Line'!$E$2:$E$3001,$U657))</f>
        <v/>
      </c>
      <c r="G657" s="7">
        <f>IF($U657="","",F657*S657/100)</f>
        <v/>
      </c>
      <c r="H657">
        <f>IF($U657="","",INDEX('Per Line'!$O$2:$O$3001,$U657)&amp;"")</f>
        <v/>
      </c>
      <c r="I657" s="11">
        <f>IF($U657="","",INDEX('Per Line'!$Q$2:$Q$3001,$U657))</f>
        <v/>
      </c>
      <c r="J657">
        <f>IF($U657="","",INDEX('Per Line'!$R$2:$R$3001,$U657)&amp;"")</f>
        <v/>
      </c>
      <c r="K657">
        <f>IF($U657="","",Settings!$C$7)</f>
        <v/>
      </c>
      <c r="L657" s="7">
        <f>IF($U657="","",SUMIFS('Per Line'!$N$2:$N$3001,'Per Line'!$A$2:$A$3001,$A657,'Per Line'!$W$2:$W$3001,0))</f>
        <v/>
      </c>
      <c r="M657" s="7">
        <f>IF($U657="","",L657*K657)</f>
        <v/>
      </c>
      <c r="N657">
        <f>IF($U657="","",Settings!$C$6)</f>
        <v/>
      </c>
      <c r="O657" s="7">
        <f>IF($U657="","",SUMIFS('Per Line'!$N$2:$N$3001,'Per Line'!$A$2:$A$3001,$A657,'Per Line'!$W$2:$W$3001,1))</f>
        <v/>
      </c>
      <c r="P657" s="7">
        <f>IF($U657="","",O657*N657)</f>
        <v/>
      </c>
      <c r="Q657" s="7">
        <f>IF($U657="","",P657+M657)</f>
        <v/>
      </c>
      <c r="R657" s="7">
        <f>IF($U657="","",S657-Q657)</f>
        <v/>
      </c>
      <c r="S657" s="7">
        <f>IF($U657="","",L657+O657)</f>
        <v/>
      </c>
      <c r="T657" s="7">
        <f>IF($U657="","",S657-Q657-G657)</f>
        <v/>
      </c>
      <c r="U657" s="13">
        <f>IF(ROWS($U$2:$U657)&lt;=MAX('Per Line'!$V$2:$V$3001),MATCH(ROWS($U$2:$U657),'Per Line'!$V$2:$V$3001,0),"")</f>
        <v/>
      </c>
    </row>
    <row r="658">
      <c r="A658">
        <f>IF($U658="","",INDEX('Per Line'!$A$2:$A$3001,$U658)&amp;"")</f>
        <v/>
      </c>
      <c r="B658" s="12" t="n"/>
      <c r="C658">
        <f>IF($U658="","",INDEX('Per Line'!$B$2:$B$3001,$U658)&amp;"")</f>
        <v/>
      </c>
      <c r="D658">
        <f>IF($U658="","",INDEX('Per Line'!$C$2:$C$3001,$U658)&amp;"")</f>
        <v/>
      </c>
      <c r="E658">
        <f>IF($U658="","",INDEX('Per Line'!$D$2:$D$3001,$U658)&amp;"")</f>
        <v/>
      </c>
      <c r="F658">
        <f>IF($U658="","",INDEX('Per Line'!$E$2:$E$3001,$U658))</f>
        <v/>
      </c>
      <c r="G658" s="7">
        <f>IF($U658="","",F658*S658/100)</f>
        <v/>
      </c>
      <c r="H658">
        <f>IF($U658="","",INDEX('Per Line'!$O$2:$O$3001,$U658)&amp;"")</f>
        <v/>
      </c>
      <c r="I658" s="11">
        <f>IF($U658="","",INDEX('Per Line'!$Q$2:$Q$3001,$U658))</f>
        <v/>
      </c>
      <c r="J658">
        <f>IF($U658="","",INDEX('Per Line'!$R$2:$R$3001,$U658)&amp;"")</f>
        <v/>
      </c>
      <c r="K658">
        <f>IF($U658="","",Settings!$C$7)</f>
        <v/>
      </c>
      <c r="L658" s="7">
        <f>IF($U658="","",SUMIFS('Per Line'!$N$2:$N$3001,'Per Line'!$A$2:$A$3001,$A658,'Per Line'!$W$2:$W$3001,0))</f>
        <v/>
      </c>
      <c r="M658" s="7">
        <f>IF($U658="","",L658*K658)</f>
        <v/>
      </c>
      <c r="N658">
        <f>IF($U658="","",Settings!$C$6)</f>
        <v/>
      </c>
      <c r="O658" s="7">
        <f>IF($U658="","",SUMIFS('Per Line'!$N$2:$N$3001,'Per Line'!$A$2:$A$3001,$A658,'Per Line'!$W$2:$W$3001,1))</f>
        <v/>
      </c>
      <c r="P658" s="7">
        <f>IF($U658="","",O658*N658)</f>
        <v/>
      </c>
      <c r="Q658" s="7">
        <f>IF($U658="","",P658+M658)</f>
        <v/>
      </c>
      <c r="R658" s="7">
        <f>IF($U658="","",S658-Q658)</f>
        <v/>
      </c>
      <c r="S658" s="7">
        <f>IF($U658="","",L658+O658)</f>
        <v/>
      </c>
      <c r="T658" s="7">
        <f>IF($U658="","",S658-Q658-G658)</f>
        <v/>
      </c>
      <c r="U658" s="13">
        <f>IF(ROWS($U$2:$U658)&lt;=MAX('Per Line'!$V$2:$V$3001),MATCH(ROWS($U$2:$U658),'Per Line'!$V$2:$V$3001,0),"")</f>
        <v/>
      </c>
    </row>
    <row r="659">
      <c r="A659">
        <f>IF($U659="","",INDEX('Per Line'!$A$2:$A$3001,$U659)&amp;"")</f>
        <v/>
      </c>
      <c r="B659" s="12" t="n"/>
      <c r="C659">
        <f>IF($U659="","",INDEX('Per Line'!$B$2:$B$3001,$U659)&amp;"")</f>
        <v/>
      </c>
      <c r="D659">
        <f>IF($U659="","",INDEX('Per Line'!$C$2:$C$3001,$U659)&amp;"")</f>
        <v/>
      </c>
      <c r="E659">
        <f>IF($U659="","",INDEX('Per Line'!$D$2:$D$3001,$U659)&amp;"")</f>
        <v/>
      </c>
      <c r="F659">
        <f>IF($U659="","",INDEX('Per Line'!$E$2:$E$3001,$U659))</f>
        <v/>
      </c>
      <c r="G659" s="7">
        <f>IF($U659="","",F659*S659/100)</f>
        <v/>
      </c>
      <c r="H659">
        <f>IF($U659="","",INDEX('Per Line'!$O$2:$O$3001,$U659)&amp;"")</f>
        <v/>
      </c>
      <c r="I659" s="11">
        <f>IF($U659="","",INDEX('Per Line'!$Q$2:$Q$3001,$U659))</f>
        <v/>
      </c>
      <c r="J659">
        <f>IF($U659="","",INDEX('Per Line'!$R$2:$R$3001,$U659)&amp;"")</f>
        <v/>
      </c>
      <c r="K659">
        <f>IF($U659="","",Settings!$C$7)</f>
        <v/>
      </c>
      <c r="L659" s="7">
        <f>IF($U659="","",SUMIFS('Per Line'!$N$2:$N$3001,'Per Line'!$A$2:$A$3001,$A659,'Per Line'!$W$2:$W$3001,0))</f>
        <v/>
      </c>
      <c r="M659" s="7">
        <f>IF($U659="","",L659*K659)</f>
        <v/>
      </c>
      <c r="N659">
        <f>IF($U659="","",Settings!$C$6)</f>
        <v/>
      </c>
      <c r="O659" s="7">
        <f>IF($U659="","",SUMIFS('Per Line'!$N$2:$N$3001,'Per Line'!$A$2:$A$3001,$A659,'Per Line'!$W$2:$W$3001,1))</f>
        <v/>
      </c>
      <c r="P659" s="7">
        <f>IF($U659="","",O659*N659)</f>
        <v/>
      </c>
      <c r="Q659" s="7">
        <f>IF($U659="","",P659+M659)</f>
        <v/>
      </c>
      <c r="R659" s="7">
        <f>IF($U659="","",S659-Q659)</f>
        <v/>
      </c>
      <c r="S659" s="7">
        <f>IF($U659="","",L659+O659)</f>
        <v/>
      </c>
      <c r="T659" s="7">
        <f>IF($U659="","",S659-Q659-G659)</f>
        <v/>
      </c>
      <c r="U659" s="13">
        <f>IF(ROWS($U$2:$U659)&lt;=MAX('Per Line'!$V$2:$V$3001),MATCH(ROWS($U$2:$U659),'Per Line'!$V$2:$V$3001,0),"")</f>
        <v/>
      </c>
    </row>
    <row r="660">
      <c r="A660">
        <f>IF($U660="","",INDEX('Per Line'!$A$2:$A$3001,$U660)&amp;"")</f>
        <v/>
      </c>
      <c r="B660" s="12" t="n"/>
      <c r="C660">
        <f>IF($U660="","",INDEX('Per Line'!$B$2:$B$3001,$U660)&amp;"")</f>
        <v/>
      </c>
      <c r="D660">
        <f>IF($U660="","",INDEX('Per Line'!$C$2:$C$3001,$U660)&amp;"")</f>
        <v/>
      </c>
      <c r="E660">
        <f>IF($U660="","",INDEX('Per Line'!$D$2:$D$3001,$U660)&amp;"")</f>
        <v/>
      </c>
      <c r="F660">
        <f>IF($U660="","",INDEX('Per Line'!$E$2:$E$3001,$U660))</f>
        <v/>
      </c>
      <c r="G660" s="7">
        <f>IF($U660="","",F660*S660/100)</f>
        <v/>
      </c>
      <c r="H660">
        <f>IF($U660="","",INDEX('Per Line'!$O$2:$O$3001,$U660)&amp;"")</f>
        <v/>
      </c>
      <c r="I660" s="11">
        <f>IF($U660="","",INDEX('Per Line'!$Q$2:$Q$3001,$U660))</f>
        <v/>
      </c>
      <c r="J660">
        <f>IF($U660="","",INDEX('Per Line'!$R$2:$R$3001,$U660)&amp;"")</f>
        <v/>
      </c>
      <c r="K660">
        <f>IF($U660="","",Settings!$C$7)</f>
        <v/>
      </c>
      <c r="L660" s="7">
        <f>IF($U660="","",SUMIFS('Per Line'!$N$2:$N$3001,'Per Line'!$A$2:$A$3001,$A660,'Per Line'!$W$2:$W$3001,0))</f>
        <v/>
      </c>
      <c r="M660" s="7">
        <f>IF($U660="","",L660*K660)</f>
        <v/>
      </c>
      <c r="N660">
        <f>IF($U660="","",Settings!$C$6)</f>
        <v/>
      </c>
      <c r="O660" s="7">
        <f>IF($U660="","",SUMIFS('Per Line'!$N$2:$N$3001,'Per Line'!$A$2:$A$3001,$A660,'Per Line'!$W$2:$W$3001,1))</f>
        <v/>
      </c>
      <c r="P660" s="7">
        <f>IF($U660="","",O660*N660)</f>
        <v/>
      </c>
      <c r="Q660" s="7">
        <f>IF($U660="","",P660+M660)</f>
        <v/>
      </c>
      <c r="R660" s="7">
        <f>IF($U660="","",S660-Q660)</f>
        <v/>
      </c>
      <c r="S660" s="7">
        <f>IF($U660="","",L660+O660)</f>
        <v/>
      </c>
      <c r="T660" s="7">
        <f>IF($U660="","",S660-Q660-G660)</f>
        <v/>
      </c>
      <c r="U660" s="13">
        <f>IF(ROWS($U$2:$U660)&lt;=MAX('Per Line'!$V$2:$V$3001),MATCH(ROWS($U$2:$U660),'Per Line'!$V$2:$V$3001,0),"")</f>
        <v/>
      </c>
    </row>
    <row r="661">
      <c r="A661">
        <f>IF($U661="","",INDEX('Per Line'!$A$2:$A$3001,$U661)&amp;"")</f>
        <v/>
      </c>
      <c r="B661" s="12" t="n"/>
      <c r="C661">
        <f>IF($U661="","",INDEX('Per Line'!$B$2:$B$3001,$U661)&amp;"")</f>
        <v/>
      </c>
      <c r="D661">
        <f>IF($U661="","",INDEX('Per Line'!$C$2:$C$3001,$U661)&amp;"")</f>
        <v/>
      </c>
      <c r="E661">
        <f>IF($U661="","",INDEX('Per Line'!$D$2:$D$3001,$U661)&amp;"")</f>
        <v/>
      </c>
      <c r="F661">
        <f>IF($U661="","",INDEX('Per Line'!$E$2:$E$3001,$U661))</f>
        <v/>
      </c>
      <c r="G661" s="7">
        <f>IF($U661="","",F661*S661/100)</f>
        <v/>
      </c>
      <c r="H661">
        <f>IF($U661="","",INDEX('Per Line'!$O$2:$O$3001,$U661)&amp;"")</f>
        <v/>
      </c>
      <c r="I661" s="11">
        <f>IF($U661="","",INDEX('Per Line'!$Q$2:$Q$3001,$U661))</f>
        <v/>
      </c>
      <c r="J661">
        <f>IF($U661="","",INDEX('Per Line'!$R$2:$R$3001,$U661)&amp;"")</f>
        <v/>
      </c>
      <c r="K661">
        <f>IF($U661="","",Settings!$C$7)</f>
        <v/>
      </c>
      <c r="L661" s="7">
        <f>IF($U661="","",SUMIFS('Per Line'!$N$2:$N$3001,'Per Line'!$A$2:$A$3001,$A661,'Per Line'!$W$2:$W$3001,0))</f>
        <v/>
      </c>
      <c r="M661" s="7">
        <f>IF($U661="","",L661*K661)</f>
        <v/>
      </c>
      <c r="N661">
        <f>IF($U661="","",Settings!$C$6)</f>
        <v/>
      </c>
      <c r="O661" s="7">
        <f>IF($U661="","",SUMIFS('Per Line'!$N$2:$N$3001,'Per Line'!$A$2:$A$3001,$A661,'Per Line'!$W$2:$W$3001,1))</f>
        <v/>
      </c>
      <c r="P661" s="7">
        <f>IF($U661="","",O661*N661)</f>
        <v/>
      </c>
      <c r="Q661" s="7">
        <f>IF($U661="","",P661+M661)</f>
        <v/>
      </c>
      <c r="R661" s="7">
        <f>IF($U661="","",S661-Q661)</f>
        <v/>
      </c>
      <c r="S661" s="7">
        <f>IF($U661="","",L661+O661)</f>
        <v/>
      </c>
      <c r="T661" s="7">
        <f>IF($U661="","",S661-Q661-G661)</f>
        <v/>
      </c>
      <c r="U661" s="13">
        <f>IF(ROWS($U$2:$U661)&lt;=MAX('Per Line'!$V$2:$V$3001),MATCH(ROWS($U$2:$U661),'Per Line'!$V$2:$V$3001,0),"")</f>
        <v/>
      </c>
    </row>
    <row r="662">
      <c r="A662">
        <f>IF($U662="","",INDEX('Per Line'!$A$2:$A$3001,$U662)&amp;"")</f>
        <v/>
      </c>
      <c r="B662" s="12" t="n"/>
      <c r="C662">
        <f>IF($U662="","",INDEX('Per Line'!$B$2:$B$3001,$U662)&amp;"")</f>
        <v/>
      </c>
      <c r="D662">
        <f>IF($U662="","",INDEX('Per Line'!$C$2:$C$3001,$U662)&amp;"")</f>
        <v/>
      </c>
      <c r="E662">
        <f>IF($U662="","",INDEX('Per Line'!$D$2:$D$3001,$U662)&amp;"")</f>
        <v/>
      </c>
      <c r="F662">
        <f>IF($U662="","",INDEX('Per Line'!$E$2:$E$3001,$U662))</f>
        <v/>
      </c>
      <c r="G662" s="7">
        <f>IF($U662="","",F662*S662/100)</f>
        <v/>
      </c>
      <c r="H662">
        <f>IF($U662="","",INDEX('Per Line'!$O$2:$O$3001,$U662)&amp;"")</f>
        <v/>
      </c>
      <c r="I662" s="11">
        <f>IF($U662="","",INDEX('Per Line'!$Q$2:$Q$3001,$U662))</f>
        <v/>
      </c>
      <c r="J662">
        <f>IF($U662="","",INDEX('Per Line'!$R$2:$R$3001,$U662)&amp;"")</f>
        <v/>
      </c>
      <c r="K662">
        <f>IF($U662="","",Settings!$C$7)</f>
        <v/>
      </c>
      <c r="L662" s="7">
        <f>IF($U662="","",SUMIFS('Per Line'!$N$2:$N$3001,'Per Line'!$A$2:$A$3001,$A662,'Per Line'!$W$2:$W$3001,0))</f>
        <v/>
      </c>
      <c r="M662" s="7">
        <f>IF($U662="","",L662*K662)</f>
        <v/>
      </c>
      <c r="N662">
        <f>IF($U662="","",Settings!$C$6)</f>
        <v/>
      </c>
      <c r="O662" s="7">
        <f>IF($U662="","",SUMIFS('Per Line'!$N$2:$N$3001,'Per Line'!$A$2:$A$3001,$A662,'Per Line'!$W$2:$W$3001,1))</f>
        <v/>
      </c>
      <c r="P662" s="7">
        <f>IF($U662="","",O662*N662)</f>
        <v/>
      </c>
      <c r="Q662" s="7">
        <f>IF($U662="","",P662+M662)</f>
        <v/>
      </c>
      <c r="R662" s="7">
        <f>IF($U662="","",S662-Q662)</f>
        <v/>
      </c>
      <c r="S662" s="7">
        <f>IF($U662="","",L662+O662)</f>
        <v/>
      </c>
      <c r="T662" s="7">
        <f>IF($U662="","",S662-Q662-G662)</f>
        <v/>
      </c>
      <c r="U662" s="13">
        <f>IF(ROWS($U$2:$U662)&lt;=MAX('Per Line'!$V$2:$V$3001),MATCH(ROWS($U$2:$U662),'Per Line'!$V$2:$V$3001,0),"")</f>
        <v/>
      </c>
    </row>
    <row r="663">
      <c r="A663">
        <f>IF($U663="","",INDEX('Per Line'!$A$2:$A$3001,$U663)&amp;"")</f>
        <v/>
      </c>
      <c r="B663" s="12" t="n"/>
      <c r="C663">
        <f>IF($U663="","",INDEX('Per Line'!$B$2:$B$3001,$U663)&amp;"")</f>
        <v/>
      </c>
      <c r="D663">
        <f>IF($U663="","",INDEX('Per Line'!$C$2:$C$3001,$U663)&amp;"")</f>
        <v/>
      </c>
      <c r="E663">
        <f>IF($U663="","",INDEX('Per Line'!$D$2:$D$3001,$U663)&amp;"")</f>
        <v/>
      </c>
      <c r="F663">
        <f>IF($U663="","",INDEX('Per Line'!$E$2:$E$3001,$U663))</f>
        <v/>
      </c>
      <c r="G663" s="7">
        <f>IF($U663="","",F663*S663/100)</f>
        <v/>
      </c>
      <c r="H663">
        <f>IF($U663="","",INDEX('Per Line'!$O$2:$O$3001,$U663)&amp;"")</f>
        <v/>
      </c>
      <c r="I663" s="11">
        <f>IF($U663="","",INDEX('Per Line'!$Q$2:$Q$3001,$U663))</f>
        <v/>
      </c>
      <c r="J663">
        <f>IF($U663="","",INDEX('Per Line'!$R$2:$R$3001,$U663)&amp;"")</f>
        <v/>
      </c>
      <c r="K663">
        <f>IF($U663="","",Settings!$C$7)</f>
        <v/>
      </c>
      <c r="L663" s="7">
        <f>IF($U663="","",SUMIFS('Per Line'!$N$2:$N$3001,'Per Line'!$A$2:$A$3001,$A663,'Per Line'!$W$2:$W$3001,0))</f>
        <v/>
      </c>
      <c r="M663" s="7">
        <f>IF($U663="","",L663*K663)</f>
        <v/>
      </c>
      <c r="N663">
        <f>IF($U663="","",Settings!$C$6)</f>
        <v/>
      </c>
      <c r="O663" s="7">
        <f>IF($U663="","",SUMIFS('Per Line'!$N$2:$N$3001,'Per Line'!$A$2:$A$3001,$A663,'Per Line'!$W$2:$W$3001,1))</f>
        <v/>
      </c>
      <c r="P663" s="7">
        <f>IF($U663="","",O663*N663)</f>
        <v/>
      </c>
      <c r="Q663" s="7">
        <f>IF($U663="","",P663+M663)</f>
        <v/>
      </c>
      <c r="R663" s="7">
        <f>IF($U663="","",S663-Q663)</f>
        <v/>
      </c>
      <c r="S663" s="7">
        <f>IF($U663="","",L663+O663)</f>
        <v/>
      </c>
      <c r="T663" s="7">
        <f>IF($U663="","",S663-Q663-G663)</f>
        <v/>
      </c>
      <c r="U663" s="13">
        <f>IF(ROWS($U$2:$U663)&lt;=MAX('Per Line'!$V$2:$V$3001),MATCH(ROWS($U$2:$U663),'Per Line'!$V$2:$V$3001,0),"")</f>
        <v/>
      </c>
    </row>
    <row r="664">
      <c r="A664">
        <f>IF($U664="","",INDEX('Per Line'!$A$2:$A$3001,$U664)&amp;"")</f>
        <v/>
      </c>
      <c r="B664" s="12" t="n"/>
      <c r="C664">
        <f>IF($U664="","",INDEX('Per Line'!$B$2:$B$3001,$U664)&amp;"")</f>
        <v/>
      </c>
      <c r="D664">
        <f>IF($U664="","",INDEX('Per Line'!$C$2:$C$3001,$U664)&amp;"")</f>
        <v/>
      </c>
      <c r="E664">
        <f>IF($U664="","",INDEX('Per Line'!$D$2:$D$3001,$U664)&amp;"")</f>
        <v/>
      </c>
      <c r="F664">
        <f>IF($U664="","",INDEX('Per Line'!$E$2:$E$3001,$U664))</f>
        <v/>
      </c>
      <c r="G664" s="7">
        <f>IF($U664="","",F664*S664/100)</f>
        <v/>
      </c>
      <c r="H664">
        <f>IF($U664="","",INDEX('Per Line'!$O$2:$O$3001,$U664)&amp;"")</f>
        <v/>
      </c>
      <c r="I664" s="11">
        <f>IF($U664="","",INDEX('Per Line'!$Q$2:$Q$3001,$U664))</f>
        <v/>
      </c>
      <c r="J664">
        <f>IF($U664="","",INDEX('Per Line'!$R$2:$R$3001,$U664)&amp;"")</f>
        <v/>
      </c>
      <c r="K664">
        <f>IF($U664="","",Settings!$C$7)</f>
        <v/>
      </c>
      <c r="L664" s="7">
        <f>IF($U664="","",SUMIFS('Per Line'!$N$2:$N$3001,'Per Line'!$A$2:$A$3001,$A664,'Per Line'!$W$2:$W$3001,0))</f>
        <v/>
      </c>
      <c r="M664" s="7">
        <f>IF($U664="","",L664*K664)</f>
        <v/>
      </c>
      <c r="N664">
        <f>IF($U664="","",Settings!$C$6)</f>
        <v/>
      </c>
      <c r="O664" s="7">
        <f>IF($U664="","",SUMIFS('Per Line'!$N$2:$N$3001,'Per Line'!$A$2:$A$3001,$A664,'Per Line'!$W$2:$W$3001,1))</f>
        <v/>
      </c>
      <c r="P664" s="7">
        <f>IF($U664="","",O664*N664)</f>
        <v/>
      </c>
      <c r="Q664" s="7">
        <f>IF($U664="","",P664+M664)</f>
        <v/>
      </c>
      <c r="R664" s="7">
        <f>IF($U664="","",S664-Q664)</f>
        <v/>
      </c>
      <c r="S664" s="7">
        <f>IF($U664="","",L664+O664)</f>
        <v/>
      </c>
      <c r="T664" s="7">
        <f>IF($U664="","",S664-Q664-G664)</f>
        <v/>
      </c>
      <c r="U664" s="13">
        <f>IF(ROWS($U$2:$U664)&lt;=MAX('Per Line'!$V$2:$V$3001),MATCH(ROWS($U$2:$U664),'Per Line'!$V$2:$V$3001,0),"")</f>
        <v/>
      </c>
    </row>
    <row r="665">
      <c r="A665">
        <f>IF($U665="","",INDEX('Per Line'!$A$2:$A$3001,$U665)&amp;"")</f>
        <v/>
      </c>
      <c r="B665" s="12" t="n"/>
      <c r="C665">
        <f>IF($U665="","",INDEX('Per Line'!$B$2:$B$3001,$U665)&amp;"")</f>
        <v/>
      </c>
      <c r="D665">
        <f>IF($U665="","",INDEX('Per Line'!$C$2:$C$3001,$U665)&amp;"")</f>
        <v/>
      </c>
      <c r="E665">
        <f>IF($U665="","",INDEX('Per Line'!$D$2:$D$3001,$U665)&amp;"")</f>
        <v/>
      </c>
      <c r="F665">
        <f>IF($U665="","",INDEX('Per Line'!$E$2:$E$3001,$U665))</f>
        <v/>
      </c>
      <c r="G665" s="7">
        <f>IF($U665="","",F665*S665/100)</f>
        <v/>
      </c>
      <c r="H665">
        <f>IF($U665="","",INDEX('Per Line'!$O$2:$O$3001,$U665)&amp;"")</f>
        <v/>
      </c>
      <c r="I665" s="11">
        <f>IF($U665="","",INDEX('Per Line'!$Q$2:$Q$3001,$U665))</f>
        <v/>
      </c>
      <c r="J665">
        <f>IF($U665="","",INDEX('Per Line'!$R$2:$R$3001,$U665)&amp;"")</f>
        <v/>
      </c>
      <c r="K665">
        <f>IF($U665="","",Settings!$C$7)</f>
        <v/>
      </c>
      <c r="L665" s="7">
        <f>IF($U665="","",SUMIFS('Per Line'!$N$2:$N$3001,'Per Line'!$A$2:$A$3001,$A665,'Per Line'!$W$2:$W$3001,0))</f>
        <v/>
      </c>
      <c r="M665" s="7">
        <f>IF($U665="","",L665*K665)</f>
        <v/>
      </c>
      <c r="N665">
        <f>IF($U665="","",Settings!$C$6)</f>
        <v/>
      </c>
      <c r="O665" s="7">
        <f>IF($U665="","",SUMIFS('Per Line'!$N$2:$N$3001,'Per Line'!$A$2:$A$3001,$A665,'Per Line'!$W$2:$W$3001,1))</f>
        <v/>
      </c>
      <c r="P665" s="7">
        <f>IF($U665="","",O665*N665)</f>
        <v/>
      </c>
      <c r="Q665" s="7">
        <f>IF($U665="","",P665+M665)</f>
        <v/>
      </c>
      <c r="R665" s="7">
        <f>IF($U665="","",S665-Q665)</f>
        <v/>
      </c>
      <c r="S665" s="7">
        <f>IF($U665="","",L665+O665)</f>
        <v/>
      </c>
      <c r="T665" s="7">
        <f>IF($U665="","",S665-Q665-G665)</f>
        <v/>
      </c>
      <c r="U665" s="13">
        <f>IF(ROWS($U$2:$U665)&lt;=MAX('Per Line'!$V$2:$V$3001),MATCH(ROWS($U$2:$U665),'Per Line'!$V$2:$V$3001,0),"")</f>
        <v/>
      </c>
    </row>
    <row r="666">
      <c r="A666">
        <f>IF($U666="","",INDEX('Per Line'!$A$2:$A$3001,$U666)&amp;"")</f>
        <v/>
      </c>
      <c r="B666" s="12" t="n"/>
      <c r="C666">
        <f>IF($U666="","",INDEX('Per Line'!$B$2:$B$3001,$U666)&amp;"")</f>
        <v/>
      </c>
      <c r="D666">
        <f>IF($U666="","",INDEX('Per Line'!$C$2:$C$3001,$U666)&amp;"")</f>
        <v/>
      </c>
      <c r="E666">
        <f>IF($U666="","",INDEX('Per Line'!$D$2:$D$3001,$U666)&amp;"")</f>
        <v/>
      </c>
      <c r="F666">
        <f>IF($U666="","",INDEX('Per Line'!$E$2:$E$3001,$U666))</f>
        <v/>
      </c>
      <c r="G666" s="7">
        <f>IF($U666="","",F666*S666/100)</f>
        <v/>
      </c>
      <c r="H666">
        <f>IF($U666="","",INDEX('Per Line'!$O$2:$O$3001,$U666)&amp;"")</f>
        <v/>
      </c>
      <c r="I666" s="11">
        <f>IF($U666="","",INDEX('Per Line'!$Q$2:$Q$3001,$U666))</f>
        <v/>
      </c>
      <c r="J666">
        <f>IF($U666="","",INDEX('Per Line'!$R$2:$R$3001,$U666)&amp;"")</f>
        <v/>
      </c>
      <c r="K666">
        <f>IF($U666="","",Settings!$C$7)</f>
        <v/>
      </c>
      <c r="L666" s="7">
        <f>IF($U666="","",SUMIFS('Per Line'!$N$2:$N$3001,'Per Line'!$A$2:$A$3001,$A666,'Per Line'!$W$2:$W$3001,0))</f>
        <v/>
      </c>
      <c r="M666" s="7">
        <f>IF($U666="","",L666*K666)</f>
        <v/>
      </c>
      <c r="N666">
        <f>IF($U666="","",Settings!$C$6)</f>
        <v/>
      </c>
      <c r="O666" s="7">
        <f>IF($U666="","",SUMIFS('Per Line'!$N$2:$N$3001,'Per Line'!$A$2:$A$3001,$A666,'Per Line'!$W$2:$W$3001,1))</f>
        <v/>
      </c>
      <c r="P666" s="7">
        <f>IF($U666="","",O666*N666)</f>
        <v/>
      </c>
      <c r="Q666" s="7">
        <f>IF($U666="","",P666+M666)</f>
        <v/>
      </c>
      <c r="R666" s="7">
        <f>IF($U666="","",S666-Q666)</f>
        <v/>
      </c>
      <c r="S666" s="7">
        <f>IF($U666="","",L666+O666)</f>
        <v/>
      </c>
      <c r="T666" s="7">
        <f>IF($U666="","",S666-Q666-G666)</f>
        <v/>
      </c>
      <c r="U666" s="13">
        <f>IF(ROWS($U$2:$U666)&lt;=MAX('Per Line'!$V$2:$V$3001),MATCH(ROWS($U$2:$U666),'Per Line'!$V$2:$V$3001,0),"")</f>
        <v/>
      </c>
    </row>
    <row r="667">
      <c r="A667">
        <f>IF($U667="","",INDEX('Per Line'!$A$2:$A$3001,$U667)&amp;"")</f>
        <v/>
      </c>
      <c r="B667" s="12" t="n"/>
      <c r="C667">
        <f>IF($U667="","",INDEX('Per Line'!$B$2:$B$3001,$U667)&amp;"")</f>
        <v/>
      </c>
      <c r="D667">
        <f>IF($U667="","",INDEX('Per Line'!$C$2:$C$3001,$U667)&amp;"")</f>
        <v/>
      </c>
      <c r="E667">
        <f>IF($U667="","",INDEX('Per Line'!$D$2:$D$3001,$U667)&amp;"")</f>
        <v/>
      </c>
      <c r="F667">
        <f>IF($U667="","",INDEX('Per Line'!$E$2:$E$3001,$U667))</f>
        <v/>
      </c>
      <c r="G667" s="7">
        <f>IF($U667="","",F667*S667/100)</f>
        <v/>
      </c>
      <c r="H667">
        <f>IF($U667="","",INDEX('Per Line'!$O$2:$O$3001,$U667)&amp;"")</f>
        <v/>
      </c>
      <c r="I667" s="11">
        <f>IF($U667="","",INDEX('Per Line'!$Q$2:$Q$3001,$U667))</f>
        <v/>
      </c>
      <c r="J667">
        <f>IF($U667="","",INDEX('Per Line'!$R$2:$R$3001,$U667)&amp;"")</f>
        <v/>
      </c>
      <c r="K667">
        <f>IF($U667="","",Settings!$C$7)</f>
        <v/>
      </c>
      <c r="L667" s="7">
        <f>IF($U667="","",SUMIFS('Per Line'!$N$2:$N$3001,'Per Line'!$A$2:$A$3001,$A667,'Per Line'!$W$2:$W$3001,0))</f>
        <v/>
      </c>
      <c r="M667" s="7">
        <f>IF($U667="","",L667*K667)</f>
        <v/>
      </c>
      <c r="N667">
        <f>IF($U667="","",Settings!$C$6)</f>
        <v/>
      </c>
      <c r="O667" s="7">
        <f>IF($U667="","",SUMIFS('Per Line'!$N$2:$N$3001,'Per Line'!$A$2:$A$3001,$A667,'Per Line'!$W$2:$W$3001,1))</f>
        <v/>
      </c>
      <c r="P667" s="7">
        <f>IF($U667="","",O667*N667)</f>
        <v/>
      </c>
      <c r="Q667" s="7">
        <f>IF($U667="","",P667+M667)</f>
        <v/>
      </c>
      <c r="R667" s="7">
        <f>IF($U667="","",S667-Q667)</f>
        <v/>
      </c>
      <c r="S667" s="7">
        <f>IF($U667="","",L667+O667)</f>
        <v/>
      </c>
      <c r="T667" s="7">
        <f>IF($U667="","",S667-Q667-G667)</f>
        <v/>
      </c>
      <c r="U667" s="13">
        <f>IF(ROWS($U$2:$U667)&lt;=MAX('Per Line'!$V$2:$V$3001),MATCH(ROWS($U$2:$U667),'Per Line'!$V$2:$V$3001,0),"")</f>
        <v/>
      </c>
    </row>
    <row r="668">
      <c r="A668">
        <f>IF($U668="","",INDEX('Per Line'!$A$2:$A$3001,$U668)&amp;"")</f>
        <v/>
      </c>
      <c r="B668" s="12" t="n"/>
      <c r="C668">
        <f>IF($U668="","",INDEX('Per Line'!$B$2:$B$3001,$U668)&amp;"")</f>
        <v/>
      </c>
      <c r="D668">
        <f>IF($U668="","",INDEX('Per Line'!$C$2:$C$3001,$U668)&amp;"")</f>
        <v/>
      </c>
      <c r="E668">
        <f>IF($U668="","",INDEX('Per Line'!$D$2:$D$3001,$U668)&amp;"")</f>
        <v/>
      </c>
      <c r="F668">
        <f>IF($U668="","",INDEX('Per Line'!$E$2:$E$3001,$U668))</f>
        <v/>
      </c>
      <c r="G668" s="7">
        <f>IF($U668="","",F668*S668/100)</f>
        <v/>
      </c>
      <c r="H668">
        <f>IF($U668="","",INDEX('Per Line'!$O$2:$O$3001,$U668)&amp;"")</f>
        <v/>
      </c>
      <c r="I668" s="11">
        <f>IF($U668="","",INDEX('Per Line'!$Q$2:$Q$3001,$U668))</f>
        <v/>
      </c>
      <c r="J668">
        <f>IF($U668="","",INDEX('Per Line'!$R$2:$R$3001,$U668)&amp;"")</f>
        <v/>
      </c>
      <c r="K668">
        <f>IF($U668="","",Settings!$C$7)</f>
        <v/>
      </c>
      <c r="L668" s="7">
        <f>IF($U668="","",SUMIFS('Per Line'!$N$2:$N$3001,'Per Line'!$A$2:$A$3001,$A668,'Per Line'!$W$2:$W$3001,0))</f>
        <v/>
      </c>
      <c r="M668" s="7">
        <f>IF($U668="","",L668*K668)</f>
        <v/>
      </c>
      <c r="N668">
        <f>IF($U668="","",Settings!$C$6)</f>
        <v/>
      </c>
      <c r="O668" s="7">
        <f>IF($U668="","",SUMIFS('Per Line'!$N$2:$N$3001,'Per Line'!$A$2:$A$3001,$A668,'Per Line'!$W$2:$W$3001,1))</f>
        <v/>
      </c>
      <c r="P668" s="7">
        <f>IF($U668="","",O668*N668)</f>
        <v/>
      </c>
      <c r="Q668" s="7">
        <f>IF($U668="","",P668+M668)</f>
        <v/>
      </c>
      <c r="R668" s="7">
        <f>IF($U668="","",S668-Q668)</f>
        <v/>
      </c>
      <c r="S668" s="7">
        <f>IF($U668="","",L668+O668)</f>
        <v/>
      </c>
      <c r="T668" s="7">
        <f>IF($U668="","",S668-Q668-G668)</f>
        <v/>
      </c>
      <c r="U668" s="13">
        <f>IF(ROWS($U$2:$U668)&lt;=MAX('Per Line'!$V$2:$V$3001),MATCH(ROWS($U$2:$U668),'Per Line'!$V$2:$V$3001,0),"")</f>
        <v/>
      </c>
    </row>
    <row r="669">
      <c r="A669">
        <f>IF($U669="","",INDEX('Per Line'!$A$2:$A$3001,$U669)&amp;"")</f>
        <v/>
      </c>
      <c r="B669" s="12" t="n"/>
      <c r="C669">
        <f>IF($U669="","",INDEX('Per Line'!$B$2:$B$3001,$U669)&amp;"")</f>
        <v/>
      </c>
      <c r="D669">
        <f>IF($U669="","",INDEX('Per Line'!$C$2:$C$3001,$U669)&amp;"")</f>
        <v/>
      </c>
      <c r="E669">
        <f>IF($U669="","",INDEX('Per Line'!$D$2:$D$3001,$U669)&amp;"")</f>
        <v/>
      </c>
      <c r="F669">
        <f>IF($U669="","",INDEX('Per Line'!$E$2:$E$3001,$U669))</f>
        <v/>
      </c>
      <c r="G669" s="7">
        <f>IF($U669="","",F669*S669/100)</f>
        <v/>
      </c>
      <c r="H669">
        <f>IF($U669="","",INDEX('Per Line'!$O$2:$O$3001,$U669)&amp;"")</f>
        <v/>
      </c>
      <c r="I669" s="11">
        <f>IF($U669="","",INDEX('Per Line'!$Q$2:$Q$3001,$U669))</f>
        <v/>
      </c>
      <c r="J669">
        <f>IF($U669="","",INDEX('Per Line'!$R$2:$R$3001,$U669)&amp;"")</f>
        <v/>
      </c>
      <c r="K669">
        <f>IF($U669="","",Settings!$C$7)</f>
        <v/>
      </c>
      <c r="L669" s="7">
        <f>IF($U669="","",SUMIFS('Per Line'!$N$2:$N$3001,'Per Line'!$A$2:$A$3001,$A669,'Per Line'!$W$2:$W$3001,0))</f>
        <v/>
      </c>
      <c r="M669" s="7">
        <f>IF($U669="","",L669*K669)</f>
        <v/>
      </c>
      <c r="N669">
        <f>IF($U669="","",Settings!$C$6)</f>
        <v/>
      </c>
      <c r="O669" s="7">
        <f>IF($U669="","",SUMIFS('Per Line'!$N$2:$N$3001,'Per Line'!$A$2:$A$3001,$A669,'Per Line'!$W$2:$W$3001,1))</f>
        <v/>
      </c>
      <c r="P669" s="7">
        <f>IF($U669="","",O669*N669)</f>
        <v/>
      </c>
      <c r="Q669" s="7">
        <f>IF($U669="","",P669+M669)</f>
        <v/>
      </c>
      <c r="R669" s="7">
        <f>IF($U669="","",S669-Q669)</f>
        <v/>
      </c>
      <c r="S669" s="7">
        <f>IF($U669="","",L669+O669)</f>
        <v/>
      </c>
      <c r="T669" s="7">
        <f>IF($U669="","",S669-Q669-G669)</f>
        <v/>
      </c>
      <c r="U669" s="13">
        <f>IF(ROWS($U$2:$U669)&lt;=MAX('Per Line'!$V$2:$V$3001),MATCH(ROWS($U$2:$U669),'Per Line'!$V$2:$V$3001,0),"")</f>
        <v/>
      </c>
    </row>
    <row r="670">
      <c r="A670">
        <f>IF($U670="","",INDEX('Per Line'!$A$2:$A$3001,$U670)&amp;"")</f>
        <v/>
      </c>
      <c r="B670" s="12" t="n"/>
      <c r="C670">
        <f>IF($U670="","",INDEX('Per Line'!$B$2:$B$3001,$U670)&amp;"")</f>
        <v/>
      </c>
      <c r="D670">
        <f>IF($U670="","",INDEX('Per Line'!$C$2:$C$3001,$U670)&amp;"")</f>
        <v/>
      </c>
      <c r="E670">
        <f>IF($U670="","",INDEX('Per Line'!$D$2:$D$3001,$U670)&amp;"")</f>
        <v/>
      </c>
      <c r="F670">
        <f>IF($U670="","",INDEX('Per Line'!$E$2:$E$3001,$U670))</f>
        <v/>
      </c>
      <c r="G670" s="7">
        <f>IF($U670="","",F670*S670/100)</f>
        <v/>
      </c>
      <c r="H670">
        <f>IF($U670="","",INDEX('Per Line'!$O$2:$O$3001,$U670)&amp;"")</f>
        <v/>
      </c>
      <c r="I670" s="11">
        <f>IF($U670="","",INDEX('Per Line'!$Q$2:$Q$3001,$U670))</f>
        <v/>
      </c>
      <c r="J670">
        <f>IF($U670="","",INDEX('Per Line'!$R$2:$R$3001,$U670)&amp;"")</f>
        <v/>
      </c>
      <c r="K670">
        <f>IF($U670="","",Settings!$C$7)</f>
        <v/>
      </c>
      <c r="L670" s="7">
        <f>IF($U670="","",SUMIFS('Per Line'!$N$2:$N$3001,'Per Line'!$A$2:$A$3001,$A670,'Per Line'!$W$2:$W$3001,0))</f>
        <v/>
      </c>
      <c r="M670" s="7">
        <f>IF($U670="","",L670*K670)</f>
        <v/>
      </c>
      <c r="N670">
        <f>IF($U670="","",Settings!$C$6)</f>
        <v/>
      </c>
      <c r="O670" s="7">
        <f>IF($U670="","",SUMIFS('Per Line'!$N$2:$N$3001,'Per Line'!$A$2:$A$3001,$A670,'Per Line'!$W$2:$W$3001,1))</f>
        <v/>
      </c>
      <c r="P670" s="7">
        <f>IF($U670="","",O670*N670)</f>
        <v/>
      </c>
      <c r="Q670" s="7">
        <f>IF($U670="","",P670+M670)</f>
        <v/>
      </c>
      <c r="R670" s="7">
        <f>IF($U670="","",S670-Q670)</f>
        <v/>
      </c>
      <c r="S670" s="7">
        <f>IF($U670="","",L670+O670)</f>
        <v/>
      </c>
      <c r="T670" s="7">
        <f>IF($U670="","",S670-Q670-G670)</f>
        <v/>
      </c>
      <c r="U670" s="13">
        <f>IF(ROWS($U$2:$U670)&lt;=MAX('Per Line'!$V$2:$V$3001),MATCH(ROWS($U$2:$U670),'Per Line'!$V$2:$V$3001,0),"")</f>
        <v/>
      </c>
    </row>
    <row r="671">
      <c r="A671">
        <f>IF($U671="","",INDEX('Per Line'!$A$2:$A$3001,$U671)&amp;"")</f>
        <v/>
      </c>
      <c r="B671" s="12" t="n"/>
      <c r="C671">
        <f>IF($U671="","",INDEX('Per Line'!$B$2:$B$3001,$U671)&amp;"")</f>
        <v/>
      </c>
      <c r="D671">
        <f>IF($U671="","",INDEX('Per Line'!$C$2:$C$3001,$U671)&amp;"")</f>
        <v/>
      </c>
      <c r="E671">
        <f>IF($U671="","",INDEX('Per Line'!$D$2:$D$3001,$U671)&amp;"")</f>
        <v/>
      </c>
      <c r="F671">
        <f>IF($U671="","",INDEX('Per Line'!$E$2:$E$3001,$U671))</f>
        <v/>
      </c>
      <c r="G671" s="7">
        <f>IF($U671="","",F671*S671/100)</f>
        <v/>
      </c>
      <c r="H671">
        <f>IF($U671="","",INDEX('Per Line'!$O$2:$O$3001,$U671)&amp;"")</f>
        <v/>
      </c>
      <c r="I671" s="11">
        <f>IF($U671="","",INDEX('Per Line'!$Q$2:$Q$3001,$U671))</f>
        <v/>
      </c>
      <c r="J671">
        <f>IF($U671="","",INDEX('Per Line'!$R$2:$R$3001,$U671)&amp;"")</f>
        <v/>
      </c>
      <c r="K671">
        <f>IF($U671="","",Settings!$C$7)</f>
        <v/>
      </c>
      <c r="L671" s="7">
        <f>IF($U671="","",SUMIFS('Per Line'!$N$2:$N$3001,'Per Line'!$A$2:$A$3001,$A671,'Per Line'!$W$2:$W$3001,0))</f>
        <v/>
      </c>
      <c r="M671" s="7">
        <f>IF($U671="","",L671*K671)</f>
        <v/>
      </c>
      <c r="N671">
        <f>IF($U671="","",Settings!$C$6)</f>
        <v/>
      </c>
      <c r="O671" s="7">
        <f>IF($U671="","",SUMIFS('Per Line'!$N$2:$N$3001,'Per Line'!$A$2:$A$3001,$A671,'Per Line'!$W$2:$W$3001,1))</f>
        <v/>
      </c>
      <c r="P671" s="7">
        <f>IF($U671="","",O671*N671)</f>
        <v/>
      </c>
      <c r="Q671" s="7">
        <f>IF($U671="","",P671+M671)</f>
        <v/>
      </c>
      <c r="R671" s="7">
        <f>IF($U671="","",S671-Q671)</f>
        <v/>
      </c>
      <c r="S671" s="7">
        <f>IF($U671="","",L671+O671)</f>
        <v/>
      </c>
      <c r="T671" s="7">
        <f>IF($U671="","",S671-Q671-G671)</f>
        <v/>
      </c>
      <c r="U671" s="13">
        <f>IF(ROWS($U$2:$U671)&lt;=MAX('Per Line'!$V$2:$V$3001),MATCH(ROWS($U$2:$U671),'Per Line'!$V$2:$V$3001,0),"")</f>
        <v/>
      </c>
    </row>
    <row r="672">
      <c r="A672">
        <f>IF($U672="","",INDEX('Per Line'!$A$2:$A$3001,$U672)&amp;"")</f>
        <v/>
      </c>
      <c r="B672" s="12" t="n"/>
      <c r="C672">
        <f>IF($U672="","",INDEX('Per Line'!$B$2:$B$3001,$U672)&amp;"")</f>
        <v/>
      </c>
      <c r="D672">
        <f>IF($U672="","",INDEX('Per Line'!$C$2:$C$3001,$U672)&amp;"")</f>
        <v/>
      </c>
      <c r="E672">
        <f>IF($U672="","",INDEX('Per Line'!$D$2:$D$3001,$U672)&amp;"")</f>
        <v/>
      </c>
      <c r="F672">
        <f>IF($U672="","",INDEX('Per Line'!$E$2:$E$3001,$U672))</f>
        <v/>
      </c>
      <c r="G672" s="7">
        <f>IF($U672="","",F672*S672/100)</f>
        <v/>
      </c>
      <c r="H672">
        <f>IF($U672="","",INDEX('Per Line'!$O$2:$O$3001,$U672)&amp;"")</f>
        <v/>
      </c>
      <c r="I672" s="11">
        <f>IF($U672="","",INDEX('Per Line'!$Q$2:$Q$3001,$U672))</f>
        <v/>
      </c>
      <c r="J672">
        <f>IF($U672="","",INDEX('Per Line'!$R$2:$R$3001,$U672)&amp;"")</f>
        <v/>
      </c>
      <c r="K672">
        <f>IF($U672="","",Settings!$C$7)</f>
        <v/>
      </c>
      <c r="L672" s="7">
        <f>IF($U672="","",SUMIFS('Per Line'!$N$2:$N$3001,'Per Line'!$A$2:$A$3001,$A672,'Per Line'!$W$2:$W$3001,0))</f>
        <v/>
      </c>
      <c r="M672" s="7">
        <f>IF($U672="","",L672*K672)</f>
        <v/>
      </c>
      <c r="N672">
        <f>IF($U672="","",Settings!$C$6)</f>
        <v/>
      </c>
      <c r="O672" s="7">
        <f>IF($U672="","",SUMIFS('Per Line'!$N$2:$N$3001,'Per Line'!$A$2:$A$3001,$A672,'Per Line'!$W$2:$W$3001,1))</f>
        <v/>
      </c>
      <c r="P672" s="7">
        <f>IF($U672="","",O672*N672)</f>
        <v/>
      </c>
      <c r="Q672" s="7">
        <f>IF($U672="","",P672+M672)</f>
        <v/>
      </c>
      <c r="R672" s="7">
        <f>IF($U672="","",S672-Q672)</f>
        <v/>
      </c>
      <c r="S672" s="7">
        <f>IF($U672="","",L672+O672)</f>
        <v/>
      </c>
      <c r="T672" s="7">
        <f>IF($U672="","",S672-Q672-G672)</f>
        <v/>
      </c>
      <c r="U672" s="13">
        <f>IF(ROWS($U$2:$U672)&lt;=MAX('Per Line'!$V$2:$V$3001),MATCH(ROWS($U$2:$U672),'Per Line'!$V$2:$V$3001,0),"")</f>
        <v/>
      </c>
    </row>
    <row r="673">
      <c r="A673">
        <f>IF($U673="","",INDEX('Per Line'!$A$2:$A$3001,$U673)&amp;"")</f>
        <v/>
      </c>
      <c r="B673" s="12" t="n"/>
      <c r="C673">
        <f>IF($U673="","",INDEX('Per Line'!$B$2:$B$3001,$U673)&amp;"")</f>
        <v/>
      </c>
      <c r="D673">
        <f>IF($U673="","",INDEX('Per Line'!$C$2:$C$3001,$U673)&amp;"")</f>
        <v/>
      </c>
      <c r="E673">
        <f>IF($U673="","",INDEX('Per Line'!$D$2:$D$3001,$U673)&amp;"")</f>
        <v/>
      </c>
      <c r="F673">
        <f>IF($U673="","",INDEX('Per Line'!$E$2:$E$3001,$U673))</f>
        <v/>
      </c>
      <c r="G673" s="7">
        <f>IF($U673="","",F673*S673/100)</f>
        <v/>
      </c>
      <c r="H673">
        <f>IF($U673="","",INDEX('Per Line'!$O$2:$O$3001,$U673)&amp;"")</f>
        <v/>
      </c>
      <c r="I673" s="11">
        <f>IF($U673="","",INDEX('Per Line'!$Q$2:$Q$3001,$U673))</f>
        <v/>
      </c>
      <c r="J673">
        <f>IF($U673="","",INDEX('Per Line'!$R$2:$R$3001,$U673)&amp;"")</f>
        <v/>
      </c>
      <c r="K673">
        <f>IF($U673="","",Settings!$C$7)</f>
        <v/>
      </c>
      <c r="L673" s="7">
        <f>IF($U673="","",SUMIFS('Per Line'!$N$2:$N$3001,'Per Line'!$A$2:$A$3001,$A673,'Per Line'!$W$2:$W$3001,0))</f>
        <v/>
      </c>
      <c r="M673" s="7">
        <f>IF($U673="","",L673*K673)</f>
        <v/>
      </c>
      <c r="N673">
        <f>IF($U673="","",Settings!$C$6)</f>
        <v/>
      </c>
      <c r="O673" s="7">
        <f>IF($U673="","",SUMIFS('Per Line'!$N$2:$N$3001,'Per Line'!$A$2:$A$3001,$A673,'Per Line'!$W$2:$W$3001,1))</f>
        <v/>
      </c>
      <c r="P673" s="7">
        <f>IF($U673="","",O673*N673)</f>
        <v/>
      </c>
      <c r="Q673" s="7">
        <f>IF($U673="","",P673+M673)</f>
        <v/>
      </c>
      <c r="R673" s="7">
        <f>IF($U673="","",S673-Q673)</f>
        <v/>
      </c>
      <c r="S673" s="7">
        <f>IF($U673="","",L673+O673)</f>
        <v/>
      </c>
      <c r="T673" s="7">
        <f>IF($U673="","",S673-Q673-G673)</f>
        <v/>
      </c>
      <c r="U673" s="13">
        <f>IF(ROWS($U$2:$U673)&lt;=MAX('Per Line'!$V$2:$V$3001),MATCH(ROWS($U$2:$U673),'Per Line'!$V$2:$V$3001,0),"")</f>
        <v/>
      </c>
    </row>
    <row r="674">
      <c r="A674">
        <f>IF($U674="","",INDEX('Per Line'!$A$2:$A$3001,$U674)&amp;"")</f>
        <v/>
      </c>
      <c r="B674" s="12" t="n"/>
      <c r="C674">
        <f>IF($U674="","",INDEX('Per Line'!$B$2:$B$3001,$U674)&amp;"")</f>
        <v/>
      </c>
      <c r="D674">
        <f>IF($U674="","",INDEX('Per Line'!$C$2:$C$3001,$U674)&amp;"")</f>
        <v/>
      </c>
      <c r="E674">
        <f>IF($U674="","",INDEX('Per Line'!$D$2:$D$3001,$U674)&amp;"")</f>
        <v/>
      </c>
      <c r="F674">
        <f>IF($U674="","",INDEX('Per Line'!$E$2:$E$3001,$U674))</f>
        <v/>
      </c>
      <c r="G674" s="7">
        <f>IF($U674="","",F674*S674/100)</f>
        <v/>
      </c>
      <c r="H674">
        <f>IF($U674="","",INDEX('Per Line'!$O$2:$O$3001,$U674)&amp;"")</f>
        <v/>
      </c>
      <c r="I674" s="11">
        <f>IF($U674="","",INDEX('Per Line'!$Q$2:$Q$3001,$U674))</f>
        <v/>
      </c>
      <c r="J674">
        <f>IF($U674="","",INDEX('Per Line'!$R$2:$R$3001,$U674)&amp;"")</f>
        <v/>
      </c>
      <c r="K674">
        <f>IF($U674="","",Settings!$C$7)</f>
        <v/>
      </c>
      <c r="L674" s="7">
        <f>IF($U674="","",SUMIFS('Per Line'!$N$2:$N$3001,'Per Line'!$A$2:$A$3001,$A674,'Per Line'!$W$2:$W$3001,0))</f>
        <v/>
      </c>
      <c r="M674" s="7">
        <f>IF($U674="","",L674*K674)</f>
        <v/>
      </c>
      <c r="N674">
        <f>IF($U674="","",Settings!$C$6)</f>
        <v/>
      </c>
      <c r="O674" s="7">
        <f>IF($U674="","",SUMIFS('Per Line'!$N$2:$N$3001,'Per Line'!$A$2:$A$3001,$A674,'Per Line'!$W$2:$W$3001,1))</f>
        <v/>
      </c>
      <c r="P674" s="7">
        <f>IF($U674="","",O674*N674)</f>
        <v/>
      </c>
      <c r="Q674" s="7">
        <f>IF($U674="","",P674+M674)</f>
        <v/>
      </c>
      <c r="R674" s="7">
        <f>IF($U674="","",S674-Q674)</f>
        <v/>
      </c>
      <c r="S674" s="7">
        <f>IF($U674="","",L674+O674)</f>
        <v/>
      </c>
      <c r="T674" s="7">
        <f>IF($U674="","",S674-Q674-G674)</f>
        <v/>
      </c>
      <c r="U674" s="13">
        <f>IF(ROWS($U$2:$U674)&lt;=MAX('Per Line'!$V$2:$V$3001),MATCH(ROWS($U$2:$U674),'Per Line'!$V$2:$V$3001,0),"")</f>
        <v/>
      </c>
    </row>
    <row r="675">
      <c r="A675">
        <f>IF($U675="","",INDEX('Per Line'!$A$2:$A$3001,$U675)&amp;"")</f>
        <v/>
      </c>
      <c r="B675" s="12" t="n"/>
      <c r="C675">
        <f>IF($U675="","",INDEX('Per Line'!$B$2:$B$3001,$U675)&amp;"")</f>
        <v/>
      </c>
      <c r="D675">
        <f>IF($U675="","",INDEX('Per Line'!$C$2:$C$3001,$U675)&amp;"")</f>
        <v/>
      </c>
      <c r="E675">
        <f>IF($U675="","",INDEX('Per Line'!$D$2:$D$3001,$U675)&amp;"")</f>
        <v/>
      </c>
      <c r="F675">
        <f>IF($U675="","",INDEX('Per Line'!$E$2:$E$3001,$U675))</f>
        <v/>
      </c>
      <c r="G675" s="7">
        <f>IF($U675="","",F675*S675/100)</f>
        <v/>
      </c>
      <c r="H675">
        <f>IF($U675="","",INDEX('Per Line'!$O$2:$O$3001,$U675)&amp;"")</f>
        <v/>
      </c>
      <c r="I675" s="11">
        <f>IF($U675="","",INDEX('Per Line'!$Q$2:$Q$3001,$U675))</f>
        <v/>
      </c>
      <c r="J675">
        <f>IF($U675="","",INDEX('Per Line'!$R$2:$R$3001,$U675)&amp;"")</f>
        <v/>
      </c>
      <c r="K675">
        <f>IF($U675="","",Settings!$C$7)</f>
        <v/>
      </c>
      <c r="L675" s="7">
        <f>IF($U675="","",SUMIFS('Per Line'!$N$2:$N$3001,'Per Line'!$A$2:$A$3001,$A675,'Per Line'!$W$2:$W$3001,0))</f>
        <v/>
      </c>
      <c r="M675" s="7">
        <f>IF($U675="","",L675*K675)</f>
        <v/>
      </c>
      <c r="N675">
        <f>IF($U675="","",Settings!$C$6)</f>
        <v/>
      </c>
      <c r="O675" s="7">
        <f>IF($U675="","",SUMIFS('Per Line'!$N$2:$N$3001,'Per Line'!$A$2:$A$3001,$A675,'Per Line'!$W$2:$W$3001,1))</f>
        <v/>
      </c>
      <c r="P675" s="7">
        <f>IF($U675="","",O675*N675)</f>
        <v/>
      </c>
      <c r="Q675" s="7">
        <f>IF($U675="","",P675+M675)</f>
        <v/>
      </c>
      <c r="R675" s="7">
        <f>IF($U675="","",S675-Q675)</f>
        <v/>
      </c>
      <c r="S675" s="7">
        <f>IF($U675="","",L675+O675)</f>
        <v/>
      </c>
      <c r="T675" s="7">
        <f>IF($U675="","",S675-Q675-G675)</f>
        <v/>
      </c>
      <c r="U675" s="13">
        <f>IF(ROWS($U$2:$U675)&lt;=MAX('Per Line'!$V$2:$V$3001),MATCH(ROWS($U$2:$U675),'Per Line'!$V$2:$V$3001,0),"")</f>
        <v/>
      </c>
    </row>
    <row r="676">
      <c r="A676">
        <f>IF($U676="","",INDEX('Per Line'!$A$2:$A$3001,$U676)&amp;"")</f>
        <v/>
      </c>
      <c r="B676" s="12" t="n"/>
      <c r="C676">
        <f>IF($U676="","",INDEX('Per Line'!$B$2:$B$3001,$U676)&amp;"")</f>
        <v/>
      </c>
      <c r="D676">
        <f>IF($U676="","",INDEX('Per Line'!$C$2:$C$3001,$U676)&amp;"")</f>
        <v/>
      </c>
      <c r="E676">
        <f>IF($U676="","",INDEX('Per Line'!$D$2:$D$3001,$U676)&amp;"")</f>
        <v/>
      </c>
      <c r="F676">
        <f>IF($U676="","",INDEX('Per Line'!$E$2:$E$3001,$U676))</f>
        <v/>
      </c>
      <c r="G676" s="7">
        <f>IF($U676="","",F676*S676/100)</f>
        <v/>
      </c>
      <c r="H676">
        <f>IF($U676="","",INDEX('Per Line'!$O$2:$O$3001,$U676)&amp;"")</f>
        <v/>
      </c>
      <c r="I676" s="11">
        <f>IF($U676="","",INDEX('Per Line'!$Q$2:$Q$3001,$U676))</f>
        <v/>
      </c>
      <c r="J676">
        <f>IF($U676="","",INDEX('Per Line'!$R$2:$R$3001,$U676)&amp;"")</f>
        <v/>
      </c>
      <c r="K676">
        <f>IF($U676="","",Settings!$C$7)</f>
        <v/>
      </c>
      <c r="L676" s="7">
        <f>IF($U676="","",SUMIFS('Per Line'!$N$2:$N$3001,'Per Line'!$A$2:$A$3001,$A676,'Per Line'!$W$2:$W$3001,0))</f>
        <v/>
      </c>
      <c r="M676" s="7">
        <f>IF($U676="","",L676*K676)</f>
        <v/>
      </c>
      <c r="N676">
        <f>IF($U676="","",Settings!$C$6)</f>
        <v/>
      </c>
      <c r="O676" s="7">
        <f>IF($U676="","",SUMIFS('Per Line'!$N$2:$N$3001,'Per Line'!$A$2:$A$3001,$A676,'Per Line'!$W$2:$W$3001,1))</f>
        <v/>
      </c>
      <c r="P676" s="7">
        <f>IF($U676="","",O676*N676)</f>
        <v/>
      </c>
      <c r="Q676" s="7">
        <f>IF($U676="","",P676+M676)</f>
        <v/>
      </c>
      <c r="R676" s="7">
        <f>IF($U676="","",S676-Q676)</f>
        <v/>
      </c>
      <c r="S676" s="7">
        <f>IF($U676="","",L676+O676)</f>
        <v/>
      </c>
      <c r="T676" s="7">
        <f>IF($U676="","",S676-Q676-G676)</f>
        <v/>
      </c>
      <c r="U676" s="13">
        <f>IF(ROWS($U$2:$U676)&lt;=MAX('Per Line'!$V$2:$V$3001),MATCH(ROWS($U$2:$U676),'Per Line'!$V$2:$V$3001,0),"")</f>
        <v/>
      </c>
    </row>
    <row r="677">
      <c r="A677">
        <f>IF($U677="","",INDEX('Per Line'!$A$2:$A$3001,$U677)&amp;"")</f>
        <v/>
      </c>
      <c r="B677" s="12" t="n"/>
      <c r="C677">
        <f>IF($U677="","",INDEX('Per Line'!$B$2:$B$3001,$U677)&amp;"")</f>
        <v/>
      </c>
      <c r="D677">
        <f>IF($U677="","",INDEX('Per Line'!$C$2:$C$3001,$U677)&amp;"")</f>
        <v/>
      </c>
      <c r="E677">
        <f>IF($U677="","",INDEX('Per Line'!$D$2:$D$3001,$U677)&amp;"")</f>
        <v/>
      </c>
      <c r="F677">
        <f>IF($U677="","",INDEX('Per Line'!$E$2:$E$3001,$U677))</f>
        <v/>
      </c>
      <c r="G677" s="7">
        <f>IF($U677="","",F677*S677/100)</f>
        <v/>
      </c>
      <c r="H677">
        <f>IF($U677="","",INDEX('Per Line'!$O$2:$O$3001,$U677)&amp;"")</f>
        <v/>
      </c>
      <c r="I677" s="11">
        <f>IF($U677="","",INDEX('Per Line'!$Q$2:$Q$3001,$U677))</f>
        <v/>
      </c>
      <c r="J677">
        <f>IF($U677="","",INDEX('Per Line'!$R$2:$R$3001,$U677)&amp;"")</f>
        <v/>
      </c>
      <c r="K677">
        <f>IF($U677="","",Settings!$C$7)</f>
        <v/>
      </c>
      <c r="L677" s="7">
        <f>IF($U677="","",SUMIFS('Per Line'!$N$2:$N$3001,'Per Line'!$A$2:$A$3001,$A677,'Per Line'!$W$2:$W$3001,0))</f>
        <v/>
      </c>
      <c r="M677" s="7">
        <f>IF($U677="","",L677*K677)</f>
        <v/>
      </c>
      <c r="N677">
        <f>IF($U677="","",Settings!$C$6)</f>
        <v/>
      </c>
      <c r="O677" s="7">
        <f>IF($U677="","",SUMIFS('Per Line'!$N$2:$N$3001,'Per Line'!$A$2:$A$3001,$A677,'Per Line'!$W$2:$W$3001,1))</f>
        <v/>
      </c>
      <c r="P677" s="7">
        <f>IF($U677="","",O677*N677)</f>
        <v/>
      </c>
      <c r="Q677" s="7">
        <f>IF($U677="","",P677+M677)</f>
        <v/>
      </c>
      <c r="R677" s="7">
        <f>IF($U677="","",S677-Q677)</f>
        <v/>
      </c>
      <c r="S677" s="7">
        <f>IF($U677="","",L677+O677)</f>
        <v/>
      </c>
      <c r="T677" s="7">
        <f>IF($U677="","",S677-Q677-G677)</f>
        <v/>
      </c>
      <c r="U677" s="13">
        <f>IF(ROWS($U$2:$U677)&lt;=MAX('Per Line'!$V$2:$V$3001),MATCH(ROWS($U$2:$U677),'Per Line'!$V$2:$V$3001,0),"")</f>
        <v/>
      </c>
    </row>
    <row r="678">
      <c r="A678">
        <f>IF($U678="","",INDEX('Per Line'!$A$2:$A$3001,$U678)&amp;"")</f>
        <v/>
      </c>
      <c r="B678" s="12" t="n"/>
      <c r="C678">
        <f>IF($U678="","",INDEX('Per Line'!$B$2:$B$3001,$U678)&amp;"")</f>
        <v/>
      </c>
      <c r="D678">
        <f>IF($U678="","",INDEX('Per Line'!$C$2:$C$3001,$U678)&amp;"")</f>
        <v/>
      </c>
      <c r="E678">
        <f>IF($U678="","",INDEX('Per Line'!$D$2:$D$3001,$U678)&amp;"")</f>
        <v/>
      </c>
      <c r="F678">
        <f>IF($U678="","",INDEX('Per Line'!$E$2:$E$3001,$U678))</f>
        <v/>
      </c>
      <c r="G678" s="7">
        <f>IF($U678="","",F678*S678/100)</f>
        <v/>
      </c>
      <c r="H678">
        <f>IF($U678="","",INDEX('Per Line'!$O$2:$O$3001,$U678)&amp;"")</f>
        <v/>
      </c>
      <c r="I678" s="11">
        <f>IF($U678="","",INDEX('Per Line'!$Q$2:$Q$3001,$U678))</f>
        <v/>
      </c>
      <c r="J678">
        <f>IF($U678="","",INDEX('Per Line'!$R$2:$R$3001,$U678)&amp;"")</f>
        <v/>
      </c>
      <c r="K678">
        <f>IF($U678="","",Settings!$C$7)</f>
        <v/>
      </c>
      <c r="L678" s="7">
        <f>IF($U678="","",SUMIFS('Per Line'!$N$2:$N$3001,'Per Line'!$A$2:$A$3001,$A678,'Per Line'!$W$2:$W$3001,0))</f>
        <v/>
      </c>
      <c r="M678" s="7">
        <f>IF($U678="","",L678*K678)</f>
        <v/>
      </c>
      <c r="N678">
        <f>IF($U678="","",Settings!$C$6)</f>
        <v/>
      </c>
      <c r="O678" s="7">
        <f>IF($U678="","",SUMIFS('Per Line'!$N$2:$N$3001,'Per Line'!$A$2:$A$3001,$A678,'Per Line'!$W$2:$W$3001,1))</f>
        <v/>
      </c>
      <c r="P678" s="7">
        <f>IF($U678="","",O678*N678)</f>
        <v/>
      </c>
      <c r="Q678" s="7">
        <f>IF($U678="","",P678+M678)</f>
        <v/>
      </c>
      <c r="R678" s="7">
        <f>IF($U678="","",S678-Q678)</f>
        <v/>
      </c>
      <c r="S678" s="7">
        <f>IF($U678="","",L678+O678)</f>
        <v/>
      </c>
      <c r="T678" s="7">
        <f>IF($U678="","",S678-Q678-G678)</f>
        <v/>
      </c>
      <c r="U678" s="13">
        <f>IF(ROWS($U$2:$U678)&lt;=MAX('Per Line'!$V$2:$V$3001),MATCH(ROWS($U$2:$U678),'Per Line'!$V$2:$V$3001,0),"")</f>
        <v/>
      </c>
    </row>
    <row r="679">
      <c r="A679">
        <f>IF($U679="","",INDEX('Per Line'!$A$2:$A$3001,$U679)&amp;"")</f>
        <v/>
      </c>
      <c r="B679" s="12" t="n"/>
      <c r="C679">
        <f>IF($U679="","",INDEX('Per Line'!$B$2:$B$3001,$U679)&amp;"")</f>
        <v/>
      </c>
      <c r="D679">
        <f>IF($U679="","",INDEX('Per Line'!$C$2:$C$3001,$U679)&amp;"")</f>
        <v/>
      </c>
      <c r="E679">
        <f>IF($U679="","",INDEX('Per Line'!$D$2:$D$3001,$U679)&amp;"")</f>
        <v/>
      </c>
      <c r="F679">
        <f>IF($U679="","",INDEX('Per Line'!$E$2:$E$3001,$U679))</f>
        <v/>
      </c>
      <c r="G679" s="7">
        <f>IF($U679="","",F679*S679/100)</f>
        <v/>
      </c>
      <c r="H679">
        <f>IF($U679="","",INDEX('Per Line'!$O$2:$O$3001,$U679)&amp;"")</f>
        <v/>
      </c>
      <c r="I679" s="11">
        <f>IF($U679="","",INDEX('Per Line'!$Q$2:$Q$3001,$U679))</f>
        <v/>
      </c>
      <c r="J679">
        <f>IF($U679="","",INDEX('Per Line'!$R$2:$R$3001,$U679)&amp;"")</f>
        <v/>
      </c>
      <c r="K679">
        <f>IF($U679="","",Settings!$C$7)</f>
        <v/>
      </c>
      <c r="L679" s="7">
        <f>IF($U679="","",SUMIFS('Per Line'!$N$2:$N$3001,'Per Line'!$A$2:$A$3001,$A679,'Per Line'!$W$2:$W$3001,0))</f>
        <v/>
      </c>
      <c r="M679" s="7">
        <f>IF($U679="","",L679*K679)</f>
        <v/>
      </c>
      <c r="N679">
        <f>IF($U679="","",Settings!$C$6)</f>
        <v/>
      </c>
      <c r="O679" s="7">
        <f>IF($U679="","",SUMIFS('Per Line'!$N$2:$N$3001,'Per Line'!$A$2:$A$3001,$A679,'Per Line'!$W$2:$W$3001,1))</f>
        <v/>
      </c>
      <c r="P679" s="7">
        <f>IF($U679="","",O679*N679)</f>
        <v/>
      </c>
      <c r="Q679" s="7">
        <f>IF($U679="","",P679+M679)</f>
        <v/>
      </c>
      <c r="R679" s="7">
        <f>IF($U679="","",S679-Q679)</f>
        <v/>
      </c>
      <c r="S679" s="7">
        <f>IF($U679="","",L679+O679)</f>
        <v/>
      </c>
      <c r="T679" s="7">
        <f>IF($U679="","",S679-Q679-G679)</f>
        <v/>
      </c>
      <c r="U679" s="13">
        <f>IF(ROWS($U$2:$U679)&lt;=MAX('Per Line'!$V$2:$V$3001),MATCH(ROWS($U$2:$U679),'Per Line'!$V$2:$V$3001,0),"")</f>
        <v/>
      </c>
    </row>
    <row r="680">
      <c r="A680">
        <f>IF($U680="","",INDEX('Per Line'!$A$2:$A$3001,$U680)&amp;"")</f>
        <v/>
      </c>
      <c r="B680" s="12" t="n"/>
      <c r="C680">
        <f>IF($U680="","",INDEX('Per Line'!$B$2:$B$3001,$U680)&amp;"")</f>
        <v/>
      </c>
      <c r="D680">
        <f>IF($U680="","",INDEX('Per Line'!$C$2:$C$3001,$U680)&amp;"")</f>
        <v/>
      </c>
      <c r="E680">
        <f>IF($U680="","",INDEX('Per Line'!$D$2:$D$3001,$U680)&amp;"")</f>
        <v/>
      </c>
      <c r="F680">
        <f>IF($U680="","",INDEX('Per Line'!$E$2:$E$3001,$U680))</f>
        <v/>
      </c>
      <c r="G680" s="7">
        <f>IF($U680="","",F680*S680/100)</f>
        <v/>
      </c>
      <c r="H680">
        <f>IF($U680="","",INDEX('Per Line'!$O$2:$O$3001,$U680)&amp;"")</f>
        <v/>
      </c>
      <c r="I680" s="11">
        <f>IF($U680="","",INDEX('Per Line'!$Q$2:$Q$3001,$U680))</f>
        <v/>
      </c>
      <c r="J680">
        <f>IF($U680="","",INDEX('Per Line'!$R$2:$R$3001,$U680)&amp;"")</f>
        <v/>
      </c>
      <c r="K680">
        <f>IF($U680="","",Settings!$C$7)</f>
        <v/>
      </c>
      <c r="L680" s="7">
        <f>IF($U680="","",SUMIFS('Per Line'!$N$2:$N$3001,'Per Line'!$A$2:$A$3001,$A680,'Per Line'!$W$2:$W$3001,0))</f>
        <v/>
      </c>
      <c r="M680" s="7">
        <f>IF($U680="","",L680*K680)</f>
        <v/>
      </c>
      <c r="N680">
        <f>IF($U680="","",Settings!$C$6)</f>
        <v/>
      </c>
      <c r="O680" s="7">
        <f>IF($U680="","",SUMIFS('Per Line'!$N$2:$N$3001,'Per Line'!$A$2:$A$3001,$A680,'Per Line'!$W$2:$W$3001,1))</f>
        <v/>
      </c>
      <c r="P680" s="7">
        <f>IF($U680="","",O680*N680)</f>
        <v/>
      </c>
      <c r="Q680" s="7">
        <f>IF($U680="","",P680+M680)</f>
        <v/>
      </c>
      <c r="R680" s="7">
        <f>IF($U680="","",S680-Q680)</f>
        <v/>
      </c>
      <c r="S680" s="7">
        <f>IF($U680="","",L680+O680)</f>
        <v/>
      </c>
      <c r="T680" s="7">
        <f>IF($U680="","",S680-Q680-G680)</f>
        <v/>
      </c>
      <c r="U680" s="13">
        <f>IF(ROWS($U$2:$U680)&lt;=MAX('Per Line'!$V$2:$V$3001),MATCH(ROWS($U$2:$U680),'Per Line'!$V$2:$V$3001,0),"")</f>
        <v/>
      </c>
    </row>
    <row r="681">
      <c r="A681">
        <f>IF($U681="","",INDEX('Per Line'!$A$2:$A$3001,$U681)&amp;"")</f>
        <v/>
      </c>
      <c r="B681" s="12" t="n"/>
      <c r="C681">
        <f>IF($U681="","",INDEX('Per Line'!$B$2:$B$3001,$U681)&amp;"")</f>
        <v/>
      </c>
      <c r="D681">
        <f>IF($U681="","",INDEX('Per Line'!$C$2:$C$3001,$U681)&amp;"")</f>
        <v/>
      </c>
      <c r="E681">
        <f>IF($U681="","",INDEX('Per Line'!$D$2:$D$3001,$U681)&amp;"")</f>
        <v/>
      </c>
      <c r="F681">
        <f>IF($U681="","",INDEX('Per Line'!$E$2:$E$3001,$U681))</f>
        <v/>
      </c>
      <c r="G681" s="7">
        <f>IF($U681="","",F681*S681/100)</f>
        <v/>
      </c>
      <c r="H681">
        <f>IF($U681="","",INDEX('Per Line'!$O$2:$O$3001,$U681)&amp;"")</f>
        <v/>
      </c>
      <c r="I681" s="11">
        <f>IF($U681="","",INDEX('Per Line'!$Q$2:$Q$3001,$U681))</f>
        <v/>
      </c>
      <c r="J681">
        <f>IF($U681="","",INDEX('Per Line'!$R$2:$R$3001,$U681)&amp;"")</f>
        <v/>
      </c>
      <c r="K681">
        <f>IF($U681="","",Settings!$C$7)</f>
        <v/>
      </c>
      <c r="L681" s="7">
        <f>IF($U681="","",SUMIFS('Per Line'!$N$2:$N$3001,'Per Line'!$A$2:$A$3001,$A681,'Per Line'!$W$2:$W$3001,0))</f>
        <v/>
      </c>
      <c r="M681" s="7">
        <f>IF($U681="","",L681*K681)</f>
        <v/>
      </c>
      <c r="N681">
        <f>IF($U681="","",Settings!$C$6)</f>
        <v/>
      </c>
      <c r="O681" s="7">
        <f>IF($U681="","",SUMIFS('Per Line'!$N$2:$N$3001,'Per Line'!$A$2:$A$3001,$A681,'Per Line'!$W$2:$W$3001,1))</f>
        <v/>
      </c>
      <c r="P681" s="7">
        <f>IF($U681="","",O681*N681)</f>
        <v/>
      </c>
      <c r="Q681" s="7">
        <f>IF($U681="","",P681+M681)</f>
        <v/>
      </c>
      <c r="R681" s="7">
        <f>IF($U681="","",S681-Q681)</f>
        <v/>
      </c>
      <c r="S681" s="7">
        <f>IF($U681="","",L681+O681)</f>
        <v/>
      </c>
      <c r="T681" s="7">
        <f>IF($U681="","",S681-Q681-G681)</f>
        <v/>
      </c>
      <c r="U681" s="13">
        <f>IF(ROWS($U$2:$U681)&lt;=MAX('Per Line'!$V$2:$V$3001),MATCH(ROWS($U$2:$U681),'Per Line'!$V$2:$V$3001,0),"")</f>
        <v/>
      </c>
    </row>
    <row r="682">
      <c r="A682">
        <f>IF($U682="","",INDEX('Per Line'!$A$2:$A$3001,$U682)&amp;"")</f>
        <v/>
      </c>
      <c r="B682" s="12" t="n"/>
      <c r="C682">
        <f>IF($U682="","",INDEX('Per Line'!$B$2:$B$3001,$U682)&amp;"")</f>
        <v/>
      </c>
      <c r="D682">
        <f>IF($U682="","",INDEX('Per Line'!$C$2:$C$3001,$U682)&amp;"")</f>
        <v/>
      </c>
      <c r="E682">
        <f>IF($U682="","",INDEX('Per Line'!$D$2:$D$3001,$U682)&amp;"")</f>
        <v/>
      </c>
      <c r="F682">
        <f>IF($U682="","",INDEX('Per Line'!$E$2:$E$3001,$U682))</f>
        <v/>
      </c>
      <c r="G682" s="7">
        <f>IF($U682="","",F682*S682/100)</f>
        <v/>
      </c>
      <c r="H682">
        <f>IF($U682="","",INDEX('Per Line'!$O$2:$O$3001,$U682)&amp;"")</f>
        <v/>
      </c>
      <c r="I682" s="11">
        <f>IF($U682="","",INDEX('Per Line'!$Q$2:$Q$3001,$U682))</f>
        <v/>
      </c>
      <c r="J682">
        <f>IF($U682="","",INDEX('Per Line'!$R$2:$R$3001,$U682)&amp;"")</f>
        <v/>
      </c>
      <c r="K682">
        <f>IF($U682="","",Settings!$C$7)</f>
        <v/>
      </c>
      <c r="L682" s="7">
        <f>IF($U682="","",SUMIFS('Per Line'!$N$2:$N$3001,'Per Line'!$A$2:$A$3001,$A682,'Per Line'!$W$2:$W$3001,0))</f>
        <v/>
      </c>
      <c r="M682" s="7">
        <f>IF($U682="","",L682*K682)</f>
        <v/>
      </c>
      <c r="N682">
        <f>IF($U682="","",Settings!$C$6)</f>
        <v/>
      </c>
      <c r="O682" s="7">
        <f>IF($U682="","",SUMIFS('Per Line'!$N$2:$N$3001,'Per Line'!$A$2:$A$3001,$A682,'Per Line'!$W$2:$W$3001,1))</f>
        <v/>
      </c>
      <c r="P682" s="7">
        <f>IF($U682="","",O682*N682)</f>
        <v/>
      </c>
      <c r="Q682" s="7">
        <f>IF($U682="","",P682+M682)</f>
        <v/>
      </c>
      <c r="R682" s="7">
        <f>IF($U682="","",S682-Q682)</f>
        <v/>
      </c>
      <c r="S682" s="7">
        <f>IF($U682="","",L682+O682)</f>
        <v/>
      </c>
      <c r="T682" s="7">
        <f>IF($U682="","",S682-Q682-G682)</f>
        <v/>
      </c>
      <c r="U682" s="13">
        <f>IF(ROWS($U$2:$U682)&lt;=MAX('Per Line'!$V$2:$V$3001),MATCH(ROWS($U$2:$U682),'Per Line'!$V$2:$V$3001,0),"")</f>
        <v/>
      </c>
    </row>
    <row r="683">
      <c r="A683">
        <f>IF($U683="","",INDEX('Per Line'!$A$2:$A$3001,$U683)&amp;"")</f>
        <v/>
      </c>
      <c r="B683" s="12" t="n"/>
      <c r="C683">
        <f>IF($U683="","",INDEX('Per Line'!$B$2:$B$3001,$U683)&amp;"")</f>
        <v/>
      </c>
      <c r="D683">
        <f>IF($U683="","",INDEX('Per Line'!$C$2:$C$3001,$U683)&amp;"")</f>
        <v/>
      </c>
      <c r="E683">
        <f>IF($U683="","",INDEX('Per Line'!$D$2:$D$3001,$U683)&amp;"")</f>
        <v/>
      </c>
      <c r="F683">
        <f>IF($U683="","",INDEX('Per Line'!$E$2:$E$3001,$U683))</f>
        <v/>
      </c>
      <c r="G683" s="7">
        <f>IF($U683="","",F683*S683/100)</f>
        <v/>
      </c>
      <c r="H683">
        <f>IF($U683="","",INDEX('Per Line'!$O$2:$O$3001,$U683)&amp;"")</f>
        <v/>
      </c>
      <c r="I683" s="11">
        <f>IF($U683="","",INDEX('Per Line'!$Q$2:$Q$3001,$U683))</f>
        <v/>
      </c>
      <c r="J683">
        <f>IF($U683="","",INDEX('Per Line'!$R$2:$R$3001,$U683)&amp;"")</f>
        <v/>
      </c>
      <c r="K683">
        <f>IF($U683="","",Settings!$C$7)</f>
        <v/>
      </c>
      <c r="L683" s="7">
        <f>IF($U683="","",SUMIFS('Per Line'!$N$2:$N$3001,'Per Line'!$A$2:$A$3001,$A683,'Per Line'!$W$2:$W$3001,0))</f>
        <v/>
      </c>
      <c r="M683" s="7">
        <f>IF($U683="","",L683*K683)</f>
        <v/>
      </c>
      <c r="N683">
        <f>IF($U683="","",Settings!$C$6)</f>
        <v/>
      </c>
      <c r="O683" s="7">
        <f>IF($U683="","",SUMIFS('Per Line'!$N$2:$N$3001,'Per Line'!$A$2:$A$3001,$A683,'Per Line'!$W$2:$W$3001,1))</f>
        <v/>
      </c>
      <c r="P683" s="7">
        <f>IF($U683="","",O683*N683)</f>
        <v/>
      </c>
      <c r="Q683" s="7">
        <f>IF($U683="","",P683+M683)</f>
        <v/>
      </c>
      <c r="R683" s="7">
        <f>IF($U683="","",S683-Q683)</f>
        <v/>
      </c>
      <c r="S683" s="7">
        <f>IF($U683="","",L683+O683)</f>
        <v/>
      </c>
      <c r="T683" s="7">
        <f>IF($U683="","",S683-Q683-G683)</f>
        <v/>
      </c>
      <c r="U683" s="13">
        <f>IF(ROWS($U$2:$U683)&lt;=MAX('Per Line'!$V$2:$V$3001),MATCH(ROWS($U$2:$U683),'Per Line'!$V$2:$V$3001,0),"")</f>
        <v/>
      </c>
    </row>
    <row r="684">
      <c r="A684">
        <f>IF($U684="","",INDEX('Per Line'!$A$2:$A$3001,$U684)&amp;"")</f>
        <v/>
      </c>
      <c r="B684" s="12" t="n"/>
      <c r="C684">
        <f>IF($U684="","",INDEX('Per Line'!$B$2:$B$3001,$U684)&amp;"")</f>
        <v/>
      </c>
      <c r="D684">
        <f>IF($U684="","",INDEX('Per Line'!$C$2:$C$3001,$U684)&amp;"")</f>
        <v/>
      </c>
      <c r="E684">
        <f>IF($U684="","",INDEX('Per Line'!$D$2:$D$3001,$U684)&amp;"")</f>
        <v/>
      </c>
      <c r="F684">
        <f>IF($U684="","",INDEX('Per Line'!$E$2:$E$3001,$U684))</f>
        <v/>
      </c>
      <c r="G684" s="7">
        <f>IF($U684="","",F684*S684/100)</f>
        <v/>
      </c>
      <c r="H684">
        <f>IF($U684="","",INDEX('Per Line'!$O$2:$O$3001,$U684)&amp;"")</f>
        <v/>
      </c>
      <c r="I684" s="11">
        <f>IF($U684="","",INDEX('Per Line'!$Q$2:$Q$3001,$U684))</f>
        <v/>
      </c>
      <c r="J684">
        <f>IF($U684="","",INDEX('Per Line'!$R$2:$R$3001,$U684)&amp;"")</f>
        <v/>
      </c>
      <c r="K684">
        <f>IF($U684="","",Settings!$C$7)</f>
        <v/>
      </c>
      <c r="L684" s="7">
        <f>IF($U684="","",SUMIFS('Per Line'!$N$2:$N$3001,'Per Line'!$A$2:$A$3001,$A684,'Per Line'!$W$2:$W$3001,0))</f>
        <v/>
      </c>
      <c r="M684" s="7">
        <f>IF($U684="","",L684*K684)</f>
        <v/>
      </c>
      <c r="N684">
        <f>IF($U684="","",Settings!$C$6)</f>
        <v/>
      </c>
      <c r="O684" s="7">
        <f>IF($U684="","",SUMIFS('Per Line'!$N$2:$N$3001,'Per Line'!$A$2:$A$3001,$A684,'Per Line'!$W$2:$W$3001,1))</f>
        <v/>
      </c>
      <c r="P684" s="7">
        <f>IF($U684="","",O684*N684)</f>
        <v/>
      </c>
      <c r="Q684" s="7">
        <f>IF($U684="","",P684+M684)</f>
        <v/>
      </c>
      <c r="R684" s="7">
        <f>IF($U684="","",S684-Q684)</f>
        <v/>
      </c>
      <c r="S684" s="7">
        <f>IF($U684="","",L684+O684)</f>
        <v/>
      </c>
      <c r="T684" s="7">
        <f>IF($U684="","",S684-Q684-G684)</f>
        <v/>
      </c>
      <c r="U684" s="13">
        <f>IF(ROWS($U$2:$U684)&lt;=MAX('Per Line'!$V$2:$V$3001),MATCH(ROWS($U$2:$U684),'Per Line'!$V$2:$V$3001,0),"")</f>
        <v/>
      </c>
    </row>
    <row r="685">
      <c r="A685">
        <f>IF($U685="","",INDEX('Per Line'!$A$2:$A$3001,$U685)&amp;"")</f>
        <v/>
      </c>
      <c r="B685" s="12" t="n"/>
      <c r="C685">
        <f>IF($U685="","",INDEX('Per Line'!$B$2:$B$3001,$U685)&amp;"")</f>
        <v/>
      </c>
      <c r="D685">
        <f>IF($U685="","",INDEX('Per Line'!$C$2:$C$3001,$U685)&amp;"")</f>
        <v/>
      </c>
      <c r="E685">
        <f>IF($U685="","",INDEX('Per Line'!$D$2:$D$3001,$U685)&amp;"")</f>
        <v/>
      </c>
      <c r="F685">
        <f>IF($U685="","",INDEX('Per Line'!$E$2:$E$3001,$U685))</f>
        <v/>
      </c>
      <c r="G685" s="7">
        <f>IF($U685="","",F685*S685/100)</f>
        <v/>
      </c>
      <c r="H685">
        <f>IF($U685="","",INDEX('Per Line'!$O$2:$O$3001,$U685)&amp;"")</f>
        <v/>
      </c>
      <c r="I685" s="11">
        <f>IF($U685="","",INDEX('Per Line'!$Q$2:$Q$3001,$U685))</f>
        <v/>
      </c>
      <c r="J685">
        <f>IF($U685="","",INDEX('Per Line'!$R$2:$R$3001,$U685)&amp;"")</f>
        <v/>
      </c>
      <c r="K685">
        <f>IF($U685="","",Settings!$C$7)</f>
        <v/>
      </c>
      <c r="L685" s="7">
        <f>IF($U685="","",SUMIFS('Per Line'!$N$2:$N$3001,'Per Line'!$A$2:$A$3001,$A685,'Per Line'!$W$2:$W$3001,0))</f>
        <v/>
      </c>
      <c r="M685" s="7">
        <f>IF($U685="","",L685*K685)</f>
        <v/>
      </c>
      <c r="N685">
        <f>IF($U685="","",Settings!$C$6)</f>
        <v/>
      </c>
      <c r="O685" s="7">
        <f>IF($U685="","",SUMIFS('Per Line'!$N$2:$N$3001,'Per Line'!$A$2:$A$3001,$A685,'Per Line'!$W$2:$W$3001,1))</f>
        <v/>
      </c>
      <c r="P685" s="7">
        <f>IF($U685="","",O685*N685)</f>
        <v/>
      </c>
      <c r="Q685" s="7">
        <f>IF($U685="","",P685+M685)</f>
        <v/>
      </c>
      <c r="R685" s="7">
        <f>IF($U685="","",S685-Q685)</f>
        <v/>
      </c>
      <c r="S685" s="7">
        <f>IF($U685="","",L685+O685)</f>
        <v/>
      </c>
      <c r="T685" s="7">
        <f>IF($U685="","",S685-Q685-G685)</f>
        <v/>
      </c>
      <c r="U685" s="13">
        <f>IF(ROWS($U$2:$U685)&lt;=MAX('Per Line'!$V$2:$V$3001),MATCH(ROWS($U$2:$U685),'Per Line'!$V$2:$V$3001,0),"")</f>
        <v/>
      </c>
    </row>
    <row r="686">
      <c r="A686">
        <f>IF($U686="","",INDEX('Per Line'!$A$2:$A$3001,$U686)&amp;"")</f>
        <v/>
      </c>
      <c r="B686" s="12" t="n"/>
      <c r="C686">
        <f>IF($U686="","",INDEX('Per Line'!$B$2:$B$3001,$U686)&amp;"")</f>
        <v/>
      </c>
      <c r="D686">
        <f>IF($U686="","",INDEX('Per Line'!$C$2:$C$3001,$U686)&amp;"")</f>
        <v/>
      </c>
      <c r="E686">
        <f>IF($U686="","",INDEX('Per Line'!$D$2:$D$3001,$U686)&amp;"")</f>
        <v/>
      </c>
      <c r="F686">
        <f>IF($U686="","",INDEX('Per Line'!$E$2:$E$3001,$U686))</f>
        <v/>
      </c>
      <c r="G686" s="7">
        <f>IF($U686="","",F686*S686/100)</f>
        <v/>
      </c>
      <c r="H686">
        <f>IF($U686="","",INDEX('Per Line'!$O$2:$O$3001,$U686)&amp;"")</f>
        <v/>
      </c>
      <c r="I686" s="11">
        <f>IF($U686="","",INDEX('Per Line'!$Q$2:$Q$3001,$U686))</f>
        <v/>
      </c>
      <c r="J686">
        <f>IF($U686="","",INDEX('Per Line'!$R$2:$R$3001,$U686)&amp;"")</f>
        <v/>
      </c>
      <c r="K686">
        <f>IF($U686="","",Settings!$C$7)</f>
        <v/>
      </c>
      <c r="L686" s="7">
        <f>IF($U686="","",SUMIFS('Per Line'!$N$2:$N$3001,'Per Line'!$A$2:$A$3001,$A686,'Per Line'!$W$2:$W$3001,0))</f>
        <v/>
      </c>
      <c r="M686" s="7">
        <f>IF($U686="","",L686*K686)</f>
        <v/>
      </c>
      <c r="N686">
        <f>IF($U686="","",Settings!$C$6)</f>
        <v/>
      </c>
      <c r="O686" s="7">
        <f>IF($U686="","",SUMIFS('Per Line'!$N$2:$N$3001,'Per Line'!$A$2:$A$3001,$A686,'Per Line'!$W$2:$W$3001,1))</f>
        <v/>
      </c>
      <c r="P686" s="7">
        <f>IF($U686="","",O686*N686)</f>
        <v/>
      </c>
      <c r="Q686" s="7">
        <f>IF($U686="","",P686+M686)</f>
        <v/>
      </c>
      <c r="R686" s="7">
        <f>IF($U686="","",S686-Q686)</f>
        <v/>
      </c>
      <c r="S686" s="7">
        <f>IF($U686="","",L686+O686)</f>
        <v/>
      </c>
      <c r="T686" s="7">
        <f>IF($U686="","",S686-Q686-G686)</f>
        <v/>
      </c>
      <c r="U686" s="13">
        <f>IF(ROWS($U$2:$U686)&lt;=MAX('Per Line'!$V$2:$V$3001),MATCH(ROWS($U$2:$U686),'Per Line'!$V$2:$V$3001,0),"")</f>
        <v/>
      </c>
    </row>
    <row r="687">
      <c r="A687">
        <f>IF($U687="","",INDEX('Per Line'!$A$2:$A$3001,$U687)&amp;"")</f>
        <v/>
      </c>
      <c r="B687" s="12" t="n"/>
      <c r="C687">
        <f>IF($U687="","",INDEX('Per Line'!$B$2:$B$3001,$U687)&amp;"")</f>
        <v/>
      </c>
      <c r="D687">
        <f>IF($U687="","",INDEX('Per Line'!$C$2:$C$3001,$U687)&amp;"")</f>
        <v/>
      </c>
      <c r="E687">
        <f>IF($U687="","",INDEX('Per Line'!$D$2:$D$3001,$U687)&amp;"")</f>
        <v/>
      </c>
      <c r="F687">
        <f>IF($U687="","",INDEX('Per Line'!$E$2:$E$3001,$U687))</f>
        <v/>
      </c>
      <c r="G687" s="7">
        <f>IF($U687="","",F687*S687/100)</f>
        <v/>
      </c>
      <c r="H687">
        <f>IF($U687="","",INDEX('Per Line'!$O$2:$O$3001,$U687)&amp;"")</f>
        <v/>
      </c>
      <c r="I687" s="11">
        <f>IF($U687="","",INDEX('Per Line'!$Q$2:$Q$3001,$U687))</f>
        <v/>
      </c>
      <c r="J687">
        <f>IF($U687="","",INDEX('Per Line'!$R$2:$R$3001,$U687)&amp;"")</f>
        <v/>
      </c>
      <c r="K687">
        <f>IF($U687="","",Settings!$C$7)</f>
        <v/>
      </c>
      <c r="L687" s="7">
        <f>IF($U687="","",SUMIFS('Per Line'!$N$2:$N$3001,'Per Line'!$A$2:$A$3001,$A687,'Per Line'!$W$2:$W$3001,0))</f>
        <v/>
      </c>
      <c r="M687" s="7">
        <f>IF($U687="","",L687*K687)</f>
        <v/>
      </c>
      <c r="N687">
        <f>IF($U687="","",Settings!$C$6)</f>
        <v/>
      </c>
      <c r="O687" s="7">
        <f>IF($U687="","",SUMIFS('Per Line'!$N$2:$N$3001,'Per Line'!$A$2:$A$3001,$A687,'Per Line'!$W$2:$W$3001,1))</f>
        <v/>
      </c>
      <c r="P687" s="7">
        <f>IF($U687="","",O687*N687)</f>
        <v/>
      </c>
      <c r="Q687" s="7">
        <f>IF($U687="","",P687+M687)</f>
        <v/>
      </c>
      <c r="R687" s="7">
        <f>IF($U687="","",S687-Q687)</f>
        <v/>
      </c>
      <c r="S687" s="7">
        <f>IF($U687="","",L687+O687)</f>
        <v/>
      </c>
      <c r="T687" s="7">
        <f>IF($U687="","",S687-Q687-G687)</f>
        <v/>
      </c>
      <c r="U687" s="13">
        <f>IF(ROWS($U$2:$U687)&lt;=MAX('Per Line'!$V$2:$V$3001),MATCH(ROWS($U$2:$U687),'Per Line'!$V$2:$V$3001,0),"")</f>
        <v/>
      </c>
    </row>
    <row r="688">
      <c r="A688">
        <f>IF($U688="","",INDEX('Per Line'!$A$2:$A$3001,$U688)&amp;"")</f>
        <v/>
      </c>
      <c r="B688" s="12" t="n"/>
      <c r="C688">
        <f>IF($U688="","",INDEX('Per Line'!$B$2:$B$3001,$U688)&amp;"")</f>
        <v/>
      </c>
      <c r="D688">
        <f>IF($U688="","",INDEX('Per Line'!$C$2:$C$3001,$U688)&amp;"")</f>
        <v/>
      </c>
      <c r="E688">
        <f>IF($U688="","",INDEX('Per Line'!$D$2:$D$3001,$U688)&amp;"")</f>
        <v/>
      </c>
      <c r="F688">
        <f>IF($U688="","",INDEX('Per Line'!$E$2:$E$3001,$U688))</f>
        <v/>
      </c>
      <c r="G688" s="7">
        <f>IF($U688="","",F688*S688/100)</f>
        <v/>
      </c>
      <c r="H688">
        <f>IF($U688="","",INDEX('Per Line'!$O$2:$O$3001,$U688)&amp;"")</f>
        <v/>
      </c>
      <c r="I688" s="11">
        <f>IF($U688="","",INDEX('Per Line'!$Q$2:$Q$3001,$U688))</f>
        <v/>
      </c>
      <c r="J688">
        <f>IF($U688="","",INDEX('Per Line'!$R$2:$R$3001,$U688)&amp;"")</f>
        <v/>
      </c>
      <c r="K688">
        <f>IF($U688="","",Settings!$C$7)</f>
        <v/>
      </c>
      <c r="L688" s="7">
        <f>IF($U688="","",SUMIFS('Per Line'!$N$2:$N$3001,'Per Line'!$A$2:$A$3001,$A688,'Per Line'!$W$2:$W$3001,0))</f>
        <v/>
      </c>
      <c r="M688" s="7">
        <f>IF($U688="","",L688*K688)</f>
        <v/>
      </c>
      <c r="N688">
        <f>IF($U688="","",Settings!$C$6)</f>
        <v/>
      </c>
      <c r="O688" s="7">
        <f>IF($U688="","",SUMIFS('Per Line'!$N$2:$N$3001,'Per Line'!$A$2:$A$3001,$A688,'Per Line'!$W$2:$W$3001,1))</f>
        <v/>
      </c>
      <c r="P688" s="7">
        <f>IF($U688="","",O688*N688)</f>
        <v/>
      </c>
      <c r="Q688" s="7">
        <f>IF($U688="","",P688+M688)</f>
        <v/>
      </c>
      <c r="R688" s="7">
        <f>IF($U688="","",S688-Q688)</f>
        <v/>
      </c>
      <c r="S688" s="7">
        <f>IF($U688="","",L688+O688)</f>
        <v/>
      </c>
      <c r="T688" s="7">
        <f>IF($U688="","",S688-Q688-G688)</f>
        <v/>
      </c>
      <c r="U688" s="13">
        <f>IF(ROWS($U$2:$U688)&lt;=MAX('Per Line'!$V$2:$V$3001),MATCH(ROWS($U$2:$U688),'Per Line'!$V$2:$V$3001,0),"")</f>
        <v/>
      </c>
    </row>
    <row r="689">
      <c r="A689">
        <f>IF($U689="","",INDEX('Per Line'!$A$2:$A$3001,$U689)&amp;"")</f>
        <v/>
      </c>
      <c r="B689" s="12" t="n"/>
      <c r="C689">
        <f>IF($U689="","",INDEX('Per Line'!$B$2:$B$3001,$U689)&amp;"")</f>
        <v/>
      </c>
      <c r="D689">
        <f>IF($U689="","",INDEX('Per Line'!$C$2:$C$3001,$U689)&amp;"")</f>
        <v/>
      </c>
      <c r="E689">
        <f>IF($U689="","",INDEX('Per Line'!$D$2:$D$3001,$U689)&amp;"")</f>
        <v/>
      </c>
      <c r="F689">
        <f>IF($U689="","",INDEX('Per Line'!$E$2:$E$3001,$U689))</f>
        <v/>
      </c>
      <c r="G689" s="7">
        <f>IF($U689="","",F689*S689/100)</f>
        <v/>
      </c>
      <c r="H689">
        <f>IF($U689="","",INDEX('Per Line'!$O$2:$O$3001,$U689)&amp;"")</f>
        <v/>
      </c>
      <c r="I689" s="11">
        <f>IF($U689="","",INDEX('Per Line'!$Q$2:$Q$3001,$U689))</f>
        <v/>
      </c>
      <c r="J689">
        <f>IF($U689="","",INDEX('Per Line'!$R$2:$R$3001,$U689)&amp;"")</f>
        <v/>
      </c>
      <c r="K689">
        <f>IF($U689="","",Settings!$C$7)</f>
        <v/>
      </c>
      <c r="L689" s="7">
        <f>IF($U689="","",SUMIFS('Per Line'!$N$2:$N$3001,'Per Line'!$A$2:$A$3001,$A689,'Per Line'!$W$2:$W$3001,0))</f>
        <v/>
      </c>
      <c r="M689" s="7">
        <f>IF($U689="","",L689*K689)</f>
        <v/>
      </c>
      <c r="N689">
        <f>IF($U689="","",Settings!$C$6)</f>
        <v/>
      </c>
      <c r="O689" s="7">
        <f>IF($U689="","",SUMIFS('Per Line'!$N$2:$N$3001,'Per Line'!$A$2:$A$3001,$A689,'Per Line'!$W$2:$W$3001,1))</f>
        <v/>
      </c>
      <c r="P689" s="7">
        <f>IF($U689="","",O689*N689)</f>
        <v/>
      </c>
      <c r="Q689" s="7">
        <f>IF($U689="","",P689+M689)</f>
        <v/>
      </c>
      <c r="R689" s="7">
        <f>IF($U689="","",S689-Q689)</f>
        <v/>
      </c>
      <c r="S689" s="7">
        <f>IF($U689="","",L689+O689)</f>
        <v/>
      </c>
      <c r="T689" s="7">
        <f>IF($U689="","",S689-Q689-G689)</f>
        <v/>
      </c>
      <c r="U689" s="13">
        <f>IF(ROWS($U$2:$U689)&lt;=MAX('Per Line'!$V$2:$V$3001),MATCH(ROWS($U$2:$U689),'Per Line'!$V$2:$V$3001,0),"")</f>
        <v/>
      </c>
    </row>
    <row r="690">
      <c r="A690">
        <f>IF($U690="","",INDEX('Per Line'!$A$2:$A$3001,$U690)&amp;"")</f>
        <v/>
      </c>
      <c r="B690" s="12" t="n"/>
      <c r="C690">
        <f>IF($U690="","",INDEX('Per Line'!$B$2:$B$3001,$U690)&amp;"")</f>
        <v/>
      </c>
      <c r="D690">
        <f>IF($U690="","",INDEX('Per Line'!$C$2:$C$3001,$U690)&amp;"")</f>
        <v/>
      </c>
      <c r="E690">
        <f>IF($U690="","",INDEX('Per Line'!$D$2:$D$3001,$U690)&amp;"")</f>
        <v/>
      </c>
      <c r="F690">
        <f>IF($U690="","",INDEX('Per Line'!$E$2:$E$3001,$U690))</f>
        <v/>
      </c>
      <c r="G690" s="7">
        <f>IF($U690="","",F690*S690/100)</f>
        <v/>
      </c>
      <c r="H690">
        <f>IF($U690="","",INDEX('Per Line'!$O$2:$O$3001,$U690)&amp;"")</f>
        <v/>
      </c>
      <c r="I690" s="11">
        <f>IF($U690="","",INDEX('Per Line'!$Q$2:$Q$3001,$U690))</f>
        <v/>
      </c>
      <c r="J690">
        <f>IF($U690="","",INDEX('Per Line'!$R$2:$R$3001,$U690)&amp;"")</f>
        <v/>
      </c>
      <c r="K690">
        <f>IF($U690="","",Settings!$C$7)</f>
        <v/>
      </c>
      <c r="L690" s="7">
        <f>IF($U690="","",SUMIFS('Per Line'!$N$2:$N$3001,'Per Line'!$A$2:$A$3001,$A690,'Per Line'!$W$2:$W$3001,0))</f>
        <v/>
      </c>
      <c r="M690" s="7">
        <f>IF($U690="","",L690*K690)</f>
        <v/>
      </c>
      <c r="N690">
        <f>IF($U690="","",Settings!$C$6)</f>
        <v/>
      </c>
      <c r="O690" s="7">
        <f>IF($U690="","",SUMIFS('Per Line'!$N$2:$N$3001,'Per Line'!$A$2:$A$3001,$A690,'Per Line'!$W$2:$W$3001,1))</f>
        <v/>
      </c>
      <c r="P690" s="7">
        <f>IF($U690="","",O690*N690)</f>
        <v/>
      </c>
      <c r="Q690" s="7">
        <f>IF($U690="","",P690+M690)</f>
        <v/>
      </c>
      <c r="R690" s="7">
        <f>IF($U690="","",S690-Q690)</f>
        <v/>
      </c>
      <c r="S690" s="7">
        <f>IF($U690="","",L690+O690)</f>
        <v/>
      </c>
      <c r="T690" s="7">
        <f>IF($U690="","",S690-Q690-G690)</f>
        <v/>
      </c>
      <c r="U690" s="13">
        <f>IF(ROWS($U$2:$U690)&lt;=MAX('Per Line'!$V$2:$V$3001),MATCH(ROWS($U$2:$U690),'Per Line'!$V$2:$V$3001,0),"")</f>
        <v/>
      </c>
    </row>
    <row r="691">
      <c r="A691">
        <f>IF($U691="","",INDEX('Per Line'!$A$2:$A$3001,$U691)&amp;"")</f>
        <v/>
      </c>
      <c r="B691" s="12" t="n"/>
      <c r="C691">
        <f>IF($U691="","",INDEX('Per Line'!$B$2:$B$3001,$U691)&amp;"")</f>
        <v/>
      </c>
      <c r="D691">
        <f>IF($U691="","",INDEX('Per Line'!$C$2:$C$3001,$U691)&amp;"")</f>
        <v/>
      </c>
      <c r="E691">
        <f>IF($U691="","",INDEX('Per Line'!$D$2:$D$3001,$U691)&amp;"")</f>
        <v/>
      </c>
      <c r="F691">
        <f>IF($U691="","",INDEX('Per Line'!$E$2:$E$3001,$U691))</f>
        <v/>
      </c>
      <c r="G691" s="7">
        <f>IF($U691="","",F691*S691/100)</f>
        <v/>
      </c>
      <c r="H691">
        <f>IF($U691="","",INDEX('Per Line'!$O$2:$O$3001,$U691)&amp;"")</f>
        <v/>
      </c>
      <c r="I691" s="11">
        <f>IF($U691="","",INDEX('Per Line'!$Q$2:$Q$3001,$U691))</f>
        <v/>
      </c>
      <c r="J691">
        <f>IF($U691="","",INDEX('Per Line'!$R$2:$R$3001,$U691)&amp;"")</f>
        <v/>
      </c>
      <c r="K691">
        <f>IF($U691="","",Settings!$C$7)</f>
        <v/>
      </c>
      <c r="L691" s="7">
        <f>IF($U691="","",SUMIFS('Per Line'!$N$2:$N$3001,'Per Line'!$A$2:$A$3001,$A691,'Per Line'!$W$2:$W$3001,0))</f>
        <v/>
      </c>
      <c r="M691" s="7">
        <f>IF($U691="","",L691*K691)</f>
        <v/>
      </c>
      <c r="N691">
        <f>IF($U691="","",Settings!$C$6)</f>
        <v/>
      </c>
      <c r="O691" s="7">
        <f>IF($U691="","",SUMIFS('Per Line'!$N$2:$N$3001,'Per Line'!$A$2:$A$3001,$A691,'Per Line'!$W$2:$W$3001,1))</f>
        <v/>
      </c>
      <c r="P691" s="7">
        <f>IF($U691="","",O691*N691)</f>
        <v/>
      </c>
      <c r="Q691" s="7">
        <f>IF($U691="","",P691+M691)</f>
        <v/>
      </c>
      <c r="R691" s="7">
        <f>IF($U691="","",S691-Q691)</f>
        <v/>
      </c>
      <c r="S691" s="7">
        <f>IF($U691="","",L691+O691)</f>
        <v/>
      </c>
      <c r="T691" s="7">
        <f>IF($U691="","",S691-Q691-G691)</f>
        <v/>
      </c>
      <c r="U691" s="13">
        <f>IF(ROWS($U$2:$U691)&lt;=MAX('Per Line'!$V$2:$V$3001),MATCH(ROWS($U$2:$U691),'Per Line'!$V$2:$V$3001,0),"")</f>
        <v/>
      </c>
    </row>
    <row r="692">
      <c r="A692">
        <f>IF($U692="","",INDEX('Per Line'!$A$2:$A$3001,$U692)&amp;"")</f>
        <v/>
      </c>
      <c r="B692" s="12" t="n"/>
      <c r="C692">
        <f>IF($U692="","",INDEX('Per Line'!$B$2:$B$3001,$U692)&amp;"")</f>
        <v/>
      </c>
      <c r="D692">
        <f>IF($U692="","",INDEX('Per Line'!$C$2:$C$3001,$U692)&amp;"")</f>
        <v/>
      </c>
      <c r="E692">
        <f>IF($U692="","",INDEX('Per Line'!$D$2:$D$3001,$U692)&amp;"")</f>
        <v/>
      </c>
      <c r="F692">
        <f>IF($U692="","",INDEX('Per Line'!$E$2:$E$3001,$U692))</f>
        <v/>
      </c>
      <c r="G692" s="7">
        <f>IF($U692="","",F692*S692/100)</f>
        <v/>
      </c>
      <c r="H692">
        <f>IF($U692="","",INDEX('Per Line'!$O$2:$O$3001,$U692)&amp;"")</f>
        <v/>
      </c>
      <c r="I692" s="11">
        <f>IF($U692="","",INDEX('Per Line'!$Q$2:$Q$3001,$U692))</f>
        <v/>
      </c>
      <c r="J692">
        <f>IF($U692="","",INDEX('Per Line'!$R$2:$R$3001,$U692)&amp;"")</f>
        <v/>
      </c>
      <c r="K692">
        <f>IF($U692="","",Settings!$C$7)</f>
        <v/>
      </c>
      <c r="L692" s="7">
        <f>IF($U692="","",SUMIFS('Per Line'!$N$2:$N$3001,'Per Line'!$A$2:$A$3001,$A692,'Per Line'!$W$2:$W$3001,0))</f>
        <v/>
      </c>
      <c r="M692" s="7">
        <f>IF($U692="","",L692*K692)</f>
        <v/>
      </c>
      <c r="N692">
        <f>IF($U692="","",Settings!$C$6)</f>
        <v/>
      </c>
      <c r="O692" s="7">
        <f>IF($U692="","",SUMIFS('Per Line'!$N$2:$N$3001,'Per Line'!$A$2:$A$3001,$A692,'Per Line'!$W$2:$W$3001,1))</f>
        <v/>
      </c>
      <c r="P692" s="7">
        <f>IF($U692="","",O692*N692)</f>
        <v/>
      </c>
      <c r="Q692" s="7">
        <f>IF($U692="","",P692+M692)</f>
        <v/>
      </c>
      <c r="R692" s="7">
        <f>IF($U692="","",S692-Q692)</f>
        <v/>
      </c>
      <c r="S692" s="7">
        <f>IF($U692="","",L692+O692)</f>
        <v/>
      </c>
      <c r="T692" s="7">
        <f>IF($U692="","",S692-Q692-G692)</f>
        <v/>
      </c>
      <c r="U692" s="13">
        <f>IF(ROWS($U$2:$U692)&lt;=MAX('Per Line'!$V$2:$V$3001),MATCH(ROWS($U$2:$U692),'Per Line'!$V$2:$V$3001,0),"")</f>
        <v/>
      </c>
    </row>
    <row r="693">
      <c r="A693">
        <f>IF($U693="","",INDEX('Per Line'!$A$2:$A$3001,$U693)&amp;"")</f>
        <v/>
      </c>
      <c r="B693" s="12" t="n"/>
      <c r="C693">
        <f>IF($U693="","",INDEX('Per Line'!$B$2:$B$3001,$U693)&amp;"")</f>
        <v/>
      </c>
      <c r="D693">
        <f>IF($U693="","",INDEX('Per Line'!$C$2:$C$3001,$U693)&amp;"")</f>
        <v/>
      </c>
      <c r="E693">
        <f>IF($U693="","",INDEX('Per Line'!$D$2:$D$3001,$U693)&amp;"")</f>
        <v/>
      </c>
      <c r="F693">
        <f>IF($U693="","",INDEX('Per Line'!$E$2:$E$3001,$U693))</f>
        <v/>
      </c>
      <c r="G693" s="7">
        <f>IF($U693="","",F693*S693/100)</f>
        <v/>
      </c>
      <c r="H693">
        <f>IF($U693="","",INDEX('Per Line'!$O$2:$O$3001,$U693)&amp;"")</f>
        <v/>
      </c>
      <c r="I693" s="11">
        <f>IF($U693="","",INDEX('Per Line'!$Q$2:$Q$3001,$U693))</f>
        <v/>
      </c>
      <c r="J693">
        <f>IF($U693="","",INDEX('Per Line'!$R$2:$R$3001,$U693)&amp;"")</f>
        <v/>
      </c>
      <c r="K693">
        <f>IF($U693="","",Settings!$C$7)</f>
        <v/>
      </c>
      <c r="L693" s="7">
        <f>IF($U693="","",SUMIFS('Per Line'!$N$2:$N$3001,'Per Line'!$A$2:$A$3001,$A693,'Per Line'!$W$2:$W$3001,0))</f>
        <v/>
      </c>
      <c r="M693" s="7">
        <f>IF($U693="","",L693*K693)</f>
        <v/>
      </c>
      <c r="N693">
        <f>IF($U693="","",Settings!$C$6)</f>
        <v/>
      </c>
      <c r="O693" s="7">
        <f>IF($U693="","",SUMIFS('Per Line'!$N$2:$N$3001,'Per Line'!$A$2:$A$3001,$A693,'Per Line'!$W$2:$W$3001,1))</f>
        <v/>
      </c>
      <c r="P693" s="7">
        <f>IF($U693="","",O693*N693)</f>
        <v/>
      </c>
      <c r="Q693" s="7">
        <f>IF($U693="","",P693+M693)</f>
        <v/>
      </c>
      <c r="R693" s="7">
        <f>IF($U693="","",S693-Q693)</f>
        <v/>
      </c>
      <c r="S693" s="7">
        <f>IF($U693="","",L693+O693)</f>
        <v/>
      </c>
      <c r="T693" s="7">
        <f>IF($U693="","",S693-Q693-G693)</f>
        <v/>
      </c>
      <c r="U693" s="13">
        <f>IF(ROWS($U$2:$U693)&lt;=MAX('Per Line'!$V$2:$V$3001),MATCH(ROWS($U$2:$U693),'Per Line'!$V$2:$V$3001,0),"")</f>
        <v/>
      </c>
    </row>
    <row r="694">
      <c r="A694">
        <f>IF($U694="","",INDEX('Per Line'!$A$2:$A$3001,$U694)&amp;"")</f>
        <v/>
      </c>
      <c r="B694" s="12" t="n"/>
      <c r="C694">
        <f>IF($U694="","",INDEX('Per Line'!$B$2:$B$3001,$U694)&amp;"")</f>
        <v/>
      </c>
      <c r="D694">
        <f>IF($U694="","",INDEX('Per Line'!$C$2:$C$3001,$U694)&amp;"")</f>
        <v/>
      </c>
      <c r="E694">
        <f>IF($U694="","",INDEX('Per Line'!$D$2:$D$3001,$U694)&amp;"")</f>
        <v/>
      </c>
      <c r="F694">
        <f>IF($U694="","",INDEX('Per Line'!$E$2:$E$3001,$U694))</f>
        <v/>
      </c>
      <c r="G694" s="7">
        <f>IF($U694="","",F694*S694/100)</f>
        <v/>
      </c>
      <c r="H694">
        <f>IF($U694="","",INDEX('Per Line'!$O$2:$O$3001,$U694)&amp;"")</f>
        <v/>
      </c>
      <c r="I694" s="11">
        <f>IF($U694="","",INDEX('Per Line'!$Q$2:$Q$3001,$U694))</f>
        <v/>
      </c>
      <c r="J694">
        <f>IF($U694="","",INDEX('Per Line'!$R$2:$R$3001,$U694)&amp;"")</f>
        <v/>
      </c>
      <c r="K694">
        <f>IF($U694="","",Settings!$C$7)</f>
        <v/>
      </c>
      <c r="L694" s="7">
        <f>IF($U694="","",SUMIFS('Per Line'!$N$2:$N$3001,'Per Line'!$A$2:$A$3001,$A694,'Per Line'!$W$2:$W$3001,0))</f>
        <v/>
      </c>
      <c r="M694" s="7">
        <f>IF($U694="","",L694*K694)</f>
        <v/>
      </c>
      <c r="N694">
        <f>IF($U694="","",Settings!$C$6)</f>
        <v/>
      </c>
      <c r="O694" s="7">
        <f>IF($U694="","",SUMIFS('Per Line'!$N$2:$N$3001,'Per Line'!$A$2:$A$3001,$A694,'Per Line'!$W$2:$W$3001,1))</f>
        <v/>
      </c>
      <c r="P694" s="7">
        <f>IF($U694="","",O694*N694)</f>
        <v/>
      </c>
      <c r="Q694" s="7">
        <f>IF($U694="","",P694+M694)</f>
        <v/>
      </c>
      <c r="R694" s="7">
        <f>IF($U694="","",S694-Q694)</f>
        <v/>
      </c>
      <c r="S694" s="7">
        <f>IF($U694="","",L694+O694)</f>
        <v/>
      </c>
      <c r="T694" s="7">
        <f>IF($U694="","",S694-Q694-G694)</f>
        <v/>
      </c>
      <c r="U694" s="13">
        <f>IF(ROWS($U$2:$U694)&lt;=MAX('Per Line'!$V$2:$V$3001),MATCH(ROWS($U$2:$U694),'Per Line'!$V$2:$V$3001,0),"")</f>
        <v/>
      </c>
    </row>
    <row r="695">
      <c r="A695">
        <f>IF($U695="","",INDEX('Per Line'!$A$2:$A$3001,$U695)&amp;"")</f>
        <v/>
      </c>
      <c r="B695" s="12" t="n"/>
      <c r="C695">
        <f>IF($U695="","",INDEX('Per Line'!$B$2:$B$3001,$U695)&amp;"")</f>
        <v/>
      </c>
      <c r="D695">
        <f>IF($U695="","",INDEX('Per Line'!$C$2:$C$3001,$U695)&amp;"")</f>
        <v/>
      </c>
      <c r="E695">
        <f>IF($U695="","",INDEX('Per Line'!$D$2:$D$3001,$U695)&amp;"")</f>
        <v/>
      </c>
      <c r="F695">
        <f>IF($U695="","",INDEX('Per Line'!$E$2:$E$3001,$U695))</f>
        <v/>
      </c>
      <c r="G695" s="7">
        <f>IF($U695="","",F695*S695/100)</f>
        <v/>
      </c>
      <c r="H695">
        <f>IF($U695="","",INDEX('Per Line'!$O$2:$O$3001,$U695)&amp;"")</f>
        <v/>
      </c>
      <c r="I695" s="11">
        <f>IF($U695="","",INDEX('Per Line'!$Q$2:$Q$3001,$U695))</f>
        <v/>
      </c>
      <c r="J695">
        <f>IF($U695="","",INDEX('Per Line'!$R$2:$R$3001,$U695)&amp;"")</f>
        <v/>
      </c>
      <c r="K695">
        <f>IF($U695="","",Settings!$C$7)</f>
        <v/>
      </c>
      <c r="L695" s="7">
        <f>IF($U695="","",SUMIFS('Per Line'!$N$2:$N$3001,'Per Line'!$A$2:$A$3001,$A695,'Per Line'!$W$2:$W$3001,0))</f>
        <v/>
      </c>
      <c r="M695" s="7">
        <f>IF($U695="","",L695*K695)</f>
        <v/>
      </c>
      <c r="N695">
        <f>IF($U695="","",Settings!$C$6)</f>
        <v/>
      </c>
      <c r="O695" s="7">
        <f>IF($U695="","",SUMIFS('Per Line'!$N$2:$N$3001,'Per Line'!$A$2:$A$3001,$A695,'Per Line'!$W$2:$W$3001,1))</f>
        <v/>
      </c>
      <c r="P695" s="7">
        <f>IF($U695="","",O695*N695)</f>
        <v/>
      </c>
      <c r="Q695" s="7">
        <f>IF($U695="","",P695+M695)</f>
        <v/>
      </c>
      <c r="R695" s="7">
        <f>IF($U695="","",S695-Q695)</f>
        <v/>
      </c>
      <c r="S695" s="7">
        <f>IF($U695="","",L695+O695)</f>
        <v/>
      </c>
      <c r="T695" s="7">
        <f>IF($U695="","",S695-Q695-G695)</f>
        <v/>
      </c>
      <c r="U695" s="13">
        <f>IF(ROWS($U$2:$U695)&lt;=MAX('Per Line'!$V$2:$V$3001),MATCH(ROWS($U$2:$U695),'Per Line'!$V$2:$V$3001,0),"")</f>
        <v/>
      </c>
    </row>
    <row r="696">
      <c r="A696">
        <f>IF($U696="","",INDEX('Per Line'!$A$2:$A$3001,$U696)&amp;"")</f>
        <v/>
      </c>
      <c r="B696" s="12" t="n"/>
      <c r="C696">
        <f>IF($U696="","",INDEX('Per Line'!$B$2:$B$3001,$U696)&amp;"")</f>
        <v/>
      </c>
      <c r="D696">
        <f>IF($U696="","",INDEX('Per Line'!$C$2:$C$3001,$U696)&amp;"")</f>
        <v/>
      </c>
      <c r="E696">
        <f>IF($U696="","",INDEX('Per Line'!$D$2:$D$3001,$U696)&amp;"")</f>
        <v/>
      </c>
      <c r="F696">
        <f>IF($U696="","",INDEX('Per Line'!$E$2:$E$3001,$U696))</f>
        <v/>
      </c>
      <c r="G696" s="7">
        <f>IF($U696="","",F696*S696/100)</f>
        <v/>
      </c>
      <c r="H696">
        <f>IF($U696="","",INDEX('Per Line'!$O$2:$O$3001,$U696)&amp;"")</f>
        <v/>
      </c>
      <c r="I696" s="11">
        <f>IF($U696="","",INDEX('Per Line'!$Q$2:$Q$3001,$U696))</f>
        <v/>
      </c>
      <c r="J696">
        <f>IF($U696="","",INDEX('Per Line'!$R$2:$R$3001,$U696)&amp;"")</f>
        <v/>
      </c>
      <c r="K696">
        <f>IF($U696="","",Settings!$C$7)</f>
        <v/>
      </c>
      <c r="L696" s="7">
        <f>IF($U696="","",SUMIFS('Per Line'!$N$2:$N$3001,'Per Line'!$A$2:$A$3001,$A696,'Per Line'!$W$2:$W$3001,0))</f>
        <v/>
      </c>
      <c r="M696" s="7">
        <f>IF($U696="","",L696*K696)</f>
        <v/>
      </c>
      <c r="N696">
        <f>IF($U696="","",Settings!$C$6)</f>
        <v/>
      </c>
      <c r="O696" s="7">
        <f>IF($U696="","",SUMIFS('Per Line'!$N$2:$N$3001,'Per Line'!$A$2:$A$3001,$A696,'Per Line'!$W$2:$W$3001,1))</f>
        <v/>
      </c>
      <c r="P696" s="7">
        <f>IF($U696="","",O696*N696)</f>
        <v/>
      </c>
      <c r="Q696" s="7">
        <f>IF($U696="","",P696+M696)</f>
        <v/>
      </c>
      <c r="R696" s="7">
        <f>IF($U696="","",S696-Q696)</f>
        <v/>
      </c>
      <c r="S696" s="7">
        <f>IF($U696="","",L696+O696)</f>
        <v/>
      </c>
      <c r="T696" s="7">
        <f>IF($U696="","",S696-Q696-G696)</f>
        <v/>
      </c>
      <c r="U696" s="13">
        <f>IF(ROWS($U$2:$U696)&lt;=MAX('Per Line'!$V$2:$V$3001),MATCH(ROWS($U$2:$U696),'Per Line'!$V$2:$V$3001,0),"")</f>
        <v/>
      </c>
    </row>
    <row r="697">
      <c r="A697">
        <f>IF($U697="","",INDEX('Per Line'!$A$2:$A$3001,$U697)&amp;"")</f>
        <v/>
      </c>
      <c r="B697" s="12" t="n"/>
      <c r="C697">
        <f>IF($U697="","",INDEX('Per Line'!$B$2:$B$3001,$U697)&amp;"")</f>
        <v/>
      </c>
      <c r="D697">
        <f>IF($U697="","",INDEX('Per Line'!$C$2:$C$3001,$U697)&amp;"")</f>
        <v/>
      </c>
      <c r="E697">
        <f>IF($U697="","",INDEX('Per Line'!$D$2:$D$3001,$U697)&amp;"")</f>
        <v/>
      </c>
      <c r="F697">
        <f>IF($U697="","",INDEX('Per Line'!$E$2:$E$3001,$U697))</f>
        <v/>
      </c>
      <c r="G697" s="7">
        <f>IF($U697="","",F697*S697/100)</f>
        <v/>
      </c>
      <c r="H697">
        <f>IF($U697="","",INDEX('Per Line'!$O$2:$O$3001,$U697)&amp;"")</f>
        <v/>
      </c>
      <c r="I697" s="11">
        <f>IF($U697="","",INDEX('Per Line'!$Q$2:$Q$3001,$U697))</f>
        <v/>
      </c>
      <c r="J697">
        <f>IF($U697="","",INDEX('Per Line'!$R$2:$R$3001,$U697)&amp;"")</f>
        <v/>
      </c>
      <c r="K697">
        <f>IF($U697="","",Settings!$C$7)</f>
        <v/>
      </c>
      <c r="L697" s="7">
        <f>IF($U697="","",SUMIFS('Per Line'!$N$2:$N$3001,'Per Line'!$A$2:$A$3001,$A697,'Per Line'!$W$2:$W$3001,0))</f>
        <v/>
      </c>
      <c r="M697" s="7">
        <f>IF($U697="","",L697*K697)</f>
        <v/>
      </c>
      <c r="N697">
        <f>IF($U697="","",Settings!$C$6)</f>
        <v/>
      </c>
      <c r="O697" s="7">
        <f>IF($U697="","",SUMIFS('Per Line'!$N$2:$N$3001,'Per Line'!$A$2:$A$3001,$A697,'Per Line'!$W$2:$W$3001,1))</f>
        <v/>
      </c>
      <c r="P697" s="7">
        <f>IF($U697="","",O697*N697)</f>
        <v/>
      </c>
      <c r="Q697" s="7">
        <f>IF($U697="","",P697+M697)</f>
        <v/>
      </c>
      <c r="R697" s="7">
        <f>IF($U697="","",S697-Q697)</f>
        <v/>
      </c>
      <c r="S697" s="7">
        <f>IF($U697="","",L697+O697)</f>
        <v/>
      </c>
      <c r="T697" s="7">
        <f>IF($U697="","",S697-Q697-G697)</f>
        <v/>
      </c>
      <c r="U697" s="13">
        <f>IF(ROWS($U$2:$U697)&lt;=MAX('Per Line'!$V$2:$V$3001),MATCH(ROWS($U$2:$U697),'Per Line'!$V$2:$V$3001,0),"")</f>
        <v/>
      </c>
    </row>
    <row r="698">
      <c r="A698">
        <f>IF($U698="","",INDEX('Per Line'!$A$2:$A$3001,$U698)&amp;"")</f>
        <v/>
      </c>
      <c r="B698" s="12" t="n"/>
      <c r="C698">
        <f>IF($U698="","",INDEX('Per Line'!$B$2:$B$3001,$U698)&amp;"")</f>
        <v/>
      </c>
      <c r="D698">
        <f>IF($U698="","",INDEX('Per Line'!$C$2:$C$3001,$U698)&amp;"")</f>
        <v/>
      </c>
      <c r="E698">
        <f>IF($U698="","",INDEX('Per Line'!$D$2:$D$3001,$U698)&amp;"")</f>
        <v/>
      </c>
      <c r="F698">
        <f>IF($U698="","",INDEX('Per Line'!$E$2:$E$3001,$U698))</f>
        <v/>
      </c>
      <c r="G698" s="7">
        <f>IF($U698="","",F698*S698/100)</f>
        <v/>
      </c>
      <c r="H698">
        <f>IF($U698="","",INDEX('Per Line'!$O$2:$O$3001,$U698)&amp;"")</f>
        <v/>
      </c>
      <c r="I698" s="11">
        <f>IF($U698="","",INDEX('Per Line'!$Q$2:$Q$3001,$U698))</f>
        <v/>
      </c>
      <c r="J698">
        <f>IF($U698="","",INDEX('Per Line'!$R$2:$R$3001,$U698)&amp;"")</f>
        <v/>
      </c>
      <c r="K698">
        <f>IF($U698="","",Settings!$C$7)</f>
        <v/>
      </c>
      <c r="L698" s="7">
        <f>IF($U698="","",SUMIFS('Per Line'!$N$2:$N$3001,'Per Line'!$A$2:$A$3001,$A698,'Per Line'!$W$2:$W$3001,0))</f>
        <v/>
      </c>
      <c r="M698" s="7">
        <f>IF($U698="","",L698*K698)</f>
        <v/>
      </c>
      <c r="N698">
        <f>IF($U698="","",Settings!$C$6)</f>
        <v/>
      </c>
      <c r="O698" s="7">
        <f>IF($U698="","",SUMIFS('Per Line'!$N$2:$N$3001,'Per Line'!$A$2:$A$3001,$A698,'Per Line'!$W$2:$W$3001,1))</f>
        <v/>
      </c>
      <c r="P698" s="7">
        <f>IF($U698="","",O698*N698)</f>
        <v/>
      </c>
      <c r="Q698" s="7">
        <f>IF($U698="","",P698+M698)</f>
        <v/>
      </c>
      <c r="R698" s="7">
        <f>IF($U698="","",S698-Q698)</f>
        <v/>
      </c>
      <c r="S698" s="7">
        <f>IF($U698="","",L698+O698)</f>
        <v/>
      </c>
      <c r="T698" s="7">
        <f>IF($U698="","",S698-Q698-G698)</f>
        <v/>
      </c>
      <c r="U698" s="13">
        <f>IF(ROWS($U$2:$U698)&lt;=MAX('Per Line'!$V$2:$V$3001),MATCH(ROWS($U$2:$U698),'Per Line'!$V$2:$V$3001,0),"")</f>
        <v/>
      </c>
    </row>
    <row r="699">
      <c r="A699">
        <f>IF($U699="","",INDEX('Per Line'!$A$2:$A$3001,$U699)&amp;"")</f>
        <v/>
      </c>
      <c r="B699" s="12" t="n"/>
      <c r="C699">
        <f>IF($U699="","",INDEX('Per Line'!$B$2:$B$3001,$U699)&amp;"")</f>
        <v/>
      </c>
      <c r="D699">
        <f>IF($U699="","",INDEX('Per Line'!$C$2:$C$3001,$U699)&amp;"")</f>
        <v/>
      </c>
      <c r="E699">
        <f>IF($U699="","",INDEX('Per Line'!$D$2:$D$3001,$U699)&amp;"")</f>
        <v/>
      </c>
      <c r="F699">
        <f>IF($U699="","",INDEX('Per Line'!$E$2:$E$3001,$U699))</f>
        <v/>
      </c>
      <c r="G699" s="7">
        <f>IF($U699="","",F699*S699/100)</f>
        <v/>
      </c>
      <c r="H699">
        <f>IF($U699="","",INDEX('Per Line'!$O$2:$O$3001,$U699)&amp;"")</f>
        <v/>
      </c>
      <c r="I699" s="11">
        <f>IF($U699="","",INDEX('Per Line'!$Q$2:$Q$3001,$U699))</f>
        <v/>
      </c>
      <c r="J699">
        <f>IF($U699="","",INDEX('Per Line'!$R$2:$R$3001,$U699)&amp;"")</f>
        <v/>
      </c>
      <c r="K699">
        <f>IF($U699="","",Settings!$C$7)</f>
        <v/>
      </c>
      <c r="L699" s="7">
        <f>IF($U699="","",SUMIFS('Per Line'!$N$2:$N$3001,'Per Line'!$A$2:$A$3001,$A699,'Per Line'!$W$2:$W$3001,0))</f>
        <v/>
      </c>
      <c r="M699" s="7">
        <f>IF($U699="","",L699*K699)</f>
        <v/>
      </c>
      <c r="N699">
        <f>IF($U699="","",Settings!$C$6)</f>
        <v/>
      </c>
      <c r="O699" s="7">
        <f>IF($U699="","",SUMIFS('Per Line'!$N$2:$N$3001,'Per Line'!$A$2:$A$3001,$A699,'Per Line'!$W$2:$W$3001,1))</f>
        <v/>
      </c>
      <c r="P699" s="7">
        <f>IF($U699="","",O699*N699)</f>
        <v/>
      </c>
      <c r="Q699" s="7">
        <f>IF($U699="","",P699+M699)</f>
        <v/>
      </c>
      <c r="R699" s="7">
        <f>IF($U699="","",S699-Q699)</f>
        <v/>
      </c>
      <c r="S699" s="7">
        <f>IF($U699="","",L699+O699)</f>
        <v/>
      </c>
      <c r="T699" s="7">
        <f>IF($U699="","",S699-Q699-G699)</f>
        <v/>
      </c>
      <c r="U699" s="13">
        <f>IF(ROWS($U$2:$U699)&lt;=MAX('Per Line'!$V$2:$V$3001),MATCH(ROWS($U$2:$U699),'Per Line'!$V$2:$V$3001,0),"")</f>
        <v/>
      </c>
    </row>
    <row r="700">
      <c r="A700">
        <f>IF($U700="","",INDEX('Per Line'!$A$2:$A$3001,$U700)&amp;"")</f>
        <v/>
      </c>
      <c r="B700" s="12" t="n"/>
      <c r="C700">
        <f>IF($U700="","",INDEX('Per Line'!$B$2:$B$3001,$U700)&amp;"")</f>
        <v/>
      </c>
      <c r="D700">
        <f>IF($U700="","",INDEX('Per Line'!$C$2:$C$3001,$U700)&amp;"")</f>
        <v/>
      </c>
      <c r="E700">
        <f>IF($U700="","",INDEX('Per Line'!$D$2:$D$3001,$U700)&amp;"")</f>
        <v/>
      </c>
      <c r="F700">
        <f>IF($U700="","",INDEX('Per Line'!$E$2:$E$3001,$U700))</f>
        <v/>
      </c>
      <c r="G700" s="7">
        <f>IF($U700="","",F700*S700/100)</f>
        <v/>
      </c>
      <c r="H700">
        <f>IF($U700="","",INDEX('Per Line'!$O$2:$O$3001,$U700)&amp;"")</f>
        <v/>
      </c>
      <c r="I700" s="11">
        <f>IF($U700="","",INDEX('Per Line'!$Q$2:$Q$3001,$U700))</f>
        <v/>
      </c>
      <c r="J700">
        <f>IF($U700="","",INDEX('Per Line'!$R$2:$R$3001,$U700)&amp;"")</f>
        <v/>
      </c>
      <c r="K700">
        <f>IF($U700="","",Settings!$C$7)</f>
        <v/>
      </c>
      <c r="L700" s="7">
        <f>IF($U700="","",SUMIFS('Per Line'!$N$2:$N$3001,'Per Line'!$A$2:$A$3001,$A700,'Per Line'!$W$2:$W$3001,0))</f>
        <v/>
      </c>
      <c r="M700" s="7">
        <f>IF($U700="","",L700*K700)</f>
        <v/>
      </c>
      <c r="N700">
        <f>IF($U700="","",Settings!$C$6)</f>
        <v/>
      </c>
      <c r="O700" s="7">
        <f>IF($U700="","",SUMIFS('Per Line'!$N$2:$N$3001,'Per Line'!$A$2:$A$3001,$A700,'Per Line'!$W$2:$W$3001,1))</f>
        <v/>
      </c>
      <c r="P700" s="7">
        <f>IF($U700="","",O700*N700)</f>
        <v/>
      </c>
      <c r="Q700" s="7">
        <f>IF($U700="","",P700+M700)</f>
        <v/>
      </c>
      <c r="R700" s="7">
        <f>IF($U700="","",S700-Q700)</f>
        <v/>
      </c>
      <c r="S700" s="7">
        <f>IF($U700="","",L700+O700)</f>
        <v/>
      </c>
      <c r="T700" s="7">
        <f>IF($U700="","",S700-Q700-G700)</f>
        <v/>
      </c>
      <c r="U700" s="13">
        <f>IF(ROWS($U$2:$U700)&lt;=MAX('Per Line'!$V$2:$V$3001),MATCH(ROWS($U$2:$U700),'Per Line'!$V$2:$V$3001,0),"")</f>
        <v/>
      </c>
    </row>
    <row r="701">
      <c r="A701">
        <f>IF($U701="","",INDEX('Per Line'!$A$2:$A$3001,$U701)&amp;"")</f>
        <v/>
      </c>
      <c r="B701" s="12" t="n"/>
      <c r="C701">
        <f>IF($U701="","",INDEX('Per Line'!$B$2:$B$3001,$U701)&amp;"")</f>
        <v/>
      </c>
      <c r="D701">
        <f>IF($U701="","",INDEX('Per Line'!$C$2:$C$3001,$U701)&amp;"")</f>
        <v/>
      </c>
      <c r="E701">
        <f>IF($U701="","",INDEX('Per Line'!$D$2:$D$3001,$U701)&amp;"")</f>
        <v/>
      </c>
      <c r="F701">
        <f>IF($U701="","",INDEX('Per Line'!$E$2:$E$3001,$U701))</f>
        <v/>
      </c>
      <c r="G701" s="7">
        <f>IF($U701="","",F701*S701/100)</f>
        <v/>
      </c>
      <c r="H701">
        <f>IF($U701="","",INDEX('Per Line'!$O$2:$O$3001,$U701)&amp;"")</f>
        <v/>
      </c>
      <c r="I701" s="11">
        <f>IF($U701="","",INDEX('Per Line'!$Q$2:$Q$3001,$U701))</f>
        <v/>
      </c>
      <c r="J701">
        <f>IF($U701="","",INDEX('Per Line'!$R$2:$R$3001,$U701)&amp;"")</f>
        <v/>
      </c>
      <c r="K701">
        <f>IF($U701="","",Settings!$C$7)</f>
        <v/>
      </c>
      <c r="L701" s="7">
        <f>IF($U701="","",SUMIFS('Per Line'!$N$2:$N$3001,'Per Line'!$A$2:$A$3001,$A701,'Per Line'!$W$2:$W$3001,0))</f>
        <v/>
      </c>
      <c r="M701" s="7">
        <f>IF($U701="","",L701*K701)</f>
        <v/>
      </c>
      <c r="N701">
        <f>IF($U701="","",Settings!$C$6)</f>
        <v/>
      </c>
      <c r="O701" s="7">
        <f>IF($U701="","",SUMIFS('Per Line'!$N$2:$N$3001,'Per Line'!$A$2:$A$3001,$A701,'Per Line'!$W$2:$W$3001,1))</f>
        <v/>
      </c>
      <c r="P701" s="7">
        <f>IF($U701="","",O701*N701)</f>
        <v/>
      </c>
      <c r="Q701" s="7">
        <f>IF($U701="","",P701+M701)</f>
        <v/>
      </c>
      <c r="R701" s="7">
        <f>IF($U701="","",S701-Q701)</f>
        <v/>
      </c>
      <c r="S701" s="7">
        <f>IF($U701="","",L701+O701)</f>
        <v/>
      </c>
      <c r="T701" s="7">
        <f>IF($U701="","",S701-Q701-G701)</f>
        <v/>
      </c>
      <c r="U701" s="13">
        <f>IF(ROWS($U$2:$U701)&lt;=MAX('Per Line'!$V$2:$V$3001),MATCH(ROWS($U$2:$U701),'Per Line'!$V$2:$V$3001,0),"")</f>
        <v/>
      </c>
    </row>
    <row r="702">
      <c r="A702">
        <f>IF($U702="","",INDEX('Per Line'!$A$2:$A$3001,$U702)&amp;"")</f>
        <v/>
      </c>
      <c r="B702" s="12" t="n"/>
      <c r="C702">
        <f>IF($U702="","",INDEX('Per Line'!$B$2:$B$3001,$U702)&amp;"")</f>
        <v/>
      </c>
      <c r="D702">
        <f>IF($U702="","",INDEX('Per Line'!$C$2:$C$3001,$U702)&amp;"")</f>
        <v/>
      </c>
      <c r="E702">
        <f>IF($U702="","",INDEX('Per Line'!$D$2:$D$3001,$U702)&amp;"")</f>
        <v/>
      </c>
      <c r="F702">
        <f>IF($U702="","",INDEX('Per Line'!$E$2:$E$3001,$U702))</f>
        <v/>
      </c>
      <c r="G702" s="7">
        <f>IF($U702="","",F702*S702/100)</f>
        <v/>
      </c>
      <c r="H702">
        <f>IF($U702="","",INDEX('Per Line'!$O$2:$O$3001,$U702)&amp;"")</f>
        <v/>
      </c>
      <c r="I702" s="11">
        <f>IF($U702="","",INDEX('Per Line'!$Q$2:$Q$3001,$U702))</f>
        <v/>
      </c>
      <c r="J702">
        <f>IF($U702="","",INDEX('Per Line'!$R$2:$R$3001,$U702)&amp;"")</f>
        <v/>
      </c>
      <c r="K702">
        <f>IF($U702="","",Settings!$C$7)</f>
        <v/>
      </c>
      <c r="L702" s="7">
        <f>IF($U702="","",SUMIFS('Per Line'!$N$2:$N$3001,'Per Line'!$A$2:$A$3001,$A702,'Per Line'!$W$2:$W$3001,0))</f>
        <v/>
      </c>
      <c r="M702" s="7">
        <f>IF($U702="","",L702*K702)</f>
        <v/>
      </c>
      <c r="N702">
        <f>IF($U702="","",Settings!$C$6)</f>
        <v/>
      </c>
      <c r="O702" s="7">
        <f>IF($U702="","",SUMIFS('Per Line'!$N$2:$N$3001,'Per Line'!$A$2:$A$3001,$A702,'Per Line'!$W$2:$W$3001,1))</f>
        <v/>
      </c>
      <c r="P702" s="7">
        <f>IF($U702="","",O702*N702)</f>
        <v/>
      </c>
      <c r="Q702" s="7">
        <f>IF($U702="","",P702+M702)</f>
        <v/>
      </c>
      <c r="R702" s="7">
        <f>IF($U702="","",S702-Q702)</f>
        <v/>
      </c>
      <c r="S702" s="7">
        <f>IF($U702="","",L702+O702)</f>
        <v/>
      </c>
      <c r="T702" s="7">
        <f>IF($U702="","",S702-Q702-G702)</f>
        <v/>
      </c>
      <c r="U702" s="13">
        <f>IF(ROWS($U$2:$U702)&lt;=MAX('Per Line'!$V$2:$V$3001),MATCH(ROWS($U$2:$U702),'Per Line'!$V$2:$V$3001,0),"")</f>
        <v/>
      </c>
    </row>
    <row r="703">
      <c r="A703">
        <f>IF($U703="","",INDEX('Per Line'!$A$2:$A$3001,$U703)&amp;"")</f>
        <v/>
      </c>
      <c r="B703" s="12" t="n"/>
      <c r="C703">
        <f>IF($U703="","",INDEX('Per Line'!$B$2:$B$3001,$U703)&amp;"")</f>
        <v/>
      </c>
      <c r="D703">
        <f>IF($U703="","",INDEX('Per Line'!$C$2:$C$3001,$U703)&amp;"")</f>
        <v/>
      </c>
      <c r="E703">
        <f>IF($U703="","",INDEX('Per Line'!$D$2:$D$3001,$U703)&amp;"")</f>
        <v/>
      </c>
      <c r="F703">
        <f>IF($U703="","",INDEX('Per Line'!$E$2:$E$3001,$U703))</f>
        <v/>
      </c>
      <c r="G703" s="7">
        <f>IF($U703="","",F703*S703/100)</f>
        <v/>
      </c>
      <c r="H703">
        <f>IF($U703="","",INDEX('Per Line'!$O$2:$O$3001,$U703)&amp;"")</f>
        <v/>
      </c>
      <c r="I703" s="11">
        <f>IF($U703="","",INDEX('Per Line'!$Q$2:$Q$3001,$U703))</f>
        <v/>
      </c>
      <c r="J703">
        <f>IF($U703="","",INDEX('Per Line'!$R$2:$R$3001,$U703)&amp;"")</f>
        <v/>
      </c>
      <c r="K703">
        <f>IF($U703="","",Settings!$C$7)</f>
        <v/>
      </c>
      <c r="L703" s="7">
        <f>IF($U703="","",SUMIFS('Per Line'!$N$2:$N$3001,'Per Line'!$A$2:$A$3001,$A703,'Per Line'!$W$2:$W$3001,0))</f>
        <v/>
      </c>
      <c r="M703" s="7">
        <f>IF($U703="","",L703*K703)</f>
        <v/>
      </c>
      <c r="N703">
        <f>IF($U703="","",Settings!$C$6)</f>
        <v/>
      </c>
      <c r="O703" s="7">
        <f>IF($U703="","",SUMIFS('Per Line'!$N$2:$N$3001,'Per Line'!$A$2:$A$3001,$A703,'Per Line'!$W$2:$W$3001,1))</f>
        <v/>
      </c>
      <c r="P703" s="7">
        <f>IF($U703="","",O703*N703)</f>
        <v/>
      </c>
      <c r="Q703" s="7">
        <f>IF($U703="","",P703+M703)</f>
        <v/>
      </c>
      <c r="R703" s="7">
        <f>IF($U703="","",S703-Q703)</f>
        <v/>
      </c>
      <c r="S703" s="7">
        <f>IF($U703="","",L703+O703)</f>
        <v/>
      </c>
      <c r="T703" s="7">
        <f>IF($U703="","",S703-Q703-G703)</f>
        <v/>
      </c>
      <c r="U703" s="13">
        <f>IF(ROWS($U$2:$U703)&lt;=MAX('Per Line'!$V$2:$V$3001),MATCH(ROWS($U$2:$U703),'Per Line'!$V$2:$V$3001,0),"")</f>
        <v/>
      </c>
    </row>
    <row r="704">
      <c r="A704">
        <f>IF($U704="","",INDEX('Per Line'!$A$2:$A$3001,$U704)&amp;"")</f>
        <v/>
      </c>
      <c r="B704" s="12" t="n"/>
      <c r="C704">
        <f>IF($U704="","",INDEX('Per Line'!$B$2:$B$3001,$U704)&amp;"")</f>
        <v/>
      </c>
      <c r="D704">
        <f>IF($U704="","",INDEX('Per Line'!$C$2:$C$3001,$U704)&amp;"")</f>
        <v/>
      </c>
      <c r="E704">
        <f>IF($U704="","",INDEX('Per Line'!$D$2:$D$3001,$U704)&amp;"")</f>
        <v/>
      </c>
      <c r="F704">
        <f>IF($U704="","",INDEX('Per Line'!$E$2:$E$3001,$U704))</f>
        <v/>
      </c>
      <c r="G704" s="7">
        <f>IF($U704="","",F704*S704/100)</f>
        <v/>
      </c>
      <c r="H704">
        <f>IF($U704="","",INDEX('Per Line'!$O$2:$O$3001,$U704)&amp;"")</f>
        <v/>
      </c>
      <c r="I704" s="11">
        <f>IF($U704="","",INDEX('Per Line'!$Q$2:$Q$3001,$U704))</f>
        <v/>
      </c>
      <c r="J704">
        <f>IF($U704="","",INDEX('Per Line'!$R$2:$R$3001,$U704)&amp;"")</f>
        <v/>
      </c>
      <c r="K704">
        <f>IF($U704="","",Settings!$C$7)</f>
        <v/>
      </c>
      <c r="L704" s="7">
        <f>IF($U704="","",SUMIFS('Per Line'!$N$2:$N$3001,'Per Line'!$A$2:$A$3001,$A704,'Per Line'!$W$2:$W$3001,0))</f>
        <v/>
      </c>
      <c r="M704" s="7">
        <f>IF($U704="","",L704*K704)</f>
        <v/>
      </c>
      <c r="N704">
        <f>IF($U704="","",Settings!$C$6)</f>
        <v/>
      </c>
      <c r="O704" s="7">
        <f>IF($U704="","",SUMIFS('Per Line'!$N$2:$N$3001,'Per Line'!$A$2:$A$3001,$A704,'Per Line'!$W$2:$W$3001,1))</f>
        <v/>
      </c>
      <c r="P704" s="7">
        <f>IF($U704="","",O704*N704)</f>
        <v/>
      </c>
      <c r="Q704" s="7">
        <f>IF($U704="","",P704+M704)</f>
        <v/>
      </c>
      <c r="R704" s="7">
        <f>IF($U704="","",S704-Q704)</f>
        <v/>
      </c>
      <c r="S704" s="7">
        <f>IF($U704="","",L704+O704)</f>
        <v/>
      </c>
      <c r="T704" s="7">
        <f>IF($U704="","",S704-Q704-G704)</f>
        <v/>
      </c>
      <c r="U704" s="13">
        <f>IF(ROWS($U$2:$U704)&lt;=MAX('Per Line'!$V$2:$V$3001),MATCH(ROWS($U$2:$U704),'Per Line'!$V$2:$V$3001,0),"")</f>
        <v/>
      </c>
    </row>
    <row r="705">
      <c r="A705">
        <f>IF($U705="","",INDEX('Per Line'!$A$2:$A$3001,$U705)&amp;"")</f>
        <v/>
      </c>
      <c r="B705" s="12" t="n"/>
      <c r="C705">
        <f>IF($U705="","",INDEX('Per Line'!$B$2:$B$3001,$U705)&amp;"")</f>
        <v/>
      </c>
      <c r="D705">
        <f>IF($U705="","",INDEX('Per Line'!$C$2:$C$3001,$U705)&amp;"")</f>
        <v/>
      </c>
      <c r="E705">
        <f>IF($U705="","",INDEX('Per Line'!$D$2:$D$3001,$U705)&amp;"")</f>
        <v/>
      </c>
      <c r="F705">
        <f>IF($U705="","",INDEX('Per Line'!$E$2:$E$3001,$U705))</f>
        <v/>
      </c>
      <c r="G705" s="7">
        <f>IF($U705="","",F705*S705/100)</f>
        <v/>
      </c>
      <c r="H705">
        <f>IF($U705="","",INDEX('Per Line'!$O$2:$O$3001,$U705)&amp;"")</f>
        <v/>
      </c>
      <c r="I705" s="11">
        <f>IF($U705="","",INDEX('Per Line'!$Q$2:$Q$3001,$U705))</f>
        <v/>
      </c>
      <c r="J705">
        <f>IF($U705="","",INDEX('Per Line'!$R$2:$R$3001,$U705)&amp;"")</f>
        <v/>
      </c>
      <c r="K705">
        <f>IF($U705="","",Settings!$C$7)</f>
        <v/>
      </c>
      <c r="L705" s="7">
        <f>IF($U705="","",SUMIFS('Per Line'!$N$2:$N$3001,'Per Line'!$A$2:$A$3001,$A705,'Per Line'!$W$2:$W$3001,0))</f>
        <v/>
      </c>
      <c r="M705" s="7">
        <f>IF($U705="","",L705*K705)</f>
        <v/>
      </c>
      <c r="N705">
        <f>IF($U705="","",Settings!$C$6)</f>
        <v/>
      </c>
      <c r="O705" s="7">
        <f>IF($U705="","",SUMIFS('Per Line'!$N$2:$N$3001,'Per Line'!$A$2:$A$3001,$A705,'Per Line'!$W$2:$W$3001,1))</f>
        <v/>
      </c>
      <c r="P705" s="7">
        <f>IF($U705="","",O705*N705)</f>
        <v/>
      </c>
      <c r="Q705" s="7">
        <f>IF($U705="","",P705+M705)</f>
        <v/>
      </c>
      <c r="R705" s="7">
        <f>IF($U705="","",S705-Q705)</f>
        <v/>
      </c>
      <c r="S705" s="7">
        <f>IF($U705="","",L705+O705)</f>
        <v/>
      </c>
      <c r="T705" s="7">
        <f>IF($U705="","",S705-Q705-G705)</f>
        <v/>
      </c>
      <c r="U705" s="13">
        <f>IF(ROWS($U$2:$U705)&lt;=MAX('Per Line'!$V$2:$V$3001),MATCH(ROWS($U$2:$U705),'Per Line'!$V$2:$V$3001,0),"")</f>
        <v/>
      </c>
    </row>
    <row r="706">
      <c r="A706">
        <f>IF($U706="","",INDEX('Per Line'!$A$2:$A$3001,$U706)&amp;"")</f>
        <v/>
      </c>
      <c r="B706" s="12" t="n"/>
      <c r="C706">
        <f>IF($U706="","",INDEX('Per Line'!$B$2:$B$3001,$U706)&amp;"")</f>
        <v/>
      </c>
      <c r="D706">
        <f>IF($U706="","",INDEX('Per Line'!$C$2:$C$3001,$U706)&amp;"")</f>
        <v/>
      </c>
      <c r="E706">
        <f>IF($U706="","",INDEX('Per Line'!$D$2:$D$3001,$U706)&amp;"")</f>
        <v/>
      </c>
      <c r="F706">
        <f>IF($U706="","",INDEX('Per Line'!$E$2:$E$3001,$U706))</f>
        <v/>
      </c>
      <c r="G706" s="7">
        <f>IF($U706="","",F706*S706/100)</f>
        <v/>
      </c>
      <c r="H706">
        <f>IF($U706="","",INDEX('Per Line'!$O$2:$O$3001,$U706)&amp;"")</f>
        <v/>
      </c>
      <c r="I706" s="11">
        <f>IF($U706="","",INDEX('Per Line'!$Q$2:$Q$3001,$U706))</f>
        <v/>
      </c>
      <c r="J706">
        <f>IF($U706="","",INDEX('Per Line'!$R$2:$R$3001,$U706)&amp;"")</f>
        <v/>
      </c>
      <c r="K706">
        <f>IF($U706="","",Settings!$C$7)</f>
        <v/>
      </c>
      <c r="L706" s="7">
        <f>IF($U706="","",SUMIFS('Per Line'!$N$2:$N$3001,'Per Line'!$A$2:$A$3001,$A706,'Per Line'!$W$2:$W$3001,0))</f>
        <v/>
      </c>
      <c r="M706" s="7">
        <f>IF($U706="","",L706*K706)</f>
        <v/>
      </c>
      <c r="N706">
        <f>IF($U706="","",Settings!$C$6)</f>
        <v/>
      </c>
      <c r="O706" s="7">
        <f>IF($U706="","",SUMIFS('Per Line'!$N$2:$N$3001,'Per Line'!$A$2:$A$3001,$A706,'Per Line'!$W$2:$W$3001,1))</f>
        <v/>
      </c>
      <c r="P706" s="7">
        <f>IF($U706="","",O706*N706)</f>
        <v/>
      </c>
      <c r="Q706" s="7">
        <f>IF($U706="","",P706+M706)</f>
        <v/>
      </c>
      <c r="R706" s="7">
        <f>IF($U706="","",S706-Q706)</f>
        <v/>
      </c>
      <c r="S706" s="7">
        <f>IF($U706="","",L706+O706)</f>
        <v/>
      </c>
      <c r="T706" s="7">
        <f>IF($U706="","",S706-Q706-G706)</f>
        <v/>
      </c>
      <c r="U706" s="13">
        <f>IF(ROWS($U$2:$U706)&lt;=MAX('Per Line'!$V$2:$V$3001),MATCH(ROWS($U$2:$U706),'Per Line'!$V$2:$V$3001,0),"")</f>
        <v/>
      </c>
    </row>
    <row r="707">
      <c r="A707">
        <f>IF($U707="","",INDEX('Per Line'!$A$2:$A$3001,$U707)&amp;"")</f>
        <v/>
      </c>
      <c r="B707" s="12" t="n"/>
      <c r="C707">
        <f>IF($U707="","",INDEX('Per Line'!$B$2:$B$3001,$U707)&amp;"")</f>
        <v/>
      </c>
      <c r="D707">
        <f>IF($U707="","",INDEX('Per Line'!$C$2:$C$3001,$U707)&amp;"")</f>
        <v/>
      </c>
      <c r="E707">
        <f>IF($U707="","",INDEX('Per Line'!$D$2:$D$3001,$U707)&amp;"")</f>
        <v/>
      </c>
      <c r="F707">
        <f>IF($U707="","",INDEX('Per Line'!$E$2:$E$3001,$U707))</f>
        <v/>
      </c>
      <c r="G707" s="7">
        <f>IF($U707="","",F707*S707/100)</f>
        <v/>
      </c>
      <c r="H707">
        <f>IF($U707="","",INDEX('Per Line'!$O$2:$O$3001,$U707)&amp;"")</f>
        <v/>
      </c>
      <c r="I707" s="11">
        <f>IF($U707="","",INDEX('Per Line'!$Q$2:$Q$3001,$U707))</f>
        <v/>
      </c>
      <c r="J707">
        <f>IF($U707="","",INDEX('Per Line'!$R$2:$R$3001,$U707)&amp;"")</f>
        <v/>
      </c>
      <c r="K707">
        <f>IF($U707="","",Settings!$C$7)</f>
        <v/>
      </c>
      <c r="L707" s="7">
        <f>IF($U707="","",SUMIFS('Per Line'!$N$2:$N$3001,'Per Line'!$A$2:$A$3001,$A707,'Per Line'!$W$2:$W$3001,0))</f>
        <v/>
      </c>
      <c r="M707" s="7">
        <f>IF($U707="","",L707*K707)</f>
        <v/>
      </c>
      <c r="N707">
        <f>IF($U707="","",Settings!$C$6)</f>
        <v/>
      </c>
      <c r="O707" s="7">
        <f>IF($U707="","",SUMIFS('Per Line'!$N$2:$N$3001,'Per Line'!$A$2:$A$3001,$A707,'Per Line'!$W$2:$W$3001,1))</f>
        <v/>
      </c>
      <c r="P707" s="7">
        <f>IF($U707="","",O707*N707)</f>
        <v/>
      </c>
      <c r="Q707" s="7">
        <f>IF($U707="","",P707+M707)</f>
        <v/>
      </c>
      <c r="R707" s="7">
        <f>IF($U707="","",S707-Q707)</f>
        <v/>
      </c>
      <c r="S707" s="7">
        <f>IF($U707="","",L707+O707)</f>
        <v/>
      </c>
      <c r="T707" s="7">
        <f>IF($U707="","",S707-Q707-G707)</f>
        <v/>
      </c>
      <c r="U707" s="13">
        <f>IF(ROWS($U$2:$U707)&lt;=MAX('Per Line'!$V$2:$V$3001),MATCH(ROWS($U$2:$U707),'Per Line'!$V$2:$V$3001,0),"")</f>
        <v/>
      </c>
    </row>
    <row r="708">
      <c r="A708">
        <f>IF($U708="","",INDEX('Per Line'!$A$2:$A$3001,$U708)&amp;"")</f>
        <v/>
      </c>
      <c r="B708" s="12" t="n"/>
      <c r="C708">
        <f>IF($U708="","",INDEX('Per Line'!$B$2:$B$3001,$U708)&amp;"")</f>
        <v/>
      </c>
      <c r="D708">
        <f>IF($U708="","",INDEX('Per Line'!$C$2:$C$3001,$U708)&amp;"")</f>
        <v/>
      </c>
      <c r="E708">
        <f>IF($U708="","",INDEX('Per Line'!$D$2:$D$3001,$U708)&amp;"")</f>
        <v/>
      </c>
      <c r="F708">
        <f>IF($U708="","",INDEX('Per Line'!$E$2:$E$3001,$U708))</f>
        <v/>
      </c>
      <c r="G708" s="7">
        <f>IF($U708="","",F708*S708/100)</f>
        <v/>
      </c>
      <c r="H708">
        <f>IF($U708="","",INDEX('Per Line'!$O$2:$O$3001,$U708)&amp;"")</f>
        <v/>
      </c>
      <c r="I708" s="11">
        <f>IF($U708="","",INDEX('Per Line'!$Q$2:$Q$3001,$U708))</f>
        <v/>
      </c>
      <c r="J708">
        <f>IF($U708="","",INDEX('Per Line'!$R$2:$R$3001,$U708)&amp;"")</f>
        <v/>
      </c>
      <c r="K708">
        <f>IF($U708="","",Settings!$C$7)</f>
        <v/>
      </c>
      <c r="L708" s="7">
        <f>IF($U708="","",SUMIFS('Per Line'!$N$2:$N$3001,'Per Line'!$A$2:$A$3001,$A708,'Per Line'!$W$2:$W$3001,0))</f>
        <v/>
      </c>
      <c r="M708" s="7">
        <f>IF($U708="","",L708*K708)</f>
        <v/>
      </c>
      <c r="N708">
        <f>IF($U708="","",Settings!$C$6)</f>
        <v/>
      </c>
      <c r="O708" s="7">
        <f>IF($U708="","",SUMIFS('Per Line'!$N$2:$N$3001,'Per Line'!$A$2:$A$3001,$A708,'Per Line'!$W$2:$W$3001,1))</f>
        <v/>
      </c>
      <c r="P708" s="7">
        <f>IF($U708="","",O708*N708)</f>
        <v/>
      </c>
      <c r="Q708" s="7">
        <f>IF($U708="","",P708+M708)</f>
        <v/>
      </c>
      <c r="R708" s="7">
        <f>IF($U708="","",S708-Q708)</f>
        <v/>
      </c>
      <c r="S708" s="7">
        <f>IF($U708="","",L708+O708)</f>
        <v/>
      </c>
      <c r="T708" s="7">
        <f>IF($U708="","",S708-Q708-G708)</f>
        <v/>
      </c>
      <c r="U708" s="13">
        <f>IF(ROWS($U$2:$U708)&lt;=MAX('Per Line'!$V$2:$V$3001),MATCH(ROWS($U$2:$U708),'Per Line'!$V$2:$V$3001,0),"")</f>
        <v/>
      </c>
    </row>
    <row r="709">
      <c r="A709">
        <f>IF($U709="","",INDEX('Per Line'!$A$2:$A$3001,$U709)&amp;"")</f>
        <v/>
      </c>
      <c r="B709" s="12" t="n"/>
      <c r="C709">
        <f>IF($U709="","",INDEX('Per Line'!$B$2:$B$3001,$U709)&amp;"")</f>
        <v/>
      </c>
      <c r="D709">
        <f>IF($U709="","",INDEX('Per Line'!$C$2:$C$3001,$U709)&amp;"")</f>
        <v/>
      </c>
      <c r="E709">
        <f>IF($U709="","",INDEX('Per Line'!$D$2:$D$3001,$U709)&amp;"")</f>
        <v/>
      </c>
      <c r="F709">
        <f>IF($U709="","",INDEX('Per Line'!$E$2:$E$3001,$U709))</f>
        <v/>
      </c>
      <c r="G709" s="7">
        <f>IF($U709="","",F709*S709/100)</f>
        <v/>
      </c>
      <c r="H709">
        <f>IF($U709="","",INDEX('Per Line'!$O$2:$O$3001,$U709)&amp;"")</f>
        <v/>
      </c>
      <c r="I709" s="11">
        <f>IF($U709="","",INDEX('Per Line'!$Q$2:$Q$3001,$U709))</f>
        <v/>
      </c>
      <c r="J709">
        <f>IF($U709="","",INDEX('Per Line'!$R$2:$R$3001,$U709)&amp;"")</f>
        <v/>
      </c>
      <c r="K709">
        <f>IF($U709="","",Settings!$C$7)</f>
        <v/>
      </c>
      <c r="L709" s="7">
        <f>IF($U709="","",SUMIFS('Per Line'!$N$2:$N$3001,'Per Line'!$A$2:$A$3001,$A709,'Per Line'!$W$2:$W$3001,0))</f>
        <v/>
      </c>
      <c r="M709" s="7">
        <f>IF($U709="","",L709*K709)</f>
        <v/>
      </c>
      <c r="N709">
        <f>IF($U709="","",Settings!$C$6)</f>
        <v/>
      </c>
      <c r="O709" s="7">
        <f>IF($U709="","",SUMIFS('Per Line'!$N$2:$N$3001,'Per Line'!$A$2:$A$3001,$A709,'Per Line'!$W$2:$W$3001,1))</f>
        <v/>
      </c>
      <c r="P709" s="7">
        <f>IF($U709="","",O709*N709)</f>
        <v/>
      </c>
      <c r="Q709" s="7">
        <f>IF($U709="","",P709+M709)</f>
        <v/>
      </c>
      <c r="R709" s="7">
        <f>IF($U709="","",S709-Q709)</f>
        <v/>
      </c>
      <c r="S709" s="7">
        <f>IF($U709="","",L709+O709)</f>
        <v/>
      </c>
      <c r="T709" s="7">
        <f>IF($U709="","",S709-Q709-G709)</f>
        <v/>
      </c>
      <c r="U709" s="13">
        <f>IF(ROWS($U$2:$U709)&lt;=MAX('Per Line'!$V$2:$V$3001),MATCH(ROWS($U$2:$U709),'Per Line'!$V$2:$V$3001,0),"")</f>
        <v/>
      </c>
    </row>
    <row r="710">
      <c r="A710">
        <f>IF($U710="","",INDEX('Per Line'!$A$2:$A$3001,$U710)&amp;"")</f>
        <v/>
      </c>
      <c r="B710" s="12" t="n"/>
      <c r="C710">
        <f>IF($U710="","",INDEX('Per Line'!$B$2:$B$3001,$U710)&amp;"")</f>
        <v/>
      </c>
      <c r="D710">
        <f>IF($U710="","",INDEX('Per Line'!$C$2:$C$3001,$U710)&amp;"")</f>
        <v/>
      </c>
      <c r="E710">
        <f>IF($U710="","",INDEX('Per Line'!$D$2:$D$3001,$U710)&amp;"")</f>
        <v/>
      </c>
      <c r="F710">
        <f>IF($U710="","",INDEX('Per Line'!$E$2:$E$3001,$U710))</f>
        <v/>
      </c>
      <c r="G710" s="7">
        <f>IF($U710="","",F710*S710/100)</f>
        <v/>
      </c>
      <c r="H710">
        <f>IF($U710="","",INDEX('Per Line'!$O$2:$O$3001,$U710)&amp;"")</f>
        <v/>
      </c>
      <c r="I710" s="11">
        <f>IF($U710="","",INDEX('Per Line'!$Q$2:$Q$3001,$U710))</f>
        <v/>
      </c>
      <c r="J710">
        <f>IF($U710="","",INDEX('Per Line'!$R$2:$R$3001,$U710)&amp;"")</f>
        <v/>
      </c>
      <c r="K710">
        <f>IF($U710="","",Settings!$C$7)</f>
        <v/>
      </c>
      <c r="L710" s="7">
        <f>IF($U710="","",SUMIFS('Per Line'!$N$2:$N$3001,'Per Line'!$A$2:$A$3001,$A710,'Per Line'!$W$2:$W$3001,0))</f>
        <v/>
      </c>
      <c r="M710" s="7">
        <f>IF($U710="","",L710*K710)</f>
        <v/>
      </c>
      <c r="N710">
        <f>IF($U710="","",Settings!$C$6)</f>
        <v/>
      </c>
      <c r="O710" s="7">
        <f>IF($U710="","",SUMIFS('Per Line'!$N$2:$N$3001,'Per Line'!$A$2:$A$3001,$A710,'Per Line'!$W$2:$W$3001,1))</f>
        <v/>
      </c>
      <c r="P710" s="7">
        <f>IF($U710="","",O710*N710)</f>
        <v/>
      </c>
      <c r="Q710" s="7">
        <f>IF($U710="","",P710+M710)</f>
        <v/>
      </c>
      <c r="R710" s="7">
        <f>IF($U710="","",S710-Q710)</f>
        <v/>
      </c>
      <c r="S710" s="7">
        <f>IF($U710="","",L710+O710)</f>
        <v/>
      </c>
      <c r="T710" s="7">
        <f>IF($U710="","",S710-Q710-G710)</f>
        <v/>
      </c>
      <c r="U710" s="13">
        <f>IF(ROWS($U$2:$U710)&lt;=MAX('Per Line'!$V$2:$V$3001),MATCH(ROWS($U$2:$U710),'Per Line'!$V$2:$V$3001,0),"")</f>
        <v/>
      </c>
    </row>
    <row r="711">
      <c r="A711">
        <f>IF($U711="","",INDEX('Per Line'!$A$2:$A$3001,$U711)&amp;"")</f>
        <v/>
      </c>
      <c r="B711" s="12" t="n"/>
      <c r="C711">
        <f>IF($U711="","",INDEX('Per Line'!$B$2:$B$3001,$U711)&amp;"")</f>
        <v/>
      </c>
      <c r="D711">
        <f>IF($U711="","",INDEX('Per Line'!$C$2:$C$3001,$U711)&amp;"")</f>
        <v/>
      </c>
      <c r="E711">
        <f>IF($U711="","",INDEX('Per Line'!$D$2:$D$3001,$U711)&amp;"")</f>
        <v/>
      </c>
      <c r="F711">
        <f>IF($U711="","",INDEX('Per Line'!$E$2:$E$3001,$U711))</f>
        <v/>
      </c>
      <c r="G711" s="7">
        <f>IF($U711="","",F711*S711/100)</f>
        <v/>
      </c>
      <c r="H711">
        <f>IF($U711="","",INDEX('Per Line'!$O$2:$O$3001,$U711)&amp;"")</f>
        <v/>
      </c>
      <c r="I711" s="11">
        <f>IF($U711="","",INDEX('Per Line'!$Q$2:$Q$3001,$U711))</f>
        <v/>
      </c>
      <c r="J711">
        <f>IF($U711="","",INDEX('Per Line'!$R$2:$R$3001,$U711)&amp;"")</f>
        <v/>
      </c>
      <c r="K711">
        <f>IF($U711="","",Settings!$C$7)</f>
        <v/>
      </c>
      <c r="L711" s="7">
        <f>IF($U711="","",SUMIFS('Per Line'!$N$2:$N$3001,'Per Line'!$A$2:$A$3001,$A711,'Per Line'!$W$2:$W$3001,0))</f>
        <v/>
      </c>
      <c r="M711" s="7">
        <f>IF($U711="","",L711*K711)</f>
        <v/>
      </c>
      <c r="N711">
        <f>IF($U711="","",Settings!$C$6)</f>
        <v/>
      </c>
      <c r="O711" s="7">
        <f>IF($U711="","",SUMIFS('Per Line'!$N$2:$N$3001,'Per Line'!$A$2:$A$3001,$A711,'Per Line'!$W$2:$W$3001,1))</f>
        <v/>
      </c>
      <c r="P711" s="7">
        <f>IF($U711="","",O711*N711)</f>
        <v/>
      </c>
      <c r="Q711" s="7">
        <f>IF($U711="","",P711+M711)</f>
        <v/>
      </c>
      <c r="R711" s="7">
        <f>IF($U711="","",S711-Q711)</f>
        <v/>
      </c>
      <c r="S711" s="7">
        <f>IF($U711="","",L711+O711)</f>
        <v/>
      </c>
      <c r="T711" s="7">
        <f>IF($U711="","",S711-Q711-G711)</f>
        <v/>
      </c>
      <c r="U711" s="13">
        <f>IF(ROWS($U$2:$U711)&lt;=MAX('Per Line'!$V$2:$V$3001),MATCH(ROWS($U$2:$U711),'Per Line'!$V$2:$V$3001,0),"")</f>
        <v/>
      </c>
    </row>
    <row r="712">
      <c r="A712">
        <f>IF($U712="","",INDEX('Per Line'!$A$2:$A$3001,$U712)&amp;"")</f>
        <v/>
      </c>
      <c r="B712" s="12" t="n"/>
      <c r="C712">
        <f>IF($U712="","",INDEX('Per Line'!$B$2:$B$3001,$U712)&amp;"")</f>
        <v/>
      </c>
      <c r="D712">
        <f>IF($U712="","",INDEX('Per Line'!$C$2:$C$3001,$U712)&amp;"")</f>
        <v/>
      </c>
      <c r="E712">
        <f>IF($U712="","",INDEX('Per Line'!$D$2:$D$3001,$U712)&amp;"")</f>
        <v/>
      </c>
      <c r="F712">
        <f>IF($U712="","",INDEX('Per Line'!$E$2:$E$3001,$U712))</f>
        <v/>
      </c>
      <c r="G712" s="7">
        <f>IF($U712="","",F712*S712/100)</f>
        <v/>
      </c>
      <c r="H712">
        <f>IF($U712="","",INDEX('Per Line'!$O$2:$O$3001,$U712)&amp;"")</f>
        <v/>
      </c>
      <c r="I712" s="11">
        <f>IF($U712="","",INDEX('Per Line'!$Q$2:$Q$3001,$U712))</f>
        <v/>
      </c>
      <c r="J712">
        <f>IF($U712="","",INDEX('Per Line'!$R$2:$R$3001,$U712)&amp;"")</f>
        <v/>
      </c>
      <c r="K712">
        <f>IF($U712="","",Settings!$C$7)</f>
        <v/>
      </c>
      <c r="L712" s="7">
        <f>IF($U712="","",SUMIFS('Per Line'!$N$2:$N$3001,'Per Line'!$A$2:$A$3001,$A712,'Per Line'!$W$2:$W$3001,0))</f>
        <v/>
      </c>
      <c r="M712" s="7">
        <f>IF($U712="","",L712*K712)</f>
        <v/>
      </c>
      <c r="N712">
        <f>IF($U712="","",Settings!$C$6)</f>
        <v/>
      </c>
      <c r="O712" s="7">
        <f>IF($U712="","",SUMIFS('Per Line'!$N$2:$N$3001,'Per Line'!$A$2:$A$3001,$A712,'Per Line'!$W$2:$W$3001,1))</f>
        <v/>
      </c>
      <c r="P712" s="7">
        <f>IF($U712="","",O712*N712)</f>
        <v/>
      </c>
      <c r="Q712" s="7">
        <f>IF($U712="","",P712+M712)</f>
        <v/>
      </c>
      <c r="R712" s="7">
        <f>IF($U712="","",S712-Q712)</f>
        <v/>
      </c>
      <c r="S712" s="7">
        <f>IF($U712="","",L712+O712)</f>
        <v/>
      </c>
      <c r="T712" s="7">
        <f>IF($U712="","",S712-Q712-G712)</f>
        <v/>
      </c>
      <c r="U712" s="13">
        <f>IF(ROWS($U$2:$U712)&lt;=MAX('Per Line'!$V$2:$V$3001),MATCH(ROWS($U$2:$U712),'Per Line'!$V$2:$V$3001,0),"")</f>
        <v/>
      </c>
    </row>
    <row r="713">
      <c r="A713">
        <f>IF($U713="","",INDEX('Per Line'!$A$2:$A$3001,$U713)&amp;"")</f>
        <v/>
      </c>
      <c r="B713" s="12" t="n"/>
      <c r="C713">
        <f>IF($U713="","",INDEX('Per Line'!$B$2:$B$3001,$U713)&amp;"")</f>
        <v/>
      </c>
      <c r="D713">
        <f>IF($U713="","",INDEX('Per Line'!$C$2:$C$3001,$U713)&amp;"")</f>
        <v/>
      </c>
      <c r="E713">
        <f>IF($U713="","",INDEX('Per Line'!$D$2:$D$3001,$U713)&amp;"")</f>
        <v/>
      </c>
      <c r="F713">
        <f>IF($U713="","",INDEX('Per Line'!$E$2:$E$3001,$U713))</f>
        <v/>
      </c>
      <c r="G713" s="7">
        <f>IF($U713="","",F713*S713/100)</f>
        <v/>
      </c>
      <c r="H713">
        <f>IF($U713="","",INDEX('Per Line'!$O$2:$O$3001,$U713)&amp;"")</f>
        <v/>
      </c>
      <c r="I713" s="11">
        <f>IF($U713="","",INDEX('Per Line'!$Q$2:$Q$3001,$U713))</f>
        <v/>
      </c>
      <c r="J713">
        <f>IF($U713="","",INDEX('Per Line'!$R$2:$R$3001,$U713)&amp;"")</f>
        <v/>
      </c>
      <c r="K713">
        <f>IF($U713="","",Settings!$C$7)</f>
        <v/>
      </c>
      <c r="L713" s="7">
        <f>IF($U713="","",SUMIFS('Per Line'!$N$2:$N$3001,'Per Line'!$A$2:$A$3001,$A713,'Per Line'!$W$2:$W$3001,0))</f>
        <v/>
      </c>
      <c r="M713" s="7">
        <f>IF($U713="","",L713*K713)</f>
        <v/>
      </c>
      <c r="N713">
        <f>IF($U713="","",Settings!$C$6)</f>
        <v/>
      </c>
      <c r="O713" s="7">
        <f>IF($U713="","",SUMIFS('Per Line'!$N$2:$N$3001,'Per Line'!$A$2:$A$3001,$A713,'Per Line'!$W$2:$W$3001,1))</f>
        <v/>
      </c>
      <c r="P713" s="7">
        <f>IF($U713="","",O713*N713)</f>
        <v/>
      </c>
      <c r="Q713" s="7">
        <f>IF($U713="","",P713+M713)</f>
        <v/>
      </c>
      <c r="R713" s="7">
        <f>IF($U713="","",S713-Q713)</f>
        <v/>
      </c>
      <c r="S713" s="7">
        <f>IF($U713="","",L713+O713)</f>
        <v/>
      </c>
      <c r="T713" s="7">
        <f>IF($U713="","",S713-Q713-G713)</f>
        <v/>
      </c>
      <c r="U713" s="13">
        <f>IF(ROWS($U$2:$U713)&lt;=MAX('Per Line'!$V$2:$V$3001),MATCH(ROWS($U$2:$U713),'Per Line'!$V$2:$V$3001,0),"")</f>
        <v/>
      </c>
    </row>
    <row r="714">
      <c r="A714">
        <f>IF($U714="","",INDEX('Per Line'!$A$2:$A$3001,$U714)&amp;"")</f>
        <v/>
      </c>
      <c r="B714" s="12" t="n"/>
      <c r="C714">
        <f>IF($U714="","",INDEX('Per Line'!$B$2:$B$3001,$U714)&amp;"")</f>
        <v/>
      </c>
      <c r="D714">
        <f>IF($U714="","",INDEX('Per Line'!$C$2:$C$3001,$U714)&amp;"")</f>
        <v/>
      </c>
      <c r="E714">
        <f>IF($U714="","",INDEX('Per Line'!$D$2:$D$3001,$U714)&amp;"")</f>
        <v/>
      </c>
      <c r="F714">
        <f>IF($U714="","",INDEX('Per Line'!$E$2:$E$3001,$U714))</f>
        <v/>
      </c>
      <c r="G714" s="7">
        <f>IF($U714="","",F714*S714/100)</f>
        <v/>
      </c>
      <c r="H714">
        <f>IF($U714="","",INDEX('Per Line'!$O$2:$O$3001,$U714)&amp;"")</f>
        <v/>
      </c>
      <c r="I714" s="11">
        <f>IF($U714="","",INDEX('Per Line'!$Q$2:$Q$3001,$U714))</f>
        <v/>
      </c>
      <c r="J714">
        <f>IF($U714="","",INDEX('Per Line'!$R$2:$R$3001,$U714)&amp;"")</f>
        <v/>
      </c>
      <c r="K714">
        <f>IF($U714="","",Settings!$C$7)</f>
        <v/>
      </c>
      <c r="L714" s="7">
        <f>IF($U714="","",SUMIFS('Per Line'!$N$2:$N$3001,'Per Line'!$A$2:$A$3001,$A714,'Per Line'!$W$2:$W$3001,0))</f>
        <v/>
      </c>
      <c r="M714" s="7">
        <f>IF($U714="","",L714*K714)</f>
        <v/>
      </c>
      <c r="N714">
        <f>IF($U714="","",Settings!$C$6)</f>
        <v/>
      </c>
      <c r="O714" s="7">
        <f>IF($U714="","",SUMIFS('Per Line'!$N$2:$N$3001,'Per Line'!$A$2:$A$3001,$A714,'Per Line'!$W$2:$W$3001,1))</f>
        <v/>
      </c>
      <c r="P714" s="7">
        <f>IF($U714="","",O714*N714)</f>
        <v/>
      </c>
      <c r="Q714" s="7">
        <f>IF($U714="","",P714+M714)</f>
        <v/>
      </c>
      <c r="R714" s="7">
        <f>IF($U714="","",S714-Q714)</f>
        <v/>
      </c>
      <c r="S714" s="7">
        <f>IF($U714="","",L714+O714)</f>
        <v/>
      </c>
      <c r="T714" s="7">
        <f>IF($U714="","",S714-Q714-G714)</f>
        <v/>
      </c>
      <c r="U714" s="13">
        <f>IF(ROWS($U$2:$U714)&lt;=MAX('Per Line'!$V$2:$V$3001),MATCH(ROWS($U$2:$U714),'Per Line'!$V$2:$V$3001,0),"")</f>
        <v/>
      </c>
    </row>
    <row r="715">
      <c r="A715">
        <f>IF($U715="","",INDEX('Per Line'!$A$2:$A$3001,$U715)&amp;"")</f>
        <v/>
      </c>
      <c r="B715" s="12" t="n"/>
      <c r="C715">
        <f>IF($U715="","",INDEX('Per Line'!$B$2:$B$3001,$U715)&amp;"")</f>
        <v/>
      </c>
      <c r="D715">
        <f>IF($U715="","",INDEX('Per Line'!$C$2:$C$3001,$U715)&amp;"")</f>
        <v/>
      </c>
      <c r="E715">
        <f>IF($U715="","",INDEX('Per Line'!$D$2:$D$3001,$U715)&amp;"")</f>
        <v/>
      </c>
      <c r="F715">
        <f>IF($U715="","",INDEX('Per Line'!$E$2:$E$3001,$U715))</f>
        <v/>
      </c>
      <c r="G715" s="7">
        <f>IF($U715="","",F715*S715/100)</f>
        <v/>
      </c>
      <c r="H715">
        <f>IF($U715="","",INDEX('Per Line'!$O$2:$O$3001,$U715)&amp;"")</f>
        <v/>
      </c>
      <c r="I715" s="11">
        <f>IF($U715="","",INDEX('Per Line'!$Q$2:$Q$3001,$U715))</f>
        <v/>
      </c>
      <c r="J715">
        <f>IF($U715="","",INDEX('Per Line'!$R$2:$R$3001,$U715)&amp;"")</f>
        <v/>
      </c>
      <c r="K715">
        <f>IF($U715="","",Settings!$C$7)</f>
        <v/>
      </c>
      <c r="L715" s="7">
        <f>IF($U715="","",SUMIFS('Per Line'!$N$2:$N$3001,'Per Line'!$A$2:$A$3001,$A715,'Per Line'!$W$2:$W$3001,0))</f>
        <v/>
      </c>
      <c r="M715" s="7">
        <f>IF($U715="","",L715*K715)</f>
        <v/>
      </c>
      <c r="N715">
        <f>IF($U715="","",Settings!$C$6)</f>
        <v/>
      </c>
      <c r="O715" s="7">
        <f>IF($U715="","",SUMIFS('Per Line'!$N$2:$N$3001,'Per Line'!$A$2:$A$3001,$A715,'Per Line'!$W$2:$W$3001,1))</f>
        <v/>
      </c>
      <c r="P715" s="7">
        <f>IF($U715="","",O715*N715)</f>
        <v/>
      </c>
      <c r="Q715" s="7">
        <f>IF($U715="","",P715+M715)</f>
        <v/>
      </c>
      <c r="R715" s="7">
        <f>IF($U715="","",S715-Q715)</f>
        <v/>
      </c>
      <c r="S715" s="7">
        <f>IF($U715="","",L715+O715)</f>
        <v/>
      </c>
      <c r="T715" s="7">
        <f>IF($U715="","",S715-Q715-G715)</f>
        <v/>
      </c>
      <c r="U715" s="13">
        <f>IF(ROWS($U$2:$U715)&lt;=MAX('Per Line'!$V$2:$V$3001),MATCH(ROWS($U$2:$U715),'Per Line'!$V$2:$V$3001,0),"")</f>
        <v/>
      </c>
    </row>
    <row r="716">
      <c r="A716">
        <f>IF($U716="","",INDEX('Per Line'!$A$2:$A$3001,$U716)&amp;"")</f>
        <v/>
      </c>
      <c r="B716" s="12" t="n"/>
      <c r="C716">
        <f>IF($U716="","",INDEX('Per Line'!$B$2:$B$3001,$U716)&amp;"")</f>
        <v/>
      </c>
      <c r="D716">
        <f>IF($U716="","",INDEX('Per Line'!$C$2:$C$3001,$U716)&amp;"")</f>
        <v/>
      </c>
      <c r="E716">
        <f>IF($U716="","",INDEX('Per Line'!$D$2:$D$3001,$U716)&amp;"")</f>
        <v/>
      </c>
      <c r="F716">
        <f>IF($U716="","",INDEX('Per Line'!$E$2:$E$3001,$U716))</f>
        <v/>
      </c>
      <c r="G716" s="7">
        <f>IF($U716="","",F716*S716/100)</f>
        <v/>
      </c>
      <c r="H716">
        <f>IF($U716="","",INDEX('Per Line'!$O$2:$O$3001,$U716)&amp;"")</f>
        <v/>
      </c>
      <c r="I716" s="11">
        <f>IF($U716="","",INDEX('Per Line'!$Q$2:$Q$3001,$U716))</f>
        <v/>
      </c>
      <c r="J716">
        <f>IF($U716="","",INDEX('Per Line'!$R$2:$R$3001,$U716)&amp;"")</f>
        <v/>
      </c>
      <c r="K716">
        <f>IF($U716="","",Settings!$C$7)</f>
        <v/>
      </c>
      <c r="L716" s="7">
        <f>IF($U716="","",SUMIFS('Per Line'!$N$2:$N$3001,'Per Line'!$A$2:$A$3001,$A716,'Per Line'!$W$2:$W$3001,0))</f>
        <v/>
      </c>
      <c r="M716" s="7">
        <f>IF($U716="","",L716*K716)</f>
        <v/>
      </c>
      <c r="N716">
        <f>IF($U716="","",Settings!$C$6)</f>
        <v/>
      </c>
      <c r="O716" s="7">
        <f>IF($U716="","",SUMIFS('Per Line'!$N$2:$N$3001,'Per Line'!$A$2:$A$3001,$A716,'Per Line'!$W$2:$W$3001,1))</f>
        <v/>
      </c>
      <c r="P716" s="7">
        <f>IF($U716="","",O716*N716)</f>
        <v/>
      </c>
      <c r="Q716" s="7">
        <f>IF($U716="","",P716+M716)</f>
        <v/>
      </c>
      <c r="R716" s="7">
        <f>IF($U716="","",S716-Q716)</f>
        <v/>
      </c>
      <c r="S716" s="7">
        <f>IF($U716="","",L716+O716)</f>
        <v/>
      </c>
      <c r="T716" s="7">
        <f>IF($U716="","",S716-Q716-G716)</f>
        <v/>
      </c>
      <c r="U716" s="13">
        <f>IF(ROWS($U$2:$U716)&lt;=MAX('Per Line'!$V$2:$V$3001),MATCH(ROWS($U$2:$U716),'Per Line'!$V$2:$V$3001,0),"")</f>
        <v/>
      </c>
    </row>
    <row r="717">
      <c r="A717">
        <f>IF($U717="","",INDEX('Per Line'!$A$2:$A$3001,$U717)&amp;"")</f>
        <v/>
      </c>
      <c r="B717" s="12" t="n"/>
      <c r="C717">
        <f>IF($U717="","",INDEX('Per Line'!$B$2:$B$3001,$U717)&amp;"")</f>
        <v/>
      </c>
      <c r="D717">
        <f>IF($U717="","",INDEX('Per Line'!$C$2:$C$3001,$U717)&amp;"")</f>
        <v/>
      </c>
      <c r="E717">
        <f>IF($U717="","",INDEX('Per Line'!$D$2:$D$3001,$U717)&amp;"")</f>
        <v/>
      </c>
      <c r="F717">
        <f>IF($U717="","",INDEX('Per Line'!$E$2:$E$3001,$U717))</f>
        <v/>
      </c>
      <c r="G717" s="7">
        <f>IF($U717="","",F717*S717/100)</f>
        <v/>
      </c>
      <c r="H717">
        <f>IF($U717="","",INDEX('Per Line'!$O$2:$O$3001,$U717)&amp;"")</f>
        <v/>
      </c>
      <c r="I717" s="11">
        <f>IF($U717="","",INDEX('Per Line'!$Q$2:$Q$3001,$U717))</f>
        <v/>
      </c>
      <c r="J717">
        <f>IF($U717="","",INDEX('Per Line'!$R$2:$R$3001,$U717)&amp;"")</f>
        <v/>
      </c>
      <c r="K717">
        <f>IF($U717="","",Settings!$C$7)</f>
        <v/>
      </c>
      <c r="L717" s="7">
        <f>IF($U717="","",SUMIFS('Per Line'!$N$2:$N$3001,'Per Line'!$A$2:$A$3001,$A717,'Per Line'!$W$2:$W$3001,0))</f>
        <v/>
      </c>
      <c r="M717" s="7">
        <f>IF($U717="","",L717*K717)</f>
        <v/>
      </c>
      <c r="N717">
        <f>IF($U717="","",Settings!$C$6)</f>
        <v/>
      </c>
      <c r="O717" s="7">
        <f>IF($U717="","",SUMIFS('Per Line'!$N$2:$N$3001,'Per Line'!$A$2:$A$3001,$A717,'Per Line'!$W$2:$W$3001,1))</f>
        <v/>
      </c>
      <c r="P717" s="7">
        <f>IF($U717="","",O717*N717)</f>
        <v/>
      </c>
      <c r="Q717" s="7">
        <f>IF($U717="","",P717+M717)</f>
        <v/>
      </c>
      <c r="R717" s="7">
        <f>IF($U717="","",S717-Q717)</f>
        <v/>
      </c>
      <c r="S717" s="7">
        <f>IF($U717="","",L717+O717)</f>
        <v/>
      </c>
      <c r="T717" s="7">
        <f>IF($U717="","",S717-Q717-G717)</f>
        <v/>
      </c>
      <c r="U717" s="13">
        <f>IF(ROWS($U$2:$U717)&lt;=MAX('Per Line'!$V$2:$V$3001),MATCH(ROWS($U$2:$U717),'Per Line'!$V$2:$V$3001,0),"")</f>
        <v/>
      </c>
    </row>
    <row r="718">
      <c r="A718">
        <f>IF($U718="","",INDEX('Per Line'!$A$2:$A$3001,$U718)&amp;"")</f>
        <v/>
      </c>
      <c r="B718" s="12" t="n"/>
      <c r="C718">
        <f>IF($U718="","",INDEX('Per Line'!$B$2:$B$3001,$U718)&amp;"")</f>
        <v/>
      </c>
      <c r="D718">
        <f>IF($U718="","",INDEX('Per Line'!$C$2:$C$3001,$U718)&amp;"")</f>
        <v/>
      </c>
      <c r="E718">
        <f>IF($U718="","",INDEX('Per Line'!$D$2:$D$3001,$U718)&amp;"")</f>
        <v/>
      </c>
      <c r="F718">
        <f>IF($U718="","",INDEX('Per Line'!$E$2:$E$3001,$U718))</f>
        <v/>
      </c>
      <c r="G718" s="7">
        <f>IF($U718="","",F718*S718/100)</f>
        <v/>
      </c>
      <c r="H718">
        <f>IF($U718="","",INDEX('Per Line'!$O$2:$O$3001,$U718)&amp;"")</f>
        <v/>
      </c>
      <c r="I718" s="11">
        <f>IF($U718="","",INDEX('Per Line'!$Q$2:$Q$3001,$U718))</f>
        <v/>
      </c>
      <c r="J718">
        <f>IF($U718="","",INDEX('Per Line'!$R$2:$R$3001,$U718)&amp;"")</f>
        <v/>
      </c>
      <c r="K718">
        <f>IF($U718="","",Settings!$C$7)</f>
        <v/>
      </c>
      <c r="L718" s="7">
        <f>IF($U718="","",SUMIFS('Per Line'!$N$2:$N$3001,'Per Line'!$A$2:$A$3001,$A718,'Per Line'!$W$2:$W$3001,0))</f>
        <v/>
      </c>
      <c r="M718" s="7">
        <f>IF($U718="","",L718*K718)</f>
        <v/>
      </c>
      <c r="N718">
        <f>IF($U718="","",Settings!$C$6)</f>
        <v/>
      </c>
      <c r="O718" s="7">
        <f>IF($U718="","",SUMIFS('Per Line'!$N$2:$N$3001,'Per Line'!$A$2:$A$3001,$A718,'Per Line'!$W$2:$W$3001,1))</f>
        <v/>
      </c>
      <c r="P718" s="7">
        <f>IF($U718="","",O718*N718)</f>
        <v/>
      </c>
      <c r="Q718" s="7">
        <f>IF($U718="","",P718+M718)</f>
        <v/>
      </c>
      <c r="R718" s="7">
        <f>IF($U718="","",S718-Q718)</f>
        <v/>
      </c>
      <c r="S718" s="7">
        <f>IF($U718="","",L718+O718)</f>
        <v/>
      </c>
      <c r="T718" s="7">
        <f>IF($U718="","",S718-Q718-G718)</f>
        <v/>
      </c>
      <c r="U718" s="13">
        <f>IF(ROWS($U$2:$U718)&lt;=MAX('Per Line'!$V$2:$V$3001),MATCH(ROWS($U$2:$U718),'Per Line'!$V$2:$V$3001,0),"")</f>
        <v/>
      </c>
    </row>
    <row r="719">
      <c r="A719">
        <f>IF($U719="","",INDEX('Per Line'!$A$2:$A$3001,$U719)&amp;"")</f>
        <v/>
      </c>
      <c r="B719" s="12" t="n"/>
      <c r="C719">
        <f>IF($U719="","",INDEX('Per Line'!$B$2:$B$3001,$U719)&amp;"")</f>
        <v/>
      </c>
      <c r="D719">
        <f>IF($U719="","",INDEX('Per Line'!$C$2:$C$3001,$U719)&amp;"")</f>
        <v/>
      </c>
      <c r="E719">
        <f>IF($U719="","",INDEX('Per Line'!$D$2:$D$3001,$U719)&amp;"")</f>
        <v/>
      </c>
      <c r="F719">
        <f>IF($U719="","",INDEX('Per Line'!$E$2:$E$3001,$U719))</f>
        <v/>
      </c>
      <c r="G719" s="7">
        <f>IF($U719="","",F719*S719/100)</f>
        <v/>
      </c>
      <c r="H719">
        <f>IF($U719="","",INDEX('Per Line'!$O$2:$O$3001,$U719)&amp;"")</f>
        <v/>
      </c>
      <c r="I719" s="11">
        <f>IF($U719="","",INDEX('Per Line'!$Q$2:$Q$3001,$U719))</f>
        <v/>
      </c>
      <c r="J719">
        <f>IF($U719="","",INDEX('Per Line'!$R$2:$R$3001,$U719)&amp;"")</f>
        <v/>
      </c>
      <c r="K719">
        <f>IF($U719="","",Settings!$C$7)</f>
        <v/>
      </c>
      <c r="L719" s="7">
        <f>IF($U719="","",SUMIFS('Per Line'!$N$2:$N$3001,'Per Line'!$A$2:$A$3001,$A719,'Per Line'!$W$2:$W$3001,0))</f>
        <v/>
      </c>
      <c r="M719" s="7">
        <f>IF($U719="","",L719*K719)</f>
        <v/>
      </c>
      <c r="N719">
        <f>IF($U719="","",Settings!$C$6)</f>
        <v/>
      </c>
      <c r="O719" s="7">
        <f>IF($U719="","",SUMIFS('Per Line'!$N$2:$N$3001,'Per Line'!$A$2:$A$3001,$A719,'Per Line'!$W$2:$W$3001,1))</f>
        <v/>
      </c>
      <c r="P719" s="7">
        <f>IF($U719="","",O719*N719)</f>
        <v/>
      </c>
      <c r="Q719" s="7">
        <f>IF($U719="","",P719+M719)</f>
        <v/>
      </c>
      <c r="R719" s="7">
        <f>IF($U719="","",S719-Q719)</f>
        <v/>
      </c>
      <c r="S719" s="7">
        <f>IF($U719="","",L719+O719)</f>
        <v/>
      </c>
      <c r="T719" s="7">
        <f>IF($U719="","",S719-Q719-G719)</f>
        <v/>
      </c>
      <c r="U719" s="13">
        <f>IF(ROWS($U$2:$U719)&lt;=MAX('Per Line'!$V$2:$V$3001),MATCH(ROWS($U$2:$U719),'Per Line'!$V$2:$V$3001,0),"")</f>
        <v/>
      </c>
    </row>
    <row r="720">
      <c r="A720">
        <f>IF($U720="","",INDEX('Per Line'!$A$2:$A$3001,$U720)&amp;"")</f>
        <v/>
      </c>
      <c r="B720" s="12" t="n"/>
      <c r="C720">
        <f>IF($U720="","",INDEX('Per Line'!$B$2:$B$3001,$U720)&amp;"")</f>
        <v/>
      </c>
      <c r="D720">
        <f>IF($U720="","",INDEX('Per Line'!$C$2:$C$3001,$U720)&amp;"")</f>
        <v/>
      </c>
      <c r="E720">
        <f>IF($U720="","",INDEX('Per Line'!$D$2:$D$3001,$U720)&amp;"")</f>
        <v/>
      </c>
      <c r="F720">
        <f>IF($U720="","",INDEX('Per Line'!$E$2:$E$3001,$U720))</f>
        <v/>
      </c>
      <c r="G720" s="7">
        <f>IF($U720="","",F720*S720/100)</f>
        <v/>
      </c>
      <c r="H720">
        <f>IF($U720="","",INDEX('Per Line'!$O$2:$O$3001,$U720)&amp;"")</f>
        <v/>
      </c>
      <c r="I720" s="11">
        <f>IF($U720="","",INDEX('Per Line'!$Q$2:$Q$3001,$U720))</f>
        <v/>
      </c>
      <c r="J720">
        <f>IF($U720="","",INDEX('Per Line'!$R$2:$R$3001,$U720)&amp;"")</f>
        <v/>
      </c>
      <c r="K720">
        <f>IF($U720="","",Settings!$C$7)</f>
        <v/>
      </c>
      <c r="L720" s="7">
        <f>IF($U720="","",SUMIFS('Per Line'!$N$2:$N$3001,'Per Line'!$A$2:$A$3001,$A720,'Per Line'!$W$2:$W$3001,0))</f>
        <v/>
      </c>
      <c r="M720" s="7">
        <f>IF($U720="","",L720*K720)</f>
        <v/>
      </c>
      <c r="N720">
        <f>IF($U720="","",Settings!$C$6)</f>
        <v/>
      </c>
      <c r="O720" s="7">
        <f>IF($U720="","",SUMIFS('Per Line'!$N$2:$N$3001,'Per Line'!$A$2:$A$3001,$A720,'Per Line'!$W$2:$W$3001,1))</f>
        <v/>
      </c>
      <c r="P720" s="7">
        <f>IF($U720="","",O720*N720)</f>
        <v/>
      </c>
      <c r="Q720" s="7">
        <f>IF($U720="","",P720+M720)</f>
        <v/>
      </c>
      <c r="R720" s="7">
        <f>IF($U720="","",S720-Q720)</f>
        <v/>
      </c>
      <c r="S720" s="7">
        <f>IF($U720="","",L720+O720)</f>
        <v/>
      </c>
      <c r="T720" s="7">
        <f>IF($U720="","",S720-Q720-G720)</f>
        <v/>
      </c>
      <c r="U720" s="13">
        <f>IF(ROWS($U$2:$U720)&lt;=MAX('Per Line'!$V$2:$V$3001),MATCH(ROWS($U$2:$U720),'Per Line'!$V$2:$V$3001,0),"")</f>
        <v/>
      </c>
    </row>
    <row r="721">
      <c r="A721">
        <f>IF($U721="","",INDEX('Per Line'!$A$2:$A$3001,$U721)&amp;"")</f>
        <v/>
      </c>
      <c r="B721" s="12" t="n"/>
      <c r="C721">
        <f>IF($U721="","",INDEX('Per Line'!$B$2:$B$3001,$U721)&amp;"")</f>
        <v/>
      </c>
      <c r="D721">
        <f>IF($U721="","",INDEX('Per Line'!$C$2:$C$3001,$U721)&amp;"")</f>
        <v/>
      </c>
      <c r="E721">
        <f>IF($U721="","",INDEX('Per Line'!$D$2:$D$3001,$U721)&amp;"")</f>
        <v/>
      </c>
      <c r="F721">
        <f>IF($U721="","",INDEX('Per Line'!$E$2:$E$3001,$U721))</f>
        <v/>
      </c>
      <c r="G721" s="7">
        <f>IF($U721="","",F721*S721/100)</f>
        <v/>
      </c>
      <c r="H721">
        <f>IF($U721="","",INDEX('Per Line'!$O$2:$O$3001,$U721)&amp;"")</f>
        <v/>
      </c>
      <c r="I721" s="11">
        <f>IF($U721="","",INDEX('Per Line'!$Q$2:$Q$3001,$U721))</f>
        <v/>
      </c>
      <c r="J721">
        <f>IF($U721="","",INDEX('Per Line'!$R$2:$R$3001,$U721)&amp;"")</f>
        <v/>
      </c>
      <c r="K721">
        <f>IF($U721="","",Settings!$C$7)</f>
        <v/>
      </c>
      <c r="L721" s="7">
        <f>IF($U721="","",SUMIFS('Per Line'!$N$2:$N$3001,'Per Line'!$A$2:$A$3001,$A721,'Per Line'!$W$2:$W$3001,0))</f>
        <v/>
      </c>
      <c r="M721" s="7">
        <f>IF($U721="","",L721*K721)</f>
        <v/>
      </c>
      <c r="N721">
        <f>IF($U721="","",Settings!$C$6)</f>
        <v/>
      </c>
      <c r="O721" s="7">
        <f>IF($U721="","",SUMIFS('Per Line'!$N$2:$N$3001,'Per Line'!$A$2:$A$3001,$A721,'Per Line'!$W$2:$W$3001,1))</f>
        <v/>
      </c>
      <c r="P721" s="7">
        <f>IF($U721="","",O721*N721)</f>
        <v/>
      </c>
      <c r="Q721" s="7">
        <f>IF($U721="","",P721+M721)</f>
        <v/>
      </c>
      <c r="R721" s="7">
        <f>IF($U721="","",S721-Q721)</f>
        <v/>
      </c>
      <c r="S721" s="7">
        <f>IF($U721="","",L721+O721)</f>
        <v/>
      </c>
      <c r="T721" s="7">
        <f>IF($U721="","",S721-Q721-G721)</f>
        <v/>
      </c>
      <c r="U721" s="13">
        <f>IF(ROWS($U$2:$U721)&lt;=MAX('Per Line'!$V$2:$V$3001),MATCH(ROWS($U$2:$U721),'Per Line'!$V$2:$V$3001,0),"")</f>
        <v/>
      </c>
    </row>
    <row r="722">
      <c r="A722">
        <f>IF($U722="","",INDEX('Per Line'!$A$2:$A$3001,$U722)&amp;"")</f>
        <v/>
      </c>
      <c r="B722" s="12" t="n"/>
      <c r="C722">
        <f>IF($U722="","",INDEX('Per Line'!$B$2:$B$3001,$U722)&amp;"")</f>
        <v/>
      </c>
      <c r="D722">
        <f>IF($U722="","",INDEX('Per Line'!$C$2:$C$3001,$U722)&amp;"")</f>
        <v/>
      </c>
      <c r="E722">
        <f>IF($U722="","",INDEX('Per Line'!$D$2:$D$3001,$U722)&amp;"")</f>
        <v/>
      </c>
      <c r="F722">
        <f>IF($U722="","",INDEX('Per Line'!$E$2:$E$3001,$U722))</f>
        <v/>
      </c>
      <c r="G722" s="7">
        <f>IF($U722="","",F722*S722/100)</f>
        <v/>
      </c>
      <c r="H722">
        <f>IF($U722="","",INDEX('Per Line'!$O$2:$O$3001,$U722)&amp;"")</f>
        <v/>
      </c>
      <c r="I722" s="11">
        <f>IF($U722="","",INDEX('Per Line'!$Q$2:$Q$3001,$U722))</f>
        <v/>
      </c>
      <c r="J722">
        <f>IF($U722="","",INDEX('Per Line'!$R$2:$R$3001,$U722)&amp;"")</f>
        <v/>
      </c>
      <c r="K722">
        <f>IF($U722="","",Settings!$C$7)</f>
        <v/>
      </c>
      <c r="L722" s="7">
        <f>IF($U722="","",SUMIFS('Per Line'!$N$2:$N$3001,'Per Line'!$A$2:$A$3001,$A722,'Per Line'!$W$2:$W$3001,0))</f>
        <v/>
      </c>
      <c r="M722" s="7">
        <f>IF($U722="","",L722*K722)</f>
        <v/>
      </c>
      <c r="N722">
        <f>IF($U722="","",Settings!$C$6)</f>
        <v/>
      </c>
      <c r="O722" s="7">
        <f>IF($U722="","",SUMIFS('Per Line'!$N$2:$N$3001,'Per Line'!$A$2:$A$3001,$A722,'Per Line'!$W$2:$W$3001,1))</f>
        <v/>
      </c>
      <c r="P722" s="7">
        <f>IF($U722="","",O722*N722)</f>
        <v/>
      </c>
      <c r="Q722" s="7">
        <f>IF($U722="","",P722+M722)</f>
        <v/>
      </c>
      <c r="R722" s="7">
        <f>IF($U722="","",S722-Q722)</f>
        <v/>
      </c>
      <c r="S722" s="7">
        <f>IF($U722="","",L722+O722)</f>
        <v/>
      </c>
      <c r="T722" s="7">
        <f>IF($U722="","",S722-Q722-G722)</f>
        <v/>
      </c>
      <c r="U722" s="13">
        <f>IF(ROWS($U$2:$U722)&lt;=MAX('Per Line'!$V$2:$V$3001),MATCH(ROWS($U$2:$U722),'Per Line'!$V$2:$V$3001,0),"")</f>
        <v/>
      </c>
    </row>
    <row r="723">
      <c r="A723">
        <f>IF($U723="","",INDEX('Per Line'!$A$2:$A$3001,$U723)&amp;"")</f>
        <v/>
      </c>
      <c r="B723" s="12" t="n"/>
      <c r="C723">
        <f>IF($U723="","",INDEX('Per Line'!$B$2:$B$3001,$U723)&amp;"")</f>
        <v/>
      </c>
      <c r="D723">
        <f>IF($U723="","",INDEX('Per Line'!$C$2:$C$3001,$U723)&amp;"")</f>
        <v/>
      </c>
      <c r="E723">
        <f>IF($U723="","",INDEX('Per Line'!$D$2:$D$3001,$U723)&amp;"")</f>
        <v/>
      </c>
      <c r="F723">
        <f>IF($U723="","",INDEX('Per Line'!$E$2:$E$3001,$U723))</f>
        <v/>
      </c>
      <c r="G723" s="7">
        <f>IF($U723="","",F723*S723/100)</f>
        <v/>
      </c>
      <c r="H723">
        <f>IF($U723="","",INDEX('Per Line'!$O$2:$O$3001,$U723)&amp;"")</f>
        <v/>
      </c>
      <c r="I723" s="11">
        <f>IF($U723="","",INDEX('Per Line'!$Q$2:$Q$3001,$U723))</f>
        <v/>
      </c>
      <c r="J723">
        <f>IF($U723="","",INDEX('Per Line'!$R$2:$R$3001,$U723)&amp;"")</f>
        <v/>
      </c>
      <c r="K723">
        <f>IF($U723="","",Settings!$C$7)</f>
        <v/>
      </c>
      <c r="L723" s="7">
        <f>IF($U723="","",SUMIFS('Per Line'!$N$2:$N$3001,'Per Line'!$A$2:$A$3001,$A723,'Per Line'!$W$2:$W$3001,0))</f>
        <v/>
      </c>
      <c r="M723" s="7">
        <f>IF($U723="","",L723*K723)</f>
        <v/>
      </c>
      <c r="N723">
        <f>IF($U723="","",Settings!$C$6)</f>
        <v/>
      </c>
      <c r="O723" s="7">
        <f>IF($U723="","",SUMIFS('Per Line'!$N$2:$N$3001,'Per Line'!$A$2:$A$3001,$A723,'Per Line'!$W$2:$W$3001,1))</f>
        <v/>
      </c>
      <c r="P723" s="7">
        <f>IF($U723="","",O723*N723)</f>
        <v/>
      </c>
      <c r="Q723" s="7">
        <f>IF($U723="","",P723+M723)</f>
        <v/>
      </c>
      <c r="R723" s="7">
        <f>IF($U723="","",S723-Q723)</f>
        <v/>
      </c>
      <c r="S723" s="7">
        <f>IF($U723="","",L723+O723)</f>
        <v/>
      </c>
      <c r="T723" s="7">
        <f>IF($U723="","",S723-Q723-G723)</f>
        <v/>
      </c>
      <c r="U723" s="13">
        <f>IF(ROWS($U$2:$U723)&lt;=MAX('Per Line'!$V$2:$V$3001),MATCH(ROWS($U$2:$U723),'Per Line'!$V$2:$V$3001,0),"")</f>
        <v/>
      </c>
    </row>
    <row r="724">
      <c r="A724">
        <f>IF($U724="","",INDEX('Per Line'!$A$2:$A$3001,$U724)&amp;"")</f>
        <v/>
      </c>
      <c r="B724" s="12" t="n"/>
      <c r="C724">
        <f>IF($U724="","",INDEX('Per Line'!$B$2:$B$3001,$U724)&amp;"")</f>
        <v/>
      </c>
      <c r="D724">
        <f>IF($U724="","",INDEX('Per Line'!$C$2:$C$3001,$U724)&amp;"")</f>
        <v/>
      </c>
      <c r="E724">
        <f>IF($U724="","",INDEX('Per Line'!$D$2:$D$3001,$U724)&amp;"")</f>
        <v/>
      </c>
      <c r="F724">
        <f>IF($U724="","",INDEX('Per Line'!$E$2:$E$3001,$U724))</f>
        <v/>
      </c>
      <c r="G724" s="7">
        <f>IF($U724="","",F724*S724/100)</f>
        <v/>
      </c>
      <c r="H724">
        <f>IF($U724="","",INDEX('Per Line'!$O$2:$O$3001,$U724)&amp;"")</f>
        <v/>
      </c>
      <c r="I724" s="11">
        <f>IF($U724="","",INDEX('Per Line'!$Q$2:$Q$3001,$U724))</f>
        <v/>
      </c>
      <c r="J724">
        <f>IF($U724="","",INDEX('Per Line'!$R$2:$R$3001,$U724)&amp;"")</f>
        <v/>
      </c>
      <c r="K724">
        <f>IF($U724="","",Settings!$C$7)</f>
        <v/>
      </c>
      <c r="L724" s="7">
        <f>IF($U724="","",SUMIFS('Per Line'!$N$2:$N$3001,'Per Line'!$A$2:$A$3001,$A724,'Per Line'!$W$2:$W$3001,0))</f>
        <v/>
      </c>
      <c r="M724" s="7">
        <f>IF($U724="","",L724*K724)</f>
        <v/>
      </c>
      <c r="N724">
        <f>IF($U724="","",Settings!$C$6)</f>
        <v/>
      </c>
      <c r="O724" s="7">
        <f>IF($U724="","",SUMIFS('Per Line'!$N$2:$N$3001,'Per Line'!$A$2:$A$3001,$A724,'Per Line'!$W$2:$W$3001,1))</f>
        <v/>
      </c>
      <c r="P724" s="7">
        <f>IF($U724="","",O724*N724)</f>
        <v/>
      </c>
      <c r="Q724" s="7">
        <f>IF($U724="","",P724+M724)</f>
        <v/>
      </c>
      <c r="R724" s="7">
        <f>IF($U724="","",S724-Q724)</f>
        <v/>
      </c>
      <c r="S724" s="7">
        <f>IF($U724="","",L724+O724)</f>
        <v/>
      </c>
      <c r="T724" s="7">
        <f>IF($U724="","",S724-Q724-G724)</f>
        <v/>
      </c>
      <c r="U724" s="13">
        <f>IF(ROWS($U$2:$U724)&lt;=MAX('Per Line'!$V$2:$V$3001),MATCH(ROWS($U$2:$U724),'Per Line'!$V$2:$V$3001,0),"")</f>
        <v/>
      </c>
    </row>
    <row r="725">
      <c r="A725">
        <f>IF($U725="","",INDEX('Per Line'!$A$2:$A$3001,$U725)&amp;"")</f>
        <v/>
      </c>
      <c r="B725" s="12" t="n"/>
      <c r="C725">
        <f>IF($U725="","",INDEX('Per Line'!$B$2:$B$3001,$U725)&amp;"")</f>
        <v/>
      </c>
      <c r="D725">
        <f>IF($U725="","",INDEX('Per Line'!$C$2:$C$3001,$U725)&amp;"")</f>
        <v/>
      </c>
      <c r="E725">
        <f>IF($U725="","",INDEX('Per Line'!$D$2:$D$3001,$U725)&amp;"")</f>
        <v/>
      </c>
      <c r="F725">
        <f>IF($U725="","",INDEX('Per Line'!$E$2:$E$3001,$U725))</f>
        <v/>
      </c>
      <c r="G725" s="7">
        <f>IF($U725="","",F725*S725/100)</f>
        <v/>
      </c>
      <c r="H725">
        <f>IF($U725="","",INDEX('Per Line'!$O$2:$O$3001,$U725)&amp;"")</f>
        <v/>
      </c>
      <c r="I725" s="11">
        <f>IF($U725="","",INDEX('Per Line'!$Q$2:$Q$3001,$U725))</f>
        <v/>
      </c>
      <c r="J725">
        <f>IF($U725="","",INDEX('Per Line'!$R$2:$R$3001,$U725)&amp;"")</f>
        <v/>
      </c>
      <c r="K725">
        <f>IF($U725="","",Settings!$C$7)</f>
        <v/>
      </c>
      <c r="L725" s="7">
        <f>IF($U725="","",SUMIFS('Per Line'!$N$2:$N$3001,'Per Line'!$A$2:$A$3001,$A725,'Per Line'!$W$2:$W$3001,0))</f>
        <v/>
      </c>
      <c r="M725" s="7">
        <f>IF($U725="","",L725*K725)</f>
        <v/>
      </c>
      <c r="N725">
        <f>IF($U725="","",Settings!$C$6)</f>
        <v/>
      </c>
      <c r="O725" s="7">
        <f>IF($U725="","",SUMIFS('Per Line'!$N$2:$N$3001,'Per Line'!$A$2:$A$3001,$A725,'Per Line'!$W$2:$W$3001,1))</f>
        <v/>
      </c>
      <c r="P725" s="7">
        <f>IF($U725="","",O725*N725)</f>
        <v/>
      </c>
      <c r="Q725" s="7">
        <f>IF($U725="","",P725+M725)</f>
        <v/>
      </c>
      <c r="R725" s="7">
        <f>IF($U725="","",S725-Q725)</f>
        <v/>
      </c>
      <c r="S725" s="7">
        <f>IF($U725="","",L725+O725)</f>
        <v/>
      </c>
      <c r="T725" s="7">
        <f>IF($U725="","",S725-Q725-G725)</f>
        <v/>
      </c>
      <c r="U725" s="13">
        <f>IF(ROWS($U$2:$U725)&lt;=MAX('Per Line'!$V$2:$V$3001),MATCH(ROWS($U$2:$U725),'Per Line'!$V$2:$V$3001,0),"")</f>
        <v/>
      </c>
    </row>
    <row r="726">
      <c r="A726">
        <f>IF($U726="","",INDEX('Per Line'!$A$2:$A$3001,$U726)&amp;"")</f>
        <v/>
      </c>
      <c r="B726" s="12" t="n"/>
      <c r="C726">
        <f>IF($U726="","",INDEX('Per Line'!$B$2:$B$3001,$U726)&amp;"")</f>
        <v/>
      </c>
      <c r="D726">
        <f>IF($U726="","",INDEX('Per Line'!$C$2:$C$3001,$U726)&amp;"")</f>
        <v/>
      </c>
      <c r="E726">
        <f>IF($U726="","",INDEX('Per Line'!$D$2:$D$3001,$U726)&amp;"")</f>
        <v/>
      </c>
      <c r="F726">
        <f>IF($U726="","",INDEX('Per Line'!$E$2:$E$3001,$U726))</f>
        <v/>
      </c>
      <c r="G726" s="7">
        <f>IF($U726="","",F726*S726/100)</f>
        <v/>
      </c>
      <c r="H726">
        <f>IF($U726="","",INDEX('Per Line'!$O$2:$O$3001,$U726)&amp;"")</f>
        <v/>
      </c>
      <c r="I726" s="11">
        <f>IF($U726="","",INDEX('Per Line'!$Q$2:$Q$3001,$U726))</f>
        <v/>
      </c>
      <c r="J726">
        <f>IF($U726="","",INDEX('Per Line'!$R$2:$R$3001,$U726)&amp;"")</f>
        <v/>
      </c>
      <c r="K726">
        <f>IF($U726="","",Settings!$C$7)</f>
        <v/>
      </c>
      <c r="L726" s="7">
        <f>IF($U726="","",SUMIFS('Per Line'!$N$2:$N$3001,'Per Line'!$A$2:$A$3001,$A726,'Per Line'!$W$2:$W$3001,0))</f>
        <v/>
      </c>
      <c r="M726" s="7">
        <f>IF($U726="","",L726*K726)</f>
        <v/>
      </c>
      <c r="N726">
        <f>IF($U726="","",Settings!$C$6)</f>
        <v/>
      </c>
      <c r="O726" s="7">
        <f>IF($U726="","",SUMIFS('Per Line'!$N$2:$N$3001,'Per Line'!$A$2:$A$3001,$A726,'Per Line'!$W$2:$W$3001,1))</f>
        <v/>
      </c>
      <c r="P726" s="7">
        <f>IF($U726="","",O726*N726)</f>
        <v/>
      </c>
      <c r="Q726" s="7">
        <f>IF($U726="","",P726+M726)</f>
        <v/>
      </c>
      <c r="R726" s="7">
        <f>IF($U726="","",S726-Q726)</f>
        <v/>
      </c>
      <c r="S726" s="7">
        <f>IF($U726="","",L726+O726)</f>
        <v/>
      </c>
      <c r="T726" s="7">
        <f>IF($U726="","",S726-Q726-G726)</f>
        <v/>
      </c>
      <c r="U726" s="13">
        <f>IF(ROWS($U$2:$U726)&lt;=MAX('Per Line'!$V$2:$V$3001),MATCH(ROWS($U$2:$U726),'Per Line'!$V$2:$V$3001,0),"")</f>
        <v/>
      </c>
    </row>
    <row r="727">
      <c r="A727">
        <f>IF($U727="","",INDEX('Per Line'!$A$2:$A$3001,$U727)&amp;"")</f>
        <v/>
      </c>
      <c r="B727" s="12" t="n"/>
      <c r="C727">
        <f>IF($U727="","",INDEX('Per Line'!$B$2:$B$3001,$U727)&amp;"")</f>
        <v/>
      </c>
      <c r="D727">
        <f>IF($U727="","",INDEX('Per Line'!$C$2:$C$3001,$U727)&amp;"")</f>
        <v/>
      </c>
      <c r="E727">
        <f>IF($U727="","",INDEX('Per Line'!$D$2:$D$3001,$U727)&amp;"")</f>
        <v/>
      </c>
      <c r="F727">
        <f>IF($U727="","",INDEX('Per Line'!$E$2:$E$3001,$U727))</f>
        <v/>
      </c>
      <c r="G727" s="7">
        <f>IF($U727="","",F727*S727/100)</f>
        <v/>
      </c>
      <c r="H727">
        <f>IF($U727="","",INDEX('Per Line'!$O$2:$O$3001,$U727)&amp;"")</f>
        <v/>
      </c>
      <c r="I727" s="11">
        <f>IF($U727="","",INDEX('Per Line'!$Q$2:$Q$3001,$U727))</f>
        <v/>
      </c>
      <c r="J727">
        <f>IF($U727="","",INDEX('Per Line'!$R$2:$R$3001,$U727)&amp;"")</f>
        <v/>
      </c>
      <c r="K727">
        <f>IF($U727="","",Settings!$C$7)</f>
        <v/>
      </c>
      <c r="L727" s="7">
        <f>IF($U727="","",SUMIFS('Per Line'!$N$2:$N$3001,'Per Line'!$A$2:$A$3001,$A727,'Per Line'!$W$2:$W$3001,0))</f>
        <v/>
      </c>
      <c r="M727" s="7">
        <f>IF($U727="","",L727*K727)</f>
        <v/>
      </c>
      <c r="N727">
        <f>IF($U727="","",Settings!$C$6)</f>
        <v/>
      </c>
      <c r="O727" s="7">
        <f>IF($U727="","",SUMIFS('Per Line'!$N$2:$N$3001,'Per Line'!$A$2:$A$3001,$A727,'Per Line'!$W$2:$W$3001,1))</f>
        <v/>
      </c>
      <c r="P727" s="7">
        <f>IF($U727="","",O727*N727)</f>
        <v/>
      </c>
      <c r="Q727" s="7">
        <f>IF($U727="","",P727+M727)</f>
        <v/>
      </c>
      <c r="R727" s="7">
        <f>IF($U727="","",S727-Q727)</f>
        <v/>
      </c>
      <c r="S727" s="7">
        <f>IF($U727="","",L727+O727)</f>
        <v/>
      </c>
      <c r="T727" s="7">
        <f>IF($U727="","",S727-Q727-G727)</f>
        <v/>
      </c>
      <c r="U727" s="13">
        <f>IF(ROWS($U$2:$U727)&lt;=MAX('Per Line'!$V$2:$V$3001),MATCH(ROWS($U$2:$U727),'Per Line'!$V$2:$V$3001,0),"")</f>
        <v/>
      </c>
    </row>
    <row r="728">
      <c r="A728">
        <f>IF($U728="","",INDEX('Per Line'!$A$2:$A$3001,$U728)&amp;"")</f>
        <v/>
      </c>
      <c r="B728" s="12" t="n"/>
      <c r="C728">
        <f>IF($U728="","",INDEX('Per Line'!$B$2:$B$3001,$U728)&amp;"")</f>
        <v/>
      </c>
      <c r="D728">
        <f>IF($U728="","",INDEX('Per Line'!$C$2:$C$3001,$U728)&amp;"")</f>
        <v/>
      </c>
      <c r="E728">
        <f>IF($U728="","",INDEX('Per Line'!$D$2:$D$3001,$U728)&amp;"")</f>
        <v/>
      </c>
      <c r="F728">
        <f>IF($U728="","",INDEX('Per Line'!$E$2:$E$3001,$U728))</f>
        <v/>
      </c>
      <c r="G728" s="7">
        <f>IF($U728="","",F728*S728/100)</f>
        <v/>
      </c>
      <c r="H728">
        <f>IF($U728="","",INDEX('Per Line'!$O$2:$O$3001,$U728)&amp;"")</f>
        <v/>
      </c>
      <c r="I728" s="11">
        <f>IF($U728="","",INDEX('Per Line'!$Q$2:$Q$3001,$U728))</f>
        <v/>
      </c>
      <c r="J728">
        <f>IF($U728="","",INDEX('Per Line'!$R$2:$R$3001,$U728)&amp;"")</f>
        <v/>
      </c>
      <c r="K728">
        <f>IF($U728="","",Settings!$C$7)</f>
        <v/>
      </c>
      <c r="L728" s="7">
        <f>IF($U728="","",SUMIFS('Per Line'!$N$2:$N$3001,'Per Line'!$A$2:$A$3001,$A728,'Per Line'!$W$2:$W$3001,0))</f>
        <v/>
      </c>
      <c r="M728" s="7">
        <f>IF($U728="","",L728*K728)</f>
        <v/>
      </c>
      <c r="N728">
        <f>IF($U728="","",Settings!$C$6)</f>
        <v/>
      </c>
      <c r="O728" s="7">
        <f>IF($U728="","",SUMIFS('Per Line'!$N$2:$N$3001,'Per Line'!$A$2:$A$3001,$A728,'Per Line'!$W$2:$W$3001,1))</f>
        <v/>
      </c>
      <c r="P728" s="7">
        <f>IF($U728="","",O728*N728)</f>
        <v/>
      </c>
      <c r="Q728" s="7">
        <f>IF($U728="","",P728+M728)</f>
        <v/>
      </c>
      <c r="R728" s="7">
        <f>IF($U728="","",S728-Q728)</f>
        <v/>
      </c>
      <c r="S728" s="7">
        <f>IF($U728="","",L728+O728)</f>
        <v/>
      </c>
      <c r="T728" s="7">
        <f>IF($U728="","",S728-Q728-G728)</f>
        <v/>
      </c>
      <c r="U728" s="13">
        <f>IF(ROWS($U$2:$U728)&lt;=MAX('Per Line'!$V$2:$V$3001),MATCH(ROWS($U$2:$U728),'Per Line'!$V$2:$V$3001,0),"")</f>
        <v/>
      </c>
    </row>
    <row r="729">
      <c r="A729">
        <f>IF($U729="","",INDEX('Per Line'!$A$2:$A$3001,$U729)&amp;"")</f>
        <v/>
      </c>
      <c r="B729" s="12" t="n"/>
      <c r="C729">
        <f>IF($U729="","",INDEX('Per Line'!$B$2:$B$3001,$U729)&amp;"")</f>
        <v/>
      </c>
      <c r="D729">
        <f>IF($U729="","",INDEX('Per Line'!$C$2:$C$3001,$U729)&amp;"")</f>
        <v/>
      </c>
      <c r="E729">
        <f>IF($U729="","",INDEX('Per Line'!$D$2:$D$3001,$U729)&amp;"")</f>
        <v/>
      </c>
      <c r="F729">
        <f>IF($U729="","",INDEX('Per Line'!$E$2:$E$3001,$U729))</f>
        <v/>
      </c>
      <c r="G729" s="7">
        <f>IF($U729="","",F729*S729/100)</f>
        <v/>
      </c>
      <c r="H729">
        <f>IF($U729="","",INDEX('Per Line'!$O$2:$O$3001,$U729)&amp;"")</f>
        <v/>
      </c>
      <c r="I729" s="11">
        <f>IF($U729="","",INDEX('Per Line'!$Q$2:$Q$3001,$U729))</f>
        <v/>
      </c>
      <c r="J729">
        <f>IF($U729="","",INDEX('Per Line'!$R$2:$R$3001,$U729)&amp;"")</f>
        <v/>
      </c>
      <c r="K729">
        <f>IF($U729="","",Settings!$C$7)</f>
        <v/>
      </c>
      <c r="L729" s="7">
        <f>IF($U729="","",SUMIFS('Per Line'!$N$2:$N$3001,'Per Line'!$A$2:$A$3001,$A729,'Per Line'!$W$2:$W$3001,0))</f>
        <v/>
      </c>
      <c r="M729" s="7">
        <f>IF($U729="","",L729*K729)</f>
        <v/>
      </c>
      <c r="N729">
        <f>IF($U729="","",Settings!$C$6)</f>
        <v/>
      </c>
      <c r="O729" s="7">
        <f>IF($U729="","",SUMIFS('Per Line'!$N$2:$N$3001,'Per Line'!$A$2:$A$3001,$A729,'Per Line'!$W$2:$W$3001,1))</f>
        <v/>
      </c>
      <c r="P729" s="7">
        <f>IF($U729="","",O729*N729)</f>
        <v/>
      </c>
      <c r="Q729" s="7">
        <f>IF($U729="","",P729+M729)</f>
        <v/>
      </c>
      <c r="R729" s="7">
        <f>IF($U729="","",S729-Q729)</f>
        <v/>
      </c>
      <c r="S729" s="7">
        <f>IF($U729="","",L729+O729)</f>
        <v/>
      </c>
      <c r="T729" s="7">
        <f>IF($U729="","",S729-Q729-G729)</f>
        <v/>
      </c>
      <c r="U729" s="13">
        <f>IF(ROWS($U$2:$U729)&lt;=MAX('Per Line'!$V$2:$V$3001),MATCH(ROWS($U$2:$U729),'Per Line'!$V$2:$V$3001,0),"")</f>
        <v/>
      </c>
    </row>
    <row r="730">
      <c r="A730">
        <f>IF($U730="","",INDEX('Per Line'!$A$2:$A$3001,$U730)&amp;"")</f>
        <v/>
      </c>
      <c r="B730" s="12" t="n"/>
      <c r="C730">
        <f>IF($U730="","",INDEX('Per Line'!$B$2:$B$3001,$U730)&amp;"")</f>
        <v/>
      </c>
      <c r="D730">
        <f>IF($U730="","",INDEX('Per Line'!$C$2:$C$3001,$U730)&amp;"")</f>
        <v/>
      </c>
      <c r="E730">
        <f>IF($U730="","",INDEX('Per Line'!$D$2:$D$3001,$U730)&amp;"")</f>
        <v/>
      </c>
      <c r="F730">
        <f>IF($U730="","",INDEX('Per Line'!$E$2:$E$3001,$U730))</f>
        <v/>
      </c>
      <c r="G730" s="7">
        <f>IF($U730="","",F730*S730/100)</f>
        <v/>
      </c>
      <c r="H730">
        <f>IF($U730="","",INDEX('Per Line'!$O$2:$O$3001,$U730)&amp;"")</f>
        <v/>
      </c>
      <c r="I730" s="11">
        <f>IF($U730="","",INDEX('Per Line'!$Q$2:$Q$3001,$U730))</f>
        <v/>
      </c>
      <c r="J730">
        <f>IF($U730="","",INDEX('Per Line'!$R$2:$R$3001,$U730)&amp;"")</f>
        <v/>
      </c>
      <c r="K730">
        <f>IF($U730="","",Settings!$C$7)</f>
        <v/>
      </c>
      <c r="L730" s="7">
        <f>IF($U730="","",SUMIFS('Per Line'!$N$2:$N$3001,'Per Line'!$A$2:$A$3001,$A730,'Per Line'!$W$2:$W$3001,0))</f>
        <v/>
      </c>
      <c r="M730" s="7">
        <f>IF($U730="","",L730*K730)</f>
        <v/>
      </c>
      <c r="N730">
        <f>IF($U730="","",Settings!$C$6)</f>
        <v/>
      </c>
      <c r="O730" s="7">
        <f>IF($U730="","",SUMIFS('Per Line'!$N$2:$N$3001,'Per Line'!$A$2:$A$3001,$A730,'Per Line'!$W$2:$W$3001,1))</f>
        <v/>
      </c>
      <c r="P730" s="7">
        <f>IF($U730="","",O730*N730)</f>
        <v/>
      </c>
      <c r="Q730" s="7">
        <f>IF($U730="","",P730+M730)</f>
        <v/>
      </c>
      <c r="R730" s="7">
        <f>IF($U730="","",S730-Q730)</f>
        <v/>
      </c>
      <c r="S730" s="7">
        <f>IF($U730="","",L730+O730)</f>
        <v/>
      </c>
      <c r="T730" s="7">
        <f>IF($U730="","",S730-Q730-G730)</f>
        <v/>
      </c>
      <c r="U730" s="13">
        <f>IF(ROWS($U$2:$U730)&lt;=MAX('Per Line'!$V$2:$V$3001),MATCH(ROWS($U$2:$U730),'Per Line'!$V$2:$V$3001,0),"")</f>
        <v/>
      </c>
    </row>
    <row r="731">
      <c r="A731">
        <f>IF($U731="","",INDEX('Per Line'!$A$2:$A$3001,$U731)&amp;"")</f>
        <v/>
      </c>
      <c r="B731" s="12" t="n"/>
      <c r="C731">
        <f>IF($U731="","",INDEX('Per Line'!$B$2:$B$3001,$U731)&amp;"")</f>
        <v/>
      </c>
      <c r="D731">
        <f>IF($U731="","",INDEX('Per Line'!$C$2:$C$3001,$U731)&amp;"")</f>
        <v/>
      </c>
      <c r="E731">
        <f>IF($U731="","",INDEX('Per Line'!$D$2:$D$3001,$U731)&amp;"")</f>
        <v/>
      </c>
      <c r="F731">
        <f>IF($U731="","",INDEX('Per Line'!$E$2:$E$3001,$U731))</f>
        <v/>
      </c>
      <c r="G731" s="7">
        <f>IF($U731="","",F731*S731/100)</f>
        <v/>
      </c>
      <c r="H731">
        <f>IF($U731="","",INDEX('Per Line'!$O$2:$O$3001,$U731)&amp;"")</f>
        <v/>
      </c>
      <c r="I731" s="11">
        <f>IF($U731="","",INDEX('Per Line'!$Q$2:$Q$3001,$U731))</f>
        <v/>
      </c>
      <c r="J731">
        <f>IF($U731="","",INDEX('Per Line'!$R$2:$R$3001,$U731)&amp;"")</f>
        <v/>
      </c>
      <c r="K731">
        <f>IF($U731="","",Settings!$C$7)</f>
        <v/>
      </c>
      <c r="L731" s="7">
        <f>IF($U731="","",SUMIFS('Per Line'!$N$2:$N$3001,'Per Line'!$A$2:$A$3001,$A731,'Per Line'!$W$2:$W$3001,0))</f>
        <v/>
      </c>
      <c r="M731" s="7">
        <f>IF($U731="","",L731*K731)</f>
        <v/>
      </c>
      <c r="N731">
        <f>IF($U731="","",Settings!$C$6)</f>
        <v/>
      </c>
      <c r="O731" s="7">
        <f>IF($U731="","",SUMIFS('Per Line'!$N$2:$N$3001,'Per Line'!$A$2:$A$3001,$A731,'Per Line'!$W$2:$W$3001,1))</f>
        <v/>
      </c>
      <c r="P731" s="7">
        <f>IF($U731="","",O731*N731)</f>
        <v/>
      </c>
      <c r="Q731" s="7">
        <f>IF($U731="","",P731+M731)</f>
        <v/>
      </c>
      <c r="R731" s="7">
        <f>IF($U731="","",S731-Q731)</f>
        <v/>
      </c>
      <c r="S731" s="7">
        <f>IF($U731="","",L731+O731)</f>
        <v/>
      </c>
      <c r="T731" s="7">
        <f>IF($U731="","",S731-Q731-G731)</f>
        <v/>
      </c>
      <c r="U731" s="13">
        <f>IF(ROWS($U$2:$U731)&lt;=MAX('Per Line'!$V$2:$V$3001),MATCH(ROWS($U$2:$U731),'Per Line'!$V$2:$V$3001,0),"")</f>
        <v/>
      </c>
    </row>
    <row r="732">
      <c r="A732">
        <f>IF($U732="","",INDEX('Per Line'!$A$2:$A$3001,$U732)&amp;"")</f>
        <v/>
      </c>
      <c r="B732" s="12" t="n"/>
      <c r="C732">
        <f>IF($U732="","",INDEX('Per Line'!$B$2:$B$3001,$U732)&amp;"")</f>
        <v/>
      </c>
      <c r="D732">
        <f>IF($U732="","",INDEX('Per Line'!$C$2:$C$3001,$U732)&amp;"")</f>
        <v/>
      </c>
      <c r="E732">
        <f>IF($U732="","",INDEX('Per Line'!$D$2:$D$3001,$U732)&amp;"")</f>
        <v/>
      </c>
      <c r="F732">
        <f>IF($U732="","",INDEX('Per Line'!$E$2:$E$3001,$U732))</f>
        <v/>
      </c>
      <c r="G732" s="7">
        <f>IF($U732="","",F732*S732/100)</f>
        <v/>
      </c>
      <c r="H732">
        <f>IF($U732="","",INDEX('Per Line'!$O$2:$O$3001,$U732)&amp;"")</f>
        <v/>
      </c>
      <c r="I732" s="11">
        <f>IF($U732="","",INDEX('Per Line'!$Q$2:$Q$3001,$U732))</f>
        <v/>
      </c>
      <c r="J732">
        <f>IF($U732="","",INDEX('Per Line'!$R$2:$R$3001,$U732)&amp;"")</f>
        <v/>
      </c>
      <c r="K732">
        <f>IF($U732="","",Settings!$C$7)</f>
        <v/>
      </c>
      <c r="L732" s="7">
        <f>IF($U732="","",SUMIFS('Per Line'!$N$2:$N$3001,'Per Line'!$A$2:$A$3001,$A732,'Per Line'!$W$2:$W$3001,0))</f>
        <v/>
      </c>
      <c r="M732" s="7">
        <f>IF($U732="","",L732*K732)</f>
        <v/>
      </c>
      <c r="N732">
        <f>IF($U732="","",Settings!$C$6)</f>
        <v/>
      </c>
      <c r="O732" s="7">
        <f>IF($U732="","",SUMIFS('Per Line'!$N$2:$N$3001,'Per Line'!$A$2:$A$3001,$A732,'Per Line'!$W$2:$W$3001,1))</f>
        <v/>
      </c>
      <c r="P732" s="7">
        <f>IF($U732="","",O732*N732)</f>
        <v/>
      </c>
      <c r="Q732" s="7">
        <f>IF($U732="","",P732+M732)</f>
        <v/>
      </c>
      <c r="R732" s="7">
        <f>IF($U732="","",S732-Q732)</f>
        <v/>
      </c>
      <c r="S732" s="7">
        <f>IF($U732="","",L732+O732)</f>
        <v/>
      </c>
      <c r="T732" s="7">
        <f>IF($U732="","",S732-Q732-G732)</f>
        <v/>
      </c>
      <c r="U732" s="13">
        <f>IF(ROWS($U$2:$U732)&lt;=MAX('Per Line'!$V$2:$V$3001),MATCH(ROWS($U$2:$U732),'Per Line'!$V$2:$V$3001,0),"")</f>
        <v/>
      </c>
    </row>
    <row r="733">
      <c r="A733">
        <f>IF($U733="","",INDEX('Per Line'!$A$2:$A$3001,$U733)&amp;"")</f>
        <v/>
      </c>
      <c r="B733" s="12" t="n"/>
      <c r="C733">
        <f>IF($U733="","",INDEX('Per Line'!$B$2:$B$3001,$U733)&amp;"")</f>
        <v/>
      </c>
      <c r="D733">
        <f>IF($U733="","",INDEX('Per Line'!$C$2:$C$3001,$U733)&amp;"")</f>
        <v/>
      </c>
      <c r="E733">
        <f>IF($U733="","",INDEX('Per Line'!$D$2:$D$3001,$U733)&amp;"")</f>
        <v/>
      </c>
      <c r="F733">
        <f>IF($U733="","",INDEX('Per Line'!$E$2:$E$3001,$U733))</f>
        <v/>
      </c>
      <c r="G733" s="7">
        <f>IF($U733="","",F733*S733/100)</f>
        <v/>
      </c>
      <c r="H733">
        <f>IF($U733="","",INDEX('Per Line'!$O$2:$O$3001,$U733)&amp;"")</f>
        <v/>
      </c>
      <c r="I733" s="11">
        <f>IF($U733="","",INDEX('Per Line'!$Q$2:$Q$3001,$U733))</f>
        <v/>
      </c>
      <c r="J733">
        <f>IF($U733="","",INDEX('Per Line'!$R$2:$R$3001,$U733)&amp;"")</f>
        <v/>
      </c>
      <c r="K733">
        <f>IF($U733="","",Settings!$C$7)</f>
        <v/>
      </c>
      <c r="L733" s="7">
        <f>IF($U733="","",SUMIFS('Per Line'!$N$2:$N$3001,'Per Line'!$A$2:$A$3001,$A733,'Per Line'!$W$2:$W$3001,0))</f>
        <v/>
      </c>
      <c r="M733" s="7">
        <f>IF($U733="","",L733*K733)</f>
        <v/>
      </c>
      <c r="N733">
        <f>IF($U733="","",Settings!$C$6)</f>
        <v/>
      </c>
      <c r="O733" s="7">
        <f>IF($U733="","",SUMIFS('Per Line'!$N$2:$N$3001,'Per Line'!$A$2:$A$3001,$A733,'Per Line'!$W$2:$W$3001,1))</f>
        <v/>
      </c>
      <c r="P733" s="7">
        <f>IF($U733="","",O733*N733)</f>
        <v/>
      </c>
      <c r="Q733" s="7">
        <f>IF($U733="","",P733+M733)</f>
        <v/>
      </c>
      <c r="R733" s="7">
        <f>IF($U733="","",S733-Q733)</f>
        <v/>
      </c>
      <c r="S733" s="7">
        <f>IF($U733="","",L733+O733)</f>
        <v/>
      </c>
      <c r="T733" s="7">
        <f>IF($U733="","",S733-Q733-G733)</f>
        <v/>
      </c>
      <c r="U733" s="13">
        <f>IF(ROWS($U$2:$U733)&lt;=MAX('Per Line'!$V$2:$V$3001),MATCH(ROWS($U$2:$U733),'Per Line'!$V$2:$V$3001,0),"")</f>
        <v/>
      </c>
    </row>
    <row r="734">
      <c r="A734">
        <f>IF($U734="","",INDEX('Per Line'!$A$2:$A$3001,$U734)&amp;"")</f>
        <v/>
      </c>
      <c r="B734" s="12" t="n"/>
      <c r="C734">
        <f>IF($U734="","",INDEX('Per Line'!$B$2:$B$3001,$U734)&amp;"")</f>
        <v/>
      </c>
      <c r="D734">
        <f>IF($U734="","",INDEX('Per Line'!$C$2:$C$3001,$U734)&amp;"")</f>
        <v/>
      </c>
      <c r="E734">
        <f>IF($U734="","",INDEX('Per Line'!$D$2:$D$3001,$U734)&amp;"")</f>
        <v/>
      </c>
      <c r="F734">
        <f>IF($U734="","",INDEX('Per Line'!$E$2:$E$3001,$U734))</f>
        <v/>
      </c>
      <c r="G734" s="7">
        <f>IF($U734="","",F734*S734/100)</f>
        <v/>
      </c>
      <c r="H734">
        <f>IF($U734="","",INDEX('Per Line'!$O$2:$O$3001,$U734)&amp;"")</f>
        <v/>
      </c>
      <c r="I734" s="11">
        <f>IF($U734="","",INDEX('Per Line'!$Q$2:$Q$3001,$U734))</f>
        <v/>
      </c>
      <c r="J734">
        <f>IF($U734="","",INDEX('Per Line'!$R$2:$R$3001,$U734)&amp;"")</f>
        <v/>
      </c>
      <c r="K734">
        <f>IF($U734="","",Settings!$C$7)</f>
        <v/>
      </c>
      <c r="L734" s="7">
        <f>IF($U734="","",SUMIFS('Per Line'!$N$2:$N$3001,'Per Line'!$A$2:$A$3001,$A734,'Per Line'!$W$2:$W$3001,0))</f>
        <v/>
      </c>
      <c r="M734" s="7">
        <f>IF($U734="","",L734*K734)</f>
        <v/>
      </c>
      <c r="N734">
        <f>IF($U734="","",Settings!$C$6)</f>
        <v/>
      </c>
      <c r="O734" s="7">
        <f>IF($U734="","",SUMIFS('Per Line'!$N$2:$N$3001,'Per Line'!$A$2:$A$3001,$A734,'Per Line'!$W$2:$W$3001,1))</f>
        <v/>
      </c>
      <c r="P734" s="7">
        <f>IF($U734="","",O734*N734)</f>
        <v/>
      </c>
      <c r="Q734" s="7">
        <f>IF($U734="","",P734+M734)</f>
        <v/>
      </c>
      <c r="R734" s="7">
        <f>IF($U734="","",S734-Q734)</f>
        <v/>
      </c>
      <c r="S734" s="7">
        <f>IF($U734="","",L734+O734)</f>
        <v/>
      </c>
      <c r="T734" s="7">
        <f>IF($U734="","",S734-Q734-G734)</f>
        <v/>
      </c>
      <c r="U734" s="13">
        <f>IF(ROWS($U$2:$U734)&lt;=MAX('Per Line'!$V$2:$V$3001),MATCH(ROWS($U$2:$U734),'Per Line'!$V$2:$V$3001,0),"")</f>
        <v/>
      </c>
    </row>
    <row r="735">
      <c r="A735">
        <f>IF($U735="","",INDEX('Per Line'!$A$2:$A$3001,$U735)&amp;"")</f>
        <v/>
      </c>
      <c r="B735" s="12" t="n"/>
      <c r="C735">
        <f>IF($U735="","",INDEX('Per Line'!$B$2:$B$3001,$U735)&amp;"")</f>
        <v/>
      </c>
      <c r="D735">
        <f>IF($U735="","",INDEX('Per Line'!$C$2:$C$3001,$U735)&amp;"")</f>
        <v/>
      </c>
      <c r="E735">
        <f>IF($U735="","",INDEX('Per Line'!$D$2:$D$3001,$U735)&amp;"")</f>
        <v/>
      </c>
      <c r="F735">
        <f>IF($U735="","",INDEX('Per Line'!$E$2:$E$3001,$U735))</f>
        <v/>
      </c>
      <c r="G735" s="7">
        <f>IF($U735="","",F735*S735/100)</f>
        <v/>
      </c>
      <c r="H735">
        <f>IF($U735="","",INDEX('Per Line'!$O$2:$O$3001,$U735)&amp;"")</f>
        <v/>
      </c>
      <c r="I735" s="11">
        <f>IF($U735="","",INDEX('Per Line'!$Q$2:$Q$3001,$U735))</f>
        <v/>
      </c>
      <c r="J735">
        <f>IF($U735="","",INDEX('Per Line'!$R$2:$R$3001,$U735)&amp;"")</f>
        <v/>
      </c>
      <c r="K735">
        <f>IF($U735="","",Settings!$C$7)</f>
        <v/>
      </c>
      <c r="L735" s="7">
        <f>IF($U735="","",SUMIFS('Per Line'!$N$2:$N$3001,'Per Line'!$A$2:$A$3001,$A735,'Per Line'!$W$2:$W$3001,0))</f>
        <v/>
      </c>
      <c r="M735" s="7">
        <f>IF($U735="","",L735*K735)</f>
        <v/>
      </c>
      <c r="N735">
        <f>IF($U735="","",Settings!$C$6)</f>
        <v/>
      </c>
      <c r="O735" s="7">
        <f>IF($U735="","",SUMIFS('Per Line'!$N$2:$N$3001,'Per Line'!$A$2:$A$3001,$A735,'Per Line'!$W$2:$W$3001,1))</f>
        <v/>
      </c>
      <c r="P735" s="7">
        <f>IF($U735="","",O735*N735)</f>
        <v/>
      </c>
      <c r="Q735" s="7">
        <f>IF($U735="","",P735+M735)</f>
        <v/>
      </c>
      <c r="R735" s="7">
        <f>IF($U735="","",S735-Q735)</f>
        <v/>
      </c>
      <c r="S735" s="7">
        <f>IF($U735="","",L735+O735)</f>
        <v/>
      </c>
      <c r="T735" s="7">
        <f>IF($U735="","",S735-Q735-G735)</f>
        <v/>
      </c>
      <c r="U735" s="13">
        <f>IF(ROWS($U$2:$U735)&lt;=MAX('Per Line'!$V$2:$V$3001),MATCH(ROWS($U$2:$U735),'Per Line'!$V$2:$V$3001,0),"")</f>
        <v/>
      </c>
    </row>
    <row r="736">
      <c r="A736">
        <f>IF($U736="","",INDEX('Per Line'!$A$2:$A$3001,$U736)&amp;"")</f>
        <v/>
      </c>
      <c r="B736" s="12" t="n"/>
      <c r="C736">
        <f>IF($U736="","",INDEX('Per Line'!$B$2:$B$3001,$U736)&amp;"")</f>
        <v/>
      </c>
      <c r="D736">
        <f>IF($U736="","",INDEX('Per Line'!$C$2:$C$3001,$U736)&amp;"")</f>
        <v/>
      </c>
      <c r="E736">
        <f>IF($U736="","",INDEX('Per Line'!$D$2:$D$3001,$U736)&amp;"")</f>
        <v/>
      </c>
      <c r="F736">
        <f>IF($U736="","",INDEX('Per Line'!$E$2:$E$3001,$U736))</f>
        <v/>
      </c>
      <c r="G736" s="7">
        <f>IF($U736="","",F736*S736/100)</f>
        <v/>
      </c>
      <c r="H736">
        <f>IF($U736="","",INDEX('Per Line'!$O$2:$O$3001,$U736)&amp;"")</f>
        <v/>
      </c>
      <c r="I736" s="11">
        <f>IF($U736="","",INDEX('Per Line'!$Q$2:$Q$3001,$U736))</f>
        <v/>
      </c>
      <c r="J736">
        <f>IF($U736="","",INDEX('Per Line'!$R$2:$R$3001,$U736)&amp;"")</f>
        <v/>
      </c>
      <c r="K736">
        <f>IF($U736="","",Settings!$C$7)</f>
        <v/>
      </c>
      <c r="L736" s="7">
        <f>IF($U736="","",SUMIFS('Per Line'!$N$2:$N$3001,'Per Line'!$A$2:$A$3001,$A736,'Per Line'!$W$2:$W$3001,0))</f>
        <v/>
      </c>
      <c r="M736" s="7">
        <f>IF($U736="","",L736*K736)</f>
        <v/>
      </c>
      <c r="N736">
        <f>IF($U736="","",Settings!$C$6)</f>
        <v/>
      </c>
      <c r="O736" s="7">
        <f>IF($U736="","",SUMIFS('Per Line'!$N$2:$N$3001,'Per Line'!$A$2:$A$3001,$A736,'Per Line'!$W$2:$W$3001,1))</f>
        <v/>
      </c>
      <c r="P736" s="7">
        <f>IF($U736="","",O736*N736)</f>
        <v/>
      </c>
      <c r="Q736" s="7">
        <f>IF($U736="","",P736+M736)</f>
        <v/>
      </c>
      <c r="R736" s="7">
        <f>IF($U736="","",S736-Q736)</f>
        <v/>
      </c>
      <c r="S736" s="7">
        <f>IF($U736="","",L736+O736)</f>
        <v/>
      </c>
      <c r="T736" s="7">
        <f>IF($U736="","",S736-Q736-G736)</f>
        <v/>
      </c>
      <c r="U736" s="13">
        <f>IF(ROWS($U$2:$U736)&lt;=MAX('Per Line'!$V$2:$V$3001),MATCH(ROWS($U$2:$U736),'Per Line'!$V$2:$V$3001,0),"")</f>
        <v/>
      </c>
    </row>
    <row r="737">
      <c r="A737">
        <f>IF($U737="","",INDEX('Per Line'!$A$2:$A$3001,$U737)&amp;"")</f>
        <v/>
      </c>
      <c r="B737" s="12" t="n"/>
      <c r="C737">
        <f>IF($U737="","",INDEX('Per Line'!$B$2:$B$3001,$U737)&amp;"")</f>
        <v/>
      </c>
      <c r="D737">
        <f>IF($U737="","",INDEX('Per Line'!$C$2:$C$3001,$U737)&amp;"")</f>
        <v/>
      </c>
      <c r="E737">
        <f>IF($U737="","",INDEX('Per Line'!$D$2:$D$3001,$U737)&amp;"")</f>
        <v/>
      </c>
      <c r="F737">
        <f>IF($U737="","",INDEX('Per Line'!$E$2:$E$3001,$U737))</f>
        <v/>
      </c>
      <c r="G737" s="7">
        <f>IF($U737="","",F737*S737/100)</f>
        <v/>
      </c>
      <c r="H737">
        <f>IF($U737="","",INDEX('Per Line'!$O$2:$O$3001,$U737)&amp;"")</f>
        <v/>
      </c>
      <c r="I737" s="11">
        <f>IF($U737="","",INDEX('Per Line'!$Q$2:$Q$3001,$U737))</f>
        <v/>
      </c>
      <c r="J737">
        <f>IF($U737="","",INDEX('Per Line'!$R$2:$R$3001,$U737)&amp;"")</f>
        <v/>
      </c>
      <c r="K737">
        <f>IF($U737="","",Settings!$C$7)</f>
        <v/>
      </c>
      <c r="L737" s="7">
        <f>IF($U737="","",SUMIFS('Per Line'!$N$2:$N$3001,'Per Line'!$A$2:$A$3001,$A737,'Per Line'!$W$2:$W$3001,0))</f>
        <v/>
      </c>
      <c r="M737" s="7">
        <f>IF($U737="","",L737*K737)</f>
        <v/>
      </c>
      <c r="N737">
        <f>IF($U737="","",Settings!$C$6)</f>
        <v/>
      </c>
      <c r="O737" s="7">
        <f>IF($U737="","",SUMIFS('Per Line'!$N$2:$N$3001,'Per Line'!$A$2:$A$3001,$A737,'Per Line'!$W$2:$W$3001,1))</f>
        <v/>
      </c>
      <c r="P737" s="7">
        <f>IF($U737="","",O737*N737)</f>
        <v/>
      </c>
      <c r="Q737" s="7">
        <f>IF($U737="","",P737+M737)</f>
        <v/>
      </c>
      <c r="R737" s="7">
        <f>IF($U737="","",S737-Q737)</f>
        <v/>
      </c>
      <c r="S737" s="7">
        <f>IF($U737="","",L737+O737)</f>
        <v/>
      </c>
      <c r="T737" s="7">
        <f>IF($U737="","",S737-Q737-G737)</f>
        <v/>
      </c>
      <c r="U737" s="13">
        <f>IF(ROWS($U$2:$U737)&lt;=MAX('Per Line'!$V$2:$V$3001),MATCH(ROWS($U$2:$U737),'Per Line'!$V$2:$V$3001,0),"")</f>
        <v/>
      </c>
    </row>
    <row r="738">
      <c r="A738">
        <f>IF($U738="","",INDEX('Per Line'!$A$2:$A$3001,$U738)&amp;"")</f>
        <v/>
      </c>
      <c r="B738" s="12" t="n"/>
      <c r="C738">
        <f>IF($U738="","",INDEX('Per Line'!$B$2:$B$3001,$U738)&amp;"")</f>
        <v/>
      </c>
      <c r="D738">
        <f>IF($U738="","",INDEX('Per Line'!$C$2:$C$3001,$U738)&amp;"")</f>
        <v/>
      </c>
      <c r="E738">
        <f>IF($U738="","",INDEX('Per Line'!$D$2:$D$3001,$U738)&amp;"")</f>
        <v/>
      </c>
      <c r="F738">
        <f>IF($U738="","",INDEX('Per Line'!$E$2:$E$3001,$U738))</f>
        <v/>
      </c>
      <c r="G738" s="7">
        <f>IF($U738="","",F738*S738/100)</f>
        <v/>
      </c>
      <c r="H738">
        <f>IF($U738="","",INDEX('Per Line'!$O$2:$O$3001,$U738)&amp;"")</f>
        <v/>
      </c>
      <c r="I738" s="11">
        <f>IF($U738="","",INDEX('Per Line'!$Q$2:$Q$3001,$U738))</f>
        <v/>
      </c>
      <c r="J738">
        <f>IF($U738="","",INDEX('Per Line'!$R$2:$R$3001,$U738)&amp;"")</f>
        <v/>
      </c>
      <c r="K738">
        <f>IF($U738="","",Settings!$C$7)</f>
        <v/>
      </c>
      <c r="L738" s="7">
        <f>IF($U738="","",SUMIFS('Per Line'!$N$2:$N$3001,'Per Line'!$A$2:$A$3001,$A738,'Per Line'!$W$2:$W$3001,0))</f>
        <v/>
      </c>
      <c r="M738" s="7">
        <f>IF($U738="","",L738*K738)</f>
        <v/>
      </c>
      <c r="N738">
        <f>IF($U738="","",Settings!$C$6)</f>
        <v/>
      </c>
      <c r="O738" s="7">
        <f>IF($U738="","",SUMIFS('Per Line'!$N$2:$N$3001,'Per Line'!$A$2:$A$3001,$A738,'Per Line'!$W$2:$W$3001,1))</f>
        <v/>
      </c>
      <c r="P738" s="7">
        <f>IF($U738="","",O738*N738)</f>
        <v/>
      </c>
      <c r="Q738" s="7">
        <f>IF($U738="","",P738+M738)</f>
        <v/>
      </c>
      <c r="R738" s="7">
        <f>IF($U738="","",S738-Q738)</f>
        <v/>
      </c>
      <c r="S738" s="7">
        <f>IF($U738="","",L738+O738)</f>
        <v/>
      </c>
      <c r="T738" s="7">
        <f>IF($U738="","",S738-Q738-G738)</f>
        <v/>
      </c>
      <c r="U738" s="13">
        <f>IF(ROWS($U$2:$U738)&lt;=MAX('Per Line'!$V$2:$V$3001),MATCH(ROWS($U$2:$U738),'Per Line'!$V$2:$V$3001,0),"")</f>
        <v/>
      </c>
    </row>
    <row r="739">
      <c r="A739">
        <f>IF($U739="","",INDEX('Per Line'!$A$2:$A$3001,$U739)&amp;"")</f>
        <v/>
      </c>
      <c r="B739" s="12" t="n"/>
      <c r="C739">
        <f>IF($U739="","",INDEX('Per Line'!$B$2:$B$3001,$U739)&amp;"")</f>
        <v/>
      </c>
      <c r="D739">
        <f>IF($U739="","",INDEX('Per Line'!$C$2:$C$3001,$U739)&amp;"")</f>
        <v/>
      </c>
      <c r="E739">
        <f>IF($U739="","",INDEX('Per Line'!$D$2:$D$3001,$U739)&amp;"")</f>
        <v/>
      </c>
      <c r="F739">
        <f>IF($U739="","",INDEX('Per Line'!$E$2:$E$3001,$U739))</f>
        <v/>
      </c>
      <c r="G739" s="7">
        <f>IF($U739="","",F739*S739/100)</f>
        <v/>
      </c>
      <c r="H739">
        <f>IF($U739="","",INDEX('Per Line'!$O$2:$O$3001,$U739)&amp;"")</f>
        <v/>
      </c>
      <c r="I739" s="11">
        <f>IF($U739="","",INDEX('Per Line'!$Q$2:$Q$3001,$U739))</f>
        <v/>
      </c>
      <c r="J739">
        <f>IF($U739="","",INDEX('Per Line'!$R$2:$R$3001,$U739)&amp;"")</f>
        <v/>
      </c>
      <c r="K739">
        <f>IF($U739="","",Settings!$C$7)</f>
        <v/>
      </c>
      <c r="L739" s="7">
        <f>IF($U739="","",SUMIFS('Per Line'!$N$2:$N$3001,'Per Line'!$A$2:$A$3001,$A739,'Per Line'!$W$2:$W$3001,0))</f>
        <v/>
      </c>
      <c r="M739" s="7">
        <f>IF($U739="","",L739*K739)</f>
        <v/>
      </c>
      <c r="N739">
        <f>IF($U739="","",Settings!$C$6)</f>
        <v/>
      </c>
      <c r="O739" s="7">
        <f>IF($U739="","",SUMIFS('Per Line'!$N$2:$N$3001,'Per Line'!$A$2:$A$3001,$A739,'Per Line'!$W$2:$W$3001,1))</f>
        <v/>
      </c>
      <c r="P739" s="7">
        <f>IF($U739="","",O739*N739)</f>
        <v/>
      </c>
      <c r="Q739" s="7">
        <f>IF($U739="","",P739+M739)</f>
        <v/>
      </c>
      <c r="R739" s="7">
        <f>IF($U739="","",S739-Q739)</f>
        <v/>
      </c>
      <c r="S739" s="7">
        <f>IF($U739="","",L739+O739)</f>
        <v/>
      </c>
      <c r="T739" s="7">
        <f>IF($U739="","",S739-Q739-G739)</f>
        <v/>
      </c>
      <c r="U739" s="13">
        <f>IF(ROWS($U$2:$U739)&lt;=MAX('Per Line'!$V$2:$V$3001),MATCH(ROWS($U$2:$U739),'Per Line'!$V$2:$V$3001,0),"")</f>
        <v/>
      </c>
    </row>
    <row r="740">
      <c r="A740">
        <f>IF($U740="","",INDEX('Per Line'!$A$2:$A$3001,$U740)&amp;"")</f>
        <v/>
      </c>
      <c r="B740" s="12" t="n"/>
      <c r="C740">
        <f>IF($U740="","",INDEX('Per Line'!$B$2:$B$3001,$U740)&amp;"")</f>
        <v/>
      </c>
      <c r="D740">
        <f>IF($U740="","",INDEX('Per Line'!$C$2:$C$3001,$U740)&amp;"")</f>
        <v/>
      </c>
      <c r="E740">
        <f>IF($U740="","",INDEX('Per Line'!$D$2:$D$3001,$U740)&amp;"")</f>
        <v/>
      </c>
      <c r="F740">
        <f>IF($U740="","",INDEX('Per Line'!$E$2:$E$3001,$U740))</f>
        <v/>
      </c>
      <c r="G740" s="7">
        <f>IF($U740="","",F740*S740/100)</f>
        <v/>
      </c>
      <c r="H740">
        <f>IF($U740="","",INDEX('Per Line'!$O$2:$O$3001,$U740)&amp;"")</f>
        <v/>
      </c>
      <c r="I740" s="11">
        <f>IF($U740="","",INDEX('Per Line'!$Q$2:$Q$3001,$U740))</f>
        <v/>
      </c>
      <c r="J740">
        <f>IF($U740="","",INDEX('Per Line'!$R$2:$R$3001,$U740)&amp;"")</f>
        <v/>
      </c>
      <c r="K740">
        <f>IF($U740="","",Settings!$C$7)</f>
        <v/>
      </c>
      <c r="L740" s="7">
        <f>IF($U740="","",SUMIFS('Per Line'!$N$2:$N$3001,'Per Line'!$A$2:$A$3001,$A740,'Per Line'!$W$2:$W$3001,0))</f>
        <v/>
      </c>
      <c r="M740" s="7">
        <f>IF($U740="","",L740*K740)</f>
        <v/>
      </c>
      <c r="N740">
        <f>IF($U740="","",Settings!$C$6)</f>
        <v/>
      </c>
      <c r="O740" s="7">
        <f>IF($U740="","",SUMIFS('Per Line'!$N$2:$N$3001,'Per Line'!$A$2:$A$3001,$A740,'Per Line'!$W$2:$W$3001,1))</f>
        <v/>
      </c>
      <c r="P740" s="7">
        <f>IF($U740="","",O740*N740)</f>
        <v/>
      </c>
      <c r="Q740" s="7">
        <f>IF($U740="","",P740+M740)</f>
        <v/>
      </c>
      <c r="R740" s="7">
        <f>IF($U740="","",S740-Q740)</f>
        <v/>
      </c>
      <c r="S740" s="7">
        <f>IF($U740="","",L740+O740)</f>
        <v/>
      </c>
      <c r="T740" s="7">
        <f>IF($U740="","",S740-Q740-G740)</f>
        <v/>
      </c>
      <c r="U740" s="13">
        <f>IF(ROWS($U$2:$U740)&lt;=MAX('Per Line'!$V$2:$V$3001),MATCH(ROWS($U$2:$U740),'Per Line'!$V$2:$V$3001,0),"")</f>
        <v/>
      </c>
    </row>
    <row r="741">
      <c r="A741">
        <f>IF($U741="","",INDEX('Per Line'!$A$2:$A$3001,$U741)&amp;"")</f>
        <v/>
      </c>
      <c r="B741" s="12" t="n"/>
      <c r="C741">
        <f>IF($U741="","",INDEX('Per Line'!$B$2:$B$3001,$U741)&amp;"")</f>
        <v/>
      </c>
      <c r="D741">
        <f>IF($U741="","",INDEX('Per Line'!$C$2:$C$3001,$U741)&amp;"")</f>
        <v/>
      </c>
      <c r="E741">
        <f>IF($U741="","",INDEX('Per Line'!$D$2:$D$3001,$U741)&amp;"")</f>
        <v/>
      </c>
      <c r="F741">
        <f>IF($U741="","",INDEX('Per Line'!$E$2:$E$3001,$U741))</f>
        <v/>
      </c>
      <c r="G741" s="7">
        <f>IF($U741="","",F741*S741/100)</f>
        <v/>
      </c>
      <c r="H741">
        <f>IF($U741="","",INDEX('Per Line'!$O$2:$O$3001,$U741)&amp;"")</f>
        <v/>
      </c>
      <c r="I741" s="11">
        <f>IF($U741="","",INDEX('Per Line'!$Q$2:$Q$3001,$U741))</f>
        <v/>
      </c>
      <c r="J741">
        <f>IF($U741="","",INDEX('Per Line'!$R$2:$R$3001,$U741)&amp;"")</f>
        <v/>
      </c>
      <c r="K741">
        <f>IF($U741="","",Settings!$C$7)</f>
        <v/>
      </c>
      <c r="L741" s="7">
        <f>IF($U741="","",SUMIFS('Per Line'!$N$2:$N$3001,'Per Line'!$A$2:$A$3001,$A741,'Per Line'!$W$2:$W$3001,0))</f>
        <v/>
      </c>
      <c r="M741" s="7">
        <f>IF($U741="","",L741*K741)</f>
        <v/>
      </c>
      <c r="N741">
        <f>IF($U741="","",Settings!$C$6)</f>
        <v/>
      </c>
      <c r="O741" s="7">
        <f>IF($U741="","",SUMIFS('Per Line'!$N$2:$N$3001,'Per Line'!$A$2:$A$3001,$A741,'Per Line'!$W$2:$W$3001,1))</f>
        <v/>
      </c>
      <c r="P741" s="7">
        <f>IF($U741="","",O741*N741)</f>
        <v/>
      </c>
      <c r="Q741" s="7">
        <f>IF($U741="","",P741+M741)</f>
        <v/>
      </c>
      <c r="R741" s="7">
        <f>IF($U741="","",S741-Q741)</f>
        <v/>
      </c>
      <c r="S741" s="7">
        <f>IF($U741="","",L741+O741)</f>
        <v/>
      </c>
      <c r="T741" s="7">
        <f>IF($U741="","",S741-Q741-G741)</f>
        <v/>
      </c>
      <c r="U741" s="13">
        <f>IF(ROWS($U$2:$U741)&lt;=MAX('Per Line'!$V$2:$V$3001),MATCH(ROWS($U$2:$U741),'Per Line'!$V$2:$V$3001,0),"")</f>
        <v/>
      </c>
    </row>
    <row r="742">
      <c r="A742">
        <f>IF($U742="","",INDEX('Per Line'!$A$2:$A$3001,$U742)&amp;"")</f>
        <v/>
      </c>
      <c r="B742" s="12" t="n"/>
      <c r="C742">
        <f>IF($U742="","",INDEX('Per Line'!$B$2:$B$3001,$U742)&amp;"")</f>
        <v/>
      </c>
      <c r="D742">
        <f>IF($U742="","",INDEX('Per Line'!$C$2:$C$3001,$U742)&amp;"")</f>
        <v/>
      </c>
      <c r="E742">
        <f>IF($U742="","",INDEX('Per Line'!$D$2:$D$3001,$U742)&amp;"")</f>
        <v/>
      </c>
      <c r="F742">
        <f>IF($U742="","",INDEX('Per Line'!$E$2:$E$3001,$U742))</f>
        <v/>
      </c>
      <c r="G742" s="7">
        <f>IF($U742="","",F742*S742/100)</f>
        <v/>
      </c>
      <c r="H742">
        <f>IF($U742="","",INDEX('Per Line'!$O$2:$O$3001,$U742)&amp;"")</f>
        <v/>
      </c>
      <c r="I742" s="11">
        <f>IF($U742="","",INDEX('Per Line'!$Q$2:$Q$3001,$U742))</f>
        <v/>
      </c>
      <c r="J742">
        <f>IF($U742="","",INDEX('Per Line'!$R$2:$R$3001,$U742)&amp;"")</f>
        <v/>
      </c>
      <c r="K742">
        <f>IF($U742="","",Settings!$C$7)</f>
        <v/>
      </c>
      <c r="L742" s="7">
        <f>IF($U742="","",SUMIFS('Per Line'!$N$2:$N$3001,'Per Line'!$A$2:$A$3001,$A742,'Per Line'!$W$2:$W$3001,0))</f>
        <v/>
      </c>
      <c r="M742" s="7">
        <f>IF($U742="","",L742*K742)</f>
        <v/>
      </c>
      <c r="N742">
        <f>IF($U742="","",Settings!$C$6)</f>
        <v/>
      </c>
      <c r="O742" s="7">
        <f>IF($U742="","",SUMIFS('Per Line'!$N$2:$N$3001,'Per Line'!$A$2:$A$3001,$A742,'Per Line'!$W$2:$W$3001,1))</f>
        <v/>
      </c>
      <c r="P742" s="7">
        <f>IF($U742="","",O742*N742)</f>
        <v/>
      </c>
      <c r="Q742" s="7">
        <f>IF($U742="","",P742+M742)</f>
        <v/>
      </c>
      <c r="R742" s="7">
        <f>IF($U742="","",S742-Q742)</f>
        <v/>
      </c>
      <c r="S742" s="7">
        <f>IF($U742="","",L742+O742)</f>
        <v/>
      </c>
      <c r="T742" s="7">
        <f>IF($U742="","",S742-Q742-G742)</f>
        <v/>
      </c>
      <c r="U742" s="13">
        <f>IF(ROWS($U$2:$U742)&lt;=MAX('Per Line'!$V$2:$V$3001),MATCH(ROWS($U$2:$U742),'Per Line'!$V$2:$V$3001,0),"")</f>
        <v/>
      </c>
    </row>
    <row r="743">
      <c r="A743">
        <f>IF($U743="","",INDEX('Per Line'!$A$2:$A$3001,$U743)&amp;"")</f>
        <v/>
      </c>
      <c r="B743" s="12" t="n"/>
      <c r="C743">
        <f>IF($U743="","",INDEX('Per Line'!$B$2:$B$3001,$U743)&amp;"")</f>
        <v/>
      </c>
      <c r="D743">
        <f>IF($U743="","",INDEX('Per Line'!$C$2:$C$3001,$U743)&amp;"")</f>
        <v/>
      </c>
      <c r="E743">
        <f>IF($U743="","",INDEX('Per Line'!$D$2:$D$3001,$U743)&amp;"")</f>
        <v/>
      </c>
      <c r="F743">
        <f>IF($U743="","",INDEX('Per Line'!$E$2:$E$3001,$U743))</f>
        <v/>
      </c>
      <c r="G743" s="7">
        <f>IF($U743="","",F743*S743/100)</f>
        <v/>
      </c>
      <c r="H743">
        <f>IF($U743="","",INDEX('Per Line'!$O$2:$O$3001,$U743)&amp;"")</f>
        <v/>
      </c>
      <c r="I743" s="11">
        <f>IF($U743="","",INDEX('Per Line'!$Q$2:$Q$3001,$U743))</f>
        <v/>
      </c>
      <c r="J743">
        <f>IF($U743="","",INDEX('Per Line'!$R$2:$R$3001,$U743)&amp;"")</f>
        <v/>
      </c>
      <c r="K743">
        <f>IF($U743="","",Settings!$C$7)</f>
        <v/>
      </c>
      <c r="L743" s="7">
        <f>IF($U743="","",SUMIFS('Per Line'!$N$2:$N$3001,'Per Line'!$A$2:$A$3001,$A743,'Per Line'!$W$2:$W$3001,0))</f>
        <v/>
      </c>
      <c r="M743" s="7">
        <f>IF($U743="","",L743*K743)</f>
        <v/>
      </c>
      <c r="N743">
        <f>IF($U743="","",Settings!$C$6)</f>
        <v/>
      </c>
      <c r="O743" s="7">
        <f>IF($U743="","",SUMIFS('Per Line'!$N$2:$N$3001,'Per Line'!$A$2:$A$3001,$A743,'Per Line'!$W$2:$W$3001,1))</f>
        <v/>
      </c>
      <c r="P743" s="7">
        <f>IF($U743="","",O743*N743)</f>
        <v/>
      </c>
      <c r="Q743" s="7">
        <f>IF($U743="","",P743+M743)</f>
        <v/>
      </c>
      <c r="R743" s="7">
        <f>IF($U743="","",S743-Q743)</f>
        <v/>
      </c>
      <c r="S743" s="7">
        <f>IF($U743="","",L743+O743)</f>
        <v/>
      </c>
      <c r="T743" s="7">
        <f>IF($U743="","",S743-Q743-G743)</f>
        <v/>
      </c>
      <c r="U743" s="13">
        <f>IF(ROWS($U$2:$U743)&lt;=MAX('Per Line'!$V$2:$V$3001),MATCH(ROWS($U$2:$U743),'Per Line'!$V$2:$V$3001,0),"")</f>
        <v/>
      </c>
    </row>
    <row r="744">
      <c r="A744">
        <f>IF($U744="","",INDEX('Per Line'!$A$2:$A$3001,$U744)&amp;"")</f>
        <v/>
      </c>
      <c r="B744" s="12" t="n"/>
      <c r="C744">
        <f>IF($U744="","",INDEX('Per Line'!$B$2:$B$3001,$U744)&amp;"")</f>
        <v/>
      </c>
      <c r="D744">
        <f>IF($U744="","",INDEX('Per Line'!$C$2:$C$3001,$U744)&amp;"")</f>
        <v/>
      </c>
      <c r="E744">
        <f>IF($U744="","",INDEX('Per Line'!$D$2:$D$3001,$U744)&amp;"")</f>
        <v/>
      </c>
      <c r="F744">
        <f>IF($U744="","",INDEX('Per Line'!$E$2:$E$3001,$U744))</f>
        <v/>
      </c>
      <c r="G744" s="7">
        <f>IF($U744="","",F744*S744/100)</f>
        <v/>
      </c>
      <c r="H744">
        <f>IF($U744="","",INDEX('Per Line'!$O$2:$O$3001,$U744)&amp;"")</f>
        <v/>
      </c>
      <c r="I744" s="11">
        <f>IF($U744="","",INDEX('Per Line'!$Q$2:$Q$3001,$U744))</f>
        <v/>
      </c>
      <c r="J744">
        <f>IF($U744="","",INDEX('Per Line'!$R$2:$R$3001,$U744)&amp;"")</f>
        <v/>
      </c>
      <c r="K744">
        <f>IF($U744="","",Settings!$C$7)</f>
        <v/>
      </c>
      <c r="L744" s="7">
        <f>IF($U744="","",SUMIFS('Per Line'!$N$2:$N$3001,'Per Line'!$A$2:$A$3001,$A744,'Per Line'!$W$2:$W$3001,0))</f>
        <v/>
      </c>
      <c r="M744" s="7">
        <f>IF($U744="","",L744*K744)</f>
        <v/>
      </c>
      <c r="N744">
        <f>IF($U744="","",Settings!$C$6)</f>
        <v/>
      </c>
      <c r="O744" s="7">
        <f>IF($U744="","",SUMIFS('Per Line'!$N$2:$N$3001,'Per Line'!$A$2:$A$3001,$A744,'Per Line'!$W$2:$W$3001,1))</f>
        <v/>
      </c>
      <c r="P744" s="7">
        <f>IF($U744="","",O744*N744)</f>
        <v/>
      </c>
      <c r="Q744" s="7">
        <f>IF($U744="","",P744+M744)</f>
        <v/>
      </c>
      <c r="R744" s="7">
        <f>IF($U744="","",S744-Q744)</f>
        <v/>
      </c>
      <c r="S744" s="7">
        <f>IF($U744="","",L744+O744)</f>
        <v/>
      </c>
      <c r="T744" s="7">
        <f>IF($U744="","",S744-Q744-G744)</f>
        <v/>
      </c>
      <c r="U744" s="13">
        <f>IF(ROWS($U$2:$U744)&lt;=MAX('Per Line'!$V$2:$V$3001),MATCH(ROWS($U$2:$U744),'Per Line'!$V$2:$V$3001,0),"")</f>
        <v/>
      </c>
    </row>
    <row r="745">
      <c r="A745">
        <f>IF($U745="","",INDEX('Per Line'!$A$2:$A$3001,$U745)&amp;"")</f>
        <v/>
      </c>
      <c r="B745" s="12" t="n"/>
      <c r="C745">
        <f>IF($U745="","",INDEX('Per Line'!$B$2:$B$3001,$U745)&amp;"")</f>
        <v/>
      </c>
      <c r="D745">
        <f>IF($U745="","",INDEX('Per Line'!$C$2:$C$3001,$U745)&amp;"")</f>
        <v/>
      </c>
      <c r="E745">
        <f>IF($U745="","",INDEX('Per Line'!$D$2:$D$3001,$U745)&amp;"")</f>
        <v/>
      </c>
      <c r="F745">
        <f>IF($U745="","",INDEX('Per Line'!$E$2:$E$3001,$U745))</f>
        <v/>
      </c>
      <c r="G745" s="7">
        <f>IF($U745="","",F745*S745/100)</f>
        <v/>
      </c>
      <c r="H745">
        <f>IF($U745="","",INDEX('Per Line'!$O$2:$O$3001,$U745)&amp;"")</f>
        <v/>
      </c>
      <c r="I745" s="11">
        <f>IF($U745="","",INDEX('Per Line'!$Q$2:$Q$3001,$U745))</f>
        <v/>
      </c>
      <c r="J745">
        <f>IF($U745="","",INDEX('Per Line'!$R$2:$R$3001,$U745)&amp;"")</f>
        <v/>
      </c>
      <c r="K745">
        <f>IF($U745="","",Settings!$C$7)</f>
        <v/>
      </c>
      <c r="L745" s="7">
        <f>IF($U745="","",SUMIFS('Per Line'!$N$2:$N$3001,'Per Line'!$A$2:$A$3001,$A745,'Per Line'!$W$2:$W$3001,0))</f>
        <v/>
      </c>
      <c r="M745" s="7">
        <f>IF($U745="","",L745*K745)</f>
        <v/>
      </c>
      <c r="N745">
        <f>IF($U745="","",Settings!$C$6)</f>
        <v/>
      </c>
      <c r="O745" s="7">
        <f>IF($U745="","",SUMIFS('Per Line'!$N$2:$N$3001,'Per Line'!$A$2:$A$3001,$A745,'Per Line'!$W$2:$W$3001,1))</f>
        <v/>
      </c>
      <c r="P745" s="7">
        <f>IF($U745="","",O745*N745)</f>
        <v/>
      </c>
      <c r="Q745" s="7">
        <f>IF($U745="","",P745+M745)</f>
        <v/>
      </c>
      <c r="R745" s="7">
        <f>IF($U745="","",S745-Q745)</f>
        <v/>
      </c>
      <c r="S745" s="7">
        <f>IF($U745="","",L745+O745)</f>
        <v/>
      </c>
      <c r="T745" s="7">
        <f>IF($U745="","",S745-Q745-G745)</f>
        <v/>
      </c>
      <c r="U745" s="13">
        <f>IF(ROWS($U$2:$U745)&lt;=MAX('Per Line'!$V$2:$V$3001),MATCH(ROWS($U$2:$U745),'Per Line'!$V$2:$V$3001,0),"")</f>
        <v/>
      </c>
    </row>
    <row r="746">
      <c r="A746">
        <f>IF($U746="","",INDEX('Per Line'!$A$2:$A$3001,$U746)&amp;"")</f>
        <v/>
      </c>
      <c r="B746" s="12" t="n"/>
      <c r="C746">
        <f>IF($U746="","",INDEX('Per Line'!$B$2:$B$3001,$U746)&amp;"")</f>
        <v/>
      </c>
      <c r="D746">
        <f>IF($U746="","",INDEX('Per Line'!$C$2:$C$3001,$U746)&amp;"")</f>
        <v/>
      </c>
      <c r="E746">
        <f>IF($U746="","",INDEX('Per Line'!$D$2:$D$3001,$U746)&amp;"")</f>
        <v/>
      </c>
      <c r="F746">
        <f>IF($U746="","",INDEX('Per Line'!$E$2:$E$3001,$U746))</f>
        <v/>
      </c>
      <c r="G746" s="7">
        <f>IF($U746="","",F746*S746/100)</f>
        <v/>
      </c>
      <c r="H746">
        <f>IF($U746="","",INDEX('Per Line'!$O$2:$O$3001,$U746)&amp;"")</f>
        <v/>
      </c>
      <c r="I746" s="11">
        <f>IF($U746="","",INDEX('Per Line'!$Q$2:$Q$3001,$U746))</f>
        <v/>
      </c>
      <c r="J746">
        <f>IF($U746="","",INDEX('Per Line'!$R$2:$R$3001,$U746)&amp;"")</f>
        <v/>
      </c>
      <c r="K746">
        <f>IF($U746="","",Settings!$C$7)</f>
        <v/>
      </c>
      <c r="L746" s="7">
        <f>IF($U746="","",SUMIFS('Per Line'!$N$2:$N$3001,'Per Line'!$A$2:$A$3001,$A746,'Per Line'!$W$2:$W$3001,0))</f>
        <v/>
      </c>
      <c r="M746" s="7">
        <f>IF($U746="","",L746*K746)</f>
        <v/>
      </c>
      <c r="N746">
        <f>IF($U746="","",Settings!$C$6)</f>
        <v/>
      </c>
      <c r="O746" s="7">
        <f>IF($U746="","",SUMIFS('Per Line'!$N$2:$N$3001,'Per Line'!$A$2:$A$3001,$A746,'Per Line'!$W$2:$W$3001,1))</f>
        <v/>
      </c>
      <c r="P746" s="7">
        <f>IF($U746="","",O746*N746)</f>
        <v/>
      </c>
      <c r="Q746" s="7">
        <f>IF($U746="","",P746+M746)</f>
        <v/>
      </c>
      <c r="R746" s="7">
        <f>IF($U746="","",S746-Q746)</f>
        <v/>
      </c>
      <c r="S746" s="7">
        <f>IF($U746="","",L746+O746)</f>
        <v/>
      </c>
      <c r="T746" s="7">
        <f>IF($U746="","",S746-Q746-G746)</f>
        <v/>
      </c>
      <c r="U746" s="13">
        <f>IF(ROWS($U$2:$U746)&lt;=MAX('Per Line'!$V$2:$V$3001),MATCH(ROWS($U$2:$U746),'Per Line'!$V$2:$V$3001,0),"")</f>
        <v/>
      </c>
    </row>
    <row r="747">
      <c r="A747">
        <f>IF($U747="","",INDEX('Per Line'!$A$2:$A$3001,$U747)&amp;"")</f>
        <v/>
      </c>
      <c r="B747" s="12" t="n"/>
      <c r="C747">
        <f>IF($U747="","",INDEX('Per Line'!$B$2:$B$3001,$U747)&amp;"")</f>
        <v/>
      </c>
      <c r="D747">
        <f>IF($U747="","",INDEX('Per Line'!$C$2:$C$3001,$U747)&amp;"")</f>
        <v/>
      </c>
      <c r="E747">
        <f>IF($U747="","",INDEX('Per Line'!$D$2:$D$3001,$U747)&amp;"")</f>
        <v/>
      </c>
      <c r="F747">
        <f>IF($U747="","",INDEX('Per Line'!$E$2:$E$3001,$U747))</f>
        <v/>
      </c>
      <c r="G747" s="7">
        <f>IF($U747="","",F747*S747/100)</f>
        <v/>
      </c>
      <c r="H747">
        <f>IF($U747="","",INDEX('Per Line'!$O$2:$O$3001,$U747)&amp;"")</f>
        <v/>
      </c>
      <c r="I747" s="11">
        <f>IF($U747="","",INDEX('Per Line'!$Q$2:$Q$3001,$U747))</f>
        <v/>
      </c>
      <c r="J747">
        <f>IF($U747="","",INDEX('Per Line'!$R$2:$R$3001,$U747)&amp;"")</f>
        <v/>
      </c>
      <c r="K747">
        <f>IF($U747="","",Settings!$C$7)</f>
        <v/>
      </c>
      <c r="L747" s="7">
        <f>IF($U747="","",SUMIFS('Per Line'!$N$2:$N$3001,'Per Line'!$A$2:$A$3001,$A747,'Per Line'!$W$2:$W$3001,0))</f>
        <v/>
      </c>
      <c r="M747" s="7">
        <f>IF($U747="","",L747*K747)</f>
        <v/>
      </c>
      <c r="N747">
        <f>IF($U747="","",Settings!$C$6)</f>
        <v/>
      </c>
      <c r="O747" s="7">
        <f>IF($U747="","",SUMIFS('Per Line'!$N$2:$N$3001,'Per Line'!$A$2:$A$3001,$A747,'Per Line'!$W$2:$W$3001,1))</f>
        <v/>
      </c>
      <c r="P747" s="7">
        <f>IF($U747="","",O747*N747)</f>
        <v/>
      </c>
      <c r="Q747" s="7">
        <f>IF($U747="","",P747+M747)</f>
        <v/>
      </c>
      <c r="R747" s="7">
        <f>IF($U747="","",S747-Q747)</f>
        <v/>
      </c>
      <c r="S747" s="7">
        <f>IF($U747="","",L747+O747)</f>
        <v/>
      </c>
      <c r="T747" s="7">
        <f>IF($U747="","",S747-Q747-G747)</f>
        <v/>
      </c>
      <c r="U747" s="13">
        <f>IF(ROWS($U$2:$U747)&lt;=MAX('Per Line'!$V$2:$V$3001),MATCH(ROWS($U$2:$U747),'Per Line'!$V$2:$V$3001,0),"")</f>
        <v/>
      </c>
    </row>
    <row r="748">
      <c r="A748">
        <f>IF($U748="","",INDEX('Per Line'!$A$2:$A$3001,$U748)&amp;"")</f>
        <v/>
      </c>
      <c r="B748" s="12" t="n"/>
      <c r="C748">
        <f>IF($U748="","",INDEX('Per Line'!$B$2:$B$3001,$U748)&amp;"")</f>
        <v/>
      </c>
      <c r="D748">
        <f>IF($U748="","",INDEX('Per Line'!$C$2:$C$3001,$U748)&amp;"")</f>
        <v/>
      </c>
      <c r="E748">
        <f>IF($U748="","",INDEX('Per Line'!$D$2:$D$3001,$U748)&amp;"")</f>
        <v/>
      </c>
      <c r="F748">
        <f>IF($U748="","",INDEX('Per Line'!$E$2:$E$3001,$U748))</f>
        <v/>
      </c>
      <c r="G748" s="7">
        <f>IF($U748="","",F748*S748/100)</f>
        <v/>
      </c>
      <c r="H748">
        <f>IF($U748="","",INDEX('Per Line'!$O$2:$O$3001,$U748)&amp;"")</f>
        <v/>
      </c>
      <c r="I748" s="11">
        <f>IF($U748="","",INDEX('Per Line'!$Q$2:$Q$3001,$U748))</f>
        <v/>
      </c>
      <c r="J748">
        <f>IF($U748="","",INDEX('Per Line'!$R$2:$R$3001,$U748)&amp;"")</f>
        <v/>
      </c>
      <c r="K748">
        <f>IF($U748="","",Settings!$C$7)</f>
        <v/>
      </c>
      <c r="L748" s="7">
        <f>IF($U748="","",SUMIFS('Per Line'!$N$2:$N$3001,'Per Line'!$A$2:$A$3001,$A748,'Per Line'!$W$2:$W$3001,0))</f>
        <v/>
      </c>
      <c r="M748" s="7">
        <f>IF($U748="","",L748*K748)</f>
        <v/>
      </c>
      <c r="N748">
        <f>IF($U748="","",Settings!$C$6)</f>
        <v/>
      </c>
      <c r="O748" s="7">
        <f>IF($U748="","",SUMIFS('Per Line'!$N$2:$N$3001,'Per Line'!$A$2:$A$3001,$A748,'Per Line'!$W$2:$W$3001,1))</f>
        <v/>
      </c>
      <c r="P748" s="7">
        <f>IF($U748="","",O748*N748)</f>
        <v/>
      </c>
      <c r="Q748" s="7">
        <f>IF($U748="","",P748+M748)</f>
        <v/>
      </c>
      <c r="R748" s="7">
        <f>IF($U748="","",S748-Q748)</f>
        <v/>
      </c>
      <c r="S748" s="7">
        <f>IF($U748="","",L748+O748)</f>
        <v/>
      </c>
      <c r="T748" s="7">
        <f>IF($U748="","",S748-Q748-G748)</f>
        <v/>
      </c>
      <c r="U748" s="13">
        <f>IF(ROWS($U$2:$U748)&lt;=MAX('Per Line'!$V$2:$V$3001),MATCH(ROWS($U$2:$U748),'Per Line'!$V$2:$V$3001,0),"")</f>
        <v/>
      </c>
    </row>
    <row r="749">
      <c r="A749">
        <f>IF($U749="","",INDEX('Per Line'!$A$2:$A$3001,$U749)&amp;"")</f>
        <v/>
      </c>
      <c r="B749" s="12" t="n"/>
      <c r="C749">
        <f>IF($U749="","",INDEX('Per Line'!$B$2:$B$3001,$U749)&amp;"")</f>
        <v/>
      </c>
      <c r="D749">
        <f>IF($U749="","",INDEX('Per Line'!$C$2:$C$3001,$U749)&amp;"")</f>
        <v/>
      </c>
      <c r="E749">
        <f>IF($U749="","",INDEX('Per Line'!$D$2:$D$3001,$U749)&amp;"")</f>
        <v/>
      </c>
      <c r="F749">
        <f>IF($U749="","",INDEX('Per Line'!$E$2:$E$3001,$U749))</f>
        <v/>
      </c>
      <c r="G749" s="7">
        <f>IF($U749="","",F749*S749/100)</f>
        <v/>
      </c>
      <c r="H749">
        <f>IF($U749="","",INDEX('Per Line'!$O$2:$O$3001,$U749)&amp;"")</f>
        <v/>
      </c>
      <c r="I749" s="11">
        <f>IF($U749="","",INDEX('Per Line'!$Q$2:$Q$3001,$U749))</f>
        <v/>
      </c>
      <c r="J749">
        <f>IF($U749="","",INDEX('Per Line'!$R$2:$R$3001,$U749)&amp;"")</f>
        <v/>
      </c>
      <c r="K749">
        <f>IF($U749="","",Settings!$C$7)</f>
        <v/>
      </c>
      <c r="L749" s="7">
        <f>IF($U749="","",SUMIFS('Per Line'!$N$2:$N$3001,'Per Line'!$A$2:$A$3001,$A749,'Per Line'!$W$2:$W$3001,0))</f>
        <v/>
      </c>
      <c r="M749" s="7">
        <f>IF($U749="","",L749*K749)</f>
        <v/>
      </c>
      <c r="N749">
        <f>IF($U749="","",Settings!$C$6)</f>
        <v/>
      </c>
      <c r="O749" s="7">
        <f>IF($U749="","",SUMIFS('Per Line'!$N$2:$N$3001,'Per Line'!$A$2:$A$3001,$A749,'Per Line'!$W$2:$W$3001,1))</f>
        <v/>
      </c>
      <c r="P749" s="7">
        <f>IF($U749="","",O749*N749)</f>
        <v/>
      </c>
      <c r="Q749" s="7">
        <f>IF($U749="","",P749+M749)</f>
        <v/>
      </c>
      <c r="R749" s="7">
        <f>IF($U749="","",S749-Q749)</f>
        <v/>
      </c>
      <c r="S749" s="7">
        <f>IF($U749="","",L749+O749)</f>
        <v/>
      </c>
      <c r="T749" s="7">
        <f>IF($U749="","",S749-Q749-G749)</f>
        <v/>
      </c>
      <c r="U749" s="13">
        <f>IF(ROWS($U$2:$U749)&lt;=MAX('Per Line'!$V$2:$V$3001),MATCH(ROWS($U$2:$U749),'Per Line'!$V$2:$V$3001,0),"")</f>
        <v/>
      </c>
    </row>
    <row r="750">
      <c r="A750">
        <f>IF($U750="","",INDEX('Per Line'!$A$2:$A$3001,$U750)&amp;"")</f>
        <v/>
      </c>
      <c r="B750" s="12" t="n"/>
      <c r="C750">
        <f>IF($U750="","",INDEX('Per Line'!$B$2:$B$3001,$U750)&amp;"")</f>
        <v/>
      </c>
      <c r="D750">
        <f>IF($U750="","",INDEX('Per Line'!$C$2:$C$3001,$U750)&amp;"")</f>
        <v/>
      </c>
      <c r="E750">
        <f>IF($U750="","",INDEX('Per Line'!$D$2:$D$3001,$U750)&amp;"")</f>
        <v/>
      </c>
      <c r="F750">
        <f>IF($U750="","",INDEX('Per Line'!$E$2:$E$3001,$U750))</f>
        <v/>
      </c>
      <c r="G750" s="7">
        <f>IF($U750="","",F750*S750/100)</f>
        <v/>
      </c>
      <c r="H750">
        <f>IF($U750="","",INDEX('Per Line'!$O$2:$O$3001,$U750)&amp;"")</f>
        <v/>
      </c>
      <c r="I750" s="11">
        <f>IF($U750="","",INDEX('Per Line'!$Q$2:$Q$3001,$U750))</f>
        <v/>
      </c>
      <c r="J750">
        <f>IF($U750="","",INDEX('Per Line'!$R$2:$R$3001,$U750)&amp;"")</f>
        <v/>
      </c>
      <c r="K750">
        <f>IF($U750="","",Settings!$C$7)</f>
        <v/>
      </c>
      <c r="L750" s="7">
        <f>IF($U750="","",SUMIFS('Per Line'!$N$2:$N$3001,'Per Line'!$A$2:$A$3001,$A750,'Per Line'!$W$2:$W$3001,0))</f>
        <v/>
      </c>
      <c r="M750" s="7">
        <f>IF($U750="","",L750*K750)</f>
        <v/>
      </c>
      <c r="N750">
        <f>IF($U750="","",Settings!$C$6)</f>
        <v/>
      </c>
      <c r="O750" s="7">
        <f>IF($U750="","",SUMIFS('Per Line'!$N$2:$N$3001,'Per Line'!$A$2:$A$3001,$A750,'Per Line'!$W$2:$W$3001,1))</f>
        <v/>
      </c>
      <c r="P750" s="7">
        <f>IF($U750="","",O750*N750)</f>
        <v/>
      </c>
      <c r="Q750" s="7">
        <f>IF($U750="","",P750+M750)</f>
        <v/>
      </c>
      <c r="R750" s="7">
        <f>IF($U750="","",S750-Q750)</f>
        <v/>
      </c>
      <c r="S750" s="7">
        <f>IF($U750="","",L750+O750)</f>
        <v/>
      </c>
      <c r="T750" s="7">
        <f>IF($U750="","",S750-Q750-G750)</f>
        <v/>
      </c>
      <c r="U750" s="13">
        <f>IF(ROWS($U$2:$U750)&lt;=MAX('Per Line'!$V$2:$V$3001),MATCH(ROWS($U$2:$U750),'Per Line'!$V$2:$V$3001,0),"")</f>
        <v/>
      </c>
    </row>
    <row r="751">
      <c r="A751">
        <f>IF($U751="","",INDEX('Per Line'!$A$2:$A$3001,$U751)&amp;"")</f>
        <v/>
      </c>
      <c r="B751" s="12" t="n"/>
      <c r="C751">
        <f>IF($U751="","",INDEX('Per Line'!$B$2:$B$3001,$U751)&amp;"")</f>
        <v/>
      </c>
      <c r="D751">
        <f>IF($U751="","",INDEX('Per Line'!$C$2:$C$3001,$U751)&amp;"")</f>
        <v/>
      </c>
      <c r="E751">
        <f>IF($U751="","",INDEX('Per Line'!$D$2:$D$3001,$U751)&amp;"")</f>
        <v/>
      </c>
      <c r="F751">
        <f>IF($U751="","",INDEX('Per Line'!$E$2:$E$3001,$U751))</f>
        <v/>
      </c>
      <c r="G751" s="7">
        <f>IF($U751="","",F751*S751/100)</f>
        <v/>
      </c>
      <c r="H751">
        <f>IF($U751="","",INDEX('Per Line'!$O$2:$O$3001,$U751)&amp;"")</f>
        <v/>
      </c>
      <c r="I751" s="11">
        <f>IF($U751="","",INDEX('Per Line'!$Q$2:$Q$3001,$U751))</f>
        <v/>
      </c>
      <c r="J751">
        <f>IF($U751="","",INDEX('Per Line'!$R$2:$R$3001,$U751)&amp;"")</f>
        <v/>
      </c>
      <c r="K751">
        <f>IF($U751="","",Settings!$C$7)</f>
        <v/>
      </c>
      <c r="L751" s="7">
        <f>IF($U751="","",SUMIFS('Per Line'!$N$2:$N$3001,'Per Line'!$A$2:$A$3001,$A751,'Per Line'!$W$2:$W$3001,0))</f>
        <v/>
      </c>
      <c r="M751" s="7">
        <f>IF($U751="","",L751*K751)</f>
        <v/>
      </c>
      <c r="N751">
        <f>IF($U751="","",Settings!$C$6)</f>
        <v/>
      </c>
      <c r="O751" s="7">
        <f>IF($U751="","",SUMIFS('Per Line'!$N$2:$N$3001,'Per Line'!$A$2:$A$3001,$A751,'Per Line'!$W$2:$W$3001,1))</f>
        <v/>
      </c>
      <c r="P751" s="7">
        <f>IF($U751="","",O751*N751)</f>
        <v/>
      </c>
      <c r="Q751" s="7">
        <f>IF($U751="","",P751+M751)</f>
        <v/>
      </c>
      <c r="R751" s="7">
        <f>IF($U751="","",S751-Q751)</f>
        <v/>
      </c>
      <c r="S751" s="7">
        <f>IF($U751="","",L751+O751)</f>
        <v/>
      </c>
      <c r="T751" s="7">
        <f>IF($U751="","",S751-Q751-G751)</f>
        <v/>
      </c>
      <c r="U751" s="13">
        <f>IF(ROWS($U$2:$U751)&lt;=MAX('Per Line'!$V$2:$V$3001),MATCH(ROWS($U$2:$U751),'Per Line'!$V$2:$V$3001,0),"")</f>
        <v/>
      </c>
    </row>
    <row r="752">
      <c r="A752">
        <f>IF($U752="","",INDEX('Per Line'!$A$2:$A$3001,$U752)&amp;"")</f>
        <v/>
      </c>
      <c r="B752" s="12" t="n"/>
      <c r="C752">
        <f>IF($U752="","",INDEX('Per Line'!$B$2:$B$3001,$U752)&amp;"")</f>
        <v/>
      </c>
      <c r="D752">
        <f>IF($U752="","",INDEX('Per Line'!$C$2:$C$3001,$U752)&amp;"")</f>
        <v/>
      </c>
      <c r="E752">
        <f>IF($U752="","",INDEX('Per Line'!$D$2:$D$3001,$U752)&amp;"")</f>
        <v/>
      </c>
      <c r="F752">
        <f>IF($U752="","",INDEX('Per Line'!$E$2:$E$3001,$U752))</f>
        <v/>
      </c>
      <c r="G752" s="7">
        <f>IF($U752="","",F752*S752/100)</f>
        <v/>
      </c>
      <c r="H752">
        <f>IF($U752="","",INDEX('Per Line'!$O$2:$O$3001,$U752)&amp;"")</f>
        <v/>
      </c>
      <c r="I752" s="11">
        <f>IF($U752="","",INDEX('Per Line'!$Q$2:$Q$3001,$U752))</f>
        <v/>
      </c>
      <c r="J752">
        <f>IF($U752="","",INDEX('Per Line'!$R$2:$R$3001,$U752)&amp;"")</f>
        <v/>
      </c>
      <c r="K752">
        <f>IF($U752="","",Settings!$C$7)</f>
        <v/>
      </c>
      <c r="L752" s="7">
        <f>IF($U752="","",SUMIFS('Per Line'!$N$2:$N$3001,'Per Line'!$A$2:$A$3001,$A752,'Per Line'!$W$2:$W$3001,0))</f>
        <v/>
      </c>
      <c r="M752" s="7">
        <f>IF($U752="","",L752*K752)</f>
        <v/>
      </c>
      <c r="N752">
        <f>IF($U752="","",Settings!$C$6)</f>
        <v/>
      </c>
      <c r="O752" s="7">
        <f>IF($U752="","",SUMIFS('Per Line'!$N$2:$N$3001,'Per Line'!$A$2:$A$3001,$A752,'Per Line'!$W$2:$W$3001,1))</f>
        <v/>
      </c>
      <c r="P752" s="7">
        <f>IF($U752="","",O752*N752)</f>
        <v/>
      </c>
      <c r="Q752" s="7">
        <f>IF($U752="","",P752+M752)</f>
        <v/>
      </c>
      <c r="R752" s="7">
        <f>IF($U752="","",S752-Q752)</f>
        <v/>
      </c>
      <c r="S752" s="7">
        <f>IF($U752="","",L752+O752)</f>
        <v/>
      </c>
      <c r="T752" s="7">
        <f>IF($U752="","",S752-Q752-G752)</f>
        <v/>
      </c>
      <c r="U752" s="13">
        <f>IF(ROWS($U$2:$U752)&lt;=MAX('Per Line'!$V$2:$V$3001),MATCH(ROWS($U$2:$U752),'Per Line'!$V$2:$V$3001,0),"")</f>
        <v/>
      </c>
    </row>
    <row r="753">
      <c r="A753">
        <f>IF($U753="","",INDEX('Per Line'!$A$2:$A$3001,$U753)&amp;"")</f>
        <v/>
      </c>
      <c r="B753" s="12" t="n"/>
      <c r="C753">
        <f>IF($U753="","",INDEX('Per Line'!$B$2:$B$3001,$U753)&amp;"")</f>
        <v/>
      </c>
      <c r="D753">
        <f>IF($U753="","",INDEX('Per Line'!$C$2:$C$3001,$U753)&amp;"")</f>
        <v/>
      </c>
      <c r="E753">
        <f>IF($U753="","",INDEX('Per Line'!$D$2:$D$3001,$U753)&amp;"")</f>
        <v/>
      </c>
      <c r="F753">
        <f>IF($U753="","",INDEX('Per Line'!$E$2:$E$3001,$U753))</f>
        <v/>
      </c>
      <c r="G753" s="7">
        <f>IF($U753="","",F753*S753/100)</f>
        <v/>
      </c>
      <c r="H753">
        <f>IF($U753="","",INDEX('Per Line'!$O$2:$O$3001,$U753)&amp;"")</f>
        <v/>
      </c>
      <c r="I753" s="11">
        <f>IF($U753="","",INDEX('Per Line'!$Q$2:$Q$3001,$U753))</f>
        <v/>
      </c>
      <c r="J753">
        <f>IF($U753="","",INDEX('Per Line'!$R$2:$R$3001,$U753)&amp;"")</f>
        <v/>
      </c>
      <c r="K753">
        <f>IF($U753="","",Settings!$C$7)</f>
        <v/>
      </c>
      <c r="L753" s="7">
        <f>IF($U753="","",SUMIFS('Per Line'!$N$2:$N$3001,'Per Line'!$A$2:$A$3001,$A753,'Per Line'!$W$2:$W$3001,0))</f>
        <v/>
      </c>
      <c r="M753" s="7">
        <f>IF($U753="","",L753*K753)</f>
        <v/>
      </c>
      <c r="N753">
        <f>IF($U753="","",Settings!$C$6)</f>
        <v/>
      </c>
      <c r="O753" s="7">
        <f>IF($U753="","",SUMIFS('Per Line'!$N$2:$N$3001,'Per Line'!$A$2:$A$3001,$A753,'Per Line'!$W$2:$W$3001,1))</f>
        <v/>
      </c>
      <c r="P753" s="7">
        <f>IF($U753="","",O753*N753)</f>
        <v/>
      </c>
      <c r="Q753" s="7">
        <f>IF($U753="","",P753+M753)</f>
        <v/>
      </c>
      <c r="R753" s="7">
        <f>IF($U753="","",S753-Q753)</f>
        <v/>
      </c>
      <c r="S753" s="7">
        <f>IF($U753="","",L753+O753)</f>
        <v/>
      </c>
      <c r="T753" s="7">
        <f>IF($U753="","",S753-Q753-G753)</f>
        <v/>
      </c>
      <c r="U753" s="13">
        <f>IF(ROWS($U$2:$U753)&lt;=MAX('Per Line'!$V$2:$V$3001),MATCH(ROWS($U$2:$U753),'Per Line'!$V$2:$V$3001,0),"")</f>
        <v/>
      </c>
    </row>
    <row r="754">
      <c r="A754">
        <f>IF($U754="","",INDEX('Per Line'!$A$2:$A$3001,$U754)&amp;"")</f>
        <v/>
      </c>
      <c r="B754" s="12" t="n"/>
      <c r="C754">
        <f>IF($U754="","",INDEX('Per Line'!$B$2:$B$3001,$U754)&amp;"")</f>
        <v/>
      </c>
      <c r="D754">
        <f>IF($U754="","",INDEX('Per Line'!$C$2:$C$3001,$U754)&amp;"")</f>
        <v/>
      </c>
      <c r="E754">
        <f>IF($U754="","",INDEX('Per Line'!$D$2:$D$3001,$U754)&amp;"")</f>
        <v/>
      </c>
      <c r="F754">
        <f>IF($U754="","",INDEX('Per Line'!$E$2:$E$3001,$U754))</f>
        <v/>
      </c>
      <c r="G754" s="7">
        <f>IF($U754="","",F754*S754/100)</f>
        <v/>
      </c>
      <c r="H754">
        <f>IF($U754="","",INDEX('Per Line'!$O$2:$O$3001,$U754)&amp;"")</f>
        <v/>
      </c>
      <c r="I754" s="11">
        <f>IF($U754="","",INDEX('Per Line'!$Q$2:$Q$3001,$U754))</f>
        <v/>
      </c>
      <c r="J754">
        <f>IF($U754="","",INDEX('Per Line'!$R$2:$R$3001,$U754)&amp;"")</f>
        <v/>
      </c>
      <c r="K754">
        <f>IF($U754="","",Settings!$C$7)</f>
        <v/>
      </c>
      <c r="L754" s="7">
        <f>IF($U754="","",SUMIFS('Per Line'!$N$2:$N$3001,'Per Line'!$A$2:$A$3001,$A754,'Per Line'!$W$2:$W$3001,0))</f>
        <v/>
      </c>
      <c r="M754" s="7">
        <f>IF($U754="","",L754*K754)</f>
        <v/>
      </c>
      <c r="N754">
        <f>IF($U754="","",Settings!$C$6)</f>
        <v/>
      </c>
      <c r="O754" s="7">
        <f>IF($U754="","",SUMIFS('Per Line'!$N$2:$N$3001,'Per Line'!$A$2:$A$3001,$A754,'Per Line'!$W$2:$W$3001,1))</f>
        <v/>
      </c>
      <c r="P754" s="7">
        <f>IF($U754="","",O754*N754)</f>
        <v/>
      </c>
      <c r="Q754" s="7">
        <f>IF($U754="","",P754+M754)</f>
        <v/>
      </c>
      <c r="R754" s="7">
        <f>IF($U754="","",S754-Q754)</f>
        <v/>
      </c>
      <c r="S754" s="7">
        <f>IF($U754="","",L754+O754)</f>
        <v/>
      </c>
      <c r="T754" s="7">
        <f>IF($U754="","",S754-Q754-G754)</f>
        <v/>
      </c>
      <c r="U754" s="13">
        <f>IF(ROWS($U$2:$U754)&lt;=MAX('Per Line'!$V$2:$V$3001),MATCH(ROWS($U$2:$U754),'Per Line'!$V$2:$V$3001,0),"")</f>
        <v/>
      </c>
    </row>
    <row r="755">
      <c r="A755">
        <f>IF($U755="","",INDEX('Per Line'!$A$2:$A$3001,$U755)&amp;"")</f>
        <v/>
      </c>
      <c r="B755" s="12" t="n"/>
      <c r="C755">
        <f>IF($U755="","",INDEX('Per Line'!$B$2:$B$3001,$U755)&amp;"")</f>
        <v/>
      </c>
      <c r="D755">
        <f>IF($U755="","",INDEX('Per Line'!$C$2:$C$3001,$U755)&amp;"")</f>
        <v/>
      </c>
      <c r="E755">
        <f>IF($U755="","",INDEX('Per Line'!$D$2:$D$3001,$U755)&amp;"")</f>
        <v/>
      </c>
      <c r="F755">
        <f>IF($U755="","",INDEX('Per Line'!$E$2:$E$3001,$U755))</f>
        <v/>
      </c>
      <c r="G755" s="7">
        <f>IF($U755="","",F755*S755/100)</f>
        <v/>
      </c>
      <c r="H755">
        <f>IF($U755="","",INDEX('Per Line'!$O$2:$O$3001,$U755)&amp;"")</f>
        <v/>
      </c>
      <c r="I755" s="11">
        <f>IF($U755="","",INDEX('Per Line'!$Q$2:$Q$3001,$U755))</f>
        <v/>
      </c>
      <c r="J755">
        <f>IF($U755="","",INDEX('Per Line'!$R$2:$R$3001,$U755)&amp;"")</f>
        <v/>
      </c>
      <c r="K755">
        <f>IF($U755="","",Settings!$C$7)</f>
        <v/>
      </c>
      <c r="L755" s="7">
        <f>IF($U755="","",SUMIFS('Per Line'!$N$2:$N$3001,'Per Line'!$A$2:$A$3001,$A755,'Per Line'!$W$2:$W$3001,0))</f>
        <v/>
      </c>
      <c r="M755" s="7">
        <f>IF($U755="","",L755*K755)</f>
        <v/>
      </c>
      <c r="N755">
        <f>IF($U755="","",Settings!$C$6)</f>
        <v/>
      </c>
      <c r="O755" s="7">
        <f>IF($U755="","",SUMIFS('Per Line'!$N$2:$N$3001,'Per Line'!$A$2:$A$3001,$A755,'Per Line'!$W$2:$W$3001,1))</f>
        <v/>
      </c>
      <c r="P755" s="7">
        <f>IF($U755="","",O755*N755)</f>
        <v/>
      </c>
      <c r="Q755" s="7">
        <f>IF($U755="","",P755+M755)</f>
        <v/>
      </c>
      <c r="R755" s="7">
        <f>IF($U755="","",S755-Q755)</f>
        <v/>
      </c>
      <c r="S755" s="7">
        <f>IF($U755="","",L755+O755)</f>
        <v/>
      </c>
      <c r="T755" s="7">
        <f>IF($U755="","",S755-Q755-G755)</f>
        <v/>
      </c>
      <c r="U755" s="13">
        <f>IF(ROWS($U$2:$U755)&lt;=MAX('Per Line'!$V$2:$V$3001),MATCH(ROWS($U$2:$U755),'Per Line'!$V$2:$V$3001,0),"")</f>
        <v/>
      </c>
    </row>
    <row r="756">
      <c r="A756">
        <f>IF($U756="","",INDEX('Per Line'!$A$2:$A$3001,$U756)&amp;"")</f>
        <v/>
      </c>
      <c r="B756" s="12" t="n"/>
      <c r="C756">
        <f>IF($U756="","",INDEX('Per Line'!$B$2:$B$3001,$U756)&amp;"")</f>
        <v/>
      </c>
      <c r="D756">
        <f>IF($U756="","",INDEX('Per Line'!$C$2:$C$3001,$U756)&amp;"")</f>
        <v/>
      </c>
      <c r="E756">
        <f>IF($U756="","",INDEX('Per Line'!$D$2:$D$3001,$U756)&amp;"")</f>
        <v/>
      </c>
      <c r="F756">
        <f>IF($U756="","",INDEX('Per Line'!$E$2:$E$3001,$U756))</f>
        <v/>
      </c>
      <c r="G756" s="7">
        <f>IF($U756="","",F756*S756/100)</f>
        <v/>
      </c>
      <c r="H756">
        <f>IF($U756="","",INDEX('Per Line'!$O$2:$O$3001,$U756)&amp;"")</f>
        <v/>
      </c>
      <c r="I756" s="11">
        <f>IF($U756="","",INDEX('Per Line'!$Q$2:$Q$3001,$U756))</f>
        <v/>
      </c>
      <c r="J756">
        <f>IF($U756="","",INDEX('Per Line'!$R$2:$R$3001,$U756)&amp;"")</f>
        <v/>
      </c>
      <c r="K756">
        <f>IF($U756="","",Settings!$C$7)</f>
        <v/>
      </c>
      <c r="L756" s="7">
        <f>IF($U756="","",SUMIFS('Per Line'!$N$2:$N$3001,'Per Line'!$A$2:$A$3001,$A756,'Per Line'!$W$2:$W$3001,0))</f>
        <v/>
      </c>
      <c r="M756" s="7">
        <f>IF($U756="","",L756*K756)</f>
        <v/>
      </c>
      <c r="N756">
        <f>IF($U756="","",Settings!$C$6)</f>
        <v/>
      </c>
      <c r="O756" s="7">
        <f>IF($U756="","",SUMIFS('Per Line'!$N$2:$N$3001,'Per Line'!$A$2:$A$3001,$A756,'Per Line'!$W$2:$W$3001,1))</f>
        <v/>
      </c>
      <c r="P756" s="7">
        <f>IF($U756="","",O756*N756)</f>
        <v/>
      </c>
      <c r="Q756" s="7">
        <f>IF($U756="","",P756+M756)</f>
        <v/>
      </c>
      <c r="R756" s="7">
        <f>IF($U756="","",S756-Q756)</f>
        <v/>
      </c>
      <c r="S756" s="7">
        <f>IF($U756="","",L756+O756)</f>
        <v/>
      </c>
      <c r="T756" s="7">
        <f>IF($U756="","",S756-Q756-G756)</f>
        <v/>
      </c>
      <c r="U756" s="13">
        <f>IF(ROWS($U$2:$U756)&lt;=MAX('Per Line'!$V$2:$V$3001),MATCH(ROWS($U$2:$U756),'Per Line'!$V$2:$V$3001,0),"")</f>
        <v/>
      </c>
    </row>
    <row r="757">
      <c r="A757">
        <f>IF($U757="","",INDEX('Per Line'!$A$2:$A$3001,$U757)&amp;"")</f>
        <v/>
      </c>
      <c r="B757" s="12" t="n"/>
      <c r="C757">
        <f>IF($U757="","",INDEX('Per Line'!$B$2:$B$3001,$U757)&amp;"")</f>
        <v/>
      </c>
      <c r="D757">
        <f>IF($U757="","",INDEX('Per Line'!$C$2:$C$3001,$U757)&amp;"")</f>
        <v/>
      </c>
      <c r="E757">
        <f>IF($U757="","",INDEX('Per Line'!$D$2:$D$3001,$U757)&amp;"")</f>
        <v/>
      </c>
      <c r="F757">
        <f>IF($U757="","",INDEX('Per Line'!$E$2:$E$3001,$U757))</f>
        <v/>
      </c>
      <c r="G757" s="7">
        <f>IF($U757="","",F757*S757/100)</f>
        <v/>
      </c>
      <c r="H757">
        <f>IF($U757="","",INDEX('Per Line'!$O$2:$O$3001,$U757)&amp;"")</f>
        <v/>
      </c>
      <c r="I757" s="11">
        <f>IF($U757="","",INDEX('Per Line'!$Q$2:$Q$3001,$U757))</f>
        <v/>
      </c>
      <c r="J757">
        <f>IF($U757="","",INDEX('Per Line'!$R$2:$R$3001,$U757)&amp;"")</f>
        <v/>
      </c>
      <c r="K757">
        <f>IF($U757="","",Settings!$C$7)</f>
        <v/>
      </c>
      <c r="L757" s="7">
        <f>IF($U757="","",SUMIFS('Per Line'!$N$2:$N$3001,'Per Line'!$A$2:$A$3001,$A757,'Per Line'!$W$2:$W$3001,0))</f>
        <v/>
      </c>
      <c r="M757" s="7">
        <f>IF($U757="","",L757*K757)</f>
        <v/>
      </c>
      <c r="N757">
        <f>IF($U757="","",Settings!$C$6)</f>
        <v/>
      </c>
      <c r="O757" s="7">
        <f>IF($U757="","",SUMIFS('Per Line'!$N$2:$N$3001,'Per Line'!$A$2:$A$3001,$A757,'Per Line'!$W$2:$W$3001,1))</f>
        <v/>
      </c>
      <c r="P757" s="7">
        <f>IF($U757="","",O757*N757)</f>
        <v/>
      </c>
      <c r="Q757" s="7">
        <f>IF($U757="","",P757+M757)</f>
        <v/>
      </c>
      <c r="R757" s="7">
        <f>IF($U757="","",S757-Q757)</f>
        <v/>
      </c>
      <c r="S757" s="7">
        <f>IF($U757="","",L757+O757)</f>
        <v/>
      </c>
      <c r="T757" s="7">
        <f>IF($U757="","",S757-Q757-G757)</f>
        <v/>
      </c>
      <c r="U757" s="13">
        <f>IF(ROWS($U$2:$U757)&lt;=MAX('Per Line'!$V$2:$V$3001),MATCH(ROWS($U$2:$U757),'Per Line'!$V$2:$V$3001,0),"")</f>
        <v/>
      </c>
    </row>
    <row r="758">
      <c r="A758">
        <f>IF($U758="","",INDEX('Per Line'!$A$2:$A$3001,$U758)&amp;"")</f>
        <v/>
      </c>
      <c r="B758" s="12" t="n"/>
      <c r="C758">
        <f>IF($U758="","",INDEX('Per Line'!$B$2:$B$3001,$U758)&amp;"")</f>
        <v/>
      </c>
      <c r="D758">
        <f>IF($U758="","",INDEX('Per Line'!$C$2:$C$3001,$U758)&amp;"")</f>
        <v/>
      </c>
      <c r="E758">
        <f>IF($U758="","",INDEX('Per Line'!$D$2:$D$3001,$U758)&amp;"")</f>
        <v/>
      </c>
      <c r="F758">
        <f>IF($U758="","",INDEX('Per Line'!$E$2:$E$3001,$U758))</f>
        <v/>
      </c>
      <c r="G758" s="7">
        <f>IF($U758="","",F758*S758/100)</f>
        <v/>
      </c>
      <c r="H758">
        <f>IF($U758="","",INDEX('Per Line'!$O$2:$O$3001,$U758)&amp;"")</f>
        <v/>
      </c>
      <c r="I758" s="11">
        <f>IF($U758="","",INDEX('Per Line'!$Q$2:$Q$3001,$U758))</f>
        <v/>
      </c>
      <c r="J758">
        <f>IF($U758="","",INDEX('Per Line'!$R$2:$R$3001,$U758)&amp;"")</f>
        <v/>
      </c>
      <c r="K758">
        <f>IF($U758="","",Settings!$C$7)</f>
        <v/>
      </c>
      <c r="L758" s="7">
        <f>IF($U758="","",SUMIFS('Per Line'!$N$2:$N$3001,'Per Line'!$A$2:$A$3001,$A758,'Per Line'!$W$2:$W$3001,0))</f>
        <v/>
      </c>
      <c r="M758" s="7">
        <f>IF($U758="","",L758*K758)</f>
        <v/>
      </c>
      <c r="N758">
        <f>IF($U758="","",Settings!$C$6)</f>
        <v/>
      </c>
      <c r="O758" s="7">
        <f>IF($U758="","",SUMIFS('Per Line'!$N$2:$N$3001,'Per Line'!$A$2:$A$3001,$A758,'Per Line'!$W$2:$W$3001,1))</f>
        <v/>
      </c>
      <c r="P758" s="7">
        <f>IF($U758="","",O758*N758)</f>
        <v/>
      </c>
      <c r="Q758" s="7">
        <f>IF($U758="","",P758+M758)</f>
        <v/>
      </c>
      <c r="R758" s="7">
        <f>IF($U758="","",S758-Q758)</f>
        <v/>
      </c>
      <c r="S758" s="7">
        <f>IF($U758="","",L758+O758)</f>
        <v/>
      </c>
      <c r="T758" s="7">
        <f>IF($U758="","",S758-Q758-G758)</f>
        <v/>
      </c>
      <c r="U758" s="13">
        <f>IF(ROWS($U$2:$U758)&lt;=MAX('Per Line'!$V$2:$V$3001),MATCH(ROWS($U$2:$U758),'Per Line'!$V$2:$V$3001,0),"")</f>
        <v/>
      </c>
    </row>
    <row r="759">
      <c r="A759">
        <f>IF($U759="","",INDEX('Per Line'!$A$2:$A$3001,$U759)&amp;"")</f>
        <v/>
      </c>
      <c r="B759" s="12" t="n"/>
      <c r="C759">
        <f>IF($U759="","",INDEX('Per Line'!$B$2:$B$3001,$U759)&amp;"")</f>
        <v/>
      </c>
      <c r="D759">
        <f>IF($U759="","",INDEX('Per Line'!$C$2:$C$3001,$U759)&amp;"")</f>
        <v/>
      </c>
      <c r="E759">
        <f>IF($U759="","",INDEX('Per Line'!$D$2:$D$3001,$U759)&amp;"")</f>
        <v/>
      </c>
      <c r="F759">
        <f>IF($U759="","",INDEX('Per Line'!$E$2:$E$3001,$U759))</f>
        <v/>
      </c>
      <c r="G759" s="7">
        <f>IF($U759="","",F759*S759/100)</f>
        <v/>
      </c>
      <c r="H759">
        <f>IF($U759="","",INDEX('Per Line'!$O$2:$O$3001,$U759)&amp;"")</f>
        <v/>
      </c>
      <c r="I759" s="11">
        <f>IF($U759="","",INDEX('Per Line'!$Q$2:$Q$3001,$U759))</f>
        <v/>
      </c>
      <c r="J759">
        <f>IF($U759="","",INDEX('Per Line'!$R$2:$R$3001,$U759)&amp;"")</f>
        <v/>
      </c>
      <c r="K759">
        <f>IF($U759="","",Settings!$C$7)</f>
        <v/>
      </c>
      <c r="L759" s="7">
        <f>IF($U759="","",SUMIFS('Per Line'!$N$2:$N$3001,'Per Line'!$A$2:$A$3001,$A759,'Per Line'!$W$2:$W$3001,0))</f>
        <v/>
      </c>
      <c r="M759" s="7">
        <f>IF($U759="","",L759*K759)</f>
        <v/>
      </c>
      <c r="N759">
        <f>IF($U759="","",Settings!$C$6)</f>
        <v/>
      </c>
      <c r="O759" s="7">
        <f>IF($U759="","",SUMIFS('Per Line'!$N$2:$N$3001,'Per Line'!$A$2:$A$3001,$A759,'Per Line'!$W$2:$W$3001,1))</f>
        <v/>
      </c>
      <c r="P759" s="7">
        <f>IF($U759="","",O759*N759)</f>
        <v/>
      </c>
      <c r="Q759" s="7">
        <f>IF($U759="","",P759+M759)</f>
        <v/>
      </c>
      <c r="R759" s="7">
        <f>IF($U759="","",S759-Q759)</f>
        <v/>
      </c>
      <c r="S759" s="7">
        <f>IF($U759="","",L759+O759)</f>
        <v/>
      </c>
      <c r="T759" s="7">
        <f>IF($U759="","",S759-Q759-G759)</f>
        <v/>
      </c>
      <c r="U759" s="13">
        <f>IF(ROWS($U$2:$U759)&lt;=MAX('Per Line'!$V$2:$V$3001),MATCH(ROWS($U$2:$U759),'Per Line'!$V$2:$V$3001,0),"")</f>
        <v/>
      </c>
    </row>
    <row r="760">
      <c r="A760">
        <f>IF($U760="","",INDEX('Per Line'!$A$2:$A$3001,$U760)&amp;"")</f>
        <v/>
      </c>
      <c r="B760" s="12" t="n"/>
      <c r="C760">
        <f>IF($U760="","",INDEX('Per Line'!$B$2:$B$3001,$U760)&amp;"")</f>
        <v/>
      </c>
      <c r="D760">
        <f>IF($U760="","",INDEX('Per Line'!$C$2:$C$3001,$U760)&amp;"")</f>
        <v/>
      </c>
      <c r="E760">
        <f>IF($U760="","",INDEX('Per Line'!$D$2:$D$3001,$U760)&amp;"")</f>
        <v/>
      </c>
      <c r="F760">
        <f>IF($U760="","",INDEX('Per Line'!$E$2:$E$3001,$U760))</f>
        <v/>
      </c>
      <c r="G760" s="7">
        <f>IF($U760="","",F760*S760/100)</f>
        <v/>
      </c>
      <c r="H760">
        <f>IF($U760="","",INDEX('Per Line'!$O$2:$O$3001,$U760)&amp;"")</f>
        <v/>
      </c>
      <c r="I760" s="11">
        <f>IF($U760="","",INDEX('Per Line'!$Q$2:$Q$3001,$U760))</f>
        <v/>
      </c>
      <c r="J760">
        <f>IF($U760="","",INDEX('Per Line'!$R$2:$R$3001,$U760)&amp;"")</f>
        <v/>
      </c>
      <c r="K760">
        <f>IF($U760="","",Settings!$C$7)</f>
        <v/>
      </c>
      <c r="L760" s="7">
        <f>IF($U760="","",SUMIFS('Per Line'!$N$2:$N$3001,'Per Line'!$A$2:$A$3001,$A760,'Per Line'!$W$2:$W$3001,0))</f>
        <v/>
      </c>
      <c r="M760" s="7">
        <f>IF($U760="","",L760*K760)</f>
        <v/>
      </c>
      <c r="N760">
        <f>IF($U760="","",Settings!$C$6)</f>
        <v/>
      </c>
      <c r="O760" s="7">
        <f>IF($U760="","",SUMIFS('Per Line'!$N$2:$N$3001,'Per Line'!$A$2:$A$3001,$A760,'Per Line'!$W$2:$W$3001,1))</f>
        <v/>
      </c>
      <c r="P760" s="7">
        <f>IF($U760="","",O760*N760)</f>
        <v/>
      </c>
      <c r="Q760" s="7">
        <f>IF($U760="","",P760+M760)</f>
        <v/>
      </c>
      <c r="R760" s="7">
        <f>IF($U760="","",S760-Q760)</f>
        <v/>
      </c>
      <c r="S760" s="7">
        <f>IF($U760="","",L760+O760)</f>
        <v/>
      </c>
      <c r="T760" s="7">
        <f>IF($U760="","",S760-Q760-G760)</f>
        <v/>
      </c>
      <c r="U760" s="13">
        <f>IF(ROWS($U$2:$U760)&lt;=MAX('Per Line'!$V$2:$V$3001),MATCH(ROWS($U$2:$U760),'Per Line'!$V$2:$V$3001,0),"")</f>
        <v/>
      </c>
    </row>
    <row r="761">
      <c r="A761">
        <f>IF($U761="","",INDEX('Per Line'!$A$2:$A$3001,$U761)&amp;"")</f>
        <v/>
      </c>
      <c r="B761" s="12" t="n"/>
      <c r="C761">
        <f>IF($U761="","",INDEX('Per Line'!$B$2:$B$3001,$U761)&amp;"")</f>
        <v/>
      </c>
      <c r="D761">
        <f>IF($U761="","",INDEX('Per Line'!$C$2:$C$3001,$U761)&amp;"")</f>
        <v/>
      </c>
      <c r="E761">
        <f>IF($U761="","",INDEX('Per Line'!$D$2:$D$3001,$U761)&amp;"")</f>
        <v/>
      </c>
      <c r="F761">
        <f>IF($U761="","",INDEX('Per Line'!$E$2:$E$3001,$U761))</f>
        <v/>
      </c>
      <c r="G761" s="7">
        <f>IF($U761="","",F761*S761/100)</f>
        <v/>
      </c>
      <c r="H761">
        <f>IF($U761="","",INDEX('Per Line'!$O$2:$O$3001,$U761)&amp;"")</f>
        <v/>
      </c>
      <c r="I761" s="11">
        <f>IF($U761="","",INDEX('Per Line'!$Q$2:$Q$3001,$U761))</f>
        <v/>
      </c>
      <c r="J761">
        <f>IF($U761="","",INDEX('Per Line'!$R$2:$R$3001,$U761)&amp;"")</f>
        <v/>
      </c>
      <c r="K761">
        <f>IF($U761="","",Settings!$C$7)</f>
        <v/>
      </c>
      <c r="L761" s="7">
        <f>IF($U761="","",SUMIFS('Per Line'!$N$2:$N$3001,'Per Line'!$A$2:$A$3001,$A761,'Per Line'!$W$2:$W$3001,0))</f>
        <v/>
      </c>
      <c r="M761" s="7">
        <f>IF($U761="","",L761*K761)</f>
        <v/>
      </c>
      <c r="N761">
        <f>IF($U761="","",Settings!$C$6)</f>
        <v/>
      </c>
      <c r="O761" s="7">
        <f>IF($U761="","",SUMIFS('Per Line'!$N$2:$N$3001,'Per Line'!$A$2:$A$3001,$A761,'Per Line'!$W$2:$W$3001,1))</f>
        <v/>
      </c>
      <c r="P761" s="7">
        <f>IF($U761="","",O761*N761)</f>
        <v/>
      </c>
      <c r="Q761" s="7">
        <f>IF($U761="","",P761+M761)</f>
        <v/>
      </c>
      <c r="R761" s="7">
        <f>IF($U761="","",S761-Q761)</f>
        <v/>
      </c>
      <c r="S761" s="7">
        <f>IF($U761="","",L761+O761)</f>
        <v/>
      </c>
      <c r="T761" s="7">
        <f>IF($U761="","",S761-Q761-G761)</f>
        <v/>
      </c>
      <c r="U761" s="13">
        <f>IF(ROWS($U$2:$U761)&lt;=MAX('Per Line'!$V$2:$V$3001),MATCH(ROWS($U$2:$U761),'Per Line'!$V$2:$V$3001,0),"")</f>
        <v/>
      </c>
    </row>
    <row r="762">
      <c r="A762">
        <f>IF($U762="","",INDEX('Per Line'!$A$2:$A$3001,$U762)&amp;"")</f>
        <v/>
      </c>
      <c r="B762" s="12" t="n"/>
      <c r="C762">
        <f>IF($U762="","",INDEX('Per Line'!$B$2:$B$3001,$U762)&amp;"")</f>
        <v/>
      </c>
      <c r="D762">
        <f>IF($U762="","",INDEX('Per Line'!$C$2:$C$3001,$U762)&amp;"")</f>
        <v/>
      </c>
      <c r="E762">
        <f>IF($U762="","",INDEX('Per Line'!$D$2:$D$3001,$U762)&amp;"")</f>
        <v/>
      </c>
      <c r="F762">
        <f>IF($U762="","",INDEX('Per Line'!$E$2:$E$3001,$U762))</f>
        <v/>
      </c>
      <c r="G762" s="7">
        <f>IF($U762="","",F762*S762/100)</f>
        <v/>
      </c>
      <c r="H762">
        <f>IF($U762="","",INDEX('Per Line'!$O$2:$O$3001,$U762)&amp;"")</f>
        <v/>
      </c>
      <c r="I762" s="11">
        <f>IF($U762="","",INDEX('Per Line'!$Q$2:$Q$3001,$U762))</f>
        <v/>
      </c>
      <c r="J762">
        <f>IF($U762="","",INDEX('Per Line'!$R$2:$R$3001,$U762)&amp;"")</f>
        <v/>
      </c>
      <c r="K762">
        <f>IF($U762="","",Settings!$C$7)</f>
        <v/>
      </c>
      <c r="L762" s="7">
        <f>IF($U762="","",SUMIFS('Per Line'!$N$2:$N$3001,'Per Line'!$A$2:$A$3001,$A762,'Per Line'!$W$2:$W$3001,0))</f>
        <v/>
      </c>
      <c r="M762" s="7">
        <f>IF($U762="","",L762*K762)</f>
        <v/>
      </c>
      <c r="N762">
        <f>IF($U762="","",Settings!$C$6)</f>
        <v/>
      </c>
      <c r="O762" s="7">
        <f>IF($U762="","",SUMIFS('Per Line'!$N$2:$N$3001,'Per Line'!$A$2:$A$3001,$A762,'Per Line'!$W$2:$W$3001,1))</f>
        <v/>
      </c>
      <c r="P762" s="7">
        <f>IF($U762="","",O762*N762)</f>
        <v/>
      </c>
      <c r="Q762" s="7">
        <f>IF($U762="","",P762+M762)</f>
        <v/>
      </c>
      <c r="R762" s="7">
        <f>IF($U762="","",S762-Q762)</f>
        <v/>
      </c>
      <c r="S762" s="7">
        <f>IF($U762="","",L762+O762)</f>
        <v/>
      </c>
      <c r="T762" s="7">
        <f>IF($U762="","",S762-Q762-G762)</f>
        <v/>
      </c>
      <c r="U762" s="13">
        <f>IF(ROWS($U$2:$U762)&lt;=MAX('Per Line'!$V$2:$V$3001),MATCH(ROWS($U$2:$U762),'Per Line'!$V$2:$V$3001,0),"")</f>
        <v/>
      </c>
    </row>
    <row r="763">
      <c r="A763">
        <f>IF($U763="","",INDEX('Per Line'!$A$2:$A$3001,$U763)&amp;"")</f>
        <v/>
      </c>
      <c r="B763" s="12" t="n"/>
      <c r="C763">
        <f>IF($U763="","",INDEX('Per Line'!$B$2:$B$3001,$U763)&amp;"")</f>
        <v/>
      </c>
      <c r="D763">
        <f>IF($U763="","",INDEX('Per Line'!$C$2:$C$3001,$U763)&amp;"")</f>
        <v/>
      </c>
      <c r="E763">
        <f>IF($U763="","",INDEX('Per Line'!$D$2:$D$3001,$U763)&amp;"")</f>
        <v/>
      </c>
      <c r="F763">
        <f>IF($U763="","",INDEX('Per Line'!$E$2:$E$3001,$U763))</f>
        <v/>
      </c>
      <c r="G763" s="7">
        <f>IF($U763="","",F763*S763/100)</f>
        <v/>
      </c>
      <c r="H763">
        <f>IF($U763="","",INDEX('Per Line'!$O$2:$O$3001,$U763)&amp;"")</f>
        <v/>
      </c>
      <c r="I763" s="11">
        <f>IF($U763="","",INDEX('Per Line'!$Q$2:$Q$3001,$U763))</f>
        <v/>
      </c>
      <c r="J763">
        <f>IF($U763="","",INDEX('Per Line'!$R$2:$R$3001,$U763)&amp;"")</f>
        <v/>
      </c>
      <c r="K763">
        <f>IF($U763="","",Settings!$C$7)</f>
        <v/>
      </c>
      <c r="L763" s="7">
        <f>IF($U763="","",SUMIFS('Per Line'!$N$2:$N$3001,'Per Line'!$A$2:$A$3001,$A763,'Per Line'!$W$2:$W$3001,0))</f>
        <v/>
      </c>
      <c r="M763" s="7">
        <f>IF($U763="","",L763*K763)</f>
        <v/>
      </c>
      <c r="N763">
        <f>IF($U763="","",Settings!$C$6)</f>
        <v/>
      </c>
      <c r="O763" s="7">
        <f>IF($U763="","",SUMIFS('Per Line'!$N$2:$N$3001,'Per Line'!$A$2:$A$3001,$A763,'Per Line'!$W$2:$W$3001,1))</f>
        <v/>
      </c>
      <c r="P763" s="7">
        <f>IF($U763="","",O763*N763)</f>
        <v/>
      </c>
      <c r="Q763" s="7">
        <f>IF($U763="","",P763+M763)</f>
        <v/>
      </c>
      <c r="R763" s="7">
        <f>IF($U763="","",S763-Q763)</f>
        <v/>
      </c>
      <c r="S763" s="7">
        <f>IF($U763="","",L763+O763)</f>
        <v/>
      </c>
      <c r="T763" s="7">
        <f>IF($U763="","",S763-Q763-G763)</f>
        <v/>
      </c>
      <c r="U763" s="13">
        <f>IF(ROWS($U$2:$U763)&lt;=MAX('Per Line'!$V$2:$V$3001),MATCH(ROWS($U$2:$U763),'Per Line'!$V$2:$V$3001,0),"")</f>
        <v/>
      </c>
    </row>
    <row r="764">
      <c r="A764">
        <f>IF($U764="","",INDEX('Per Line'!$A$2:$A$3001,$U764)&amp;"")</f>
        <v/>
      </c>
      <c r="B764" s="12" t="n"/>
      <c r="C764">
        <f>IF($U764="","",INDEX('Per Line'!$B$2:$B$3001,$U764)&amp;"")</f>
        <v/>
      </c>
      <c r="D764">
        <f>IF($U764="","",INDEX('Per Line'!$C$2:$C$3001,$U764)&amp;"")</f>
        <v/>
      </c>
      <c r="E764">
        <f>IF($U764="","",INDEX('Per Line'!$D$2:$D$3001,$U764)&amp;"")</f>
        <v/>
      </c>
      <c r="F764">
        <f>IF($U764="","",INDEX('Per Line'!$E$2:$E$3001,$U764))</f>
        <v/>
      </c>
      <c r="G764" s="7">
        <f>IF($U764="","",F764*S764/100)</f>
        <v/>
      </c>
      <c r="H764">
        <f>IF($U764="","",INDEX('Per Line'!$O$2:$O$3001,$U764)&amp;"")</f>
        <v/>
      </c>
      <c r="I764" s="11">
        <f>IF($U764="","",INDEX('Per Line'!$Q$2:$Q$3001,$U764))</f>
        <v/>
      </c>
      <c r="J764">
        <f>IF($U764="","",INDEX('Per Line'!$R$2:$R$3001,$U764)&amp;"")</f>
        <v/>
      </c>
      <c r="K764">
        <f>IF($U764="","",Settings!$C$7)</f>
        <v/>
      </c>
      <c r="L764" s="7">
        <f>IF($U764="","",SUMIFS('Per Line'!$N$2:$N$3001,'Per Line'!$A$2:$A$3001,$A764,'Per Line'!$W$2:$W$3001,0))</f>
        <v/>
      </c>
      <c r="M764" s="7">
        <f>IF($U764="","",L764*K764)</f>
        <v/>
      </c>
      <c r="N764">
        <f>IF($U764="","",Settings!$C$6)</f>
        <v/>
      </c>
      <c r="O764" s="7">
        <f>IF($U764="","",SUMIFS('Per Line'!$N$2:$N$3001,'Per Line'!$A$2:$A$3001,$A764,'Per Line'!$W$2:$W$3001,1))</f>
        <v/>
      </c>
      <c r="P764" s="7">
        <f>IF($U764="","",O764*N764)</f>
        <v/>
      </c>
      <c r="Q764" s="7">
        <f>IF($U764="","",P764+M764)</f>
        <v/>
      </c>
      <c r="R764" s="7">
        <f>IF($U764="","",S764-Q764)</f>
        <v/>
      </c>
      <c r="S764" s="7">
        <f>IF($U764="","",L764+O764)</f>
        <v/>
      </c>
      <c r="T764" s="7">
        <f>IF($U764="","",S764-Q764-G764)</f>
        <v/>
      </c>
      <c r="U764" s="13">
        <f>IF(ROWS($U$2:$U764)&lt;=MAX('Per Line'!$V$2:$V$3001),MATCH(ROWS($U$2:$U764),'Per Line'!$V$2:$V$3001,0),"")</f>
        <v/>
      </c>
    </row>
    <row r="765">
      <c r="A765">
        <f>IF($U765="","",INDEX('Per Line'!$A$2:$A$3001,$U765)&amp;"")</f>
        <v/>
      </c>
      <c r="B765" s="12" t="n"/>
      <c r="C765">
        <f>IF($U765="","",INDEX('Per Line'!$B$2:$B$3001,$U765)&amp;"")</f>
        <v/>
      </c>
      <c r="D765">
        <f>IF($U765="","",INDEX('Per Line'!$C$2:$C$3001,$U765)&amp;"")</f>
        <v/>
      </c>
      <c r="E765">
        <f>IF($U765="","",INDEX('Per Line'!$D$2:$D$3001,$U765)&amp;"")</f>
        <v/>
      </c>
      <c r="F765">
        <f>IF($U765="","",INDEX('Per Line'!$E$2:$E$3001,$U765))</f>
        <v/>
      </c>
      <c r="G765" s="7">
        <f>IF($U765="","",F765*S765/100)</f>
        <v/>
      </c>
      <c r="H765">
        <f>IF($U765="","",INDEX('Per Line'!$O$2:$O$3001,$U765)&amp;"")</f>
        <v/>
      </c>
      <c r="I765" s="11">
        <f>IF($U765="","",INDEX('Per Line'!$Q$2:$Q$3001,$U765))</f>
        <v/>
      </c>
      <c r="J765">
        <f>IF($U765="","",INDEX('Per Line'!$R$2:$R$3001,$U765)&amp;"")</f>
        <v/>
      </c>
      <c r="K765">
        <f>IF($U765="","",Settings!$C$7)</f>
        <v/>
      </c>
      <c r="L765" s="7">
        <f>IF($U765="","",SUMIFS('Per Line'!$N$2:$N$3001,'Per Line'!$A$2:$A$3001,$A765,'Per Line'!$W$2:$W$3001,0))</f>
        <v/>
      </c>
      <c r="M765" s="7">
        <f>IF($U765="","",L765*K765)</f>
        <v/>
      </c>
      <c r="N765">
        <f>IF($U765="","",Settings!$C$6)</f>
        <v/>
      </c>
      <c r="O765" s="7">
        <f>IF($U765="","",SUMIFS('Per Line'!$N$2:$N$3001,'Per Line'!$A$2:$A$3001,$A765,'Per Line'!$W$2:$W$3001,1))</f>
        <v/>
      </c>
      <c r="P765" s="7">
        <f>IF($U765="","",O765*N765)</f>
        <v/>
      </c>
      <c r="Q765" s="7">
        <f>IF($U765="","",P765+M765)</f>
        <v/>
      </c>
      <c r="R765" s="7">
        <f>IF($U765="","",S765-Q765)</f>
        <v/>
      </c>
      <c r="S765" s="7">
        <f>IF($U765="","",L765+O765)</f>
        <v/>
      </c>
      <c r="T765" s="7">
        <f>IF($U765="","",S765-Q765-G765)</f>
        <v/>
      </c>
      <c r="U765" s="13">
        <f>IF(ROWS($U$2:$U765)&lt;=MAX('Per Line'!$V$2:$V$3001),MATCH(ROWS($U$2:$U765),'Per Line'!$V$2:$V$3001,0),"")</f>
        <v/>
      </c>
    </row>
    <row r="766">
      <c r="A766">
        <f>IF($U766="","",INDEX('Per Line'!$A$2:$A$3001,$U766)&amp;"")</f>
        <v/>
      </c>
      <c r="B766" s="12" t="n"/>
      <c r="C766">
        <f>IF($U766="","",INDEX('Per Line'!$B$2:$B$3001,$U766)&amp;"")</f>
        <v/>
      </c>
      <c r="D766">
        <f>IF($U766="","",INDEX('Per Line'!$C$2:$C$3001,$U766)&amp;"")</f>
        <v/>
      </c>
      <c r="E766">
        <f>IF($U766="","",INDEX('Per Line'!$D$2:$D$3001,$U766)&amp;"")</f>
        <v/>
      </c>
      <c r="F766">
        <f>IF($U766="","",INDEX('Per Line'!$E$2:$E$3001,$U766))</f>
        <v/>
      </c>
      <c r="G766" s="7">
        <f>IF($U766="","",F766*S766/100)</f>
        <v/>
      </c>
      <c r="H766">
        <f>IF($U766="","",INDEX('Per Line'!$O$2:$O$3001,$U766)&amp;"")</f>
        <v/>
      </c>
      <c r="I766" s="11">
        <f>IF($U766="","",INDEX('Per Line'!$Q$2:$Q$3001,$U766))</f>
        <v/>
      </c>
      <c r="J766">
        <f>IF($U766="","",INDEX('Per Line'!$R$2:$R$3001,$U766)&amp;"")</f>
        <v/>
      </c>
      <c r="K766">
        <f>IF($U766="","",Settings!$C$7)</f>
        <v/>
      </c>
      <c r="L766" s="7">
        <f>IF($U766="","",SUMIFS('Per Line'!$N$2:$N$3001,'Per Line'!$A$2:$A$3001,$A766,'Per Line'!$W$2:$W$3001,0))</f>
        <v/>
      </c>
      <c r="M766" s="7">
        <f>IF($U766="","",L766*K766)</f>
        <v/>
      </c>
      <c r="N766">
        <f>IF($U766="","",Settings!$C$6)</f>
        <v/>
      </c>
      <c r="O766" s="7">
        <f>IF($U766="","",SUMIFS('Per Line'!$N$2:$N$3001,'Per Line'!$A$2:$A$3001,$A766,'Per Line'!$W$2:$W$3001,1))</f>
        <v/>
      </c>
      <c r="P766" s="7">
        <f>IF($U766="","",O766*N766)</f>
        <v/>
      </c>
      <c r="Q766" s="7">
        <f>IF($U766="","",P766+M766)</f>
        <v/>
      </c>
      <c r="R766" s="7">
        <f>IF($U766="","",S766-Q766)</f>
        <v/>
      </c>
      <c r="S766" s="7">
        <f>IF($U766="","",L766+O766)</f>
        <v/>
      </c>
      <c r="T766" s="7">
        <f>IF($U766="","",S766-Q766-G766)</f>
        <v/>
      </c>
      <c r="U766" s="13">
        <f>IF(ROWS($U$2:$U766)&lt;=MAX('Per Line'!$V$2:$V$3001),MATCH(ROWS($U$2:$U766),'Per Line'!$V$2:$V$3001,0),"")</f>
        <v/>
      </c>
    </row>
    <row r="767">
      <c r="A767">
        <f>IF($U767="","",INDEX('Per Line'!$A$2:$A$3001,$U767)&amp;"")</f>
        <v/>
      </c>
      <c r="B767" s="12" t="n"/>
      <c r="C767">
        <f>IF($U767="","",INDEX('Per Line'!$B$2:$B$3001,$U767)&amp;"")</f>
        <v/>
      </c>
      <c r="D767">
        <f>IF($U767="","",INDEX('Per Line'!$C$2:$C$3001,$U767)&amp;"")</f>
        <v/>
      </c>
      <c r="E767">
        <f>IF($U767="","",INDEX('Per Line'!$D$2:$D$3001,$U767)&amp;"")</f>
        <v/>
      </c>
      <c r="F767">
        <f>IF($U767="","",INDEX('Per Line'!$E$2:$E$3001,$U767))</f>
        <v/>
      </c>
      <c r="G767" s="7">
        <f>IF($U767="","",F767*S767/100)</f>
        <v/>
      </c>
      <c r="H767">
        <f>IF($U767="","",INDEX('Per Line'!$O$2:$O$3001,$U767)&amp;"")</f>
        <v/>
      </c>
      <c r="I767" s="11">
        <f>IF($U767="","",INDEX('Per Line'!$Q$2:$Q$3001,$U767))</f>
        <v/>
      </c>
      <c r="J767">
        <f>IF($U767="","",INDEX('Per Line'!$R$2:$R$3001,$U767)&amp;"")</f>
        <v/>
      </c>
      <c r="K767">
        <f>IF($U767="","",Settings!$C$7)</f>
        <v/>
      </c>
      <c r="L767" s="7">
        <f>IF($U767="","",SUMIFS('Per Line'!$N$2:$N$3001,'Per Line'!$A$2:$A$3001,$A767,'Per Line'!$W$2:$W$3001,0))</f>
        <v/>
      </c>
      <c r="M767" s="7">
        <f>IF($U767="","",L767*K767)</f>
        <v/>
      </c>
      <c r="N767">
        <f>IF($U767="","",Settings!$C$6)</f>
        <v/>
      </c>
      <c r="O767" s="7">
        <f>IF($U767="","",SUMIFS('Per Line'!$N$2:$N$3001,'Per Line'!$A$2:$A$3001,$A767,'Per Line'!$W$2:$W$3001,1))</f>
        <v/>
      </c>
      <c r="P767" s="7">
        <f>IF($U767="","",O767*N767)</f>
        <v/>
      </c>
      <c r="Q767" s="7">
        <f>IF($U767="","",P767+M767)</f>
        <v/>
      </c>
      <c r="R767" s="7">
        <f>IF($U767="","",S767-Q767)</f>
        <v/>
      </c>
      <c r="S767" s="7">
        <f>IF($U767="","",L767+O767)</f>
        <v/>
      </c>
      <c r="T767" s="7">
        <f>IF($U767="","",S767-Q767-G767)</f>
        <v/>
      </c>
      <c r="U767" s="13">
        <f>IF(ROWS($U$2:$U767)&lt;=MAX('Per Line'!$V$2:$V$3001),MATCH(ROWS($U$2:$U767),'Per Line'!$V$2:$V$3001,0),"")</f>
        <v/>
      </c>
    </row>
    <row r="768">
      <c r="A768">
        <f>IF($U768="","",INDEX('Per Line'!$A$2:$A$3001,$U768)&amp;"")</f>
        <v/>
      </c>
      <c r="B768" s="12" t="n"/>
      <c r="C768">
        <f>IF($U768="","",INDEX('Per Line'!$B$2:$B$3001,$U768)&amp;"")</f>
        <v/>
      </c>
      <c r="D768">
        <f>IF($U768="","",INDEX('Per Line'!$C$2:$C$3001,$U768)&amp;"")</f>
        <v/>
      </c>
      <c r="E768">
        <f>IF($U768="","",INDEX('Per Line'!$D$2:$D$3001,$U768)&amp;"")</f>
        <v/>
      </c>
      <c r="F768">
        <f>IF($U768="","",INDEX('Per Line'!$E$2:$E$3001,$U768))</f>
        <v/>
      </c>
      <c r="G768" s="7">
        <f>IF($U768="","",F768*S768/100)</f>
        <v/>
      </c>
      <c r="H768">
        <f>IF($U768="","",INDEX('Per Line'!$O$2:$O$3001,$U768)&amp;"")</f>
        <v/>
      </c>
      <c r="I768" s="11">
        <f>IF($U768="","",INDEX('Per Line'!$Q$2:$Q$3001,$U768))</f>
        <v/>
      </c>
      <c r="J768">
        <f>IF($U768="","",INDEX('Per Line'!$R$2:$R$3001,$U768)&amp;"")</f>
        <v/>
      </c>
      <c r="K768">
        <f>IF($U768="","",Settings!$C$7)</f>
        <v/>
      </c>
      <c r="L768" s="7">
        <f>IF($U768="","",SUMIFS('Per Line'!$N$2:$N$3001,'Per Line'!$A$2:$A$3001,$A768,'Per Line'!$W$2:$W$3001,0))</f>
        <v/>
      </c>
      <c r="M768" s="7">
        <f>IF($U768="","",L768*K768)</f>
        <v/>
      </c>
      <c r="N768">
        <f>IF($U768="","",Settings!$C$6)</f>
        <v/>
      </c>
      <c r="O768" s="7">
        <f>IF($U768="","",SUMIFS('Per Line'!$N$2:$N$3001,'Per Line'!$A$2:$A$3001,$A768,'Per Line'!$W$2:$W$3001,1))</f>
        <v/>
      </c>
      <c r="P768" s="7">
        <f>IF($U768="","",O768*N768)</f>
        <v/>
      </c>
      <c r="Q768" s="7">
        <f>IF($U768="","",P768+M768)</f>
        <v/>
      </c>
      <c r="R768" s="7">
        <f>IF($U768="","",S768-Q768)</f>
        <v/>
      </c>
      <c r="S768" s="7">
        <f>IF($U768="","",L768+O768)</f>
        <v/>
      </c>
      <c r="T768" s="7">
        <f>IF($U768="","",S768-Q768-G768)</f>
        <v/>
      </c>
      <c r="U768" s="13">
        <f>IF(ROWS($U$2:$U768)&lt;=MAX('Per Line'!$V$2:$V$3001),MATCH(ROWS($U$2:$U768),'Per Line'!$V$2:$V$3001,0),"")</f>
        <v/>
      </c>
    </row>
    <row r="769">
      <c r="A769">
        <f>IF($U769="","",INDEX('Per Line'!$A$2:$A$3001,$U769)&amp;"")</f>
        <v/>
      </c>
      <c r="B769" s="12" t="n"/>
      <c r="C769">
        <f>IF($U769="","",INDEX('Per Line'!$B$2:$B$3001,$U769)&amp;"")</f>
        <v/>
      </c>
      <c r="D769">
        <f>IF($U769="","",INDEX('Per Line'!$C$2:$C$3001,$U769)&amp;"")</f>
        <v/>
      </c>
      <c r="E769">
        <f>IF($U769="","",INDEX('Per Line'!$D$2:$D$3001,$U769)&amp;"")</f>
        <v/>
      </c>
      <c r="F769">
        <f>IF($U769="","",INDEX('Per Line'!$E$2:$E$3001,$U769))</f>
        <v/>
      </c>
      <c r="G769" s="7">
        <f>IF($U769="","",F769*S769/100)</f>
        <v/>
      </c>
      <c r="H769">
        <f>IF($U769="","",INDEX('Per Line'!$O$2:$O$3001,$U769)&amp;"")</f>
        <v/>
      </c>
      <c r="I769" s="11">
        <f>IF($U769="","",INDEX('Per Line'!$Q$2:$Q$3001,$U769))</f>
        <v/>
      </c>
      <c r="J769">
        <f>IF($U769="","",INDEX('Per Line'!$R$2:$R$3001,$U769)&amp;"")</f>
        <v/>
      </c>
      <c r="K769">
        <f>IF($U769="","",Settings!$C$7)</f>
        <v/>
      </c>
      <c r="L769" s="7">
        <f>IF($U769="","",SUMIFS('Per Line'!$N$2:$N$3001,'Per Line'!$A$2:$A$3001,$A769,'Per Line'!$W$2:$W$3001,0))</f>
        <v/>
      </c>
      <c r="M769" s="7">
        <f>IF($U769="","",L769*K769)</f>
        <v/>
      </c>
      <c r="N769">
        <f>IF($U769="","",Settings!$C$6)</f>
        <v/>
      </c>
      <c r="O769" s="7">
        <f>IF($U769="","",SUMIFS('Per Line'!$N$2:$N$3001,'Per Line'!$A$2:$A$3001,$A769,'Per Line'!$W$2:$W$3001,1))</f>
        <v/>
      </c>
      <c r="P769" s="7">
        <f>IF($U769="","",O769*N769)</f>
        <v/>
      </c>
      <c r="Q769" s="7">
        <f>IF($U769="","",P769+M769)</f>
        <v/>
      </c>
      <c r="R769" s="7">
        <f>IF($U769="","",S769-Q769)</f>
        <v/>
      </c>
      <c r="S769" s="7">
        <f>IF($U769="","",L769+O769)</f>
        <v/>
      </c>
      <c r="T769" s="7">
        <f>IF($U769="","",S769-Q769-G769)</f>
        <v/>
      </c>
      <c r="U769" s="13">
        <f>IF(ROWS($U$2:$U769)&lt;=MAX('Per Line'!$V$2:$V$3001),MATCH(ROWS($U$2:$U769),'Per Line'!$V$2:$V$3001,0),"")</f>
        <v/>
      </c>
    </row>
    <row r="770">
      <c r="A770">
        <f>IF($U770="","",INDEX('Per Line'!$A$2:$A$3001,$U770)&amp;"")</f>
        <v/>
      </c>
      <c r="B770" s="12" t="n"/>
      <c r="C770">
        <f>IF($U770="","",INDEX('Per Line'!$B$2:$B$3001,$U770)&amp;"")</f>
        <v/>
      </c>
      <c r="D770">
        <f>IF($U770="","",INDEX('Per Line'!$C$2:$C$3001,$U770)&amp;"")</f>
        <v/>
      </c>
      <c r="E770">
        <f>IF($U770="","",INDEX('Per Line'!$D$2:$D$3001,$U770)&amp;"")</f>
        <v/>
      </c>
      <c r="F770">
        <f>IF($U770="","",INDEX('Per Line'!$E$2:$E$3001,$U770))</f>
        <v/>
      </c>
      <c r="G770" s="7">
        <f>IF($U770="","",F770*S770/100)</f>
        <v/>
      </c>
      <c r="H770">
        <f>IF($U770="","",INDEX('Per Line'!$O$2:$O$3001,$U770)&amp;"")</f>
        <v/>
      </c>
      <c r="I770" s="11">
        <f>IF($U770="","",INDEX('Per Line'!$Q$2:$Q$3001,$U770))</f>
        <v/>
      </c>
      <c r="J770">
        <f>IF($U770="","",INDEX('Per Line'!$R$2:$R$3001,$U770)&amp;"")</f>
        <v/>
      </c>
      <c r="K770">
        <f>IF($U770="","",Settings!$C$7)</f>
        <v/>
      </c>
      <c r="L770" s="7">
        <f>IF($U770="","",SUMIFS('Per Line'!$N$2:$N$3001,'Per Line'!$A$2:$A$3001,$A770,'Per Line'!$W$2:$W$3001,0))</f>
        <v/>
      </c>
      <c r="M770" s="7">
        <f>IF($U770="","",L770*K770)</f>
        <v/>
      </c>
      <c r="N770">
        <f>IF($U770="","",Settings!$C$6)</f>
        <v/>
      </c>
      <c r="O770" s="7">
        <f>IF($U770="","",SUMIFS('Per Line'!$N$2:$N$3001,'Per Line'!$A$2:$A$3001,$A770,'Per Line'!$W$2:$W$3001,1))</f>
        <v/>
      </c>
      <c r="P770" s="7">
        <f>IF($U770="","",O770*N770)</f>
        <v/>
      </c>
      <c r="Q770" s="7">
        <f>IF($U770="","",P770+M770)</f>
        <v/>
      </c>
      <c r="R770" s="7">
        <f>IF($U770="","",S770-Q770)</f>
        <v/>
      </c>
      <c r="S770" s="7">
        <f>IF($U770="","",L770+O770)</f>
        <v/>
      </c>
      <c r="T770" s="7">
        <f>IF($U770="","",S770-Q770-G770)</f>
        <v/>
      </c>
      <c r="U770" s="13">
        <f>IF(ROWS($U$2:$U770)&lt;=MAX('Per Line'!$V$2:$V$3001),MATCH(ROWS($U$2:$U770),'Per Line'!$V$2:$V$3001,0),"")</f>
        <v/>
      </c>
    </row>
    <row r="771">
      <c r="A771">
        <f>IF($U771="","",INDEX('Per Line'!$A$2:$A$3001,$U771)&amp;"")</f>
        <v/>
      </c>
      <c r="B771" s="12" t="n"/>
      <c r="C771">
        <f>IF($U771="","",INDEX('Per Line'!$B$2:$B$3001,$U771)&amp;"")</f>
        <v/>
      </c>
      <c r="D771">
        <f>IF($U771="","",INDEX('Per Line'!$C$2:$C$3001,$U771)&amp;"")</f>
        <v/>
      </c>
      <c r="E771">
        <f>IF($U771="","",INDEX('Per Line'!$D$2:$D$3001,$U771)&amp;"")</f>
        <v/>
      </c>
      <c r="F771">
        <f>IF($U771="","",INDEX('Per Line'!$E$2:$E$3001,$U771))</f>
        <v/>
      </c>
      <c r="G771" s="7">
        <f>IF($U771="","",F771*S771/100)</f>
        <v/>
      </c>
      <c r="H771">
        <f>IF($U771="","",INDEX('Per Line'!$O$2:$O$3001,$U771)&amp;"")</f>
        <v/>
      </c>
      <c r="I771" s="11">
        <f>IF($U771="","",INDEX('Per Line'!$Q$2:$Q$3001,$U771))</f>
        <v/>
      </c>
      <c r="J771">
        <f>IF($U771="","",INDEX('Per Line'!$R$2:$R$3001,$U771)&amp;"")</f>
        <v/>
      </c>
      <c r="K771">
        <f>IF($U771="","",Settings!$C$7)</f>
        <v/>
      </c>
      <c r="L771" s="7">
        <f>IF($U771="","",SUMIFS('Per Line'!$N$2:$N$3001,'Per Line'!$A$2:$A$3001,$A771,'Per Line'!$W$2:$W$3001,0))</f>
        <v/>
      </c>
      <c r="M771" s="7">
        <f>IF($U771="","",L771*K771)</f>
        <v/>
      </c>
      <c r="N771">
        <f>IF($U771="","",Settings!$C$6)</f>
        <v/>
      </c>
      <c r="O771" s="7">
        <f>IF($U771="","",SUMIFS('Per Line'!$N$2:$N$3001,'Per Line'!$A$2:$A$3001,$A771,'Per Line'!$W$2:$W$3001,1))</f>
        <v/>
      </c>
      <c r="P771" s="7">
        <f>IF($U771="","",O771*N771)</f>
        <v/>
      </c>
      <c r="Q771" s="7">
        <f>IF($U771="","",P771+M771)</f>
        <v/>
      </c>
      <c r="R771" s="7">
        <f>IF($U771="","",S771-Q771)</f>
        <v/>
      </c>
      <c r="S771" s="7">
        <f>IF($U771="","",L771+O771)</f>
        <v/>
      </c>
      <c r="T771" s="7">
        <f>IF($U771="","",S771-Q771-G771)</f>
        <v/>
      </c>
      <c r="U771" s="13">
        <f>IF(ROWS($U$2:$U771)&lt;=MAX('Per Line'!$V$2:$V$3001),MATCH(ROWS($U$2:$U771),'Per Line'!$V$2:$V$3001,0),"")</f>
        <v/>
      </c>
    </row>
    <row r="772">
      <c r="A772">
        <f>IF($U772="","",INDEX('Per Line'!$A$2:$A$3001,$U772)&amp;"")</f>
        <v/>
      </c>
      <c r="B772" s="12" t="n"/>
      <c r="C772">
        <f>IF($U772="","",INDEX('Per Line'!$B$2:$B$3001,$U772)&amp;"")</f>
        <v/>
      </c>
      <c r="D772">
        <f>IF($U772="","",INDEX('Per Line'!$C$2:$C$3001,$U772)&amp;"")</f>
        <v/>
      </c>
      <c r="E772">
        <f>IF($U772="","",INDEX('Per Line'!$D$2:$D$3001,$U772)&amp;"")</f>
        <v/>
      </c>
      <c r="F772">
        <f>IF($U772="","",INDEX('Per Line'!$E$2:$E$3001,$U772))</f>
        <v/>
      </c>
      <c r="G772" s="7">
        <f>IF($U772="","",F772*S772/100)</f>
        <v/>
      </c>
      <c r="H772">
        <f>IF($U772="","",INDEX('Per Line'!$O$2:$O$3001,$U772)&amp;"")</f>
        <v/>
      </c>
      <c r="I772" s="11">
        <f>IF($U772="","",INDEX('Per Line'!$Q$2:$Q$3001,$U772))</f>
        <v/>
      </c>
      <c r="J772">
        <f>IF($U772="","",INDEX('Per Line'!$R$2:$R$3001,$U772)&amp;"")</f>
        <v/>
      </c>
      <c r="K772">
        <f>IF($U772="","",Settings!$C$7)</f>
        <v/>
      </c>
      <c r="L772" s="7">
        <f>IF($U772="","",SUMIFS('Per Line'!$N$2:$N$3001,'Per Line'!$A$2:$A$3001,$A772,'Per Line'!$W$2:$W$3001,0))</f>
        <v/>
      </c>
      <c r="M772" s="7">
        <f>IF($U772="","",L772*K772)</f>
        <v/>
      </c>
      <c r="N772">
        <f>IF($U772="","",Settings!$C$6)</f>
        <v/>
      </c>
      <c r="O772" s="7">
        <f>IF($U772="","",SUMIFS('Per Line'!$N$2:$N$3001,'Per Line'!$A$2:$A$3001,$A772,'Per Line'!$W$2:$W$3001,1))</f>
        <v/>
      </c>
      <c r="P772" s="7">
        <f>IF($U772="","",O772*N772)</f>
        <v/>
      </c>
      <c r="Q772" s="7">
        <f>IF($U772="","",P772+M772)</f>
        <v/>
      </c>
      <c r="R772" s="7">
        <f>IF($U772="","",S772-Q772)</f>
        <v/>
      </c>
      <c r="S772" s="7">
        <f>IF($U772="","",L772+O772)</f>
        <v/>
      </c>
      <c r="T772" s="7">
        <f>IF($U772="","",S772-Q772-G772)</f>
        <v/>
      </c>
      <c r="U772" s="13">
        <f>IF(ROWS($U$2:$U772)&lt;=MAX('Per Line'!$V$2:$V$3001),MATCH(ROWS($U$2:$U772),'Per Line'!$V$2:$V$3001,0),"")</f>
        <v/>
      </c>
    </row>
    <row r="773">
      <c r="A773">
        <f>IF($U773="","",INDEX('Per Line'!$A$2:$A$3001,$U773)&amp;"")</f>
        <v/>
      </c>
      <c r="B773" s="12" t="n"/>
      <c r="C773">
        <f>IF($U773="","",INDEX('Per Line'!$B$2:$B$3001,$U773)&amp;"")</f>
        <v/>
      </c>
      <c r="D773">
        <f>IF($U773="","",INDEX('Per Line'!$C$2:$C$3001,$U773)&amp;"")</f>
        <v/>
      </c>
      <c r="E773">
        <f>IF($U773="","",INDEX('Per Line'!$D$2:$D$3001,$U773)&amp;"")</f>
        <v/>
      </c>
      <c r="F773">
        <f>IF($U773="","",INDEX('Per Line'!$E$2:$E$3001,$U773))</f>
        <v/>
      </c>
      <c r="G773" s="7">
        <f>IF($U773="","",F773*S773/100)</f>
        <v/>
      </c>
      <c r="H773">
        <f>IF($U773="","",INDEX('Per Line'!$O$2:$O$3001,$U773)&amp;"")</f>
        <v/>
      </c>
      <c r="I773" s="11">
        <f>IF($U773="","",INDEX('Per Line'!$Q$2:$Q$3001,$U773))</f>
        <v/>
      </c>
      <c r="J773">
        <f>IF($U773="","",INDEX('Per Line'!$R$2:$R$3001,$U773)&amp;"")</f>
        <v/>
      </c>
      <c r="K773">
        <f>IF($U773="","",Settings!$C$7)</f>
        <v/>
      </c>
      <c r="L773" s="7">
        <f>IF($U773="","",SUMIFS('Per Line'!$N$2:$N$3001,'Per Line'!$A$2:$A$3001,$A773,'Per Line'!$W$2:$W$3001,0))</f>
        <v/>
      </c>
      <c r="M773" s="7">
        <f>IF($U773="","",L773*K773)</f>
        <v/>
      </c>
      <c r="N773">
        <f>IF($U773="","",Settings!$C$6)</f>
        <v/>
      </c>
      <c r="O773" s="7">
        <f>IF($U773="","",SUMIFS('Per Line'!$N$2:$N$3001,'Per Line'!$A$2:$A$3001,$A773,'Per Line'!$W$2:$W$3001,1))</f>
        <v/>
      </c>
      <c r="P773" s="7">
        <f>IF($U773="","",O773*N773)</f>
        <v/>
      </c>
      <c r="Q773" s="7">
        <f>IF($U773="","",P773+M773)</f>
        <v/>
      </c>
      <c r="R773" s="7">
        <f>IF($U773="","",S773-Q773)</f>
        <v/>
      </c>
      <c r="S773" s="7">
        <f>IF($U773="","",L773+O773)</f>
        <v/>
      </c>
      <c r="T773" s="7">
        <f>IF($U773="","",S773-Q773-G773)</f>
        <v/>
      </c>
      <c r="U773" s="13">
        <f>IF(ROWS($U$2:$U773)&lt;=MAX('Per Line'!$V$2:$V$3001),MATCH(ROWS($U$2:$U773),'Per Line'!$V$2:$V$3001,0),"")</f>
        <v/>
      </c>
    </row>
    <row r="774">
      <c r="A774">
        <f>IF($U774="","",INDEX('Per Line'!$A$2:$A$3001,$U774)&amp;"")</f>
        <v/>
      </c>
      <c r="B774" s="12" t="n"/>
      <c r="C774">
        <f>IF($U774="","",INDEX('Per Line'!$B$2:$B$3001,$U774)&amp;"")</f>
        <v/>
      </c>
      <c r="D774">
        <f>IF($U774="","",INDEX('Per Line'!$C$2:$C$3001,$U774)&amp;"")</f>
        <v/>
      </c>
      <c r="E774">
        <f>IF($U774="","",INDEX('Per Line'!$D$2:$D$3001,$U774)&amp;"")</f>
        <v/>
      </c>
      <c r="F774">
        <f>IF($U774="","",INDEX('Per Line'!$E$2:$E$3001,$U774))</f>
        <v/>
      </c>
      <c r="G774" s="7">
        <f>IF($U774="","",F774*S774/100)</f>
        <v/>
      </c>
      <c r="H774">
        <f>IF($U774="","",INDEX('Per Line'!$O$2:$O$3001,$U774)&amp;"")</f>
        <v/>
      </c>
      <c r="I774" s="11">
        <f>IF($U774="","",INDEX('Per Line'!$Q$2:$Q$3001,$U774))</f>
        <v/>
      </c>
      <c r="J774">
        <f>IF($U774="","",INDEX('Per Line'!$R$2:$R$3001,$U774)&amp;"")</f>
        <v/>
      </c>
      <c r="K774">
        <f>IF($U774="","",Settings!$C$7)</f>
        <v/>
      </c>
      <c r="L774" s="7">
        <f>IF($U774="","",SUMIFS('Per Line'!$N$2:$N$3001,'Per Line'!$A$2:$A$3001,$A774,'Per Line'!$W$2:$W$3001,0))</f>
        <v/>
      </c>
      <c r="M774" s="7">
        <f>IF($U774="","",L774*K774)</f>
        <v/>
      </c>
      <c r="N774">
        <f>IF($U774="","",Settings!$C$6)</f>
        <v/>
      </c>
      <c r="O774" s="7">
        <f>IF($U774="","",SUMIFS('Per Line'!$N$2:$N$3001,'Per Line'!$A$2:$A$3001,$A774,'Per Line'!$W$2:$W$3001,1))</f>
        <v/>
      </c>
      <c r="P774" s="7">
        <f>IF($U774="","",O774*N774)</f>
        <v/>
      </c>
      <c r="Q774" s="7">
        <f>IF($U774="","",P774+M774)</f>
        <v/>
      </c>
      <c r="R774" s="7">
        <f>IF($U774="","",S774-Q774)</f>
        <v/>
      </c>
      <c r="S774" s="7">
        <f>IF($U774="","",L774+O774)</f>
        <v/>
      </c>
      <c r="T774" s="7">
        <f>IF($U774="","",S774-Q774-G774)</f>
        <v/>
      </c>
      <c r="U774" s="13">
        <f>IF(ROWS($U$2:$U774)&lt;=MAX('Per Line'!$V$2:$V$3001),MATCH(ROWS($U$2:$U774),'Per Line'!$V$2:$V$3001,0),"")</f>
        <v/>
      </c>
    </row>
    <row r="775">
      <c r="A775">
        <f>IF($U775="","",INDEX('Per Line'!$A$2:$A$3001,$U775)&amp;"")</f>
        <v/>
      </c>
      <c r="B775" s="12" t="n"/>
      <c r="C775">
        <f>IF($U775="","",INDEX('Per Line'!$B$2:$B$3001,$U775)&amp;"")</f>
        <v/>
      </c>
      <c r="D775">
        <f>IF($U775="","",INDEX('Per Line'!$C$2:$C$3001,$U775)&amp;"")</f>
        <v/>
      </c>
      <c r="E775">
        <f>IF($U775="","",INDEX('Per Line'!$D$2:$D$3001,$U775)&amp;"")</f>
        <v/>
      </c>
      <c r="F775">
        <f>IF($U775="","",INDEX('Per Line'!$E$2:$E$3001,$U775))</f>
        <v/>
      </c>
      <c r="G775" s="7">
        <f>IF($U775="","",F775*S775/100)</f>
        <v/>
      </c>
      <c r="H775">
        <f>IF($U775="","",INDEX('Per Line'!$O$2:$O$3001,$U775)&amp;"")</f>
        <v/>
      </c>
      <c r="I775" s="11">
        <f>IF($U775="","",INDEX('Per Line'!$Q$2:$Q$3001,$U775))</f>
        <v/>
      </c>
      <c r="J775">
        <f>IF($U775="","",INDEX('Per Line'!$R$2:$R$3001,$U775)&amp;"")</f>
        <v/>
      </c>
      <c r="K775">
        <f>IF($U775="","",Settings!$C$7)</f>
        <v/>
      </c>
      <c r="L775" s="7">
        <f>IF($U775="","",SUMIFS('Per Line'!$N$2:$N$3001,'Per Line'!$A$2:$A$3001,$A775,'Per Line'!$W$2:$W$3001,0))</f>
        <v/>
      </c>
      <c r="M775" s="7">
        <f>IF($U775="","",L775*K775)</f>
        <v/>
      </c>
      <c r="N775">
        <f>IF($U775="","",Settings!$C$6)</f>
        <v/>
      </c>
      <c r="O775" s="7">
        <f>IF($U775="","",SUMIFS('Per Line'!$N$2:$N$3001,'Per Line'!$A$2:$A$3001,$A775,'Per Line'!$W$2:$W$3001,1))</f>
        <v/>
      </c>
      <c r="P775" s="7">
        <f>IF($U775="","",O775*N775)</f>
        <v/>
      </c>
      <c r="Q775" s="7">
        <f>IF($U775="","",P775+M775)</f>
        <v/>
      </c>
      <c r="R775" s="7">
        <f>IF($U775="","",S775-Q775)</f>
        <v/>
      </c>
      <c r="S775" s="7">
        <f>IF($U775="","",L775+O775)</f>
        <v/>
      </c>
      <c r="T775" s="7">
        <f>IF($U775="","",S775-Q775-G775)</f>
        <v/>
      </c>
      <c r="U775" s="13">
        <f>IF(ROWS($U$2:$U775)&lt;=MAX('Per Line'!$V$2:$V$3001),MATCH(ROWS($U$2:$U775),'Per Line'!$V$2:$V$3001,0),"")</f>
        <v/>
      </c>
    </row>
    <row r="776">
      <c r="A776">
        <f>IF($U776="","",INDEX('Per Line'!$A$2:$A$3001,$U776)&amp;"")</f>
        <v/>
      </c>
      <c r="B776" s="12" t="n"/>
      <c r="C776">
        <f>IF($U776="","",INDEX('Per Line'!$B$2:$B$3001,$U776)&amp;"")</f>
        <v/>
      </c>
      <c r="D776">
        <f>IF($U776="","",INDEX('Per Line'!$C$2:$C$3001,$U776)&amp;"")</f>
        <v/>
      </c>
      <c r="E776">
        <f>IF($U776="","",INDEX('Per Line'!$D$2:$D$3001,$U776)&amp;"")</f>
        <v/>
      </c>
      <c r="F776">
        <f>IF($U776="","",INDEX('Per Line'!$E$2:$E$3001,$U776))</f>
        <v/>
      </c>
      <c r="G776" s="7">
        <f>IF($U776="","",F776*S776/100)</f>
        <v/>
      </c>
      <c r="H776">
        <f>IF($U776="","",INDEX('Per Line'!$O$2:$O$3001,$U776)&amp;"")</f>
        <v/>
      </c>
      <c r="I776" s="11">
        <f>IF($U776="","",INDEX('Per Line'!$Q$2:$Q$3001,$U776))</f>
        <v/>
      </c>
      <c r="J776">
        <f>IF($U776="","",INDEX('Per Line'!$R$2:$R$3001,$U776)&amp;"")</f>
        <v/>
      </c>
      <c r="K776">
        <f>IF($U776="","",Settings!$C$7)</f>
        <v/>
      </c>
      <c r="L776" s="7">
        <f>IF($U776="","",SUMIFS('Per Line'!$N$2:$N$3001,'Per Line'!$A$2:$A$3001,$A776,'Per Line'!$W$2:$W$3001,0))</f>
        <v/>
      </c>
      <c r="M776" s="7">
        <f>IF($U776="","",L776*K776)</f>
        <v/>
      </c>
      <c r="N776">
        <f>IF($U776="","",Settings!$C$6)</f>
        <v/>
      </c>
      <c r="O776" s="7">
        <f>IF($U776="","",SUMIFS('Per Line'!$N$2:$N$3001,'Per Line'!$A$2:$A$3001,$A776,'Per Line'!$W$2:$W$3001,1))</f>
        <v/>
      </c>
      <c r="P776" s="7">
        <f>IF($U776="","",O776*N776)</f>
        <v/>
      </c>
      <c r="Q776" s="7">
        <f>IF($U776="","",P776+M776)</f>
        <v/>
      </c>
      <c r="R776" s="7">
        <f>IF($U776="","",S776-Q776)</f>
        <v/>
      </c>
      <c r="S776" s="7">
        <f>IF($U776="","",L776+O776)</f>
        <v/>
      </c>
      <c r="T776" s="7">
        <f>IF($U776="","",S776-Q776-G776)</f>
        <v/>
      </c>
      <c r="U776" s="13">
        <f>IF(ROWS($U$2:$U776)&lt;=MAX('Per Line'!$V$2:$V$3001),MATCH(ROWS($U$2:$U776),'Per Line'!$V$2:$V$3001,0),"")</f>
        <v/>
      </c>
    </row>
    <row r="777">
      <c r="A777">
        <f>IF($U777="","",INDEX('Per Line'!$A$2:$A$3001,$U777)&amp;"")</f>
        <v/>
      </c>
      <c r="B777" s="12" t="n"/>
      <c r="C777">
        <f>IF($U777="","",INDEX('Per Line'!$B$2:$B$3001,$U777)&amp;"")</f>
        <v/>
      </c>
      <c r="D777">
        <f>IF($U777="","",INDEX('Per Line'!$C$2:$C$3001,$U777)&amp;"")</f>
        <v/>
      </c>
      <c r="E777">
        <f>IF($U777="","",INDEX('Per Line'!$D$2:$D$3001,$U777)&amp;"")</f>
        <v/>
      </c>
      <c r="F777">
        <f>IF($U777="","",INDEX('Per Line'!$E$2:$E$3001,$U777))</f>
        <v/>
      </c>
      <c r="G777" s="7">
        <f>IF($U777="","",F777*S777/100)</f>
        <v/>
      </c>
      <c r="H777">
        <f>IF($U777="","",INDEX('Per Line'!$O$2:$O$3001,$U777)&amp;"")</f>
        <v/>
      </c>
      <c r="I777" s="11">
        <f>IF($U777="","",INDEX('Per Line'!$Q$2:$Q$3001,$U777))</f>
        <v/>
      </c>
      <c r="J777">
        <f>IF($U777="","",INDEX('Per Line'!$R$2:$R$3001,$U777)&amp;"")</f>
        <v/>
      </c>
      <c r="K777">
        <f>IF($U777="","",Settings!$C$7)</f>
        <v/>
      </c>
      <c r="L777" s="7">
        <f>IF($U777="","",SUMIFS('Per Line'!$N$2:$N$3001,'Per Line'!$A$2:$A$3001,$A777,'Per Line'!$W$2:$W$3001,0))</f>
        <v/>
      </c>
      <c r="M777" s="7">
        <f>IF($U777="","",L777*K777)</f>
        <v/>
      </c>
      <c r="N777">
        <f>IF($U777="","",Settings!$C$6)</f>
        <v/>
      </c>
      <c r="O777" s="7">
        <f>IF($U777="","",SUMIFS('Per Line'!$N$2:$N$3001,'Per Line'!$A$2:$A$3001,$A777,'Per Line'!$W$2:$W$3001,1))</f>
        <v/>
      </c>
      <c r="P777" s="7">
        <f>IF($U777="","",O777*N777)</f>
        <v/>
      </c>
      <c r="Q777" s="7">
        <f>IF($U777="","",P777+M777)</f>
        <v/>
      </c>
      <c r="R777" s="7">
        <f>IF($U777="","",S777-Q777)</f>
        <v/>
      </c>
      <c r="S777" s="7">
        <f>IF($U777="","",L777+O777)</f>
        <v/>
      </c>
      <c r="T777" s="7">
        <f>IF($U777="","",S777-Q777-G777)</f>
        <v/>
      </c>
      <c r="U777" s="13">
        <f>IF(ROWS($U$2:$U777)&lt;=MAX('Per Line'!$V$2:$V$3001),MATCH(ROWS($U$2:$U777),'Per Line'!$V$2:$V$3001,0),"")</f>
        <v/>
      </c>
    </row>
    <row r="778">
      <c r="A778">
        <f>IF($U778="","",INDEX('Per Line'!$A$2:$A$3001,$U778)&amp;"")</f>
        <v/>
      </c>
      <c r="B778" s="12" t="n"/>
      <c r="C778">
        <f>IF($U778="","",INDEX('Per Line'!$B$2:$B$3001,$U778)&amp;"")</f>
        <v/>
      </c>
      <c r="D778">
        <f>IF($U778="","",INDEX('Per Line'!$C$2:$C$3001,$U778)&amp;"")</f>
        <v/>
      </c>
      <c r="E778">
        <f>IF($U778="","",INDEX('Per Line'!$D$2:$D$3001,$U778)&amp;"")</f>
        <v/>
      </c>
      <c r="F778">
        <f>IF($U778="","",INDEX('Per Line'!$E$2:$E$3001,$U778))</f>
        <v/>
      </c>
      <c r="G778" s="7">
        <f>IF($U778="","",F778*S778/100)</f>
        <v/>
      </c>
      <c r="H778">
        <f>IF($U778="","",INDEX('Per Line'!$O$2:$O$3001,$U778)&amp;"")</f>
        <v/>
      </c>
      <c r="I778" s="11">
        <f>IF($U778="","",INDEX('Per Line'!$Q$2:$Q$3001,$U778))</f>
        <v/>
      </c>
      <c r="J778">
        <f>IF($U778="","",INDEX('Per Line'!$R$2:$R$3001,$U778)&amp;"")</f>
        <v/>
      </c>
      <c r="K778">
        <f>IF($U778="","",Settings!$C$7)</f>
        <v/>
      </c>
      <c r="L778" s="7">
        <f>IF($U778="","",SUMIFS('Per Line'!$N$2:$N$3001,'Per Line'!$A$2:$A$3001,$A778,'Per Line'!$W$2:$W$3001,0))</f>
        <v/>
      </c>
      <c r="M778" s="7">
        <f>IF($U778="","",L778*K778)</f>
        <v/>
      </c>
      <c r="N778">
        <f>IF($U778="","",Settings!$C$6)</f>
        <v/>
      </c>
      <c r="O778" s="7">
        <f>IF($U778="","",SUMIFS('Per Line'!$N$2:$N$3001,'Per Line'!$A$2:$A$3001,$A778,'Per Line'!$W$2:$W$3001,1))</f>
        <v/>
      </c>
      <c r="P778" s="7">
        <f>IF($U778="","",O778*N778)</f>
        <v/>
      </c>
      <c r="Q778" s="7">
        <f>IF($U778="","",P778+M778)</f>
        <v/>
      </c>
      <c r="R778" s="7">
        <f>IF($U778="","",S778-Q778)</f>
        <v/>
      </c>
      <c r="S778" s="7">
        <f>IF($U778="","",L778+O778)</f>
        <v/>
      </c>
      <c r="T778" s="7">
        <f>IF($U778="","",S778-Q778-G778)</f>
        <v/>
      </c>
      <c r="U778" s="13">
        <f>IF(ROWS($U$2:$U778)&lt;=MAX('Per Line'!$V$2:$V$3001),MATCH(ROWS($U$2:$U778),'Per Line'!$V$2:$V$3001,0),"")</f>
        <v/>
      </c>
    </row>
    <row r="779">
      <c r="A779">
        <f>IF($U779="","",INDEX('Per Line'!$A$2:$A$3001,$U779)&amp;"")</f>
        <v/>
      </c>
      <c r="B779" s="12" t="n"/>
      <c r="C779">
        <f>IF($U779="","",INDEX('Per Line'!$B$2:$B$3001,$U779)&amp;"")</f>
        <v/>
      </c>
      <c r="D779">
        <f>IF($U779="","",INDEX('Per Line'!$C$2:$C$3001,$U779)&amp;"")</f>
        <v/>
      </c>
      <c r="E779">
        <f>IF($U779="","",INDEX('Per Line'!$D$2:$D$3001,$U779)&amp;"")</f>
        <v/>
      </c>
      <c r="F779">
        <f>IF($U779="","",INDEX('Per Line'!$E$2:$E$3001,$U779))</f>
        <v/>
      </c>
      <c r="G779" s="7">
        <f>IF($U779="","",F779*S779/100)</f>
        <v/>
      </c>
      <c r="H779">
        <f>IF($U779="","",INDEX('Per Line'!$O$2:$O$3001,$U779)&amp;"")</f>
        <v/>
      </c>
      <c r="I779" s="11">
        <f>IF($U779="","",INDEX('Per Line'!$Q$2:$Q$3001,$U779))</f>
        <v/>
      </c>
      <c r="J779">
        <f>IF($U779="","",INDEX('Per Line'!$R$2:$R$3001,$U779)&amp;"")</f>
        <v/>
      </c>
      <c r="K779">
        <f>IF($U779="","",Settings!$C$7)</f>
        <v/>
      </c>
      <c r="L779" s="7">
        <f>IF($U779="","",SUMIFS('Per Line'!$N$2:$N$3001,'Per Line'!$A$2:$A$3001,$A779,'Per Line'!$W$2:$W$3001,0))</f>
        <v/>
      </c>
      <c r="M779" s="7">
        <f>IF($U779="","",L779*K779)</f>
        <v/>
      </c>
      <c r="N779">
        <f>IF($U779="","",Settings!$C$6)</f>
        <v/>
      </c>
      <c r="O779" s="7">
        <f>IF($U779="","",SUMIFS('Per Line'!$N$2:$N$3001,'Per Line'!$A$2:$A$3001,$A779,'Per Line'!$W$2:$W$3001,1))</f>
        <v/>
      </c>
      <c r="P779" s="7">
        <f>IF($U779="","",O779*N779)</f>
        <v/>
      </c>
      <c r="Q779" s="7">
        <f>IF($U779="","",P779+M779)</f>
        <v/>
      </c>
      <c r="R779" s="7">
        <f>IF($U779="","",S779-Q779)</f>
        <v/>
      </c>
      <c r="S779" s="7">
        <f>IF($U779="","",L779+O779)</f>
        <v/>
      </c>
      <c r="T779" s="7">
        <f>IF($U779="","",S779-Q779-G779)</f>
        <v/>
      </c>
      <c r="U779" s="13">
        <f>IF(ROWS($U$2:$U779)&lt;=MAX('Per Line'!$V$2:$V$3001),MATCH(ROWS($U$2:$U779),'Per Line'!$V$2:$V$3001,0),"")</f>
        <v/>
      </c>
    </row>
    <row r="780">
      <c r="A780">
        <f>IF($U780="","",INDEX('Per Line'!$A$2:$A$3001,$U780)&amp;"")</f>
        <v/>
      </c>
      <c r="B780" s="12" t="n"/>
      <c r="C780">
        <f>IF($U780="","",INDEX('Per Line'!$B$2:$B$3001,$U780)&amp;"")</f>
        <v/>
      </c>
      <c r="D780">
        <f>IF($U780="","",INDEX('Per Line'!$C$2:$C$3001,$U780)&amp;"")</f>
        <v/>
      </c>
      <c r="E780">
        <f>IF($U780="","",INDEX('Per Line'!$D$2:$D$3001,$U780)&amp;"")</f>
        <v/>
      </c>
      <c r="F780">
        <f>IF($U780="","",INDEX('Per Line'!$E$2:$E$3001,$U780))</f>
        <v/>
      </c>
      <c r="G780" s="7">
        <f>IF($U780="","",F780*S780/100)</f>
        <v/>
      </c>
      <c r="H780">
        <f>IF($U780="","",INDEX('Per Line'!$O$2:$O$3001,$U780)&amp;"")</f>
        <v/>
      </c>
      <c r="I780" s="11">
        <f>IF($U780="","",INDEX('Per Line'!$Q$2:$Q$3001,$U780))</f>
        <v/>
      </c>
      <c r="J780">
        <f>IF($U780="","",INDEX('Per Line'!$R$2:$R$3001,$U780)&amp;"")</f>
        <v/>
      </c>
      <c r="K780">
        <f>IF($U780="","",Settings!$C$7)</f>
        <v/>
      </c>
      <c r="L780" s="7">
        <f>IF($U780="","",SUMIFS('Per Line'!$N$2:$N$3001,'Per Line'!$A$2:$A$3001,$A780,'Per Line'!$W$2:$W$3001,0))</f>
        <v/>
      </c>
      <c r="M780" s="7">
        <f>IF($U780="","",L780*K780)</f>
        <v/>
      </c>
      <c r="N780">
        <f>IF($U780="","",Settings!$C$6)</f>
        <v/>
      </c>
      <c r="O780" s="7">
        <f>IF($U780="","",SUMIFS('Per Line'!$N$2:$N$3001,'Per Line'!$A$2:$A$3001,$A780,'Per Line'!$W$2:$W$3001,1))</f>
        <v/>
      </c>
      <c r="P780" s="7">
        <f>IF($U780="","",O780*N780)</f>
        <v/>
      </c>
      <c r="Q780" s="7">
        <f>IF($U780="","",P780+M780)</f>
        <v/>
      </c>
      <c r="R780" s="7">
        <f>IF($U780="","",S780-Q780)</f>
        <v/>
      </c>
      <c r="S780" s="7">
        <f>IF($U780="","",L780+O780)</f>
        <v/>
      </c>
      <c r="T780" s="7">
        <f>IF($U780="","",S780-Q780-G780)</f>
        <v/>
      </c>
      <c r="U780" s="13">
        <f>IF(ROWS($U$2:$U780)&lt;=MAX('Per Line'!$V$2:$V$3001),MATCH(ROWS($U$2:$U780),'Per Line'!$V$2:$V$3001,0),"")</f>
        <v/>
      </c>
    </row>
    <row r="781">
      <c r="A781">
        <f>IF($U781="","",INDEX('Per Line'!$A$2:$A$3001,$U781)&amp;"")</f>
        <v/>
      </c>
      <c r="B781" s="12" t="n"/>
      <c r="C781">
        <f>IF($U781="","",INDEX('Per Line'!$B$2:$B$3001,$U781)&amp;"")</f>
        <v/>
      </c>
      <c r="D781">
        <f>IF($U781="","",INDEX('Per Line'!$C$2:$C$3001,$U781)&amp;"")</f>
        <v/>
      </c>
      <c r="E781">
        <f>IF($U781="","",INDEX('Per Line'!$D$2:$D$3001,$U781)&amp;"")</f>
        <v/>
      </c>
      <c r="F781">
        <f>IF($U781="","",INDEX('Per Line'!$E$2:$E$3001,$U781))</f>
        <v/>
      </c>
      <c r="G781" s="7">
        <f>IF($U781="","",F781*S781/100)</f>
        <v/>
      </c>
      <c r="H781">
        <f>IF($U781="","",INDEX('Per Line'!$O$2:$O$3001,$U781)&amp;"")</f>
        <v/>
      </c>
      <c r="I781" s="11">
        <f>IF($U781="","",INDEX('Per Line'!$Q$2:$Q$3001,$U781))</f>
        <v/>
      </c>
      <c r="J781">
        <f>IF($U781="","",INDEX('Per Line'!$R$2:$R$3001,$U781)&amp;"")</f>
        <v/>
      </c>
      <c r="K781">
        <f>IF($U781="","",Settings!$C$7)</f>
        <v/>
      </c>
      <c r="L781" s="7">
        <f>IF($U781="","",SUMIFS('Per Line'!$N$2:$N$3001,'Per Line'!$A$2:$A$3001,$A781,'Per Line'!$W$2:$W$3001,0))</f>
        <v/>
      </c>
      <c r="M781" s="7">
        <f>IF($U781="","",L781*K781)</f>
        <v/>
      </c>
      <c r="N781">
        <f>IF($U781="","",Settings!$C$6)</f>
        <v/>
      </c>
      <c r="O781" s="7">
        <f>IF($U781="","",SUMIFS('Per Line'!$N$2:$N$3001,'Per Line'!$A$2:$A$3001,$A781,'Per Line'!$W$2:$W$3001,1))</f>
        <v/>
      </c>
      <c r="P781" s="7">
        <f>IF($U781="","",O781*N781)</f>
        <v/>
      </c>
      <c r="Q781" s="7">
        <f>IF($U781="","",P781+M781)</f>
        <v/>
      </c>
      <c r="R781" s="7">
        <f>IF($U781="","",S781-Q781)</f>
        <v/>
      </c>
      <c r="S781" s="7">
        <f>IF($U781="","",L781+O781)</f>
        <v/>
      </c>
      <c r="T781" s="7">
        <f>IF($U781="","",S781-Q781-G781)</f>
        <v/>
      </c>
      <c r="U781" s="13">
        <f>IF(ROWS($U$2:$U781)&lt;=MAX('Per Line'!$V$2:$V$3001),MATCH(ROWS($U$2:$U781),'Per Line'!$V$2:$V$3001,0),"")</f>
        <v/>
      </c>
    </row>
    <row r="782">
      <c r="A782">
        <f>IF($U782="","",INDEX('Per Line'!$A$2:$A$3001,$U782)&amp;"")</f>
        <v/>
      </c>
      <c r="B782" s="12" t="n"/>
      <c r="C782">
        <f>IF($U782="","",INDEX('Per Line'!$B$2:$B$3001,$U782)&amp;"")</f>
        <v/>
      </c>
      <c r="D782">
        <f>IF($U782="","",INDEX('Per Line'!$C$2:$C$3001,$U782)&amp;"")</f>
        <v/>
      </c>
      <c r="E782">
        <f>IF($U782="","",INDEX('Per Line'!$D$2:$D$3001,$U782)&amp;"")</f>
        <v/>
      </c>
      <c r="F782">
        <f>IF($U782="","",INDEX('Per Line'!$E$2:$E$3001,$U782))</f>
        <v/>
      </c>
      <c r="G782" s="7">
        <f>IF($U782="","",F782*S782/100)</f>
        <v/>
      </c>
      <c r="H782">
        <f>IF($U782="","",INDEX('Per Line'!$O$2:$O$3001,$U782)&amp;"")</f>
        <v/>
      </c>
      <c r="I782" s="11">
        <f>IF($U782="","",INDEX('Per Line'!$Q$2:$Q$3001,$U782))</f>
        <v/>
      </c>
      <c r="J782">
        <f>IF($U782="","",INDEX('Per Line'!$R$2:$R$3001,$U782)&amp;"")</f>
        <v/>
      </c>
      <c r="K782">
        <f>IF($U782="","",Settings!$C$7)</f>
        <v/>
      </c>
      <c r="L782" s="7">
        <f>IF($U782="","",SUMIFS('Per Line'!$N$2:$N$3001,'Per Line'!$A$2:$A$3001,$A782,'Per Line'!$W$2:$W$3001,0))</f>
        <v/>
      </c>
      <c r="M782" s="7">
        <f>IF($U782="","",L782*K782)</f>
        <v/>
      </c>
      <c r="N782">
        <f>IF($U782="","",Settings!$C$6)</f>
        <v/>
      </c>
      <c r="O782" s="7">
        <f>IF($U782="","",SUMIFS('Per Line'!$N$2:$N$3001,'Per Line'!$A$2:$A$3001,$A782,'Per Line'!$W$2:$W$3001,1))</f>
        <v/>
      </c>
      <c r="P782" s="7">
        <f>IF($U782="","",O782*N782)</f>
        <v/>
      </c>
      <c r="Q782" s="7">
        <f>IF($U782="","",P782+M782)</f>
        <v/>
      </c>
      <c r="R782" s="7">
        <f>IF($U782="","",S782-Q782)</f>
        <v/>
      </c>
      <c r="S782" s="7">
        <f>IF($U782="","",L782+O782)</f>
        <v/>
      </c>
      <c r="T782" s="7">
        <f>IF($U782="","",S782-Q782-G782)</f>
        <v/>
      </c>
      <c r="U782" s="13">
        <f>IF(ROWS($U$2:$U782)&lt;=MAX('Per Line'!$V$2:$V$3001),MATCH(ROWS($U$2:$U782),'Per Line'!$V$2:$V$3001,0),"")</f>
        <v/>
      </c>
    </row>
    <row r="783">
      <c r="A783">
        <f>IF($U783="","",INDEX('Per Line'!$A$2:$A$3001,$U783)&amp;"")</f>
        <v/>
      </c>
      <c r="B783" s="12" t="n"/>
      <c r="C783">
        <f>IF($U783="","",INDEX('Per Line'!$B$2:$B$3001,$U783)&amp;"")</f>
        <v/>
      </c>
      <c r="D783">
        <f>IF($U783="","",INDEX('Per Line'!$C$2:$C$3001,$U783)&amp;"")</f>
        <v/>
      </c>
      <c r="E783">
        <f>IF($U783="","",INDEX('Per Line'!$D$2:$D$3001,$U783)&amp;"")</f>
        <v/>
      </c>
      <c r="F783">
        <f>IF($U783="","",INDEX('Per Line'!$E$2:$E$3001,$U783))</f>
        <v/>
      </c>
      <c r="G783" s="7">
        <f>IF($U783="","",F783*S783/100)</f>
        <v/>
      </c>
      <c r="H783">
        <f>IF($U783="","",INDEX('Per Line'!$O$2:$O$3001,$U783)&amp;"")</f>
        <v/>
      </c>
      <c r="I783" s="11">
        <f>IF($U783="","",INDEX('Per Line'!$Q$2:$Q$3001,$U783))</f>
        <v/>
      </c>
      <c r="J783">
        <f>IF($U783="","",INDEX('Per Line'!$R$2:$R$3001,$U783)&amp;"")</f>
        <v/>
      </c>
      <c r="K783">
        <f>IF($U783="","",Settings!$C$7)</f>
        <v/>
      </c>
      <c r="L783" s="7">
        <f>IF($U783="","",SUMIFS('Per Line'!$N$2:$N$3001,'Per Line'!$A$2:$A$3001,$A783,'Per Line'!$W$2:$W$3001,0))</f>
        <v/>
      </c>
      <c r="M783" s="7">
        <f>IF($U783="","",L783*K783)</f>
        <v/>
      </c>
      <c r="N783">
        <f>IF($U783="","",Settings!$C$6)</f>
        <v/>
      </c>
      <c r="O783" s="7">
        <f>IF($U783="","",SUMIFS('Per Line'!$N$2:$N$3001,'Per Line'!$A$2:$A$3001,$A783,'Per Line'!$W$2:$W$3001,1))</f>
        <v/>
      </c>
      <c r="P783" s="7">
        <f>IF($U783="","",O783*N783)</f>
        <v/>
      </c>
      <c r="Q783" s="7">
        <f>IF($U783="","",P783+M783)</f>
        <v/>
      </c>
      <c r="R783" s="7">
        <f>IF($U783="","",S783-Q783)</f>
        <v/>
      </c>
      <c r="S783" s="7">
        <f>IF($U783="","",L783+O783)</f>
        <v/>
      </c>
      <c r="T783" s="7">
        <f>IF($U783="","",S783-Q783-G783)</f>
        <v/>
      </c>
      <c r="U783" s="13">
        <f>IF(ROWS($U$2:$U783)&lt;=MAX('Per Line'!$V$2:$V$3001),MATCH(ROWS($U$2:$U783),'Per Line'!$V$2:$V$3001,0),"")</f>
        <v/>
      </c>
    </row>
    <row r="784">
      <c r="A784">
        <f>IF($U784="","",INDEX('Per Line'!$A$2:$A$3001,$U784)&amp;"")</f>
        <v/>
      </c>
      <c r="B784" s="12" t="n"/>
      <c r="C784">
        <f>IF($U784="","",INDEX('Per Line'!$B$2:$B$3001,$U784)&amp;"")</f>
        <v/>
      </c>
      <c r="D784">
        <f>IF($U784="","",INDEX('Per Line'!$C$2:$C$3001,$U784)&amp;"")</f>
        <v/>
      </c>
      <c r="E784">
        <f>IF($U784="","",INDEX('Per Line'!$D$2:$D$3001,$U784)&amp;"")</f>
        <v/>
      </c>
      <c r="F784">
        <f>IF($U784="","",INDEX('Per Line'!$E$2:$E$3001,$U784))</f>
        <v/>
      </c>
      <c r="G784" s="7">
        <f>IF($U784="","",F784*S784/100)</f>
        <v/>
      </c>
      <c r="H784">
        <f>IF($U784="","",INDEX('Per Line'!$O$2:$O$3001,$U784)&amp;"")</f>
        <v/>
      </c>
      <c r="I784" s="11">
        <f>IF($U784="","",INDEX('Per Line'!$Q$2:$Q$3001,$U784))</f>
        <v/>
      </c>
      <c r="J784">
        <f>IF($U784="","",INDEX('Per Line'!$R$2:$R$3001,$U784)&amp;"")</f>
        <v/>
      </c>
      <c r="K784">
        <f>IF($U784="","",Settings!$C$7)</f>
        <v/>
      </c>
      <c r="L784" s="7">
        <f>IF($U784="","",SUMIFS('Per Line'!$N$2:$N$3001,'Per Line'!$A$2:$A$3001,$A784,'Per Line'!$W$2:$W$3001,0))</f>
        <v/>
      </c>
      <c r="M784" s="7">
        <f>IF($U784="","",L784*K784)</f>
        <v/>
      </c>
      <c r="N784">
        <f>IF($U784="","",Settings!$C$6)</f>
        <v/>
      </c>
      <c r="O784" s="7">
        <f>IF($U784="","",SUMIFS('Per Line'!$N$2:$N$3001,'Per Line'!$A$2:$A$3001,$A784,'Per Line'!$W$2:$W$3001,1))</f>
        <v/>
      </c>
      <c r="P784" s="7">
        <f>IF($U784="","",O784*N784)</f>
        <v/>
      </c>
      <c r="Q784" s="7">
        <f>IF($U784="","",P784+M784)</f>
        <v/>
      </c>
      <c r="R784" s="7">
        <f>IF($U784="","",S784-Q784)</f>
        <v/>
      </c>
      <c r="S784" s="7">
        <f>IF($U784="","",L784+O784)</f>
        <v/>
      </c>
      <c r="T784" s="7">
        <f>IF($U784="","",S784-Q784-G784)</f>
        <v/>
      </c>
      <c r="U784" s="13">
        <f>IF(ROWS($U$2:$U784)&lt;=MAX('Per Line'!$V$2:$V$3001),MATCH(ROWS($U$2:$U784),'Per Line'!$V$2:$V$3001,0),"")</f>
        <v/>
      </c>
    </row>
    <row r="785">
      <c r="A785">
        <f>IF($U785="","",INDEX('Per Line'!$A$2:$A$3001,$U785)&amp;"")</f>
        <v/>
      </c>
      <c r="B785" s="12" t="n"/>
      <c r="C785">
        <f>IF($U785="","",INDEX('Per Line'!$B$2:$B$3001,$U785)&amp;"")</f>
        <v/>
      </c>
      <c r="D785">
        <f>IF($U785="","",INDEX('Per Line'!$C$2:$C$3001,$U785)&amp;"")</f>
        <v/>
      </c>
      <c r="E785">
        <f>IF($U785="","",INDEX('Per Line'!$D$2:$D$3001,$U785)&amp;"")</f>
        <v/>
      </c>
      <c r="F785">
        <f>IF($U785="","",INDEX('Per Line'!$E$2:$E$3001,$U785))</f>
        <v/>
      </c>
      <c r="G785" s="7">
        <f>IF($U785="","",F785*S785/100)</f>
        <v/>
      </c>
      <c r="H785">
        <f>IF($U785="","",INDEX('Per Line'!$O$2:$O$3001,$U785)&amp;"")</f>
        <v/>
      </c>
      <c r="I785" s="11">
        <f>IF($U785="","",INDEX('Per Line'!$Q$2:$Q$3001,$U785))</f>
        <v/>
      </c>
      <c r="J785">
        <f>IF($U785="","",INDEX('Per Line'!$R$2:$R$3001,$U785)&amp;"")</f>
        <v/>
      </c>
      <c r="K785">
        <f>IF($U785="","",Settings!$C$7)</f>
        <v/>
      </c>
      <c r="L785" s="7">
        <f>IF($U785="","",SUMIFS('Per Line'!$N$2:$N$3001,'Per Line'!$A$2:$A$3001,$A785,'Per Line'!$W$2:$W$3001,0))</f>
        <v/>
      </c>
      <c r="M785" s="7">
        <f>IF($U785="","",L785*K785)</f>
        <v/>
      </c>
      <c r="N785">
        <f>IF($U785="","",Settings!$C$6)</f>
        <v/>
      </c>
      <c r="O785" s="7">
        <f>IF($U785="","",SUMIFS('Per Line'!$N$2:$N$3001,'Per Line'!$A$2:$A$3001,$A785,'Per Line'!$W$2:$W$3001,1))</f>
        <v/>
      </c>
      <c r="P785" s="7">
        <f>IF($U785="","",O785*N785)</f>
        <v/>
      </c>
      <c r="Q785" s="7">
        <f>IF($U785="","",P785+M785)</f>
        <v/>
      </c>
      <c r="R785" s="7">
        <f>IF($U785="","",S785-Q785)</f>
        <v/>
      </c>
      <c r="S785" s="7">
        <f>IF($U785="","",L785+O785)</f>
        <v/>
      </c>
      <c r="T785" s="7">
        <f>IF($U785="","",S785-Q785-G785)</f>
        <v/>
      </c>
      <c r="U785" s="13">
        <f>IF(ROWS($U$2:$U785)&lt;=MAX('Per Line'!$V$2:$V$3001),MATCH(ROWS($U$2:$U785),'Per Line'!$V$2:$V$3001,0),"")</f>
        <v/>
      </c>
    </row>
    <row r="786">
      <c r="A786">
        <f>IF($U786="","",INDEX('Per Line'!$A$2:$A$3001,$U786)&amp;"")</f>
        <v/>
      </c>
      <c r="B786" s="12" t="n"/>
      <c r="C786">
        <f>IF($U786="","",INDEX('Per Line'!$B$2:$B$3001,$U786)&amp;"")</f>
        <v/>
      </c>
      <c r="D786">
        <f>IF($U786="","",INDEX('Per Line'!$C$2:$C$3001,$U786)&amp;"")</f>
        <v/>
      </c>
      <c r="E786">
        <f>IF($U786="","",INDEX('Per Line'!$D$2:$D$3001,$U786)&amp;"")</f>
        <v/>
      </c>
      <c r="F786">
        <f>IF($U786="","",INDEX('Per Line'!$E$2:$E$3001,$U786))</f>
        <v/>
      </c>
      <c r="G786" s="7">
        <f>IF($U786="","",F786*S786/100)</f>
        <v/>
      </c>
      <c r="H786">
        <f>IF($U786="","",INDEX('Per Line'!$O$2:$O$3001,$U786)&amp;"")</f>
        <v/>
      </c>
      <c r="I786" s="11">
        <f>IF($U786="","",INDEX('Per Line'!$Q$2:$Q$3001,$U786))</f>
        <v/>
      </c>
      <c r="J786">
        <f>IF($U786="","",INDEX('Per Line'!$R$2:$R$3001,$U786)&amp;"")</f>
        <v/>
      </c>
      <c r="K786">
        <f>IF($U786="","",Settings!$C$7)</f>
        <v/>
      </c>
      <c r="L786" s="7">
        <f>IF($U786="","",SUMIFS('Per Line'!$N$2:$N$3001,'Per Line'!$A$2:$A$3001,$A786,'Per Line'!$W$2:$W$3001,0))</f>
        <v/>
      </c>
      <c r="M786" s="7">
        <f>IF($U786="","",L786*K786)</f>
        <v/>
      </c>
      <c r="N786">
        <f>IF($U786="","",Settings!$C$6)</f>
        <v/>
      </c>
      <c r="O786" s="7">
        <f>IF($U786="","",SUMIFS('Per Line'!$N$2:$N$3001,'Per Line'!$A$2:$A$3001,$A786,'Per Line'!$W$2:$W$3001,1))</f>
        <v/>
      </c>
      <c r="P786" s="7">
        <f>IF($U786="","",O786*N786)</f>
        <v/>
      </c>
      <c r="Q786" s="7">
        <f>IF($U786="","",P786+M786)</f>
        <v/>
      </c>
      <c r="R786" s="7">
        <f>IF($U786="","",S786-Q786)</f>
        <v/>
      </c>
      <c r="S786" s="7">
        <f>IF($U786="","",L786+O786)</f>
        <v/>
      </c>
      <c r="T786" s="7">
        <f>IF($U786="","",S786-Q786-G786)</f>
        <v/>
      </c>
      <c r="U786" s="13">
        <f>IF(ROWS($U$2:$U786)&lt;=MAX('Per Line'!$V$2:$V$3001),MATCH(ROWS($U$2:$U786),'Per Line'!$V$2:$V$3001,0),"")</f>
        <v/>
      </c>
    </row>
    <row r="787">
      <c r="A787">
        <f>IF($U787="","",INDEX('Per Line'!$A$2:$A$3001,$U787)&amp;"")</f>
        <v/>
      </c>
      <c r="B787" s="12" t="n"/>
      <c r="C787">
        <f>IF($U787="","",INDEX('Per Line'!$B$2:$B$3001,$U787)&amp;"")</f>
        <v/>
      </c>
      <c r="D787">
        <f>IF($U787="","",INDEX('Per Line'!$C$2:$C$3001,$U787)&amp;"")</f>
        <v/>
      </c>
      <c r="E787">
        <f>IF($U787="","",INDEX('Per Line'!$D$2:$D$3001,$U787)&amp;"")</f>
        <v/>
      </c>
      <c r="F787">
        <f>IF($U787="","",INDEX('Per Line'!$E$2:$E$3001,$U787))</f>
        <v/>
      </c>
      <c r="G787" s="7">
        <f>IF($U787="","",F787*S787/100)</f>
        <v/>
      </c>
      <c r="H787">
        <f>IF($U787="","",INDEX('Per Line'!$O$2:$O$3001,$U787)&amp;"")</f>
        <v/>
      </c>
      <c r="I787" s="11">
        <f>IF($U787="","",INDEX('Per Line'!$Q$2:$Q$3001,$U787))</f>
        <v/>
      </c>
      <c r="J787">
        <f>IF($U787="","",INDEX('Per Line'!$R$2:$R$3001,$U787)&amp;"")</f>
        <v/>
      </c>
      <c r="K787">
        <f>IF($U787="","",Settings!$C$7)</f>
        <v/>
      </c>
      <c r="L787" s="7">
        <f>IF($U787="","",SUMIFS('Per Line'!$N$2:$N$3001,'Per Line'!$A$2:$A$3001,$A787,'Per Line'!$W$2:$W$3001,0))</f>
        <v/>
      </c>
      <c r="M787" s="7">
        <f>IF($U787="","",L787*K787)</f>
        <v/>
      </c>
      <c r="N787">
        <f>IF($U787="","",Settings!$C$6)</f>
        <v/>
      </c>
      <c r="O787" s="7">
        <f>IF($U787="","",SUMIFS('Per Line'!$N$2:$N$3001,'Per Line'!$A$2:$A$3001,$A787,'Per Line'!$W$2:$W$3001,1))</f>
        <v/>
      </c>
      <c r="P787" s="7">
        <f>IF($U787="","",O787*N787)</f>
        <v/>
      </c>
      <c r="Q787" s="7">
        <f>IF($U787="","",P787+M787)</f>
        <v/>
      </c>
      <c r="R787" s="7">
        <f>IF($U787="","",S787-Q787)</f>
        <v/>
      </c>
      <c r="S787" s="7">
        <f>IF($U787="","",L787+O787)</f>
        <v/>
      </c>
      <c r="T787" s="7">
        <f>IF($U787="","",S787-Q787-G787)</f>
        <v/>
      </c>
      <c r="U787" s="13">
        <f>IF(ROWS($U$2:$U787)&lt;=MAX('Per Line'!$V$2:$V$3001),MATCH(ROWS($U$2:$U787),'Per Line'!$V$2:$V$3001,0),"")</f>
        <v/>
      </c>
    </row>
    <row r="788">
      <c r="A788">
        <f>IF($U788="","",INDEX('Per Line'!$A$2:$A$3001,$U788)&amp;"")</f>
        <v/>
      </c>
      <c r="B788" s="12" t="n"/>
      <c r="C788">
        <f>IF($U788="","",INDEX('Per Line'!$B$2:$B$3001,$U788)&amp;"")</f>
        <v/>
      </c>
      <c r="D788">
        <f>IF($U788="","",INDEX('Per Line'!$C$2:$C$3001,$U788)&amp;"")</f>
        <v/>
      </c>
      <c r="E788">
        <f>IF($U788="","",INDEX('Per Line'!$D$2:$D$3001,$U788)&amp;"")</f>
        <v/>
      </c>
      <c r="F788">
        <f>IF($U788="","",INDEX('Per Line'!$E$2:$E$3001,$U788))</f>
        <v/>
      </c>
      <c r="G788" s="7">
        <f>IF($U788="","",F788*S788/100)</f>
        <v/>
      </c>
      <c r="H788">
        <f>IF($U788="","",INDEX('Per Line'!$O$2:$O$3001,$U788)&amp;"")</f>
        <v/>
      </c>
      <c r="I788" s="11">
        <f>IF($U788="","",INDEX('Per Line'!$Q$2:$Q$3001,$U788))</f>
        <v/>
      </c>
      <c r="J788">
        <f>IF($U788="","",INDEX('Per Line'!$R$2:$R$3001,$U788)&amp;"")</f>
        <v/>
      </c>
      <c r="K788">
        <f>IF($U788="","",Settings!$C$7)</f>
        <v/>
      </c>
      <c r="L788" s="7">
        <f>IF($U788="","",SUMIFS('Per Line'!$N$2:$N$3001,'Per Line'!$A$2:$A$3001,$A788,'Per Line'!$W$2:$W$3001,0))</f>
        <v/>
      </c>
      <c r="M788" s="7">
        <f>IF($U788="","",L788*K788)</f>
        <v/>
      </c>
      <c r="N788">
        <f>IF($U788="","",Settings!$C$6)</f>
        <v/>
      </c>
      <c r="O788" s="7">
        <f>IF($U788="","",SUMIFS('Per Line'!$N$2:$N$3001,'Per Line'!$A$2:$A$3001,$A788,'Per Line'!$W$2:$W$3001,1))</f>
        <v/>
      </c>
      <c r="P788" s="7">
        <f>IF($U788="","",O788*N788)</f>
        <v/>
      </c>
      <c r="Q788" s="7">
        <f>IF($U788="","",P788+M788)</f>
        <v/>
      </c>
      <c r="R788" s="7">
        <f>IF($U788="","",S788-Q788)</f>
        <v/>
      </c>
      <c r="S788" s="7">
        <f>IF($U788="","",L788+O788)</f>
        <v/>
      </c>
      <c r="T788" s="7">
        <f>IF($U788="","",S788-Q788-G788)</f>
        <v/>
      </c>
      <c r="U788" s="13">
        <f>IF(ROWS($U$2:$U788)&lt;=MAX('Per Line'!$V$2:$V$3001),MATCH(ROWS($U$2:$U788),'Per Line'!$V$2:$V$3001,0),"")</f>
        <v/>
      </c>
    </row>
    <row r="789">
      <c r="A789">
        <f>IF($U789="","",INDEX('Per Line'!$A$2:$A$3001,$U789)&amp;"")</f>
        <v/>
      </c>
      <c r="B789" s="12" t="n"/>
      <c r="C789">
        <f>IF($U789="","",INDEX('Per Line'!$B$2:$B$3001,$U789)&amp;"")</f>
        <v/>
      </c>
      <c r="D789">
        <f>IF($U789="","",INDEX('Per Line'!$C$2:$C$3001,$U789)&amp;"")</f>
        <v/>
      </c>
      <c r="E789">
        <f>IF($U789="","",INDEX('Per Line'!$D$2:$D$3001,$U789)&amp;"")</f>
        <v/>
      </c>
      <c r="F789">
        <f>IF($U789="","",INDEX('Per Line'!$E$2:$E$3001,$U789))</f>
        <v/>
      </c>
      <c r="G789" s="7">
        <f>IF($U789="","",F789*S789/100)</f>
        <v/>
      </c>
      <c r="H789">
        <f>IF($U789="","",INDEX('Per Line'!$O$2:$O$3001,$U789)&amp;"")</f>
        <v/>
      </c>
      <c r="I789" s="11">
        <f>IF($U789="","",INDEX('Per Line'!$Q$2:$Q$3001,$U789))</f>
        <v/>
      </c>
      <c r="J789">
        <f>IF($U789="","",INDEX('Per Line'!$R$2:$R$3001,$U789)&amp;"")</f>
        <v/>
      </c>
      <c r="K789">
        <f>IF($U789="","",Settings!$C$7)</f>
        <v/>
      </c>
      <c r="L789" s="7">
        <f>IF($U789="","",SUMIFS('Per Line'!$N$2:$N$3001,'Per Line'!$A$2:$A$3001,$A789,'Per Line'!$W$2:$W$3001,0))</f>
        <v/>
      </c>
      <c r="M789" s="7">
        <f>IF($U789="","",L789*K789)</f>
        <v/>
      </c>
      <c r="N789">
        <f>IF($U789="","",Settings!$C$6)</f>
        <v/>
      </c>
      <c r="O789" s="7">
        <f>IF($U789="","",SUMIFS('Per Line'!$N$2:$N$3001,'Per Line'!$A$2:$A$3001,$A789,'Per Line'!$W$2:$W$3001,1))</f>
        <v/>
      </c>
      <c r="P789" s="7">
        <f>IF($U789="","",O789*N789)</f>
        <v/>
      </c>
      <c r="Q789" s="7">
        <f>IF($U789="","",P789+M789)</f>
        <v/>
      </c>
      <c r="R789" s="7">
        <f>IF($U789="","",S789-Q789)</f>
        <v/>
      </c>
      <c r="S789" s="7">
        <f>IF($U789="","",L789+O789)</f>
        <v/>
      </c>
      <c r="T789" s="7">
        <f>IF($U789="","",S789-Q789-G789)</f>
        <v/>
      </c>
      <c r="U789" s="13">
        <f>IF(ROWS($U$2:$U789)&lt;=MAX('Per Line'!$V$2:$V$3001),MATCH(ROWS($U$2:$U789),'Per Line'!$V$2:$V$3001,0),"")</f>
        <v/>
      </c>
    </row>
    <row r="790">
      <c r="A790">
        <f>IF($U790="","",INDEX('Per Line'!$A$2:$A$3001,$U790)&amp;"")</f>
        <v/>
      </c>
      <c r="B790" s="12" t="n"/>
      <c r="C790">
        <f>IF($U790="","",INDEX('Per Line'!$B$2:$B$3001,$U790)&amp;"")</f>
        <v/>
      </c>
      <c r="D790">
        <f>IF($U790="","",INDEX('Per Line'!$C$2:$C$3001,$U790)&amp;"")</f>
        <v/>
      </c>
      <c r="E790">
        <f>IF($U790="","",INDEX('Per Line'!$D$2:$D$3001,$U790)&amp;"")</f>
        <v/>
      </c>
      <c r="F790">
        <f>IF($U790="","",INDEX('Per Line'!$E$2:$E$3001,$U790))</f>
        <v/>
      </c>
      <c r="G790" s="7">
        <f>IF($U790="","",F790*S790/100)</f>
        <v/>
      </c>
      <c r="H790">
        <f>IF($U790="","",INDEX('Per Line'!$O$2:$O$3001,$U790)&amp;"")</f>
        <v/>
      </c>
      <c r="I790" s="11">
        <f>IF($U790="","",INDEX('Per Line'!$Q$2:$Q$3001,$U790))</f>
        <v/>
      </c>
      <c r="J790">
        <f>IF($U790="","",INDEX('Per Line'!$R$2:$R$3001,$U790)&amp;"")</f>
        <v/>
      </c>
      <c r="K790">
        <f>IF($U790="","",Settings!$C$7)</f>
        <v/>
      </c>
      <c r="L790" s="7">
        <f>IF($U790="","",SUMIFS('Per Line'!$N$2:$N$3001,'Per Line'!$A$2:$A$3001,$A790,'Per Line'!$W$2:$W$3001,0))</f>
        <v/>
      </c>
      <c r="M790" s="7">
        <f>IF($U790="","",L790*K790)</f>
        <v/>
      </c>
      <c r="N790">
        <f>IF($U790="","",Settings!$C$6)</f>
        <v/>
      </c>
      <c r="O790" s="7">
        <f>IF($U790="","",SUMIFS('Per Line'!$N$2:$N$3001,'Per Line'!$A$2:$A$3001,$A790,'Per Line'!$W$2:$W$3001,1))</f>
        <v/>
      </c>
      <c r="P790" s="7">
        <f>IF($U790="","",O790*N790)</f>
        <v/>
      </c>
      <c r="Q790" s="7">
        <f>IF($U790="","",P790+M790)</f>
        <v/>
      </c>
      <c r="R790" s="7">
        <f>IF($U790="","",S790-Q790)</f>
        <v/>
      </c>
      <c r="S790" s="7">
        <f>IF($U790="","",L790+O790)</f>
        <v/>
      </c>
      <c r="T790" s="7">
        <f>IF($U790="","",S790-Q790-G790)</f>
        <v/>
      </c>
      <c r="U790" s="13">
        <f>IF(ROWS($U$2:$U790)&lt;=MAX('Per Line'!$V$2:$V$3001),MATCH(ROWS($U$2:$U790),'Per Line'!$V$2:$V$3001,0),"")</f>
        <v/>
      </c>
    </row>
    <row r="791">
      <c r="A791">
        <f>IF($U791="","",INDEX('Per Line'!$A$2:$A$3001,$U791)&amp;"")</f>
        <v/>
      </c>
      <c r="B791" s="12" t="n"/>
      <c r="C791">
        <f>IF($U791="","",INDEX('Per Line'!$B$2:$B$3001,$U791)&amp;"")</f>
        <v/>
      </c>
      <c r="D791">
        <f>IF($U791="","",INDEX('Per Line'!$C$2:$C$3001,$U791)&amp;"")</f>
        <v/>
      </c>
      <c r="E791">
        <f>IF($U791="","",INDEX('Per Line'!$D$2:$D$3001,$U791)&amp;"")</f>
        <v/>
      </c>
      <c r="F791">
        <f>IF($U791="","",INDEX('Per Line'!$E$2:$E$3001,$U791))</f>
        <v/>
      </c>
      <c r="G791" s="7">
        <f>IF($U791="","",F791*S791/100)</f>
        <v/>
      </c>
      <c r="H791">
        <f>IF($U791="","",INDEX('Per Line'!$O$2:$O$3001,$U791)&amp;"")</f>
        <v/>
      </c>
      <c r="I791" s="11">
        <f>IF($U791="","",INDEX('Per Line'!$Q$2:$Q$3001,$U791))</f>
        <v/>
      </c>
      <c r="J791">
        <f>IF($U791="","",INDEX('Per Line'!$R$2:$R$3001,$U791)&amp;"")</f>
        <v/>
      </c>
      <c r="K791">
        <f>IF($U791="","",Settings!$C$7)</f>
        <v/>
      </c>
      <c r="L791" s="7">
        <f>IF($U791="","",SUMIFS('Per Line'!$N$2:$N$3001,'Per Line'!$A$2:$A$3001,$A791,'Per Line'!$W$2:$W$3001,0))</f>
        <v/>
      </c>
      <c r="M791" s="7">
        <f>IF($U791="","",L791*K791)</f>
        <v/>
      </c>
      <c r="N791">
        <f>IF($U791="","",Settings!$C$6)</f>
        <v/>
      </c>
      <c r="O791" s="7">
        <f>IF($U791="","",SUMIFS('Per Line'!$N$2:$N$3001,'Per Line'!$A$2:$A$3001,$A791,'Per Line'!$W$2:$W$3001,1))</f>
        <v/>
      </c>
      <c r="P791" s="7">
        <f>IF($U791="","",O791*N791)</f>
        <v/>
      </c>
      <c r="Q791" s="7">
        <f>IF($U791="","",P791+M791)</f>
        <v/>
      </c>
      <c r="R791" s="7">
        <f>IF($U791="","",S791-Q791)</f>
        <v/>
      </c>
      <c r="S791" s="7">
        <f>IF($U791="","",L791+O791)</f>
        <v/>
      </c>
      <c r="T791" s="7">
        <f>IF($U791="","",S791-Q791-G791)</f>
        <v/>
      </c>
      <c r="U791" s="13">
        <f>IF(ROWS($U$2:$U791)&lt;=MAX('Per Line'!$V$2:$V$3001),MATCH(ROWS($U$2:$U791),'Per Line'!$V$2:$V$3001,0),"")</f>
        <v/>
      </c>
    </row>
    <row r="792">
      <c r="A792">
        <f>IF($U792="","",INDEX('Per Line'!$A$2:$A$3001,$U792)&amp;"")</f>
        <v/>
      </c>
      <c r="B792" s="12" t="n"/>
      <c r="C792">
        <f>IF($U792="","",INDEX('Per Line'!$B$2:$B$3001,$U792)&amp;"")</f>
        <v/>
      </c>
      <c r="D792">
        <f>IF($U792="","",INDEX('Per Line'!$C$2:$C$3001,$U792)&amp;"")</f>
        <v/>
      </c>
      <c r="E792">
        <f>IF($U792="","",INDEX('Per Line'!$D$2:$D$3001,$U792)&amp;"")</f>
        <v/>
      </c>
      <c r="F792">
        <f>IF($U792="","",INDEX('Per Line'!$E$2:$E$3001,$U792))</f>
        <v/>
      </c>
      <c r="G792" s="7">
        <f>IF($U792="","",F792*S792/100)</f>
        <v/>
      </c>
      <c r="H792">
        <f>IF($U792="","",INDEX('Per Line'!$O$2:$O$3001,$U792)&amp;"")</f>
        <v/>
      </c>
      <c r="I792" s="11">
        <f>IF($U792="","",INDEX('Per Line'!$Q$2:$Q$3001,$U792))</f>
        <v/>
      </c>
      <c r="J792">
        <f>IF($U792="","",INDEX('Per Line'!$R$2:$R$3001,$U792)&amp;"")</f>
        <v/>
      </c>
      <c r="K792">
        <f>IF($U792="","",Settings!$C$7)</f>
        <v/>
      </c>
      <c r="L792" s="7">
        <f>IF($U792="","",SUMIFS('Per Line'!$N$2:$N$3001,'Per Line'!$A$2:$A$3001,$A792,'Per Line'!$W$2:$W$3001,0))</f>
        <v/>
      </c>
      <c r="M792" s="7">
        <f>IF($U792="","",L792*K792)</f>
        <v/>
      </c>
      <c r="N792">
        <f>IF($U792="","",Settings!$C$6)</f>
        <v/>
      </c>
      <c r="O792" s="7">
        <f>IF($U792="","",SUMIFS('Per Line'!$N$2:$N$3001,'Per Line'!$A$2:$A$3001,$A792,'Per Line'!$W$2:$W$3001,1))</f>
        <v/>
      </c>
      <c r="P792" s="7">
        <f>IF($U792="","",O792*N792)</f>
        <v/>
      </c>
      <c r="Q792" s="7">
        <f>IF($U792="","",P792+M792)</f>
        <v/>
      </c>
      <c r="R792" s="7">
        <f>IF($U792="","",S792-Q792)</f>
        <v/>
      </c>
      <c r="S792" s="7">
        <f>IF($U792="","",L792+O792)</f>
        <v/>
      </c>
      <c r="T792" s="7">
        <f>IF($U792="","",S792-Q792-G792)</f>
        <v/>
      </c>
      <c r="U792" s="13">
        <f>IF(ROWS($U$2:$U792)&lt;=MAX('Per Line'!$V$2:$V$3001),MATCH(ROWS($U$2:$U792),'Per Line'!$V$2:$V$3001,0),"")</f>
        <v/>
      </c>
    </row>
    <row r="793">
      <c r="A793">
        <f>IF($U793="","",INDEX('Per Line'!$A$2:$A$3001,$U793)&amp;"")</f>
        <v/>
      </c>
      <c r="B793" s="12" t="n"/>
      <c r="C793">
        <f>IF($U793="","",INDEX('Per Line'!$B$2:$B$3001,$U793)&amp;"")</f>
        <v/>
      </c>
      <c r="D793">
        <f>IF($U793="","",INDEX('Per Line'!$C$2:$C$3001,$U793)&amp;"")</f>
        <v/>
      </c>
      <c r="E793">
        <f>IF($U793="","",INDEX('Per Line'!$D$2:$D$3001,$U793)&amp;"")</f>
        <v/>
      </c>
      <c r="F793">
        <f>IF($U793="","",INDEX('Per Line'!$E$2:$E$3001,$U793))</f>
        <v/>
      </c>
      <c r="G793" s="7">
        <f>IF($U793="","",F793*S793/100)</f>
        <v/>
      </c>
      <c r="H793">
        <f>IF($U793="","",INDEX('Per Line'!$O$2:$O$3001,$U793)&amp;"")</f>
        <v/>
      </c>
      <c r="I793" s="11">
        <f>IF($U793="","",INDEX('Per Line'!$Q$2:$Q$3001,$U793))</f>
        <v/>
      </c>
      <c r="J793">
        <f>IF($U793="","",INDEX('Per Line'!$R$2:$R$3001,$U793)&amp;"")</f>
        <v/>
      </c>
      <c r="K793">
        <f>IF($U793="","",Settings!$C$7)</f>
        <v/>
      </c>
      <c r="L793" s="7">
        <f>IF($U793="","",SUMIFS('Per Line'!$N$2:$N$3001,'Per Line'!$A$2:$A$3001,$A793,'Per Line'!$W$2:$W$3001,0))</f>
        <v/>
      </c>
      <c r="M793" s="7">
        <f>IF($U793="","",L793*K793)</f>
        <v/>
      </c>
      <c r="N793">
        <f>IF($U793="","",Settings!$C$6)</f>
        <v/>
      </c>
      <c r="O793" s="7">
        <f>IF($U793="","",SUMIFS('Per Line'!$N$2:$N$3001,'Per Line'!$A$2:$A$3001,$A793,'Per Line'!$W$2:$W$3001,1))</f>
        <v/>
      </c>
      <c r="P793" s="7">
        <f>IF($U793="","",O793*N793)</f>
        <v/>
      </c>
      <c r="Q793" s="7">
        <f>IF($U793="","",P793+M793)</f>
        <v/>
      </c>
      <c r="R793" s="7">
        <f>IF($U793="","",S793-Q793)</f>
        <v/>
      </c>
      <c r="S793" s="7">
        <f>IF($U793="","",L793+O793)</f>
        <v/>
      </c>
      <c r="T793" s="7">
        <f>IF($U793="","",S793-Q793-G793)</f>
        <v/>
      </c>
      <c r="U793" s="13">
        <f>IF(ROWS($U$2:$U793)&lt;=MAX('Per Line'!$V$2:$V$3001),MATCH(ROWS($U$2:$U793),'Per Line'!$V$2:$V$3001,0),"")</f>
        <v/>
      </c>
    </row>
    <row r="794">
      <c r="A794">
        <f>IF($U794="","",INDEX('Per Line'!$A$2:$A$3001,$U794)&amp;"")</f>
        <v/>
      </c>
      <c r="B794" s="12" t="n"/>
      <c r="C794">
        <f>IF($U794="","",INDEX('Per Line'!$B$2:$B$3001,$U794)&amp;"")</f>
        <v/>
      </c>
      <c r="D794">
        <f>IF($U794="","",INDEX('Per Line'!$C$2:$C$3001,$U794)&amp;"")</f>
        <v/>
      </c>
      <c r="E794">
        <f>IF($U794="","",INDEX('Per Line'!$D$2:$D$3001,$U794)&amp;"")</f>
        <v/>
      </c>
      <c r="F794">
        <f>IF($U794="","",INDEX('Per Line'!$E$2:$E$3001,$U794))</f>
        <v/>
      </c>
      <c r="G794" s="7">
        <f>IF($U794="","",F794*S794/100)</f>
        <v/>
      </c>
      <c r="H794">
        <f>IF($U794="","",INDEX('Per Line'!$O$2:$O$3001,$U794)&amp;"")</f>
        <v/>
      </c>
      <c r="I794" s="11">
        <f>IF($U794="","",INDEX('Per Line'!$Q$2:$Q$3001,$U794))</f>
        <v/>
      </c>
      <c r="J794">
        <f>IF($U794="","",INDEX('Per Line'!$R$2:$R$3001,$U794)&amp;"")</f>
        <v/>
      </c>
      <c r="K794">
        <f>IF($U794="","",Settings!$C$7)</f>
        <v/>
      </c>
      <c r="L794" s="7">
        <f>IF($U794="","",SUMIFS('Per Line'!$N$2:$N$3001,'Per Line'!$A$2:$A$3001,$A794,'Per Line'!$W$2:$W$3001,0))</f>
        <v/>
      </c>
      <c r="M794" s="7">
        <f>IF($U794="","",L794*K794)</f>
        <v/>
      </c>
      <c r="N794">
        <f>IF($U794="","",Settings!$C$6)</f>
        <v/>
      </c>
      <c r="O794" s="7">
        <f>IF($U794="","",SUMIFS('Per Line'!$N$2:$N$3001,'Per Line'!$A$2:$A$3001,$A794,'Per Line'!$W$2:$W$3001,1))</f>
        <v/>
      </c>
      <c r="P794" s="7">
        <f>IF($U794="","",O794*N794)</f>
        <v/>
      </c>
      <c r="Q794" s="7">
        <f>IF($U794="","",P794+M794)</f>
        <v/>
      </c>
      <c r="R794" s="7">
        <f>IF($U794="","",S794-Q794)</f>
        <v/>
      </c>
      <c r="S794" s="7">
        <f>IF($U794="","",L794+O794)</f>
        <v/>
      </c>
      <c r="T794" s="7">
        <f>IF($U794="","",S794-Q794-G794)</f>
        <v/>
      </c>
      <c r="U794" s="13">
        <f>IF(ROWS($U$2:$U794)&lt;=MAX('Per Line'!$V$2:$V$3001),MATCH(ROWS($U$2:$U794),'Per Line'!$V$2:$V$3001,0),"")</f>
        <v/>
      </c>
    </row>
    <row r="795">
      <c r="A795">
        <f>IF($U795="","",INDEX('Per Line'!$A$2:$A$3001,$U795)&amp;"")</f>
        <v/>
      </c>
      <c r="B795" s="12" t="n"/>
      <c r="C795">
        <f>IF($U795="","",INDEX('Per Line'!$B$2:$B$3001,$U795)&amp;"")</f>
        <v/>
      </c>
      <c r="D795">
        <f>IF($U795="","",INDEX('Per Line'!$C$2:$C$3001,$U795)&amp;"")</f>
        <v/>
      </c>
      <c r="E795">
        <f>IF($U795="","",INDEX('Per Line'!$D$2:$D$3001,$U795)&amp;"")</f>
        <v/>
      </c>
      <c r="F795">
        <f>IF($U795="","",INDEX('Per Line'!$E$2:$E$3001,$U795))</f>
        <v/>
      </c>
      <c r="G795" s="7">
        <f>IF($U795="","",F795*S795/100)</f>
        <v/>
      </c>
      <c r="H795">
        <f>IF($U795="","",INDEX('Per Line'!$O$2:$O$3001,$U795)&amp;"")</f>
        <v/>
      </c>
      <c r="I795" s="11">
        <f>IF($U795="","",INDEX('Per Line'!$Q$2:$Q$3001,$U795))</f>
        <v/>
      </c>
      <c r="J795">
        <f>IF($U795="","",INDEX('Per Line'!$R$2:$R$3001,$U795)&amp;"")</f>
        <v/>
      </c>
      <c r="K795">
        <f>IF($U795="","",Settings!$C$7)</f>
        <v/>
      </c>
      <c r="L795" s="7">
        <f>IF($U795="","",SUMIFS('Per Line'!$N$2:$N$3001,'Per Line'!$A$2:$A$3001,$A795,'Per Line'!$W$2:$W$3001,0))</f>
        <v/>
      </c>
      <c r="M795" s="7">
        <f>IF($U795="","",L795*K795)</f>
        <v/>
      </c>
      <c r="N795">
        <f>IF($U795="","",Settings!$C$6)</f>
        <v/>
      </c>
      <c r="O795" s="7">
        <f>IF($U795="","",SUMIFS('Per Line'!$N$2:$N$3001,'Per Line'!$A$2:$A$3001,$A795,'Per Line'!$W$2:$W$3001,1))</f>
        <v/>
      </c>
      <c r="P795" s="7">
        <f>IF($U795="","",O795*N795)</f>
        <v/>
      </c>
      <c r="Q795" s="7">
        <f>IF($U795="","",P795+M795)</f>
        <v/>
      </c>
      <c r="R795" s="7">
        <f>IF($U795="","",S795-Q795)</f>
        <v/>
      </c>
      <c r="S795" s="7">
        <f>IF($U795="","",L795+O795)</f>
        <v/>
      </c>
      <c r="T795" s="7">
        <f>IF($U795="","",S795-Q795-G795)</f>
        <v/>
      </c>
      <c r="U795" s="13">
        <f>IF(ROWS($U$2:$U795)&lt;=MAX('Per Line'!$V$2:$V$3001),MATCH(ROWS($U$2:$U795),'Per Line'!$V$2:$V$3001,0),"")</f>
        <v/>
      </c>
    </row>
    <row r="796">
      <c r="A796">
        <f>IF($U796="","",INDEX('Per Line'!$A$2:$A$3001,$U796)&amp;"")</f>
        <v/>
      </c>
      <c r="B796" s="12" t="n"/>
      <c r="C796">
        <f>IF($U796="","",INDEX('Per Line'!$B$2:$B$3001,$U796)&amp;"")</f>
        <v/>
      </c>
      <c r="D796">
        <f>IF($U796="","",INDEX('Per Line'!$C$2:$C$3001,$U796)&amp;"")</f>
        <v/>
      </c>
      <c r="E796">
        <f>IF($U796="","",INDEX('Per Line'!$D$2:$D$3001,$U796)&amp;"")</f>
        <v/>
      </c>
      <c r="F796">
        <f>IF($U796="","",INDEX('Per Line'!$E$2:$E$3001,$U796))</f>
        <v/>
      </c>
      <c r="G796" s="7">
        <f>IF($U796="","",F796*S796/100)</f>
        <v/>
      </c>
      <c r="H796">
        <f>IF($U796="","",INDEX('Per Line'!$O$2:$O$3001,$U796)&amp;"")</f>
        <v/>
      </c>
      <c r="I796" s="11">
        <f>IF($U796="","",INDEX('Per Line'!$Q$2:$Q$3001,$U796))</f>
        <v/>
      </c>
      <c r="J796">
        <f>IF($U796="","",INDEX('Per Line'!$R$2:$R$3001,$U796)&amp;"")</f>
        <v/>
      </c>
      <c r="K796">
        <f>IF($U796="","",Settings!$C$7)</f>
        <v/>
      </c>
      <c r="L796" s="7">
        <f>IF($U796="","",SUMIFS('Per Line'!$N$2:$N$3001,'Per Line'!$A$2:$A$3001,$A796,'Per Line'!$W$2:$W$3001,0))</f>
        <v/>
      </c>
      <c r="M796" s="7">
        <f>IF($U796="","",L796*K796)</f>
        <v/>
      </c>
      <c r="N796">
        <f>IF($U796="","",Settings!$C$6)</f>
        <v/>
      </c>
      <c r="O796" s="7">
        <f>IF($U796="","",SUMIFS('Per Line'!$N$2:$N$3001,'Per Line'!$A$2:$A$3001,$A796,'Per Line'!$W$2:$W$3001,1))</f>
        <v/>
      </c>
      <c r="P796" s="7">
        <f>IF($U796="","",O796*N796)</f>
        <v/>
      </c>
      <c r="Q796" s="7">
        <f>IF($U796="","",P796+M796)</f>
        <v/>
      </c>
      <c r="R796" s="7">
        <f>IF($U796="","",S796-Q796)</f>
        <v/>
      </c>
      <c r="S796" s="7">
        <f>IF($U796="","",L796+O796)</f>
        <v/>
      </c>
      <c r="T796" s="7">
        <f>IF($U796="","",S796-Q796-G796)</f>
        <v/>
      </c>
      <c r="U796" s="13">
        <f>IF(ROWS($U$2:$U796)&lt;=MAX('Per Line'!$V$2:$V$3001),MATCH(ROWS($U$2:$U796),'Per Line'!$V$2:$V$3001,0),"")</f>
        <v/>
      </c>
    </row>
    <row r="797">
      <c r="A797">
        <f>IF($U797="","",INDEX('Per Line'!$A$2:$A$3001,$U797)&amp;"")</f>
        <v/>
      </c>
      <c r="B797" s="12" t="n"/>
      <c r="C797">
        <f>IF($U797="","",INDEX('Per Line'!$B$2:$B$3001,$U797)&amp;"")</f>
        <v/>
      </c>
      <c r="D797">
        <f>IF($U797="","",INDEX('Per Line'!$C$2:$C$3001,$U797)&amp;"")</f>
        <v/>
      </c>
      <c r="E797">
        <f>IF($U797="","",INDEX('Per Line'!$D$2:$D$3001,$U797)&amp;"")</f>
        <v/>
      </c>
      <c r="F797">
        <f>IF($U797="","",INDEX('Per Line'!$E$2:$E$3001,$U797))</f>
        <v/>
      </c>
      <c r="G797" s="7">
        <f>IF($U797="","",F797*S797/100)</f>
        <v/>
      </c>
      <c r="H797">
        <f>IF($U797="","",INDEX('Per Line'!$O$2:$O$3001,$U797)&amp;"")</f>
        <v/>
      </c>
      <c r="I797" s="11">
        <f>IF($U797="","",INDEX('Per Line'!$Q$2:$Q$3001,$U797))</f>
        <v/>
      </c>
      <c r="J797">
        <f>IF($U797="","",INDEX('Per Line'!$R$2:$R$3001,$U797)&amp;"")</f>
        <v/>
      </c>
      <c r="K797">
        <f>IF($U797="","",Settings!$C$7)</f>
        <v/>
      </c>
      <c r="L797" s="7">
        <f>IF($U797="","",SUMIFS('Per Line'!$N$2:$N$3001,'Per Line'!$A$2:$A$3001,$A797,'Per Line'!$W$2:$W$3001,0))</f>
        <v/>
      </c>
      <c r="M797" s="7">
        <f>IF($U797="","",L797*K797)</f>
        <v/>
      </c>
      <c r="N797">
        <f>IF($U797="","",Settings!$C$6)</f>
        <v/>
      </c>
      <c r="O797" s="7">
        <f>IF($U797="","",SUMIFS('Per Line'!$N$2:$N$3001,'Per Line'!$A$2:$A$3001,$A797,'Per Line'!$W$2:$W$3001,1))</f>
        <v/>
      </c>
      <c r="P797" s="7">
        <f>IF($U797="","",O797*N797)</f>
        <v/>
      </c>
      <c r="Q797" s="7">
        <f>IF($U797="","",P797+M797)</f>
        <v/>
      </c>
      <c r="R797" s="7">
        <f>IF($U797="","",S797-Q797)</f>
        <v/>
      </c>
      <c r="S797" s="7">
        <f>IF($U797="","",L797+O797)</f>
        <v/>
      </c>
      <c r="T797" s="7">
        <f>IF($U797="","",S797-Q797-G797)</f>
        <v/>
      </c>
      <c r="U797" s="13">
        <f>IF(ROWS($U$2:$U797)&lt;=MAX('Per Line'!$V$2:$V$3001),MATCH(ROWS($U$2:$U797),'Per Line'!$V$2:$V$3001,0),"")</f>
        <v/>
      </c>
    </row>
    <row r="798">
      <c r="A798">
        <f>IF($U798="","",INDEX('Per Line'!$A$2:$A$3001,$U798)&amp;"")</f>
        <v/>
      </c>
      <c r="B798" s="12" t="n"/>
      <c r="C798">
        <f>IF($U798="","",INDEX('Per Line'!$B$2:$B$3001,$U798)&amp;"")</f>
        <v/>
      </c>
      <c r="D798">
        <f>IF($U798="","",INDEX('Per Line'!$C$2:$C$3001,$U798)&amp;"")</f>
        <v/>
      </c>
      <c r="E798">
        <f>IF($U798="","",INDEX('Per Line'!$D$2:$D$3001,$U798)&amp;"")</f>
        <v/>
      </c>
      <c r="F798">
        <f>IF($U798="","",INDEX('Per Line'!$E$2:$E$3001,$U798))</f>
        <v/>
      </c>
      <c r="G798" s="7">
        <f>IF($U798="","",F798*S798/100)</f>
        <v/>
      </c>
      <c r="H798">
        <f>IF($U798="","",INDEX('Per Line'!$O$2:$O$3001,$U798)&amp;"")</f>
        <v/>
      </c>
      <c r="I798" s="11">
        <f>IF($U798="","",INDEX('Per Line'!$Q$2:$Q$3001,$U798))</f>
        <v/>
      </c>
      <c r="J798">
        <f>IF($U798="","",INDEX('Per Line'!$R$2:$R$3001,$U798)&amp;"")</f>
        <v/>
      </c>
      <c r="K798">
        <f>IF($U798="","",Settings!$C$7)</f>
        <v/>
      </c>
      <c r="L798" s="7">
        <f>IF($U798="","",SUMIFS('Per Line'!$N$2:$N$3001,'Per Line'!$A$2:$A$3001,$A798,'Per Line'!$W$2:$W$3001,0))</f>
        <v/>
      </c>
      <c r="M798" s="7">
        <f>IF($U798="","",L798*K798)</f>
        <v/>
      </c>
      <c r="N798">
        <f>IF($U798="","",Settings!$C$6)</f>
        <v/>
      </c>
      <c r="O798" s="7">
        <f>IF($U798="","",SUMIFS('Per Line'!$N$2:$N$3001,'Per Line'!$A$2:$A$3001,$A798,'Per Line'!$W$2:$W$3001,1))</f>
        <v/>
      </c>
      <c r="P798" s="7">
        <f>IF($U798="","",O798*N798)</f>
        <v/>
      </c>
      <c r="Q798" s="7">
        <f>IF($U798="","",P798+M798)</f>
        <v/>
      </c>
      <c r="R798" s="7">
        <f>IF($U798="","",S798-Q798)</f>
        <v/>
      </c>
      <c r="S798" s="7">
        <f>IF($U798="","",L798+O798)</f>
        <v/>
      </c>
      <c r="T798" s="7">
        <f>IF($U798="","",S798-Q798-G798)</f>
        <v/>
      </c>
      <c r="U798" s="13">
        <f>IF(ROWS($U$2:$U798)&lt;=MAX('Per Line'!$V$2:$V$3001),MATCH(ROWS($U$2:$U798),'Per Line'!$V$2:$V$3001,0),"")</f>
        <v/>
      </c>
    </row>
    <row r="799">
      <c r="A799">
        <f>IF($U799="","",INDEX('Per Line'!$A$2:$A$3001,$U799)&amp;"")</f>
        <v/>
      </c>
      <c r="B799" s="12" t="n"/>
      <c r="C799">
        <f>IF($U799="","",INDEX('Per Line'!$B$2:$B$3001,$U799)&amp;"")</f>
        <v/>
      </c>
      <c r="D799">
        <f>IF($U799="","",INDEX('Per Line'!$C$2:$C$3001,$U799)&amp;"")</f>
        <v/>
      </c>
      <c r="E799">
        <f>IF($U799="","",INDEX('Per Line'!$D$2:$D$3001,$U799)&amp;"")</f>
        <v/>
      </c>
      <c r="F799">
        <f>IF($U799="","",INDEX('Per Line'!$E$2:$E$3001,$U799))</f>
        <v/>
      </c>
      <c r="G799" s="7">
        <f>IF($U799="","",F799*S799/100)</f>
        <v/>
      </c>
      <c r="H799">
        <f>IF($U799="","",INDEX('Per Line'!$O$2:$O$3001,$U799)&amp;"")</f>
        <v/>
      </c>
      <c r="I799" s="11">
        <f>IF($U799="","",INDEX('Per Line'!$Q$2:$Q$3001,$U799))</f>
        <v/>
      </c>
      <c r="J799">
        <f>IF($U799="","",INDEX('Per Line'!$R$2:$R$3001,$U799)&amp;"")</f>
        <v/>
      </c>
      <c r="K799">
        <f>IF($U799="","",Settings!$C$7)</f>
        <v/>
      </c>
      <c r="L799" s="7">
        <f>IF($U799="","",SUMIFS('Per Line'!$N$2:$N$3001,'Per Line'!$A$2:$A$3001,$A799,'Per Line'!$W$2:$W$3001,0))</f>
        <v/>
      </c>
      <c r="M799" s="7">
        <f>IF($U799="","",L799*K799)</f>
        <v/>
      </c>
      <c r="N799">
        <f>IF($U799="","",Settings!$C$6)</f>
        <v/>
      </c>
      <c r="O799" s="7">
        <f>IF($U799="","",SUMIFS('Per Line'!$N$2:$N$3001,'Per Line'!$A$2:$A$3001,$A799,'Per Line'!$W$2:$W$3001,1))</f>
        <v/>
      </c>
      <c r="P799" s="7">
        <f>IF($U799="","",O799*N799)</f>
        <v/>
      </c>
      <c r="Q799" s="7">
        <f>IF($U799="","",P799+M799)</f>
        <v/>
      </c>
      <c r="R799" s="7">
        <f>IF($U799="","",S799-Q799)</f>
        <v/>
      </c>
      <c r="S799" s="7">
        <f>IF($U799="","",L799+O799)</f>
        <v/>
      </c>
      <c r="T799" s="7">
        <f>IF($U799="","",S799-Q799-G799)</f>
        <v/>
      </c>
      <c r="U799" s="13">
        <f>IF(ROWS($U$2:$U799)&lt;=MAX('Per Line'!$V$2:$V$3001),MATCH(ROWS($U$2:$U799),'Per Line'!$V$2:$V$3001,0),"")</f>
        <v/>
      </c>
    </row>
    <row r="800">
      <c r="A800">
        <f>IF($U800="","",INDEX('Per Line'!$A$2:$A$3001,$U800)&amp;"")</f>
        <v/>
      </c>
      <c r="B800" s="12" t="n"/>
      <c r="C800">
        <f>IF($U800="","",INDEX('Per Line'!$B$2:$B$3001,$U800)&amp;"")</f>
        <v/>
      </c>
      <c r="D800">
        <f>IF($U800="","",INDEX('Per Line'!$C$2:$C$3001,$U800)&amp;"")</f>
        <v/>
      </c>
      <c r="E800">
        <f>IF($U800="","",INDEX('Per Line'!$D$2:$D$3001,$U800)&amp;"")</f>
        <v/>
      </c>
      <c r="F800">
        <f>IF($U800="","",INDEX('Per Line'!$E$2:$E$3001,$U800))</f>
        <v/>
      </c>
      <c r="G800" s="7">
        <f>IF($U800="","",F800*S800/100)</f>
        <v/>
      </c>
      <c r="H800">
        <f>IF($U800="","",INDEX('Per Line'!$O$2:$O$3001,$U800)&amp;"")</f>
        <v/>
      </c>
      <c r="I800" s="11">
        <f>IF($U800="","",INDEX('Per Line'!$Q$2:$Q$3001,$U800))</f>
        <v/>
      </c>
      <c r="J800">
        <f>IF($U800="","",INDEX('Per Line'!$R$2:$R$3001,$U800)&amp;"")</f>
        <v/>
      </c>
      <c r="K800">
        <f>IF($U800="","",Settings!$C$7)</f>
        <v/>
      </c>
      <c r="L800" s="7">
        <f>IF($U800="","",SUMIFS('Per Line'!$N$2:$N$3001,'Per Line'!$A$2:$A$3001,$A800,'Per Line'!$W$2:$W$3001,0))</f>
        <v/>
      </c>
      <c r="M800" s="7">
        <f>IF($U800="","",L800*K800)</f>
        <v/>
      </c>
      <c r="N800">
        <f>IF($U800="","",Settings!$C$6)</f>
        <v/>
      </c>
      <c r="O800" s="7">
        <f>IF($U800="","",SUMIFS('Per Line'!$N$2:$N$3001,'Per Line'!$A$2:$A$3001,$A800,'Per Line'!$W$2:$W$3001,1))</f>
        <v/>
      </c>
      <c r="P800" s="7">
        <f>IF($U800="","",O800*N800)</f>
        <v/>
      </c>
      <c r="Q800" s="7">
        <f>IF($U800="","",P800+M800)</f>
        <v/>
      </c>
      <c r="R800" s="7">
        <f>IF($U800="","",S800-Q800)</f>
        <v/>
      </c>
      <c r="S800" s="7">
        <f>IF($U800="","",L800+O800)</f>
        <v/>
      </c>
      <c r="T800" s="7">
        <f>IF($U800="","",S800-Q800-G800)</f>
        <v/>
      </c>
      <c r="U800" s="13">
        <f>IF(ROWS($U$2:$U800)&lt;=MAX('Per Line'!$V$2:$V$3001),MATCH(ROWS($U$2:$U800),'Per Line'!$V$2:$V$3001,0),"")</f>
        <v/>
      </c>
    </row>
    <row r="801">
      <c r="A801">
        <f>IF($U801="","",INDEX('Per Line'!$A$2:$A$3001,$U801)&amp;"")</f>
        <v/>
      </c>
      <c r="B801" s="12" t="n"/>
      <c r="C801">
        <f>IF($U801="","",INDEX('Per Line'!$B$2:$B$3001,$U801)&amp;"")</f>
        <v/>
      </c>
      <c r="D801">
        <f>IF($U801="","",INDEX('Per Line'!$C$2:$C$3001,$U801)&amp;"")</f>
        <v/>
      </c>
      <c r="E801">
        <f>IF($U801="","",INDEX('Per Line'!$D$2:$D$3001,$U801)&amp;"")</f>
        <v/>
      </c>
      <c r="F801">
        <f>IF($U801="","",INDEX('Per Line'!$E$2:$E$3001,$U801))</f>
        <v/>
      </c>
      <c r="G801" s="7">
        <f>IF($U801="","",F801*S801/100)</f>
        <v/>
      </c>
      <c r="H801">
        <f>IF($U801="","",INDEX('Per Line'!$O$2:$O$3001,$U801)&amp;"")</f>
        <v/>
      </c>
      <c r="I801" s="11">
        <f>IF($U801="","",INDEX('Per Line'!$Q$2:$Q$3001,$U801))</f>
        <v/>
      </c>
      <c r="J801">
        <f>IF($U801="","",INDEX('Per Line'!$R$2:$R$3001,$U801)&amp;"")</f>
        <v/>
      </c>
      <c r="K801">
        <f>IF($U801="","",Settings!$C$7)</f>
        <v/>
      </c>
      <c r="L801" s="7">
        <f>IF($U801="","",SUMIFS('Per Line'!$N$2:$N$3001,'Per Line'!$A$2:$A$3001,$A801,'Per Line'!$W$2:$W$3001,0))</f>
        <v/>
      </c>
      <c r="M801" s="7">
        <f>IF($U801="","",L801*K801)</f>
        <v/>
      </c>
      <c r="N801">
        <f>IF($U801="","",Settings!$C$6)</f>
        <v/>
      </c>
      <c r="O801" s="7">
        <f>IF($U801="","",SUMIFS('Per Line'!$N$2:$N$3001,'Per Line'!$A$2:$A$3001,$A801,'Per Line'!$W$2:$W$3001,1))</f>
        <v/>
      </c>
      <c r="P801" s="7">
        <f>IF($U801="","",O801*N801)</f>
        <v/>
      </c>
      <c r="Q801" s="7">
        <f>IF($U801="","",P801+M801)</f>
        <v/>
      </c>
      <c r="R801" s="7">
        <f>IF($U801="","",S801-Q801)</f>
        <v/>
      </c>
      <c r="S801" s="7">
        <f>IF($U801="","",L801+O801)</f>
        <v/>
      </c>
      <c r="T801" s="7">
        <f>IF($U801="","",S801-Q801-G801)</f>
        <v/>
      </c>
      <c r="U801" s="13">
        <f>IF(ROWS($U$2:$U801)&lt;=MAX('Per Line'!$V$2:$V$3001),MATCH(ROWS($U$2:$U801),'Per Line'!$V$2:$V$3001,0),"")</f>
        <v/>
      </c>
    </row>
  </sheetData>
  <autoFilter ref="A1:U8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2026-10-20T11:06:37Z</dcterms:created>
  <dcterms:modified xmlns:dcterms="http://purl.org/dc/terms/" xmlns:xsi="http://www.w3.org/2001/XMLSchema-instance" xsi:type="dcterms:W3CDTF">2026-10-20T11:06:37Z</dcterms:modified>
</cp:coreProperties>
</file>