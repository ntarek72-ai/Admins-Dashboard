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er Line" sheetId="4" state="visible" r:id="rId4"/>
    <sheet xmlns:r="http://schemas.openxmlformats.org/officeDocument/2006/relationships" name="Per Invoice" sheetId="5" state="visible" r:id="rId5"/>
  </sheets>
  <definedNames>
    <definedName name="_xlnm._FilterDatabase" localSheetId="3" hidden="1">'Per Line'!$A$1:$AD$2501</definedName>
    <definedName name="_xlnm._FilterDatabase" localSheetId="4" hidden="1">'Per Invoice'!$A$1:$M$701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####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164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2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METLIFE - CHRONIC TEMPLATE</t>
        </is>
      </c>
    </row>
    <row r="3">
      <c r="B3" s="2" t="inlineStr">
        <is>
          <t>Colours: blue header = pasted or typed by you, green header = formula (do not paste over it), grey header = helper, yellow = editable setting.</t>
        </is>
      </c>
    </row>
    <row r="4">
      <c r="B4" s="2" t="inlineStr"/>
    </row>
    <row r="5">
      <c r="B5" s="2" t="inlineStr">
        <is>
          <t>1. In 'Per Line', paste the lines of the sheet from row 2 into the blue columns: A-W, AA-AB.</t>
        </is>
      </c>
    </row>
    <row r="6">
      <c r="B6" s="2" t="inlineStr">
        <is>
          <t xml:space="preserve">   Do NOT paste over the green formula columns: X-Z, AC (they calculate Discount, Co val, Subtotal and Net from the Total Approved, Rebates % and Copay % you pasted).</t>
        </is>
      </c>
    </row>
    <row r="7">
      <c r="B7" s="2" t="inlineStr">
        <is>
          <t xml:space="preserve">   Paste the columns in the same order as the source sheet. Rebates % and Copay % come from the sheet, so there are no rates to set. If a Rebates % is typed as a fraction below 1 (for example 0.12), the template reads it as a percent (12).</t>
        </is>
      </c>
    </row>
    <row r="8">
      <c r="B8" s="2" t="inlineStr">
        <is>
          <t>2. 'Per Invoice' fills itself: one row per So, in the order the orders first appear in 'Per Line'. The Status column comes from 'Per Line'. Type Card, ERX in the blue columns.</t>
        </is>
      </c>
    </row>
    <row r="9">
      <c r="B9" s="2" t="inlineStr">
        <is>
          <t>3. 'Summary' shows the count and totals by Status (Full Match, Not Match, Other).</t>
        </is>
      </c>
    </row>
    <row r="10">
      <c r="B10" s="2" t="inlineStr">
        <is>
          <t>4. Open 'Settings': STATUS must say OK. If it says CHECK, a total in 'Per Line' differs from 'Per Invoice', there are more orders than the template has room for.</t>
        </is>
      </c>
    </row>
    <row r="11">
      <c r="B11" s="2" t="inlineStr"/>
    </row>
    <row r="12">
      <c r="B12" s="2" t="inlineStr">
        <is>
          <t>To start a new month: clear the blue cells in 'Per Line' (row 2 down) and the blue cells in 'Per Invoice', then paste again.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24" customWidth="1" min="3" max="3"/>
    <col width="70" customWidth="1" min="4" max="4"/>
  </cols>
  <sheetData>
    <row r="1">
      <c r="B1" s="1" t="inlineStr">
        <is>
          <t>METLIFE - CHRONIC - SETTINGS</t>
        </is>
      </c>
    </row>
    <row r="3">
      <c r="B3" t="inlineStr">
        <is>
          <t>Insurance company</t>
        </is>
      </c>
      <c r="C3" t="inlineStr">
        <is>
          <t>Metlife</t>
        </is>
      </c>
      <c r="D3" t="inlineStr">
        <is>
          <t>Rebates % and Copay % are typed on every line of the export, so there are no rates to set here.</t>
        </is>
      </c>
    </row>
    <row r="4">
      <c r="B4" t="inlineStr">
        <is>
          <t>Type</t>
        </is>
      </c>
      <c r="C4" t="inlineStr">
        <is>
          <t>Chronic</t>
        </is>
      </c>
    </row>
    <row r="5">
      <c r="B5" t="inlineStr">
        <is>
          <t>Month (as in the source sheet)</t>
        </is>
      </c>
      <c r="C5" t="inlineStr">
        <is>
          <t>September 2026</t>
        </is>
      </c>
    </row>
    <row r="9">
      <c r="B9" s="3" t="inlineStr">
        <is>
          <t>Reconciliation (Per Line vs Per Invoice)</t>
        </is>
      </c>
    </row>
    <row r="10">
      <c r="B10" t="inlineStr">
        <is>
          <t>Lines loaded</t>
        </is>
      </c>
      <c r="C10" s="4">
        <f>COUNTA('Per Line'!$D$2:$D$2501)</f>
        <v/>
      </c>
    </row>
    <row r="11">
      <c r="B11" t="inlineStr">
        <is>
          <t>Invoices (unique So)</t>
        </is>
      </c>
      <c r="C11" s="4">
        <f>MAX('Per Line'!$AD$2:$AD$2501)</f>
        <v/>
      </c>
    </row>
    <row r="12">
      <c r="B12" t="inlineStr">
        <is>
          <t>Invoices shown in Per Invoice</t>
        </is>
      </c>
      <c r="C12" s="4">
        <f>COUNTIF('Per Invoice'!$B$2:$B$701,"?*")+COUNT('Per Invoice'!$B$2:$B$701)</f>
        <v/>
      </c>
    </row>
    <row r="13">
      <c r="B13" t="inlineStr">
        <is>
          <t>Total Approved - Per Line</t>
        </is>
      </c>
      <c r="C13" s="5">
        <f>SUM('Per Line'!$W$2:$W$2501)</f>
        <v/>
      </c>
    </row>
    <row r="14">
      <c r="B14" t="inlineStr">
        <is>
          <t>Total Approved - Per Invoice</t>
        </is>
      </c>
      <c r="C14" s="5">
        <f>SUM('Per Invoice'!$G$2:$G$701)</f>
        <v/>
      </c>
    </row>
    <row r="15">
      <c r="B15" t="inlineStr">
        <is>
          <t>Discount - Per Line</t>
        </is>
      </c>
      <c r="C15" s="5">
        <f>SUM('Per Line'!$X$2:$X$2501)</f>
        <v/>
      </c>
    </row>
    <row r="16">
      <c r="B16" t="inlineStr">
        <is>
          <t>Discount - Per Invoice</t>
        </is>
      </c>
      <c r="C16" s="5">
        <f>SUM('Per Invoice'!$H$2:$H$701)</f>
        <v/>
      </c>
    </row>
    <row r="17">
      <c r="B17" t="inlineStr">
        <is>
          <t>Co val - Per Line</t>
        </is>
      </c>
      <c r="C17" s="5">
        <f>SUM('Per Line'!$Y$2:$Y$2501)</f>
        <v/>
      </c>
    </row>
    <row r="18">
      <c r="B18" t="inlineStr">
        <is>
          <t>Co val - Per Invoice</t>
        </is>
      </c>
      <c r="C18" s="5">
        <f>SUM('Per Invoice'!$I$2:$I$701)</f>
        <v/>
      </c>
    </row>
    <row r="19">
      <c r="B19" t="inlineStr">
        <is>
          <t>Net - Per Line</t>
        </is>
      </c>
      <c r="C19" s="5">
        <f>SUM('Per Line'!$AC$2:$AC$2501)</f>
        <v/>
      </c>
    </row>
    <row r="20">
      <c r="B20" t="inlineStr">
        <is>
          <t>Net - Per Invoice</t>
        </is>
      </c>
      <c r="C20" s="5">
        <f>SUM('Per Invoice'!$K$2:$K$701)</f>
        <v/>
      </c>
    </row>
    <row r="21">
      <c r="B21" t="inlineStr">
        <is>
          <t>Orders that do not fit in Per Invoice (must be 0)</t>
        </is>
      </c>
      <c r="C21">
        <f>MAX(0,C11-700)</f>
        <v/>
      </c>
    </row>
    <row r="23">
      <c r="B23" s="3" t="inlineStr">
        <is>
          <t>STATUS</t>
        </is>
      </c>
      <c r="C23" s="3">
        <f>IF(C10=0,"No data loaded",IF(AND(C21=0,C12=C11,ABS(C13-C14)&lt;0.01,ABS(C15-C16)&lt;0.01,ABS(C17-C18)&lt;0.01,ABS(C19-C20)&lt;0.01),"OK","CHECK"))</f>
        <v/>
      </c>
      <c r="D23" t="inlineStr">
        <is>
          <t>Per Line has room for 2500 lines and Per Invoice for 700 invoices.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6" t="inlineStr">
        <is>
          <t>Status</t>
        </is>
      </c>
      <c r="B1" s="6" t="inlineStr">
        <is>
          <t>Count of So</t>
        </is>
      </c>
      <c r="C1" s="6" t="inlineStr">
        <is>
          <t>Sum of Total Approved</t>
        </is>
      </c>
      <c r="D1" s="6" t="inlineStr">
        <is>
          <t>Sum of dis</t>
        </is>
      </c>
      <c r="E1" s="6" t="inlineStr">
        <is>
          <t>Sum of Paid Amount</t>
        </is>
      </c>
      <c r="F1" s="6" t="inlineStr">
        <is>
          <t>Sum of Subtotal</t>
        </is>
      </c>
      <c r="G1" s="6" t="inlineStr">
        <is>
          <t>Sum of Net Amt</t>
        </is>
      </c>
    </row>
    <row r="2">
      <c r="A2" t="inlineStr">
        <is>
          <t>Full Match</t>
        </is>
      </c>
      <c r="B2">
        <f>COUNTIF('Per Invoice'!$M$2:$M$701,A2)</f>
        <v/>
      </c>
      <c r="C2" s="5">
        <f>SUMIFS('Per Invoice'!$G$2:$G$701,'Per Invoice'!$M$2:$M$701,$A2)</f>
        <v/>
      </c>
      <c r="D2" s="5">
        <f>SUMIFS('Per Invoice'!$H$2:$H$701,'Per Invoice'!$M$2:$M$701,$A2)</f>
        <v/>
      </c>
      <c r="E2" s="5">
        <f>SUMIFS('Per Invoice'!$I$2:$I$701,'Per Invoice'!$M$2:$M$701,$A2)</f>
        <v/>
      </c>
      <c r="F2" s="5">
        <f>SUMIFS('Per Invoice'!$J$2:$J$701,'Per Invoice'!$M$2:$M$701,$A2)</f>
        <v/>
      </c>
      <c r="G2" s="5">
        <f>SUMIFS('Per Invoice'!$K$2:$K$701,'Per Invoice'!$M$2:$M$701,$A2)</f>
        <v/>
      </c>
    </row>
    <row r="3">
      <c r="A3" t="inlineStr">
        <is>
          <t>Not Match</t>
        </is>
      </c>
      <c r="B3">
        <f>COUNTIF('Per Invoice'!$M$2:$M$701,A3)</f>
        <v/>
      </c>
      <c r="C3" s="5">
        <f>SUMIFS('Per Invoice'!$G$2:$G$701,'Per Invoice'!$M$2:$M$701,$A3)</f>
        <v/>
      </c>
      <c r="D3" s="5">
        <f>SUMIFS('Per Invoice'!$H$2:$H$701,'Per Invoice'!$M$2:$M$701,$A3)</f>
        <v/>
      </c>
      <c r="E3" s="5">
        <f>SUMIFS('Per Invoice'!$I$2:$I$701,'Per Invoice'!$M$2:$M$701,$A3)</f>
        <v/>
      </c>
      <c r="F3" s="5">
        <f>SUMIFS('Per Invoice'!$J$2:$J$701,'Per Invoice'!$M$2:$M$701,$A3)</f>
        <v/>
      </c>
      <c r="G3" s="5">
        <f>SUMIFS('Per Invoice'!$K$2:$K$701,'Per Invoice'!$M$2:$M$701,$A3)</f>
        <v/>
      </c>
    </row>
    <row r="4">
      <c r="A4" t="inlineStr">
        <is>
          <t>Other / Unassigned</t>
        </is>
      </c>
      <c r="B4">
        <f>B5-SUM(B2:B3)</f>
        <v/>
      </c>
      <c r="C4" s="5">
        <f>C5-SUM(C2:C3)</f>
        <v/>
      </c>
      <c r="D4" s="5">
        <f>D5-SUM(D2:D3)</f>
        <v/>
      </c>
      <c r="E4" s="5">
        <f>E5-SUM(E2:E3)</f>
        <v/>
      </c>
      <c r="F4" s="5">
        <f>F5-SUM(F2:F3)</f>
        <v/>
      </c>
      <c r="G4" s="5">
        <f>G5-SUM(G2:G3)</f>
        <v/>
      </c>
    </row>
    <row r="5">
      <c r="A5" s="3" t="inlineStr">
        <is>
          <t>Grand Total</t>
        </is>
      </c>
      <c r="B5" s="3">
        <f>COUNTIF('Per Invoice'!$B$2:$B$701,"?*")</f>
        <v/>
      </c>
      <c r="C5" s="7">
        <f>SUM('Per Invoice'!$G$2:$G$701)</f>
        <v/>
      </c>
      <c r="D5" s="7">
        <f>SUM('Per Invoice'!$H$2:$H$701)</f>
        <v/>
      </c>
      <c r="E5" s="7">
        <f>SUM('Per Invoice'!$I$2:$I$701)</f>
        <v/>
      </c>
      <c r="F5" s="7">
        <f>SUM('Per Invoice'!$J$2:$J$701)</f>
        <v/>
      </c>
      <c r="G5" s="7">
        <f>SUM('Per Invoice'!$K$2:$K$701)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AD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  <col width="14" customWidth="1" min="9" max="9"/>
    <col width="30" customWidth="1" min="10" max="10"/>
    <col width="14" customWidth="1" min="11" max="11"/>
    <col width="22" customWidth="1" min="12" max="12"/>
    <col width="14" customWidth="1" min="13" max="13"/>
    <col width="14" customWidth="1" min="14" max="14"/>
    <col width="14" customWidth="1" min="15" max="15"/>
    <col width="4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2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32" customHeight="1">
      <c r="A1" s="8" t="inlineStr">
        <is>
          <t>Lot</t>
        </is>
      </c>
      <c r="B1" s="8" t="inlineStr">
        <is>
          <t>Glob Med Ref</t>
        </is>
      </c>
      <c r="C1" s="8" t="inlineStr">
        <is>
          <t>SSNBR</t>
        </is>
      </c>
      <c r="D1" s="8" t="inlineStr">
        <is>
          <t>So</t>
        </is>
      </c>
      <c r="E1" s="8" t="inlineStr">
        <is>
          <t>Status</t>
        </is>
      </c>
      <c r="F1" s="8" t="inlineStr">
        <is>
          <t>Dependent code</t>
        </is>
      </c>
      <c r="G1" s="8" t="inlineStr">
        <is>
          <t>Individual Number</t>
        </is>
      </c>
      <c r="H1" s="8" t="inlineStr">
        <is>
          <t>Provider Name</t>
        </is>
      </c>
      <c r="I1" s="8" t="inlineStr">
        <is>
          <t>real Provider Code</t>
        </is>
      </c>
      <c r="J1" s="8" t="inlineStr">
        <is>
          <t>real Provider Name</t>
        </is>
      </c>
      <c r="K1" s="8" t="inlineStr">
        <is>
          <t>DIAG 1(ICD9)</t>
        </is>
      </c>
      <c r="L1" s="8" t="inlineStr">
        <is>
          <t>Concat</t>
        </is>
      </c>
      <c r="M1" s="8" t="inlineStr">
        <is>
          <t>HZB</t>
        </is>
      </c>
      <c r="N1" s="8" t="inlineStr">
        <is>
          <t>Item code</t>
        </is>
      </c>
      <c r="O1" s="8" t="inlineStr">
        <is>
          <t>Globemed Item Code</t>
        </is>
      </c>
      <c r="P1" s="8" t="inlineStr">
        <is>
          <t>Item description</t>
        </is>
      </c>
      <c r="Q1" s="8" t="inlineStr">
        <is>
          <t>Comment1</t>
        </is>
      </c>
      <c r="R1" s="8" t="inlineStr">
        <is>
          <t>comment2</t>
        </is>
      </c>
      <c r="S1" s="8" t="inlineStr">
        <is>
          <t>Alternative</t>
        </is>
      </c>
      <c r="T1" s="8" t="inlineStr">
        <is>
          <t>Unit Type Dispensed</t>
        </is>
      </c>
      <c r="U1" s="8" t="inlineStr">
        <is>
          <t>Svc Date</t>
        </is>
      </c>
      <c r="V1" s="8" t="inlineStr">
        <is>
          <t>Qty Approved</t>
        </is>
      </c>
      <c r="W1" s="8" t="inlineStr">
        <is>
          <t>Total Approved</t>
        </is>
      </c>
      <c r="X1" s="6" t="inlineStr">
        <is>
          <t>dis</t>
        </is>
      </c>
      <c r="Y1" s="6" t="inlineStr">
        <is>
          <t>Paid Amount</t>
        </is>
      </c>
      <c r="Z1" s="6" t="inlineStr">
        <is>
          <t>Subtotal</t>
        </is>
      </c>
      <c r="AA1" s="8" t="inlineStr">
        <is>
          <t>Co pay%</t>
        </is>
      </c>
      <c r="AB1" s="8" t="inlineStr">
        <is>
          <t>Rebates</t>
        </is>
      </c>
      <c r="AC1" s="6" t="inlineStr">
        <is>
          <t>Net Amt</t>
        </is>
      </c>
      <c r="AD1" s="9" t="inlineStr">
        <is>
          <t>Order Seq (helper)</t>
        </is>
      </c>
    </row>
    <row r="2">
      <c r="X2" s="5">
        <f>IF(D2="","",W2*IF(AND(ISNUMBER(AB2),AB2&gt;0,AB2&lt;1),AB2*100,AB2)/100)</f>
        <v/>
      </c>
      <c r="Y2" s="5">
        <f>IF(D2="","",AA2*Z2/100)</f>
        <v/>
      </c>
      <c r="Z2" s="5">
        <f>IF(D2="","",W2-X2)</f>
        <v/>
      </c>
      <c r="AC2" s="5">
        <f>IF(D2="","",Z2-Y2)</f>
        <v/>
      </c>
      <c r="AD2">
        <f>IF(D2="","",N(AD1)+IF(MATCH(D2,$D$2:$D$2501,0)=ROW()-1,1,0))</f>
        <v/>
      </c>
    </row>
    <row r="3">
      <c r="X3" s="5">
        <f>IF(D3="","",W3*IF(AND(ISNUMBER(AB3),AB3&gt;0,AB3&lt;1),AB3*100,AB3)/100)</f>
        <v/>
      </c>
      <c r="Y3" s="5">
        <f>IF(D3="","",AA3*Z3/100)</f>
        <v/>
      </c>
      <c r="Z3" s="5">
        <f>IF(D3="","",W3-X3)</f>
        <v/>
      </c>
      <c r="AC3" s="5">
        <f>IF(D3="","",Z3-Y3)</f>
        <v/>
      </c>
      <c r="AD3">
        <f>IF(D3="","",N(AD2)+IF(MATCH(D3,$D$2:$D$2501,0)=ROW()-1,1,0))</f>
        <v/>
      </c>
    </row>
    <row r="4">
      <c r="X4" s="5">
        <f>IF(D4="","",W4*IF(AND(ISNUMBER(AB4),AB4&gt;0,AB4&lt;1),AB4*100,AB4)/100)</f>
        <v/>
      </c>
      <c r="Y4" s="5">
        <f>IF(D4="","",AA4*Z4/100)</f>
        <v/>
      </c>
      <c r="Z4" s="5">
        <f>IF(D4="","",W4-X4)</f>
        <v/>
      </c>
      <c r="AC4" s="5">
        <f>IF(D4="","",Z4-Y4)</f>
        <v/>
      </c>
      <c r="AD4">
        <f>IF(D4="","",N(AD3)+IF(MATCH(D4,$D$2:$D$2501,0)=ROW()-1,1,0))</f>
        <v/>
      </c>
    </row>
    <row r="5">
      <c r="X5" s="5">
        <f>IF(D5="","",W5*IF(AND(ISNUMBER(AB5),AB5&gt;0,AB5&lt;1),AB5*100,AB5)/100)</f>
        <v/>
      </c>
      <c r="Y5" s="5">
        <f>IF(D5="","",AA5*Z5/100)</f>
        <v/>
      </c>
      <c r="Z5" s="5">
        <f>IF(D5="","",W5-X5)</f>
        <v/>
      </c>
      <c r="AC5" s="5">
        <f>IF(D5="","",Z5-Y5)</f>
        <v/>
      </c>
      <c r="AD5">
        <f>IF(D5="","",N(AD4)+IF(MATCH(D5,$D$2:$D$2501,0)=ROW()-1,1,0))</f>
        <v/>
      </c>
    </row>
    <row r="6">
      <c r="X6" s="5">
        <f>IF(D6="","",W6*IF(AND(ISNUMBER(AB6),AB6&gt;0,AB6&lt;1),AB6*100,AB6)/100)</f>
        <v/>
      </c>
      <c r="Y6" s="5">
        <f>IF(D6="","",AA6*Z6/100)</f>
        <v/>
      </c>
      <c r="Z6" s="5">
        <f>IF(D6="","",W6-X6)</f>
        <v/>
      </c>
      <c r="AC6" s="5">
        <f>IF(D6="","",Z6-Y6)</f>
        <v/>
      </c>
      <c r="AD6">
        <f>IF(D6="","",N(AD5)+IF(MATCH(D6,$D$2:$D$2501,0)=ROW()-1,1,0))</f>
        <v/>
      </c>
    </row>
    <row r="7">
      <c r="X7" s="5">
        <f>IF(D7="","",W7*IF(AND(ISNUMBER(AB7),AB7&gt;0,AB7&lt;1),AB7*100,AB7)/100)</f>
        <v/>
      </c>
      <c r="Y7" s="5">
        <f>IF(D7="","",AA7*Z7/100)</f>
        <v/>
      </c>
      <c r="Z7" s="5">
        <f>IF(D7="","",W7-X7)</f>
        <v/>
      </c>
      <c r="AC7" s="5">
        <f>IF(D7="","",Z7-Y7)</f>
        <v/>
      </c>
      <c r="AD7">
        <f>IF(D7="","",N(AD6)+IF(MATCH(D7,$D$2:$D$2501,0)=ROW()-1,1,0))</f>
        <v/>
      </c>
    </row>
    <row r="8">
      <c r="X8" s="5">
        <f>IF(D8="","",W8*IF(AND(ISNUMBER(AB8),AB8&gt;0,AB8&lt;1),AB8*100,AB8)/100)</f>
        <v/>
      </c>
      <c r="Y8" s="5">
        <f>IF(D8="","",AA8*Z8/100)</f>
        <v/>
      </c>
      <c r="Z8" s="5">
        <f>IF(D8="","",W8-X8)</f>
        <v/>
      </c>
      <c r="AC8" s="5">
        <f>IF(D8="","",Z8-Y8)</f>
        <v/>
      </c>
      <c r="AD8">
        <f>IF(D8="","",N(AD7)+IF(MATCH(D8,$D$2:$D$2501,0)=ROW()-1,1,0))</f>
        <v/>
      </c>
    </row>
    <row r="9">
      <c r="X9" s="5">
        <f>IF(D9="","",W9*IF(AND(ISNUMBER(AB9),AB9&gt;0,AB9&lt;1),AB9*100,AB9)/100)</f>
        <v/>
      </c>
      <c r="Y9" s="5">
        <f>IF(D9="","",AA9*Z9/100)</f>
        <v/>
      </c>
      <c r="Z9" s="5">
        <f>IF(D9="","",W9-X9)</f>
        <v/>
      </c>
      <c r="AC9" s="5">
        <f>IF(D9="","",Z9-Y9)</f>
        <v/>
      </c>
      <c r="AD9">
        <f>IF(D9="","",N(AD8)+IF(MATCH(D9,$D$2:$D$2501,0)=ROW()-1,1,0))</f>
        <v/>
      </c>
    </row>
    <row r="10">
      <c r="X10" s="5">
        <f>IF(D10="","",W10*IF(AND(ISNUMBER(AB10),AB10&gt;0,AB10&lt;1),AB10*100,AB10)/100)</f>
        <v/>
      </c>
      <c r="Y10" s="5">
        <f>IF(D10="","",AA10*Z10/100)</f>
        <v/>
      </c>
      <c r="Z10" s="5">
        <f>IF(D10="","",W10-X10)</f>
        <v/>
      </c>
      <c r="AC10" s="5">
        <f>IF(D10="","",Z10-Y10)</f>
        <v/>
      </c>
      <c r="AD10">
        <f>IF(D10="","",N(AD9)+IF(MATCH(D10,$D$2:$D$2501,0)=ROW()-1,1,0))</f>
        <v/>
      </c>
    </row>
    <row r="11">
      <c r="X11" s="5">
        <f>IF(D11="","",W11*IF(AND(ISNUMBER(AB11),AB11&gt;0,AB11&lt;1),AB11*100,AB11)/100)</f>
        <v/>
      </c>
      <c r="Y11" s="5">
        <f>IF(D11="","",AA11*Z11/100)</f>
        <v/>
      </c>
      <c r="Z11" s="5">
        <f>IF(D11="","",W11-X11)</f>
        <v/>
      </c>
      <c r="AC11" s="5">
        <f>IF(D11="","",Z11-Y11)</f>
        <v/>
      </c>
      <c r="AD11">
        <f>IF(D11="","",N(AD10)+IF(MATCH(D11,$D$2:$D$2501,0)=ROW()-1,1,0))</f>
        <v/>
      </c>
    </row>
    <row r="12">
      <c r="X12" s="5">
        <f>IF(D12="","",W12*IF(AND(ISNUMBER(AB12),AB12&gt;0,AB12&lt;1),AB12*100,AB12)/100)</f>
        <v/>
      </c>
      <c r="Y12" s="5">
        <f>IF(D12="","",AA12*Z12/100)</f>
        <v/>
      </c>
      <c r="Z12" s="5">
        <f>IF(D12="","",W12-X12)</f>
        <v/>
      </c>
      <c r="AC12" s="5">
        <f>IF(D12="","",Z12-Y12)</f>
        <v/>
      </c>
      <c r="AD12">
        <f>IF(D12="","",N(AD11)+IF(MATCH(D12,$D$2:$D$2501,0)=ROW()-1,1,0))</f>
        <v/>
      </c>
    </row>
    <row r="13">
      <c r="X13" s="5">
        <f>IF(D13="","",W13*IF(AND(ISNUMBER(AB13),AB13&gt;0,AB13&lt;1),AB13*100,AB13)/100)</f>
        <v/>
      </c>
      <c r="Y13" s="5">
        <f>IF(D13="","",AA13*Z13/100)</f>
        <v/>
      </c>
      <c r="Z13" s="5">
        <f>IF(D13="","",W13-X13)</f>
        <v/>
      </c>
      <c r="AC13" s="5">
        <f>IF(D13="","",Z13-Y13)</f>
        <v/>
      </c>
      <c r="AD13">
        <f>IF(D13="","",N(AD12)+IF(MATCH(D13,$D$2:$D$2501,0)=ROW()-1,1,0))</f>
        <v/>
      </c>
    </row>
    <row r="14">
      <c r="X14" s="5">
        <f>IF(D14="","",W14*IF(AND(ISNUMBER(AB14),AB14&gt;0,AB14&lt;1),AB14*100,AB14)/100)</f>
        <v/>
      </c>
      <c r="Y14" s="5">
        <f>IF(D14="","",AA14*Z14/100)</f>
        <v/>
      </c>
      <c r="Z14" s="5">
        <f>IF(D14="","",W14-X14)</f>
        <v/>
      </c>
      <c r="AC14" s="5">
        <f>IF(D14="","",Z14-Y14)</f>
        <v/>
      </c>
      <c r="AD14">
        <f>IF(D14="","",N(AD13)+IF(MATCH(D14,$D$2:$D$2501,0)=ROW()-1,1,0))</f>
        <v/>
      </c>
    </row>
    <row r="15">
      <c r="X15" s="5">
        <f>IF(D15="","",W15*IF(AND(ISNUMBER(AB15),AB15&gt;0,AB15&lt;1),AB15*100,AB15)/100)</f>
        <v/>
      </c>
      <c r="Y15" s="5">
        <f>IF(D15="","",AA15*Z15/100)</f>
        <v/>
      </c>
      <c r="Z15" s="5">
        <f>IF(D15="","",W15-X15)</f>
        <v/>
      </c>
      <c r="AC15" s="5">
        <f>IF(D15="","",Z15-Y15)</f>
        <v/>
      </c>
      <c r="AD15">
        <f>IF(D15="","",N(AD14)+IF(MATCH(D15,$D$2:$D$2501,0)=ROW()-1,1,0))</f>
        <v/>
      </c>
    </row>
    <row r="16">
      <c r="X16" s="5">
        <f>IF(D16="","",W16*IF(AND(ISNUMBER(AB16),AB16&gt;0,AB16&lt;1),AB16*100,AB16)/100)</f>
        <v/>
      </c>
      <c r="Y16" s="5">
        <f>IF(D16="","",AA16*Z16/100)</f>
        <v/>
      </c>
      <c r="Z16" s="5">
        <f>IF(D16="","",W16-X16)</f>
        <v/>
      </c>
      <c r="AC16" s="5">
        <f>IF(D16="","",Z16-Y16)</f>
        <v/>
      </c>
      <c r="AD16">
        <f>IF(D16="","",N(AD15)+IF(MATCH(D16,$D$2:$D$2501,0)=ROW()-1,1,0))</f>
        <v/>
      </c>
    </row>
    <row r="17">
      <c r="X17" s="5">
        <f>IF(D17="","",W17*IF(AND(ISNUMBER(AB17),AB17&gt;0,AB17&lt;1),AB17*100,AB17)/100)</f>
        <v/>
      </c>
      <c r="Y17" s="5">
        <f>IF(D17="","",AA17*Z17/100)</f>
        <v/>
      </c>
      <c r="Z17" s="5">
        <f>IF(D17="","",W17-X17)</f>
        <v/>
      </c>
      <c r="AC17" s="5">
        <f>IF(D17="","",Z17-Y17)</f>
        <v/>
      </c>
      <c r="AD17">
        <f>IF(D17="","",N(AD16)+IF(MATCH(D17,$D$2:$D$2501,0)=ROW()-1,1,0))</f>
        <v/>
      </c>
    </row>
    <row r="18">
      <c r="X18" s="5">
        <f>IF(D18="","",W18*IF(AND(ISNUMBER(AB18),AB18&gt;0,AB18&lt;1),AB18*100,AB18)/100)</f>
        <v/>
      </c>
      <c r="Y18" s="5">
        <f>IF(D18="","",AA18*Z18/100)</f>
        <v/>
      </c>
      <c r="Z18" s="5">
        <f>IF(D18="","",W18-X18)</f>
        <v/>
      </c>
      <c r="AC18" s="5">
        <f>IF(D18="","",Z18-Y18)</f>
        <v/>
      </c>
      <c r="AD18">
        <f>IF(D18="","",N(AD17)+IF(MATCH(D18,$D$2:$D$2501,0)=ROW()-1,1,0))</f>
        <v/>
      </c>
    </row>
    <row r="19">
      <c r="X19" s="5">
        <f>IF(D19="","",W19*IF(AND(ISNUMBER(AB19),AB19&gt;0,AB19&lt;1),AB19*100,AB19)/100)</f>
        <v/>
      </c>
      <c r="Y19" s="5">
        <f>IF(D19="","",AA19*Z19/100)</f>
        <v/>
      </c>
      <c r="Z19" s="5">
        <f>IF(D19="","",W19-X19)</f>
        <v/>
      </c>
      <c r="AC19" s="5">
        <f>IF(D19="","",Z19-Y19)</f>
        <v/>
      </c>
      <c r="AD19">
        <f>IF(D19="","",N(AD18)+IF(MATCH(D19,$D$2:$D$2501,0)=ROW()-1,1,0))</f>
        <v/>
      </c>
    </row>
    <row r="20">
      <c r="X20" s="5">
        <f>IF(D20="","",W20*IF(AND(ISNUMBER(AB20),AB20&gt;0,AB20&lt;1),AB20*100,AB20)/100)</f>
        <v/>
      </c>
      <c r="Y20" s="5">
        <f>IF(D20="","",AA20*Z20/100)</f>
        <v/>
      </c>
      <c r="Z20" s="5">
        <f>IF(D20="","",W20-X20)</f>
        <v/>
      </c>
      <c r="AC20" s="5">
        <f>IF(D20="","",Z20-Y20)</f>
        <v/>
      </c>
      <c r="AD20">
        <f>IF(D20="","",N(AD19)+IF(MATCH(D20,$D$2:$D$2501,0)=ROW()-1,1,0))</f>
        <v/>
      </c>
    </row>
    <row r="21">
      <c r="X21" s="5">
        <f>IF(D21="","",W21*IF(AND(ISNUMBER(AB21),AB21&gt;0,AB21&lt;1),AB21*100,AB21)/100)</f>
        <v/>
      </c>
      <c r="Y21" s="5">
        <f>IF(D21="","",AA21*Z21/100)</f>
        <v/>
      </c>
      <c r="Z21" s="5">
        <f>IF(D21="","",W21-X21)</f>
        <v/>
      </c>
      <c r="AC21" s="5">
        <f>IF(D21="","",Z21-Y21)</f>
        <v/>
      </c>
      <c r="AD21">
        <f>IF(D21="","",N(AD20)+IF(MATCH(D21,$D$2:$D$2501,0)=ROW()-1,1,0))</f>
        <v/>
      </c>
    </row>
    <row r="22">
      <c r="X22" s="5">
        <f>IF(D22="","",W22*IF(AND(ISNUMBER(AB22),AB22&gt;0,AB22&lt;1),AB22*100,AB22)/100)</f>
        <v/>
      </c>
      <c r="Y22" s="5">
        <f>IF(D22="","",AA22*Z22/100)</f>
        <v/>
      </c>
      <c r="Z22" s="5">
        <f>IF(D22="","",W22-X22)</f>
        <v/>
      </c>
      <c r="AC22" s="5">
        <f>IF(D22="","",Z22-Y22)</f>
        <v/>
      </c>
      <c r="AD22">
        <f>IF(D22="","",N(AD21)+IF(MATCH(D22,$D$2:$D$2501,0)=ROW()-1,1,0))</f>
        <v/>
      </c>
    </row>
    <row r="23">
      <c r="X23" s="5">
        <f>IF(D23="","",W23*IF(AND(ISNUMBER(AB23),AB23&gt;0,AB23&lt;1),AB23*100,AB23)/100)</f>
        <v/>
      </c>
      <c r="Y23" s="5">
        <f>IF(D23="","",AA23*Z23/100)</f>
        <v/>
      </c>
      <c r="Z23" s="5">
        <f>IF(D23="","",W23-X23)</f>
        <v/>
      </c>
      <c r="AC23" s="5">
        <f>IF(D23="","",Z23-Y23)</f>
        <v/>
      </c>
      <c r="AD23">
        <f>IF(D23="","",N(AD22)+IF(MATCH(D23,$D$2:$D$2501,0)=ROW()-1,1,0))</f>
        <v/>
      </c>
    </row>
    <row r="24">
      <c r="X24" s="5">
        <f>IF(D24="","",W24*IF(AND(ISNUMBER(AB24),AB24&gt;0,AB24&lt;1),AB24*100,AB24)/100)</f>
        <v/>
      </c>
      <c r="Y24" s="5">
        <f>IF(D24="","",AA24*Z24/100)</f>
        <v/>
      </c>
      <c r="Z24" s="5">
        <f>IF(D24="","",W24-X24)</f>
        <v/>
      </c>
      <c r="AC24" s="5">
        <f>IF(D24="","",Z24-Y24)</f>
        <v/>
      </c>
      <c r="AD24">
        <f>IF(D24="","",N(AD23)+IF(MATCH(D24,$D$2:$D$2501,0)=ROW()-1,1,0))</f>
        <v/>
      </c>
    </row>
    <row r="25">
      <c r="X25" s="5">
        <f>IF(D25="","",W25*IF(AND(ISNUMBER(AB25),AB25&gt;0,AB25&lt;1),AB25*100,AB25)/100)</f>
        <v/>
      </c>
      <c r="Y25" s="5">
        <f>IF(D25="","",AA25*Z25/100)</f>
        <v/>
      </c>
      <c r="Z25" s="5">
        <f>IF(D25="","",W25-X25)</f>
        <v/>
      </c>
      <c r="AC25" s="5">
        <f>IF(D25="","",Z25-Y25)</f>
        <v/>
      </c>
      <c r="AD25">
        <f>IF(D25="","",N(AD24)+IF(MATCH(D25,$D$2:$D$2501,0)=ROW()-1,1,0))</f>
        <v/>
      </c>
    </row>
    <row r="26">
      <c r="X26" s="5">
        <f>IF(D26="","",W26*IF(AND(ISNUMBER(AB26),AB26&gt;0,AB26&lt;1),AB26*100,AB26)/100)</f>
        <v/>
      </c>
      <c r="Y26" s="5">
        <f>IF(D26="","",AA26*Z26/100)</f>
        <v/>
      </c>
      <c r="Z26" s="5">
        <f>IF(D26="","",W26-X26)</f>
        <v/>
      </c>
      <c r="AC26" s="5">
        <f>IF(D26="","",Z26-Y26)</f>
        <v/>
      </c>
      <c r="AD26">
        <f>IF(D26="","",N(AD25)+IF(MATCH(D26,$D$2:$D$2501,0)=ROW()-1,1,0))</f>
        <v/>
      </c>
    </row>
    <row r="27">
      <c r="X27" s="5">
        <f>IF(D27="","",W27*IF(AND(ISNUMBER(AB27),AB27&gt;0,AB27&lt;1),AB27*100,AB27)/100)</f>
        <v/>
      </c>
      <c r="Y27" s="5">
        <f>IF(D27="","",AA27*Z27/100)</f>
        <v/>
      </c>
      <c r="Z27" s="5">
        <f>IF(D27="","",W27-X27)</f>
        <v/>
      </c>
      <c r="AC27" s="5">
        <f>IF(D27="","",Z27-Y27)</f>
        <v/>
      </c>
      <c r="AD27">
        <f>IF(D27="","",N(AD26)+IF(MATCH(D27,$D$2:$D$2501,0)=ROW()-1,1,0))</f>
        <v/>
      </c>
    </row>
    <row r="28">
      <c r="X28" s="5">
        <f>IF(D28="","",W28*IF(AND(ISNUMBER(AB28),AB28&gt;0,AB28&lt;1),AB28*100,AB28)/100)</f>
        <v/>
      </c>
      <c r="Y28" s="5">
        <f>IF(D28="","",AA28*Z28/100)</f>
        <v/>
      </c>
      <c r="Z28" s="5">
        <f>IF(D28="","",W28-X28)</f>
        <v/>
      </c>
      <c r="AC28" s="5">
        <f>IF(D28="","",Z28-Y28)</f>
        <v/>
      </c>
      <c r="AD28">
        <f>IF(D28="","",N(AD27)+IF(MATCH(D28,$D$2:$D$2501,0)=ROW()-1,1,0))</f>
        <v/>
      </c>
    </row>
    <row r="29">
      <c r="X29" s="5">
        <f>IF(D29="","",W29*IF(AND(ISNUMBER(AB29),AB29&gt;0,AB29&lt;1),AB29*100,AB29)/100)</f>
        <v/>
      </c>
      <c r="Y29" s="5">
        <f>IF(D29="","",AA29*Z29/100)</f>
        <v/>
      </c>
      <c r="Z29" s="5">
        <f>IF(D29="","",W29-X29)</f>
        <v/>
      </c>
      <c r="AC29" s="5">
        <f>IF(D29="","",Z29-Y29)</f>
        <v/>
      </c>
      <c r="AD29">
        <f>IF(D29="","",N(AD28)+IF(MATCH(D29,$D$2:$D$2501,0)=ROW()-1,1,0))</f>
        <v/>
      </c>
    </row>
    <row r="30">
      <c r="X30" s="5">
        <f>IF(D30="","",W30*IF(AND(ISNUMBER(AB30),AB30&gt;0,AB30&lt;1),AB30*100,AB30)/100)</f>
        <v/>
      </c>
      <c r="Y30" s="5">
        <f>IF(D30="","",AA30*Z30/100)</f>
        <v/>
      </c>
      <c r="Z30" s="5">
        <f>IF(D30="","",W30-X30)</f>
        <v/>
      </c>
      <c r="AC30" s="5">
        <f>IF(D30="","",Z30-Y30)</f>
        <v/>
      </c>
      <c r="AD30">
        <f>IF(D30="","",N(AD29)+IF(MATCH(D30,$D$2:$D$2501,0)=ROW()-1,1,0))</f>
        <v/>
      </c>
    </row>
    <row r="31">
      <c r="X31" s="5">
        <f>IF(D31="","",W31*IF(AND(ISNUMBER(AB31),AB31&gt;0,AB31&lt;1),AB31*100,AB31)/100)</f>
        <v/>
      </c>
      <c r="Y31" s="5">
        <f>IF(D31="","",AA31*Z31/100)</f>
        <v/>
      </c>
      <c r="Z31" s="5">
        <f>IF(D31="","",W31-X31)</f>
        <v/>
      </c>
      <c r="AC31" s="5">
        <f>IF(D31="","",Z31-Y31)</f>
        <v/>
      </c>
      <c r="AD31">
        <f>IF(D31="","",N(AD30)+IF(MATCH(D31,$D$2:$D$2501,0)=ROW()-1,1,0))</f>
        <v/>
      </c>
    </row>
    <row r="32">
      <c r="X32" s="5">
        <f>IF(D32="","",W32*IF(AND(ISNUMBER(AB32),AB32&gt;0,AB32&lt;1),AB32*100,AB32)/100)</f>
        <v/>
      </c>
      <c r="Y32" s="5">
        <f>IF(D32="","",AA32*Z32/100)</f>
        <v/>
      </c>
      <c r="Z32" s="5">
        <f>IF(D32="","",W32-X32)</f>
        <v/>
      </c>
      <c r="AC32" s="5">
        <f>IF(D32="","",Z32-Y32)</f>
        <v/>
      </c>
      <c r="AD32">
        <f>IF(D32="","",N(AD31)+IF(MATCH(D32,$D$2:$D$2501,0)=ROW()-1,1,0))</f>
        <v/>
      </c>
    </row>
    <row r="33">
      <c r="X33" s="5">
        <f>IF(D33="","",W33*IF(AND(ISNUMBER(AB33),AB33&gt;0,AB33&lt;1),AB33*100,AB33)/100)</f>
        <v/>
      </c>
      <c r="Y33" s="5">
        <f>IF(D33="","",AA33*Z33/100)</f>
        <v/>
      </c>
      <c r="Z33" s="5">
        <f>IF(D33="","",W33-X33)</f>
        <v/>
      </c>
      <c r="AC33" s="5">
        <f>IF(D33="","",Z33-Y33)</f>
        <v/>
      </c>
      <c r="AD33">
        <f>IF(D33="","",N(AD32)+IF(MATCH(D33,$D$2:$D$2501,0)=ROW()-1,1,0))</f>
        <v/>
      </c>
    </row>
    <row r="34">
      <c r="X34" s="5">
        <f>IF(D34="","",W34*IF(AND(ISNUMBER(AB34),AB34&gt;0,AB34&lt;1),AB34*100,AB34)/100)</f>
        <v/>
      </c>
      <c r="Y34" s="5">
        <f>IF(D34="","",AA34*Z34/100)</f>
        <v/>
      </c>
      <c r="Z34" s="5">
        <f>IF(D34="","",W34-X34)</f>
        <v/>
      </c>
      <c r="AC34" s="5">
        <f>IF(D34="","",Z34-Y34)</f>
        <v/>
      </c>
      <c r="AD34">
        <f>IF(D34="","",N(AD33)+IF(MATCH(D34,$D$2:$D$2501,0)=ROW()-1,1,0))</f>
        <v/>
      </c>
    </row>
    <row r="35">
      <c r="X35" s="5">
        <f>IF(D35="","",W35*IF(AND(ISNUMBER(AB35),AB35&gt;0,AB35&lt;1),AB35*100,AB35)/100)</f>
        <v/>
      </c>
      <c r="Y35" s="5">
        <f>IF(D35="","",AA35*Z35/100)</f>
        <v/>
      </c>
      <c r="Z35" s="5">
        <f>IF(D35="","",W35-X35)</f>
        <v/>
      </c>
      <c r="AC35" s="5">
        <f>IF(D35="","",Z35-Y35)</f>
        <v/>
      </c>
      <c r="AD35">
        <f>IF(D35="","",N(AD34)+IF(MATCH(D35,$D$2:$D$2501,0)=ROW()-1,1,0))</f>
        <v/>
      </c>
    </row>
    <row r="36">
      <c r="X36" s="5">
        <f>IF(D36="","",W36*IF(AND(ISNUMBER(AB36),AB36&gt;0,AB36&lt;1),AB36*100,AB36)/100)</f>
        <v/>
      </c>
      <c r="Y36" s="5">
        <f>IF(D36="","",AA36*Z36/100)</f>
        <v/>
      </c>
      <c r="Z36" s="5">
        <f>IF(D36="","",W36-X36)</f>
        <v/>
      </c>
      <c r="AC36" s="5">
        <f>IF(D36="","",Z36-Y36)</f>
        <v/>
      </c>
      <c r="AD36">
        <f>IF(D36="","",N(AD35)+IF(MATCH(D36,$D$2:$D$2501,0)=ROW()-1,1,0))</f>
        <v/>
      </c>
    </row>
    <row r="37">
      <c r="X37" s="5">
        <f>IF(D37="","",W37*IF(AND(ISNUMBER(AB37),AB37&gt;0,AB37&lt;1),AB37*100,AB37)/100)</f>
        <v/>
      </c>
      <c r="Y37" s="5">
        <f>IF(D37="","",AA37*Z37/100)</f>
        <v/>
      </c>
      <c r="Z37" s="5">
        <f>IF(D37="","",W37-X37)</f>
        <v/>
      </c>
      <c r="AC37" s="5">
        <f>IF(D37="","",Z37-Y37)</f>
        <v/>
      </c>
      <c r="AD37">
        <f>IF(D37="","",N(AD36)+IF(MATCH(D37,$D$2:$D$2501,0)=ROW()-1,1,0))</f>
        <v/>
      </c>
    </row>
    <row r="38">
      <c r="X38" s="5">
        <f>IF(D38="","",W38*IF(AND(ISNUMBER(AB38),AB38&gt;0,AB38&lt;1),AB38*100,AB38)/100)</f>
        <v/>
      </c>
      <c r="Y38" s="5">
        <f>IF(D38="","",AA38*Z38/100)</f>
        <v/>
      </c>
      <c r="Z38" s="5">
        <f>IF(D38="","",W38-X38)</f>
        <v/>
      </c>
      <c r="AC38" s="5">
        <f>IF(D38="","",Z38-Y38)</f>
        <v/>
      </c>
      <c r="AD38">
        <f>IF(D38="","",N(AD37)+IF(MATCH(D38,$D$2:$D$2501,0)=ROW()-1,1,0))</f>
        <v/>
      </c>
    </row>
    <row r="39">
      <c r="X39" s="5">
        <f>IF(D39="","",W39*IF(AND(ISNUMBER(AB39),AB39&gt;0,AB39&lt;1),AB39*100,AB39)/100)</f>
        <v/>
      </c>
      <c r="Y39" s="5">
        <f>IF(D39="","",AA39*Z39/100)</f>
        <v/>
      </c>
      <c r="Z39" s="5">
        <f>IF(D39="","",W39-X39)</f>
        <v/>
      </c>
      <c r="AC39" s="5">
        <f>IF(D39="","",Z39-Y39)</f>
        <v/>
      </c>
      <c r="AD39">
        <f>IF(D39="","",N(AD38)+IF(MATCH(D39,$D$2:$D$2501,0)=ROW()-1,1,0))</f>
        <v/>
      </c>
    </row>
    <row r="40">
      <c r="X40" s="5">
        <f>IF(D40="","",W40*IF(AND(ISNUMBER(AB40),AB40&gt;0,AB40&lt;1),AB40*100,AB40)/100)</f>
        <v/>
      </c>
      <c r="Y40" s="5">
        <f>IF(D40="","",AA40*Z40/100)</f>
        <v/>
      </c>
      <c r="Z40" s="5">
        <f>IF(D40="","",W40-X40)</f>
        <v/>
      </c>
      <c r="AC40" s="5">
        <f>IF(D40="","",Z40-Y40)</f>
        <v/>
      </c>
      <c r="AD40">
        <f>IF(D40="","",N(AD39)+IF(MATCH(D40,$D$2:$D$2501,0)=ROW()-1,1,0))</f>
        <v/>
      </c>
    </row>
    <row r="41">
      <c r="X41" s="5">
        <f>IF(D41="","",W41*IF(AND(ISNUMBER(AB41),AB41&gt;0,AB41&lt;1),AB41*100,AB41)/100)</f>
        <v/>
      </c>
      <c r="Y41" s="5">
        <f>IF(D41="","",AA41*Z41/100)</f>
        <v/>
      </c>
      <c r="Z41" s="5">
        <f>IF(D41="","",W41-X41)</f>
        <v/>
      </c>
      <c r="AC41" s="5">
        <f>IF(D41="","",Z41-Y41)</f>
        <v/>
      </c>
      <c r="AD41">
        <f>IF(D41="","",N(AD40)+IF(MATCH(D41,$D$2:$D$2501,0)=ROW()-1,1,0))</f>
        <v/>
      </c>
    </row>
    <row r="42">
      <c r="X42" s="5">
        <f>IF(D42="","",W42*IF(AND(ISNUMBER(AB42),AB42&gt;0,AB42&lt;1),AB42*100,AB42)/100)</f>
        <v/>
      </c>
      <c r="Y42" s="5">
        <f>IF(D42="","",AA42*Z42/100)</f>
        <v/>
      </c>
      <c r="Z42" s="5">
        <f>IF(D42="","",W42-X42)</f>
        <v/>
      </c>
      <c r="AC42" s="5">
        <f>IF(D42="","",Z42-Y42)</f>
        <v/>
      </c>
      <c r="AD42">
        <f>IF(D42="","",N(AD41)+IF(MATCH(D42,$D$2:$D$2501,0)=ROW()-1,1,0))</f>
        <v/>
      </c>
    </row>
    <row r="43">
      <c r="X43" s="5">
        <f>IF(D43="","",W43*IF(AND(ISNUMBER(AB43),AB43&gt;0,AB43&lt;1),AB43*100,AB43)/100)</f>
        <v/>
      </c>
      <c r="Y43" s="5">
        <f>IF(D43="","",AA43*Z43/100)</f>
        <v/>
      </c>
      <c r="Z43" s="5">
        <f>IF(D43="","",W43-X43)</f>
        <v/>
      </c>
      <c r="AC43" s="5">
        <f>IF(D43="","",Z43-Y43)</f>
        <v/>
      </c>
      <c r="AD43">
        <f>IF(D43="","",N(AD42)+IF(MATCH(D43,$D$2:$D$2501,0)=ROW()-1,1,0))</f>
        <v/>
      </c>
    </row>
    <row r="44">
      <c r="X44" s="5">
        <f>IF(D44="","",W44*IF(AND(ISNUMBER(AB44),AB44&gt;0,AB44&lt;1),AB44*100,AB44)/100)</f>
        <v/>
      </c>
      <c r="Y44" s="5">
        <f>IF(D44="","",AA44*Z44/100)</f>
        <v/>
      </c>
      <c r="Z44" s="5">
        <f>IF(D44="","",W44-X44)</f>
        <v/>
      </c>
      <c r="AC44" s="5">
        <f>IF(D44="","",Z44-Y44)</f>
        <v/>
      </c>
      <c r="AD44">
        <f>IF(D44="","",N(AD43)+IF(MATCH(D44,$D$2:$D$2501,0)=ROW()-1,1,0))</f>
        <v/>
      </c>
    </row>
    <row r="45">
      <c r="X45" s="5">
        <f>IF(D45="","",W45*IF(AND(ISNUMBER(AB45),AB45&gt;0,AB45&lt;1),AB45*100,AB45)/100)</f>
        <v/>
      </c>
      <c r="Y45" s="5">
        <f>IF(D45="","",AA45*Z45/100)</f>
        <v/>
      </c>
      <c r="Z45" s="5">
        <f>IF(D45="","",W45-X45)</f>
        <v/>
      </c>
      <c r="AC45" s="5">
        <f>IF(D45="","",Z45-Y45)</f>
        <v/>
      </c>
      <c r="AD45">
        <f>IF(D45="","",N(AD44)+IF(MATCH(D45,$D$2:$D$2501,0)=ROW()-1,1,0))</f>
        <v/>
      </c>
    </row>
    <row r="46">
      <c r="X46" s="5">
        <f>IF(D46="","",W46*IF(AND(ISNUMBER(AB46),AB46&gt;0,AB46&lt;1),AB46*100,AB46)/100)</f>
        <v/>
      </c>
      <c r="Y46" s="5">
        <f>IF(D46="","",AA46*Z46/100)</f>
        <v/>
      </c>
      <c r="Z46" s="5">
        <f>IF(D46="","",W46-X46)</f>
        <v/>
      </c>
      <c r="AC46" s="5">
        <f>IF(D46="","",Z46-Y46)</f>
        <v/>
      </c>
      <c r="AD46">
        <f>IF(D46="","",N(AD45)+IF(MATCH(D46,$D$2:$D$2501,0)=ROW()-1,1,0))</f>
        <v/>
      </c>
    </row>
    <row r="47">
      <c r="X47" s="5">
        <f>IF(D47="","",W47*IF(AND(ISNUMBER(AB47),AB47&gt;0,AB47&lt;1),AB47*100,AB47)/100)</f>
        <v/>
      </c>
      <c r="Y47" s="5">
        <f>IF(D47="","",AA47*Z47/100)</f>
        <v/>
      </c>
      <c r="Z47" s="5">
        <f>IF(D47="","",W47-X47)</f>
        <v/>
      </c>
      <c r="AC47" s="5">
        <f>IF(D47="","",Z47-Y47)</f>
        <v/>
      </c>
      <c r="AD47">
        <f>IF(D47="","",N(AD46)+IF(MATCH(D47,$D$2:$D$2501,0)=ROW()-1,1,0))</f>
        <v/>
      </c>
    </row>
    <row r="48">
      <c r="X48" s="5">
        <f>IF(D48="","",W48*IF(AND(ISNUMBER(AB48),AB48&gt;0,AB48&lt;1),AB48*100,AB48)/100)</f>
        <v/>
      </c>
      <c r="Y48" s="5">
        <f>IF(D48="","",AA48*Z48/100)</f>
        <v/>
      </c>
      <c r="Z48" s="5">
        <f>IF(D48="","",W48-X48)</f>
        <v/>
      </c>
      <c r="AC48" s="5">
        <f>IF(D48="","",Z48-Y48)</f>
        <v/>
      </c>
      <c r="AD48">
        <f>IF(D48="","",N(AD47)+IF(MATCH(D48,$D$2:$D$2501,0)=ROW()-1,1,0))</f>
        <v/>
      </c>
    </row>
    <row r="49">
      <c r="X49" s="5">
        <f>IF(D49="","",W49*IF(AND(ISNUMBER(AB49),AB49&gt;0,AB49&lt;1),AB49*100,AB49)/100)</f>
        <v/>
      </c>
      <c r="Y49" s="5">
        <f>IF(D49="","",AA49*Z49/100)</f>
        <v/>
      </c>
      <c r="Z49" s="5">
        <f>IF(D49="","",W49-X49)</f>
        <v/>
      </c>
      <c r="AC49" s="5">
        <f>IF(D49="","",Z49-Y49)</f>
        <v/>
      </c>
      <c r="AD49">
        <f>IF(D49="","",N(AD48)+IF(MATCH(D49,$D$2:$D$2501,0)=ROW()-1,1,0))</f>
        <v/>
      </c>
    </row>
    <row r="50">
      <c r="X50" s="5">
        <f>IF(D50="","",W50*IF(AND(ISNUMBER(AB50),AB50&gt;0,AB50&lt;1),AB50*100,AB50)/100)</f>
        <v/>
      </c>
      <c r="Y50" s="5">
        <f>IF(D50="","",AA50*Z50/100)</f>
        <v/>
      </c>
      <c r="Z50" s="5">
        <f>IF(D50="","",W50-X50)</f>
        <v/>
      </c>
      <c r="AC50" s="5">
        <f>IF(D50="","",Z50-Y50)</f>
        <v/>
      </c>
      <c r="AD50">
        <f>IF(D50="","",N(AD49)+IF(MATCH(D50,$D$2:$D$2501,0)=ROW()-1,1,0))</f>
        <v/>
      </c>
    </row>
    <row r="51">
      <c r="X51" s="5">
        <f>IF(D51="","",W51*IF(AND(ISNUMBER(AB51),AB51&gt;0,AB51&lt;1),AB51*100,AB51)/100)</f>
        <v/>
      </c>
      <c r="Y51" s="5">
        <f>IF(D51="","",AA51*Z51/100)</f>
        <v/>
      </c>
      <c r="Z51" s="5">
        <f>IF(D51="","",W51-X51)</f>
        <v/>
      </c>
      <c r="AC51" s="5">
        <f>IF(D51="","",Z51-Y51)</f>
        <v/>
      </c>
      <c r="AD51">
        <f>IF(D51="","",N(AD50)+IF(MATCH(D51,$D$2:$D$2501,0)=ROW()-1,1,0))</f>
        <v/>
      </c>
    </row>
    <row r="52">
      <c r="X52" s="5">
        <f>IF(D52="","",W52*IF(AND(ISNUMBER(AB52),AB52&gt;0,AB52&lt;1),AB52*100,AB52)/100)</f>
        <v/>
      </c>
      <c r="Y52" s="5">
        <f>IF(D52="","",AA52*Z52/100)</f>
        <v/>
      </c>
      <c r="Z52" s="5">
        <f>IF(D52="","",W52-X52)</f>
        <v/>
      </c>
      <c r="AC52" s="5">
        <f>IF(D52="","",Z52-Y52)</f>
        <v/>
      </c>
      <c r="AD52">
        <f>IF(D52="","",N(AD51)+IF(MATCH(D52,$D$2:$D$2501,0)=ROW()-1,1,0))</f>
        <v/>
      </c>
    </row>
    <row r="53">
      <c r="X53" s="5">
        <f>IF(D53="","",W53*IF(AND(ISNUMBER(AB53),AB53&gt;0,AB53&lt;1),AB53*100,AB53)/100)</f>
        <v/>
      </c>
      <c r="Y53" s="5">
        <f>IF(D53="","",AA53*Z53/100)</f>
        <v/>
      </c>
      <c r="Z53" s="5">
        <f>IF(D53="","",W53-X53)</f>
        <v/>
      </c>
      <c r="AC53" s="5">
        <f>IF(D53="","",Z53-Y53)</f>
        <v/>
      </c>
      <c r="AD53">
        <f>IF(D53="","",N(AD52)+IF(MATCH(D53,$D$2:$D$2501,0)=ROW()-1,1,0))</f>
        <v/>
      </c>
    </row>
    <row r="54">
      <c r="X54" s="5">
        <f>IF(D54="","",W54*IF(AND(ISNUMBER(AB54),AB54&gt;0,AB54&lt;1),AB54*100,AB54)/100)</f>
        <v/>
      </c>
      <c r="Y54" s="5">
        <f>IF(D54="","",AA54*Z54/100)</f>
        <v/>
      </c>
      <c r="Z54" s="5">
        <f>IF(D54="","",W54-X54)</f>
        <v/>
      </c>
      <c r="AC54" s="5">
        <f>IF(D54="","",Z54-Y54)</f>
        <v/>
      </c>
      <c r="AD54">
        <f>IF(D54="","",N(AD53)+IF(MATCH(D54,$D$2:$D$2501,0)=ROW()-1,1,0))</f>
        <v/>
      </c>
    </row>
    <row r="55">
      <c r="X55" s="5">
        <f>IF(D55="","",W55*IF(AND(ISNUMBER(AB55),AB55&gt;0,AB55&lt;1),AB55*100,AB55)/100)</f>
        <v/>
      </c>
      <c r="Y55" s="5">
        <f>IF(D55="","",AA55*Z55/100)</f>
        <v/>
      </c>
      <c r="Z55" s="5">
        <f>IF(D55="","",W55-X55)</f>
        <v/>
      </c>
      <c r="AC55" s="5">
        <f>IF(D55="","",Z55-Y55)</f>
        <v/>
      </c>
      <c r="AD55">
        <f>IF(D55="","",N(AD54)+IF(MATCH(D55,$D$2:$D$2501,0)=ROW()-1,1,0))</f>
        <v/>
      </c>
    </row>
    <row r="56">
      <c r="X56" s="5">
        <f>IF(D56="","",W56*IF(AND(ISNUMBER(AB56),AB56&gt;0,AB56&lt;1),AB56*100,AB56)/100)</f>
        <v/>
      </c>
      <c r="Y56" s="5">
        <f>IF(D56="","",AA56*Z56/100)</f>
        <v/>
      </c>
      <c r="Z56" s="5">
        <f>IF(D56="","",W56-X56)</f>
        <v/>
      </c>
      <c r="AC56" s="5">
        <f>IF(D56="","",Z56-Y56)</f>
        <v/>
      </c>
      <c r="AD56">
        <f>IF(D56="","",N(AD55)+IF(MATCH(D56,$D$2:$D$2501,0)=ROW()-1,1,0))</f>
        <v/>
      </c>
    </row>
    <row r="57">
      <c r="X57" s="5">
        <f>IF(D57="","",W57*IF(AND(ISNUMBER(AB57),AB57&gt;0,AB57&lt;1),AB57*100,AB57)/100)</f>
        <v/>
      </c>
      <c r="Y57" s="5">
        <f>IF(D57="","",AA57*Z57/100)</f>
        <v/>
      </c>
      <c r="Z57" s="5">
        <f>IF(D57="","",W57-X57)</f>
        <v/>
      </c>
      <c r="AC57" s="5">
        <f>IF(D57="","",Z57-Y57)</f>
        <v/>
      </c>
      <c r="AD57">
        <f>IF(D57="","",N(AD56)+IF(MATCH(D57,$D$2:$D$2501,0)=ROW()-1,1,0))</f>
        <v/>
      </c>
    </row>
    <row r="58">
      <c r="X58" s="5">
        <f>IF(D58="","",W58*IF(AND(ISNUMBER(AB58),AB58&gt;0,AB58&lt;1),AB58*100,AB58)/100)</f>
        <v/>
      </c>
      <c r="Y58" s="5">
        <f>IF(D58="","",AA58*Z58/100)</f>
        <v/>
      </c>
      <c r="Z58" s="5">
        <f>IF(D58="","",W58-X58)</f>
        <v/>
      </c>
      <c r="AC58" s="5">
        <f>IF(D58="","",Z58-Y58)</f>
        <v/>
      </c>
      <c r="AD58">
        <f>IF(D58="","",N(AD57)+IF(MATCH(D58,$D$2:$D$2501,0)=ROW()-1,1,0))</f>
        <v/>
      </c>
    </row>
    <row r="59">
      <c r="X59" s="5">
        <f>IF(D59="","",W59*IF(AND(ISNUMBER(AB59),AB59&gt;0,AB59&lt;1),AB59*100,AB59)/100)</f>
        <v/>
      </c>
      <c r="Y59" s="5">
        <f>IF(D59="","",AA59*Z59/100)</f>
        <v/>
      </c>
      <c r="Z59" s="5">
        <f>IF(D59="","",W59-X59)</f>
        <v/>
      </c>
      <c r="AC59" s="5">
        <f>IF(D59="","",Z59-Y59)</f>
        <v/>
      </c>
      <c r="AD59">
        <f>IF(D59="","",N(AD58)+IF(MATCH(D59,$D$2:$D$2501,0)=ROW()-1,1,0))</f>
        <v/>
      </c>
    </row>
    <row r="60">
      <c r="X60" s="5">
        <f>IF(D60="","",W60*IF(AND(ISNUMBER(AB60),AB60&gt;0,AB60&lt;1),AB60*100,AB60)/100)</f>
        <v/>
      </c>
      <c r="Y60" s="5">
        <f>IF(D60="","",AA60*Z60/100)</f>
        <v/>
      </c>
      <c r="Z60" s="5">
        <f>IF(D60="","",W60-X60)</f>
        <v/>
      </c>
      <c r="AC60" s="5">
        <f>IF(D60="","",Z60-Y60)</f>
        <v/>
      </c>
      <c r="AD60">
        <f>IF(D60="","",N(AD59)+IF(MATCH(D60,$D$2:$D$2501,0)=ROW()-1,1,0))</f>
        <v/>
      </c>
    </row>
    <row r="61">
      <c r="X61" s="5">
        <f>IF(D61="","",W61*IF(AND(ISNUMBER(AB61),AB61&gt;0,AB61&lt;1),AB61*100,AB61)/100)</f>
        <v/>
      </c>
      <c r="Y61" s="5">
        <f>IF(D61="","",AA61*Z61/100)</f>
        <v/>
      </c>
      <c r="Z61" s="5">
        <f>IF(D61="","",W61-X61)</f>
        <v/>
      </c>
      <c r="AC61" s="5">
        <f>IF(D61="","",Z61-Y61)</f>
        <v/>
      </c>
      <c r="AD61">
        <f>IF(D61="","",N(AD60)+IF(MATCH(D61,$D$2:$D$2501,0)=ROW()-1,1,0))</f>
        <v/>
      </c>
    </row>
    <row r="62">
      <c r="X62" s="5">
        <f>IF(D62="","",W62*IF(AND(ISNUMBER(AB62),AB62&gt;0,AB62&lt;1),AB62*100,AB62)/100)</f>
        <v/>
      </c>
      <c r="Y62" s="5">
        <f>IF(D62="","",AA62*Z62/100)</f>
        <v/>
      </c>
      <c r="Z62" s="5">
        <f>IF(D62="","",W62-X62)</f>
        <v/>
      </c>
      <c r="AC62" s="5">
        <f>IF(D62="","",Z62-Y62)</f>
        <v/>
      </c>
      <c r="AD62">
        <f>IF(D62="","",N(AD61)+IF(MATCH(D62,$D$2:$D$2501,0)=ROW()-1,1,0))</f>
        <v/>
      </c>
    </row>
    <row r="63">
      <c r="X63" s="5">
        <f>IF(D63="","",W63*IF(AND(ISNUMBER(AB63),AB63&gt;0,AB63&lt;1),AB63*100,AB63)/100)</f>
        <v/>
      </c>
      <c r="Y63" s="5">
        <f>IF(D63="","",AA63*Z63/100)</f>
        <v/>
      </c>
      <c r="Z63" s="5">
        <f>IF(D63="","",W63-X63)</f>
        <v/>
      </c>
      <c r="AC63" s="5">
        <f>IF(D63="","",Z63-Y63)</f>
        <v/>
      </c>
      <c r="AD63">
        <f>IF(D63="","",N(AD62)+IF(MATCH(D63,$D$2:$D$2501,0)=ROW()-1,1,0))</f>
        <v/>
      </c>
    </row>
    <row r="64">
      <c r="X64" s="5">
        <f>IF(D64="","",W64*IF(AND(ISNUMBER(AB64),AB64&gt;0,AB64&lt;1),AB64*100,AB64)/100)</f>
        <v/>
      </c>
      <c r="Y64" s="5">
        <f>IF(D64="","",AA64*Z64/100)</f>
        <v/>
      </c>
      <c r="Z64" s="5">
        <f>IF(D64="","",W64-X64)</f>
        <v/>
      </c>
      <c r="AC64" s="5">
        <f>IF(D64="","",Z64-Y64)</f>
        <v/>
      </c>
      <c r="AD64">
        <f>IF(D64="","",N(AD63)+IF(MATCH(D64,$D$2:$D$2501,0)=ROW()-1,1,0))</f>
        <v/>
      </c>
    </row>
    <row r="65">
      <c r="X65" s="5">
        <f>IF(D65="","",W65*IF(AND(ISNUMBER(AB65),AB65&gt;0,AB65&lt;1),AB65*100,AB65)/100)</f>
        <v/>
      </c>
      <c r="Y65" s="5">
        <f>IF(D65="","",AA65*Z65/100)</f>
        <v/>
      </c>
      <c r="Z65" s="5">
        <f>IF(D65="","",W65-X65)</f>
        <v/>
      </c>
      <c r="AC65" s="5">
        <f>IF(D65="","",Z65-Y65)</f>
        <v/>
      </c>
      <c r="AD65">
        <f>IF(D65="","",N(AD64)+IF(MATCH(D65,$D$2:$D$2501,0)=ROW()-1,1,0))</f>
        <v/>
      </c>
    </row>
    <row r="66">
      <c r="X66" s="5">
        <f>IF(D66="","",W66*IF(AND(ISNUMBER(AB66),AB66&gt;0,AB66&lt;1),AB66*100,AB66)/100)</f>
        <v/>
      </c>
      <c r="Y66" s="5">
        <f>IF(D66="","",AA66*Z66/100)</f>
        <v/>
      </c>
      <c r="Z66" s="5">
        <f>IF(D66="","",W66-X66)</f>
        <v/>
      </c>
      <c r="AC66" s="5">
        <f>IF(D66="","",Z66-Y66)</f>
        <v/>
      </c>
      <c r="AD66">
        <f>IF(D66="","",N(AD65)+IF(MATCH(D66,$D$2:$D$2501,0)=ROW()-1,1,0))</f>
        <v/>
      </c>
    </row>
    <row r="67">
      <c r="X67" s="5">
        <f>IF(D67="","",W67*IF(AND(ISNUMBER(AB67),AB67&gt;0,AB67&lt;1),AB67*100,AB67)/100)</f>
        <v/>
      </c>
      <c r="Y67" s="5">
        <f>IF(D67="","",AA67*Z67/100)</f>
        <v/>
      </c>
      <c r="Z67" s="5">
        <f>IF(D67="","",W67-X67)</f>
        <v/>
      </c>
      <c r="AC67" s="5">
        <f>IF(D67="","",Z67-Y67)</f>
        <v/>
      </c>
      <c r="AD67">
        <f>IF(D67="","",N(AD66)+IF(MATCH(D67,$D$2:$D$2501,0)=ROW()-1,1,0))</f>
        <v/>
      </c>
    </row>
    <row r="68">
      <c r="X68" s="5">
        <f>IF(D68="","",W68*IF(AND(ISNUMBER(AB68),AB68&gt;0,AB68&lt;1),AB68*100,AB68)/100)</f>
        <v/>
      </c>
      <c r="Y68" s="5">
        <f>IF(D68="","",AA68*Z68/100)</f>
        <v/>
      </c>
      <c r="Z68" s="5">
        <f>IF(D68="","",W68-X68)</f>
        <v/>
      </c>
      <c r="AC68" s="5">
        <f>IF(D68="","",Z68-Y68)</f>
        <v/>
      </c>
      <c r="AD68">
        <f>IF(D68="","",N(AD67)+IF(MATCH(D68,$D$2:$D$2501,0)=ROW()-1,1,0))</f>
        <v/>
      </c>
    </row>
    <row r="69">
      <c r="X69" s="5">
        <f>IF(D69="","",W69*IF(AND(ISNUMBER(AB69),AB69&gt;0,AB69&lt;1),AB69*100,AB69)/100)</f>
        <v/>
      </c>
      <c r="Y69" s="5">
        <f>IF(D69="","",AA69*Z69/100)</f>
        <v/>
      </c>
      <c r="Z69" s="5">
        <f>IF(D69="","",W69-X69)</f>
        <v/>
      </c>
      <c r="AC69" s="5">
        <f>IF(D69="","",Z69-Y69)</f>
        <v/>
      </c>
      <c r="AD69">
        <f>IF(D69="","",N(AD68)+IF(MATCH(D69,$D$2:$D$2501,0)=ROW()-1,1,0))</f>
        <v/>
      </c>
    </row>
    <row r="70">
      <c r="X70" s="5">
        <f>IF(D70="","",W70*IF(AND(ISNUMBER(AB70),AB70&gt;0,AB70&lt;1),AB70*100,AB70)/100)</f>
        <v/>
      </c>
      <c r="Y70" s="5">
        <f>IF(D70="","",AA70*Z70/100)</f>
        <v/>
      </c>
      <c r="Z70" s="5">
        <f>IF(D70="","",W70-X70)</f>
        <v/>
      </c>
      <c r="AC70" s="5">
        <f>IF(D70="","",Z70-Y70)</f>
        <v/>
      </c>
      <c r="AD70">
        <f>IF(D70="","",N(AD69)+IF(MATCH(D70,$D$2:$D$2501,0)=ROW()-1,1,0))</f>
        <v/>
      </c>
    </row>
    <row r="71">
      <c r="X71" s="5">
        <f>IF(D71="","",W71*IF(AND(ISNUMBER(AB71),AB71&gt;0,AB71&lt;1),AB71*100,AB71)/100)</f>
        <v/>
      </c>
      <c r="Y71" s="5">
        <f>IF(D71="","",AA71*Z71/100)</f>
        <v/>
      </c>
      <c r="Z71" s="5">
        <f>IF(D71="","",W71-X71)</f>
        <v/>
      </c>
      <c r="AC71" s="5">
        <f>IF(D71="","",Z71-Y71)</f>
        <v/>
      </c>
      <c r="AD71">
        <f>IF(D71="","",N(AD70)+IF(MATCH(D71,$D$2:$D$2501,0)=ROW()-1,1,0))</f>
        <v/>
      </c>
    </row>
    <row r="72">
      <c r="X72" s="5">
        <f>IF(D72="","",W72*IF(AND(ISNUMBER(AB72),AB72&gt;0,AB72&lt;1),AB72*100,AB72)/100)</f>
        <v/>
      </c>
      <c r="Y72" s="5">
        <f>IF(D72="","",AA72*Z72/100)</f>
        <v/>
      </c>
      <c r="Z72" s="5">
        <f>IF(D72="","",W72-X72)</f>
        <v/>
      </c>
      <c r="AC72" s="5">
        <f>IF(D72="","",Z72-Y72)</f>
        <v/>
      </c>
      <c r="AD72">
        <f>IF(D72="","",N(AD71)+IF(MATCH(D72,$D$2:$D$2501,0)=ROW()-1,1,0))</f>
        <v/>
      </c>
    </row>
    <row r="73">
      <c r="X73" s="5">
        <f>IF(D73="","",W73*IF(AND(ISNUMBER(AB73),AB73&gt;0,AB73&lt;1),AB73*100,AB73)/100)</f>
        <v/>
      </c>
      <c r="Y73" s="5">
        <f>IF(D73="","",AA73*Z73/100)</f>
        <v/>
      </c>
      <c r="Z73" s="5">
        <f>IF(D73="","",W73-X73)</f>
        <v/>
      </c>
      <c r="AC73" s="5">
        <f>IF(D73="","",Z73-Y73)</f>
        <v/>
      </c>
      <c r="AD73">
        <f>IF(D73="","",N(AD72)+IF(MATCH(D73,$D$2:$D$2501,0)=ROW()-1,1,0))</f>
        <v/>
      </c>
    </row>
    <row r="74">
      <c r="X74" s="5">
        <f>IF(D74="","",W74*IF(AND(ISNUMBER(AB74),AB74&gt;0,AB74&lt;1),AB74*100,AB74)/100)</f>
        <v/>
      </c>
      <c r="Y74" s="5">
        <f>IF(D74="","",AA74*Z74/100)</f>
        <v/>
      </c>
      <c r="Z74" s="5">
        <f>IF(D74="","",W74-X74)</f>
        <v/>
      </c>
      <c r="AC74" s="5">
        <f>IF(D74="","",Z74-Y74)</f>
        <v/>
      </c>
      <c r="AD74">
        <f>IF(D74="","",N(AD73)+IF(MATCH(D74,$D$2:$D$2501,0)=ROW()-1,1,0))</f>
        <v/>
      </c>
    </row>
    <row r="75">
      <c r="X75" s="5">
        <f>IF(D75="","",W75*IF(AND(ISNUMBER(AB75),AB75&gt;0,AB75&lt;1),AB75*100,AB75)/100)</f>
        <v/>
      </c>
      <c r="Y75" s="5">
        <f>IF(D75="","",AA75*Z75/100)</f>
        <v/>
      </c>
      <c r="Z75" s="5">
        <f>IF(D75="","",W75-X75)</f>
        <v/>
      </c>
      <c r="AC75" s="5">
        <f>IF(D75="","",Z75-Y75)</f>
        <v/>
      </c>
      <c r="AD75">
        <f>IF(D75="","",N(AD74)+IF(MATCH(D75,$D$2:$D$2501,0)=ROW()-1,1,0))</f>
        <v/>
      </c>
    </row>
    <row r="76">
      <c r="X76" s="5">
        <f>IF(D76="","",W76*IF(AND(ISNUMBER(AB76),AB76&gt;0,AB76&lt;1),AB76*100,AB76)/100)</f>
        <v/>
      </c>
      <c r="Y76" s="5">
        <f>IF(D76="","",AA76*Z76/100)</f>
        <v/>
      </c>
      <c r="Z76" s="5">
        <f>IF(D76="","",W76-X76)</f>
        <v/>
      </c>
      <c r="AC76" s="5">
        <f>IF(D76="","",Z76-Y76)</f>
        <v/>
      </c>
      <c r="AD76">
        <f>IF(D76="","",N(AD75)+IF(MATCH(D76,$D$2:$D$2501,0)=ROW()-1,1,0))</f>
        <v/>
      </c>
    </row>
    <row r="77">
      <c r="X77" s="5">
        <f>IF(D77="","",W77*IF(AND(ISNUMBER(AB77),AB77&gt;0,AB77&lt;1),AB77*100,AB77)/100)</f>
        <v/>
      </c>
      <c r="Y77" s="5">
        <f>IF(D77="","",AA77*Z77/100)</f>
        <v/>
      </c>
      <c r="Z77" s="5">
        <f>IF(D77="","",W77-X77)</f>
        <v/>
      </c>
      <c r="AC77" s="5">
        <f>IF(D77="","",Z77-Y77)</f>
        <v/>
      </c>
      <c r="AD77">
        <f>IF(D77="","",N(AD76)+IF(MATCH(D77,$D$2:$D$2501,0)=ROW()-1,1,0))</f>
        <v/>
      </c>
    </row>
    <row r="78">
      <c r="X78" s="5">
        <f>IF(D78="","",W78*IF(AND(ISNUMBER(AB78),AB78&gt;0,AB78&lt;1),AB78*100,AB78)/100)</f>
        <v/>
      </c>
      <c r="Y78" s="5">
        <f>IF(D78="","",AA78*Z78/100)</f>
        <v/>
      </c>
      <c r="Z78" s="5">
        <f>IF(D78="","",W78-X78)</f>
        <v/>
      </c>
      <c r="AC78" s="5">
        <f>IF(D78="","",Z78-Y78)</f>
        <v/>
      </c>
      <c r="AD78">
        <f>IF(D78="","",N(AD77)+IF(MATCH(D78,$D$2:$D$2501,0)=ROW()-1,1,0))</f>
        <v/>
      </c>
    </row>
    <row r="79">
      <c r="X79" s="5">
        <f>IF(D79="","",W79*IF(AND(ISNUMBER(AB79),AB79&gt;0,AB79&lt;1),AB79*100,AB79)/100)</f>
        <v/>
      </c>
      <c r="Y79" s="5">
        <f>IF(D79="","",AA79*Z79/100)</f>
        <v/>
      </c>
      <c r="Z79" s="5">
        <f>IF(D79="","",W79-X79)</f>
        <v/>
      </c>
      <c r="AC79" s="5">
        <f>IF(D79="","",Z79-Y79)</f>
        <v/>
      </c>
      <c r="AD79">
        <f>IF(D79="","",N(AD78)+IF(MATCH(D79,$D$2:$D$2501,0)=ROW()-1,1,0))</f>
        <v/>
      </c>
    </row>
    <row r="80">
      <c r="X80" s="5">
        <f>IF(D80="","",W80*IF(AND(ISNUMBER(AB80),AB80&gt;0,AB80&lt;1),AB80*100,AB80)/100)</f>
        <v/>
      </c>
      <c r="Y80" s="5">
        <f>IF(D80="","",AA80*Z80/100)</f>
        <v/>
      </c>
      <c r="Z80" s="5">
        <f>IF(D80="","",W80-X80)</f>
        <v/>
      </c>
      <c r="AC80" s="5">
        <f>IF(D80="","",Z80-Y80)</f>
        <v/>
      </c>
      <c r="AD80">
        <f>IF(D80="","",N(AD79)+IF(MATCH(D80,$D$2:$D$2501,0)=ROW()-1,1,0))</f>
        <v/>
      </c>
    </row>
    <row r="81">
      <c r="X81" s="5">
        <f>IF(D81="","",W81*IF(AND(ISNUMBER(AB81),AB81&gt;0,AB81&lt;1),AB81*100,AB81)/100)</f>
        <v/>
      </c>
      <c r="Y81" s="5">
        <f>IF(D81="","",AA81*Z81/100)</f>
        <v/>
      </c>
      <c r="Z81" s="5">
        <f>IF(D81="","",W81-X81)</f>
        <v/>
      </c>
      <c r="AC81" s="5">
        <f>IF(D81="","",Z81-Y81)</f>
        <v/>
      </c>
      <c r="AD81">
        <f>IF(D81="","",N(AD80)+IF(MATCH(D81,$D$2:$D$2501,0)=ROW()-1,1,0))</f>
        <v/>
      </c>
    </row>
    <row r="82">
      <c r="X82" s="5">
        <f>IF(D82="","",W82*IF(AND(ISNUMBER(AB82),AB82&gt;0,AB82&lt;1),AB82*100,AB82)/100)</f>
        <v/>
      </c>
      <c r="Y82" s="5">
        <f>IF(D82="","",AA82*Z82/100)</f>
        <v/>
      </c>
      <c r="Z82" s="5">
        <f>IF(D82="","",W82-X82)</f>
        <v/>
      </c>
      <c r="AC82" s="5">
        <f>IF(D82="","",Z82-Y82)</f>
        <v/>
      </c>
      <c r="AD82">
        <f>IF(D82="","",N(AD81)+IF(MATCH(D82,$D$2:$D$2501,0)=ROW()-1,1,0))</f>
        <v/>
      </c>
    </row>
    <row r="83">
      <c r="X83" s="5">
        <f>IF(D83="","",W83*IF(AND(ISNUMBER(AB83),AB83&gt;0,AB83&lt;1),AB83*100,AB83)/100)</f>
        <v/>
      </c>
      <c r="Y83" s="5">
        <f>IF(D83="","",AA83*Z83/100)</f>
        <v/>
      </c>
      <c r="Z83" s="5">
        <f>IF(D83="","",W83-X83)</f>
        <v/>
      </c>
      <c r="AC83" s="5">
        <f>IF(D83="","",Z83-Y83)</f>
        <v/>
      </c>
      <c r="AD83">
        <f>IF(D83="","",N(AD82)+IF(MATCH(D83,$D$2:$D$2501,0)=ROW()-1,1,0))</f>
        <v/>
      </c>
    </row>
    <row r="84">
      <c r="X84" s="5">
        <f>IF(D84="","",W84*IF(AND(ISNUMBER(AB84),AB84&gt;0,AB84&lt;1),AB84*100,AB84)/100)</f>
        <v/>
      </c>
      <c r="Y84" s="5">
        <f>IF(D84="","",AA84*Z84/100)</f>
        <v/>
      </c>
      <c r="Z84" s="5">
        <f>IF(D84="","",W84-X84)</f>
        <v/>
      </c>
      <c r="AC84" s="5">
        <f>IF(D84="","",Z84-Y84)</f>
        <v/>
      </c>
      <c r="AD84">
        <f>IF(D84="","",N(AD83)+IF(MATCH(D84,$D$2:$D$2501,0)=ROW()-1,1,0))</f>
        <v/>
      </c>
    </row>
    <row r="85">
      <c r="X85" s="5">
        <f>IF(D85="","",W85*IF(AND(ISNUMBER(AB85),AB85&gt;0,AB85&lt;1),AB85*100,AB85)/100)</f>
        <v/>
      </c>
      <c r="Y85" s="5">
        <f>IF(D85="","",AA85*Z85/100)</f>
        <v/>
      </c>
      <c r="Z85" s="5">
        <f>IF(D85="","",W85-X85)</f>
        <v/>
      </c>
      <c r="AC85" s="5">
        <f>IF(D85="","",Z85-Y85)</f>
        <v/>
      </c>
      <c r="AD85">
        <f>IF(D85="","",N(AD84)+IF(MATCH(D85,$D$2:$D$2501,0)=ROW()-1,1,0))</f>
        <v/>
      </c>
    </row>
    <row r="86">
      <c r="X86" s="5">
        <f>IF(D86="","",W86*IF(AND(ISNUMBER(AB86),AB86&gt;0,AB86&lt;1),AB86*100,AB86)/100)</f>
        <v/>
      </c>
      <c r="Y86" s="5">
        <f>IF(D86="","",AA86*Z86/100)</f>
        <v/>
      </c>
      <c r="Z86" s="5">
        <f>IF(D86="","",W86-X86)</f>
        <v/>
      </c>
      <c r="AC86" s="5">
        <f>IF(D86="","",Z86-Y86)</f>
        <v/>
      </c>
      <c r="AD86">
        <f>IF(D86="","",N(AD85)+IF(MATCH(D86,$D$2:$D$2501,0)=ROW()-1,1,0))</f>
        <v/>
      </c>
    </row>
    <row r="87">
      <c r="X87" s="5">
        <f>IF(D87="","",W87*IF(AND(ISNUMBER(AB87),AB87&gt;0,AB87&lt;1),AB87*100,AB87)/100)</f>
        <v/>
      </c>
      <c r="Y87" s="5">
        <f>IF(D87="","",AA87*Z87/100)</f>
        <v/>
      </c>
      <c r="Z87" s="5">
        <f>IF(D87="","",W87-X87)</f>
        <v/>
      </c>
      <c r="AC87" s="5">
        <f>IF(D87="","",Z87-Y87)</f>
        <v/>
      </c>
      <c r="AD87">
        <f>IF(D87="","",N(AD86)+IF(MATCH(D87,$D$2:$D$2501,0)=ROW()-1,1,0))</f>
        <v/>
      </c>
    </row>
    <row r="88">
      <c r="X88" s="5">
        <f>IF(D88="","",W88*IF(AND(ISNUMBER(AB88),AB88&gt;0,AB88&lt;1),AB88*100,AB88)/100)</f>
        <v/>
      </c>
      <c r="Y88" s="5">
        <f>IF(D88="","",AA88*Z88/100)</f>
        <v/>
      </c>
      <c r="Z88" s="5">
        <f>IF(D88="","",W88-X88)</f>
        <v/>
      </c>
      <c r="AC88" s="5">
        <f>IF(D88="","",Z88-Y88)</f>
        <v/>
      </c>
      <c r="AD88">
        <f>IF(D88="","",N(AD87)+IF(MATCH(D88,$D$2:$D$2501,0)=ROW()-1,1,0))</f>
        <v/>
      </c>
    </row>
    <row r="89">
      <c r="X89" s="5">
        <f>IF(D89="","",W89*IF(AND(ISNUMBER(AB89),AB89&gt;0,AB89&lt;1),AB89*100,AB89)/100)</f>
        <v/>
      </c>
      <c r="Y89" s="5">
        <f>IF(D89="","",AA89*Z89/100)</f>
        <v/>
      </c>
      <c r="Z89" s="5">
        <f>IF(D89="","",W89-X89)</f>
        <v/>
      </c>
      <c r="AC89" s="5">
        <f>IF(D89="","",Z89-Y89)</f>
        <v/>
      </c>
      <c r="AD89">
        <f>IF(D89="","",N(AD88)+IF(MATCH(D89,$D$2:$D$2501,0)=ROW()-1,1,0))</f>
        <v/>
      </c>
    </row>
    <row r="90">
      <c r="X90" s="5">
        <f>IF(D90="","",W90*IF(AND(ISNUMBER(AB90),AB90&gt;0,AB90&lt;1),AB90*100,AB90)/100)</f>
        <v/>
      </c>
      <c r="Y90" s="5">
        <f>IF(D90="","",AA90*Z90/100)</f>
        <v/>
      </c>
      <c r="Z90" s="5">
        <f>IF(D90="","",W90-X90)</f>
        <v/>
      </c>
      <c r="AC90" s="5">
        <f>IF(D90="","",Z90-Y90)</f>
        <v/>
      </c>
      <c r="AD90">
        <f>IF(D90="","",N(AD89)+IF(MATCH(D90,$D$2:$D$2501,0)=ROW()-1,1,0))</f>
        <v/>
      </c>
    </row>
    <row r="91">
      <c r="X91" s="5">
        <f>IF(D91="","",W91*IF(AND(ISNUMBER(AB91),AB91&gt;0,AB91&lt;1),AB91*100,AB91)/100)</f>
        <v/>
      </c>
      <c r="Y91" s="5">
        <f>IF(D91="","",AA91*Z91/100)</f>
        <v/>
      </c>
      <c r="Z91" s="5">
        <f>IF(D91="","",W91-X91)</f>
        <v/>
      </c>
      <c r="AC91" s="5">
        <f>IF(D91="","",Z91-Y91)</f>
        <v/>
      </c>
      <c r="AD91">
        <f>IF(D91="","",N(AD90)+IF(MATCH(D91,$D$2:$D$2501,0)=ROW()-1,1,0))</f>
        <v/>
      </c>
    </row>
    <row r="92">
      <c r="X92" s="5">
        <f>IF(D92="","",W92*IF(AND(ISNUMBER(AB92),AB92&gt;0,AB92&lt;1),AB92*100,AB92)/100)</f>
        <v/>
      </c>
      <c r="Y92" s="5">
        <f>IF(D92="","",AA92*Z92/100)</f>
        <v/>
      </c>
      <c r="Z92" s="5">
        <f>IF(D92="","",W92-X92)</f>
        <v/>
      </c>
      <c r="AC92" s="5">
        <f>IF(D92="","",Z92-Y92)</f>
        <v/>
      </c>
      <c r="AD92">
        <f>IF(D92="","",N(AD91)+IF(MATCH(D92,$D$2:$D$2501,0)=ROW()-1,1,0))</f>
        <v/>
      </c>
    </row>
    <row r="93">
      <c r="X93" s="5">
        <f>IF(D93="","",W93*IF(AND(ISNUMBER(AB93),AB93&gt;0,AB93&lt;1),AB93*100,AB93)/100)</f>
        <v/>
      </c>
      <c r="Y93" s="5">
        <f>IF(D93="","",AA93*Z93/100)</f>
        <v/>
      </c>
      <c r="Z93" s="5">
        <f>IF(D93="","",W93-X93)</f>
        <v/>
      </c>
      <c r="AC93" s="5">
        <f>IF(D93="","",Z93-Y93)</f>
        <v/>
      </c>
      <c r="AD93">
        <f>IF(D93="","",N(AD92)+IF(MATCH(D93,$D$2:$D$2501,0)=ROW()-1,1,0))</f>
        <v/>
      </c>
    </row>
    <row r="94">
      <c r="X94" s="5">
        <f>IF(D94="","",W94*IF(AND(ISNUMBER(AB94),AB94&gt;0,AB94&lt;1),AB94*100,AB94)/100)</f>
        <v/>
      </c>
      <c r="Y94" s="5">
        <f>IF(D94="","",AA94*Z94/100)</f>
        <v/>
      </c>
      <c r="Z94" s="5">
        <f>IF(D94="","",W94-X94)</f>
        <v/>
      </c>
      <c r="AC94" s="5">
        <f>IF(D94="","",Z94-Y94)</f>
        <v/>
      </c>
      <c r="AD94">
        <f>IF(D94="","",N(AD93)+IF(MATCH(D94,$D$2:$D$2501,0)=ROW()-1,1,0))</f>
        <v/>
      </c>
    </row>
    <row r="95">
      <c r="X95" s="5">
        <f>IF(D95="","",W95*IF(AND(ISNUMBER(AB95),AB95&gt;0,AB95&lt;1),AB95*100,AB95)/100)</f>
        <v/>
      </c>
      <c r="Y95" s="5">
        <f>IF(D95="","",AA95*Z95/100)</f>
        <v/>
      </c>
      <c r="Z95" s="5">
        <f>IF(D95="","",W95-X95)</f>
        <v/>
      </c>
      <c r="AC95" s="5">
        <f>IF(D95="","",Z95-Y95)</f>
        <v/>
      </c>
      <c r="AD95">
        <f>IF(D95="","",N(AD94)+IF(MATCH(D95,$D$2:$D$2501,0)=ROW()-1,1,0))</f>
        <v/>
      </c>
    </row>
    <row r="96">
      <c r="X96" s="5">
        <f>IF(D96="","",W96*IF(AND(ISNUMBER(AB96),AB96&gt;0,AB96&lt;1),AB96*100,AB96)/100)</f>
        <v/>
      </c>
      <c r="Y96" s="5">
        <f>IF(D96="","",AA96*Z96/100)</f>
        <v/>
      </c>
      <c r="Z96" s="5">
        <f>IF(D96="","",W96-X96)</f>
        <v/>
      </c>
      <c r="AC96" s="5">
        <f>IF(D96="","",Z96-Y96)</f>
        <v/>
      </c>
      <c r="AD96">
        <f>IF(D96="","",N(AD95)+IF(MATCH(D96,$D$2:$D$2501,0)=ROW()-1,1,0))</f>
        <v/>
      </c>
    </row>
    <row r="97">
      <c r="X97" s="5">
        <f>IF(D97="","",W97*IF(AND(ISNUMBER(AB97),AB97&gt;0,AB97&lt;1),AB97*100,AB97)/100)</f>
        <v/>
      </c>
      <c r="Y97" s="5">
        <f>IF(D97="","",AA97*Z97/100)</f>
        <v/>
      </c>
      <c r="Z97" s="5">
        <f>IF(D97="","",W97-X97)</f>
        <v/>
      </c>
      <c r="AC97" s="5">
        <f>IF(D97="","",Z97-Y97)</f>
        <v/>
      </c>
      <c r="AD97">
        <f>IF(D97="","",N(AD96)+IF(MATCH(D97,$D$2:$D$2501,0)=ROW()-1,1,0))</f>
        <v/>
      </c>
    </row>
    <row r="98">
      <c r="X98" s="5">
        <f>IF(D98="","",W98*IF(AND(ISNUMBER(AB98),AB98&gt;0,AB98&lt;1),AB98*100,AB98)/100)</f>
        <v/>
      </c>
      <c r="Y98" s="5">
        <f>IF(D98="","",AA98*Z98/100)</f>
        <v/>
      </c>
      <c r="Z98" s="5">
        <f>IF(D98="","",W98-X98)</f>
        <v/>
      </c>
      <c r="AC98" s="5">
        <f>IF(D98="","",Z98-Y98)</f>
        <v/>
      </c>
      <c r="AD98">
        <f>IF(D98="","",N(AD97)+IF(MATCH(D98,$D$2:$D$2501,0)=ROW()-1,1,0))</f>
        <v/>
      </c>
    </row>
    <row r="99">
      <c r="X99" s="5">
        <f>IF(D99="","",W99*IF(AND(ISNUMBER(AB99),AB99&gt;0,AB99&lt;1),AB99*100,AB99)/100)</f>
        <v/>
      </c>
      <c r="Y99" s="5">
        <f>IF(D99="","",AA99*Z99/100)</f>
        <v/>
      </c>
      <c r="Z99" s="5">
        <f>IF(D99="","",W99-X99)</f>
        <v/>
      </c>
      <c r="AC99" s="5">
        <f>IF(D99="","",Z99-Y99)</f>
        <v/>
      </c>
      <c r="AD99">
        <f>IF(D99="","",N(AD98)+IF(MATCH(D99,$D$2:$D$2501,0)=ROW()-1,1,0))</f>
        <v/>
      </c>
    </row>
    <row r="100">
      <c r="X100" s="5">
        <f>IF(D100="","",W100*IF(AND(ISNUMBER(AB100),AB100&gt;0,AB100&lt;1),AB100*100,AB100)/100)</f>
        <v/>
      </c>
      <c r="Y100" s="5">
        <f>IF(D100="","",AA100*Z100/100)</f>
        <v/>
      </c>
      <c r="Z100" s="5">
        <f>IF(D100="","",W100-X100)</f>
        <v/>
      </c>
      <c r="AC100" s="5">
        <f>IF(D100="","",Z100-Y100)</f>
        <v/>
      </c>
      <c r="AD100">
        <f>IF(D100="","",N(AD99)+IF(MATCH(D100,$D$2:$D$2501,0)=ROW()-1,1,0))</f>
        <v/>
      </c>
    </row>
    <row r="101">
      <c r="X101" s="5">
        <f>IF(D101="","",W101*IF(AND(ISNUMBER(AB101),AB101&gt;0,AB101&lt;1),AB101*100,AB101)/100)</f>
        <v/>
      </c>
      <c r="Y101" s="5">
        <f>IF(D101="","",AA101*Z101/100)</f>
        <v/>
      </c>
      <c r="Z101" s="5">
        <f>IF(D101="","",W101-X101)</f>
        <v/>
      </c>
      <c r="AC101" s="5">
        <f>IF(D101="","",Z101-Y101)</f>
        <v/>
      </c>
      <c r="AD101">
        <f>IF(D101="","",N(AD100)+IF(MATCH(D101,$D$2:$D$2501,0)=ROW()-1,1,0))</f>
        <v/>
      </c>
    </row>
    <row r="102">
      <c r="X102" s="5">
        <f>IF(D102="","",W102*IF(AND(ISNUMBER(AB102),AB102&gt;0,AB102&lt;1),AB102*100,AB102)/100)</f>
        <v/>
      </c>
      <c r="Y102" s="5">
        <f>IF(D102="","",AA102*Z102/100)</f>
        <v/>
      </c>
      <c r="Z102" s="5">
        <f>IF(D102="","",W102-X102)</f>
        <v/>
      </c>
      <c r="AC102" s="5">
        <f>IF(D102="","",Z102-Y102)</f>
        <v/>
      </c>
      <c r="AD102">
        <f>IF(D102="","",N(AD101)+IF(MATCH(D102,$D$2:$D$2501,0)=ROW()-1,1,0))</f>
        <v/>
      </c>
    </row>
    <row r="103">
      <c r="X103" s="5">
        <f>IF(D103="","",W103*IF(AND(ISNUMBER(AB103),AB103&gt;0,AB103&lt;1),AB103*100,AB103)/100)</f>
        <v/>
      </c>
      <c r="Y103" s="5">
        <f>IF(D103="","",AA103*Z103/100)</f>
        <v/>
      </c>
      <c r="Z103" s="5">
        <f>IF(D103="","",W103-X103)</f>
        <v/>
      </c>
      <c r="AC103" s="5">
        <f>IF(D103="","",Z103-Y103)</f>
        <v/>
      </c>
      <c r="AD103">
        <f>IF(D103="","",N(AD102)+IF(MATCH(D103,$D$2:$D$2501,0)=ROW()-1,1,0))</f>
        <v/>
      </c>
    </row>
    <row r="104">
      <c r="X104" s="5">
        <f>IF(D104="","",W104*IF(AND(ISNUMBER(AB104),AB104&gt;0,AB104&lt;1),AB104*100,AB104)/100)</f>
        <v/>
      </c>
      <c r="Y104" s="5">
        <f>IF(D104="","",AA104*Z104/100)</f>
        <v/>
      </c>
      <c r="Z104" s="5">
        <f>IF(D104="","",W104-X104)</f>
        <v/>
      </c>
      <c r="AC104" s="5">
        <f>IF(D104="","",Z104-Y104)</f>
        <v/>
      </c>
      <c r="AD104">
        <f>IF(D104="","",N(AD103)+IF(MATCH(D104,$D$2:$D$2501,0)=ROW()-1,1,0))</f>
        <v/>
      </c>
    </row>
    <row r="105">
      <c r="X105" s="5">
        <f>IF(D105="","",W105*IF(AND(ISNUMBER(AB105),AB105&gt;0,AB105&lt;1),AB105*100,AB105)/100)</f>
        <v/>
      </c>
      <c r="Y105" s="5">
        <f>IF(D105="","",AA105*Z105/100)</f>
        <v/>
      </c>
      <c r="Z105" s="5">
        <f>IF(D105="","",W105-X105)</f>
        <v/>
      </c>
      <c r="AC105" s="5">
        <f>IF(D105="","",Z105-Y105)</f>
        <v/>
      </c>
      <c r="AD105">
        <f>IF(D105="","",N(AD104)+IF(MATCH(D105,$D$2:$D$2501,0)=ROW()-1,1,0))</f>
        <v/>
      </c>
    </row>
    <row r="106">
      <c r="X106" s="5">
        <f>IF(D106="","",W106*IF(AND(ISNUMBER(AB106),AB106&gt;0,AB106&lt;1),AB106*100,AB106)/100)</f>
        <v/>
      </c>
      <c r="Y106" s="5">
        <f>IF(D106="","",AA106*Z106/100)</f>
        <v/>
      </c>
      <c r="Z106" s="5">
        <f>IF(D106="","",W106-X106)</f>
        <v/>
      </c>
      <c r="AC106" s="5">
        <f>IF(D106="","",Z106-Y106)</f>
        <v/>
      </c>
      <c r="AD106">
        <f>IF(D106="","",N(AD105)+IF(MATCH(D106,$D$2:$D$2501,0)=ROW()-1,1,0))</f>
        <v/>
      </c>
    </row>
    <row r="107">
      <c r="X107" s="5">
        <f>IF(D107="","",W107*IF(AND(ISNUMBER(AB107),AB107&gt;0,AB107&lt;1),AB107*100,AB107)/100)</f>
        <v/>
      </c>
      <c r="Y107" s="5">
        <f>IF(D107="","",AA107*Z107/100)</f>
        <v/>
      </c>
      <c r="Z107" s="5">
        <f>IF(D107="","",W107-X107)</f>
        <v/>
      </c>
      <c r="AC107" s="5">
        <f>IF(D107="","",Z107-Y107)</f>
        <v/>
      </c>
      <c r="AD107">
        <f>IF(D107="","",N(AD106)+IF(MATCH(D107,$D$2:$D$2501,0)=ROW()-1,1,0))</f>
        <v/>
      </c>
    </row>
    <row r="108">
      <c r="X108" s="5">
        <f>IF(D108="","",W108*IF(AND(ISNUMBER(AB108),AB108&gt;0,AB108&lt;1),AB108*100,AB108)/100)</f>
        <v/>
      </c>
      <c r="Y108" s="5">
        <f>IF(D108="","",AA108*Z108/100)</f>
        <v/>
      </c>
      <c r="Z108" s="5">
        <f>IF(D108="","",W108-X108)</f>
        <v/>
      </c>
      <c r="AC108" s="5">
        <f>IF(D108="","",Z108-Y108)</f>
        <v/>
      </c>
      <c r="AD108">
        <f>IF(D108="","",N(AD107)+IF(MATCH(D108,$D$2:$D$2501,0)=ROW()-1,1,0))</f>
        <v/>
      </c>
    </row>
    <row r="109">
      <c r="X109" s="5">
        <f>IF(D109="","",W109*IF(AND(ISNUMBER(AB109),AB109&gt;0,AB109&lt;1),AB109*100,AB109)/100)</f>
        <v/>
      </c>
      <c r="Y109" s="5">
        <f>IF(D109="","",AA109*Z109/100)</f>
        <v/>
      </c>
      <c r="Z109" s="5">
        <f>IF(D109="","",W109-X109)</f>
        <v/>
      </c>
      <c r="AC109" s="5">
        <f>IF(D109="","",Z109-Y109)</f>
        <v/>
      </c>
      <c r="AD109">
        <f>IF(D109="","",N(AD108)+IF(MATCH(D109,$D$2:$D$2501,0)=ROW()-1,1,0))</f>
        <v/>
      </c>
    </row>
    <row r="110">
      <c r="X110" s="5">
        <f>IF(D110="","",W110*IF(AND(ISNUMBER(AB110),AB110&gt;0,AB110&lt;1),AB110*100,AB110)/100)</f>
        <v/>
      </c>
      <c r="Y110" s="5">
        <f>IF(D110="","",AA110*Z110/100)</f>
        <v/>
      </c>
      <c r="Z110" s="5">
        <f>IF(D110="","",W110-X110)</f>
        <v/>
      </c>
      <c r="AC110" s="5">
        <f>IF(D110="","",Z110-Y110)</f>
        <v/>
      </c>
      <c r="AD110">
        <f>IF(D110="","",N(AD109)+IF(MATCH(D110,$D$2:$D$2501,0)=ROW()-1,1,0))</f>
        <v/>
      </c>
    </row>
    <row r="111">
      <c r="X111" s="5">
        <f>IF(D111="","",W111*IF(AND(ISNUMBER(AB111),AB111&gt;0,AB111&lt;1),AB111*100,AB111)/100)</f>
        <v/>
      </c>
      <c r="Y111" s="5">
        <f>IF(D111="","",AA111*Z111/100)</f>
        <v/>
      </c>
      <c r="Z111" s="5">
        <f>IF(D111="","",W111-X111)</f>
        <v/>
      </c>
      <c r="AC111" s="5">
        <f>IF(D111="","",Z111-Y111)</f>
        <v/>
      </c>
      <c r="AD111">
        <f>IF(D111="","",N(AD110)+IF(MATCH(D111,$D$2:$D$2501,0)=ROW()-1,1,0))</f>
        <v/>
      </c>
    </row>
    <row r="112">
      <c r="X112" s="5">
        <f>IF(D112="","",W112*IF(AND(ISNUMBER(AB112),AB112&gt;0,AB112&lt;1),AB112*100,AB112)/100)</f>
        <v/>
      </c>
      <c r="Y112" s="5">
        <f>IF(D112="","",AA112*Z112/100)</f>
        <v/>
      </c>
      <c r="Z112" s="5">
        <f>IF(D112="","",W112-X112)</f>
        <v/>
      </c>
      <c r="AC112" s="5">
        <f>IF(D112="","",Z112-Y112)</f>
        <v/>
      </c>
      <c r="AD112">
        <f>IF(D112="","",N(AD111)+IF(MATCH(D112,$D$2:$D$2501,0)=ROW()-1,1,0))</f>
        <v/>
      </c>
    </row>
    <row r="113">
      <c r="X113" s="5">
        <f>IF(D113="","",W113*IF(AND(ISNUMBER(AB113),AB113&gt;0,AB113&lt;1),AB113*100,AB113)/100)</f>
        <v/>
      </c>
      <c r="Y113" s="5">
        <f>IF(D113="","",AA113*Z113/100)</f>
        <v/>
      </c>
      <c r="Z113" s="5">
        <f>IF(D113="","",W113-X113)</f>
        <v/>
      </c>
      <c r="AC113" s="5">
        <f>IF(D113="","",Z113-Y113)</f>
        <v/>
      </c>
      <c r="AD113">
        <f>IF(D113="","",N(AD112)+IF(MATCH(D113,$D$2:$D$2501,0)=ROW()-1,1,0))</f>
        <v/>
      </c>
    </row>
    <row r="114">
      <c r="X114" s="5">
        <f>IF(D114="","",W114*IF(AND(ISNUMBER(AB114),AB114&gt;0,AB114&lt;1),AB114*100,AB114)/100)</f>
        <v/>
      </c>
      <c r="Y114" s="5">
        <f>IF(D114="","",AA114*Z114/100)</f>
        <v/>
      </c>
      <c r="Z114" s="5">
        <f>IF(D114="","",W114-X114)</f>
        <v/>
      </c>
      <c r="AC114" s="5">
        <f>IF(D114="","",Z114-Y114)</f>
        <v/>
      </c>
      <c r="AD114">
        <f>IF(D114="","",N(AD113)+IF(MATCH(D114,$D$2:$D$2501,0)=ROW()-1,1,0))</f>
        <v/>
      </c>
    </row>
    <row r="115">
      <c r="X115" s="5">
        <f>IF(D115="","",W115*IF(AND(ISNUMBER(AB115),AB115&gt;0,AB115&lt;1),AB115*100,AB115)/100)</f>
        <v/>
      </c>
      <c r="Y115" s="5">
        <f>IF(D115="","",AA115*Z115/100)</f>
        <v/>
      </c>
      <c r="Z115" s="5">
        <f>IF(D115="","",W115-X115)</f>
        <v/>
      </c>
      <c r="AC115" s="5">
        <f>IF(D115="","",Z115-Y115)</f>
        <v/>
      </c>
      <c r="AD115">
        <f>IF(D115="","",N(AD114)+IF(MATCH(D115,$D$2:$D$2501,0)=ROW()-1,1,0))</f>
        <v/>
      </c>
    </row>
    <row r="116">
      <c r="X116" s="5">
        <f>IF(D116="","",W116*IF(AND(ISNUMBER(AB116),AB116&gt;0,AB116&lt;1),AB116*100,AB116)/100)</f>
        <v/>
      </c>
      <c r="Y116" s="5">
        <f>IF(D116="","",AA116*Z116/100)</f>
        <v/>
      </c>
      <c r="Z116" s="5">
        <f>IF(D116="","",W116-X116)</f>
        <v/>
      </c>
      <c r="AC116" s="5">
        <f>IF(D116="","",Z116-Y116)</f>
        <v/>
      </c>
      <c r="AD116">
        <f>IF(D116="","",N(AD115)+IF(MATCH(D116,$D$2:$D$2501,0)=ROW()-1,1,0))</f>
        <v/>
      </c>
    </row>
    <row r="117">
      <c r="X117" s="5">
        <f>IF(D117="","",W117*IF(AND(ISNUMBER(AB117),AB117&gt;0,AB117&lt;1),AB117*100,AB117)/100)</f>
        <v/>
      </c>
      <c r="Y117" s="5">
        <f>IF(D117="","",AA117*Z117/100)</f>
        <v/>
      </c>
      <c r="Z117" s="5">
        <f>IF(D117="","",W117-X117)</f>
        <v/>
      </c>
      <c r="AC117" s="5">
        <f>IF(D117="","",Z117-Y117)</f>
        <v/>
      </c>
      <c r="AD117">
        <f>IF(D117="","",N(AD116)+IF(MATCH(D117,$D$2:$D$2501,0)=ROW()-1,1,0))</f>
        <v/>
      </c>
    </row>
    <row r="118">
      <c r="X118" s="5">
        <f>IF(D118="","",W118*IF(AND(ISNUMBER(AB118),AB118&gt;0,AB118&lt;1),AB118*100,AB118)/100)</f>
        <v/>
      </c>
      <c r="Y118" s="5">
        <f>IF(D118="","",AA118*Z118/100)</f>
        <v/>
      </c>
      <c r="Z118" s="5">
        <f>IF(D118="","",W118-X118)</f>
        <v/>
      </c>
      <c r="AC118" s="5">
        <f>IF(D118="","",Z118-Y118)</f>
        <v/>
      </c>
      <c r="AD118">
        <f>IF(D118="","",N(AD117)+IF(MATCH(D118,$D$2:$D$2501,0)=ROW()-1,1,0))</f>
        <v/>
      </c>
    </row>
    <row r="119">
      <c r="X119" s="5">
        <f>IF(D119="","",W119*IF(AND(ISNUMBER(AB119),AB119&gt;0,AB119&lt;1),AB119*100,AB119)/100)</f>
        <v/>
      </c>
      <c r="Y119" s="5">
        <f>IF(D119="","",AA119*Z119/100)</f>
        <v/>
      </c>
      <c r="Z119" s="5">
        <f>IF(D119="","",W119-X119)</f>
        <v/>
      </c>
      <c r="AC119" s="5">
        <f>IF(D119="","",Z119-Y119)</f>
        <v/>
      </c>
      <c r="AD119">
        <f>IF(D119="","",N(AD118)+IF(MATCH(D119,$D$2:$D$2501,0)=ROW()-1,1,0))</f>
        <v/>
      </c>
    </row>
    <row r="120">
      <c r="X120" s="5">
        <f>IF(D120="","",W120*IF(AND(ISNUMBER(AB120),AB120&gt;0,AB120&lt;1),AB120*100,AB120)/100)</f>
        <v/>
      </c>
      <c r="Y120" s="5">
        <f>IF(D120="","",AA120*Z120/100)</f>
        <v/>
      </c>
      <c r="Z120" s="5">
        <f>IF(D120="","",W120-X120)</f>
        <v/>
      </c>
      <c r="AC120" s="5">
        <f>IF(D120="","",Z120-Y120)</f>
        <v/>
      </c>
      <c r="AD120">
        <f>IF(D120="","",N(AD119)+IF(MATCH(D120,$D$2:$D$2501,0)=ROW()-1,1,0))</f>
        <v/>
      </c>
    </row>
    <row r="121">
      <c r="X121" s="5">
        <f>IF(D121="","",W121*IF(AND(ISNUMBER(AB121),AB121&gt;0,AB121&lt;1),AB121*100,AB121)/100)</f>
        <v/>
      </c>
      <c r="Y121" s="5">
        <f>IF(D121="","",AA121*Z121/100)</f>
        <v/>
      </c>
      <c r="Z121" s="5">
        <f>IF(D121="","",W121-X121)</f>
        <v/>
      </c>
      <c r="AC121" s="5">
        <f>IF(D121="","",Z121-Y121)</f>
        <v/>
      </c>
      <c r="AD121">
        <f>IF(D121="","",N(AD120)+IF(MATCH(D121,$D$2:$D$2501,0)=ROW()-1,1,0))</f>
        <v/>
      </c>
    </row>
    <row r="122">
      <c r="X122" s="5">
        <f>IF(D122="","",W122*IF(AND(ISNUMBER(AB122),AB122&gt;0,AB122&lt;1),AB122*100,AB122)/100)</f>
        <v/>
      </c>
      <c r="Y122" s="5">
        <f>IF(D122="","",AA122*Z122/100)</f>
        <v/>
      </c>
      <c r="Z122" s="5">
        <f>IF(D122="","",W122-X122)</f>
        <v/>
      </c>
      <c r="AC122" s="5">
        <f>IF(D122="","",Z122-Y122)</f>
        <v/>
      </c>
      <c r="AD122">
        <f>IF(D122="","",N(AD121)+IF(MATCH(D122,$D$2:$D$2501,0)=ROW()-1,1,0))</f>
        <v/>
      </c>
    </row>
    <row r="123">
      <c r="X123" s="5">
        <f>IF(D123="","",W123*IF(AND(ISNUMBER(AB123),AB123&gt;0,AB123&lt;1),AB123*100,AB123)/100)</f>
        <v/>
      </c>
      <c r="Y123" s="5">
        <f>IF(D123="","",AA123*Z123/100)</f>
        <v/>
      </c>
      <c r="Z123" s="5">
        <f>IF(D123="","",W123-X123)</f>
        <v/>
      </c>
      <c r="AC123" s="5">
        <f>IF(D123="","",Z123-Y123)</f>
        <v/>
      </c>
      <c r="AD123">
        <f>IF(D123="","",N(AD122)+IF(MATCH(D123,$D$2:$D$2501,0)=ROW()-1,1,0))</f>
        <v/>
      </c>
    </row>
    <row r="124">
      <c r="X124" s="5">
        <f>IF(D124="","",W124*IF(AND(ISNUMBER(AB124),AB124&gt;0,AB124&lt;1),AB124*100,AB124)/100)</f>
        <v/>
      </c>
      <c r="Y124" s="5">
        <f>IF(D124="","",AA124*Z124/100)</f>
        <v/>
      </c>
      <c r="Z124" s="5">
        <f>IF(D124="","",W124-X124)</f>
        <v/>
      </c>
      <c r="AC124" s="5">
        <f>IF(D124="","",Z124-Y124)</f>
        <v/>
      </c>
      <c r="AD124">
        <f>IF(D124="","",N(AD123)+IF(MATCH(D124,$D$2:$D$2501,0)=ROW()-1,1,0))</f>
        <v/>
      </c>
    </row>
    <row r="125">
      <c r="X125" s="5">
        <f>IF(D125="","",W125*IF(AND(ISNUMBER(AB125),AB125&gt;0,AB125&lt;1),AB125*100,AB125)/100)</f>
        <v/>
      </c>
      <c r="Y125" s="5">
        <f>IF(D125="","",AA125*Z125/100)</f>
        <v/>
      </c>
      <c r="Z125" s="5">
        <f>IF(D125="","",W125-X125)</f>
        <v/>
      </c>
      <c r="AC125" s="5">
        <f>IF(D125="","",Z125-Y125)</f>
        <v/>
      </c>
      <c r="AD125">
        <f>IF(D125="","",N(AD124)+IF(MATCH(D125,$D$2:$D$2501,0)=ROW()-1,1,0))</f>
        <v/>
      </c>
    </row>
    <row r="126">
      <c r="X126" s="5">
        <f>IF(D126="","",W126*IF(AND(ISNUMBER(AB126),AB126&gt;0,AB126&lt;1),AB126*100,AB126)/100)</f>
        <v/>
      </c>
      <c r="Y126" s="5">
        <f>IF(D126="","",AA126*Z126/100)</f>
        <v/>
      </c>
      <c r="Z126" s="5">
        <f>IF(D126="","",W126-X126)</f>
        <v/>
      </c>
      <c r="AC126" s="5">
        <f>IF(D126="","",Z126-Y126)</f>
        <v/>
      </c>
      <c r="AD126">
        <f>IF(D126="","",N(AD125)+IF(MATCH(D126,$D$2:$D$2501,0)=ROW()-1,1,0))</f>
        <v/>
      </c>
    </row>
    <row r="127">
      <c r="X127" s="5">
        <f>IF(D127="","",W127*IF(AND(ISNUMBER(AB127),AB127&gt;0,AB127&lt;1),AB127*100,AB127)/100)</f>
        <v/>
      </c>
      <c r="Y127" s="5">
        <f>IF(D127="","",AA127*Z127/100)</f>
        <v/>
      </c>
      <c r="Z127" s="5">
        <f>IF(D127="","",W127-X127)</f>
        <v/>
      </c>
      <c r="AC127" s="5">
        <f>IF(D127="","",Z127-Y127)</f>
        <v/>
      </c>
      <c r="AD127">
        <f>IF(D127="","",N(AD126)+IF(MATCH(D127,$D$2:$D$2501,0)=ROW()-1,1,0))</f>
        <v/>
      </c>
    </row>
    <row r="128">
      <c r="X128" s="5">
        <f>IF(D128="","",W128*IF(AND(ISNUMBER(AB128),AB128&gt;0,AB128&lt;1),AB128*100,AB128)/100)</f>
        <v/>
      </c>
      <c r="Y128" s="5">
        <f>IF(D128="","",AA128*Z128/100)</f>
        <v/>
      </c>
      <c r="Z128" s="5">
        <f>IF(D128="","",W128-X128)</f>
        <v/>
      </c>
      <c r="AC128" s="5">
        <f>IF(D128="","",Z128-Y128)</f>
        <v/>
      </c>
      <c r="AD128">
        <f>IF(D128="","",N(AD127)+IF(MATCH(D128,$D$2:$D$2501,0)=ROW()-1,1,0))</f>
        <v/>
      </c>
    </row>
    <row r="129">
      <c r="X129" s="5">
        <f>IF(D129="","",W129*IF(AND(ISNUMBER(AB129),AB129&gt;0,AB129&lt;1),AB129*100,AB129)/100)</f>
        <v/>
      </c>
      <c r="Y129" s="5">
        <f>IF(D129="","",AA129*Z129/100)</f>
        <v/>
      </c>
      <c r="Z129" s="5">
        <f>IF(D129="","",W129-X129)</f>
        <v/>
      </c>
      <c r="AC129" s="5">
        <f>IF(D129="","",Z129-Y129)</f>
        <v/>
      </c>
      <c r="AD129">
        <f>IF(D129="","",N(AD128)+IF(MATCH(D129,$D$2:$D$2501,0)=ROW()-1,1,0))</f>
        <v/>
      </c>
    </row>
    <row r="130">
      <c r="X130" s="5">
        <f>IF(D130="","",W130*IF(AND(ISNUMBER(AB130),AB130&gt;0,AB130&lt;1),AB130*100,AB130)/100)</f>
        <v/>
      </c>
      <c r="Y130" s="5">
        <f>IF(D130="","",AA130*Z130/100)</f>
        <v/>
      </c>
      <c r="Z130" s="5">
        <f>IF(D130="","",W130-X130)</f>
        <v/>
      </c>
      <c r="AC130" s="5">
        <f>IF(D130="","",Z130-Y130)</f>
        <v/>
      </c>
      <c r="AD130">
        <f>IF(D130="","",N(AD129)+IF(MATCH(D130,$D$2:$D$2501,0)=ROW()-1,1,0))</f>
        <v/>
      </c>
    </row>
    <row r="131">
      <c r="X131" s="5">
        <f>IF(D131="","",W131*IF(AND(ISNUMBER(AB131),AB131&gt;0,AB131&lt;1),AB131*100,AB131)/100)</f>
        <v/>
      </c>
      <c r="Y131" s="5">
        <f>IF(D131="","",AA131*Z131/100)</f>
        <v/>
      </c>
      <c r="Z131" s="5">
        <f>IF(D131="","",W131-X131)</f>
        <v/>
      </c>
      <c r="AC131" s="5">
        <f>IF(D131="","",Z131-Y131)</f>
        <v/>
      </c>
      <c r="AD131">
        <f>IF(D131="","",N(AD130)+IF(MATCH(D131,$D$2:$D$2501,0)=ROW()-1,1,0))</f>
        <v/>
      </c>
    </row>
    <row r="132">
      <c r="X132" s="5">
        <f>IF(D132="","",W132*IF(AND(ISNUMBER(AB132),AB132&gt;0,AB132&lt;1),AB132*100,AB132)/100)</f>
        <v/>
      </c>
      <c r="Y132" s="5">
        <f>IF(D132="","",AA132*Z132/100)</f>
        <v/>
      </c>
      <c r="Z132" s="5">
        <f>IF(D132="","",W132-X132)</f>
        <v/>
      </c>
      <c r="AC132" s="5">
        <f>IF(D132="","",Z132-Y132)</f>
        <v/>
      </c>
      <c r="AD132">
        <f>IF(D132="","",N(AD131)+IF(MATCH(D132,$D$2:$D$2501,0)=ROW()-1,1,0))</f>
        <v/>
      </c>
    </row>
    <row r="133">
      <c r="X133" s="5">
        <f>IF(D133="","",W133*IF(AND(ISNUMBER(AB133),AB133&gt;0,AB133&lt;1),AB133*100,AB133)/100)</f>
        <v/>
      </c>
      <c r="Y133" s="5">
        <f>IF(D133="","",AA133*Z133/100)</f>
        <v/>
      </c>
      <c r="Z133" s="5">
        <f>IF(D133="","",W133-X133)</f>
        <v/>
      </c>
      <c r="AC133" s="5">
        <f>IF(D133="","",Z133-Y133)</f>
        <v/>
      </c>
      <c r="AD133">
        <f>IF(D133="","",N(AD132)+IF(MATCH(D133,$D$2:$D$2501,0)=ROW()-1,1,0))</f>
        <v/>
      </c>
    </row>
    <row r="134">
      <c r="X134" s="5">
        <f>IF(D134="","",W134*IF(AND(ISNUMBER(AB134),AB134&gt;0,AB134&lt;1),AB134*100,AB134)/100)</f>
        <v/>
      </c>
      <c r="Y134" s="5">
        <f>IF(D134="","",AA134*Z134/100)</f>
        <v/>
      </c>
      <c r="Z134" s="5">
        <f>IF(D134="","",W134-X134)</f>
        <v/>
      </c>
      <c r="AC134" s="5">
        <f>IF(D134="","",Z134-Y134)</f>
        <v/>
      </c>
      <c r="AD134">
        <f>IF(D134="","",N(AD133)+IF(MATCH(D134,$D$2:$D$2501,0)=ROW()-1,1,0))</f>
        <v/>
      </c>
    </row>
    <row r="135">
      <c r="X135" s="5">
        <f>IF(D135="","",W135*IF(AND(ISNUMBER(AB135),AB135&gt;0,AB135&lt;1),AB135*100,AB135)/100)</f>
        <v/>
      </c>
      <c r="Y135" s="5">
        <f>IF(D135="","",AA135*Z135/100)</f>
        <v/>
      </c>
      <c r="Z135" s="5">
        <f>IF(D135="","",W135-X135)</f>
        <v/>
      </c>
      <c r="AC135" s="5">
        <f>IF(D135="","",Z135-Y135)</f>
        <v/>
      </c>
      <c r="AD135">
        <f>IF(D135="","",N(AD134)+IF(MATCH(D135,$D$2:$D$2501,0)=ROW()-1,1,0))</f>
        <v/>
      </c>
    </row>
    <row r="136">
      <c r="X136" s="5">
        <f>IF(D136="","",W136*IF(AND(ISNUMBER(AB136),AB136&gt;0,AB136&lt;1),AB136*100,AB136)/100)</f>
        <v/>
      </c>
      <c r="Y136" s="5">
        <f>IF(D136="","",AA136*Z136/100)</f>
        <v/>
      </c>
      <c r="Z136" s="5">
        <f>IF(D136="","",W136-X136)</f>
        <v/>
      </c>
      <c r="AC136" s="5">
        <f>IF(D136="","",Z136-Y136)</f>
        <v/>
      </c>
      <c r="AD136">
        <f>IF(D136="","",N(AD135)+IF(MATCH(D136,$D$2:$D$2501,0)=ROW()-1,1,0))</f>
        <v/>
      </c>
    </row>
    <row r="137">
      <c r="X137" s="5">
        <f>IF(D137="","",W137*IF(AND(ISNUMBER(AB137),AB137&gt;0,AB137&lt;1),AB137*100,AB137)/100)</f>
        <v/>
      </c>
      <c r="Y137" s="5">
        <f>IF(D137="","",AA137*Z137/100)</f>
        <v/>
      </c>
      <c r="Z137" s="5">
        <f>IF(D137="","",W137-X137)</f>
        <v/>
      </c>
      <c r="AC137" s="5">
        <f>IF(D137="","",Z137-Y137)</f>
        <v/>
      </c>
      <c r="AD137">
        <f>IF(D137="","",N(AD136)+IF(MATCH(D137,$D$2:$D$2501,0)=ROW()-1,1,0))</f>
        <v/>
      </c>
    </row>
    <row r="138">
      <c r="X138" s="5">
        <f>IF(D138="","",W138*IF(AND(ISNUMBER(AB138),AB138&gt;0,AB138&lt;1),AB138*100,AB138)/100)</f>
        <v/>
      </c>
      <c r="Y138" s="5">
        <f>IF(D138="","",AA138*Z138/100)</f>
        <v/>
      </c>
      <c r="Z138" s="5">
        <f>IF(D138="","",W138-X138)</f>
        <v/>
      </c>
      <c r="AC138" s="5">
        <f>IF(D138="","",Z138-Y138)</f>
        <v/>
      </c>
      <c r="AD138">
        <f>IF(D138="","",N(AD137)+IF(MATCH(D138,$D$2:$D$2501,0)=ROW()-1,1,0))</f>
        <v/>
      </c>
    </row>
    <row r="139">
      <c r="X139" s="5">
        <f>IF(D139="","",W139*IF(AND(ISNUMBER(AB139),AB139&gt;0,AB139&lt;1),AB139*100,AB139)/100)</f>
        <v/>
      </c>
      <c r="Y139" s="5">
        <f>IF(D139="","",AA139*Z139/100)</f>
        <v/>
      </c>
      <c r="Z139" s="5">
        <f>IF(D139="","",W139-X139)</f>
        <v/>
      </c>
      <c r="AC139" s="5">
        <f>IF(D139="","",Z139-Y139)</f>
        <v/>
      </c>
      <c r="AD139">
        <f>IF(D139="","",N(AD138)+IF(MATCH(D139,$D$2:$D$2501,0)=ROW()-1,1,0))</f>
        <v/>
      </c>
    </row>
    <row r="140">
      <c r="X140" s="5">
        <f>IF(D140="","",W140*IF(AND(ISNUMBER(AB140),AB140&gt;0,AB140&lt;1),AB140*100,AB140)/100)</f>
        <v/>
      </c>
      <c r="Y140" s="5">
        <f>IF(D140="","",AA140*Z140/100)</f>
        <v/>
      </c>
      <c r="Z140" s="5">
        <f>IF(D140="","",W140-X140)</f>
        <v/>
      </c>
      <c r="AC140" s="5">
        <f>IF(D140="","",Z140-Y140)</f>
        <v/>
      </c>
      <c r="AD140">
        <f>IF(D140="","",N(AD139)+IF(MATCH(D140,$D$2:$D$2501,0)=ROW()-1,1,0))</f>
        <v/>
      </c>
    </row>
    <row r="141">
      <c r="X141" s="5">
        <f>IF(D141="","",W141*IF(AND(ISNUMBER(AB141),AB141&gt;0,AB141&lt;1),AB141*100,AB141)/100)</f>
        <v/>
      </c>
      <c r="Y141" s="5">
        <f>IF(D141="","",AA141*Z141/100)</f>
        <v/>
      </c>
      <c r="Z141" s="5">
        <f>IF(D141="","",W141-X141)</f>
        <v/>
      </c>
      <c r="AC141" s="5">
        <f>IF(D141="","",Z141-Y141)</f>
        <v/>
      </c>
      <c r="AD141">
        <f>IF(D141="","",N(AD140)+IF(MATCH(D141,$D$2:$D$2501,0)=ROW()-1,1,0))</f>
        <v/>
      </c>
    </row>
    <row r="142">
      <c r="X142" s="5">
        <f>IF(D142="","",W142*IF(AND(ISNUMBER(AB142),AB142&gt;0,AB142&lt;1),AB142*100,AB142)/100)</f>
        <v/>
      </c>
      <c r="Y142" s="5">
        <f>IF(D142="","",AA142*Z142/100)</f>
        <v/>
      </c>
      <c r="Z142" s="5">
        <f>IF(D142="","",W142-X142)</f>
        <v/>
      </c>
      <c r="AC142" s="5">
        <f>IF(D142="","",Z142-Y142)</f>
        <v/>
      </c>
      <c r="AD142">
        <f>IF(D142="","",N(AD141)+IF(MATCH(D142,$D$2:$D$2501,0)=ROW()-1,1,0))</f>
        <v/>
      </c>
    </row>
    <row r="143">
      <c r="X143" s="5">
        <f>IF(D143="","",W143*IF(AND(ISNUMBER(AB143),AB143&gt;0,AB143&lt;1),AB143*100,AB143)/100)</f>
        <v/>
      </c>
      <c r="Y143" s="5">
        <f>IF(D143="","",AA143*Z143/100)</f>
        <v/>
      </c>
      <c r="Z143" s="5">
        <f>IF(D143="","",W143-X143)</f>
        <v/>
      </c>
      <c r="AC143" s="5">
        <f>IF(D143="","",Z143-Y143)</f>
        <v/>
      </c>
      <c r="AD143">
        <f>IF(D143="","",N(AD142)+IF(MATCH(D143,$D$2:$D$2501,0)=ROW()-1,1,0))</f>
        <v/>
      </c>
    </row>
    <row r="144">
      <c r="X144" s="5">
        <f>IF(D144="","",W144*IF(AND(ISNUMBER(AB144),AB144&gt;0,AB144&lt;1),AB144*100,AB144)/100)</f>
        <v/>
      </c>
      <c r="Y144" s="5">
        <f>IF(D144="","",AA144*Z144/100)</f>
        <v/>
      </c>
      <c r="Z144" s="5">
        <f>IF(D144="","",W144-X144)</f>
        <v/>
      </c>
      <c r="AC144" s="5">
        <f>IF(D144="","",Z144-Y144)</f>
        <v/>
      </c>
      <c r="AD144">
        <f>IF(D144="","",N(AD143)+IF(MATCH(D144,$D$2:$D$2501,0)=ROW()-1,1,0))</f>
        <v/>
      </c>
    </row>
    <row r="145">
      <c r="X145" s="5">
        <f>IF(D145="","",W145*IF(AND(ISNUMBER(AB145),AB145&gt;0,AB145&lt;1),AB145*100,AB145)/100)</f>
        <v/>
      </c>
      <c r="Y145" s="5">
        <f>IF(D145="","",AA145*Z145/100)</f>
        <v/>
      </c>
      <c r="Z145" s="5">
        <f>IF(D145="","",W145-X145)</f>
        <v/>
      </c>
      <c r="AC145" s="5">
        <f>IF(D145="","",Z145-Y145)</f>
        <v/>
      </c>
      <c r="AD145">
        <f>IF(D145="","",N(AD144)+IF(MATCH(D145,$D$2:$D$2501,0)=ROW()-1,1,0))</f>
        <v/>
      </c>
    </row>
    <row r="146">
      <c r="X146" s="5">
        <f>IF(D146="","",W146*IF(AND(ISNUMBER(AB146),AB146&gt;0,AB146&lt;1),AB146*100,AB146)/100)</f>
        <v/>
      </c>
      <c r="Y146" s="5">
        <f>IF(D146="","",AA146*Z146/100)</f>
        <v/>
      </c>
      <c r="Z146" s="5">
        <f>IF(D146="","",W146-X146)</f>
        <v/>
      </c>
      <c r="AC146" s="5">
        <f>IF(D146="","",Z146-Y146)</f>
        <v/>
      </c>
      <c r="AD146">
        <f>IF(D146="","",N(AD145)+IF(MATCH(D146,$D$2:$D$2501,0)=ROW()-1,1,0))</f>
        <v/>
      </c>
    </row>
    <row r="147">
      <c r="X147" s="5">
        <f>IF(D147="","",W147*IF(AND(ISNUMBER(AB147),AB147&gt;0,AB147&lt;1),AB147*100,AB147)/100)</f>
        <v/>
      </c>
      <c r="Y147" s="5">
        <f>IF(D147="","",AA147*Z147/100)</f>
        <v/>
      </c>
      <c r="Z147" s="5">
        <f>IF(D147="","",W147-X147)</f>
        <v/>
      </c>
      <c r="AC147" s="5">
        <f>IF(D147="","",Z147-Y147)</f>
        <v/>
      </c>
      <c r="AD147">
        <f>IF(D147="","",N(AD146)+IF(MATCH(D147,$D$2:$D$2501,0)=ROW()-1,1,0))</f>
        <v/>
      </c>
    </row>
    <row r="148">
      <c r="X148" s="5">
        <f>IF(D148="","",W148*IF(AND(ISNUMBER(AB148),AB148&gt;0,AB148&lt;1),AB148*100,AB148)/100)</f>
        <v/>
      </c>
      <c r="Y148" s="5">
        <f>IF(D148="","",AA148*Z148/100)</f>
        <v/>
      </c>
      <c r="Z148" s="5">
        <f>IF(D148="","",W148-X148)</f>
        <v/>
      </c>
      <c r="AC148" s="5">
        <f>IF(D148="","",Z148-Y148)</f>
        <v/>
      </c>
      <c r="AD148">
        <f>IF(D148="","",N(AD147)+IF(MATCH(D148,$D$2:$D$2501,0)=ROW()-1,1,0))</f>
        <v/>
      </c>
    </row>
    <row r="149">
      <c r="X149" s="5">
        <f>IF(D149="","",W149*IF(AND(ISNUMBER(AB149),AB149&gt;0,AB149&lt;1),AB149*100,AB149)/100)</f>
        <v/>
      </c>
      <c r="Y149" s="5">
        <f>IF(D149="","",AA149*Z149/100)</f>
        <v/>
      </c>
      <c r="Z149" s="5">
        <f>IF(D149="","",W149-X149)</f>
        <v/>
      </c>
      <c r="AC149" s="5">
        <f>IF(D149="","",Z149-Y149)</f>
        <v/>
      </c>
      <c r="AD149">
        <f>IF(D149="","",N(AD148)+IF(MATCH(D149,$D$2:$D$2501,0)=ROW()-1,1,0))</f>
        <v/>
      </c>
    </row>
    <row r="150">
      <c r="X150" s="5">
        <f>IF(D150="","",W150*IF(AND(ISNUMBER(AB150),AB150&gt;0,AB150&lt;1),AB150*100,AB150)/100)</f>
        <v/>
      </c>
      <c r="Y150" s="5">
        <f>IF(D150="","",AA150*Z150/100)</f>
        <v/>
      </c>
      <c r="Z150" s="5">
        <f>IF(D150="","",W150-X150)</f>
        <v/>
      </c>
      <c r="AC150" s="5">
        <f>IF(D150="","",Z150-Y150)</f>
        <v/>
      </c>
      <c r="AD150">
        <f>IF(D150="","",N(AD149)+IF(MATCH(D150,$D$2:$D$2501,0)=ROW()-1,1,0))</f>
        <v/>
      </c>
    </row>
    <row r="151">
      <c r="X151" s="5">
        <f>IF(D151="","",W151*IF(AND(ISNUMBER(AB151),AB151&gt;0,AB151&lt;1),AB151*100,AB151)/100)</f>
        <v/>
      </c>
      <c r="Y151" s="5">
        <f>IF(D151="","",AA151*Z151/100)</f>
        <v/>
      </c>
      <c r="Z151" s="5">
        <f>IF(D151="","",W151-X151)</f>
        <v/>
      </c>
      <c r="AC151" s="5">
        <f>IF(D151="","",Z151-Y151)</f>
        <v/>
      </c>
      <c r="AD151">
        <f>IF(D151="","",N(AD150)+IF(MATCH(D151,$D$2:$D$2501,0)=ROW()-1,1,0))</f>
        <v/>
      </c>
    </row>
    <row r="152">
      <c r="X152" s="5">
        <f>IF(D152="","",W152*IF(AND(ISNUMBER(AB152),AB152&gt;0,AB152&lt;1),AB152*100,AB152)/100)</f>
        <v/>
      </c>
      <c r="Y152" s="5">
        <f>IF(D152="","",AA152*Z152/100)</f>
        <v/>
      </c>
      <c r="Z152" s="5">
        <f>IF(D152="","",W152-X152)</f>
        <v/>
      </c>
      <c r="AC152" s="5">
        <f>IF(D152="","",Z152-Y152)</f>
        <v/>
      </c>
      <c r="AD152">
        <f>IF(D152="","",N(AD151)+IF(MATCH(D152,$D$2:$D$2501,0)=ROW()-1,1,0))</f>
        <v/>
      </c>
    </row>
    <row r="153">
      <c r="X153" s="5">
        <f>IF(D153="","",W153*IF(AND(ISNUMBER(AB153),AB153&gt;0,AB153&lt;1),AB153*100,AB153)/100)</f>
        <v/>
      </c>
      <c r="Y153" s="5">
        <f>IF(D153="","",AA153*Z153/100)</f>
        <v/>
      </c>
      <c r="Z153" s="5">
        <f>IF(D153="","",W153-X153)</f>
        <v/>
      </c>
      <c r="AC153" s="5">
        <f>IF(D153="","",Z153-Y153)</f>
        <v/>
      </c>
      <c r="AD153">
        <f>IF(D153="","",N(AD152)+IF(MATCH(D153,$D$2:$D$2501,0)=ROW()-1,1,0))</f>
        <v/>
      </c>
    </row>
    <row r="154">
      <c r="X154" s="5">
        <f>IF(D154="","",W154*IF(AND(ISNUMBER(AB154),AB154&gt;0,AB154&lt;1),AB154*100,AB154)/100)</f>
        <v/>
      </c>
      <c r="Y154" s="5">
        <f>IF(D154="","",AA154*Z154/100)</f>
        <v/>
      </c>
      <c r="Z154" s="5">
        <f>IF(D154="","",W154-X154)</f>
        <v/>
      </c>
      <c r="AC154" s="5">
        <f>IF(D154="","",Z154-Y154)</f>
        <v/>
      </c>
      <c r="AD154">
        <f>IF(D154="","",N(AD153)+IF(MATCH(D154,$D$2:$D$2501,0)=ROW()-1,1,0))</f>
        <v/>
      </c>
    </row>
    <row r="155">
      <c r="X155" s="5">
        <f>IF(D155="","",W155*IF(AND(ISNUMBER(AB155),AB155&gt;0,AB155&lt;1),AB155*100,AB155)/100)</f>
        <v/>
      </c>
      <c r="Y155" s="5">
        <f>IF(D155="","",AA155*Z155/100)</f>
        <v/>
      </c>
      <c r="Z155" s="5">
        <f>IF(D155="","",W155-X155)</f>
        <v/>
      </c>
      <c r="AC155" s="5">
        <f>IF(D155="","",Z155-Y155)</f>
        <v/>
      </c>
      <c r="AD155">
        <f>IF(D155="","",N(AD154)+IF(MATCH(D155,$D$2:$D$2501,0)=ROW()-1,1,0))</f>
        <v/>
      </c>
    </row>
    <row r="156">
      <c r="X156" s="5">
        <f>IF(D156="","",W156*IF(AND(ISNUMBER(AB156),AB156&gt;0,AB156&lt;1),AB156*100,AB156)/100)</f>
        <v/>
      </c>
      <c r="Y156" s="5">
        <f>IF(D156="","",AA156*Z156/100)</f>
        <v/>
      </c>
      <c r="Z156" s="5">
        <f>IF(D156="","",W156-X156)</f>
        <v/>
      </c>
      <c r="AC156" s="5">
        <f>IF(D156="","",Z156-Y156)</f>
        <v/>
      </c>
      <c r="AD156">
        <f>IF(D156="","",N(AD155)+IF(MATCH(D156,$D$2:$D$2501,0)=ROW()-1,1,0))</f>
        <v/>
      </c>
    </row>
    <row r="157">
      <c r="X157" s="5">
        <f>IF(D157="","",W157*IF(AND(ISNUMBER(AB157),AB157&gt;0,AB157&lt;1),AB157*100,AB157)/100)</f>
        <v/>
      </c>
      <c r="Y157" s="5">
        <f>IF(D157="","",AA157*Z157/100)</f>
        <v/>
      </c>
      <c r="Z157" s="5">
        <f>IF(D157="","",W157-X157)</f>
        <v/>
      </c>
      <c r="AC157" s="5">
        <f>IF(D157="","",Z157-Y157)</f>
        <v/>
      </c>
      <c r="AD157">
        <f>IF(D157="","",N(AD156)+IF(MATCH(D157,$D$2:$D$2501,0)=ROW()-1,1,0))</f>
        <v/>
      </c>
    </row>
    <row r="158">
      <c r="X158" s="5">
        <f>IF(D158="","",W158*IF(AND(ISNUMBER(AB158),AB158&gt;0,AB158&lt;1),AB158*100,AB158)/100)</f>
        <v/>
      </c>
      <c r="Y158" s="5">
        <f>IF(D158="","",AA158*Z158/100)</f>
        <v/>
      </c>
      <c r="Z158" s="5">
        <f>IF(D158="","",W158-X158)</f>
        <v/>
      </c>
      <c r="AC158" s="5">
        <f>IF(D158="","",Z158-Y158)</f>
        <v/>
      </c>
      <c r="AD158">
        <f>IF(D158="","",N(AD157)+IF(MATCH(D158,$D$2:$D$2501,0)=ROW()-1,1,0))</f>
        <v/>
      </c>
    </row>
    <row r="159">
      <c r="X159" s="5">
        <f>IF(D159="","",W159*IF(AND(ISNUMBER(AB159),AB159&gt;0,AB159&lt;1),AB159*100,AB159)/100)</f>
        <v/>
      </c>
      <c r="Y159" s="5">
        <f>IF(D159="","",AA159*Z159/100)</f>
        <v/>
      </c>
      <c r="Z159" s="5">
        <f>IF(D159="","",W159-X159)</f>
        <v/>
      </c>
      <c r="AC159" s="5">
        <f>IF(D159="","",Z159-Y159)</f>
        <v/>
      </c>
      <c r="AD159">
        <f>IF(D159="","",N(AD158)+IF(MATCH(D159,$D$2:$D$2501,0)=ROW()-1,1,0))</f>
        <v/>
      </c>
    </row>
    <row r="160">
      <c r="X160" s="5">
        <f>IF(D160="","",W160*IF(AND(ISNUMBER(AB160),AB160&gt;0,AB160&lt;1),AB160*100,AB160)/100)</f>
        <v/>
      </c>
      <c r="Y160" s="5">
        <f>IF(D160="","",AA160*Z160/100)</f>
        <v/>
      </c>
      <c r="Z160" s="5">
        <f>IF(D160="","",W160-X160)</f>
        <v/>
      </c>
      <c r="AC160" s="5">
        <f>IF(D160="","",Z160-Y160)</f>
        <v/>
      </c>
      <c r="AD160">
        <f>IF(D160="","",N(AD159)+IF(MATCH(D160,$D$2:$D$2501,0)=ROW()-1,1,0))</f>
        <v/>
      </c>
    </row>
    <row r="161">
      <c r="X161" s="5">
        <f>IF(D161="","",W161*IF(AND(ISNUMBER(AB161),AB161&gt;0,AB161&lt;1),AB161*100,AB161)/100)</f>
        <v/>
      </c>
      <c r="Y161" s="5">
        <f>IF(D161="","",AA161*Z161/100)</f>
        <v/>
      </c>
      <c r="Z161" s="5">
        <f>IF(D161="","",W161-X161)</f>
        <v/>
      </c>
      <c r="AC161" s="5">
        <f>IF(D161="","",Z161-Y161)</f>
        <v/>
      </c>
      <c r="AD161">
        <f>IF(D161="","",N(AD160)+IF(MATCH(D161,$D$2:$D$2501,0)=ROW()-1,1,0))</f>
        <v/>
      </c>
    </row>
    <row r="162">
      <c r="X162" s="5">
        <f>IF(D162="","",W162*IF(AND(ISNUMBER(AB162),AB162&gt;0,AB162&lt;1),AB162*100,AB162)/100)</f>
        <v/>
      </c>
      <c r="Y162" s="5">
        <f>IF(D162="","",AA162*Z162/100)</f>
        <v/>
      </c>
      <c r="Z162" s="5">
        <f>IF(D162="","",W162-X162)</f>
        <v/>
      </c>
      <c r="AC162" s="5">
        <f>IF(D162="","",Z162-Y162)</f>
        <v/>
      </c>
      <c r="AD162">
        <f>IF(D162="","",N(AD161)+IF(MATCH(D162,$D$2:$D$2501,0)=ROW()-1,1,0))</f>
        <v/>
      </c>
    </row>
    <row r="163">
      <c r="X163" s="5">
        <f>IF(D163="","",W163*IF(AND(ISNUMBER(AB163),AB163&gt;0,AB163&lt;1),AB163*100,AB163)/100)</f>
        <v/>
      </c>
      <c r="Y163" s="5">
        <f>IF(D163="","",AA163*Z163/100)</f>
        <v/>
      </c>
      <c r="Z163" s="5">
        <f>IF(D163="","",W163-X163)</f>
        <v/>
      </c>
      <c r="AC163" s="5">
        <f>IF(D163="","",Z163-Y163)</f>
        <v/>
      </c>
      <c r="AD163">
        <f>IF(D163="","",N(AD162)+IF(MATCH(D163,$D$2:$D$2501,0)=ROW()-1,1,0))</f>
        <v/>
      </c>
    </row>
    <row r="164">
      <c r="X164" s="5">
        <f>IF(D164="","",W164*IF(AND(ISNUMBER(AB164),AB164&gt;0,AB164&lt;1),AB164*100,AB164)/100)</f>
        <v/>
      </c>
      <c r="Y164" s="5">
        <f>IF(D164="","",AA164*Z164/100)</f>
        <v/>
      </c>
      <c r="Z164" s="5">
        <f>IF(D164="","",W164-X164)</f>
        <v/>
      </c>
      <c r="AC164" s="5">
        <f>IF(D164="","",Z164-Y164)</f>
        <v/>
      </c>
      <c r="AD164">
        <f>IF(D164="","",N(AD163)+IF(MATCH(D164,$D$2:$D$2501,0)=ROW()-1,1,0))</f>
        <v/>
      </c>
    </row>
    <row r="165">
      <c r="X165" s="5">
        <f>IF(D165="","",W165*IF(AND(ISNUMBER(AB165),AB165&gt;0,AB165&lt;1),AB165*100,AB165)/100)</f>
        <v/>
      </c>
      <c r="Y165" s="5">
        <f>IF(D165="","",AA165*Z165/100)</f>
        <v/>
      </c>
      <c r="Z165" s="5">
        <f>IF(D165="","",W165-X165)</f>
        <v/>
      </c>
      <c r="AC165" s="5">
        <f>IF(D165="","",Z165-Y165)</f>
        <v/>
      </c>
      <c r="AD165">
        <f>IF(D165="","",N(AD164)+IF(MATCH(D165,$D$2:$D$2501,0)=ROW()-1,1,0))</f>
        <v/>
      </c>
    </row>
    <row r="166">
      <c r="X166" s="5">
        <f>IF(D166="","",W166*IF(AND(ISNUMBER(AB166),AB166&gt;0,AB166&lt;1),AB166*100,AB166)/100)</f>
        <v/>
      </c>
      <c r="Y166" s="5">
        <f>IF(D166="","",AA166*Z166/100)</f>
        <v/>
      </c>
      <c r="Z166" s="5">
        <f>IF(D166="","",W166-X166)</f>
        <v/>
      </c>
      <c r="AC166" s="5">
        <f>IF(D166="","",Z166-Y166)</f>
        <v/>
      </c>
      <c r="AD166">
        <f>IF(D166="","",N(AD165)+IF(MATCH(D166,$D$2:$D$2501,0)=ROW()-1,1,0))</f>
        <v/>
      </c>
    </row>
    <row r="167">
      <c r="X167" s="5">
        <f>IF(D167="","",W167*IF(AND(ISNUMBER(AB167),AB167&gt;0,AB167&lt;1),AB167*100,AB167)/100)</f>
        <v/>
      </c>
      <c r="Y167" s="5">
        <f>IF(D167="","",AA167*Z167/100)</f>
        <v/>
      </c>
      <c r="Z167" s="5">
        <f>IF(D167="","",W167-X167)</f>
        <v/>
      </c>
      <c r="AC167" s="5">
        <f>IF(D167="","",Z167-Y167)</f>
        <v/>
      </c>
      <c r="AD167">
        <f>IF(D167="","",N(AD166)+IF(MATCH(D167,$D$2:$D$2501,0)=ROW()-1,1,0))</f>
        <v/>
      </c>
    </row>
    <row r="168">
      <c r="X168" s="5">
        <f>IF(D168="","",W168*IF(AND(ISNUMBER(AB168),AB168&gt;0,AB168&lt;1),AB168*100,AB168)/100)</f>
        <v/>
      </c>
      <c r="Y168" s="5">
        <f>IF(D168="","",AA168*Z168/100)</f>
        <v/>
      </c>
      <c r="Z168" s="5">
        <f>IF(D168="","",W168-X168)</f>
        <v/>
      </c>
      <c r="AC168" s="5">
        <f>IF(D168="","",Z168-Y168)</f>
        <v/>
      </c>
      <c r="AD168">
        <f>IF(D168="","",N(AD167)+IF(MATCH(D168,$D$2:$D$2501,0)=ROW()-1,1,0))</f>
        <v/>
      </c>
    </row>
    <row r="169">
      <c r="X169" s="5">
        <f>IF(D169="","",W169*IF(AND(ISNUMBER(AB169),AB169&gt;0,AB169&lt;1),AB169*100,AB169)/100)</f>
        <v/>
      </c>
      <c r="Y169" s="5">
        <f>IF(D169="","",AA169*Z169/100)</f>
        <v/>
      </c>
      <c r="Z169" s="5">
        <f>IF(D169="","",W169-X169)</f>
        <v/>
      </c>
      <c r="AC169" s="5">
        <f>IF(D169="","",Z169-Y169)</f>
        <v/>
      </c>
      <c r="AD169">
        <f>IF(D169="","",N(AD168)+IF(MATCH(D169,$D$2:$D$2501,0)=ROW()-1,1,0))</f>
        <v/>
      </c>
    </row>
    <row r="170">
      <c r="X170" s="5">
        <f>IF(D170="","",W170*IF(AND(ISNUMBER(AB170),AB170&gt;0,AB170&lt;1),AB170*100,AB170)/100)</f>
        <v/>
      </c>
      <c r="Y170" s="5">
        <f>IF(D170="","",AA170*Z170/100)</f>
        <v/>
      </c>
      <c r="Z170" s="5">
        <f>IF(D170="","",W170-X170)</f>
        <v/>
      </c>
      <c r="AC170" s="5">
        <f>IF(D170="","",Z170-Y170)</f>
        <v/>
      </c>
      <c r="AD170">
        <f>IF(D170="","",N(AD169)+IF(MATCH(D170,$D$2:$D$2501,0)=ROW()-1,1,0))</f>
        <v/>
      </c>
    </row>
    <row r="171">
      <c r="X171" s="5">
        <f>IF(D171="","",W171*IF(AND(ISNUMBER(AB171),AB171&gt;0,AB171&lt;1),AB171*100,AB171)/100)</f>
        <v/>
      </c>
      <c r="Y171" s="5">
        <f>IF(D171="","",AA171*Z171/100)</f>
        <v/>
      </c>
      <c r="Z171" s="5">
        <f>IF(D171="","",W171-X171)</f>
        <v/>
      </c>
      <c r="AC171" s="5">
        <f>IF(D171="","",Z171-Y171)</f>
        <v/>
      </c>
      <c r="AD171">
        <f>IF(D171="","",N(AD170)+IF(MATCH(D171,$D$2:$D$2501,0)=ROW()-1,1,0))</f>
        <v/>
      </c>
    </row>
    <row r="172">
      <c r="X172" s="5">
        <f>IF(D172="","",W172*IF(AND(ISNUMBER(AB172),AB172&gt;0,AB172&lt;1),AB172*100,AB172)/100)</f>
        <v/>
      </c>
      <c r="Y172" s="5">
        <f>IF(D172="","",AA172*Z172/100)</f>
        <v/>
      </c>
      <c r="Z172" s="5">
        <f>IF(D172="","",W172-X172)</f>
        <v/>
      </c>
      <c r="AC172" s="5">
        <f>IF(D172="","",Z172-Y172)</f>
        <v/>
      </c>
      <c r="AD172">
        <f>IF(D172="","",N(AD171)+IF(MATCH(D172,$D$2:$D$2501,0)=ROW()-1,1,0))</f>
        <v/>
      </c>
    </row>
    <row r="173">
      <c r="X173" s="5">
        <f>IF(D173="","",W173*IF(AND(ISNUMBER(AB173),AB173&gt;0,AB173&lt;1),AB173*100,AB173)/100)</f>
        <v/>
      </c>
      <c r="Y173" s="5">
        <f>IF(D173="","",AA173*Z173/100)</f>
        <v/>
      </c>
      <c r="Z173" s="5">
        <f>IF(D173="","",W173-X173)</f>
        <v/>
      </c>
      <c r="AC173" s="5">
        <f>IF(D173="","",Z173-Y173)</f>
        <v/>
      </c>
      <c r="AD173">
        <f>IF(D173="","",N(AD172)+IF(MATCH(D173,$D$2:$D$2501,0)=ROW()-1,1,0))</f>
        <v/>
      </c>
    </row>
    <row r="174">
      <c r="X174" s="5">
        <f>IF(D174="","",W174*IF(AND(ISNUMBER(AB174),AB174&gt;0,AB174&lt;1),AB174*100,AB174)/100)</f>
        <v/>
      </c>
      <c r="Y174" s="5">
        <f>IF(D174="","",AA174*Z174/100)</f>
        <v/>
      </c>
      <c r="Z174" s="5">
        <f>IF(D174="","",W174-X174)</f>
        <v/>
      </c>
      <c r="AC174" s="5">
        <f>IF(D174="","",Z174-Y174)</f>
        <v/>
      </c>
      <c r="AD174">
        <f>IF(D174="","",N(AD173)+IF(MATCH(D174,$D$2:$D$2501,0)=ROW()-1,1,0))</f>
        <v/>
      </c>
    </row>
    <row r="175">
      <c r="X175" s="5">
        <f>IF(D175="","",W175*IF(AND(ISNUMBER(AB175),AB175&gt;0,AB175&lt;1),AB175*100,AB175)/100)</f>
        <v/>
      </c>
      <c r="Y175" s="5">
        <f>IF(D175="","",AA175*Z175/100)</f>
        <v/>
      </c>
      <c r="Z175" s="5">
        <f>IF(D175="","",W175-X175)</f>
        <v/>
      </c>
      <c r="AC175" s="5">
        <f>IF(D175="","",Z175-Y175)</f>
        <v/>
      </c>
      <c r="AD175">
        <f>IF(D175="","",N(AD174)+IF(MATCH(D175,$D$2:$D$2501,0)=ROW()-1,1,0))</f>
        <v/>
      </c>
    </row>
    <row r="176">
      <c r="X176" s="5">
        <f>IF(D176="","",W176*IF(AND(ISNUMBER(AB176),AB176&gt;0,AB176&lt;1),AB176*100,AB176)/100)</f>
        <v/>
      </c>
      <c r="Y176" s="5">
        <f>IF(D176="","",AA176*Z176/100)</f>
        <v/>
      </c>
      <c r="Z176" s="5">
        <f>IF(D176="","",W176-X176)</f>
        <v/>
      </c>
      <c r="AC176" s="5">
        <f>IF(D176="","",Z176-Y176)</f>
        <v/>
      </c>
      <c r="AD176">
        <f>IF(D176="","",N(AD175)+IF(MATCH(D176,$D$2:$D$2501,0)=ROW()-1,1,0))</f>
        <v/>
      </c>
    </row>
    <row r="177">
      <c r="X177" s="5">
        <f>IF(D177="","",W177*IF(AND(ISNUMBER(AB177),AB177&gt;0,AB177&lt;1),AB177*100,AB177)/100)</f>
        <v/>
      </c>
      <c r="Y177" s="5">
        <f>IF(D177="","",AA177*Z177/100)</f>
        <v/>
      </c>
      <c r="Z177" s="5">
        <f>IF(D177="","",W177-X177)</f>
        <v/>
      </c>
      <c r="AC177" s="5">
        <f>IF(D177="","",Z177-Y177)</f>
        <v/>
      </c>
      <c r="AD177">
        <f>IF(D177="","",N(AD176)+IF(MATCH(D177,$D$2:$D$2501,0)=ROW()-1,1,0))</f>
        <v/>
      </c>
    </row>
    <row r="178">
      <c r="X178" s="5">
        <f>IF(D178="","",W178*IF(AND(ISNUMBER(AB178),AB178&gt;0,AB178&lt;1),AB178*100,AB178)/100)</f>
        <v/>
      </c>
      <c r="Y178" s="5">
        <f>IF(D178="","",AA178*Z178/100)</f>
        <v/>
      </c>
      <c r="Z178" s="5">
        <f>IF(D178="","",W178-X178)</f>
        <v/>
      </c>
      <c r="AC178" s="5">
        <f>IF(D178="","",Z178-Y178)</f>
        <v/>
      </c>
      <c r="AD178">
        <f>IF(D178="","",N(AD177)+IF(MATCH(D178,$D$2:$D$2501,0)=ROW()-1,1,0))</f>
        <v/>
      </c>
    </row>
    <row r="179">
      <c r="X179" s="5">
        <f>IF(D179="","",W179*IF(AND(ISNUMBER(AB179),AB179&gt;0,AB179&lt;1),AB179*100,AB179)/100)</f>
        <v/>
      </c>
      <c r="Y179" s="5">
        <f>IF(D179="","",AA179*Z179/100)</f>
        <v/>
      </c>
      <c r="Z179" s="5">
        <f>IF(D179="","",W179-X179)</f>
        <v/>
      </c>
      <c r="AC179" s="5">
        <f>IF(D179="","",Z179-Y179)</f>
        <v/>
      </c>
      <c r="AD179">
        <f>IF(D179="","",N(AD178)+IF(MATCH(D179,$D$2:$D$2501,0)=ROW()-1,1,0))</f>
        <v/>
      </c>
    </row>
    <row r="180">
      <c r="X180" s="5">
        <f>IF(D180="","",W180*IF(AND(ISNUMBER(AB180),AB180&gt;0,AB180&lt;1),AB180*100,AB180)/100)</f>
        <v/>
      </c>
      <c r="Y180" s="5">
        <f>IF(D180="","",AA180*Z180/100)</f>
        <v/>
      </c>
      <c r="Z180" s="5">
        <f>IF(D180="","",W180-X180)</f>
        <v/>
      </c>
      <c r="AC180" s="5">
        <f>IF(D180="","",Z180-Y180)</f>
        <v/>
      </c>
      <c r="AD180">
        <f>IF(D180="","",N(AD179)+IF(MATCH(D180,$D$2:$D$2501,0)=ROW()-1,1,0))</f>
        <v/>
      </c>
    </row>
    <row r="181">
      <c r="X181" s="5">
        <f>IF(D181="","",W181*IF(AND(ISNUMBER(AB181),AB181&gt;0,AB181&lt;1),AB181*100,AB181)/100)</f>
        <v/>
      </c>
      <c r="Y181" s="5">
        <f>IF(D181="","",AA181*Z181/100)</f>
        <v/>
      </c>
      <c r="Z181" s="5">
        <f>IF(D181="","",W181-X181)</f>
        <v/>
      </c>
      <c r="AC181" s="5">
        <f>IF(D181="","",Z181-Y181)</f>
        <v/>
      </c>
      <c r="AD181">
        <f>IF(D181="","",N(AD180)+IF(MATCH(D181,$D$2:$D$2501,0)=ROW()-1,1,0))</f>
        <v/>
      </c>
    </row>
    <row r="182">
      <c r="X182" s="5">
        <f>IF(D182="","",W182*IF(AND(ISNUMBER(AB182),AB182&gt;0,AB182&lt;1),AB182*100,AB182)/100)</f>
        <v/>
      </c>
      <c r="Y182" s="5">
        <f>IF(D182="","",AA182*Z182/100)</f>
        <v/>
      </c>
      <c r="Z182" s="5">
        <f>IF(D182="","",W182-X182)</f>
        <v/>
      </c>
      <c r="AC182" s="5">
        <f>IF(D182="","",Z182-Y182)</f>
        <v/>
      </c>
      <c r="AD182">
        <f>IF(D182="","",N(AD181)+IF(MATCH(D182,$D$2:$D$2501,0)=ROW()-1,1,0))</f>
        <v/>
      </c>
    </row>
    <row r="183">
      <c r="X183" s="5">
        <f>IF(D183="","",W183*IF(AND(ISNUMBER(AB183),AB183&gt;0,AB183&lt;1),AB183*100,AB183)/100)</f>
        <v/>
      </c>
      <c r="Y183" s="5">
        <f>IF(D183="","",AA183*Z183/100)</f>
        <v/>
      </c>
      <c r="Z183" s="5">
        <f>IF(D183="","",W183-X183)</f>
        <v/>
      </c>
      <c r="AC183" s="5">
        <f>IF(D183="","",Z183-Y183)</f>
        <v/>
      </c>
      <c r="AD183">
        <f>IF(D183="","",N(AD182)+IF(MATCH(D183,$D$2:$D$2501,0)=ROW()-1,1,0))</f>
        <v/>
      </c>
    </row>
    <row r="184">
      <c r="X184" s="5">
        <f>IF(D184="","",W184*IF(AND(ISNUMBER(AB184),AB184&gt;0,AB184&lt;1),AB184*100,AB184)/100)</f>
        <v/>
      </c>
      <c r="Y184" s="5">
        <f>IF(D184="","",AA184*Z184/100)</f>
        <v/>
      </c>
      <c r="Z184" s="5">
        <f>IF(D184="","",W184-X184)</f>
        <v/>
      </c>
      <c r="AC184" s="5">
        <f>IF(D184="","",Z184-Y184)</f>
        <v/>
      </c>
      <c r="AD184">
        <f>IF(D184="","",N(AD183)+IF(MATCH(D184,$D$2:$D$2501,0)=ROW()-1,1,0))</f>
        <v/>
      </c>
    </row>
    <row r="185">
      <c r="X185" s="5">
        <f>IF(D185="","",W185*IF(AND(ISNUMBER(AB185),AB185&gt;0,AB185&lt;1),AB185*100,AB185)/100)</f>
        <v/>
      </c>
      <c r="Y185" s="5">
        <f>IF(D185="","",AA185*Z185/100)</f>
        <v/>
      </c>
      <c r="Z185" s="5">
        <f>IF(D185="","",W185-X185)</f>
        <v/>
      </c>
      <c r="AC185" s="5">
        <f>IF(D185="","",Z185-Y185)</f>
        <v/>
      </c>
      <c r="AD185">
        <f>IF(D185="","",N(AD184)+IF(MATCH(D185,$D$2:$D$2501,0)=ROW()-1,1,0))</f>
        <v/>
      </c>
    </row>
    <row r="186">
      <c r="X186" s="5">
        <f>IF(D186="","",W186*IF(AND(ISNUMBER(AB186),AB186&gt;0,AB186&lt;1),AB186*100,AB186)/100)</f>
        <v/>
      </c>
      <c r="Y186" s="5">
        <f>IF(D186="","",AA186*Z186/100)</f>
        <v/>
      </c>
      <c r="Z186" s="5">
        <f>IF(D186="","",W186-X186)</f>
        <v/>
      </c>
      <c r="AC186" s="5">
        <f>IF(D186="","",Z186-Y186)</f>
        <v/>
      </c>
      <c r="AD186">
        <f>IF(D186="","",N(AD185)+IF(MATCH(D186,$D$2:$D$2501,0)=ROW()-1,1,0))</f>
        <v/>
      </c>
    </row>
    <row r="187">
      <c r="X187" s="5">
        <f>IF(D187="","",W187*IF(AND(ISNUMBER(AB187),AB187&gt;0,AB187&lt;1),AB187*100,AB187)/100)</f>
        <v/>
      </c>
      <c r="Y187" s="5">
        <f>IF(D187="","",AA187*Z187/100)</f>
        <v/>
      </c>
      <c r="Z187" s="5">
        <f>IF(D187="","",W187-X187)</f>
        <v/>
      </c>
      <c r="AC187" s="5">
        <f>IF(D187="","",Z187-Y187)</f>
        <v/>
      </c>
      <c r="AD187">
        <f>IF(D187="","",N(AD186)+IF(MATCH(D187,$D$2:$D$2501,0)=ROW()-1,1,0))</f>
        <v/>
      </c>
    </row>
    <row r="188">
      <c r="X188" s="5">
        <f>IF(D188="","",W188*IF(AND(ISNUMBER(AB188),AB188&gt;0,AB188&lt;1),AB188*100,AB188)/100)</f>
        <v/>
      </c>
      <c r="Y188" s="5">
        <f>IF(D188="","",AA188*Z188/100)</f>
        <v/>
      </c>
      <c r="Z188" s="5">
        <f>IF(D188="","",W188-X188)</f>
        <v/>
      </c>
      <c r="AC188" s="5">
        <f>IF(D188="","",Z188-Y188)</f>
        <v/>
      </c>
      <c r="AD188">
        <f>IF(D188="","",N(AD187)+IF(MATCH(D188,$D$2:$D$2501,0)=ROW()-1,1,0))</f>
        <v/>
      </c>
    </row>
    <row r="189">
      <c r="X189" s="5">
        <f>IF(D189="","",W189*IF(AND(ISNUMBER(AB189),AB189&gt;0,AB189&lt;1),AB189*100,AB189)/100)</f>
        <v/>
      </c>
      <c r="Y189" s="5">
        <f>IF(D189="","",AA189*Z189/100)</f>
        <v/>
      </c>
      <c r="Z189" s="5">
        <f>IF(D189="","",W189-X189)</f>
        <v/>
      </c>
      <c r="AC189" s="5">
        <f>IF(D189="","",Z189-Y189)</f>
        <v/>
      </c>
      <c r="AD189">
        <f>IF(D189="","",N(AD188)+IF(MATCH(D189,$D$2:$D$2501,0)=ROW()-1,1,0))</f>
        <v/>
      </c>
    </row>
    <row r="190">
      <c r="X190" s="5">
        <f>IF(D190="","",W190*IF(AND(ISNUMBER(AB190),AB190&gt;0,AB190&lt;1),AB190*100,AB190)/100)</f>
        <v/>
      </c>
      <c r="Y190" s="5">
        <f>IF(D190="","",AA190*Z190/100)</f>
        <v/>
      </c>
      <c r="Z190" s="5">
        <f>IF(D190="","",W190-X190)</f>
        <v/>
      </c>
      <c r="AC190" s="5">
        <f>IF(D190="","",Z190-Y190)</f>
        <v/>
      </c>
      <c r="AD190">
        <f>IF(D190="","",N(AD189)+IF(MATCH(D190,$D$2:$D$2501,0)=ROW()-1,1,0))</f>
        <v/>
      </c>
    </row>
    <row r="191">
      <c r="X191" s="5">
        <f>IF(D191="","",W191*IF(AND(ISNUMBER(AB191),AB191&gt;0,AB191&lt;1),AB191*100,AB191)/100)</f>
        <v/>
      </c>
      <c r="Y191" s="5">
        <f>IF(D191="","",AA191*Z191/100)</f>
        <v/>
      </c>
      <c r="Z191" s="5">
        <f>IF(D191="","",W191-X191)</f>
        <v/>
      </c>
      <c r="AC191" s="5">
        <f>IF(D191="","",Z191-Y191)</f>
        <v/>
      </c>
      <c r="AD191">
        <f>IF(D191="","",N(AD190)+IF(MATCH(D191,$D$2:$D$2501,0)=ROW()-1,1,0))</f>
        <v/>
      </c>
    </row>
    <row r="192">
      <c r="X192" s="5">
        <f>IF(D192="","",W192*IF(AND(ISNUMBER(AB192),AB192&gt;0,AB192&lt;1),AB192*100,AB192)/100)</f>
        <v/>
      </c>
      <c r="Y192" s="5">
        <f>IF(D192="","",AA192*Z192/100)</f>
        <v/>
      </c>
      <c r="Z192" s="5">
        <f>IF(D192="","",W192-X192)</f>
        <v/>
      </c>
      <c r="AC192" s="5">
        <f>IF(D192="","",Z192-Y192)</f>
        <v/>
      </c>
      <c r="AD192">
        <f>IF(D192="","",N(AD191)+IF(MATCH(D192,$D$2:$D$2501,0)=ROW()-1,1,0))</f>
        <v/>
      </c>
    </row>
    <row r="193">
      <c r="X193" s="5">
        <f>IF(D193="","",W193*IF(AND(ISNUMBER(AB193),AB193&gt;0,AB193&lt;1),AB193*100,AB193)/100)</f>
        <v/>
      </c>
      <c r="Y193" s="5">
        <f>IF(D193="","",AA193*Z193/100)</f>
        <v/>
      </c>
      <c r="Z193" s="5">
        <f>IF(D193="","",W193-X193)</f>
        <v/>
      </c>
      <c r="AC193" s="5">
        <f>IF(D193="","",Z193-Y193)</f>
        <v/>
      </c>
      <c r="AD193">
        <f>IF(D193="","",N(AD192)+IF(MATCH(D193,$D$2:$D$2501,0)=ROW()-1,1,0))</f>
        <v/>
      </c>
    </row>
    <row r="194">
      <c r="X194" s="5">
        <f>IF(D194="","",W194*IF(AND(ISNUMBER(AB194),AB194&gt;0,AB194&lt;1),AB194*100,AB194)/100)</f>
        <v/>
      </c>
      <c r="Y194" s="5">
        <f>IF(D194="","",AA194*Z194/100)</f>
        <v/>
      </c>
      <c r="Z194" s="5">
        <f>IF(D194="","",W194-X194)</f>
        <v/>
      </c>
      <c r="AC194" s="5">
        <f>IF(D194="","",Z194-Y194)</f>
        <v/>
      </c>
      <c r="AD194">
        <f>IF(D194="","",N(AD193)+IF(MATCH(D194,$D$2:$D$2501,0)=ROW()-1,1,0))</f>
        <v/>
      </c>
    </row>
    <row r="195">
      <c r="X195" s="5">
        <f>IF(D195="","",W195*IF(AND(ISNUMBER(AB195),AB195&gt;0,AB195&lt;1),AB195*100,AB195)/100)</f>
        <v/>
      </c>
      <c r="Y195" s="5">
        <f>IF(D195="","",AA195*Z195/100)</f>
        <v/>
      </c>
      <c r="Z195" s="5">
        <f>IF(D195="","",W195-X195)</f>
        <v/>
      </c>
      <c r="AC195" s="5">
        <f>IF(D195="","",Z195-Y195)</f>
        <v/>
      </c>
      <c r="AD195">
        <f>IF(D195="","",N(AD194)+IF(MATCH(D195,$D$2:$D$2501,0)=ROW()-1,1,0))</f>
        <v/>
      </c>
    </row>
    <row r="196">
      <c r="X196" s="5">
        <f>IF(D196="","",W196*IF(AND(ISNUMBER(AB196),AB196&gt;0,AB196&lt;1),AB196*100,AB196)/100)</f>
        <v/>
      </c>
      <c r="Y196" s="5">
        <f>IF(D196="","",AA196*Z196/100)</f>
        <v/>
      </c>
      <c r="Z196" s="5">
        <f>IF(D196="","",W196-X196)</f>
        <v/>
      </c>
      <c r="AC196" s="5">
        <f>IF(D196="","",Z196-Y196)</f>
        <v/>
      </c>
      <c r="AD196">
        <f>IF(D196="","",N(AD195)+IF(MATCH(D196,$D$2:$D$2501,0)=ROW()-1,1,0))</f>
        <v/>
      </c>
    </row>
    <row r="197">
      <c r="X197" s="5">
        <f>IF(D197="","",W197*IF(AND(ISNUMBER(AB197),AB197&gt;0,AB197&lt;1),AB197*100,AB197)/100)</f>
        <v/>
      </c>
      <c r="Y197" s="5">
        <f>IF(D197="","",AA197*Z197/100)</f>
        <v/>
      </c>
      <c r="Z197" s="5">
        <f>IF(D197="","",W197-X197)</f>
        <v/>
      </c>
      <c r="AC197" s="5">
        <f>IF(D197="","",Z197-Y197)</f>
        <v/>
      </c>
      <c r="AD197">
        <f>IF(D197="","",N(AD196)+IF(MATCH(D197,$D$2:$D$2501,0)=ROW()-1,1,0))</f>
        <v/>
      </c>
    </row>
    <row r="198">
      <c r="X198" s="5">
        <f>IF(D198="","",W198*IF(AND(ISNUMBER(AB198),AB198&gt;0,AB198&lt;1),AB198*100,AB198)/100)</f>
        <v/>
      </c>
      <c r="Y198" s="5">
        <f>IF(D198="","",AA198*Z198/100)</f>
        <v/>
      </c>
      <c r="Z198" s="5">
        <f>IF(D198="","",W198-X198)</f>
        <v/>
      </c>
      <c r="AC198" s="5">
        <f>IF(D198="","",Z198-Y198)</f>
        <v/>
      </c>
      <c r="AD198">
        <f>IF(D198="","",N(AD197)+IF(MATCH(D198,$D$2:$D$2501,0)=ROW()-1,1,0))</f>
        <v/>
      </c>
    </row>
    <row r="199">
      <c r="X199" s="5">
        <f>IF(D199="","",W199*IF(AND(ISNUMBER(AB199),AB199&gt;0,AB199&lt;1),AB199*100,AB199)/100)</f>
        <v/>
      </c>
      <c r="Y199" s="5">
        <f>IF(D199="","",AA199*Z199/100)</f>
        <v/>
      </c>
      <c r="Z199" s="5">
        <f>IF(D199="","",W199-X199)</f>
        <v/>
      </c>
      <c r="AC199" s="5">
        <f>IF(D199="","",Z199-Y199)</f>
        <v/>
      </c>
      <c r="AD199">
        <f>IF(D199="","",N(AD198)+IF(MATCH(D199,$D$2:$D$2501,0)=ROW()-1,1,0))</f>
        <v/>
      </c>
    </row>
    <row r="200">
      <c r="X200" s="5">
        <f>IF(D200="","",W200*IF(AND(ISNUMBER(AB200),AB200&gt;0,AB200&lt;1),AB200*100,AB200)/100)</f>
        <v/>
      </c>
      <c r="Y200" s="5">
        <f>IF(D200="","",AA200*Z200/100)</f>
        <v/>
      </c>
      <c r="Z200" s="5">
        <f>IF(D200="","",W200-X200)</f>
        <v/>
      </c>
      <c r="AC200" s="5">
        <f>IF(D200="","",Z200-Y200)</f>
        <v/>
      </c>
      <c r="AD200">
        <f>IF(D200="","",N(AD199)+IF(MATCH(D200,$D$2:$D$2501,0)=ROW()-1,1,0))</f>
        <v/>
      </c>
    </row>
    <row r="201">
      <c r="X201" s="5">
        <f>IF(D201="","",W201*IF(AND(ISNUMBER(AB201),AB201&gt;0,AB201&lt;1),AB201*100,AB201)/100)</f>
        <v/>
      </c>
      <c r="Y201" s="5">
        <f>IF(D201="","",AA201*Z201/100)</f>
        <v/>
      </c>
      <c r="Z201" s="5">
        <f>IF(D201="","",W201-X201)</f>
        <v/>
      </c>
      <c r="AC201" s="5">
        <f>IF(D201="","",Z201-Y201)</f>
        <v/>
      </c>
      <c r="AD201">
        <f>IF(D201="","",N(AD200)+IF(MATCH(D201,$D$2:$D$2501,0)=ROW()-1,1,0))</f>
        <v/>
      </c>
    </row>
    <row r="202">
      <c r="X202" s="5">
        <f>IF(D202="","",W202*IF(AND(ISNUMBER(AB202),AB202&gt;0,AB202&lt;1),AB202*100,AB202)/100)</f>
        <v/>
      </c>
      <c r="Y202" s="5">
        <f>IF(D202="","",AA202*Z202/100)</f>
        <v/>
      </c>
      <c r="Z202" s="5">
        <f>IF(D202="","",W202-X202)</f>
        <v/>
      </c>
      <c r="AC202" s="5">
        <f>IF(D202="","",Z202-Y202)</f>
        <v/>
      </c>
      <c r="AD202">
        <f>IF(D202="","",N(AD201)+IF(MATCH(D202,$D$2:$D$2501,0)=ROW()-1,1,0))</f>
        <v/>
      </c>
    </row>
    <row r="203">
      <c r="X203" s="5">
        <f>IF(D203="","",W203*IF(AND(ISNUMBER(AB203),AB203&gt;0,AB203&lt;1),AB203*100,AB203)/100)</f>
        <v/>
      </c>
      <c r="Y203" s="5">
        <f>IF(D203="","",AA203*Z203/100)</f>
        <v/>
      </c>
      <c r="Z203" s="5">
        <f>IF(D203="","",W203-X203)</f>
        <v/>
      </c>
      <c r="AC203" s="5">
        <f>IF(D203="","",Z203-Y203)</f>
        <v/>
      </c>
      <c r="AD203">
        <f>IF(D203="","",N(AD202)+IF(MATCH(D203,$D$2:$D$2501,0)=ROW()-1,1,0))</f>
        <v/>
      </c>
    </row>
    <row r="204">
      <c r="X204" s="5">
        <f>IF(D204="","",W204*IF(AND(ISNUMBER(AB204),AB204&gt;0,AB204&lt;1),AB204*100,AB204)/100)</f>
        <v/>
      </c>
      <c r="Y204" s="5">
        <f>IF(D204="","",AA204*Z204/100)</f>
        <v/>
      </c>
      <c r="Z204" s="5">
        <f>IF(D204="","",W204-X204)</f>
        <v/>
      </c>
      <c r="AC204" s="5">
        <f>IF(D204="","",Z204-Y204)</f>
        <v/>
      </c>
      <c r="AD204">
        <f>IF(D204="","",N(AD203)+IF(MATCH(D204,$D$2:$D$2501,0)=ROW()-1,1,0))</f>
        <v/>
      </c>
    </row>
    <row r="205">
      <c r="X205" s="5">
        <f>IF(D205="","",W205*IF(AND(ISNUMBER(AB205),AB205&gt;0,AB205&lt;1),AB205*100,AB205)/100)</f>
        <v/>
      </c>
      <c r="Y205" s="5">
        <f>IF(D205="","",AA205*Z205/100)</f>
        <v/>
      </c>
      <c r="Z205" s="5">
        <f>IF(D205="","",W205-X205)</f>
        <v/>
      </c>
      <c r="AC205" s="5">
        <f>IF(D205="","",Z205-Y205)</f>
        <v/>
      </c>
      <c r="AD205">
        <f>IF(D205="","",N(AD204)+IF(MATCH(D205,$D$2:$D$2501,0)=ROW()-1,1,0))</f>
        <v/>
      </c>
    </row>
    <row r="206">
      <c r="X206" s="5">
        <f>IF(D206="","",W206*IF(AND(ISNUMBER(AB206),AB206&gt;0,AB206&lt;1),AB206*100,AB206)/100)</f>
        <v/>
      </c>
      <c r="Y206" s="5">
        <f>IF(D206="","",AA206*Z206/100)</f>
        <v/>
      </c>
      <c r="Z206" s="5">
        <f>IF(D206="","",W206-X206)</f>
        <v/>
      </c>
      <c r="AC206" s="5">
        <f>IF(D206="","",Z206-Y206)</f>
        <v/>
      </c>
      <c r="AD206">
        <f>IF(D206="","",N(AD205)+IF(MATCH(D206,$D$2:$D$2501,0)=ROW()-1,1,0))</f>
        <v/>
      </c>
    </row>
    <row r="207">
      <c r="X207" s="5">
        <f>IF(D207="","",W207*IF(AND(ISNUMBER(AB207),AB207&gt;0,AB207&lt;1),AB207*100,AB207)/100)</f>
        <v/>
      </c>
      <c r="Y207" s="5">
        <f>IF(D207="","",AA207*Z207/100)</f>
        <v/>
      </c>
      <c r="Z207" s="5">
        <f>IF(D207="","",W207-X207)</f>
        <v/>
      </c>
      <c r="AC207" s="5">
        <f>IF(D207="","",Z207-Y207)</f>
        <v/>
      </c>
      <c r="AD207">
        <f>IF(D207="","",N(AD206)+IF(MATCH(D207,$D$2:$D$2501,0)=ROW()-1,1,0))</f>
        <v/>
      </c>
    </row>
    <row r="208">
      <c r="X208" s="5">
        <f>IF(D208="","",W208*IF(AND(ISNUMBER(AB208),AB208&gt;0,AB208&lt;1),AB208*100,AB208)/100)</f>
        <v/>
      </c>
      <c r="Y208" s="5">
        <f>IF(D208="","",AA208*Z208/100)</f>
        <v/>
      </c>
      <c r="Z208" s="5">
        <f>IF(D208="","",W208-X208)</f>
        <v/>
      </c>
      <c r="AC208" s="5">
        <f>IF(D208="","",Z208-Y208)</f>
        <v/>
      </c>
      <c r="AD208">
        <f>IF(D208="","",N(AD207)+IF(MATCH(D208,$D$2:$D$2501,0)=ROW()-1,1,0))</f>
        <v/>
      </c>
    </row>
    <row r="209">
      <c r="X209" s="5">
        <f>IF(D209="","",W209*IF(AND(ISNUMBER(AB209),AB209&gt;0,AB209&lt;1),AB209*100,AB209)/100)</f>
        <v/>
      </c>
      <c r="Y209" s="5">
        <f>IF(D209="","",AA209*Z209/100)</f>
        <v/>
      </c>
      <c r="Z209" s="5">
        <f>IF(D209="","",W209-X209)</f>
        <v/>
      </c>
      <c r="AC209" s="5">
        <f>IF(D209="","",Z209-Y209)</f>
        <v/>
      </c>
      <c r="AD209">
        <f>IF(D209="","",N(AD208)+IF(MATCH(D209,$D$2:$D$2501,0)=ROW()-1,1,0))</f>
        <v/>
      </c>
    </row>
    <row r="210">
      <c r="X210" s="5">
        <f>IF(D210="","",W210*IF(AND(ISNUMBER(AB210),AB210&gt;0,AB210&lt;1),AB210*100,AB210)/100)</f>
        <v/>
      </c>
      <c r="Y210" s="5">
        <f>IF(D210="","",AA210*Z210/100)</f>
        <v/>
      </c>
      <c r="Z210" s="5">
        <f>IF(D210="","",W210-X210)</f>
        <v/>
      </c>
      <c r="AC210" s="5">
        <f>IF(D210="","",Z210-Y210)</f>
        <v/>
      </c>
      <c r="AD210">
        <f>IF(D210="","",N(AD209)+IF(MATCH(D210,$D$2:$D$2501,0)=ROW()-1,1,0))</f>
        <v/>
      </c>
    </row>
    <row r="211">
      <c r="X211" s="5">
        <f>IF(D211="","",W211*IF(AND(ISNUMBER(AB211),AB211&gt;0,AB211&lt;1),AB211*100,AB211)/100)</f>
        <v/>
      </c>
      <c r="Y211" s="5">
        <f>IF(D211="","",AA211*Z211/100)</f>
        <v/>
      </c>
      <c r="Z211" s="5">
        <f>IF(D211="","",W211-X211)</f>
        <v/>
      </c>
      <c r="AC211" s="5">
        <f>IF(D211="","",Z211-Y211)</f>
        <v/>
      </c>
      <c r="AD211">
        <f>IF(D211="","",N(AD210)+IF(MATCH(D211,$D$2:$D$2501,0)=ROW()-1,1,0))</f>
        <v/>
      </c>
    </row>
    <row r="212">
      <c r="X212" s="5">
        <f>IF(D212="","",W212*IF(AND(ISNUMBER(AB212),AB212&gt;0,AB212&lt;1),AB212*100,AB212)/100)</f>
        <v/>
      </c>
      <c r="Y212" s="5">
        <f>IF(D212="","",AA212*Z212/100)</f>
        <v/>
      </c>
      <c r="Z212" s="5">
        <f>IF(D212="","",W212-X212)</f>
        <v/>
      </c>
      <c r="AC212" s="5">
        <f>IF(D212="","",Z212-Y212)</f>
        <v/>
      </c>
      <c r="AD212">
        <f>IF(D212="","",N(AD211)+IF(MATCH(D212,$D$2:$D$2501,0)=ROW()-1,1,0))</f>
        <v/>
      </c>
    </row>
    <row r="213">
      <c r="X213" s="5">
        <f>IF(D213="","",W213*IF(AND(ISNUMBER(AB213),AB213&gt;0,AB213&lt;1),AB213*100,AB213)/100)</f>
        <v/>
      </c>
      <c r="Y213" s="5">
        <f>IF(D213="","",AA213*Z213/100)</f>
        <v/>
      </c>
      <c r="Z213" s="5">
        <f>IF(D213="","",W213-X213)</f>
        <v/>
      </c>
      <c r="AC213" s="5">
        <f>IF(D213="","",Z213-Y213)</f>
        <v/>
      </c>
      <c r="AD213">
        <f>IF(D213="","",N(AD212)+IF(MATCH(D213,$D$2:$D$2501,0)=ROW()-1,1,0))</f>
        <v/>
      </c>
    </row>
    <row r="214">
      <c r="X214" s="5">
        <f>IF(D214="","",W214*IF(AND(ISNUMBER(AB214),AB214&gt;0,AB214&lt;1),AB214*100,AB214)/100)</f>
        <v/>
      </c>
      <c r="Y214" s="5">
        <f>IF(D214="","",AA214*Z214/100)</f>
        <v/>
      </c>
      <c r="Z214" s="5">
        <f>IF(D214="","",W214-X214)</f>
        <v/>
      </c>
      <c r="AC214" s="5">
        <f>IF(D214="","",Z214-Y214)</f>
        <v/>
      </c>
      <c r="AD214">
        <f>IF(D214="","",N(AD213)+IF(MATCH(D214,$D$2:$D$2501,0)=ROW()-1,1,0))</f>
        <v/>
      </c>
    </row>
    <row r="215">
      <c r="X215" s="5">
        <f>IF(D215="","",W215*IF(AND(ISNUMBER(AB215),AB215&gt;0,AB215&lt;1),AB215*100,AB215)/100)</f>
        <v/>
      </c>
      <c r="Y215" s="5">
        <f>IF(D215="","",AA215*Z215/100)</f>
        <v/>
      </c>
      <c r="Z215" s="5">
        <f>IF(D215="","",W215-X215)</f>
        <v/>
      </c>
      <c r="AC215" s="5">
        <f>IF(D215="","",Z215-Y215)</f>
        <v/>
      </c>
      <c r="AD215">
        <f>IF(D215="","",N(AD214)+IF(MATCH(D215,$D$2:$D$2501,0)=ROW()-1,1,0))</f>
        <v/>
      </c>
    </row>
    <row r="216">
      <c r="X216" s="5">
        <f>IF(D216="","",W216*IF(AND(ISNUMBER(AB216),AB216&gt;0,AB216&lt;1),AB216*100,AB216)/100)</f>
        <v/>
      </c>
      <c r="Y216" s="5">
        <f>IF(D216="","",AA216*Z216/100)</f>
        <v/>
      </c>
      <c r="Z216" s="5">
        <f>IF(D216="","",W216-X216)</f>
        <v/>
      </c>
      <c r="AC216" s="5">
        <f>IF(D216="","",Z216-Y216)</f>
        <v/>
      </c>
      <c r="AD216">
        <f>IF(D216="","",N(AD215)+IF(MATCH(D216,$D$2:$D$2501,0)=ROW()-1,1,0))</f>
        <v/>
      </c>
    </row>
    <row r="217">
      <c r="X217" s="5">
        <f>IF(D217="","",W217*IF(AND(ISNUMBER(AB217),AB217&gt;0,AB217&lt;1),AB217*100,AB217)/100)</f>
        <v/>
      </c>
      <c r="Y217" s="5">
        <f>IF(D217="","",AA217*Z217/100)</f>
        <v/>
      </c>
      <c r="Z217" s="5">
        <f>IF(D217="","",W217-X217)</f>
        <v/>
      </c>
      <c r="AC217" s="5">
        <f>IF(D217="","",Z217-Y217)</f>
        <v/>
      </c>
      <c r="AD217">
        <f>IF(D217="","",N(AD216)+IF(MATCH(D217,$D$2:$D$2501,0)=ROW()-1,1,0))</f>
        <v/>
      </c>
    </row>
    <row r="218">
      <c r="X218" s="5">
        <f>IF(D218="","",W218*IF(AND(ISNUMBER(AB218),AB218&gt;0,AB218&lt;1),AB218*100,AB218)/100)</f>
        <v/>
      </c>
      <c r="Y218" s="5">
        <f>IF(D218="","",AA218*Z218/100)</f>
        <v/>
      </c>
      <c r="Z218" s="5">
        <f>IF(D218="","",W218-X218)</f>
        <v/>
      </c>
      <c r="AC218" s="5">
        <f>IF(D218="","",Z218-Y218)</f>
        <v/>
      </c>
      <c r="AD218">
        <f>IF(D218="","",N(AD217)+IF(MATCH(D218,$D$2:$D$2501,0)=ROW()-1,1,0))</f>
        <v/>
      </c>
    </row>
    <row r="219">
      <c r="X219" s="5">
        <f>IF(D219="","",W219*IF(AND(ISNUMBER(AB219),AB219&gt;0,AB219&lt;1),AB219*100,AB219)/100)</f>
        <v/>
      </c>
      <c r="Y219" s="5">
        <f>IF(D219="","",AA219*Z219/100)</f>
        <v/>
      </c>
      <c r="Z219" s="5">
        <f>IF(D219="","",W219-X219)</f>
        <v/>
      </c>
      <c r="AC219" s="5">
        <f>IF(D219="","",Z219-Y219)</f>
        <v/>
      </c>
      <c r="AD219">
        <f>IF(D219="","",N(AD218)+IF(MATCH(D219,$D$2:$D$2501,0)=ROW()-1,1,0))</f>
        <v/>
      </c>
    </row>
    <row r="220">
      <c r="X220" s="5">
        <f>IF(D220="","",W220*IF(AND(ISNUMBER(AB220),AB220&gt;0,AB220&lt;1),AB220*100,AB220)/100)</f>
        <v/>
      </c>
      <c r="Y220" s="5">
        <f>IF(D220="","",AA220*Z220/100)</f>
        <v/>
      </c>
      <c r="Z220" s="5">
        <f>IF(D220="","",W220-X220)</f>
        <v/>
      </c>
      <c r="AC220" s="5">
        <f>IF(D220="","",Z220-Y220)</f>
        <v/>
      </c>
      <c r="AD220">
        <f>IF(D220="","",N(AD219)+IF(MATCH(D220,$D$2:$D$2501,0)=ROW()-1,1,0))</f>
        <v/>
      </c>
    </row>
    <row r="221">
      <c r="X221" s="5">
        <f>IF(D221="","",W221*IF(AND(ISNUMBER(AB221),AB221&gt;0,AB221&lt;1),AB221*100,AB221)/100)</f>
        <v/>
      </c>
      <c r="Y221" s="5">
        <f>IF(D221="","",AA221*Z221/100)</f>
        <v/>
      </c>
      <c r="Z221" s="5">
        <f>IF(D221="","",W221-X221)</f>
        <v/>
      </c>
      <c r="AC221" s="5">
        <f>IF(D221="","",Z221-Y221)</f>
        <v/>
      </c>
      <c r="AD221">
        <f>IF(D221="","",N(AD220)+IF(MATCH(D221,$D$2:$D$2501,0)=ROW()-1,1,0))</f>
        <v/>
      </c>
    </row>
    <row r="222">
      <c r="X222" s="5">
        <f>IF(D222="","",W222*IF(AND(ISNUMBER(AB222),AB222&gt;0,AB222&lt;1),AB222*100,AB222)/100)</f>
        <v/>
      </c>
      <c r="Y222" s="5">
        <f>IF(D222="","",AA222*Z222/100)</f>
        <v/>
      </c>
      <c r="Z222" s="5">
        <f>IF(D222="","",W222-X222)</f>
        <v/>
      </c>
      <c r="AC222" s="5">
        <f>IF(D222="","",Z222-Y222)</f>
        <v/>
      </c>
      <c r="AD222">
        <f>IF(D222="","",N(AD221)+IF(MATCH(D222,$D$2:$D$2501,0)=ROW()-1,1,0))</f>
        <v/>
      </c>
    </row>
    <row r="223">
      <c r="X223" s="5">
        <f>IF(D223="","",W223*IF(AND(ISNUMBER(AB223),AB223&gt;0,AB223&lt;1),AB223*100,AB223)/100)</f>
        <v/>
      </c>
      <c r="Y223" s="5">
        <f>IF(D223="","",AA223*Z223/100)</f>
        <v/>
      </c>
      <c r="Z223" s="5">
        <f>IF(D223="","",W223-X223)</f>
        <v/>
      </c>
      <c r="AC223" s="5">
        <f>IF(D223="","",Z223-Y223)</f>
        <v/>
      </c>
      <c r="AD223">
        <f>IF(D223="","",N(AD222)+IF(MATCH(D223,$D$2:$D$2501,0)=ROW()-1,1,0))</f>
        <v/>
      </c>
    </row>
    <row r="224">
      <c r="X224" s="5">
        <f>IF(D224="","",W224*IF(AND(ISNUMBER(AB224),AB224&gt;0,AB224&lt;1),AB224*100,AB224)/100)</f>
        <v/>
      </c>
      <c r="Y224" s="5">
        <f>IF(D224="","",AA224*Z224/100)</f>
        <v/>
      </c>
      <c r="Z224" s="5">
        <f>IF(D224="","",W224-X224)</f>
        <v/>
      </c>
      <c r="AC224" s="5">
        <f>IF(D224="","",Z224-Y224)</f>
        <v/>
      </c>
      <c r="AD224">
        <f>IF(D224="","",N(AD223)+IF(MATCH(D224,$D$2:$D$2501,0)=ROW()-1,1,0))</f>
        <v/>
      </c>
    </row>
    <row r="225">
      <c r="X225" s="5">
        <f>IF(D225="","",W225*IF(AND(ISNUMBER(AB225),AB225&gt;0,AB225&lt;1),AB225*100,AB225)/100)</f>
        <v/>
      </c>
      <c r="Y225" s="5">
        <f>IF(D225="","",AA225*Z225/100)</f>
        <v/>
      </c>
      <c r="Z225" s="5">
        <f>IF(D225="","",W225-X225)</f>
        <v/>
      </c>
      <c r="AC225" s="5">
        <f>IF(D225="","",Z225-Y225)</f>
        <v/>
      </c>
      <c r="AD225">
        <f>IF(D225="","",N(AD224)+IF(MATCH(D225,$D$2:$D$2501,0)=ROW()-1,1,0))</f>
        <v/>
      </c>
    </row>
    <row r="226">
      <c r="X226" s="5">
        <f>IF(D226="","",W226*IF(AND(ISNUMBER(AB226),AB226&gt;0,AB226&lt;1),AB226*100,AB226)/100)</f>
        <v/>
      </c>
      <c r="Y226" s="5">
        <f>IF(D226="","",AA226*Z226/100)</f>
        <v/>
      </c>
      <c r="Z226" s="5">
        <f>IF(D226="","",W226-X226)</f>
        <v/>
      </c>
      <c r="AC226" s="5">
        <f>IF(D226="","",Z226-Y226)</f>
        <v/>
      </c>
      <c r="AD226">
        <f>IF(D226="","",N(AD225)+IF(MATCH(D226,$D$2:$D$2501,0)=ROW()-1,1,0))</f>
        <v/>
      </c>
    </row>
    <row r="227">
      <c r="X227" s="5">
        <f>IF(D227="","",W227*IF(AND(ISNUMBER(AB227),AB227&gt;0,AB227&lt;1),AB227*100,AB227)/100)</f>
        <v/>
      </c>
      <c r="Y227" s="5">
        <f>IF(D227="","",AA227*Z227/100)</f>
        <v/>
      </c>
      <c r="Z227" s="5">
        <f>IF(D227="","",W227-X227)</f>
        <v/>
      </c>
      <c r="AC227" s="5">
        <f>IF(D227="","",Z227-Y227)</f>
        <v/>
      </c>
      <c r="AD227">
        <f>IF(D227="","",N(AD226)+IF(MATCH(D227,$D$2:$D$2501,0)=ROW()-1,1,0))</f>
        <v/>
      </c>
    </row>
    <row r="228">
      <c r="X228" s="5">
        <f>IF(D228="","",W228*IF(AND(ISNUMBER(AB228),AB228&gt;0,AB228&lt;1),AB228*100,AB228)/100)</f>
        <v/>
      </c>
      <c r="Y228" s="5">
        <f>IF(D228="","",AA228*Z228/100)</f>
        <v/>
      </c>
      <c r="Z228" s="5">
        <f>IF(D228="","",W228-X228)</f>
        <v/>
      </c>
      <c r="AC228" s="5">
        <f>IF(D228="","",Z228-Y228)</f>
        <v/>
      </c>
      <c r="AD228">
        <f>IF(D228="","",N(AD227)+IF(MATCH(D228,$D$2:$D$2501,0)=ROW()-1,1,0))</f>
        <v/>
      </c>
    </row>
    <row r="229">
      <c r="X229" s="5">
        <f>IF(D229="","",W229*IF(AND(ISNUMBER(AB229),AB229&gt;0,AB229&lt;1),AB229*100,AB229)/100)</f>
        <v/>
      </c>
      <c r="Y229" s="5">
        <f>IF(D229="","",AA229*Z229/100)</f>
        <v/>
      </c>
      <c r="Z229" s="5">
        <f>IF(D229="","",W229-X229)</f>
        <v/>
      </c>
      <c r="AC229" s="5">
        <f>IF(D229="","",Z229-Y229)</f>
        <v/>
      </c>
      <c r="AD229">
        <f>IF(D229="","",N(AD228)+IF(MATCH(D229,$D$2:$D$2501,0)=ROW()-1,1,0))</f>
        <v/>
      </c>
    </row>
    <row r="230">
      <c r="X230" s="5">
        <f>IF(D230="","",W230*IF(AND(ISNUMBER(AB230),AB230&gt;0,AB230&lt;1),AB230*100,AB230)/100)</f>
        <v/>
      </c>
      <c r="Y230" s="5">
        <f>IF(D230="","",AA230*Z230/100)</f>
        <v/>
      </c>
      <c r="Z230" s="5">
        <f>IF(D230="","",W230-X230)</f>
        <v/>
      </c>
      <c r="AC230" s="5">
        <f>IF(D230="","",Z230-Y230)</f>
        <v/>
      </c>
      <c r="AD230">
        <f>IF(D230="","",N(AD229)+IF(MATCH(D230,$D$2:$D$2501,0)=ROW()-1,1,0))</f>
        <v/>
      </c>
    </row>
    <row r="231">
      <c r="X231" s="5">
        <f>IF(D231="","",W231*IF(AND(ISNUMBER(AB231),AB231&gt;0,AB231&lt;1),AB231*100,AB231)/100)</f>
        <v/>
      </c>
      <c r="Y231" s="5">
        <f>IF(D231="","",AA231*Z231/100)</f>
        <v/>
      </c>
      <c r="Z231" s="5">
        <f>IF(D231="","",W231-X231)</f>
        <v/>
      </c>
      <c r="AC231" s="5">
        <f>IF(D231="","",Z231-Y231)</f>
        <v/>
      </c>
      <c r="AD231">
        <f>IF(D231="","",N(AD230)+IF(MATCH(D231,$D$2:$D$2501,0)=ROW()-1,1,0))</f>
        <v/>
      </c>
    </row>
    <row r="232">
      <c r="X232" s="5">
        <f>IF(D232="","",W232*IF(AND(ISNUMBER(AB232),AB232&gt;0,AB232&lt;1),AB232*100,AB232)/100)</f>
        <v/>
      </c>
      <c r="Y232" s="5">
        <f>IF(D232="","",AA232*Z232/100)</f>
        <v/>
      </c>
      <c r="Z232" s="5">
        <f>IF(D232="","",W232-X232)</f>
        <v/>
      </c>
      <c r="AC232" s="5">
        <f>IF(D232="","",Z232-Y232)</f>
        <v/>
      </c>
      <c r="AD232">
        <f>IF(D232="","",N(AD231)+IF(MATCH(D232,$D$2:$D$2501,0)=ROW()-1,1,0))</f>
        <v/>
      </c>
    </row>
    <row r="233">
      <c r="X233" s="5">
        <f>IF(D233="","",W233*IF(AND(ISNUMBER(AB233),AB233&gt;0,AB233&lt;1),AB233*100,AB233)/100)</f>
        <v/>
      </c>
      <c r="Y233" s="5">
        <f>IF(D233="","",AA233*Z233/100)</f>
        <v/>
      </c>
      <c r="Z233" s="5">
        <f>IF(D233="","",W233-X233)</f>
        <v/>
      </c>
      <c r="AC233" s="5">
        <f>IF(D233="","",Z233-Y233)</f>
        <v/>
      </c>
      <c r="AD233">
        <f>IF(D233="","",N(AD232)+IF(MATCH(D233,$D$2:$D$2501,0)=ROW()-1,1,0))</f>
        <v/>
      </c>
    </row>
    <row r="234">
      <c r="X234" s="5">
        <f>IF(D234="","",W234*IF(AND(ISNUMBER(AB234),AB234&gt;0,AB234&lt;1),AB234*100,AB234)/100)</f>
        <v/>
      </c>
      <c r="Y234" s="5">
        <f>IF(D234="","",AA234*Z234/100)</f>
        <v/>
      </c>
      <c r="Z234" s="5">
        <f>IF(D234="","",W234-X234)</f>
        <v/>
      </c>
      <c r="AC234" s="5">
        <f>IF(D234="","",Z234-Y234)</f>
        <v/>
      </c>
      <c r="AD234">
        <f>IF(D234="","",N(AD233)+IF(MATCH(D234,$D$2:$D$2501,0)=ROW()-1,1,0))</f>
        <v/>
      </c>
    </row>
    <row r="235">
      <c r="X235" s="5">
        <f>IF(D235="","",W235*IF(AND(ISNUMBER(AB235),AB235&gt;0,AB235&lt;1),AB235*100,AB235)/100)</f>
        <v/>
      </c>
      <c r="Y235" s="5">
        <f>IF(D235="","",AA235*Z235/100)</f>
        <v/>
      </c>
      <c r="Z235" s="5">
        <f>IF(D235="","",W235-X235)</f>
        <v/>
      </c>
      <c r="AC235" s="5">
        <f>IF(D235="","",Z235-Y235)</f>
        <v/>
      </c>
      <c r="AD235">
        <f>IF(D235="","",N(AD234)+IF(MATCH(D235,$D$2:$D$2501,0)=ROW()-1,1,0))</f>
        <v/>
      </c>
    </row>
    <row r="236">
      <c r="X236" s="5">
        <f>IF(D236="","",W236*IF(AND(ISNUMBER(AB236),AB236&gt;0,AB236&lt;1),AB236*100,AB236)/100)</f>
        <v/>
      </c>
      <c r="Y236" s="5">
        <f>IF(D236="","",AA236*Z236/100)</f>
        <v/>
      </c>
      <c r="Z236" s="5">
        <f>IF(D236="","",W236-X236)</f>
        <v/>
      </c>
      <c r="AC236" s="5">
        <f>IF(D236="","",Z236-Y236)</f>
        <v/>
      </c>
      <c r="AD236">
        <f>IF(D236="","",N(AD235)+IF(MATCH(D236,$D$2:$D$2501,0)=ROW()-1,1,0))</f>
        <v/>
      </c>
    </row>
    <row r="237">
      <c r="X237" s="5">
        <f>IF(D237="","",W237*IF(AND(ISNUMBER(AB237),AB237&gt;0,AB237&lt;1),AB237*100,AB237)/100)</f>
        <v/>
      </c>
      <c r="Y237" s="5">
        <f>IF(D237="","",AA237*Z237/100)</f>
        <v/>
      </c>
      <c r="Z237" s="5">
        <f>IF(D237="","",W237-X237)</f>
        <v/>
      </c>
      <c r="AC237" s="5">
        <f>IF(D237="","",Z237-Y237)</f>
        <v/>
      </c>
      <c r="AD237">
        <f>IF(D237="","",N(AD236)+IF(MATCH(D237,$D$2:$D$2501,0)=ROW()-1,1,0))</f>
        <v/>
      </c>
    </row>
    <row r="238">
      <c r="X238" s="5">
        <f>IF(D238="","",W238*IF(AND(ISNUMBER(AB238),AB238&gt;0,AB238&lt;1),AB238*100,AB238)/100)</f>
        <v/>
      </c>
      <c r="Y238" s="5">
        <f>IF(D238="","",AA238*Z238/100)</f>
        <v/>
      </c>
      <c r="Z238" s="5">
        <f>IF(D238="","",W238-X238)</f>
        <v/>
      </c>
      <c r="AC238" s="5">
        <f>IF(D238="","",Z238-Y238)</f>
        <v/>
      </c>
      <c r="AD238">
        <f>IF(D238="","",N(AD237)+IF(MATCH(D238,$D$2:$D$2501,0)=ROW()-1,1,0))</f>
        <v/>
      </c>
    </row>
    <row r="239">
      <c r="X239" s="5">
        <f>IF(D239="","",W239*IF(AND(ISNUMBER(AB239),AB239&gt;0,AB239&lt;1),AB239*100,AB239)/100)</f>
        <v/>
      </c>
      <c r="Y239" s="5">
        <f>IF(D239="","",AA239*Z239/100)</f>
        <v/>
      </c>
      <c r="Z239" s="5">
        <f>IF(D239="","",W239-X239)</f>
        <v/>
      </c>
      <c r="AC239" s="5">
        <f>IF(D239="","",Z239-Y239)</f>
        <v/>
      </c>
      <c r="AD239">
        <f>IF(D239="","",N(AD238)+IF(MATCH(D239,$D$2:$D$2501,0)=ROW()-1,1,0))</f>
        <v/>
      </c>
    </row>
    <row r="240">
      <c r="X240" s="5">
        <f>IF(D240="","",W240*IF(AND(ISNUMBER(AB240),AB240&gt;0,AB240&lt;1),AB240*100,AB240)/100)</f>
        <v/>
      </c>
      <c r="Y240" s="5">
        <f>IF(D240="","",AA240*Z240/100)</f>
        <v/>
      </c>
      <c r="Z240" s="5">
        <f>IF(D240="","",W240-X240)</f>
        <v/>
      </c>
      <c r="AC240" s="5">
        <f>IF(D240="","",Z240-Y240)</f>
        <v/>
      </c>
      <c r="AD240">
        <f>IF(D240="","",N(AD239)+IF(MATCH(D240,$D$2:$D$2501,0)=ROW()-1,1,0))</f>
        <v/>
      </c>
    </row>
    <row r="241">
      <c r="X241" s="5">
        <f>IF(D241="","",W241*IF(AND(ISNUMBER(AB241),AB241&gt;0,AB241&lt;1),AB241*100,AB241)/100)</f>
        <v/>
      </c>
      <c r="Y241" s="5">
        <f>IF(D241="","",AA241*Z241/100)</f>
        <v/>
      </c>
      <c r="Z241" s="5">
        <f>IF(D241="","",W241-X241)</f>
        <v/>
      </c>
      <c r="AC241" s="5">
        <f>IF(D241="","",Z241-Y241)</f>
        <v/>
      </c>
      <c r="AD241">
        <f>IF(D241="","",N(AD240)+IF(MATCH(D241,$D$2:$D$2501,0)=ROW()-1,1,0))</f>
        <v/>
      </c>
    </row>
    <row r="242">
      <c r="X242" s="5">
        <f>IF(D242="","",W242*IF(AND(ISNUMBER(AB242),AB242&gt;0,AB242&lt;1),AB242*100,AB242)/100)</f>
        <v/>
      </c>
      <c r="Y242" s="5">
        <f>IF(D242="","",AA242*Z242/100)</f>
        <v/>
      </c>
      <c r="Z242" s="5">
        <f>IF(D242="","",W242-X242)</f>
        <v/>
      </c>
      <c r="AC242" s="5">
        <f>IF(D242="","",Z242-Y242)</f>
        <v/>
      </c>
      <c r="AD242">
        <f>IF(D242="","",N(AD241)+IF(MATCH(D242,$D$2:$D$2501,0)=ROW()-1,1,0))</f>
        <v/>
      </c>
    </row>
    <row r="243">
      <c r="X243" s="5">
        <f>IF(D243="","",W243*IF(AND(ISNUMBER(AB243),AB243&gt;0,AB243&lt;1),AB243*100,AB243)/100)</f>
        <v/>
      </c>
      <c r="Y243" s="5">
        <f>IF(D243="","",AA243*Z243/100)</f>
        <v/>
      </c>
      <c r="Z243" s="5">
        <f>IF(D243="","",W243-X243)</f>
        <v/>
      </c>
      <c r="AC243" s="5">
        <f>IF(D243="","",Z243-Y243)</f>
        <v/>
      </c>
      <c r="AD243">
        <f>IF(D243="","",N(AD242)+IF(MATCH(D243,$D$2:$D$2501,0)=ROW()-1,1,0))</f>
        <v/>
      </c>
    </row>
    <row r="244">
      <c r="X244" s="5">
        <f>IF(D244="","",W244*IF(AND(ISNUMBER(AB244),AB244&gt;0,AB244&lt;1),AB244*100,AB244)/100)</f>
        <v/>
      </c>
      <c r="Y244" s="5">
        <f>IF(D244="","",AA244*Z244/100)</f>
        <v/>
      </c>
      <c r="Z244" s="5">
        <f>IF(D244="","",W244-X244)</f>
        <v/>
      </c>
      <c r="AC244" s="5">
        <f>IF(D244="","",Z244-Y244)</f>
        <v/>
      </c>
      <c r="AD244">
        <f>IF(D244="","",N(AD243)+IF(MATCH(D244,$D$2:$D$2501,0)=ROW()-1,1,0))</f>
        <v/>
      </c>
    </row>
    <row r="245">
      <c r="X245" s="5">
        <f>IF(D245="","",W245*IF(AND(ISNUMBER(AB245),AB245&gt;0,AB245&lt;1),AB245*100,AB245)/100)</f>
        <v/>
      </c>
      <c r="Y245" s="5">
        <f>IF(D245="","",AA245*Z245/100)</f>
        <v/>
      </c>
      <c r="Z245" s="5">
        <f>IF(D245="","",W245-X245)</f>
        <v/>
      </c>
      <c r="AC245" s="5">
        <f>IF(D245="","",Z245-Y245)</f>
        <v/>
      </c>
      <c r="AD245">
        <f>IF(D245="","",N(AD244)+IF(MATCH(D245,$D$2:$D$2501,0)=ROW()-1,1,0))</f>
        <v/>
      </c>
    </row>
    <row r="246">
      <c r="X246" s="5">
        <f>IF(D246="","",W246*IF(AND(ISNUMBER(AB246),AB246&gt;0,AB246&lt;1),AB246*100,AB246)/100)</f>
        <v/>
      </c>
      <c r="Y246" s="5">
        <f>IF(D246="","",AA246*Z246/100)</f>
        <v/>
      </c>
      <c r="Z246" s="5">
        <f>IF(D246="","",W246-X246)</f>
        <v/>
      </c>
      <c r="AC246" s="5">
        <f>IF(D246="","",Z246-Y246)</f>
        <v/>
      </c>
      <c r="AD246">
        <f>IF(D246="","",N(AD245)+IF(MATCH(D246,$D$2:$D$2501,0)=ROW()-1,1,0))</f>
        <v/>
      </c>
    </row>
    <row r="247">
      <c r="X247" s="5">
        <f>IF(D247="","",W247*IF(AND(ISNUMBER(AB247),AB247&gt;0,AB247&lt;1),AB247*100,AB247)/100)</f>
        <v/>
      </c>
      <c r="Y247" s="5">
        <f>IF(D247="","",AA247*Z247/100)</f>
        <v/>
      </c>
      <c r="Z247" s="5">
        <f>IF(D247="","",W247-X247)</f>
        <v/>
      </c>
      <c r="AC247" s="5">
        <f>IF(D247="","",Z247-Y247)</f>
        <v/>
      </c>
      <c r="AD247">
        <f>IF(D247="","",N(AD246)+IF(MATCH(D247,$D$2:$D$2501,0)=ROW()-1,1,0))</f>
        <v/>
      </c>
    </row>
    <row r="248">
      <c r="X248" s="5">
        <f>IF(D248="","",W248*IF(AND(ISNUMBER(AB248),AB248&gt;0,AB248&lt;1),AB248*100,AB248)/100)</f>
        <v/>
      </c>
      <c r="Y248" s="5">
        <f>IF(D248="","",AA248*Z248/100)</f>
        <v/>
      </c>
      <c r="Z248" s="5">
        <f>IF(D248="","",W248-X248)</f>
        <v/>
      </c>
      <c r="AC248" s="5">
        <f>IF(D248="","",Z248-Y248)</f>
        <v/>
      </c>
      <c r="AD248">
        <f>IF(D248="","",N(AD247)+IF(MATCH(D248,$D$2:$D$2501,0)=ROW()-1,1,0))</f>
        <v/>
      </c>
    </row>
    <row r="249">
      <c r="X249" s="5">
        <f>IF(D249="","",W249*IF(AND(ISNUMBER(AB249),AB249&gt;0,AB249&lt;1),AB249*100,AB249)/100)</f>
        <v/>
      </c>
      <c r="Y249" s="5">
        <f>IF(D249="","",AA249*Z249/100)</f>
        <v/>
      </c>
      <c r="Z249" s="5">
        <f>IF(D249="","",W249-X249)</f>
        <v/>
      </c>
      <c r="AC249" s="5">
        <f>IF(D249="","",Z249-Y249)</f>
        <v/>
      </c>
      <c r="AD249">
        <f>IF(D249="","",N(AD248)+IF(MATCH(D249,$D$2:$D$2501,0)=ROW()-1,1,0))</f>
        <v/>
      </c>
    </row>
    <row r="250">
      <c r="X250" s="5">
        <f>IF(D250="","",W250*IF(AND(ISNUMBER(AB250),AB250&gt;0,AB250&lt;1),AB250*100,AB250)/100)</f>
        <v/>
      </c>
      <c r="Y250" s="5">
        <f>IF(D250="","",AA250*Z250/100)</f>
        <v/>
      </c>
      <c r="Z250" s="5">
        <f>IF(D250="","",W250-X250)</f>
        <v/>
      </c>
      <c r="AC250" s="5">
        <f>IF(D250="","",Z250-Y250)</f>
        <v/>
      </c>
      <c r="AD250">
        <f>IF(D250="","",N(AD249)+IF(MATCH(D250,$D$2:$D$2501,0)=ROW()-1,1,0))</f>
        <v/>
      </c>
    </row>
    <row r="251">
      <c r="X251" s="5">
        <f>IF(D251="","",W251*IF(AND(ISNUMBER(AB251),AB251&gt;0,AB251&lt;1),AB251*100,AB251)/100)</f>
        <v/>
      </c>
      <c r="Y251" s="5">
        <f>IF(D251="","",AA251*Z251/100)</f>
        <v/>
      </c>
      <c r="Z251" s="5">
        <f>IF(D251="","",W251-X251)</f>
        <v/>
      </c>
      <c r="AC251" s="5">
        <f>IF(D251="","",Z251-Y251)</f>
        <v/>
      </c>
      <c r="AD251">
        <f>IF(D251="","",N(AD250)+IF(MATCH(D251,$D$2:$D$2501,0)=ROW()-1,1,0))</f>
        <v/>
      </c>
    </row>
    <row r="252">
      <c r="X252" s="5">
        <f>IF(D252="","",W252*IF(AND(ISNUMBER(AB252),AB252&gt;0,AB252&lt;1),AB252*100,AB252)/100)</f>
        <v/>
      </c>
      <c r="Y252" s="5">
        <f>IF(D252="","",AA252*Z252/100)</f>
        <v/>
      </c>
      <c r="Z252" s="5">
        <f>IF(D252="","",W252-X252)</f>
        <v/>
      </c>
      <c r="AC252" s="5">
        <f>IF(D252="","",Z252-Y252)</f>
        <v/>
      </c>
      <c r="AD252">
        <f>IF(D252="","",N(AD251)+IF(MATCH(D252,$D$2:$D$2501,0)=ROW()-1,1,0))</f>
        <v/>
      </c>
    </row>
    <row r="253">
      <c r="X253" s="5">
        <f>IF(D253="","",W253*IF(AND(ISNUMBER(AB253),AB253&gt;0,AB253&lt;1),AB253*100,AB253)/100)</f>
        <v/>
      </c>
      <c r="Y253" s="5">
        <f>IF(D253="","",AA253*Z253/100)</f>
        <v/>
      </c>
      <c r="Z253" s="5">
        <f>IF(D253="","",W253-X253)</f>
        <v/>
      </c>
      <c r="AC253" s="5">
        <f>IF(D253="","",Z253-Y253)</f>
        <v/>
      </c>
      <c r="AD253">
        <f>IF(D253="","",N(AD252)+IF(MATCH(D253,$D$2:$D$2501,0)=ROW()-1,1,0))</f>
        <v/>
      </c>
    </row>
    <row r="254">
      <c r="X254" s="5">
        <f>IF(D254="","",W254*IF(AND(ISNUMBER(AB254),AB254&gt;0,AB254&lt;1),AB254*100,AB254)/100)</f>
        <v/>
      </c>
      <c r="Y254" s="5">
        <f>IF(D254="","",AA254*Z254/100)</f>
        <v/>
      </c>
      <c r="Z254" s="5">
        <f>IF(D254="","",W254-X254)</f>
        <v/>
      </c>
      <c r="AC254" s="5">
        <f>IF(D254="","",Z254-Y254)</f>
        <v/>
      </c>
      <c r="AD254">
        <f>IF(D254="","",N(AD253)+IF(MATCH(D254,$D$2:$D$2501,0)=ROW()-1,1,0))</f>
        <v/>
      </c>
    </row>
    <row r="255">
      <c r="X255" s="5">
        <f>IF(D255="","",W255*IF(AND(ISNUMBER(AB255),AB255&gt;0,AB255&lt;1),AB255*100,AB255)/100)</f>
        <v/>
      </c>
      <c r="Y255" s="5">
        <f>IF(D255="","",AA255*Z255/100)</f>
        <v/>
      </c>
      <c r="Z255" s="5">
        <f>IF(D255="","",W255-X255)</f>
        <v/>
      </c>
      <c r="AC255" s="5">
        <f>IF(D255="","",Z255-Y255)</f>
        <v/>
      </c>
      <c r="AD255">
        <f>IF(D255="","",N(AD254)+IF(MATCH(D255,$D$2:$D$2501,0)=ROW()-1,1,0))</f>
        <v/>
      </c>
    </row>
    <row r="256">
      <c r="X256" s="5">
        <f>IF(D256="","",W256*IF(AND(ISNUMBER(AB256),AB256&gt;0,AB256&lt;1),AB256*100,AB256)/100)</f>
        <v/>
      </c>
      <c r="Y256" s="5">
        <f>IF(D256="","",AA256*Z256/100)</f>
        <v/>
      </c>
      <c r="Z256" s="5">
        <f>IF(D256="","",W256-X256)</f>
        <v/>
      </c>
      <c r="AC256" s="5">
        <f>IF(D256="","",Z256-Y256)</f>
        <v/>
      </c>
      <c r="AD256">
        <f>IF(D256="","",N(AD255)+IF(MATCH(D256,$D$2:$D$2501,0)=ROW()-1,1,0))</f>
        <v/>
      </c>
    </row>
    <row r="257">
      <c r="X257" s="5">
        <f>IF(D257="","",W257*IF(AND(ISNUMBER(AB257),AB257&gt;0,AB257&lt;1),AB257*100,AB257)/100)</f>
        <v/>
      </c>
      <c r="Y257" s="5">
        <f>IF(D257="","",AA257*Z257/100)</f>
        <v/>
      </c>
      <c r="Z257" s="5">
        <f>IF(D257="","",W257-X257)</f>
        <v/>
      </c>
      <c r="AC257" s="5">
        <f>IF(D257="","",Z257-Y257)</f>
        <v/>
      </c>
      <c r="AD257">
        <f>IF(D257="","",N(AD256)+IF(MATCH(D257,$D$2:$D$2501,0)=ROW()-1,1,0))</f>
        <v/>
      </c>
    </row>
    <row r="258">
      <c r="X258" s="5">
        <f>IF(D258="","",W258*IF(AND(ISNUMBER(AB258),AB258&gt;0,AB258&lt;1),AB258*100,AB258)/100)</f>
        <v/>
      </c>
      <c r="Y258" s="5">
        <f>IF(D258="","",AA258*Z258/100)</f>
        <v/>
      </c>
      <c r="Z258" s="5">
        <f>IF(D258="","",W258-X258)</f>
        <v/>
      </c>
      <c r="AC258" s="5">
        <f>IF(D258="","",Z258-Y258)</f>
        <v/>
      </c>
      <c r="AD258">
        <f>IF(D258="","",N(AD257)+IF(MATCH(D258,$D$2:$D$2501,0)=ROW()-1,1,0))</f>
        <v/>
      </c>
    </row>
    <row r="259">
      <c r="X259" s="5">
        <f>IF(D259="","",W259*IF(AND(ISNUMBER(AB259),AB259&gt;0,AB259&lt;1),AB259*100,AB259)/100)</f>
        <v/>
      </c>
      <c r="Y259" s="5">
        <f>IF(D259="","",AA259*Z259/100)</f>
        <v/>
      </c>
      <c r="Z259" s="5">
        <f>IF(D259="","",W259-X259)</f>
        <v/>
      </c>
      <c r="AC259" s="5">
        <f>IF(D259="","",Z259-Y259)</f>
        <v/>
      </c>
      <c r="AD259">
        <f>IF(D259="","",N(AD258)+IF(MATCH(D259,$D$2:$D$2501,0)=ROW()-1,1,0))</f>
        <v/>
      </c>
    </row>
    <row r="260">
      <c r="X260" s="5">
        <f>IF(D260="","",W260*IF(AND(ISNUMBER(AB260),AB260&gt;0,AB260&lt;1),AB260*100,AB260)/100)</f>
        <v/>
      </c>
      <c r="Y260" s="5">
        <f>IF(D260="","",AA260*Z260/100)</f>
        <v/>
      </c>
      <c r="Z260" s="5">
        <f>IF(D260="","",W260-X260)</f>
        <v/>
      </c>
      <c r="AC260" s="5">
        <f>IF(D260="","",Z260-Y260)</f>
        <v/>
      </c>
      <c r="AD260">
        <f>IF(D260="","",N(AD259)+IF(MATCH(D260,$D$2:$D$2501,0)=ROW()-1,1,0))</f>
        <v/>
      </c>
    </row>
    <row r="261">
      <c r="X261" s="5">
        <f>IF(D261="","",W261*IF(AND(ISNUMBER(AB261),AB261&gt;0,AB261&lt;1),AB261*100,AB261)/100)</f>
        <v/>
      </c>
      <c r="Y261" s="5">
        <f>IF(D261="","",AA261*Z261/100)</f>
        <v/>
      </c>
      <c r="Z261" s="5">
        <f>IF(D261="","",W261-X261)</f>
        <v/>
      </c>
      <c r="AC261" s="5">
        <f>IF(D261="","",Z261-Y261)</f>
        <v/>
      </c>
      <c r="AD261">
        <f>IF(D261="","",N(AD260)+IF(MATCH(D261,$D$2:$D$2501,0)=ROW()-1,1,0))</f>
        <v/>
      </c>
    </row>
    <row r="262">
      <c r="X262" s="5">
        <f>IF(D262="","",W262*IF(AND(ISNUMBER(AB262),AB262&gt;0,AB262&lt;1),AB262*100,AB262)/100)</f>
        <v/>
      </c>
      <c r="Y262" s="5">
        <f>IF(D262="","",AA262*Z262/100)</f>
        <v/>
      </c>
      <c r="Z262" s="5">
        <f>IF(D262="","",W262-X262)</f>
        <v/>
      </c>
      <c r="AC262" s="5">
        <f>IF(D262="","",Z262-Y262)</f>
        <v/>
      </c>
      <c r="AD262">
        <f>IF(D262="","",N(AD261)+IF(MATCH(D262,$D$2:$D$2501,0)=ROW()-1,1,0))</f>
        <v/>
      </c>
    </row>
    <row r="263">
      <c r="X263" s="5">
        <f>IF(D263="","",W263*IF(AND(ISNUMBER(AB263),AB263&gt;0,AB263&lt;1),AB263*100,AB263)/100)</f>
        <v/>
      </c>
      <c r="Y263" s="5">
        <f>IF(D263="","",AA263*Z263/100)</f>
        <v/>
      </c>
      <c r="Z263" s="5">
        <f>IF(D263="","",W263-X263)</f>
        <v/>
      </c>
      <c r="AC263" s="5">
        <f>IF(D263="","",Z263-Y263)</f>
        <v/>
      </c>
      <c r="AD263">
        <f>IF(D263="","",N(AD262)+IF(MATCH(D263,$D$2:$D$2501,0)=ROW()-1,1,0))</f>
        <v/>
      </c>
    </row>
    <row r="264">
      <c r="X264" s="5">
        <f>IF(D264="","",W264*IF(AND(ISNUMBER(AB264),AB264&gt;0,AB264&lt;1),AB264*100,AB264)/100)</f>
        <v/>
      </c>
      <c r="Y264" s="5">
        <f>IF(D264="","",AA264*Z264/100)</f>
        <v/>
      </c>
      <c r="Z264" s="5">
        <f>IF(D264="","",W264-X264)</f>
        <v/>
      </c>
      <c r="AC264" s="5">
        <f>IF(D264="","",Z264-Y264)</f>
        <v/>
      </c>
      <c r="AD264">
        <f>IF(D264="","",N(AD263)+IF(MATCH(D264,$D$2:$D$2501,0)=ROW()-1,1,0))</f>
        <v/>
      </c>
    </row>
    <row r="265">
      <c r="X265" s="5">
        <f>IF(D265="","",W265*IF(AND(ISNUMBER(AB265),AB265&gt;0,AB265&lt;1),AB265*100,AB265)/100)</f>
        <v/>
      </c>
      <c r="Y265" s="5">
        <f>IF(D265="","",AA265*Z265/100)</f>
        <v/>
      </c>
      <c r="Z265" s="5">
        <f>IF(D265="","",W265-X265)</f>
        <v/>
      </c>
      <c r="AC265" s="5">
        <f>IF(D265="","",Z265-Y265)</f>
        <v/>
      </c>
      <c r="AD265">
        <f>IF(D265="","",N(AD264)+IF(MATCH(D265,$D$2:$D$2501,0)=ROW()-1,1,0))</f>
        <v/>
      </c>
    </row>
    <row r="266">
      <c r="X266" s="5">
        <f>IF(D266="","",W266*IF(AND(ISNUMBER(AB266),AB266&gt;0,AB266&lt;1),AB266*100,AB266)/100)</f>
        <v/>
      </c>
      <c r="Y266" s="5">
        <f>IF(D266="","",AA266*Z266/100)</f>
        <v/>
      </c>
      <c r="Z266" s="5">
        <f>IF(D266="","",W266-X266)</f>
        <v/>
      </c>
      <c r="AC266" s="5">
        <f>IF(D266="","",Z266-Y266)</f>
        <v/>
      </c>
      <c r="AD266">
        <f>IF(D266="","",N(AD265)+IF(MATCH(D266,$D$2:$D$2501,0)=ROW()-1,1,0))</f>
        <v/>
      </c>
    </row>
    <row r="267">
      <c r="X267" s="5">
        <f>IF(D267="","",W267*IF(AND(ISNUMBER(AB267),AB267&gt;0,AB267&lt;1),AB267*100,AB267)/100)</f>
        <v/>
      </c>
      <c r="Y267" s="5">
        <f>IF(D267="","",AA267*Z267/100)</f>
        <v/>
      </c>
      <c r="Z267" s="5">
        <f>IF(D267="","",W267-X267)</f>
        <v/>
      </c>
      <c r="AC267" s="5">
        <f>IF(D267="","",Z267-Y267)</f>
        <v/>
      </c>
      <c r="AD267">
        <f>IF(D267="","",N(AD266)+IF(MATCH(D267,$D$2:$D$2501,0)=ROW()-1,1,0))</f>
        <v/>
      </c>
    </row>
    <row r="268">
      <c r="X268" s="5">
        <f>IF(D268="","",W268*IF(AND(ISNUMBER(AB268),AB268&gt;0,AB268&lt;1),AB268*100,AB268)/100)</f>
        <v/>
      </c>
      <c r="Y268" s="5">
        <f>IF(D268="","",AA268*Z268/100)</f>
        <v/>
      </c>
      <c r="Z268" s="5">
        <f>IF(D268="","",W268-X268)</f>
        <v/>
      </c>
      <c r="AC268" s="5">
        <f>IF(D268="","",Z268-Y268)</f>
        <v/>
      </c>
      <c r="AD268">
        <f>IF(D268="","",N(AD267)+IF(MATCH(D268,$D$2:$D$2501,0)=ROW()-1,1,0))</f>
        <v/>
      </c>
    </row>
    <row r="269">
      <c r="X269" s="5">
        <f>IF(D269="","",W269*IF(AND(ISNUMBER(AB269),AB269&gt;0,AB269&lt;1),AB269*100,AB269)/100)</f>
        <v/>
      </c>
      <c r="Y269" s="5">
        <f>IF(D269="","",AA269*Z269/100)</f>
        <v/>
      </c>
      <c r="Z269" s="5">
        <f>IF(D269="","",W269-X269)</f>
        <v/>
      </c>
      <c r="AC269" s="5">
        <f>IF(D269="","",Z269-Y269)</f>
        <v/>
      </c>
      <c r="AD269">
        <f>IF(D269="","",N(AD268)+IF(MATCH(D269,$D$2:$D$2501,0)=ROW()-1,1,0))</f>
        <v/>
      </c>
    </row>
    <row r="270">
      <c r="X270" s="5">
        <f>IF(D270="","",W270*IF(AND(ISNUMBER(AB270),AB270&gt;0,AB270&lt;1),AB270*100,AB270)/100)</f>
        <v/>
      </c>
      <c r="Y270" s="5">
        <f>IF(D270="","",AA270*Z270/100)</f>
        <v/>
      </c>
      <c r="Z270" s="5">
        <f>IF(D270="","",W270-X270)</f>
        <v/>
      </c>
      <c r="AC270" s="5">
        <f>IF(D270="","",Z270-Y270)</f>
        <v/>
      </c>
      <c r="AD270">
        <f>IF(D270="","",N(AD269)+IF(MATCH(D270,$D$2:$D$2501,0)=ROW()-1,1,0))</f>
        <v/>
      </c>
    </row>
    <row r="271">
      <c r="X271" s="5">
        <f>IF(D271="","",W271*IF(AND(ISNUMBER(AB271),AB271&gt;0,AB271&lt;1),AB271*100,AB271)/100)</f>
        <v/>
      </c>
      <c r="Y271" s="5">
        <f>IF(D271="","",AA271*Z271/100)</f>
        <v/>
      </c>
      <c r="Z271" s="5">
        <f>IF(D271="","",W271-X271)</f>
        <v/>
      </c>
      <c r="AC271" s="5">
        <f>IF(D271="","",Z271-Y271)</f>
        <v/>
      </c>
      <c r="AD271">
        <f>IF(D271="","",N(AD270)+IF(MATCH(D271,$D$2:$D$2501,0)=ROW()-1,1,0))</f>
        <v/>
      </c>
    </row>
    <row r="272">
      <c r="X272" s="5">
        <f>IF(D272="","",W272*IF(AND(ISNUMBER(AB272),AB272&gt;0,AB272&lt;1),AB272*100,AB272)/100)</f>
        <v/>
      </c>
      <c r="Y272" s="5">
        <f>IF(D272="","",AA272*Z272/100)</f>
        <v/>
      </c>
      <c r="Z272" s="5">
        <f>IF(D272="","",W272-X272)</f>
        <v/>
      </c>
      <c r="AC272" s="5">
        <f>IF(D272="","",Z272-Y272)</f>
        <v/>
      </c>
      <c r="AD272">
        <f>IF(D272="","",N(AD271)+IF(MATCH(D272,$D$2:$D$2501,0)=ROW()-1,1,0))</f>
        <v/>
      </c>
    </row>
    <row r="273">
      <c r="X273" s="5">
        <f>IF(D273="","",W273*IF(AND(ISNUMBER(AB273),AB273&gt;0,AB273&lt;1),AB273*100,AB273)/100)</f>
        <v/>
      </c>
      <c r="Y273" s="5">
        <f>IF(D273="","",AA273*Z273/100)</f>
        <v/>
      </c>
      <c r="Z273" s="5">
        <f>IF(D273="","",W273-X273)</f>
        <v/>
      </c>
      <c r="AC273" s="5">
        <f>IF(D273="","",Z273-Y273)</f>
        <v/>
      </c>
      <c r="AD273">
        <f>IF(D273="","",N(AD272)+IF(MATCH(D273,$D$2:$D$2501,0)=ROW()-1,1,0))</f>
        <v/>
      </c>
    </row>
    <row r="274">
      <c r="X274" s="5">
        <f>IF(D274="","",W274*IF(AND(ISNUMBER(AB274),AB274&gt;0,AB274&lt;1),AB274*100,AB274)/100)</f>
        <v/>
      </c>
      <c r="Y274" s="5">
        <f>IF(D274="","",AA274*Z274/100)</f>
        <v/>
      </c>
      <c r="Z274" s="5">
        <f>IF(D274="","",W274-X274)</f>
        <v/>
      </c>
      <c r="AC274" s="5">
        <f>IF(D274="","",Z274-Y274)</f>
        <v/>
      </c>
      <c r="AD274">
        <f>IF(D274="","",N(AD273)+IF(MATCH(D274,$D$2:$D$2501,0)=ROW()-1,1,0))</f>
        <v/>
      </c>
    </row>
    <row r="275">
      <c r="X275" s="5">
        <f>IF(D275="","",W275*IF(AND(ISNUMBER(AB275),AB275&gt;0,AB275&lt;1),AB275*100,AB275)/100)</f>
        <v/>
      </c>
      <c r="Y275" s="5">
        <f>IF(D275="","",AA275*Z275/100)</f>
        <v/>
      </c>
      <c r="Z275" s="5">
        <f>IF(D275="","",W275-X275)</f>
        <v/>
      </c>
      <c r="AC275" s="5">
        <f>IF(D275="","",Z275-Y275)</f>
        <v/>
      </c>
      <c r="AD275">
        <f>IF(D275="","",N(AD274)+IF(MATCH(D275,$D$2:$D$2501,0)=ROW()-1,1,0))</f>
        <v/>
      </c>
    </row>
    <row r="276">
      <c r="X276" s="5">
        <f>IF(D276="","",W276*IF(AND(ISNUMBER(AB276),AB276&gt;0,AB276&lt;1),AB276*100,AB276)/100)</f>
        <v/>
      </c>
      <c r="Y276" s="5">
        <f>IF(D276="","",AA276*Z276/100)</f>
        <v/>
      </c>
      <c r="Z276" s="5">
        <f>IF(D276="","",W276-X276)</f>
        <v/>
      </c>
      <c r="AC276" s="5">
        <f>IF(D276="","",Z276-Y276)</f>
        <v/>
      </c>
      <c r="AD276">
        <f>IF(D276="","",N(AD275)+IF(MATCH(D276,$D$2:$D$2501,0)=ROW()-1,1,0))</f>
        <v/>
      </c>
    </row>
    <row r="277">
      <c r="X277" s="5">
        <f>IF(D277="","",W277*IF(AND(ISNUMBER(AB277),AB277&gt;0,AB277&lt;1),AB277*100,AB277)/100)</f>
        <v/>
      </c>
      <c r="Y277" s="5">
        <f>IF(D277="","",AA277*Z277/100)</f>
        <v/>
      </c>
      <c r="Z277" s="5">
        <f>IF(D277="","",W277-X277)</f>
        <v/>
      </c>
      <c r="AC277" s="5">
        <f>IF(D277="","",Z277-Y277)</f>
        <v/>
      </c>
      <c r="AD277">
        <f>IF(D277="","",N(AD276)+IF(MATCH(D277,$D$2:$D$2501,0)=ROW()-1,1,0))</f>
        <v/>
      </c>
    </row>
    <row r="278">
      <c r="X278" s="5">
        <f>IF(D278="","",W278*IF(AND(ISNUMBER(AB278),AB278&gt;0,AB278&lt;1),AB278*100,AB278)/100)</f>
        <v/>
      </c>
      <c r="Y278" s="5">
        <f>IF(D278="","",AA278*Z278/100)</f>
        <v/>
      </c>
      <c r="Z278" s="5">
        <f>IF(D278="","",W278-X278)</f>
        <v/>
      </c>
      <c r="AC278" s="5">
        <f>IF(D278="","",Z278-Y278)</f>
        <v/>
      </c>
      <c r="AD278">
        <f>IF(D278="","",N(AD277)+IF(MATCH(D278,$D$2:$D$2501,0)=ROW()-1,1,0))</f>
        <v/>
      </c>
    </row>
    <row r="279">
      <c r="X279" s="5">
        <f>IF(D279="","",W279*IF(AND(ISNUMBER(AB279),AB279&gt;0,AB279&lt;1),AB279*100,AB279)/100)</f>
        <v/>
      </c>
      <c r="Y279" s="5">
        <f>IF(D279="","",AA279*Z279/100)</f>
        <v/>
      </c>
      <c r="Z279" s="5">
        <f>IF(D279="","",W279-X279)</f>
        <v/>
      </c>
      <c r="AC279" s="5">
        <f>IF(D279="","",Z279-Y279)</f>
        <v/>
      </c>
      <c r="AD279">
        <f>IF(D279="","",N(AD278)+IF(MATCH(D279,$D$2:$D$2501,0)=ROW()-1,1,0))</f>
        <v/>
      </c>
    </row>
    <row r="280">
      <c r="X280" s="5">
        <f>IF(D280="","",W280*IF(AND(ISNUMBER(AB280),AB280&gt;0,AB280&lt;1),AB280*100,AB280)/100)</f>
        <v/>
      </c>
      <c r="Y280" s="5">
        <f>IF(D280="","",AA280*Z280/100)</f>
        <v/>
      </c>
      <c r="Z280" s="5">
        <f>IF(D280="","",W280-X280)</f>
        <v/>
      </c>
      <c r="AC280" s="5">
        <f>IF(D280="","",Z280-Y280)</f>
        <v/>
      </c>
      <c r="AD280">
        <f>IF(D280="","",N(AD279)+IF(MATCH(D280,$D$2:$D$2501,0)=ROW()-1,1,0))</f>
        <v/>
      </c>
    </row>
    <row r="281">
      <c r="X281" s="5">
        <f>IF(D281="","",W281*IF(AND(ISNUMBER(AB281),AB281&gt;0,AB281&lt;1),AB281*100,AB281)/100)</f>
        <v/>
      </c>
      <c r="Y281" s="5">
        <f>IF(D281="","",AA281*Z281/100)</f>
        <v/>
      </c>
      <c r="Z281" s="5">
        <f>IF(D281="","",W281-X281)</f>
        <v/>
      </c>
      <c r="AC281" s="5">
        <f>IF(D281="","",Z281-Y281)</f>
        <v/>
      </c>
      <c r="AD281">
        <f>IF(D281="","",N(AD280)+IF(MATCH(D281,$D$2:$D$2501,0)=ROW()-1,1,0))</f>
        <v/>
      </c>
    </row>
    <row r="282">
      <c r="X282" s="5">
        <f>IF(D282="","",W282*IF(AND(ISNUMBER(AB282),AB282&gt;0,AB282&lt;1),AB282*100,AB282)/100)</f>
        <v/>
      </c>
      <c r="Y282" s="5">
        <f>IF(D282="","",AA282*Z282/100)</f>
        <v/>
      </c>
      <c r="Z282" s="5">
        <f>IF(D282="","",W282-X282)</f>
        <v/>
      </c>
      <c r="AC282" s="5">
        <f>IF(D282="","",Z282-Y282)</f>
        <v/>
      </c>
      <c r="AD282">
        <f>IF(D282="","",N(AD281)+IF(MATCH(D282,$D$2:$D$2501,0)=ROW()-1,1,0))</f>
        <v/>
      </c>
    </row>
    <row r="283">
      <c r="X283" s="5">
        <f>IF(D283="","",W283*IF(AND(ISNUMBER(AB283),AB283&gt;0,AB283&lt;1),AB283*100,AB283)/100)</f>
        <v/>
      </c>
      <c r="Y283" s="5">
        <f>IF(D283="","",AA283*Z283/100)</f>
        <v/>
      </c>
      <c r="Z283" s="5">
        <f>IF(D283="","",W283-X283)</f>
        <v/>
      </c>
      <c r="AC283" s="5">
        <f>IF(D283="","",Z283-Y283)</f>
        <v/>
      </c>
      <c r="AD283">
        <f>IF(D283="","",N(AD282)+IF(MATCH(D283,$D$2:$D$2501,0)=ROW()-1,1,0))</f>
        <v/>
      </c>
    </row>
    <row r="284">
      <c r="X284" s="5">
        <f>IF(D284="","",W284*IF(AND(ISNUMBER(AB284),AB284&gt;0,AB284&lt;1),AB284*100,AB284)/100)</f>
        <v/>
      </c>
      <c r="Y284" s="5">
        <f>IF(D284="","",AA284*Z284/100)</f>
        <v/>
      </c>
      <c r="Z284" s="5">
        <f>IF(D284="","",W284-X284)</f>
        <v/>
      </c>
      <c r="AC284" s="5">
        <f>IF(D284="","",Z284-Y284)</f>
        <v/>
      </c>
      <c r="AD284">
        <f>IF(D284="","",N(AD283)+IF(MATCH(D284,$D$2:$D$2501,0)=ROW()-1,1,0))</f>
        <v/>
      </c>
    </row>
    <row r="285">
      <c r="X285" s="5">
        <f>IF(D285="","",W285*IF(AND(ISNUMBER(AB285),AB285&gt;0,AB285&lt;1),AB285*100,AB285)/100)</f>
        <v/>
      </c>
      <c r="Y285" s="5">
        <f>IF(D285="","",AA285*Z285/100)</f>
        <v/>
      </c>
      <c r="Z285" s="5">
        <f>IF(D285="","",W285-X285)</f>
        <v/>
      </c>
      <c r="AC285" s="5">
        <f>IF(D285="","",Z285-Y285)</f>
        <v/>
      </c>
      <c r="AD285">
        <f>IF(D285="","",N(AD284)+IF(MATCH(D285,$D$2:$D$2501,0)=ROW()-1,1,0))</f>
        <v/>
      </c>
    </row>
    <row r="286">
      <c r="X286" s="5">
        <f>IF(D286="","",W286*IF(AND(ISNUMBER(AB286),AB286&gt;0,AB286&lt;1),AB286*100,AB286)/100)</f>
        <v/>
      </c>
      <c r="Y286" s="5">
        <f>IF(D286="","",AA286*Z286/100)</f>
        <v/>
      </c>
      <c r="Z286" s="5">
        <f>IF(D286="","",W286-X286)</f>
        <v/>
      </c>
      <c r="AC286" s="5">
        <f>IF(D286="","",Z286-Y286)</f>
        <v/>
      </c>
      <c r="AD286">
        <f>IF(D286="","",N(AD285)+IF(MATCH(D286,$D$2:$D$2501,0)=ROW()-1,1,0))</f>
        <v/>
      </c>
    </row>
    <row r="287">
      <c r="X287" s="5">
        <f>IF(D287="","",W287*IF(AND(ISNUMBER(AB287),AB287&gt;0,AB287&lt;1),AB287*100,AB287)/100)</f>
        <v/>
      </c>
      <c r="Y287" s="5">
        <f>IF(D287="","",AA287*Z287/100)</f>
        <v/>
      </c>
      <c r="Z287" s="5">
        <f>IF(D287="","",W287-X287)</f>
        <v/>
      </c>
      <c r="AC287" s="5">
        <f>IF(D287="","",Z287-Y287)</f>
        <v/>
      </c>
      <c r="AD287">
        <f>IF(D287="","",N(AD286)+IF(MATCH(D287,$D$2:$D$2501,0)=ROW()-1,1,0))</f>
        <v/>
      </c>
    </row>
    <row r="288">
      <c r="X288" s="5">
        <f>IF(D288="","",W288*IF(AND(ISNUMBER(AB288),AB288&gt;0,AB288&lt;1),AB288*100,AB288)/100)</f>
        <v/>
      </c>
      <c r="Y288" s="5">
        <f>IF(D288="","",AA288*Z288/100)</f>
        <v/>
      </c>
      <c r="Z288" s="5">
        <f>IF(D288="","",W288-X288)</f>
        <v/>
      </c>
      <c r="AC288" s="5">
        <f>IF(D288="","",Z288-Y288)</f>
        <v/>
      </c>
      <c r="AD288">
        <f>IF(D288="","",N(AD287)+IF(MATCH(D288,$D$2:$D$2501,0)=ROW()-1,1,0))</f>
        <v/>
      </c>
    </row>
    <row r="289">
      <c r="X289" s="5">
        <f>IF(D289="","",W289*IF(AND(ISNUMBER(AB289),AB289&gt;0,AB289&lt;1),AB289*100,AB289)/100)</f>
        <v/>
      </c>
      <c r="Y289" s="5">
        <f>IF(D289="","",AA289*Z289/100)</f>
        <v/>
      </c>
      <c r="Z289" s="5">
        <f>IF(D289="","",W289-X289)</f>
        <v/>
      </c>
      <c r="AC289" s="5">
        <f>IF(D289="","",Z289-Y289)</f>
        <v/>
      </c>
      <c r="AD289">
        <f>IF(D289="","",N(AD288)+IF(MATCH(D289,$D$2:$D$2501,0)=ROW()-1,1,0))</f>
        <v/>
      </c>
    </row>
    <row r="290">
      <c r="X290" s="5">
        <f>IF(D290="","",W290*IF(AND(ISNUMBER(AB290),AB290&gt;0,AB290&lt;1),AB290*100,AB290)/100)</f>
        <v/>
      </c>
      <c r="Y290" s="5">
        <f>IF(D290="","",AA290*Z290/100)</f>
        <v/>
      </c>
      <c r="Z290" s="5">
        <f>IF(D290="","",W290-X290)</f>
        <v/>
      </c>
      <c r="AC290" s="5">
        <f>IF(D290="","",Z290-Y290)</f>
        <v/>
      </c>
      <c r="AD290">
        <f>IF(D290="","",N(AD289)+IF(MATCH(D290,$D$2:$D$2501,0)=ROW()-1,1,0))</f>
        <v/>
      </c>
    </row>
    <row r="291">
      <c r="X291" s="5">
        <f>IF(D291="","",W291*IF(AND(ISNUMBER(AB291),AB291&gt;0,AB291&lt;1),AB291*100,AB291)/100)</f>
        <v/>
      </c>
      <c r="Y291" s="5">
        <f>IF(D291="","",AA291*Z291/100)</f>
        <v/>
      </c>
      <c r="Z291" s="5">
        <f>IF(D291="","",W291-X291)</f>
        <v/>
      </c>
      <c r="AC291" s="5">
        <f>IF(D291="","",Z291-Y291)</f>
        <v/>
      </c>
      <c r="AD291">
        <f>IF(D291="","",N(AD290)+IF(MATCH(D291,$D$2:$D$2501,0)=ROW()-1,1,0))</f>
        <v/>
      </c>
    </row>
    <row r="292">
      <c r="X292" s="5">
        <f>IF(D292="","",W292*IF(AND(ISNUMBER(AB292),AB292&gt;0,AB292&lt;1),AB292*100,AB292)/100)</f>
        <v/>
      </c>
      <c r="Y292" s="5">
        <f>IF(D292="","",AA292*Z292/100)</f>
        <v/>
      </c>
      <c r="Z292" s="5">
        <f>IF(D292="","",W292-X292)</f>
        <v/>
      </c>
      <c r="AC292" s="5">
        <f>IF(D292="","",Z292-Y292)</f>
        <v/>
      </c>
      <c r="AD292">
        <f>IF(D292="","",N(AD291)+IF(MATCH(D292,$D$2:$D$2501,0)=ROW()-1,1,0))</f>
        <v/>
      </c>
    </row>
    <row r="293">
      <c r="X293" s="5">
        <f>IF(D293="","",W293*IF(AND(ISNUMBER(AB293),AB293&gt;0,AB293&lt;1),AB293*100,AB293)/100)</f>
        <v/>
      </c>
      <c r="Y293" s="5">
        <f>IF(D293="","",AA293*Z293/100)</f>
        <v/>
      </c>
      <c r="Z293" s="5">
        <f>IF(D293="","",W293-X293)</f>
        <v/>
      </c>
      <c r="AC293" s="5">
        <f>IF(D293="","",Z293-Y293)</f>
        <v/>
      </c>
      <c r="AD293">
        <f>IF(D293="","",N(AD292)+IF(MATCH(D293,$D$2:$D$2501,0)=ROW()-1,1,0))</f>
        <v/>
      </c>
    </row>
    <row r="294">
      <c r="X294" s="5">
        <f>IF(D294="","",W294*IF(AND(ISNUMBER(AB294),AB294&gt;0,AB294&lt;1),AB294*100,AB294)/100)</f>
        <v/>
      </c>
      <c r="Y294" s="5">
        <f>IF(D294="","",AA294*Z294/100)</f>
        <v/>
      </c>
      <c r="Z294" s="5">
        <f>IF(D294="","",W294-X294)</f>
        <v/>
      </c>
      <c r="AC294" s="5">
        <f>IF(D294="","",Z294-Y294)</f>
        <v/>
      </c>
      <c r="AD294">
        <f>IF(D294="","",N(AD293)+IF(MATCH(D294,$D$2:$D$2501,0)=ROW()-1,1,0))</f>
        <v/>
      </c>
    </row>
    <row r="295">
      <c r="X295" s="5">
        <f>IF(D295="","",W295*IF(AND(ISNUMBER(AB295),AB295&gt;0,AB295&lt;1),AB295*100,AB295)/100)</f>
        <v/>
      </c>
      <c r="Y295" s="5">
        <f>IF(D295="","",AA295*Z295/100)</f>
        <v/>
      </c>
      <c r="Z295" s="5">
        <f>IF(D295="","",W295-X295)</f>
        <v/>
      </c>
      <c r="AC295" s="5">
        <f>IF(D295="","",Z295-Y295)</f>
        <v/>
      </c>
      <c r="AD295">
        <f>IF(D295="","",N(AD294)+IF(MATCH(D295,$D$2:$D$2501,0)=ROW()-1,1,0))</f>
        <v/>
      </c>
    </row>
    <row r="296">
      <c r="X296" s="5">
        <f>IF(D296="","",W296*IF(AND(ISNUMBER(AB296),AB296&gt;0,AB296&lt;1),AB296*100,AB296)/100)</f>
        <v/>
      </c>
      <c r="Y296" s="5">
        <f>IF(D296="","",AA296*Z296/100)</f>
        <v/>
      </c>
      <c r="Z296" s="5">
        <f>IF(D296="","",W296-X296)</f>
        <v/>
      </c>
      <c r="AC296" s="5">
        <f>IF(D296="","",Z296-Y296)</f>
        <v/>
      </c>
      <c r="AD296">
        <f>IF(D296="","",N(AD295)+IF(MATCH(D296,$D$2:$D$2501,0)=ROW()-1,1,0))</f>
        <v/>
      </c>
    </row>
    <row r="297">
      <c r="X297" s="5">
        <f>IF(D297="","",W297*IF(AND(ISNUMBER(AB297),AB297&gt;0,AB297&lt;1),AB297*100,AB297)/100)</f>
        <v/>
      </c>
      <c r="Y297" s="5">
        <f>IF(D297="","",AA297*Z297/100)</f>
        <v/>
      </c>
      <c r="Z297" s="5">
        <f>IF(D297="","",W297-X297)</f>
        <v/>
      </c>
      <c r="AC297" s="5">
        <f>IF(D297="","",Z297-Y297)</f>
        <v/>
      </c>
      <c r="AD297">
        <f>IF(D297="","",N(AD296)+IF(MATCH(D297,$D$2:$D$2501,0)=ROW()-1,1,0))</f>
        <v/>
      </c>
    </row>
    <row r="298">
      <c r="X298" s="5">
        <f>IF(D298="","",W298*IF(AND(ISNUMBER(AB298),AB298&gt;0,AB298&lt;1),AB298*100,AB298)/100)</f>
        <v/>
      </c>
      <c r="Y298" s="5">
        <f>IF(D298="","",AA298*Z298/100)</f>
        <v/>
      </c>
      <c r="Z298" s="5">
        <f>IF(D298="","",W298-X298)</f>
        <v/>
      </c>
      <c r="AC298" s="5">
        <f>IF(D298="","",Z298-Y298)</f>
        <v/>
      </c>
      <c r="AD298">
        <f>IF(D298="","",N(AD297)+IF(MATCH(D298,$D$2:$D$2501,0)=ROW()-1,1,0))</f>
        <v/>
      </c>
    </row>
    <row r="299">
      <c r="X299" s="5">
        <f>IF(D299="","",W299*IF(AND(ISNUMBER(AB299),AB299&gt;0,AB299&lt;1),AB299*100,AB299)/100)</f>
        <v/>
      </c>
      <c r="Y299" s="5">
        <f>IF(D299="","",AA299*Z299/100)</f>
        <v/>
      </c>
      <c r="Z299" s="5">
        <f>IF(D299="","",W299-X299)</f>
        <v/>
      </c>
      <c r="AC299" s="5">
        <f>IF(D299="","",Z299-Y299)</f>
        <v/>
      </c>
      <c r="AD299">
        <f>IF(D299="","",N(AD298)+IF(MATCH(D299,$D$2:$D$2501,0)=ROW()-1,1,0))</f>
        <v/>
      </c>
    </row>
    <row r="300">
      <c r="X300" s="5">
        <f>IF(D300="","",W300*IF(AND(ISNUMBER(AB300),AB300&gt;0,AB300&lt;1),AB300*100,AB300)/100)</f>
        <v/>
      </c>
      <c r="Y300" s="5">
        <f>IF(D300="","",AA300*Z300/100)</f>
        <v/>
      </c>
      <c r="Z300" s="5">
        <f>IF(D300="","",W300-X300)</f>
        <v/>
      </c>
      <c r="AC300" s="5">
        <f>IF(D300="","",Z300-Y300)</f>
        <v/>
      </c>
      <c r="AD300">
        <f>IF(D300="","",N(AD299)+IF(MATCH(D300,$D$2:$D$2501,0)=ROW()-1,1,0))</f>
        <v/>
      </c>
    </row>
    <row r="301">
      <c r="X301" s="5">
        <f>IF(D301="","",W301*IF(AND(ISNUMBER(AB301),AB301&gt;0,AB301&lt;1),AB301*100,AB301)/100)</f>
        <v/>
      </c>
      <c r="Y301" s="5">
        <f>IF(D301="","",AA301*Z301/100)</f>
        <v/>
      </c>
      <c r="Z301" s="5">
        <f>IF(D301="","",W301-X301)</f>
        <v/>
      </c>
      <c r="AC301" s="5">
        <f>IF(D301="","",Z301-Y301)</f>
        <v/>
      </c>
      <c r="AD301">
        <f>IF(D301="","",N(AD300)+IF(MATCH(D301,$D$2:$D$2501,0)=ROW()-1,1,0))</f>
        <v/>
      </c>
    </row>
    <row r="302">
      <c r="X302" s="5">
        <f>IF(D302="","",W302*IF(AND(ISNUMBER(AB302),AB302&gt;0,AB302&lt;1),AB302*100,AB302)/100)</f>
        <v/>
      </c>
      <c r="Y302" s="5">
        <f>IF(D302="","",AA302*Z302/100)</f>
        <v/>
      </c>
      <c r="Z302" s="5">
        <f>IF(D302="","",W302-X302)</f>
        <v/>
      </c>
      <c r="AC302" s="5">
        <f>IF(D302="","",Z302-Y302)</f>
        <v/>
      </c>
      <c r="AD302">
        <f>IF(D302="","",N(AD301)+IF(MATCH(D302,$D$2:$D$2501,0)=ROW()-1,1,0))</f>
        <v/>
      </c>
    </row>
    <row r="303">
      <c r="X303" s="5">
        <f>IF(D303="","",W303*IF(AND(ISNUMBER(AB303),AB303&gt;0,AB303&lt;1),AB303*100,AB303)/100)</f>
        <v/>
      </c>
      <c r="Y303" s="5">
        <f>IF(D303="","",AA303*Z303/100)</f>
        <v/>
      </c>
      <c r="Z303" s="5">
        <f>IF(D303="","",W303-X303)</f>
        <v/>
      </c>
      <c r="AC303" s="5">
        <f>IF(D303="","",Z303-Y303)</f>
        <v/>
      </c>
      <c r="AD303">
        <f>IF(D303="","",N(AD302)+IF(MATCH(D303,$D$2:$D$2501,0)=ROW()-1,1,0))</f>
        <v/>
      </c>
    </row>
    <row r="304">
      <c r="X304" s="5">
        <f>IF(D304="","",W304*IF(AND(ISNUMBER(AB304),AB304&gt;0,AB304&lt;1),AB304*100,AB304)/100)</f>
        <v/>
      </c>
      <c r="Y304" s="5">
        <f>IF(D304="","",AA304*Z304/100)</f>
        <v/>
      </c>
      <c r="Z304" s="5">
        <f>IF(D304="","",W304-X304)</f>
        <v/>
      </c>
      <c r="AC304" s="5">
        <f>IF(D304="","",Z304-Y304)</f>
        <v/>
      </c>
      <c r="AD304">
        <f>IF(D304="","",N(AD303)+IF(MATCH(D304,$D$2:$D$2501,0)=ROW()-1,1,0))</f>
        <v/>
      </c>
    </row>
    <row r="305">
      <c r="X305" s="5">
        <f>IF(D305="","",W305*IF(AND(ISNUMBER(AB305),AB305&gt;0,AB305&lt;1),AB305*100,AB305)/100)</f>
        <v/>
      </c>
      <c r="Y305" s="5">
        <f>IF(D305="","",AA305*Z305/100)</f>
        <v/>
      </c>
      <c r="Z305" s="5">
        <f>IF(D305="","",W305-X305)</f>
        <v/>
      </c>
      <c r="AC305" s="5">
        <f>IF(D305="","",Z305-Y305)</f>
        <v/>
      </c>
      <c r="AD305">
        <f>IF(D305="","",N(AD304)+IF(MATCH(D305,$D$2:$D$2501,0)=ROW()-1,1,0))</f>
        <v/>
      </c>
    </row>
    <row r="306">
      <c r="X306" s="5">
        <f>IF(D306="","",W306*IF(AND(ISNUMBER(AB306),AB306&gt;0,AB306&lt;1),AB306*100,AB306)/100)</f>
        <v/>
      </c>
      <c r="Y306" s="5">
        <f>IF(D306="","",AA306*Z306/100)</f>
        <v/>
      </c>
      <c r="Z306" s="5">
        <f>IF(D306="","",W306-X306)</f>
        <v/>
      </c>
      <c r="AC306" s="5">
        <f>IF(D306="","",Z306-Y306)</f>
        <v/>
      </c>
      <c r="AD306">
        <f>IF(D306="","",N(AD305)+IF(MATCH(D306,$D$2:$D$2501,0)=ROW()-1,1,0))</f>
        <v/>
      </c>
    </row>
    <row r="307">
      <c r="X307" s="5">
        <f>IF(D307="","",W307*IF(AND(ISNUMBER(AB307),AB307&gt;0,AB307&lt;1),AB307*100,AB307)/100)</f>
        <v/>
      </c>
      <c r="Y307" s="5">
        <f>IF(D307="","",AA307*Z307/100)</f>
        <v/>
      </c>
      <c r="Z307" s="5">
        <f>IF(D307="","",W307-X307)</f>
        <v/>
      </c>
      <c r="AC307" s="5">
        <f>IF(D307="","",Z307-Y307)</f>
        <v/>
      </c>
      <c r="AD307">
        <f>IF(D307="","",N(AD306)+IF(MATCH(D307,$D$2:$D$2501,0)=ROW()-1,1,0))</f>
        <v/>
      </c>
    </row>
    <row r="308">
      <c r="X308" s="5">
        <f>IF(D308="","",W308*IF(AND(ISNUMBER(AB308),AB308&gt;0,AB308&lt;1),AB308*100,AB308)/100)</f>
        <v/>
      </c>
      <c r="Y308" s="5">
        <f>IF(D308="","",AA308*Z308/100)</f>
        <v/>
      </c>
      <c r="Z308" s="5">
        <f>IF(D308="","",W308-X308)</f>
        <v/>
      </c>
      <c r="AC308" s="5">
        <f>IF(D308="","",Z308-Y308)</f>
        <v/>
      </c>
      <c r="AD308">
        <f>IF(D308="","",N(AD307)+IF(MATCH(D308,$D$2:$D$2501,0)=ROW()-1,1,0))</f>
        <v/>
      </c>
    </row>
    <row r="309">
      <c r="X309" s="5">
        <f>IF(D309="","",W309*IF(AND(ISNUMBER(AB309),AB309&gt;0,AB309&lt;1),AB309*100,AB309)/100)</f>
        <v/>
      </c>
      <c r="Y309" s="5">
        <f>IF(D309="","",AA309*Z309/100)</f>
        <v/>
      </c>
      <c r="Z309" s="5">
        <f>IF(D309="","",W309-X309)</f>
        <v/>
      </c>
      <c r="AC309" s="5">
        <f>IF(D309="","",Z309-Y309)</f>
        <v/>
      </c>
      <c r="AD309">
        <f>IF(D309="","",N(AD308)+IF(MATCH(D309,$D$2:$D$2501,0)=ROW()-1,1,0))</f>
        <v/>
      </c>
    </row>
    <row r="310">
      <c r="X310" s="5">
        <f>IF(D310="","",W310*IF(AND(ISNUMBER(AB310),AB310&gt;0,AB310&lt;1),AB310*100,AB310)/100)</f>
        <v/>
      </c>
      <c r="Y310" s="5">
        <f>IF(D310="","",AA310*Z310/100)</f>
        <v/>
      </c>
      <c r="Z310" s="5">
        <f>IF(D310="","",W310-X310)</f>
        <v/>
      </c>
      <c r="AC310" s="5">
        <f>IF(D310="","",Z310-Y310)</f>
        <v/>
      </c>
      <c r="AD310">
        <f>IF(D310="","",N(AD309)+IF(MATCH(D310,$D$2:$D$2501,0)=ROW()-1,1,0))</f>
        <v/>
      </c>
    </row>
    <row r="311">
      <c r="X311" s="5">
        <f>IF(D311="","",W311*IF(AND(ISNUMBER(AB311),AB311&gt;0,AB311&lt;1),AB311*100,AB311)/100)</f>
        <v/>
      </c>
      <c r="Y311" s="5">
        <f>IF(D311="","",AA311*Z311/100)</f>
        <v/>
      </c>
      <c r="Z311" s="5">
        <f>IF(D311="","",W311-X311)</f>
        <v/>
      </c>
      <c r="AC311" s="5">
        <f>IF(D311="","",Z311-Y311)</f>
        <v/>
      </c>
      <c r="AD311">
        <f>IF(D311="","",N(AD310)+IF(MATCH(D311,$D$2:$D$2501,0)=ROW()-1,1,0))</f>
        <v/>
      </c>
    </row>
    <row r="312">
      <c r="X312" s="5">
        <f>IF(D312="","",W312*IF(AND(ISNUMBER(AB312),AB312&gt;0,AB312&lt;1),AB312*100,AB312)/100)</f>
        <v/>
      </c>
      <c r="Y312" s="5">
        <f>IF(D312="","",AA312*Z312/100)</f>
        <v/>
      </c>
      <c r="Z312" s="5">
        <f>IF(D312="","",W312-X312)</f>
        <v/>
      </c>
      <c r="AC312" s="5">
        <f>IF(D312="","",Z312-Y312)</f>
        <v/>
      </c>
      <c r="AD312">
        <f>IF(D312="","",N(AD311)+IF(MATCH(D312,$D$2:$D$2501,0)=ROW()-1,1,0))</f>
        <v/>
      </c>
    </row>
    <row r="313">
      <c r="X313" s="5">
        <f>IF(D313="","",W313*IF(AND(ISNUMBER(AB313),AB313&gt;0,AB313&lt;1),AB313*100,AB313)/100)</f>
        <v/>
      </c>
      <c r="Y313" s="5">
        <f>IF(D313="","",AA313*Z313/100)</f>
        <v/>
      </c>
      <c r="Z313" s="5">
        <f>IF(D313="","",W313-X313)</f>
        <v/>
      </c>
      <c r="AC313" s="5">
        <f>IF(D313="","",Z313-Y313)</f>
        <v/>
      </c>
      <c r="AD313">
        <f>IF(D313="","",N(AD312)+IF(MATCH(D313,$D$2:$D$2501,0)=ROW()-1,1,0))</f>
        <v/>
      </c>
    </row>
    <row r="314">
      <c r="X314" s="5">
        <f>IF(D314="","",W314*IF(AND(ISNUMBER(AB314),AB314&gt;0,AB314&lt;1),AB314*100,AB314)/100)</f>
        <v/>
      </c>
      <c r="Y314" s="5">
        <f>IF(D314="","",AA314*Z314/100)</f>
        <v/>
      </c>
      <c r="Z314" s="5">
        <f>IF(D314="","",W314-X314)</f>
        <v/>
      </c>
      <c r="AC314" s="5">
        <f>IF(D314="","",Z314-Y314)</f>
        <v/>
      </c>
      <c r="AD314">
        <f>IF(D314="","",N(AD313)+IF(MATCH(D314,$D$2:$D$2501,0)=ROW()-1,1,0))</f>
        <v/>
      </c>
    </row>
    <row r="315">
      <c r="X315" s="5">
        <f>IF(D315="","",W315*IF(AND(ISNUMBER(AB315),AB315&gt;0,AB315&lt;1),AB315*100,AB315)/100)</f>
        <v/>
      </c>
      <c r="Y315" s="5">
        <f>IF(D315="","",AA315*Z315/100)</f>
        <v/>
      </c>
      <c r="Z315" s="5">
        <f>IF(D315="","",W315-X315)</f>
        <v/>
      </c>
      <c r="AC315" s="5">
        <f>IF(D315="","",Z315-Y315)</f>
        <v/>
      </c>
      <c r="AD315">
        <f>IF(D315="","",N(AD314)+IF(MATCH(D315,$D$2:$D$2501,0)=ROW()-1,1,0))</f>
        <v/>
      </c>
    </row>
    <row r="316">
      <c r="X316" s="5">
        <f>IF(D316="","",W316*IF(AND(ISNUMBER(AB316),AB316&gt;0,AB316&lt;1),AB316*100,AB316)/100)</f>
        <v/>
      </c>
      <c r="Y316" s="5">
        <f>IF(D316="","",AA316*Z316/100)</f>
        <v/>
      </c>
      <c r="Z316" s="5">
        <f>IF(D316="","",W316-X316)</f>
        <v/>
      </c>
      <c r="AC316" s="5">
        <f>IF(D316="","",Z316-Y316)</f>
        <v/>
      </c>
      <c r="AD316">
        <f>IF(D316="","",N(AD315)+IF(MATCH(D316,$D$2:$D$2501,0)=ROW()-1,1,0))</f>
        <v/>
      </c>
    </row>
    <row r="317">
      <c r="X317" s="5">
        <f>IF(D317="","",W317*IF(AND(ISNUMBER(AB317),AB317&gt;0,AB317&lt;1),AB317*100,AB317)/100)</f>
        <v/>
      </c>
      <c r="Y317" s="5">
        <f>IF(D317="","",AA317*Z317/100)</f>
        <v/>
      </c>
      <c r="Z317" s="5">
        <f>IF(D317="","",W317-X317)</f>
        <v/>
      </c>
      <c r="AC317" s="5">
        <f>IF(D317="","",Z317-Y317)</f>
        <v/>
      </c>
      <c r="AD317">
        <f>IF(D317="","",N(AD316)+IF(MATCH(D317,$D$2:$D$2501,0)=ROW()-1,1,0))</f>
        <v/>
      </c>
    </row>
    <row r="318">
      <c r="X318" s="5">
        <f>IF(D318="","",W318*IF(AND(ISNUMBER(AB318),AB318&gt;0,AB318&lt;1),AB318*100,AB318)/100)</f>
        <v/>
      </c>
      <c r="Y318" s="5">
        <f>IF(D318="","",AA318*Z318/100)</f>
        <v/>
      </c>
      <c r="Z318" s="5">
        <f>IF(D318="","",W318-X318)</f>
        <v/>
      </c>
      <c r="AC318" s="5">
        <f>IF(D318="","",Z318-Y318)</f>
        <v/>
      </c>
      <c r="AD318">
        <f>IF(D318="","",N(AD317)+IF(MATCH(D318,$D$2:$D$2501,0)=ROW()-1,1,0))</f>
        <v/>
      </c>
    </row>
    <row r="319">
      <c r="X319" s="5">
        <f>IF(D319="","",W319*IF(AND(ISNUMBER(AB319),AB319&gt;0,AB319&lt;1),AB319*100,AB319)/100)</f>
        <v/>
      </c>
      <c r="Y319" s="5">
        <f>IF(D319="","",AA319*Z319/100)</f>
        <v/>
      </c>
      <c r="Z319" s="5">
        <f>IF(D319="","",W319-X319)</f>
        <v/>
      </c>
      <c r="AC319" s="5">
        <f>IF(D319="","",Z319-Y319)</f>
        <v/>
      </c>
      <c r="AD319">
        <f>IF(D319="","",N(AD318)+IF(MATCH(D319,$D$2:$D$2501,0)=ROW()-1,1,0))</f>
        <v/>
      </c>
    </row>
    <row r="320">
      <c r="X320" s="5">
        <f>IF(D320="","",W320*IF(AND(ISNUMBER(AB320),AB320&gt;0,AB320&lt;1),AB320*100,AB320)/100)</f>
        <v/>
      </c>
      <c r="Y320" s="5">
        <f>IF(D320="","",AA320*Z320/100)</f>
        <v/>
      </c>
      <c r="Z320" s="5">
        <f>IF(D320="","",W320-X320)</f>
        <v/>
      </c>
      <c r="AC320" s="5">
        <f>IF(D320="","",Z320-Y320)</f>
        <v/>
      </c>
      <c r="AD320">
        <f>IF(D320="","",N(AD319)+IF(MATCH(D320,$D$2:$D$2501,0)=ROW()-1,1,0))</f>
        <v/>
      </c>
    </row>
    <row r="321">
      <c r="X321" s="5">
        <f>IF(D321="","",W321*IF(AND(ISNUMBER(AB321),AB321&gt;0,AB321&lt;1),AB321*100,AB321)/100)</f>
        <v/>
      </c>
      <c r="Y321" s="5">
        <f>IF(D321="","",AA321*Z321/100)</f>
        <v/>
      </c>
      <c r="Z321" s="5">
        <f>IF(D321="","",W321-X321)</f>
        <v/>
      </c>
      <c r="AC321" s="5">
        <f>IF(D321="","",Z321-Y321)</f>
        <v/>
      </c>
      <c r="AD321">
        <f>IF(D321="","",N(AD320)+IF(MATCH(D321,$D$2:$D$2501,0)=ROW()-1,1,0))</f>
        <v/>
      </c>
    </row>
    <row r="322">
      <c r="X322" s="5">
        <f>IF(D322="","",W322*IF(AND(ISNUMBER(AB322),AB322&gt;0,AB322&lt;1),AB322*100,AB322)/100)</f>
        <v/>
      </c>
      <c r="Y322" s="5">
        <f>IF(D322="","",AA322*Z322/100)</f>
        <v/>
      </c>
      <c r="Z322" s="5">
        <f>IF(D322="","",W322-X322)</f>
        <v/>
      </c>
      <c r="AC322" s="5">
        <f>IF(D322="","",Z322-Y322)</f>
        <v/>
      </c>
      <c r="AD322">
        <f>IF(D322="","",N(AD321)+IF(MATCH(D322,$D$2:$D$2501,0)=ROW()-1,1,0))</f>
        <v/>
      </c>
    </row>
    <row r="323">
      <c r="X323" s="5">
        <f>IF(D323="","",W323*IF(AND(ISNUMBER(AB323),AB323&gt;0,AB323&lt;1),AB323*100,AB323)/100)</f>
        <v/>
      </c>
      <c r="Y323" s="5">
        <f>IF(D323="","",AA323*Z323/100)</f>
        <v/>
      </c>
      <c r="Z323" s="5">
        <f>IF(D323="","",W323-X323)</f>
        <v/>
      </c>
      <c r="AC323" s="5">
        <f>IF(D323="","",Z323-Y323)</f>
        <v/>
      </c>
      <c r="AD323">
        <f>IF(D323="","",N(AD322)+IF(MATCH(D323,$D$2:$D$2501,0)=ROW()-1,1,0))</f>
        <v/>
      </c>
    </row>
    <row r="324">
      <c r="X324" s="5">
        <f>IF(D324="","",W324*IF(AND(ISNUMBER(AB324),AB324&gt;0,AB324&lt;1),AB324*100,AB324)/100)</f>
        <v/>
      </c>
      <c r="Y324" s="5">
        <f>IF(D324="","",AA324*Z324/100)</f>
        <v/>
      </c>
      <c r="Z324" s="5">
        <f>IF(D324="","",W324-X324)</f>
        <v/>
      </c>
      <c r="AC324" s="5">
        <f>IF(D324="","",Z324-Y324)</f>
        <v/>
      </c>
      <c r="AD324">
        <f>IF(D324="","",N(AD323)+IF(MATCH(D324,$D$2:$D$2501,0)=ROW()-1,1,0))</f>
        <v/>
      </c>
    </row>
    <row r="325">
      <c r="X325" s="5">
        <f>IF(D325="","",W325*IF(AND(ISNUMBER(AB325),AB325&gt;0,AB325&lt;1),AB325*100,AB325)/100)</f>
        <v/>
      </c>
      <c r="Y325" s="5">
        <f>IF(D325="","",AA325*Z325/100)</f>
        <v/>
      </c>
      <c r="Z325" s="5">
        <f>IF(D325="","",W325-X325)</f>
        <v/>
      </c>
      <c r="AC325" s="5">
        <f>IF(D325="","",Z325-Y325)</f>
        <v/>
      </c>
      <c r="AD325">
        <f>IF(D325="","",N(AD324)+IF(MATCH(D325,$D$2:$D$2501,0)=ROW()-1,1,0))</f>
        <v/>
      </c>
    </row>
    <row r="326">
      <c r="X326" s="5">
        <f>IF(D326="","",W326*IF(AND(ISNUMBER(AB326),AB326&gt;0,AB326&lt;1),AB326*100,AB326)/100)</f>
        <v/>
      </c>
      <c r="Y326" s="5">
        <f>IF(D326="","",AA326*Z326/100)</f>
        <v/>
      </c>
      <c r="Z326" s="5">
        <f>IF(D326="","",W326-X326)</f>
        <v/>
      </c>
      <c r="AC326" s="5">
        <f>IF(D326="","",Z326-Y326)</f>
        <v/>
      </c>
      <c r="AD326">
        <f>IF(D326="","",N(AD325)+IF(MATCH(D326,$D$2:$D$2501,0)=ROW()-1,1,0))</f>
        <v/>
      </c>
    </row>
    <row r="327">
      <c r="X327" s="5">
        <f>IF(D327="","",W327*IF(AND(ISNUMBER(AB327),AB327&gt;0,AB327&lt;1),AB327*100,AB327)/100)</f>
        <v/>
      </c>
      <c r="Y327" s="5">
        <f>IF(D327="","",AA327*Z327/100)</f>
        <v/>
      </c>
      <c r="Z327" s="5">
        <f>IF(D327="","",W327-X327)</f>
        <v/>
      </c>
      <c r="AC327" s="5">
        <f>IF(D327="","",Z327-Y327)</f>
        <v/>
      </c>
      <c r="AD327">
        <f>IF(D327="","",N(AD326)+IF(MATCH(D327,$D$2:$D$2501,0)=ROW()-1,1,0))</f>
        <v/>
      </c>
    </row>
    <row r="328">
      <c r="X328" s="5">
        <f>IF(D328="","",W328*IF(AND(ISNUMBER(AB328),AB328&gt;0,AB328&lt;1),AB328*100,AB328)/100)</f>
        <v/>
      </c>
      <c r="Y328" s="5">
        <f>IF(D328="","",AA328*Z328/100)</f>
        <v/>
      </c>
      <c r="Z328" s="5">
        <f>IF(D328="","",W328-X328)</f>
        <v/>
      </c>
      <c r="AC328" s="5">
        <f>IF(D328="","",Z328-Y328)</f>
        <v/>
      </c>
      <c r="AD328">
        <f>IF(D328="","",N(AD327)+IF(MATCH(D328,$D$2:$D$2501,0)=ROW()-1,1,0))</f>
        <v/>
      </c>
    </row>
    <row r="329">
      <c r="X329" s="5">
        <f>IF(D329="","",W329*IF(AND(ISNUMBER(AB329),AB329&gt;0,AB329&lt;1),AB329*100,AB329)/100)</f>
        <v/>
      </c>
      <c r="Y329" s="5">
        <f>IF(D329="","",AA329*Z329/100)</f>
        <v/>
      </c>
      <c r="Z329" s="5">
        <f>IF(D329="","",W329-X329)</f>
        <v/>
      </c>
      <c r="AC329" s="5">
        <f>IF(D329="","",Z329-Y329)</f>
        <v/>
      </c>
      <c r="AD329">
        <f>IF(D329="","",N(AD328)+IF(MATCH(D329,$D$2:$D$2501,0)=ROW()-1,1,0))</f>
        <v/>
      </c>
    </row>
    <row r="330">
      <c r="X330" s="5">
        <f>IF(D330="","",W330*IF(AND(ISNUMBER(AB330),AB330&gt;0,AB330&lt;1),AB330*100,AB330)/100)</f>
        <v/>
      </c>
      <c r="Y330" s="5">
        <f>IF(D330="","",AA330*Z330/100)</f>
        <v/>
      </c>
      <c r="Z330" s="5">
        <f>IF(D330="","",W330-X330)</f>
        <v/>
      </c>
      <c r="AC330" s="5">
        <f>IF(D330="","",Z330-Y330)</f>
        <v/>
      </c>
      <c r="AD330">
        <f>IF(D330="","",N(AD329)+IF(MATCH(D330,$D$2:$D$2501,0)=ROW()-1,1,0))</f>
        <v/>
      </c>
    </row>
    <row r="331">
      <c r="X331" s="5">
        <f>IF(D331="","",W331*IF(AND(ISNUMBER(AB331),AB331&gt;0,AB331&lt;1),AB331*100,AB331)/100)</f>
        <v/>
      </c>
      <c r="Y331" s="5">
        <f>IF(D331="","",AA331*Z331/100)</f>
        <v/>
      </c>
      <c r="Z331" s="5">
        <f>IF(D331="","",W331-X331)</f>
        <v/>
      </c>
      <c r="AC331" s="5">
        <f>IF(D331="","",Z331-Y331)</f>
        <v/>
      </c>
      <c r="AD331">
        <f>IF(D331="","",N(AD330)+IF(MATCH(D331,$D$2:$D$2501,0)=ROW()-1,1,0))</f>
        <v/>
      </c>
    </row>
    <row r="332">
      <c r="X332" s="5">
        <f>IF(D332="","",W332*IF(AND(ISNUMBER(AB332),AB332&gt;0,AB332&lt;1),AB332*100,AB332)/100)</f>
        <v/>
      </c>
      <c r="Y332" s="5">
        <f>IF(D332="","",AA332*Z332/100)</f>
        <v/>
      </c>
      <c r="Z332" s="5">
        <f>IF(D332="","",W332-X332)</f>
        <v/>
      </c>
      <c r="AC332" s="5">
        <f>IF(D332="","",Z332-Y332)</f>
        <v/>
      </c>
      <c r="AD332">
        <f>IF(D332="","",N(AD331)+IF(MATCH(D332,$D$2:$D$2501,0)=ROW()-1,1,0))</f>
        <v/>
      </c>
    </row>
    <row r="333">
      <c r="X333" s="5">
        <f>IF(D333="","",W333*IF(AND(ISNUMBER(AB333),AB333&gt;0,AB333&lt;1),AB333*100,AB333)/100)</f>
        <v/>
      </c>
      <c r="Y333" s="5">
        <f>IF(D333="","",AA333*Z333/100)</f>
        <v/>
      </c>
      <c r="Z333" s="5">
        <f>IF(D333="","",W333-X333)</f>
        <v/>
      </c>
      <c r="AC333" s="5">
        <f>IF(D333="","",Z333-Y333)</f>
        <v/>
      </c>
      <c r="AD333">
        <f>IF(D333="","",N(AD332)+IF(MATCH(D333,$D$2:$D$2501,0)=ROW()-1,1,0))</f>
        <v/>
      </c>
    </row>
    <row r="334">
      <c r="X334" s="5">
        <f>IF(D334="","",W334*IF(AND(ISNUMBER(AB334),AB334&gt;0,AB334&lt;1),AB334*100,AB334)/100)</f>
        <v/>
      </c>
      <c r="Y334" s="5">
        <f>IF(D334="","",AA334*Z334/100)</f>
        <v/>
      </c>
      <c r="Z334" s="5">
        <f>IF(D334="","",W334-X334)</f>
        <v/>
      </c>
      <c r="AC334" s="5">
        <f>IF(D334="","",Z334-Y334)</f>
        <v/>
      </c>
      <c r="AD334">
        <f>IF(D334="","",N(AD333)+IF(MATCH(D334,$D$2:$D$2501,0)=ROW()-1,1,0))</f>
        <v/>
      </c>
    </row>
    <row r="335">
      <c r="X335" s="5">
        <f>IF(D335="","",W335*IF(AND(ISNUMBER(AB335),AB335&gt;0,AB335&lt;1),AB335*100,AB335)/100)</f>
        <v/>
      </c>
      <c r="Y335" s="5">
        <f>IF(D335="","",AA335*Z335/100)</f>
        <v/>
      </c>
      <c r="Z335" s="5">
        <f>IF(D335="","",W335-X335)</f>
        <v/>
      </c>
      <c r="AC335" s="5">
        <f>IF(D335="","",Z335-Y335)</f>
        <v/>
      </c>
      <c r="AD335">
        <f>IF(D335="","",N(AD334)+IF(MATCH(D335,$D$2:$D$2501,0)=ROW()-1,1,0))</f>
        <v/>
      </c>
    </row>
    <row r="336">
      <c r="X336" s="5">
        <f>IF(D336="","",W336*IF(AND(ISNUMBER(AB336),AB336&gt;0,AB336&lt;1),AB336*100,AB336)/100)</f>
        <v/>
      </c>
      <c r="Y336" s="5">
        <f>IF(D336="","",AA336*Z336/100)</f>
        <v/>
      </c>
      <c r="Z336" s="5">
        <f>IF(D336="","",W336-X336)</f>
        <v/>
      </c>
      <c r="AC336" s="5">
        <f>IF(D336="","",Z336-Y336)</f>
        <v/>
      </c>
      <c r="AD336">
        <f>IF(D336="","",N(AD335)+IF(MATCH(D336,$D$2:$D$2501,0)=ROW()-1,1,0))</f>
        <v/>
      </c>
    </row>
    <row r="337">
      <c r="X337" s="5">
        <f>IF(D337="","",W337*IF(AND(ISNUMBER(AB337),AB337&gt;0,AB337&lt;1),AB337*100,AB337)/100)</f>
        <v/>
      </c>
      <c r="Y337" s="5">
        <f>IF(D337="","",AA337*Z337/100)</f>
        <v/>
      </c>
      <c r="Z337" s="5">
        <f>IF(D337="","",W337-X337)</f>
        <v/>
      </c>
      <c r="AC337" s="5">
        <f>IF(D337="","",Z337-Y337)</f>
        <v/>
      </c>
      <c r="AD337">
        <f>IF(D337="","",N(AD336)+IF(MATCH(D337,$D$2:$D$2501,0)=ROW()-1,1,0))</f>
        <v/>
      </c>
    </row>
    <row r="338">
      <c r="X338" s="5">
        <f>IF(D338="","",W338*IF(AND(ISNUMBER(AB338),AB338&gt;0,AB338&lt;1),AB338*100,AB338)/100)</f>
        <v/>
      </c>
      <c r="Y338" s="5">
        <f>IF(D338="","",AA338*Z338/100)</f>
        <v/>
      </c>
      <c r="Z338" s="5">
        <f>IF(D338="","",W338-X338)</f>
        <v/>
      </c>
      <c r="AC338" s="5">
        <f>IF(D338="","",Z338-Y338)</f>
        <v/>
      </c>
      <c r="AD338">
        <f>IF(D338="","",N(AD337)+IF(MATCH(D338,$D$2:$D$2501,0)=ROW()-1,1,0))</f>
        <v/>
      </c>
    </row>
    <row r="339">
      <c r="X339" s="5">
        <f>IF(D339="","",W339*IF(AND(ISNUMBER(AB339),AB339&gt;0,AB339&lt;1),AB339*100,AB339)/100)</f>
        <v/>
      </c>
      <c r="Y339" s="5">
        <f>IF(D339="","",AA339*Z339/100)</f>
        <v/>
      </c>
      <c r="Z339" s="5">
        <f>IF(D339="","",W339-X339)</f>
        <v/>
      </c>
      <c r="AC339" s="5">
        <f>IF(D339="","",Z339-Y339)</f>
        <v/>
      </c>
      <c r="AD339">
        <f>IF(D339="","",N(AD338)+IF(MATCH(D339,$D$2:$D$2501,0)=ROW()-1,1,0))</f>
        <v/>
      </c>
    </row>
    <row r="340">
      <c r="X340" s="5">
        <f>IF(D340="","",W340*IF(AND(ISNUMBER(AB340),AB340&gt;0,AB340&lt;1),AB340*100,AB340)/100)</f>
        <v/>
      </c>
      <c r="Y340" s="5">
        <f>IF(D340="","",AA340*Z340/100)</f>
        <v/>
      </c>
      <c r="Z340" s="5">
        <f>IF(D340="","",W340-X340)</f>
        <v/>
      </c>
      <c r="AC340" s="5">
        <f>IF(D340="","",Z340-Y340)</f>
        <v/>
      </c>
      <c r="AD340">
        <f>IF(D340="","",N(AD339)+IF(MATCH(D340,$D$2:$D$2501,0)=ROW()-1,1,0))</f>
        <v/>
      </c>
    </row>
    <row r="341">
      <c r="X341" s="5">
        <f>IF(D341="","",W341*IF(AND(ISNUMBER(AB341),AB341&gt;0,AB341&lt;1),AB341*100,AB341)/100)</f>
        <v/>
      </c>
      <c r="Y341" s="5">
        <f>IF(D341="","",AA341*Z341/100)</f>
        <v/>
      </c>
      <c r="Z341" s="5">
        <f>IF(D341="","",W341-X341)</f>
        <v/>
      </c>
      <c r="AC341" s="5">
        <f>IF(D341="","",Z341-Y341)</f>
        <v/>
      </c>
      <c r="AD341">
        <f>IF(D341="","",N(AD340)+IF(MATCH(D341,$D$2:$D$2501,0)=ROW()-1,1,0))</f>
        <v/>
      </c>
    </row>
    <row r="342">
      <c r="X342" s="5">
        <f>IF(D342="","",W342*IF(AND(ISNUMBER(AB342),AB342&gt;0,AB342&lt;1),AB342*100,AB342)/100)</f>
        <v/>
      </c>
      <c r="Y342" s="5">
        <f>IF(D342="","",AA342*Z342/100)</f>
        <v/>
      </c>
      <c r="Z342" s="5">
        <f>IF(D342="","",W342-X342)</f>
        <v/>
      </c>
      <c r="AC342" s="5">
        <f>IF(D342="","",Z342-Y342)</f>
        <v/>
      </c>
      <c r="AD342">
        <f>IF(D342="","",N(AD341)+IF(MATCH(D342,$D$2:$D$2501,0)=ROW()-1,1,0))</f>
        <v/>
      </c>
    </row>
    <row r="343">
      <c r="X343" s="5">
        <f>IF(D343="","",W343*IF(AND(ISNUMBER(AB343),AB343&gt;0,AB343&lt;1),AB343*100,AB343)/100)</f>
        <v/>
      </c>
      <c r="Y343" s="5">
        <f>IF(D343="","",AA343*Z343/100)</f>
        <v/>
      </c>
      <c r="Z343" s="5">
        <f>IF(D343="","",W343-X343)</f>
        <v/>
      </c>
      <c r="AC343" s="5">
        <f>IF(D343="","",Z343-Y343)</f>
        <v/>
      </c>
      <c r="AD343">
        <f>IF(D343="","",N(AD342)+IF(MATCH(D343,$D$2:$D$2501,0)=ROW()-1,1,0))</f>
        <v/>
      </c>
    </row>
    <row r="344">
      <c r="X344" s="5">
        <f>IF(D344="","",W344*IF(AND(ISNUMBER(AB344),AB344&gt;0,AB344&lt;1),AB344*100,AB344)/100)</f>
        <v/>
      </c>
      <c r="Y344" s="5">
        <f>IF(D344="","",AA344*Z344/100)</f>
        <v/>
      </c>
      <c r="Z344" s="5">
        <f>IF(D344="","",W344-X344)</f>
        <v/>
      </c>
      <c r="AC344" s="5">
        <f>IF(D344="","",Z344-Y344)</f>
        <v/>
      </c>
      <c r="AD344">
        <f>IF(D344="","",N(AD343)+IF(MATCH(D344,$D$2:$D$2501,0)=ROW()-1,1,0))</f>
        <v/>
      </c>
    </row>
    <row r="345">
      <c r="X345" s="5">
        <f>IF(D345="","",W345*IF(AND(ISNUMBER(AB345),AB345&gt;0,AB345&lt;1),AB345*100,AB345)/100)</f>
        <v/>
      </c>
      <c r="Y345" s="5">
        <f>IF(D345="","",AA345*Z345/100)</f>
        <v/>
      </c>
      <c r="Z345" s="5">
        <f>IF(D345="","",W345-X345)</f>
        <v/>
      </c>
      <c r="AC345" s="5">
        <f>IF(D345="","",Z345-Y345)</f>
        <v/>
      </c>
      <c r="AD345">
        <f>IF(D345="","",N(AD344)+IF(MATCH(D345,$D$2:$D$2501,0)=ROW()-1,1,0))</f>
        <v/>
      </c>
    </row>
    <row r="346">
      <c r="X346" s="5">
        <f>IF(D346="","",W346*IF(AND(ISNUMBER(AB346),AB346&gt;0,AB346&lt;1),AB346*100,AB346)/100)</f>
        <v/>
      </c>
      <c r="Y346" s="5">
        <f>IF(D346="","",AA346*Z346/100)</f>
        <v/>
      </c>
      <c r="Z346" s="5">
        <f>IF(D346="","",W346-X346)</f>
        <v/>
      </c>
      <c r="AC346" s="5">
        <f>IF(D346="","",Z346-Y346)</f>
        <v/>
      </c>
      <c r="AD346">
        <f>IF(D346="","",N(AD345)+IF(MATCH(D346,$D$2:$D$2501,0)=ROW()-1,1,0))</f>
        <v/>
      </c>
    </row>
    <row r="347">
      <c r="X347" s="5">
        <f>IF(D347="","",W347*IF(AND(ISNUMBER(AB347),AB347&gt;0,AB347&lt;1),AB347*100,AB347)/100)</f>
        <v/>
      </c>
      <c r="Y347" s="5">
        <f>IF(D347="","",AA347*Z347/100)</f>
        <v/>
      </c>
      <c r="Z347" s="5">
        <f>IF(D347="","",W347-X347)</f>
        <v/>
      </c>
      <c r="AC347" s="5">
        <f>IF(D347="","",Z347-Y347)</f>
        <v/>
      </c>
      <c r="AD347">
        <f>IF(D347="","",N(AD346)+IF(MATCH(D347,$D$2:$D$2501,0)=ROW()-1,1,0))</f>
        <v/>
      </c>
    </row>
    <row r="348">
      <c r="X348" s="5">
        <f>IF(D348="","",W348*IF(AND(ISNUMBER(AB348),AB348&gt;0,AB348&lt;1),AB348*100,AB348)/100)</f>
        <v/>
      </c>
      <c r="Y348" s="5">
        <f>IF(D348="","",AA348*Z348/100)</f>
        <v/>
      </c>
      <c r="Z348" s="5">
        <f>IF(D348="","",W348-X348)</f>
        <v/>
      </c>
      <c r="AC348" s="5">
        <f>IF(D348="","",Z348-Y348)</f>
        <v/>
      </c>
      <c r="AD348">
        <f>IF(D348="","",N(AD347)+IF(MATCH(D348,$D$2:$D$2501,0)=ROW()-1,1,0))</f>
        <v/>
      </c>
    </row>
    <row r="349">
      <c r="X349" s="5">
        <f>IF(D349="","",W349*IF(AND(ISNUMBER(AB349),AB349&gt;0,AB349&lt;1),AB349*100,AB349)/100)</f>
        <v/>
      </c>
      <c r="Y349" s="5">
        <f>IF(D349="","",AA349*Z349/100)</f>
        <v/>
      </c>
      <c r="Z349" s="5">
        <f>IF(D349="","",W349-X349)</f>
        <v/>
      </c>
      <c r="AC349" s="5">
        <f>IF(D349="","",Z349-Y349)</f>
        <v/>
      </c>
      <c r="AD349">
        <f>IF(D349="","",N(AD348)+IF(MATCH(D349,$D$2:$D$2501,0)=ROW()-1,1,0))</f>
        <v/>
      </c>
    </row>
    <row r="350">
      <c r="X350" s="5">
        <f>IF(D350="","",W350*IF(AND(ISNUMBER(AB350),AB350&gt;0,AB350&lt;1),AB350*100,AB350)/100)</f>
        <v/>
      </c>
      <c r="Y350" s="5">
        <f>IF(D350="","",AA350*Z350/100)</f>
        <v/>
      </c>
      <c r="Z350" s="5">
        <f>IF(D350="","",W350-X350)</f>
        <v/>
      </c>
      <c r="AC350" s="5">
        <f>IF(D350="","",Z350-Y350)</f>
        <v/>
      </c>
      <c r="AD350">
        <f>IF(D350="","",N(AD349)+IF(MATCH(D350,$D$2:$D$2501,0)=ROW()-1,1,0))</f>
        <v/>
      </c>
    </row>
    <row r="351">
      <c r="X351" s="5">
        <f>IF(D351="","",W351*IF(AND(ISNUMBER(AB351),AB351&gt;0,AB351&lt;1),AB351*100,AB351)/100)</f>
        <v/>
      </c>
      <c r="Y351" s="5">
        <f>IF(D351="","",AA351*Z351/100)</f>
        <v/>
      </c>
      <c r="Z351" s="5">
        <f>IF(D351="","",W351-X351)</f>
        <v/>
      </c>
      <c r="AC351" s="5">
        <f>IF(D351="","",Z351-Y351)</f>
        <v/>
      </c>
      <c r="AD351">
        <f>IF(D351="","",N(AD350)+IF(MATCH(D351,$D$2:$D$2501,0)=ROW()-1,1,0))</f>
        <v/>
      </c>
    </row>
    <row r="352">
      <c r="X352" s="5">
        <f>IF(D352="","",W352*IF(AND(ISNUMBER(AB352),AB352&gt;0,AB352&lt;1),AB352*100,AB352)/100)</f>
        <v/>
      </c>
      <c r="Y352" s="5">
        <f>IF(D352="","",AA352*Z352/100)</f>
        <v/>
      </c>
      <c r="Z352" s="5">
        <f>IF(D352="","",W352-X352)</f>
        <v/>
      </c>
      <c r="AC352" s="5">
        <f>IF(D352="","",Z352-Y352)</f>
        <v/>
      </c>
      <c r="AD352">
        <f>IF(D352="","",N(AD351)+IF(MATCH(D352,$D$2:$D$2501,0)=ROW()-1,1,0))</f>
        <v/>
      </c>
    </row>
    <row r="353">
      <c r="X353" s="5">
        <f>IF(D353="","",W353*IF(AND(ISNUMBER(AB353),AB353&gt;0,AB353&lt;1),AB353*100,AB353)/100)</f>
        <v/>
      </c>
      <c r="Y353" s="5">
        <f>IF(D353="","",AA353*Z353/100)</f>
        <v/>
      </c>
      <c r="Z353" s="5">
        <f>IF(D353="","",W353-X353)</f>
        <v/>
      </c>
      <c r="AC353" s="5">
        <f>IF(D353="","",Z353-Y353)</f>
        <v/>
      </c>
      <c r="AD353">
        <f>IF(D353="","",N(AD352)+IF(MATCH(D353,$D$2:$D$2501,0)=ROW()-1,1,0))</f>
        <v/>
      </c>
    </row>
    <row r="354">
      <c r="X354" s="5">
        <f>IF(D354="","",W354*IF(AND(ISNUMBER(AB354),AB354&gt;0,AB354&lt;1),AB354*100,AB354)/100)</f>
        <v/>
      </c>
      <c r="Y354" s="5">
        <f>IF(D354="","",AA354*Z354/100)</f>
        <v/>
      </c>
      <c r="Z354" s="5">
        <f>IF(D354="","",W354-X354)</f>
        <v/>
      </c>
      <c r="AC354" s="5">
        <f>IF(D354="","",Z354-Y354)</f>
        <v/>
      </c>
      <c r="AD354">
        <f>IF(D354="","",N(AD353)+IF(MATCH(D354,$D$2:$D$2501,0)=ROW()-1,1,0))</f>
        <v/>
      </c>
    </row>
    <row r="355">
      <c r="X355" s="5">
        <f>IF(D355="","",W355*IF(AND(ISNUMBER(AB355),AB355&gt;0,AB355&lt;1),AB355*100,AB355)/100)</f>
        <v/>
      </c>
      <c r="Y355" s="5">
        <f>IF(D355="","",AA355*Z355/100)</f>
        <v/>
      </c>
      <c r="Z355" s="5">
        <f>IF(D355="","",W355-X355)</f>
        <v/>
      </c>
      <c r="AC355" s="5">
        <f>IF(D355="","",Z355-Y355)</f>
        <v/>
      </c>
      <c r="AD355">
        <f>IF(D355="","",N(AD354)+IF(MATCH(D355,$D$2:$D$2501,0)=ROW()-1,1,0))</f>
        <v/>
      </c>
    </row>
    <row r="356">
      <c r="X356" s="5">
        <f>IF(D356="","",W356*IF(AND(ISNUMBER(AB356),AB356&gt;0,AB356&lt;1),AB356*100,AB356)/100)</f>
        <v/>
      </c>
      <c r="Y356" s="5">
        <f>IF(D356="","",AA356*Z356/100)</f>
        <v/>
      </c>
      <c r="Z356" s="5">
        <f>IF(D356="","",W356-X356)</f>
        <v/>
      </c>
      <c r="AC356" s="5">
        <f>IF(D356="","",Z356-Y356)</f>
        <v/>
      </c>
      <c r="AD356">
        <f>IF(D356="","",N(AD355)+IF(MATCH(D356,$D$2:$D$2501,0)=ROW()-1,1,0))</f>
        <v/>
      </c>
    </row>
    <row r="357">
      <c r="X357" s="5">
        <f>IF(D357="","",W357*IF(AND(ISNUMBER(AB357),AB357&gt;0,AB357&lt;1),AB357*100,AB357)/100)</f>
        <v/>
      </c>
      <c r="Y357" s="5">
        <f>IF(D357="","",AA357*Z357/100)</f>
        <v/>
      </c>
      <c r="Z357" s="5">
        <f>IF(D357="","",W357-X357)</f>
        <v/>
      </c>
      <c r="AC357" s="5">
        <f>IF(D357="","",Z357-Y357)</f>
        <v/>
      </c>
      <c r="AD357">
        <f>IF(D357="","",N(AD356)+IF(MATCH(D357,$D$2:$D$2501,0)=ROW()-1,1,0))</f>
        <v/>
      </c>
    </row>
    <row r="358">
      <c r="X358" s="5">
        <f>IF(D358="","",W358*IF(AND(ISNUMBER(AB358),AB358&gt;0,AB358&lt;1),AB358*100,AB358)/100)</f>
        <v/>
      </c>
      <c r="Y358" s="5">
        <f>IF(D358="","",AA358*Z358/100)</f>
        <v/>
      </c>
      <c r="Z358" s="5">
        <f>IF(D358="","",W358-X358)</f>
        <v/>
      </c>
      <c r="AC358" s="5">
        <f>IF(D358="","",Z358-Y358)</f>
        <v/>
      </c>
      <c r="AD358">
        <f>IF(D358="","",N(AD357)+IF(MATCH(D358,$D$2:$D$2501,0)=ROW()-1,1,0))</f>
        <v/>
      </c>
    </row>
    <row r="359">
      <c r="X359" s="5">
        <f>IF(D359="","",W359*IF(AND(ISNUMBER(AB359),AB359&gt;0,AB359&lt;1),AB359*100,AB359)/100)</f>
        <v/>
      </c>
      <c r="Y359" s="5">
        <f>IF(D359="","",AA359*Z359/100)</f>
        <v/>
      </c>
      <c r="Z359" s="5">
        <f>IF(D359="","",W359-X359)</f>
        <v/>
      </c>
      <c r="AC359" s="5">
        <f>IF(D359="","",Z359-Y359)</f>
        <v/>
      </c>
      <c r="AD359">
        <f>IF(D359="","",N(AD358)+IF(MATCH(D359,$D$2:$D$2501,0)=ROW()-1,1,0))</f>
        <v/>
      </c>
    </row>
    <row r="360">
      <c r="X360" s="5">
        <f>IF(D360="","",W360*IF(AND(ISNUMBER(AB360),AB360&gt;0,AB360&lt;1),AB360*100,AB360)/100)</f>
        <v/>
      </c>
      <c r="Y360" s="5">
        <f>IF(D360="","",AA360*Z360/100)</f>
        <v/>
      </c>
      <c r="Z360" s="5">
        <f>IF(D360="","",W360-X360)</f>
        <v/>
      </c>
      <c r="AC360" s="5">
        <f>IF(D360="","",Z360-Y360)</f>
        <v/>
      </c>
      <c r="AD360">
        <f>IF(D360="","",N(AD359)+IF(MATCH(D360,$D$2:$D$2501,0)=ROW()-1,1,0))</f>
        <v/>
      </c>
    </row>
    <row r="361">
      <c r="X361" s="5">
        <f>IF(D361="","",W361*IF(AND(ISNUMBER(AB361),AB361&gt;0,AB361&lt;1),AB361*100,AB361)/100)</f>
        <v/>
      </c>
      <c r="Y361" s="5">
        <f>IF(D361="","",AA361*Z361/100)</f>
        <v/>
      </c>
      <c r="Z361" s="5">
        <f>IF(D361="","",W361-X361)</f>
        <v/>
      </c>
      <c r="AC361" s="5">
        <f>IF(D361="","",Z361-Y361)</f>
        <v/>
      </c>
      <c r="AD361">
        <f>IF(D361="","",N(AD360)+IF(MATCH(D361,$D$2:$D$2501,0)=ROW()-1,1,0))</f>
        <v/>
      </c>
    </row>
    <row r="362">
      <c r="X362" s="5">
        <f>IF(D362="","",W362*IF(AND(ISNUMBER(AB362),AB362&gt;0,AB362&lt;1),AB362*100,AB362)/100)</f>
        <v/>
      </c>
      <c r="Y362" s="5">
        <f>IF(D362="","",AA362*Z362/100)</f>
        <v/>
      </c>
      <c r="Z362" s="5">
        <f>IF(D362="","",W362-X362)</f>
        <v/>
      </c>
      <c r="AC362" s="5">
        <f>IF(D362="","",Z362-Y362)</f>
        <v/>
      </c>
      <c r="AD362">
        <f>IF(D362="","",N(AD361)+IF(MATCH(D362,$D$2:$D$2501,0)=ROW()-1,1,0))</f>
        <v/>
      </c>
    </row>
    <row r="363">
      <c r="X363" s="5">
        <f>IF(D363="","",W363*IF(AND(ISNUMBER(AB363),AB363&gt;0,AB363&lt;1),AB363*100,AB363)/100)</f>
        <v/>
      </c>
      <c r="Y363" s="5">
        <f>IF(D363="","",AA363*Z363/100)</f>
        <v/>
      </c>
      <c r="Z363" s="5">
        <f>IF(D363="","",W363-X363)</f>
        <v/>
      </c>
      <c r="AC363" s="5">
        <f>IF(D363="","",Z363-Y363)</f>
        <v/>
      </c>
      <c r="AD363">
        <f>IF(D363="","",N(AD362)+IF(MATCH(D363,$D$2:$D$2501,0)=ROW()-1,1,0))</f>
        <v/>
      </c>
    </row>
    <row r="364">
      <c r="X364" s="5">
        <f>IF(D364="","",W364*IF(AND(ISNUMBER(AB364),AB364&gt;0,AB364&lt;1),AB364*100,AB364)/100)</f>
        <v/>
      </c>
      <c r="Y364" s="5">
        <f>IF(D364="","",AA364*Z364/100)</f>
        <v/>
      </c>
      <c r="Z364" s="5">
        <f>IF(D364="","",W364-X364)</f>
        <v/>
      </c>
      <c r="AC364" s="5">
        <f>IF(D364="","",Z364-Y364)</f>
        <v/>
      </c>
      <c r="AD364">
        <f>IF(D364="","",N(AD363)+IF(MATCH(D364,$D$2:$D$2501,0)=ROW()-1,1,0))</f>
        <v/>
      </c>
    </row>
    <row r="365">
      <c r="X365" s="5">
        <f>IF(D365="","",W365*IF(AND(ISNUMBER(AB365),AB365&gt;0,AB365&lt;1),AB365*100,AB365)/100)</f>
        <v/>
      </c>
      <c r="Y365" s="5">
        <f>IF(D365="","",AA365*Z365/100)</f>
        <v/>
      </c>
      <c r="Z365" s="5">
        <f>IF(D365="","",W365-X365)</f>
        <v/>
      </c>
      <c r="AC365" s="5">
        <f>IF(D365="","",Z365-Y365)</f>
        <v/>
      </c>
      <c r="AD365">
        <f>IF(D365="","",N(AD364)+IF(MATCH(D365,$D$2:$D$2501,0)=ROW()-1,1,0))</f>
        <v/>
      </c>
    </row>
    <row r="366">
      <c r="X366" s="5">
        <f>IF(D366="","",W366*IF(AND(ISNUMBER(AB366),AB366&gt;0,AB366&lt;1),AB366*100,AB366)/100)</f>
        <v/>
      </c>
      <c r="Y366" s="5">
        <f>IF(D366="","",AA366*Z366/100)</f>
        <v/>
      </c>
      <c r="Z366" s="5">
        <f>IF(D366="","",W366-X366)</f>
        <v/>
      </c>
      <c r="AC366" s="5">
        <f>IF(D366="","",Z366-Y366)</f>
        <v/>
      </c>
      <c r="AD366">
        <f>IF(D366="","",N(AD365)+IF(MATCH(D366,$D$2:$D$2501,0)=ROW()-1,1,0))</f>
        <v/>
      </c>
    </row>
    <row r="367">
      <c r="X367" s="5">
        <f>IF(D367="","",W367*IF(AND(ISNUMBER(AB367),AB367&gt;0,AB367&lt;1),AB367*100,AB367)/100)</f>
        <v/>
      </c>
      <c r="Y367" s="5">
        <f>IF(D367="","",AA367*Z367/100)</f>
        <v/>
      </c>
      <c r="Z367" s="5">
        <f>IF(D367="","",W367-X367)</f>
        <v/>
      </c>
      <c r="AC367" s="5">
        <f>IF(D367="","",Z367-Y367)</f>
        <v/>
      </c>
      <c r="AD367">
        <f>IF(D367="","",N(AD366)+IF(MATCH(D367,$D$2:$D$2501,0)=ROW()-1,1,0))</f>
        <v/>
      </c>
    </row>
    <row r="368">
      <c r="X368" s="5">
        <f>IF(D368="","",W368*IF(AND(ISNUMBER(AB368),AB368&gt;0,AB368&lt;1),AB368*100,AB368)/100)</f>
        <v/>
      </c>
      <c r="Y368" s="5">
        <f>IF(D368="","",AA368*Z368/100)</f>
        <v/>
      </c>
      <c r="Z368" s="5">
        <f>IF(D368="","",W368-X368)</f>
        <v/>
      </c>
      <c r="AC368" s="5">
        <f>IF(D368="","",Z368-Y368)</f>
        <v/>
      </c>
      <c r="AD368">
        <f>IF(D368="","",N(AD367)+IF(MATCH(D368,$D$2:$D$2501,0)=ROW()-1,1,0))</f>
        <v/>
      </c>
    </row>
    <row r="369">
      <c r="X369" s="5">
        <f>IF(D369="","",W369*IF(AND(ISNUMBER(AB369),AB369&gt;0,AB369&lt;1),AB369*100,AB369)/100)</f>
        <v/>
      </c>
      <c r="Y369" s="5">
        <f>IF(D369="","",AA369*Z369/100)</f>
        <v/>
      </c>
      <c r="Z369" s="5">
        <f>IF(D369="","",W369-X369)</f>
        <v/>
      </c>
      <c r="AC369" s="5">
        <f>IF(D369="","",Z369-Y369)</f>
        <v/>
      </c>
      <c r="AD369">
        <f>IF(D369="","",N(AD368)+IF(MATCH(D369,$D$2:$D$2501,0)=ROW()-1,1,0))</f>
        <v/>
      </c>
    </row>
    <row r="370">
      <c r="X370" s="5">
        <f>IF(D370="","",W370*IF(AND(ISNUMBER(AB370),AB370&gt;0,AB370&lt;1),AB370*100,AB370)/100)</f>
        <v/>
      </c>
      <c r="Y370" s="5">
        <f>IF(D370="","",AA370*Z370/100)</f>
        <v/>
      </c>
      <c r="Z370" s="5">
        <f>IF(D370="","",W370-X370)</f>
        <v/>
      </c>
      <c r="AC370" s="5">
        <f>IF(D370="","",Z370-Y370)</f>
        <v/>
      </c>
      <c r="AD370">
        <f>IF(D370="","",N(AD369)+IF(MATCH(D370,$D$2:$D$2501,0)=ROW()-1,1,0))</f>
        <v/>
      </c>
    </row>
    <row r="371">
      <c r="X371" s="5">
        <f>IF(D371="","",W371*IF(AND(ISNUMBER(AB371),AB371&gt;0,AB371&lt;1),AB371*100,AB371)/100)</f>
        <v/>
      </c>
      <c r="Y371" s="5">
        <f>IF(D371="","",AA371*Z371/100)</f>
        <v/>
      </c>
      <c r="Z371" s="5">
        <f>IF(D371="","",W371-X371)</f>
        <v/>
      </c>
      <c r="AC371" s="5">
        <f>IF(D371="","",Z371-Y371)</f>
        <v/>
      </c>
      <c r="AD371">
        <f>IF(D371="","",N(AD370)+IF(MATCH(D371,$D$2:$D$2501,0)=ROW()-1,1,0))</f>
        <v/>
      </c>
    </row>
    <row r="372">
      <c r="X372" s="5">
        <f>IF(D372="","",W372*IF(AND(ISNUMBER(AB372),AB372&gt;0,AB372&lt;1),AB372*100,AB372)/100)</f>
        <v/>
      </c>
      <c r="Y372" s="5">
        <f>IF(D372="","",AA372*Z372/100)</f>
        <v/>
      </c>
      <c r="Z372" s="5">
        <f>IF(D372="","",W372-X372)</f>
        <v/>
      </c>
      <c r="AC372" s="5">
        <f>IF(D372="","",Z372-Y372)</f>
        <v/>
      </c>
      <c r="AD372">
        <f>IF(D372="","",N(AD371)+IF(MATCH(D372,$D$2:$D$2501,0)=ROW()-1,1,0))</f>
        <v/>
      </c>
    </row>
    <row r="373">
      <c r="X373" s="5">
        <f>IF(D373="","",W373*IF(AND(ISNUMBER(AB373),AB373&gt;0,AB373&lt;1),AB373*100,AB373)/100)</f>
        <v/>
      </c>
      <c r="Y373" s="5">
        <f>IF(D373="","",AA373*Z373/100)</f>
        <v/>
      </c>
      <c r="Z373" s="5">
        <f>IF(D373="","",W373-X373)</f>
        <v/>
      </c>
      <c r="AC373" s="5">
        <f>IF(D373="","",Z373-Y373)</f>
        <v/>
      </c>
      <c r="AD373">
        <f>IF(D373="","",N(AD372)+IF(MATCH(D373,$D$2:$D$2501,0)=ROW()-1,1,0))</f>
        <v/>
      </c>
    </row>
    <row r="374">
      <c r="X374" s="5">
        <f>IF(D374="","",W374*IF(AND(ISNUMBER(AB374),AB374&gt;0,AB374&lt;1),AB374*100,AB374)/100)</f>
        <v/>
      </c>
      <c r="Y374" s="5">
        <f>IF(D374="","",AA374*Z374/100)</f>
        <v/>
      </c>
      <c r="Z374" s="5">
        <f>IF(D374="","",W374-X374)</f>
        <v/>
      </c>
      <c r="AC374" s="5">
        <f>IF(D374="","",Z374-Y374)</f>
        <v/>
      </c>
      <c r="AD374">
        <f>IF(D374="","",N(AD373)+IF(MATCH(D374,$D$2:$D$2501,0)=ROW()-1,1,0))</f>
        <v/>
      </c>
    </row>
    <row r="375">
      <c r="X375" s="5">
        <f>IF(D375="","",W375*IF(AND(ISNUMBER(AB375),AB375&gt;0,AB375&lt;1),AB375*100,AB375)/100)</f>
        <v/>
      </c>
      <c r="Y375" s="5">
        <f>IF(D375="","",AA375*Z375/100)</f>
        <v/>
      </c>
      <c r="Z375" s="5">
        <f>IF(D375="","",W375-X375)</f>
        <v/>
      </c>
      <c r="AC375" s="5">
        <f>IF(D375="","",Z375-Y375)</f>
        <v/>
      </c>
      <c r="AD375">
        <f>IF(D375="","",N(AD374)+IF(MATCH(D375,$D$2:$D$2501,0)=ROW()-1,1,0))</f>
        <v/>
      </c>
    </row>
    <row r="376">
      <c r="X376" s="5">
        <f>IF(D376="","",W376*IF(AND(ISNUMBER(AB376),AB376&gt;0,AB376&lt;1),AB376*100,AB376)/100)</f>
        <v/>
      </c>
      <c r="Y376" s="5">
        <f>IF(D376="","",AA376*Z376/100)</f>
        <v/>
      </c>
      <c r="Z376" s="5">
        <f>IF(D376="","",W376-X376)</f>
        <v/>
      </c>
      <c r="AC376" s="5">
        <f>IF(D376="","",Z376-Y376)</f>
        <v/>
      </c>
      <c r="AD376">
        <f>IF(D376="","",N(AD375)+IF(MATCH(D376,$D$2:$D$2501,0)=ROW()-1,1,0))</f>
        <v/>
      </c>
    </row>
    <row r="377">
      <c r="X377" s="5">
        <f>IF(D377="","",W377*IF(AND(ISNUMBER(AB377),AB377&gt;0,AB377&lt;1),AB377*100,AB377)/100)</f>
        <v/>
      </c>
      <c r="Y377" s="5">
        <f>IF(D377="","",AA377*Z377/100)</f>
        <v/>
      </c>
      <c r="Z377" s="5">
        <f>IF(D377="","",W377-X377)</f>
        <v/>
      </c>
      <c r="AC377" s="5">
        <f>IF(D377="","",Z377-Y377)</f>
        <v/>
      </c>
      <c r="AD377">
        <f>IF(D377="","",N(AD376)+IF(MATCH(D377,$D$2:$D$2501,0)=ROW()-1,1,0))</f>
        <v/>
      </c>
    </row>
    <row r="378">
      <c r="X378" s="5">
        <f>IF(D378="","",W378*IF(AND(ISNUMBER(AB378),AB378&gt;0,AB378&lt;1),AB378*100,AB378)/100)</f>
        <v/>
      </c>
      <c r="Y378" s="5">
        <f>IF(D378="","",AA378*Z378/100)</f>
        <v/>
      </c>
      <c r="Z378" s="5">
        <f>IF(D378="","",W378-X378)</f>
        <v/>
      </c>
      <c r="AC378" s="5">
        <f>IF(D378="","",Z378-Y378)</f>
        <v/>
      </c>
      <c r="AD378">
        <f>IF(D378="","",N(AD377)+IF(MATCH(D378,$D$2:$D$2501,0)=ROW()-1,1,0))</f>
        <v/>
      </c>
    </row>
    <row r="379">
      <c r="X379" s="5">
        <f>IF(D379="","",W379*IF(AND(ISNUMBER(AB379),AB379&gt;0,AB379&lt;1),AB379*100,AB379)/100)</f>
        <v/>
      </c>
      <c r="Y379" s="5">
        <f>IF(D379="","",AA379*Z379/100)</f>
        <v/>
      </c>
      <c r="Z379" s="5">
        <f>IF(D379="","",W379-X379)</f>
        <v/>
      </c>
      <c r="AC379" s="5">
        <f>IF(D379="","",Z379-Y379)</f>
        <v/>
      </c>
      <c r="AD379">
        <f>IF(D379="","",N(AD378)+IF(MATCH(D379,$D$2:$D$2501,0)=ROW()-1,1,0))</f>
        <v/>
      </c>
    </row>
    <row r="380">
      <c r="X380" s="5">
        <f>IF(D380="","",W380*IF(AND(ISNUMBER(AB380),AB380&gt;0,AB380&lt;1),AB380*100,AB380)/100)</f>
        <v/>
      </c>
      <c r="Y380" s="5">
        <f>IF(D380="","",AA380*Z380/100)</f>
        <v/>
      </c>
      <c r="Z380" s="5">
        <f>IF(D380="","",W380-X380)</f>
        <v/>
      </c>
      <c r="AC380" s="5">
        <f>IF(D380="","",Z380-Y380)</f>
        <v/>
      </c>
      <c r="AD380">
        <f>IF(D380="","",N(AD379)+IF(MATCH(D380,$D$2:$D$2501,0)=ROW()-1,1,0))</f>
        <v/>
      </c>
    </row>
    <row r="381">
      <c r="X381" s="5">
        <f>IF(D381="","",W381*IF(AND(ISNUMBER(AB381),AB381&gt;0,AB381&lt;1),AB381*100,AB381)/100)</f>
        <v/>
      </c>
      <c r="Y381" s="5">
        <f>IF(D381="","",AA381*Z381/100)</f>
        <v/>
      </c>
      <c r="Z381" s="5">
        <f>IF(D381="","",W381-X381)</f>
        <v/>
      </c>
      <c r="AC381" s="5">
        <f>IF(D381="","",Z381-Y381)</f>
        <v/>
      </c>
      <c r="AD381">
        <f>IF(D381="","",N(AD380)+IF(MATCH(D381,$D$2:$D$2501,0)=ROW()-1,1,0))</f>
        <v/>
      </c>
    </row>
    <row r="382">
      <c r="X382" s="5">
        <f>IF(D382="","",W382*IF(AND(ISNUMBER(AB382),AB382&gt;0,AB382&lt;1),AB382*100,AB382)/100)</f>
        <v/>
      </c>
      <c r="Y382" s="5">
        <f>IF(D382="","",AA382*Z382/100)</f>
        <v/>
      </c>
      <c r="Z382" s="5">
        <f>IF(D382="","",W382-X382)</f>
        <v/>
      </c>
      <c r="AC382" s="5">
        <f>IF(D382="","",Z382-Y382)</f>
        <v/>
      </c>
      <c r="AD382">
        <f>IF(D382="","",N(AD381)+IF(MATCH(D382,$D$2:$D$2501,0)=ROW()-1,1,0))</f>
        <v/>
      </c>
    </row>
    <row r="383">
      <c r="X383" s="5">
        <f>IF(D383="","",W383*IF(AND(ISNUMBER(AB383),AB383&gt;0,AB383&lt;1),AB383*100,AB383)/100)</f>
        <v/>
      </c>
      <c r="Y383" s="5">
        <f>IF(D383="","",AA383*Z383/100)</f>
        <v/>
      </c>
      <c r="Z383" s="5">
        <f>IF(D383="","",W383-X383)</f>
        <v/>
      </c>
      <c r="AC383" s="5">
        <f>IF(D383="","",Z383-Y383)</f>
        <v/>
      </c>
      <c r="AD383">
        <f>IF(D383="","",N(AD382)+IF(MATCH(D383,$D$2:$D$2501,0)=ROW()-1,1,0))</f>
        <v/>
      </c>
    </row>
    <row r="384">
      <c r="X384" s="5">
        <f>IF(D384="","",W384*IF(AND(ISNUMBER(AB384),AB384&gt;0,AB384&lt;1),AB384*100,AB384)/100)</f>
        <v/>
      </c>
      <c r="Y384" s="5">
        <f>IF(D384="","",AA384*Z384/100)</f>
        <v/>
      </c>
      <c r="Z384" s="5">
        <f>IF(D384="","",W384-X384)</f>
        <v/>
      </c>
      <c r="AC384" s="5">
        <f>IF(D384="","",Z384-Y384)</f>
        <v/>
      </c>
      <c r="AD384">
        <f>IF(D384="","",N(AD383)+IF(MATCH(D384,$D$2:$D$2501,0)=ROW()-1,1,0))</f>
        <v/>
      </c>
    </row>
    <row r="385">
      <c r="X385" s="5">
        <f>IF(D385="","",W385*IF(AND(ISNUMBER(AB385),AB385&gt;0,AB385&lt;1),AB385*100,AB385)/100)</f>
        <v/>
      </c>
      <c r="Y385" s="5">
        <f>IF(D385="","",AA385*Z385/100)</f>
        <v/>
      </c>
      <c r="Z385" s="5">
        <f>IF(D385="","",W385-X385)</f>
        <v/>
      </c>
      <c r="AC385" s="5">
        <f>IF(D385="","",Z385-Y385)</f>
        <v/>
      </c>
      <c r="AD385">
        <f>IF(D385="","",N(AD384)+IF(MATCH(D385,$D$2:$D$2501,0)=ROW()-1,1,0))</f>
        <v/>
      </c>
    </row>
    <row r="386">
      <c r="X386" s="5">
        <f>IF(D386="","",W386*IF(AND(ISNUMBER(AB386),AB386&gt;0,AB386&lt;1),AB386*100,AB386)/100)</f>
        <v/>
      </c>
      <c r="Y386" s="5">
        <f>IF(D386="","",AA386*Z386/100)</f>
        <v/>
      </c>
      <c r="Z386" s="5">
        <f>IF(D386="","",W386-X386)</f>
        <v/>
      </c>
      <c r="AC386" s="5">
        <f>IF(D386="","",Z386-Y386)</f>
        <v/>
      </c>
      <c r="AD386">
        <f>IF(D386="","",N(AD385)+IF(MATCH(D386,$D$2:$D$2501,0)=ROW()-1,1,0))</f>
        <v/>
      </c>
    </row>
    <row r="387">
      <c r="X387" s="5">
        <f>IF(D387="","",W387*IF(AND(ISNUMBER(AB387),AB387&gt;0,AB387&lt;1),AB387*100,AB387)/100)</f>
        <v/>
      </c>
      <c r="Y387" s="5">
        <f>IF(D387="","",AA387*Z387/100)</f>
        <v/>
      </c>
      <c r="Z387" s="5">
        <f>IF(D387="","",W387-X387)</f>
        <v/>
      </c>
      <c r="AC387" s="5">
        <f>IF(D387="","",Z387-Y387)</f>
        <v/>
      </c>
      <c r="AD387">
        <f>IF(D387="","",N(AD386)+IF(MATCH(D387,$D$2:$D$2501,0)=ROW()-1,1,0))</f>
        <v/>
      </c>
    </row>
    <row r="388">
      <c r="X388" s="5">
        <f>IF(D388="","",W388*IF(AND(ISNUMBER(AB388),AB388&gt;0,AB388&lt;1),AB388*100,AB388)/100)</f>
        <v/>
      </c>
      <c r="Y388" s="5">
        <f>IF(D388="","",AA388*Z388/100)</f>
        <v/>
      </c>
      <c r="Z388" s="5">
        <f>IF(D388="","",W388-X388)</f>
        <v/>
      </c>
      <c r="AC388" s="5">
        <f>IF(D388="","",Z388-Y388)</f>
        <v/>
      </c>
      <c r="AD388">
        <f>IF(D388="","",N(AD387)+IF(MATCH(D388,$D$2:$D$2501,0)=ROW()-1,1,0))</f>
        <v/>
      </c>
    </row>
    <row r="389">
      <c r="X389" s="5">
        <f>IF(D389="","",W389*IF(AND(ISNUMBER(AB389),AB389&gt;0,AB389&lt;1),AB389*100,AB389)/100)</f>
        <v/>
      </c>
      <c r="Y389" s="5">
        <f>IF(D389="","",AA389*Z389/100)</f>
        <v/>
      </c>
      <c r="Z389" s="5">
        <f>IF(D389="","",W389-X389)</f>
        <v/>
      </c>
      <c r="AC389" s="5">
        <f>IF(D389="","",Z389-Y389)</f>
        <v/>
      </c>
      <c r="AD389">
        <f>IF(D389="","",N(AD388)+IF(MATCH(D389,$D$2:$D$2501,0)=ROW()-1,1,0))</f>
        <v/>
      </c>
    </row>
    <row r="390">
      <c r="X390" s="5">
        <f>IF(D390="","",W390*IF(AND(ISNUMBER(AB390),AB390&gt;0,AB390&lt;1),AB390*100,AB390)/100)</f>
        <v/>
      </c>
      <c r="Y390" s="5">
        <f>IF(D390="","",AA390*Z390/100)</f>
        <v/>
      </c>
      <c r="Z390" s="5">
        <f>IF(D390="","",W390-X390)</f>
        <v/>
      </c>
      <c r="AC390" s="5">
        <f>IF(D390="","",Z390-Y390)</f>
        <v/>
      </c>
      <c r="AD390">
        <f>IF(D390="","",N(AD389)+IF(MATCH(D390,$D$2:$D$2501,0)=ROW()-1,1,0))</f>
        <v/>
      </c>
    </row>
    <row r="391">
      <c r="X391" s="5">
        <f>IF(D391="","",W391*IF(AND(ISNUMBER(AB391),AB391&gt;0,AB391&lt;1),AB391*100,AB391)/100)</f>
        <v/>
      </c>
      <c r="Y391" s="5">
        <f>IF(D391="","",AA391*Z391/100)</f>
        <v/>
      </c>
      <c r="Z391" s="5">
        <f>IF(D391="","",W391-X391)</f>
        <v/>
      </c>
      <c r="AC391" s="5">
        <f>IF(D391="","",Z391-Y391)</f>
        <v/>
      </c>
      <c r="AD391">
        <f>IF(D391="","",N(AD390)+IF(MATCH(D391,$D$2:$D$2501,0)=ROW()-1,1,0))</f>
        <v/>
      </c>
    </row>
    <row r="392">
      <c r="X392" s="5">
        <f>IF(D392="","",W392*IF(AND(ISNUMBER(AB392),AB392&gt;0,AB392&lt;1),AB392*100,AB392)/100)</f>
        <v/>
      </c>
      <c r="Y392" s="5">
        <f>IF(D392="","",AA392*Z392/100)</f>
        <v/>
      </c>
      <c r="Z392" s="5">
        <f>IF(D392="","",W392-X392)</f>
        <v/>
      </c>
      <c r="AC392" s="5">
        <f>IF(D392="","",Z392-Y392)</f>
        <v/>
      </c>
      <c r="AD392">
        <f>IF(D392="","",N(AD391)+IF(MATCH(D392,$D$2:$D$2501,0)=ROW()-1,1,0))</f>
        <v/>
      </c>
    </row>
    <row r="393">
      <c r="X393" s="5">
        <f>IF(D393="","",W393*IF(AND(ISNUMBER(AB393),AB393&gt;0,AB393&lt;1),AB393*100,AB393)/100)</f>
        <v/>
      </c>
      <c r="Y393" s="5">
        <f>IF(D393="","",AA393*Z393/100)</f>
        <v/>
      </c>
      <c r="Z393" s="5">
        <f>IF(D393="","",W393-X393)</f>
        <v/>
      </c>
      <c r="AC393" s="5">
        <f>IF(D393="","",Z393-Y393)</f>
        <v/>
      </c>
      <c r="AD393">
        <f>IF(D393="","",N(AD392)+IF(MATCH(D393,$D$2:$D$2501,0)=ROW()-1,1,0))</f>
        <v/>
      </c>
    </row>
    <row r="394">
      <c r="X394" s="5">
        <f>IF(D394="","",W394*IF(AND(ISNUMBER(AB394),AB394&gt;0,AB394&lt;1),AB394*100,AB394)/100)</f>
        <v/>
      </c>
      <c r="Y394" s="5">
        <f>IF(D394="","",AA394*Z394/100)</f>
        <v/>
      </c>
      <c r="Z394" s="5">
        <f>IF(D394="","",W394-X394)</f>
        <v/>
      </c>
      <c r="AC394" s="5">
        <f>IF(D394="","",Z394-Y394)</f>
        <v/>
      </c>
      <c r="AD394">
        <f>IF(D394="","",N(AD393)+IF(MATCH(D394,$D$2:$D$2501,0)=ROW()-1,1,0))</f>
        <v/>
      </c>
    </row>
    <row r="395">
      <c r="X395" s="5">
        <f>IF(D395="","",W395*IF(AND(ISNUMBER(AB395),AB395&gt;0,AB395&lt;1),AB395*100,AB395)/100)</f>
        <v/>
      </c>
      <c r="Y395" s="5">
        <f>IF(D395="","",AA395*Z395/100)</f>
        <v/>
      </c>
      <c r="Z395" s="5">
        <f>IF(D395="","",W395-X395)</f>
        <v/>
      </c>
      <c r="AC395" s="5">
        <f>IF(D395="","",Z395-Y395)</f>
        <v/>
      </c>
      <c r="AD395">
        <f>IF(D395="","",N(AD394)+IF(MATCH(D395,$D$2:$D$2501,0)=ROW()-1,1,0))</f>
        <v/>
      </c>
    </row>
    <row r="396">
      <c r="X396" s="5">
        <f>IF(D396="","",W396*IF(AND(ISNUMBER(AB396),AB396&gt;0,AB396&lt;1),AB396*100,AB396)/100)</f>
        <v/>
      </c>
      <c r="Y396" s="5">
        <f>IF(D396="","",AA396*Z396/100)</f>
        <v/>
      </c>
      <c r="Z396" s="5">
        <f>IF(D396="","",W396-X396)</f>
        <v/>
      </c>
      <c r="AC396" s="5">
        <f>IF(D396="","",Z396-Y396)</f>
        <v/>
      </c>
      <c r="AD396">
        <f>IF(D396="","",N(AD395)+IF(MATCH(D396,$D$2:$D$2501,0)=ROW()-1,1,0))</f>
        <v/>
      </c>
    </row>
    <row r="397">
      <c r="X397" s="5">
        <f>IF(D397="","",W397*IF(AND(ISNUMBER(AB397),AB397&gt;0,AB397&lt;1),AB397*100,AB397)/100)</f>
        <v/>
      </c>
      <c r="Y397" s="5">
        <f>IF(D397="","",AA397*Z397/100)</f>
        <v/>
      </c>
      <c r="Z397" s="5">
        <f>IF(D397="","",W397-X397)</f>
        <v/>
      </c>
      <c r="AC397" s="5">
        <f>IF(D397="","",Z397-Y397)</f>
        <v/>
      </c>
      <c r="AD397">
        <f>IF(D397="","",N(AD396)+IF(MATCH(D397,$D$2:$D$2501,0)=ROW()-1,1,0))</f>
        <v/>
      </c>
    </row>
    <row r="398">
      <c r="X398" s="5">
        <f>IF(D398="","",W398*IF(AND(ISNUMBER(AB398),AB398&gt;0,AB398&lt;1),AB398*100,AB398)/100)</f>
        <v/>
      </c>
      <c r="Y398" s="5">
        <f>IF(D398="","",AA398*Z398/100)</f>
        <v/>
      </c>
      <c r="Z398" s="5">
        <f>IF(D398="","",W398-X398)</f>
        <v/>
      </c>
      <c r="AC398" s="5">
        <f>IF(D398="","",Z398-Y398)</f>
        <v/>
      </c>
      <c r="AD398">
        <f>IF(D398="","",N(AD397)+IF(MATCH(D398,$D$2:$D$2501,0)=ROW()-1,1,0))</f>
        <v/>
      </c>
    </row>
    <row r="399">
      <c r="X399" s="5">
        <f>IF(D399="","",W399*IF(AND(ISNUMBER(AB399),AB399&gt;0,AB399&lt;1),AB399*100,AB399)/100)</f>
        <v/>
      </c>
      <c r="Y399" s="5">
        <f>IF(D399="","",AA399*Z399/100)</f>
        <v/>
      </c>
      <c r="Z399" s="5">
        <f>IF(D399="","",W399-X399)</f>
        <v/>
      </c>
      <c r="AC399" s="5">
        <f>IF(D399="","",Z399-Y399)</f>
        <v/>
      </c>
      <c r="AD399">
        <f>IF(D399="","",N(AD398)+IF(MATCH(D399,$D$2:$D$2501,0)=ROW()-1,1,0))</f>
        <v/>
      </c>
    </row>
    <row r="400">
      <c r="X400" s="5">
        <f>IF(D400="","",W400*IF(AND(ISNUMBER(AB400),AB400&gt;0,AB400&lt;1),AB400*100,AB400)/100)</f>
        <v/>
      </c>
      <c r="Y400" s="5">
        <f>IF(D400="","",AA400*Z400/100)</f>
        <v/>
      </c>
      <c r="Z400" s="5">
        <f>IF(D400="","",W400-X400)</f>
        <v/>
      </c>
      <c r="AC400" s="5">
        <f>IF(D400="","",Z400-Y400)</f>
        <v/>
      </c>
      <c r="AD400">
        <f>IF(D400="","",N(AD399)+IF(MATCH(D400,$D$2:$D$2501,0)=ROW()-1,1,0))</f>
        <v/>
      </c>
    </row>
    <row r="401">
      <c r="X401" s="5">
        <f>IF(D401="","",W401*IF(AND(ISNUMBER(AB401),AB401&gt;0,AB401&lt;1),AB401*100,AB401)/100)</f>
        <v/>
      </c>
      <c r="Y401" s="5">
        <f>IF(D401="","",AA401*Z401/100)</f>
        <v/>
      </c>
      <c r="Z401" s="5">
        <f>IF(D401="","",W401-X401)</f>
        <v/>
      </c>
      <c r="AC401" s="5">
        <f>IF(D401="","",Z401-Y401)</f>
        <v/>
      </c>
      <c r="AD401">
        <f>IF(D401="","",N(AD400)+IF(MATCH(D401,$D$2:$D$2501,0)=ROW()-1,1,0))</f>
        <v/>
      </c>
    </row>
    <row r="402">
      <c r="X402" s="5">
        <f>IF(D402="","",W402*IF(AND(ISNUMBER(AB402),AB402&gt;0,AB402&lt;1),AB402*100,AB402)/100)</f>
        <v/>
      </c>
      <c r="Y402" s="5">
        <f>IF(D402="","",AA402*Z402/100)</f>
        <v/>
      </c>
      <c r="Z402" s="5">
        <f>IF(D402="","",W402-X402)</f>
        <v/>
      </c>
      <c r="AC402" s="5">
        <f>IF(D402="","",Z402-Y402)</f>
        <v/>
      </c>
      <c r="AD402">
        <f>IF(D402="","",N(AD401)+IF(MATCH(D402,$D$2:$D$2501,0)=ROW()-1,1,0))</f>
        <v/>
      </c>
    </row>
    <row r="403">
      <c r="X403" s="5">
        <f>IF(D403="","",W403*IF(AND(ISNUMBER(AB403),AB403&gt;0,AB403&lt;1),AB403*100,AB403)/100)</f>
        <v/>
      </c>
      <c r="Y403" s="5">
        <f>IF(D403="","",AA403*Z403/100)</f>
        <v/>
      </c>
      <c r="Z403" s="5">
        <f>IF(D403="","",W403-X403)</f>
        <v/>
      </c>
      <c r="AC403" s="5">
        <f>IF(D403="","",Z403-Y403)</f>
        <v/>
      </c>
      <c r="AD403">
        <f>IF(D403="","",N(AD402)+IF(MATCH(D403,$D$2:$D$2501,0)=ROW()-1,1,0))</f>
        <v/>
      </c>
    </row>
    <row r="404">
      <c r="X404" s="5">
        <f>IF(D404="","",W404*IF(AND(ISNUMBER(AB404),AB404&gt;0,AB404&lt;1),AB404*100,AB404)/100)</f>
        <v/>
      </c>
      <c r="Y404" s="5">
        <f>IF(D404="","",AA404*Z404/100)</f>
        <v/>
      </c>
      <c r="Z404" s="5">
        <f>IF(D404="","",W404-X404)</f>
        <v/>
      </c>
      <c r="AC404" s="5">
        <f>IF(D404="","",Z404-Y404)</f>
        <v/>
      </c>
      <c r="AD404">
        <f>IF(D404="","",N(AD403)+IF(MATCH(D404,$D$2:$D$2501,0)=ROW()-1,1,0))</f>
        <v/>
      </c>
    </row>
    <row r="405">
      <c r="X405" s="5">
        <f>IF(D405="","",W405*IF(AND(ISNUMBER(AB405),AB405&gt;0,AB405&lt;1),AB405*100,AB405)/100)</f>
        <v/>
      </c>
      <c r="Y405" s="5">
        <f>IF(D405="","",AA405*Z405/100)</f>
        <v/>
      </c>
      <c r="Z405" s="5">
        <f>IF(D405="","",W405-X405)</f>
        <v/>
      </c>
      <c r="AC405" s="5">
        <f>IF(D405="","",Z405-Y405)</f>
        <v/>
      </c>
      <c r="AD405">
        <f>IF(D405="","",N(AD404)+IF(MATCH(D405,$D$2:$D$2501,0)=ROW()-1,1,0))</f>
        <v/>
      </c>
    </row>
    <row r="406">
      <c r="X406" s="5">
        <f>IF(D406="","",W406*IF(AND(ISNUMBER(AB406),AB406&gt;0,AB406&lt;1),AB406*100,AB406)/100)</f>
        <v/>
      </c>
      <c r="Y406" s="5">
        <f>IF(D406="","",AA406*Z406/100)</f>
        <v/>
      </c>
      <c r="Z406" s="5">
        <f>IF(D406="","",W406-X406)</f>
        <v/>
      </c>
      <c r="AC406" s="5">
        <f>IF(D406="","",Z406-Y406)</f>
        <v/>
      </c>
      <c r="AD406">
        <f>IF(D406="","",N(AD405)+IF(MATCH(D406,$D$2:$D$2501,0)=ROW()-1,1,0))</f>
        <v/>
      </c>
    </row>
    <row r="407">
      <c r="X407" s="5">
        <f>IF(D407="","",W407*IF(AND(ISNUMBER(AB407),AB407&gt;0,AB407&lt;1),AB407*100,AB407)/100)</f>
        <v/>
      </c>
      <c r="Y407" s="5">
        <f>IF(D407="","",AA407*Z407/100)</f>
        <v/>
      </c>
      <c r="Z407" s="5">
        <f>IF(D407="","",W407-X407)</f>
        <v/>
      </c>
      <c r="AC407" s="5">
        <f>IF(D407="","",Z407-Y407)</f>
        <v/>
      </c>
      <c r="AD407">
        <f>IF(D407="","",N(AD406)+IF(MATCH(D407,$D$2:$D$2501,0)=ROW()-1,1,0))</f>
        <v/>
      </c>
    </row>
    <row r="408">
      <c r="X408" s="5">
        <f>IF(D408="","",W408*IF(AND(ISNUMBER(AB408),AB408&gt;0,AB408&lt;1),AB408*100,AB408)/100)</f>
        <v/>
      </c>
      <c r="Y408" s="5">
        <f>IF(D408="","",AA408*Z408/100)</f>
        <v/>
      </c>
      <c r="Z408" s="5">
        <f>IF(D408="","",W408-X408)</f>
        <v/>
      </c>
      <c r="AC408" s="5">
        <f>IF(D408="","",Z408-Y408)</f>
        <v/>
      </c>
      <c r="AD408">
        <f>IF(D408="","",N(AD407)+IF(MATCH(D408,$D$2:$D$2501,0)=ROW()-1,1,0))</f>
        <v/>
      </c>
    </row>
    <row r="409">
      <c r="X409" s="5">
        <f>IF(D409="","",W409*IF(AND(ISNUMBER(AB409),AB409&gt;0,AB409&lt;1),AB409*100,AB409)/100)</f>
        <v/>
      </c>
      <c r="Y409" s="5">
        <f>IF(D409="","",AA409*Z409/100)</f>
        <v/>
      </c>
      <c r="Z409" s="5">
        <f>IF(D409="","",W409-X409)</f>
        <v/>
      </c>
      <c r="AC409" s="5">
        <f>IF(D409="","",Z409-Y409)</f>
        <v/>
      </c>
      <c r="AD409">
        <f>IF(D409="","",N(AD408)+IF(MATCH(D409,$D$2:$D$2501,0)=ROW()-1,1,0))</f>
        <v/>
      </c>
    </row>
    <row r="410">
      <c r="X410" s="5">
        <f>IF(D410="","",W410*IF(AND(ISNUMBER(AB410),AB410&gt;0,AB410&lt;1),AB410*100,AB410)/100)</f>
        <v/>
      </c>
      <c r="Y410" s="5">
        <f>IF(D410="","",AA410*Z410/100)</f>
        <v/>
      </c>
      <c r="Z410" s="5">
        <f>IF(D410="","",W410-X410)</f>
        <v/>
      </c>
      <c r="AC410" s="5">
        <f>IF(D410="","",Z410-Y410)</f>
        <v/>
      </c>
      <c r="AD410">
        <f>IF(D410="","",N(AD409)+IF(MATCH(D410,$D$2:$D$2501,0)=ROW()-1,1,0))</f>
        <v/>
      </c>
    </row>
    <row r="411">
      <c r="X411" s="5">
        <f>IF(D411="","",W411*IF(AND(ISNUMBER(AB411),AB411&gt;0,AB411&lt;1),AB411*100,AB411)/100)</f>
        <v/>
      </c>
      <c r="Y411" s="5">
        <f>IF(D411="","",AA411*Z411/100)</f>
        <v/>
      </c>
      <c r="Z411" s="5">
        <f>IF(D411="","",W411-X411)</f>
        <v/>
      </c>
      <c r="AC411" s="5">
        <f>IF(D411="","",Z411-Y411)</f>
        <v/>
      </c>
      <c r="AD411">
        <f>IF(D411="","",N(AD410)+IF(MATCH(D411,$D$2:$D$2501,0)=ROW()-1,1,0))</f>
        <v/>
      </c>
    </row>
    <row r="412">
      <c r="X412" s="5">
        <f>IF(D412="","",W412*IF(AND(ISNUMBER(AB412),AB412&gt;0,AB412&lt;1),AB412*100,AB412)/100)</f>
        <v/>
      </c>
      <c r="Y412" s="5">
        <f>IF(D412="","",AA412*Z412/100)</f>
        <v/>
      </c>
      <c r="Z412" s="5">
        <f>IF(D412="","",W412-X412)</f>
        <v/>
      </c>
      <c r="AC412" s="5">
        <f>IF(D412="","",Z412-Y412)</f>
        <v/>
      </c>
      <c r="AD412">
        <f>IF(D412="","",N(AD411)+IF(MATCH(D412,$D$2:$D$2501,0)=ROW()-1,1,0))</f>
        <v/>
      </c>
    </row>
    <row r="413">
      <c r="X413" s="5">
        <f>IF(D413="","",W413*IF(AND(ISNUMBER(AB413),AB413&gt;0,AB413&lt;1),AB413*100,AB413)/100)</f>
        <v/>
      </c>
      <c r="Y413" s="5">
        <f>IF(D413="","",AA413*Z413/100)</f>
        <v/>
      </c>
      <c r="Z413" s="5">
        <f>IF(D413="","",W413-X413)</f>
        <v/>
      </c>
      <c r="AC413" s="5">
        <f>IF(D413="","",Z413-Y413)</f>
        <v/>
      </c>
      <c r="AD413">
        <f>IF(D413="","",N(AD412)+IF(MATCH(D413,$D$2:$D$2501,0)=ROW()-1,1,0))</f>
        <v/>
      </c>
    </row>
    <row r="414">
      <c r="X414" s="5">
        <f>IF(D414="","",W414*IF(AND(ISNUMBER(AB414),AB414&gt;0,AB414&lt;1),AB414*100,AB414)/100)</f>
        <v/>
      </c>
      <c r="Y414" s="5">
        <f>IF(D414="","",AA414*Z414/100)</f>
        <v/>
      </c>
      <c r="Z414" s="5">
        <f>IF(D414="","",W414-X414)</f>
        <v/>
      </c>
      <c r="AC414" s="5">
        <f>IF(D414="","",Z414-Y414)</f>
        <v/>
      </c>
      <c r="AD414">
        <f>IF(D414="","",N(AD413)+IF(MATCH(D414,$D$2:$D$2501,0)=ROW()-1,1,0))</f>
        <v/>
      </c>
    </row>
    <row r="415">
      <c r="X415" s="5">
        <f>IF(D415="","",W415*IF(AND(ISNUMBER(AB415),AB415&gt;0,AB415&lt;1),AB415*100,AB415)/100)</f>
        <v/>
      </c>
      <c r="Y415" s="5">
        <f>IF(D415="","",AA415*Z415/100)</f>
        <v/>
      </c>
      <c r="Z415" s="5">
        <f>IF(D415="","",W415-X415)</f>
        <v/>
      </c>
      <c r="AC415" s="5">
        <f>IF(D415="","",Z415-Y415)</f>
        <v/>
      </c>
      <c r="AD415">
        <f>IF(D415="","",N(AD414)+IF(MATCH(D415,$D$2:$D$2501,0)=ROW()-1,1,0))</f>
        <v/>
      </c>
    </row>
    <row r="416">
      <c r="X416" s="5">
        <f>IF(D416="","",W416*IF(AND(ISNUMBER(AB416),AB416&gt;0,AB416&lt;1),AB416*100,AB416)/100)</f>
        <v/>
      </c>
      <c r="Y416" s="5">
        <f>IF(D416="","",AA416*Z416/100)</f>
        <v/>
      </c>
      <c r="Z416" s="5">
        <f>IF(D416="","",W416-X416)</f>
        <v/>
      </c>
      <c r="AC416" s="5">
        <f>IF(D416="","",Z416-Y416)</f>
        <v/>
      </c>
      <c r="AD416">
        <f>IF(D416="","",N(AD415)+IF(MATCH(D416,$D$2:$D$2501,0)=ROW()-1,1,0))</f>
        <v/>
      </c>
    </row>
    <row r="417">
      <c r="X417" s="5">
        <f>IF(D417="","",W417*IF(AND(ISNUMBER(AB417),AB417&gt;0,AB417&lt;1),AB417*100,AB417)/100)</f>
        <v/>
      </c>
      <c r="Y417" s="5">
        <f>IF(D417="","",AA417*Z417/100)</f>
        <v/>
      </c>
      <c r="Z417" s="5">
        <f>IF(D417="","",W417-X417)</f>
        <v/>
      </c>
      <c r="AC417" s="5">
        <f>IF(D417="","",Z417-Y417)</f>
        <v/>
      </c>
      <c r="AD417">
        <f>IF(D417="","",N(AD416)+IF(MATCH(D417,$D$2:$D$2501,0)=ROW()-1,1,0))</f>
        <v/>
      </c>
    </row>
    <row r="418">
      <c r="X418" s="5">
        <f>IF(D418="","",W418*IF(AND(ISNUMBER(AB418),AB418&gt;0,AB418&lt;1),AB418*100,AB418)/100)</f>
        <v/>
      </c>
      <c r="Y418" s="5">
        <f>IF(D418="","",AA418*Z418/100)</f>
        <v/>
      </c>
      <c r="Z418" s="5">
        <f>IF(D418="","",W418-X418)</f>
        <v/>
      </c>
      <c r="AC418" s="5">
        <f>IF(D418="","",Z418-Y418)</f>
        <v/>
      </c>
      <c r="AD418">
        <f>IF(D418="","",N(AD417)+IF(MATCH(D418,$D$2:$D$2501,0)=ROW()-1,1,0))</f>
        <v/>
      </c>
    </row>
    <row r="419">
      <c r="X419" s="5">
        <f>IF(D419="","",W419*IF(AND(ISNUMBER(AB419),AB419&gt;0,AB419&lt;1),AB419*100,AB419)/100)</f>
        <v/>
      </c>
      <c r="Y419" s="5">
        <f>IF(D419="","",AA419*Z419/100)</f>
        <v/>
      </c>
      <c r="Z419" s="5">
        <f>IF(D419="","",W419-X419)</f>
        <v/>
      </c>
      <c r="AC419" s="5">
        <f>IF(D419="","",Z419-Y419)</f>
        <v/>
      </c>
      <c r="AD419">
        <f>IF(D419="","",N(AD418)+IF(MATCH(D419,$D$2:$D$2501,0)=ROW()-1,1,0))</f>
        <v/>
      </c>
    </row>
    <row r="420">
      <c r="X420" s="5">
        <f>IF(D420="","",W420*IF(AND(ISNUMBER(AB420),AB420&gt;0,AB420&lt;1),AB420*100,AB420)/100)</f>
        <v/>
      </c>
      <c r="Y420" s="5">
        <f>IF(D420="","",AA420*Z420/100)</f>
        <v/>
      </c>
      <c r="Z420" s="5">
        <f>IF(D420="","",W420-X420)</f>
        <v/>
      </c>
      <c r="AC420" s="5">
        <f>IF(D420="","",Z420-Y420)</f>
        <v/>
      </c>
      <c r="AD420">
        <f>IF(D420="","",N(AD419)+IF(MATCH(D420,$D$2:$D$2501,0)=ROW()-1,1,0))</f>
        <v/>
      </c>
    </row>
    <row r="421">
      <c r="X421" s="5">
        <f>IF(D421="","",W421*IF(AND(ISNUMBER(AB421),AB421&gt;0,AB421&lt;1),AB421*100,AB421)/100)</f>
        <v/>
      </c>
      <c r="Y421" s="5">
        <f>IF(D421="","",AA421*Z421/100)</f>
        <v/>
      </c>
      <c r="Z421" s="5">
        <f>IF(D421="","",W421-X421)</f>
        <v/>
      </c>
      <c r="AC421" s="5">
        <f>IF(D421="","",Z421-Y421)</f>
        <v/>
      </c>
      <c r="AD421">
        <f>IF(D421="","",N(AD420)+IF(MATCH(D421,$D$2:$D$2501,0)=ROW()-1,1,0))</f>
        <v/>
      </c>
    </row>
    <row r="422">
      <c r="X422" s="5">
        <f>IF(D422="","",W422*IF(AND(ISNUMBER(AB422),AB422&gt;0,AB422&lt;1),AB422*100,AB422)/100)</f>
        <v/>
      </c>
      <c r="Y422" s="5">
        <f>IF(D422="","",AA422*Z422/100)</f>
        <v/>
      </c>
      <c r="Z422" s="5">
        <f>IF(D422="","",W422-X422)</f>
        <v/>
      </c>
      <c r="AC422" s="5">
        <f>IF(D422="","",Z422-Y422)</f>
        <v/>
      </c>
      <c r="AD422">
        <f>IF(D422="","",N(AD421)+IF(MATCH(D422,$D$2:$D$2501,0)=ROW()-1,1,0))</f>
        <v/>
      </c>
    </row>
    <row r="423">
      <c r="X423" s="5">
        <f>IF(D423="","",W423*IF(AND(ISNUMBER(AB423),AB423&gt;0,AB423&lt;1),AB423*100,AB423)/100)</f>
        <v/>
      </c>
      <c r="Y423" s="5">
        <f>IF(D423="","",AA423*Z423/100)</f>
        <v/>
      </c>
      <c r="Z423" s="5">
        <f>IF(D423="","",W423-X423)</f>
        <v/>
      </c>
      <c r="AC423" s="5">
        <f>IF(D423="","",Z423-Y423)</f>
        <v/>
      </c>
      <c r="AD423">
        <f>IF(D423="","",N(AD422)+IF(MATCH(D423,$D$2:$D$2501,0)=ROW()-1,1,0))</f>
        <v/>
      </c>
    </row>
    <row r="424">
      <c r="X424" s="5">
        <f>IF(D424="","",W424*IF(AND(ISNUMBER(AB424),AB424&gt;0,AB424&lt;1),AB424*100,AB424)/100)</f>
        <v/>
      </c>
      <c r="Y424" s="5">
        <f>IF(D424="","",AA424*Z424/100)</f>
        <v/>
      </c>
      <c r="Z424" s="5">
        <f>IF(D424="","",W424-X424)</f>
        <v/>
      </c>
      <c r="AC424" s="5">
        <f>IF(D424="","",Z424-Y424)</f>
        <v/>
      </c>
      <c r="AD424">
        <f>IF(D424="","",N(AD423)+IF(MATCH(D424,$D$2:$D$2501,0)=ROW()-1,1,0))</f>
        <v/>
      </c>
    </row>
    <row r="425">
      <c r="X425" s="5">
        <f>IF(D425="","",W425*IF(AND(ISNUMBER(AB425),AB425&gt;0,AB425&lt;1),AB425*100,AB425)/100)</f>
        <v/>
      </c>
      <c r="Y425" s="5">
        <f>IF(D425="","",AA425*Z425/100)</f>
        <v/>
      </c>
      <c r="Z425" s="5">
        <f>IF(D425="","",W425-X425)</f>
        <v/>
      </c>
      <c r="AC425" s="5">
        <f>IF(D425="","",Z425-Y425)</f>
        <v/>
      </c>
      <c r="AD425">
        <f>IF(D425="","",N(AD424)+IF(MATCH(D425,$D$2:$D$2501,0)=ROW()-1,1,0))</f>
        <v/>
      </c>
    </row>
    <row r="426">
      <c r="X426" s="5">
        <f>IF(D426="","",W426*IF(AND(ISNUMBER(AB426),AB426&gt;0,AB426&lt;1),AB426*100,AB426)/100)</f>
        <v/>
      </c>
      <c r="Y426" s="5">
        <f>IF(D426="","",AA426*Z426/100)</f>
        <v/>
      </c>
      <c r="Z426" s="5">
        <f>IF(D426="","",W426-X426)</f>
        <v/>
      </c>
      <c r="AC426" s="5">
        <f>IF(D426="","",Z426-Y426)</f>
        <v/>
      </c>
      <c r="AD426">
        <f>IF(D426="","",N(AD425)+IF(MATCH(D426,$D$2:$D$2501,0)=ROW()-1,1,0))</f>
        <v/>
      </c>
    </row>
    <row r="427">
      <c r="X427" s="5">
        <f>IF(D427="","",W427*IF(AND(ISNUMBER(AB427),AB427&gt;0,AB427&lt;1),AB427*100,AB427)/100)</f>
        <v/>
      </c>
      <c r="Y427" s="5">
        <f>IF(D427="","",AA427*Z427/100)</f>
        <v/>
      </c>
      <c r="Z427" s="5">
        <f>IF(D427="","",W427-X427)</f>
        <v/>
      </c>
      <c r="AC427" s="5">
        <f>IF(D427="","",Z427-Y427)</f>
        <v/>
      </c>
      <c r="AD427">
        <f>IF(D427="","",N(AD426)+IF(MATCH(D427,$D$2:$D$2501,0)=ROW()-1,1,0))</f>
        <v/>
      </c>
    </row>
    <row r="428">
      <c r="X428" s="5">
        <f>IF(D428="","",W428*IF(AND(ISNUMBER(AB428),AB428&gt;0,AB428&lt;1),AB428*100,AB428)/100)</f>
        <v/>
      </c>
      <c r="Y428" s="5">
        <f>IF(D428="","",AA428*Z428/100)</f>
        <v/>
      </c>
      <c r="Z428" s="5">
        <f>IF(D428="","",W428-X428)</f>
        <v/>
      </c>
      <c r="AC428" s="5">
        <f>IF(D428="","",Z428-Y428)</f>
        <v/>
      </c>
      <c r="AD428">
        <f>IF(D428="","",N(AD427)+IF(MATCH(D428,$D$2:$D$2501,0)=ROW()-1,1,0))</f>
        <v/>
      </c>
    </row>
    <row r="429">
      <c r="X429" s="5">
        <f>IF(D429="","",W429*IF(AND(ISNUMBER(AB429),AB429&gt;0,AB429&lt;1),AB429*100,AB429)/100)</f>
        <v/>
      </c>
      <c r="Y429" s="5">
        <f>IF(D429="","",AA429*Z429/100)</f>
        <v/>
      </c>
      <c r="Z429" s="5">
        <f>IF(D429="","",W429-X429)</f>
        <v/>
      </c>
      <c r="AC429" s="5">
        <f>IF(D429="","",Z429-Y429)</f>
        <v/>
      </c>
      <c r="AD429">
        <f>IF(D429="","",N(AD428)+IF(MATCH(D429,$D$2:$D$2501,0)=ROW()-1,1,0))</f>
        <v/>
      </c>
    </row>
    <row r="430">
      <c r="X430" s="5">
        <f>IF(D430="","",W430*IF(AND(ISNUMBER(AB430),AB430&gt;0,AB430&lt;1),AB430*100,AB430)/100)</f>
        <v/>
      </c>
      <c r="Y430" s="5">
        <f>IF(D430="","",AA430*Z430/100)</f>
        <v/>
      </c>
      <c r="Z430" s="5">
        <f>IF(D430="","",W430-X430)</f>
        <v/>
      </c>
      <c r="AC430" s="5">
        <f>IF(D430="","",Z430-Y430)</f>
        <v/>
      </c>
      <c r="AD430">
        <f>IF(D430="","",N(AD429)+IF(MATCH(D430,$D$2:$D$2501,0)=ROW()-1,1,0))</f>
        <v/>
      </c>
    </row>
    <row r="431">
      <c r="X431" s="5">
        <f>IF(D431="","",W431*IF(AND(ISNUMBER(AB431),AB431&gt;0,AB431&lt;1),AB431*100,AB431)/100)</f>
        <v/>
      </c>
      <c r="Y431" s="5">
        <f>IF(D431="","",AA431*Z431/100)</f>
        <v/>
      </c>
      <c r="Z431" s="5">
        <f>IF(D431="","",W431-X431)</f>
        <v/>
      </c>
      <c r="AC431" s="5">
        <f>IF(D431="","",Z431-Y431)</f>
        <v/>
      </c>
      <c r="AD431">
        <f>IF(D431="","",N(AD430)+IF(MATCH(D431,$D$2:$D$2501,0)=ROW()-1,1,0))</f>
        <v/>
      </c>
    </row>
    <row r="432">
      <c r="X432" s="5">
        <f>IF(D432="","",W432*IF(AND(ISNUMBER(AB432),AB432&gt;0,AB432&lt;1),AB432*100,AB432)/100)</f>
        <v/>
      </c>
      <c r="Y432" s="5">
        <f>IF(D432="","",AA432*Z432/100)</f>
        <v/>
      </c>
      <c r="Z432" s="5">
        <f>IF(D432="","",W432-X432)</f>
        <v/>
      </c>
      <c r="AC432" s="5">
        <f>IF(D432="","",Z432-Y432)</f>
        <v/>
      </c>
      <c r="AD432">
        <f>IF(D432="","",N(AD431)+IF(MATCH(D432,$D$2:$D$2501,0)=ROW()-1,1,0))</f>
        <v/>
      </c>
    </row>
    <row r="433">
      <c r="X433" s="5">
        <f>IF(D433="","",W433*IF(AND(ISNUMBER(AB433),AB433&gt;0,AB433&lt;1),AB433*100,AB433)/100)</f>
        <v/>
      </c>
      <c r="Y433" s="5">
        <f>IF(D433="","",AA433*Z433/100)</f>
        <v/>
      </c>
      <c r="Z433" s="5">
        <f>IF(D433="","",W433-X433)</f>
        <v/>
      </c>
      <c r="AC433" s="5">
        <f>IF(D433="","",Z433-Y433)</f>
        <v/>
      </c>
      <c r="AD433">
        <f>IF(D433="","",N(AD432)+IF(MATCH(D433,$D$2:$D$2501,0)=ROW()-1,1,0))</f>
        <v/>
      </c>
    </row>
    <row r="434">
      <c r="X434" s="5">
        <f>IF(D434="","",W434*IF(AND(ISNUMBER(AB434),AB434&gt;0,AB434&lt;1),AB434*100,AB434)/100)</f>
        <v/>
      </c>
      <c r="Y434" s="5">
        <f>IF(D434="","",AA434*Z434/100)</f>
        <v/>
      </c>
      <c r="Z434" s="5">
        <f>IF(D434="","",W434-X434)</f>
        <v/>
      </c>
      <c r="AC434" s="5">
        <f>IF(D434="","",Z434-Y434)</f>
        <v/>
      </c>
      <c r="AD434">
        <f>IF(D434="","",N(AD433)+IF(MATCH(D434,$D$2:$D$2501,0)=ROW()-1,1,0))</f>
        <v/>
      </c>
    </row>
    <row r="435">
      <c r="X435" s="5">
        <f>IF(D435="","",W435*IF(AND(ISNUMBER(AB435),AB435&gt;0,AB435&lt;1),AB435*100,AB435)/100)</f>
        <v/>
      </c>
      <c r="Y435" s="5">
        <f>IF(D435="","",AA435*Z435/100)</f>
        <v/>
      </c>
      <c r="Z435" s="5">
        <f>IF(D435="","",W435-X435)</f>
        <v/>
      </c>
      <c r="AC435" s="5">
        <f>IF(D435="","",Z435-Y435)</f>
        <v/>
      </c>
      <c r="AD435">
        <f>IF(D435="","",N(AD434)+IF(MATCH(D435,$D$2:$D$2501,0)=ROW()-1,1,0))</f>
        <v/>
      </c>
    </row>
    <row r="436">
      <c r="X436" s="5">
        <f>IF(D436="","",W436*IF(AND(ISNUMBER(AB436),AB436&gt;0,AB436&lt;1),AB436*100,AB436)/100)</f>
        <v/>
      </c>
      <c r="Y436" s="5">
        <f>IF(D436="","",AA436*Z436/100)</f>
        <v/>
      </c>
      <c r="Z436" s="5">
        <f>IF(D436="","",W436-X436)</f>
        <v/>
      </c>
      <c r="AC436" s="5">
        <f>IF(D436="","",Z436-Y436)</f>
        <v/>
      </c>
      <c r="AD436">
        <f>IF(D436="","",N(AD435)+IF(MATCH(D436,$D$2:$D$2501,0)=ROW()-1,1,0))</f>
        <v/>
      </c>
    </row>
    <row r="437">
      <c r="X437" s="5">
        <f>IF(D437="","",W437*IF(AND(ISNUMBER(AB437),AB437&gt;0,AB437&lt;1),AB437*100,AB437)/100)</f>
        <v/>
      </c>
      <c r="Y437" s="5">
        <f>IF(D437="","",AA437*Z437/100)</f>
        <v/>
      </c>
      <c r="Z437" s="5">
        <f>IF(D437="","",W437-X437)</f>
        <v/>
      </c>
      <c r="AC437" s="5">
        <f>IF(D437="","",Z437-Y437)</f>
        <v/>
      </c>
      <c r="AD437">
        <f>IF(D437="","",N(AD436)+IF(MATCH(D437,$D$2:$D$2501,0)=ROW()-1,1,0))</f>
        <v/>
      </c>
    </row>
    <row r="438">
      <c r="X438" s="5">
        <f>IF(D438="","",W438*IF(AND(ISNUMBER(AB438),AB438&gt;0,AB438&lt;1),AB438*100,AB438)/100)</f>
        <v/>
      </c>
      <c r="Y438" s="5">
        <f>IF(D438="","",AA438*Z438/100)</f>
        <v/>
      </c>
      <c r="Z438" s="5">
        <f>IF(D438="","",W438-X438)</f>
        <v/>
      </c>
      <c r="AC438" s="5">
        <f>IF(D438="","",Z438-Y438)</f>
        <v/>
      </c>
      <c r="AD438">
        <f>IF(D438="","",N(AD437)+IF(MATCH(D438,$D$2:$D$2501,0)=ROW()-1,1,0))</f>
        <v/>
      </c>
    </row>
    <row r="439">
      <c r="X439" s="5">
        <f>IF(D439="","",W439*IF(AND(ISNUMBER(AB439),AB439&gt;0,AB439&lt;1),AB439*100,AB439)/100)</f>
        <v/>
      </c>
      <c r="Y439" s="5">
        <f>IF(D439="","",AA439*Z439/100)</f>
        <v/>
      </c>
      <c r="Z439" s="5">
        <f>IF(D439="","",W439-X439)</f>
        <v/>
      </c>
      <c r="AC439" s="5">
        <f>IF(D439="","",Z439-Y439)</f>
        <v/>
      </c>
      <c r="AD439">
        <f>IF(D439="","",N(AD438)+IF(MATCH(D439,$D$2:$D$2501,0)=ROW()-1,1,0))</f>
        <v/>
      </c>
    </row>
    <row r="440">
      <c r="X440" s="5">
        <f>IF(D440="","",W440*IF(AND(ISNUMBER(AB440),AB440&gt;0,AB440&lt;1),AB440*100,AB440)/100)</f>
        <v/>
      </c>
      <c r="Y440" s="5">
        <f>IF(D440="","",AA440*Z440/100)</f>
        <v/>
      </c>
      <c r="Z440" s="5">
        <f>IF(D440="","",W440-X440)</f>
        <v/>
      </c>
      <c r="AC440" s="5">
        <f>IF(D440="","",Z440-Y440)</f>
        <v/>
      </c>
      <c r="AD440">
        <f>IF(D440="","",N(AD439)+IF(MATCH(D440,$D$2:$D$2501,0)=ROW()-1,1,0))</f>
        <v/>
      </c>
    </row>
    <row r="441">
      <c r="X441" s="5">
        <f>IF(D441="","",W441*IF(AND(ISNUMBER(AB441),AB441&gt;0,AB441&lt;1),AB441*100,AB441)/100)</f>
        <v/>
      </c>
      <c r="Y441" s="5">
        <f>IF(D441="","",AA441*Z441/100)</f>
        <v/>
      </c>
      <c r="Z441" s="5">
        <f>IF(D441="","",W441-X441)</f>
        <v/>
      </c>
      <c r="AC441" s="5">
        <f>IF(D441="","",Z441-Y441)</f>
        <v/>
      </c>
      <c r="AD441">
        <f>IF(D441="","",N(AD440)+IF(MATCH(D441,$D$2:$D$2501,0)=ROW()-1,1,0))</f>
        <v/>
      </c>
    </row>
    <row r="442">
      <c r="X442" s="5">
        <f>IF(D442="","",W442*IF(AND(ISNUMBER(AB442),AB442&gt;0,AB442&lt;1),AB442*100,AB442)/100)</f>
        <v/>
      </c>
      <c r="Y442" s="5">
        <f>IF(D442="","",AA442*Z442/100)</f>
        <v/>
      </c>
      <c r="Z442" s="5">
        <f>IF(D442="","",W442-X442)</f>
        <v/>
      </c>
      <c r="AC442" s="5">
        <f>IF(D442="","",Z442-Y442)</f>
        <v/>
      </c>
      <c r="AD442">
        <f>IF(D442="","",N(AD441)+IF(MATCH(D442,$D$2:$D$2501,0)=ROW()-1,1,0))</f>
        <v/>
      </c>
    </row>
    <row r="443">
      <c r="X443" s="5">
        <f>IF(D443="","",W443*IF(AND(ISNUMBER(AB443),AB443&gt;0,AB443&lt;1),AB443*100,AB443)/100)</f>
        <v/>
      </c>
      <c r="Y443" s="5">
        <f>IF(D443="","",AA443*Z443/100)</f>
        <v/>
      </c>
      <c r="Z443" s="5">
        <f>IF(D443="","",W443-X443)</f>
        <v/>
      </c>
      <c r="AC443" s="5">
        <f>IF(D443="","",Z443-Y443)</f>
        <v/>
      </c>
      <c r="AD443">
        <f>IF(D443="","",N(AD442)+IF(MATCH(D443,$D$2:$D$2501,0)=ROW()-1,1,0))</f>
        <v/>
      </c>
    </row>
    <row r="444">
      <c r="X444" s="5">
        <f>IF(D444="","",W444*IF(AND(ISNUMBER(AB444),AB444&gt;0,AB444&lt;1),AB444*100,AB444)/100)</f>
        <v/>
      </c>
      <c r="Y444" s="5">
        <f>IF(D444="","",AA444*Z444/100)</f>
        <v/>
      </c>
      <c r="Z444" s="5">
        <f>IF(D444="","",W444-X444)</f>
        <v/>
      </c>
      <c r="AC444" s="5">
        <f>IF(D444="","",Z444-Y444)</f>
        <v/>
      </c>
      <c r="AD444">
        <f>IF(D444="","",N(AD443)+IF(MATCH(D444,$D$2:$D$2501,0)=ROW()-1,1,0))</f>
        <v/>
      </c>
    </row>
    <row r="445">
      <c r="X445" s="5">
        <f>IF(D445="","",W445*IF(AND(ISNUMBER(AB445),AB445&gt;0,AB445&lt;1),AB445*100,AB445)/100)</f>
        <v/>
      </c>
      <c r="Y445" s="5">
        <f>IF(D445="","",AA445*Z445/100)</f>
        <v/>
      </c>
      <c r="Z445" s="5">
        <f>IF(D445="","",W445-X445)</f>
        <v/>
      </c>
      <c r="AC445" s="5">
        <f>IF(D445="","",Z445-Y445)</f>
        <v/>
      </c>
      <c r="AD445">
        <f>IF(D445="","",N(AD444)+IF(MATCH(D445,$D$2:$D$2501,0)=ROW()-1,1,0))</f>
        <v/>
      </c>
    </row>
    <row r="446">
      <c r="X446" s="5">
        <f>IF(D446="","",W446*IF(AND(ISNUMBER(AB446),AB446&gt;0,AB446&lt;1),AB446*100,AB446)/100)</f>
        <v/>
      </c>
      <c r="Y446" s="5">
        <f>IF(D446="","",AA446*Z446/100)</f>
        <v/>
      </c>
      <c r="Z446" s="5">
        <f>IF(D446="","",W446-X446)</f>
        <v/>
      </c>
      <c r="AC446" s="5">
        <f>IF(D446="","",Z446-Y446)</f>
        <v/>
      </c>
      <c r="AD446">
        <f>IF(D446="","",N(AD445)+IF(MATCH(D446,$D$2:$D$2501,0)=ROW()-1,1,0))</f>
        <v/>
      </c>
    </row>
    <row r="447">
      <c r="X447" s="5">
        <f>IF(D447="","",W447*IF(AND(ISNUMBER(AB447),AB447&gt;0,AB447&lt;1),AB447*100,AB447)/100)</f>
        <v/>
      </c>
      <c r="Y447" s="5">
        <f>IF(D447="","",AA447*Z447/100)</f>
        <v/>
      </c>
      <c r="Z447" s="5">
        <f>IF(D447="","",W447-X447)</f>
        <v/>
      </c>
      <c r="AC447" s="5">
        <f>IF(D447="","",Z447-Y447)</f>
        <v/>
      </c>
      <c r="AD447">
        <f>IF(D447="","",N(AD446)+IF(MATCH(D447,$D$2:$D$2501,0)=ROW()-1,1,0))</f>
        <v/>
      </c>
    </row>
    <row r="448">
      <c r="X448" s="5">
        <f>IF(D448="","",W448*IF(AND(ISNUMBER(AB448),AB448&gt;0,AB448&lt;1),AB448*100,AB448)/100)</f>
        <v/>
      </c>
      <c r="Y448" s="5">
        <f>IF(D448="","",AA448*Z448/100)</f>
        <v/>
      </c>
      <c r="Z448" s="5">
        <f>IF(D448="","",W448-X448)</f>
        <v/>
      </c>
      <c r="AC448" s="5">
        <f>IF(D448="","",Z448-Y448)</f>
        <v/>
      </c>
      <c r="AD448">
        <f>IF(D448="","",N(AD447)+IF(MATCH(D448,$D$2:$D$2501,0)=ROW()-1,1,0))</f>
        <v/>
      </c>
    </row>
    <row r="449">
      <c r="X449" s="5">
        <f>IF(D449="","",W449*IF(AND(ISNUMBER(AB449),AB449&gt;0,AB449&lt;1),AB449*100,AB449)/100)</f>
        <v/>
      </c>
      <c r="Y449" s="5">
        <f>IF(D449="","",AA449*Z449/100)</f>
        <v/>
      </c>
      <c r="Z449" s="5">
        <f>IF(D449="","",W449-X449)</f>
        <v/>
      </c>
      <c r="AC449" s="5">
        <f>IF(D449="","",Z449-Y449)</f>
        <v/>
      </c>
      <c r="AD449">
        <f>IF(D449="","",N(AD448)+IF(MATCH(D449,$D$2:$D$2501,0)=ROW()-1,1,0))</f>
        <v/>
      </c>
    </row>
    <row r="450">
      <c r="X450" s="5">
        <f>IF(D450="","",W450*IF(AND(ISNUMBER(AB450),AB450&gt;0,AB450&lt;1),AB450*100,AB450)/100)</f>
        <v/>
      </c>
      <c r="Y450" s="5">
        <f>IF(D450="","",AA450*Z450/100)</f>
        <v/>
      </c>
      <c r="Z450" s="5">
        <f>IF(D450="","",W450-X450)</f>
        <v/>
      </c>
      <c r="AC450" s="5">
        <f>IF(D450="","",Z450-Y450)</f>
        <v/>
      </c>
      <c r="AD450">
        <f>IF(D450="","",N(AD449)+IF(MATCH(D450,$D$2:$D$2501,0)=ROW()-1,1,0))</f>
        <v/>
      </c>
    </row>
    <row r="451">
      <c r="X451" s="5">
        <f>IF(D451="","",W451*IF(AND(ISNUMBER(AB451),AB451&gt;0,AB451&lt;1),AB451*100,AB451)/100)</f>
        <v/>
      </c>
      <c r="Y451" s="5">
        <f>IF(D451="","",AA451*Z451/100)</f>
        <v/>
      </c>
      <c r="Z451" s="5">
        <f>IF(D451="","",W451-X451)</f>
        <v/>
      </c>
      <c r="AC451" s="5">
        <f>IF(D451="","",Z451-Y451)</f>
        <v/>
      </c>
      <c r="AD451">
        <f>IF(D451="","",N(AD450)+IF(MATCH(D451,$D$2:$D$2501,0)=ROW()-1,1,0))</f>
        <v/>
      </c>
    </row>
    <row r="452">
      <c r="X452" s="5">
        <f>IF(D452="","",W452*IF(AND(ISNUMBER(AB452),AB452&gt;0,AB452&lt;1),AB452*100,AB452)/100)</f>
        <v/>
      </c>
      <c r="Y452" s="5">
        <f>IF(D452="","",AA452*Z452/100)</f>
        <v/>
      </c>
      <c r="Z452" s="5">
        <f>IF(D452="","",W452-X452)</f>
        <v/>
      </c>
      <c r="AC452" s="5">
        <f>IF(D452="","",Z452-Y452)</f>
        <v/>
      </c>
      <c r="AD452">
        <f>IF(D452="","",N(AD451)+IF(MATCH(D452,$D$2:$D$2501,0)=ROW()-1,1,0))</f>
        <v/>
      </c>
    </row>
    <row r="453">
      <c r="X453" s="5">
        <f>IF(D453="","",W453*IF(AND(ISNUMBER(AB453),AB453&gt;0,AB453&lt;1),AB453*100,AB453)/100)</f>
        <v/>
      </c>
      <c r="Y453" s="5">
        <f>IF(D453="","",AA453*Z453/100)</f>
        <v/>
      </c>
      <c r="Z453" s="5">
        <f>IF(D453="","",W453-X453)</f>
        <v/>
      </c>
      <c r="AC453" s="5">
        <f>IF(D453="","",Z453-Y453)</f>
        <v/>
      </c>
      <c r="AD453">
        <f>IF(D453="","",N(AD452)+IF(MATCH(D453,$D$2:$D$2501,0)=ROW()-1,1,0))</f>
        <v/>
      </c>
    </row>
    <row r="454">
      <c r="X454" s="5">
        <f>IF(D454="","",W454*IF(AND(ISNUMBER(AB454),AB454&gt;0,AB454&lt;1),AB454*100,AB454)/100)</f>
        <v/>
      </c>
      <c r="Y454" s="5">
        <f>IF(D454="","",AA454*Z454/100)</f>
        <v/>
      </c>
      <c r="Z454" s="5">
        <f>IF(D454="","",W454-X454)</f>
        <v/>
      </c>
      <c r="AC454" s="5">
        <f>IF(D454="","",Z454-Y454)</f>
        <v/>
      </c>
      <c r="AD454">
        <f>IF(D454="","",N(AD453)+IF(MATCH(D454,$D$2:$D$2501,0)=ROW()-1,1,0))</f>
        <v/>
      </c>
    </row>
    <row r="455">
      <c r="X455" s="5">
        <f>IF(D455="","",W455*IF(AND(ISNUMBER(AB455),AB455&gt;0,AB455&lt;1),AB455*100,AB455)/100)</f>
        <v/>
      </c>
      <c r="Y455" s="5">
        <f>IF(D455="","",AA455*Z455/100)</f>
        <v/>
      </c>
      <c r="Z455" s="5">
        <f>IF(D455="","",W455-X455)</f>
        <v/>
      </c>
      <c r="AC455" s="5">
        <f>IF(D455="","",Z455-Y455)</f>
        <v/>
      </c>
      <c r="AD455">
        <f>IF(D455="","",N(AD454)+IF(MATCH(D455,$D$2:$D$2501,0)=ROW()-1,1,0))</f>
        <v/>
      </c>
    </row>
    <row r="456">
      <c r="X456" s="5">
        <f>IF(D456="","",W456*IF(AND(ISNUMBER(AB456),AB456&gt;0,AB456&lt;1),AB456*100,AB456)/100)</f>
        <v/>
      </c>
      <c r="Y456" s="5">
        <f>IF(D456="","",AA456*Z456/100)</f>
        <v/>
      </c>
      <c r="Z456" s="5">
        <f>IF(D456="","",W456-X456)</f>
        <v/>
      </c>
      <c r="AC456" s="5">
        <f>IF(D456="","",Z456-Y456)</f>
        <v/>
      </c>
      <c r="AD456">
        <f>IF(D456="","",N(AD455)+IF(MATCH(D456,$D$2:$D$2501,0)=ROW()-1,1,0))</f>
        <v/>
      </c>
    </row>
    <row r="457">
      <c r="X457" s="5">
        <f>IF(D457="","",W457*IF(AND(ISNUMBER(AB457),AB457&gt;0,AB457&lt;1),AB457*100,AB457)/100)</f>
        <v/>
      </c>
      <c r="Y457" s="5">
        <f>IF(D457="","",AA457*Z457/100)</f>
        <v/>
      </c>
      <c r="Z457" s="5">
        <f>IF(D457="","",W457-X457)</f>
        <v/>
      </c>
      <c r="AC457" s="5">
        <f>IF(D457="","",Z457-Y457)</f>
        <v/>
      </c>
      <c r="AD457">
        <f>IF(D457="","",N(AD456)+IF(MATCH(D457,$D$2:$D$2501,0)=ROW()-1,1,0))</f>
        <v/>
      </c>
    </row>
    <row r="458">
      <c r="X458" s="5">
        <f>IF(D458="","",W458*IF(AND(ISNUMBER(AB458),AB458&gt;0,AB458&lt;1),AB458*100,AB458)/100)</f>
        <v/>
      </c>
      <c r="Y458" s="5">
        <f>IF(D458="","",AA458*Z458/100)</f>
        <v/>
      </c>
      <c r="Z458" s="5">
        <f>IF(D458="","",W458-X458)</f>
        <v/>
      </c>
      <c r="AC458" s="5">
        <f>IF(D458="","",Z458-Y458)</f>
        <v/>
      </c>
      <c r="AD458">
        <f>IF(D458="","",N(AD457)+IF(MATCH(D458,$D$2:$D$2501,0)=ROW()-1,1,0))</f>
        <v/>
      </c>
    </row>
    <row r="459">
      <c r="X459" s="5">
        <f>IF(D459="","",W459*IF(AND(ISNUMBER(AB459),AB459&gt;0,AB459&lt;1),AB459*100,AB459)/100)</f>
        <v/>
      </c>
      <c r="Y459" s="5">
        <f>IF(D459="","",AA459*Z459/100)</f>
        <v/>
      </c>
      <c r="Z459" s="5">
        <f>IF(D459="","",W459-X459)</f>
        <v/>
      </c>
      <c r="AC459" s="5">
        <f>IF(D459="","",Z459-Y459)</f>
        <v/>
      </c>
      <c r="AD459">
        <f>IF(D459="","",N(AD458)+IF(MATCH(D459,$D$2:$D$2501,0)=ROW()-1,1,0))</f>
        <v/>
      </c>
    </row>
    <row r="460">
      <c r="X460" s="5">
        <f>IF(D460="","",W460*IF(AND(ISNUMBER(AB460),AB460&gt;0,AB460&lt;1),AB460*100,AB460)/100)</f>
        <v/>
      </c>
      <c r="Y460" s="5">
        <f>IF(D460="","",AA460*Z460/100)</f>
        <v/>
      </c>
      <c r="Z460" s="5">
        <f>IF(D460="","",W460-X460)</f>
        <v/>
      </c>
      <c r="AC460" s="5">
        <f>IF(D460="","",Z460-Y460)</f>
        <v/>
      </c>
      <c r="AD460">
        <f>IF(D460="","",N(AD459)+IF(MATCH(D460,$D$2:$D$2501,0)=ROW()-1,1,0))</f>
        <v/>
      </c>
    </row>
    <row r="461">
      <c r="X461" s="5">
        <f>IF(D461="","",W461*IF(AND(ISNUMBER(AB461),AB461&gt;0,AB461&lt;1),AB461*100,AB461)/100)</f>
        <v/>
      </c>
      <c r="Y461" s="5">
        <f>IF(D461="","",AA461*Z461/100)</f>
        <v/>
      </c>
      <c r="Z461" s="5">
        <f>IF(D461="","",W461-X461)</f>
        <v/>
      </c>
      <c r="AC461" s="5">
        <f>IF(D461="","",Z461-Y461)</f>
        <v/>
      </c>
      <c r="AD461">
        <f>IF(D461="","",N(AD460)+IF(MATCH(D461,$D$2:$D$2501,0)=ROW()-1,1,0))</f>
        <v/>
      </c>
    </row>
    <row r="462">
      <c r="X462" s="5">
        <f>IF(D462="","",W462*IF(AND(ISNUMBER(AB462),AB462&gt;0,AB462&lt;1),AB462*100,AB462)/100)</f>
        <v/>
      </c>
      <c r="Y462" s="5">
        <f>IF(D462="","",AA462*Z462/100)</f>
        <v/>
      </c>
      <c r="Z462" s="5">
        <f>IF(D462="","",W462-X462)</f>
        <v/>
      </c>
      <c r="AC462" s="5">
        <f>IF(D462="","",Z462-Y462)</f>
        <v/>
      </c>
      <c r="AD462">
        <f>IF(D462="","",N(AD461)+IF(MATCH(D462,$D$2:$D$2501,0)=ROW()-1,1,0))</f>
        <v/>
      </c>
    </row>
    <row r="463">
      <c r="X463" s="5">
        <f>IF(D463="","",W463*IF(AND(ISNUMBER(AB463),AB463&gt;0,AB463&lt;1),AB463*100,AB463)/100)</f>
        <v/>
      </c>
      <c r="Y463" s="5">
        <f>IF(D463="","",AA463*Z463/100)</f>
        <v/>
      </c>
      <c r="Z463" s="5">
        <f>IF(D463="","",W463-X463)</f>
        <v/>
      </c>
      <c r="AC463" s="5">
        <f>IF(D463="","",Z463-Y463)</f>
        <v/>
      </c>
      <c r="AD463">
        <f>IF(D463="","",N(AD462)+IF(MATCH(D463,$D$2:$D$2501,0)=ROW()-1,1,0))</f>
        <v/>
      </c>
    </row>
    <row r="464">
      <c r="X464" s="5">
        <f>IF(D464="","",W464*IF(AND(ISNUMBER(AB464),AB464&gt;0,AB464&lt;1),AB464*100,AB464)/100)</f>
        <v/>
      </c>
      <c r="Y464" s="5">
        <f>IF(D464="","",AA464*Z464/100)</f>
        <v/>
      </c>
      <c r="Z464" s="5">
        <f>IF(D464="","",W464-X464)</f>
        <v/>
      </c>
      <c r="AC464" s="5">
        <f>IF(D464="","",Z464-Y464)</f>
        <v/>
      </c>
      <c r="AD464">
        <f>IF(D464="","",N(AD463)+IF(MATCH(D464,$D$2:$D$2501,0)=ROW()-1,1,0))</f>
        <v/>
      </c>
    </row>
    <row r="465">
      <c r="X465" s="5">
        <f>IF(D465="","",W465*IF(AND(ISNUMBER(AB465),AB465&gt;0,AB465&lt;1),AB465*100,AB465)/100)</f>
        <v/>
      </c>
      <c r="Y465" s="5">
        <f>IF(D465="","",AA465*Z465/100)</f>
        <v/>
      </c>
      <c r="Z465" s="5">
        <f>IF(D465="","",W465-X465)</f>
        <v/>
      </c>
      <c r="AC465" s="5">
        <f>IF(D465="","",Z465-Y465)</f>
        <v/>
      </c>
      <c r="AD465">
        <f>IF(D465="","",N(AD464)+IF(MATCH(D465,$D$2:$D$2501,0)=ROW()-1,1,0))</f>
        <v/>
      </c>
    </row>
    <row r="466">
      <c r="X466" s="5">
        <f>IF(D466="","",W466*IF(AND(ISNUMBER(AB466),AB466&gt;0,AB466&lt;1),AB466*100,AB466)/100)</f>
        <v/>
      </c>
      <c r="Y466" s="5">
        <f>IF(D466="","",AA466*Z466/100)</f>
        <v/>
      </c>
      <c r="Z466" s="5">
        <f>IF(D466="","",W466-X466)</f>
        <v/>
      </c>
      <c r="AC466" s="5">
        <f>IF(D466="","",Z466-Y466)</f>
        <v/>
      </c>
      <c r="AD466">
        <f>IF(D466="","",N(AD465)+IF(MATCH(D466,$D$2:$D$2501,0)=ROW()-1,1,0))</f>
        <v/>
      </c>
    </row>
    <row r="467">
      <c r="X467" s="5">
        <f>IF(D467="","",W467*IF(AND(ISNUMBER(AB467),AB467&gt;0,AB467&lt;1),AB467*100,AB467)/100)</f>
        <v/>
      </c>
      <c r="Y467" s="5">
        <f>IF(D467="","",AA467*Z467/100)</f>
        <v/>
      </c>
      <c r="Z467" s="5">
        <f>IF(D467="","",W467-X467)</f>
        <v/>
      </c>
      <c r="AC467" s="5">
        <f>IF(D467="","",Z467-Y467)</f>
        <v/>
      </c>
      <c r="AD467">
        <f>IF(D467="","",N(AD466)+IF(MATCH(D467,$D$2:$D$2501,0)=ROW()-1,1,0))</f>
        <v/>
      </c>
    </row>
    <row r="468">
      <c r="X468" s="5">
        <f>IF(D468="","",W468*IF(AND(ISNUMBER(AB468),AB468&gt;0,AB468&lt;1),AB468*100,AB468)/100)</f>
        <v/>
      </c>
      <c r="Y468" s="5">
        <f>IF(D468="","",AA468*Z468/100)</f>
        <v/>
      </c>
      <c r="Z468" s="5">
        <f>IF(D468="","",W468-X468)</f>
        <v/>
      </c>
      <c r="AC468" s="5">
        <f>IF(D468="","",Z468-Y468)</f>
        <v/>
      </c>
      <c r="AD468">
        <f>IF(D468="","",N(AD467)+IF(MATCH(D468,$D$2:$D$2501,0)=ROW()-1,1,0))</f>
        <v/>
      </c>
    </row>
    <row r="469">
      <c r="X469" s="5">
        <f>IF(D469="","",W469*IF(AND(ISNUMBER(AB469),AB469&gt;0,AB469&lt;1),AB469*100,AB469)/100)</f>
        <v/>
      </c>
      <c r="Y469" s="5">
        <f>IF(D469="","",AA469*Z469/100)</f>
        <v/>
      </c>
      <c r="Z469" s="5">
        <f>IF(D469="","",W469-X469)</f>
        <v/>
      </c>
      <c r="AC469" s="5">
        <f>IF(D469="","",Z469-Y469)</f>
        <v/>
      </c>
      <c r="AD469">
        <f>IF(D469="","",N(AD468)+IF(MATCH(D469,$D$2:$D$2501,0)=ROW()-1,1,0))</f>
        <v/>
      </c>
    </row>
    <row r="470">
      <c r="X470" s="5">
        <f>IF(D470="","",W470*IF(AND(ISNUMBER(AB470),AB470&gt;0,AB470&lt;1),AB470*100,AB470)/100)</f>
        <v/>
      </c>
      <c r="Y470" s="5">
        <f>IF(D470="","",AA470*Z470/100)</f>
        <v/>
      </c>
      <c r="Z470" s="5">
        <f>IF(D470="","",W470-X470)</f>
        <v/>
      </c>
      <c r="AC470" s="5">
        <f>IF(D470="","",Z470-Y470)</f>
        <v/>
      </c>
      <c r="AD470">
        <f>IF(D470="","",N(AD469)+IF(MATCH(D470,$D$2:$D$2501,0)=ROW()-1,1,0))</f>
        <v/>
      </c>
    </row>
    <row r="471">
      <c r="X471" s="5">
        <f>IF(D471="","",W471*IF(AND(ISNUMBER(AB471),AB471&gt;0,AB471&lt;1),AB471*100,AB471)/100)</f>
        <v/>
      </c>
      <c r="Y471" s="5">
        <f>IF(D471="","",AA471*Z471/100)</f>
        <v/>
      </c>
      <c r="Z471" s="5">
        <f>IF(D471="","",W471-X471)</f>
        <v/>
      </c>
      <c r="AC471" s="5">
        <f>IF(D471="","",Z471-Y471)</f>
        <v/>
      </c>
      <c r="AD471">
        <f>IF(D471="","",N(AD470)+IF(MATCH(D471,$D$2:$D$2501,0)=ROW()-1,1,0))</f>
        <v/>
      </c>
    </row>
    <row r="472">
      <c r="X472" s="5">
        <f>IF(D472="","",W472*IF(AND(ISNUMBER(AB472),AB472&gt;0,AB472&lt;1),AB472*100,AB472)/100)</f>
        <v/>
      </c>
      <c r="Y472" s="5">
        <f>IF(D472="","",AA472*Z472/100)</f>
        <v/>
      </c>
      <c r="Z472" s="5">
        <f>IF(D472="","",W472-X472)</f>
        <v/>
      </c>
      <c r="AC472" s="5">
        <f>IF(D472="","",Z472-Y472)</f>
        <v/>
      </c>
      <c r="AD472">
        <f>IF(D472="","",N(AD471)+IF(MATCH(D472,$D$2:$D$2501,0)=ROW()-1,1,0))</f>
        <v/>
      </c>
    </row>
    <row r="473">
      <c r="X473" s="5">
        <f>IF(D473="","",W473*IF(AND(ISNUMBER(AB473),AB473&gt;0,AB473&lt;1),AB473*100,AB473)/100)</f>
        <v/>
      </c>
      <c r="Y473" s="5">
        <f>IF(D473="","",AA473*Z473/100)</f>
        <v/>
      </c>
      <c r="Z473" s="5">
        <f>IF(D473="","",W473-X473)</f>
        <v/>
      </c>
      <c r="AC473" s="5">
        <f>IF(D473="","",Z473-Y473)</f>
        <v/>
      </c>
      <c r="AD473">
        <f>IF(D473="","",N(AD472)+IF(MATCH(D473,$D$2:$D$2501,0)=ROW()-1,1,0))</f>
        <v/>
      </c>
    </row>
    <row r="474">
      <c r="X474" s="5">
        <f>IF(D474="","",W474*IF(AND(ISNUMBER(AB474),AB474&gt;0,AB474&lt;1),AB474*100,AB474)/100)</f>
        <v/>
      </c>
      <c r="Y474" s="5">
        <f>IF(D474="","",AA474*Z474/100)</f>
        <v/>
      </c>
      <c r="Z474" s="5">
        <f>IF(D474="","",W474-X474)</f>
        <v/>
      </c>
      <c r="AC474" s="5">
        <f>IF(D474="","",Z474-Y474)</f>
        <v/>
      </c>
      <c r="AD474">
        <f>IF(D474="","",N(AD473)+IF(MATCH(D474,$D$2:$D$2501,0)=ROW()-1,1,0))</f>
        <v/>
      </c>
    </row>
    <row r="475">
      <c r="X475" s="5">
        <f>IF(D475="","",W475*IF(AND(ISNUMBER(AB475),AB475&gt;0,AB475&lt;1),AB475*100,AB475)/100)</f>
        <v/>
      </c>
      <c r="Y475" s="5">
        <f>IF(D475="","",AA475*Z475/100)</f>
        <v/>
      </c>
      <c r="Z475" s="5">
        <f>IF(D475="","",W475-X475)</f>
        <v/>
      </c>
      <c r="AC475" s="5">
        <f>IF(D475="","",Z475-Y475)</f>
        <v/>
      </c>
      <c r="AD475">
        <f>IF(D475="","",N(AD474)+IF(MATCH(D475,$D$2:$D$2501,0)=ROW()-1,1,0))</f>
        <v/>
      </c>
    </row>
    <row r="476">
      <c r="X476" s="5">
        <f>IF(D476="","",W476*IF(AND(ISNUMBER(AB476),AB476&gt;0,AB476&lt;1),AB476*100,AB476)/100)</f>
        <v/>
      </c>
      <c r="Y476" s="5">
        <f>IF(D476="","",AA476*Z476/100)</f>
        <v/>
      </c>
      <c r="Z476" s="5">
        <f>IF(D476="","",W476-X476)</f>
        <v/>
      </c>
      <c r="AC476" s="5">
        <f>IF(D476="","",Z476-Y476)</f>
        <v/>
      </c>
      <c r="AD476">
        <f>IF(D476="","",N(AD475)+IF(MATCH(D476,$D$2:$D$2501,0)=ROW()-1,1,0))</f>
        <v/>
      </c>
    </row>
    <row r="477">
      <c r="X477" s="5">
        <f>IF(D477="","",W477*IF(AND(ISNUMBER(AB477),AB477&gt;0,AB477&lt;1),AB477*100,AB477)/100)</f>
        <v/>
      </c>
      <c r="Y477" s="5">
        <f>IF(D477="","",AA477*Z477/100)</f>
        <v/>
      </c>
      <c r="Z477" s="5">
        <f>IF(D477="","",W477-X477)</f>
        <v/>
      </c>
      <c r="AC477" s="5">
        <f>IF(D477="","",Z477-Y477)</f>
        <v/>
      </c>
      <c r="AD477">
        <f>IF(D477="","",N(AD476)+IF(MATCH(D477,$D$2:$D$2501,0)=ROW()-1,1,0))</f>
        <v/>
      </c>
    </row>
    <row r="478">
      <c r="X478" s="5">
        <f>IF(D478="","",W478*IF(AND(ISNUMBER(AB478),AB478&gt;0,AB478&lt;1),AB478*100,AB478)/100)</f>
        <v/>
      </c>
      <c r="Y478" s="5">
        <f>IF(D478="","",AA478*Z478/100)</f>
        <v/>
      </c>
      <c r="Z478" s="5">
        <f>IF(D478="","",W478-X478)</f>
        <v/>
      </c>
      <c r="AC478" s="5">
        <f>IF(D478="","",Z478-Y478)</f>
        <v/>
      </c>
      <c r="AD478">
        <f>IF(D478="","",N(AD477)+IF(MATCH(D478,$D$2:$D$2501,0)=ROW()-1,1,0))</f>
        <v/>
      </c>
    </row>
    <row r="479">
      <c r="X479" s="5">
        <f>IF(D479="","",W479*IF(AND(ISNUMBER(AB479),AB479&gt;0,AB479&lt;1),AB479*100,AB479)/100)</f>
        <v/>
      </c>
      <c r="Y479" s="5">
        <f>IF(D479="","",AA479*Z479/100)</f>
        <v/>
      </c>
      <c r="Z479" s="5">
        <f>IF(D479="","",W479-X479)</f>
        <v/>
      </c>
      <c r="AC479" s="5">
        <f>IF(D479="","",Z479-Y479)</f>
        <v/>
      </c>
      <c r="AD479">
        <f>IF(D479="","",N(AD478)+IF(MATCH(D479,$D$2:$D$2501,0)=ROW()-1,1,0))</f>
        <v/>
      </c>
    </row>
    <row r="480">
      <c r="X480" s="5">
        <f>IF(D480="","",W480*IF(AND(ISNUMBER(AB480),AB480&gt;0,AB480&lt;1),AB480*100,AB480)/100)</f>
        <v/>
      </c>
      <c r="Y480" s="5">
        <f>IF(D480="","",AA480*Z480/100)</f>
        <v/>
      </c>
      <c r="Z480" s="5">
        <f>IF(D480="","",W480-X480)</f>
        <v/>
      </c>
      <c r="AC480" s="5">
        <f>IF(D480="","",Z480-Y480)</f>
        <v/>
      </c>
      <c r="AD480">
        <f>IF(D480="","",N(AD479)+IF(MATCH(D480,$D$2:$D$2501,0)=ROW()-1,1,0))</f>
        <v/>
      </c>
    </row>
    <row r="481">
      <c r="X481" s="5">
        <f>IF(D481="","",W481*IF(AND(ISNUMBER(AB481),AB481&gt;0,AB481&lt;1),AB481*100,AB481)/100)</f>
        <v/>
      </c>
      <c r="Y481" s="5">
        <f>IF(D481="","",AA481*Z481/100)</f>
        <v/>
      </c>
      <c r="Z481" s="5">
        <f>IF(D481="","",W481-X481)</f>
        <v/>
      </c>
      <c r="AC481" s="5">
        <f>IF(D481="","",Z481-Y481)</f>
        <v/>
      </c>
      <c r="AD481">
        <f>IF(D481="","",N(AD480)+IF(MATCH(D481,$D$2:$D$2501,0)=ROW()-1,1,0))</f>
        <v/>
      </c>
    </row>
    <row r="482">
      <c r="X482" s="5">
        <f>IF(D482="","",W482*IF(AND(ISNUMBER(AB482),AB482&gt;0,AB482&lt;1),AB482*100,AB482)/100)</f>
        <v/>
      </c>
      <c r="Y482" s="5">
        <f>IF(D482="","",AA482*Z482/100)</f>
        <v/>
      </c>
      <c r="Z482" s="5">
        <f>IF(D482="","",W482-X482)</f>
        <v/>
      </c>
      <c r="AC482" s="5">
        <f>IF(D482="","",Z482-Y482)</f>
        <v/>
      </c>
      <c r="AD482">
        <f>IF(D482="","",N(AD481)+IF(MATCH(D482,$D$2:$D$2501,0)=ROW()-1,1,0))</f>
        <v/>
      </c>
    </row>
    <row r="483">
      <c r="X483" s="5">
        <f>IF(D483="","",W483*IF(AND(ISNUMBER(AB483),AB483&gt;0,AB483&lt;1),AB483*100,AB483)/100)</f>
        <v/>
      </c>
      <c r="Y483" s="5">
        <f>IF(D483="","",AA483*Z483/100)</f>
        <v/>
      </c>
      <c r="Z483" s="5">
        <f>IF(D483="","",W483-X483)</f>
        <v/>
      </c>
      <c r="AC483" s="5">
        <f>IF(D483="","",Z483-Y483)</f>
        <v/>
      </c>
      <c r="AD483">
        <f>IF(D483="","",N(AD482)+IF(MATCH(D483,$D$2:$D$2501,0)=ROW()-1,1,0))</f>
        <v/>
      </c>
    </row>
    <row r="484">
      <c r="X484" s="5">
        <f>IF(D484="","",W484*IF(AND(ISNUMBER(AB484),AB484&gt;0,AB484&lt;1),AB484*100,AB484)/100)</f>
        <v/>
      </c>
      <c r="Y484" s="5">
        <f>IF(D484="","",AA484*Z484/100)</f>
        <v/>
      </c>
      <c r="Z484" s="5">
        <f>IF(D484="","",W484-X484)</f>
        <v/>
      </c>
      <c r="AC484" s="5">
        <f>IF(D484="","",Z484-Y484)</f>
        <v/>
      </c>
      <c r="AD484">
        <f>IF(D484="","",N(AD483)+IF(MATCH(D484,$D$2:$D$2501,0)=ROW()-1,1,0))</f>
        <v/>
      </c>
    </row>
    <row r="485">
      <c r="X485" s="5">
        <f>IF(D485="","",W485*IF(AND(ISNUMBER(AB485),AB485&gt;0,AB485&lt;1),AB485*100,AB485)/100)</f>
        <v/>
      </c>
      <c r="Y485" s="5">
        <f>IF(D485="","",AA485*Z485/100)</f>
        <v/>
      </c>
      <c r="Z485" s="5">
        <f>IF(D485="","",W485-X485)</f>
        <v/>
      </c>
      <c r="AC485" s="5">
        <f>IF(D485="","",Z485-Y485)</f>
        <v/>
      </c>
      <c r="AD485">
        <f>IF(D485="","",N(AD484)+IF(MATCH(D485,$D$2:$D$2501,0)=ROW()-1,1,0))</f>
        <v/>
      </c>
    </row>
    <row r="486">
      <c r="X486" s="5">
        <f>IF(D486="","",W486*IF(AND(ISNUMBER(AB486),AB486&gt;0,AB486&lt;1),AB486*100,AB486)/100)</f>
        <v/>
      </c>
      <c r="Y486" s="5">
        <f>IF(D486="","",AA486*Z486/100)</f>
        <v/>
      </c>
      <c r="Z486" s="5">
        <f>IF(D486="","",W486-X486)</f>
        <v/>
      </c>
      <c r="AC486" s="5">
        <f>IF(D486="","",Z486-Y486)</f>
        <v/>
      </c>
      <c r="AD486">
        <f>IF(D486="","",N(AD485)+IF(MATCH(D486,$D$2:$D$2501,0)=ROW()-1,1,0))</f>
        <v/>
      </c>
    </row>
    <row r="487">
      <c r="X487" s="5">
        <f>IF(D487="","",W487*IF(AND(ISNUMBER(AB487),AB487&gt;0,AB487&lt;1),AB487*100,AB487)/100)</f>
        <v/>
      </c>
      <c r="Y487" s="5">
        <f>IF(D487="","",AA487*Z487/100)</f>
        <v/>
      </c>
      <c r="Z487" s="5">
        <f>IF(D487="","",W487-X487)</f>
        <v/>
      </c>
      <c r="AC487" s="5">
        <f>IF(D487="","",Z487-Y487)</f>
        <v/>
      </c>
      <c r="AD487">
        <f>IF(D487="","",N(AD486)+IF(MATCH(D487,$D$2:$D$2501,0)=ROW()-1,1,0))</f>
        <v/>
      </c>
    </row>
    <row r="488">
      <c r="X488" s="5">
        <f>IF(D488="","",W488*IF(AND(ISNUMBER(AB488),AB488&gt;0,AB488&lt;1),AB488*100,AB488)/100)</f>
        <v/>
      </c>
      <c r="Y488" s="5">
        <f>IF(D488="","",AA488*Z488/100)</f>
        <v/>
      </c>
      <c r="Z488" s="5">
        <f>IF(D488="","",W488-X488)</f>
        <v/>
      </c>
      <c r="AC488" s="5">
        <f>IF(D488="","",Z488-Y488)</f>
        <v/>
      </c>
      <c r="AD488">
        <f>IF(D488="","",N(AD487)+IF(MATCH(D488,$D$2:$D$2501,0)=ROW()-1,1,0))</f>
        <v/>
      </c>
    </row>
    <row r="489">
      <c r="X489" s="5">
        <f>IF(D489="","",W489*IF(AND(ISNUMBER(AB489),AB489&gt;0,AB489&lt;1),AB489*100,AB489)/100)</f>
        <v/>
      </c>
      <c r="Y489" s="5">
        <f>IF(D489="","",AA489*Z489/100)</f>
        <v/>
      </c>
      <c r="Z489" s="5">
        <f>IF(D489="","",W489-X489)</f>
        <v/>
      </c>
      <c r="AC489" s="5">
        <f>IF(D489="","",Z489-Y489)</f>
        <v/>
      </c>
      <c r="AD489">
        <f>IF(D489="","",N(AD488)+IF(MATCH(D489,$D$2:$D$2501,0)=ROW()-1,1,0))</f>
        <v/>
      </c>
    </row>
    <row r="490">
      <c r="X490" s="5">
        <f>IF(D490="","",W490*IF(AND(ISNUMBER(AB490),AB490&gt;0,AB490&lt;1),AB490*100,AB490)/100)</f>
        <v/>
      </c>
      <c r="Y490" s="5">
        <f>IF(D490="","",AA490*Z490/100)</f>
        <v/>
      </c>
      <c r="Z490" s="5">
        <f>IF(D490="","",W490-X490)</f>
        <v/>
      </c>
      <c r="AC490" s="5">
        <f>IF(D490="","",Z490-Y490)</f>
        <v/>
      </c>
      <c r="AD490">
        <f>IF(D490="","",N(AD489)+IF(MATCH(D490,$D$2:$D$2501,0)=ROW()-1,1,0))</f>
        <v/>
      </c>
    </row>
    <row r="491">
      <c r="X491" s="5">
        <f>IF(D491="","",W491*IF(AND(ISNUMBER(AB491),AB491&gt;0,AB491&lt;1),AB491*100,AB491)/100)</f>
        <v/>
      </c>
      <c r="Y491" s="5">
        <f>IF(D491="","",AA491*Z491/100)</f>
        <v/>
      </c>
      <c r="Z491" s="5">
        <f>IF(D491="","",W491-X491)</f>
        <v/>
      </c>
      <c r="AC491" s="5">
        <f>IF(D491="","",Z491-Y491)</f>
        <v/>
      </c>
      <c r="AD491">
        <f>IF(D491="","",N(AD490)+IF(MATCH(D491,$D$2:$D$2501,0)=ROW()-1,1,0))</f>
        <v/>
      </c>
    </row>
    <row r="492">
      <c r="X492" s="5">
        <f>IF(D492="","",W492*IF(AND(ISNUMBER(AB492),AB492&gt;0,AB492&lt;1),AB492*100,AB492)/100)</f>
        <v/>
      </c>
      <c r="Y492" s="5">
        <f>IF(D492="","",AA492*Z492/100)</f>
        <v/>
      </c>
      <c r="Z492" s="5">
        <f>IF(D492="","",W492-X492)</f>
        <v/>
      </c>
      <c r="AC492" s="5">
        <f>IF(D492="","",Z492-Y492)</f>
        <v/>
      </c>
      <c r="AD492">
        <f>IF(D492="","",N(AD491)+IF(MATCH(D492,$D$2:$D$2501,0)=ROW()-1,1,0))</f>
        <v/>
      </c>
    </row>
    <row r="493">
      <c r="X493" s="5">
        <f>IF(D493="","",W493*IF(AND(ISNUMBER(AB493),AB493&gt;0,AB493&lt;1),AB493*100,AB493)/100)</f>
        <v/>
      </c>
      <c r="Y493" s="5">
        <f>IF(D493="","",AA493*Z493/100)</f>
        <v/>
      </c>
      <c r="Z493" s="5">
        <f>IF(D493="","",W493-X493)</f>
        <v/>
      </c>
      <c r="AC493" s="5">
        <f>IF(D493="","",Z493-Y493)</f>
        <v/>
      </c>
      <c r="AD493">
        <f>IF(D493="","",N(AD492)+IF(MATCH(D493,$D$2:$D$2501,0)=ROW()-1,1,0))</f>
        <v/>
      </c>
    </row>
    <row r="494">
      <c r="X494" s="5">
        <f>IF(D494="","",W494*IF(AND(ISNUMBER(AB494),AB494&gt;0,AB494&lt;1),AB494*100,AB494)/100)</f>
        <v/>
      </c>
      <c r="Y494" s="5">
        <f>IF(D494="","",AA494*Z494/100)</f>
        <v/>
      </c>
      <c r="Z494" s="5">
        <f>IF(D494="","",W494-X494)</f>
        <v/>
      </c>
      <c r="AC494" s="5">
        <f>IF(D494="","",Z494-Y494)</f>
        <v/>
      </c>
      <c r="AD494">
        <f>IF(D494="","",N(AD493)+IF(MATCH(D494,$D$2:$D$2501,0)=ROW()-1,1,0))</f>
        <v/>
      </c>
    </row>
    <row r="495">
      <c r="X495" s="5">
        <f>IF(D495="","",W495*IF(AND(ISNUMBER(AB495),AB495&gt;0,AB495&lt;1),AB495*100,AB495)/100)</f>
        <v/>
      </c>
      <c r="Y495" s="5">
        <f>IF(D495="","",AA495*Z495/100)</f>
        <v/>
      </c>
      <c r="Z495" s="5">
        <f>IF(D495="","",W495-X495)</f>
        <v/>
      </c>
      <c r="AC495" s="5">
        <f>IF(D495="","",Z495-Y495)</f>
        <v/>
      </c>
      <c r="AD495">
        <f>IF(D495="","",N(AD494)+IF(MATCH(D495,$D$2:$D$2501,0)=ROW()-1,1,0))</f>
        <v/>
      </c>
    </row>
    <row r="496">
      <c r="X496" s="5">
        <f>IF(D496="","",W496*IF(AND(ISNUMBER(AB496),AB496&gt;0,AB496&lt;1),AB496*100,AB496)/100)</f>
        <v/>
      </c>
      <c r="Y496" s="5">
        <f>IF(D496="","",AA496*Z496/100)</f>
        <v/>
      </c>
      <c r="Z496" s="5">
        <f>IF(D496="","",W496-X496)</f>
        <v/>
      </c>
      <c r="AC496" s="5">
        <f>IF(D496="","",Z496-Y496)</f>
        <v/>
      </c>
      <c r="AD496">
        <f>IF(D496="","",N(AD495)+IF(MATCH(D496,$D$2:$D$2501,0)=ROW()-1,1,0))</f>
        <v/>
      </c>
    </row>
    <row r="497">
      <c r="X497" s="5">
        <f>IF(D497="","",W497*IF(AND(ISNUMBER(AB497),AB497&gt;0,AB497&lt;1),AB497*100,AB497)/100)</f>
        <v/>
      </c>
      <c r="Y497" s="5">
        <f>IF(D497="","",AA497*Z497/100)</f>
        <v/>
      </c>
      <c r="Z497" s="5">
        <f>IF(D497="","",W497-X497)</f>
        <v/>
      </c>
      <c r="AC497" s="5">
        <f>IF(D497="","",Z497-Y497)</f>
        <v/>
      </c>
      <c r="AD497">
        <f>IF(D497="","",N(AD496)+IF(MATCH(D497,$D$2:$D$2501,0)=ROW()-1,1,0))</f>
        <v/>
      </c>
    </row>
    <row r="498">
      <c r="X498" s="5">
        <f>IF(D498="","",W498*IF(AND(ISNUMBER(AB498),AB498&gt;0,AB498&lt;1),AB498*100,AB498)/100)</f>
        <v/>
      </c>
      <c r="Y498" s="5">
        <f>IF(D498="","",AA498*Z498/100)</f>
        <v/>
      </c>
      <c r="Z498" s="5">
        <f>IF(D498="","",W498-X498)</f>
        <v/>
      </c>
      <c r="AC498" s="5">
        <f>IF(D498="","",Z498-Y498)</f>
        <v/>
      </c>
      <c r="AD498">
        <f>IF(D498="","",N(AD497)+IF(MATCH(D498,$D$2:$D$2501,0)=ROW()-1,1,0))</f>
        <v/>
      </c>
    </row>
    <row r="499">
      <c r="X499" s="5">
        <f>IF(D499="","",W499*IF(AND(ISNUMBER(AB499),AB499&gt;0,AB499&lt;1),AB499*100,AB499)/100)</f>
        <v/>
      </c>
      <c r="Y499" s="5">
        <f>IF(D499="","",AA499*Z499/100)</f>
        <v/>
      </c>
      <c r="Z499" s="5">
        <f>IF(D499="","",W499-X499)</f>
        <v/>
      </c>
      <c r="AC499" s="5">
        <f>IF(D499="","",Z499-Y499)</f>
        <v/>
      </c>
      <c r="AD499">
        <f>IF(D499="","",N(AD498)+IF(MATCH(D499,$D$2:$D$2501,0)=ROW()-1,1,0))</f>
        <v/>
      </c>
    </row>
    <row r="500">
      <c r="X500" s="5">
        <f>IF(D500="","",W500*IF(AND(ISNUMBER(AB500),AB500&gt;0,AB500&lt;1),AB500*100,AB500)/100)</f>
        <v/>
      </c>
      <c r="Y500" s="5">
        <f>IF(D500="","",AA500*Z500/100)</f>
        <v/>
      </c>
      <c r="Z500" s="5">
        <f>IF(D500="","",W500-X500)</f>
        <v/>
      </c>
      <c r="AC500" s="5">
        <f>IF(D500="","",Z500-Y500)</f>
        <v/>
      </c>
      <c r="AD500">
        <f>IF(D500="","",N(AD499)+IF(MATCH(D500,$D$2:$D$2501,0)=ROW()-1,1,0))</f>
        <v/>
      </c>
    </row>
    <row r="501">
      <c r="X501" s="5">
        <f>IF(D501="","",W501*IF(AND(ISNUMBER(AB501),AB501&gt;0,AB501&lt;1),AB501*100,AB501)/100)</f>
        <v/>
      </c>
      <c r="Y501" s="5">
        <f>IF(D501="","",AA501*Z501/100)</f>
        <v/>
      </c>
      <c r="Z501" s="5">
        <f>IF(D501="","",W501-X501)</f>
        <v/>
      </c>
      <c r="AC501" s="5">
        <f>IF(D501="","",Z501-Y501)</f>
        <v/>
      </c>
      <c r="AD501">
        <f>IF(D501="","",N(AD500)+IF(MATCH(D501,$D$2:$D$2501,0)=ROW()-1,1,0))</f>
        <v/>
      </c>
    </row>
    <row r="502">
      <c r="X502" s="5">
        <f>IF(D502="","",W502*IF(AND(ISNUMBER(AB502),AB502&gt;0,AB502&lt;1),AB502*100,AB502)/100)</f>
        <v/>
      </c>
      <c r="Y502" s="5">
        <f>IF(D502="","",AA502*Z502/100)</f>
        <v/>
      </c>
      <c r="Z502" s="5">
        <f>IF(D502="","",W502-X502)</f>
        <v/>
      </c>
      <c r="AC502" s="5">
        <f>IF(D502="","",Z502-Y502)</f>
        <v/>
      </c>
      <c r="AD502">
        <f>IF(D502="","",N(AD501)+IF(MATCH(D502,$D$2:$D$2501,0)=ROW()-1,1,0))</f>
        <v/>
      </c>
    </row>
    <row r="503">
      <c r="X503" s="5">
        <f>IF(D503="","",W503*IF(AND(ISNUMBER(AB503),AB503&gt;0,AB503&lt;1),AB503*100,AB503)/100)</f>
        <v/>
      </c>
      <c r="Y503" s="5">
        <f>IF(D503="","",AA503*Z503/100)</f>
        <v/>
      </c>
      <c r="Z503" s="5">
        <f>IF(D503="","",W503-X503)</f>
        <v/>
      </c>
      <c r="AC503" s="5">
        <f>IF(D503="","",Z503-Y503)</f>
        <v/>
      </c>
      <c r="AD503">
        <f>IF(D503="","",N(AD502)+IF(MATCH(D503,$D$2:$D$2501,0)=ROW()-1,1,0))</f>
        <v/>
      </c>
    </row>
    <row r="504">
      <c r="X504" s="5">
        <f>IF(D504="","",W504*IF(AND(ISNUMBER(AB504),AB504&gt;0,AB504&lt;1),AB504*100,AB504)/100)</f>
        <v/>
      </c>
      <c r="Y504" s="5">
        <f>IF(D504="","",AA504*Z504/100)</f>
        <v/>
      </c>
      <c r="Z504" s="5">
        <f>IF(D504="","",W504-X504)</f>
        <v/>
      </c>
      <c r="AC504" s="5">
        <f>IF(D504="","",Z504-Y504)</f>
        <v/>
      </c>
      <c r="AD504">
        <f>IF(D504="","",N(AD503)+IF(MATCH(D504,$D$2:$D$2501,0)=ROW()-1,1,0))</f>
        <v/>
      </c>
    </row>
    <row r="505">
      <c r="X505" s="5">
        <f>IF(D505="","",W505*IF(AND(ISNUMBER(AB505),AB505&gt;0,AB505&lt;1),AB505*100,AB505)/100)</f>
        <v/>
      </c>
      <c r="Y505" s="5">
        <f>IF(D505="","",AA505*Z505/100)</f>
        <v/>
      </c>
      <c r="Z505" s="5">
        <f>IF(D505="","",W505-X505)</f>
        <v/>
      </c>
      <c r="AC505" s="5">
        <f>IF(D505="","",Z505-Y505)</f>
        <v/>
      </c>
      <c r="AD505">
        <f>IF(D505="","",N(AD504)+IF(MATCH(D505,$D$2:$D$2501,0)=ROW()-1,1,0))</f>
        <v/>
      </c>
    </row>
    <row r="506">
      <c r="X506" s="5">
        <f>IF(D506="","",W506*IF(AND(ISNUMBER(AB506),AB506&gt;0,AB506&lt;1),AB506*100,AB506)/100)</f>
        <v/>
      </c>
      <c r="Y506" s="5">
        <f>IF(D506="","",AA506*Z506/100)</f>
        <v/>
      </c>
      <c r="Z506" s="5">
        <f>IF(D506="","",W506-X506)</f>
        <v/>
      </c>
      <c r="AC506" s="5">
        <f>IF(D506="","",Z506-Y506)</f>
        <v/>
      </c>
      <c r="AD506">
        <f>IF(D506="","",N(AD505)+IF(MATCH(D506,$D$2:$D$2501,0)=ROW()-1,1,0))</f>
        <v/>
      </c>
    </row>
    <row r="507">
      <c r="X507" s="5">
        <f>IF(D507="","",W507*IF(AND(ISNUMBER(AB507),AB507&gt;0,AB507&lt;1),AB507*100,AB507)/100)</f>
        <v/>
      </c>
      <c r="Y507" s="5">
        <f>IF(D507="","",AA507*Z507/100)</f>
        <v/>
      </c>
      <c r="Z507" s="5">
        <f>IF(D507="","",W507-X507)</f>
        <v/>
      </c>
      <c r="AC507" s="5">
        <f>IF(D507="","",Z507-Y507)</f>
        <v/>
      </c>
      <c r="AD507">
        <f>IF(D507="","",N(AD506)+IF(MATCH(D507,$D$2:$D$2501,0)=ROW()-1,1,0))</f>
        <v/>
      </c>
    </row>
    <row r="508">
      <c r="X508" s="5">
        <f>IF(D508="","",W508*IF(AND(ISNUMBER(AB508),AB508&gt;0,AB508&lt;1),AB508*100,AB508)/100)</f>
        <v/>
      </c>
      <c r="Y508" s="5">
        <f>IF(D508="","",AA508*Z508/100)</f>
        <v/>
      </c>
      <c r="Z508" s="5">
        <f>IF(D508="","",W508-X508)</f>
        <v/>
      </c>
      <c r="AC508" s="5">
        <f>IF(D508="","",Z508-Y508)</f>
        <v/>
      </c>
      <c r="AD508">
        <f>IF(D508="","",N(AD507)+IF(MATCH(D508,$D$2:$D$2501,0)=ROW()-1,1,0))</f>
        <v/>
      </c>
    </row>
    <row r="509">
      <c r="X509" s="5">
        <f>IF(D509="","",W509*IF(AND(ISNUMBER(AB509),AB509&gt;0,AB509&lt;1),AB509*100,AB509)/100)</f>
        <v/>
      </c>
      <c r="Y509" s="5">
        <f>IF(D509="","",AA509*Z509/100)</f>
        <v/>
      </c>
      <c r="Z509" s="5">
        <f>IF(D509="","",W509-X509)</f>
        <v/>
      </c>
      <c r="AC509" s="5">
        <f>IF(D509="","",Z509-Y509)</f>
        <v/>
      </c>
      <c r="AD509">
        <f>IF(D509="","",N(AD508)+IF(MATCH(D509,$D$2:$D$2501,0)=ROW()-1,1,0))</f>
        <v/>
      </c>
    </row>
    <row r="510">
      <c r="X510" s="5">
        <f>IF(D510="","",W510*IF(AND(ISNUMBER(AB510),AB510&gt;0,AB510&lt;1),AB510*100,AB510)/100)</f>
        <v/>
      </c>
      <c r="Y510" s="5">
        <f>IF(D510="","",AA510*Z510/100)</f>
        <v/>
      </c>
      <c r="Z510" s="5">
        <f>IF(D510="","",W510-X510)</f>
        <v/>
      </c>
      <c r="AC510" s="5">
        <f>IF(D510="","",Z510-Y510)</f>
        <v/>
      </c>
      <c r="AD510">
        <f>IF(D510="","",N(AD509)+IF(MATCH(D510,$D$2:$D$2501,0)=ROW()-1,1,0))</f>
        <v/>
      </c>
    </row>
    <row r="511">
      <c r="X511" s="5">
        <f>IF(D511="","",W511*IF(AND(ISNUMBER(AB511),AB511&gt;0,AB511&lt;1),AB511*100,AB511)/100)</f>
        <v/>
      </c>
      <c r="Y511" s="5">
        <f>IF(D511="","",AA511*Z511/100)</f>
        <v/>
      </c>
      <c r="Z511" s="5">
        <f>IF(D511="","",W511-X511)</f>
        <v/>
      </c>
      <c r="AC511" s="5">
        <f>IF(D511="","",Z511-Y511)</f>
        <v/>
      </c>
      <c r="AD511">
        <f>IF(D511="","",N(AD510)+IF(MATCH(D511,$D$2:$D$2501,0)=ROW()-1,1,0))</f>
        <v/>
      </c>
    </row>
    <row r="512">
      <c r="X512" s="5">
        <f>IF(D512="","",W512*IF(AND(ISNUMBER(AB512),AB512&gt;0,AB512&lt;1),AB512*100,AB512)/100)</f>
        <v/>
      </c>
      <c r="Y512" s="5">
        <f>IF(D512="","",AA512*Z512/100)</f>
        <v/>
      </c>
      <c r="Z512" s="5">
        <f>IF(D512="","",W512-X512)</f>
        <v/>
      </c>
      <c r="AC512" s="5">
        <f>IF(D512="","",Z512-Y512)</f>
        <v/>
      </c>
      <c r="AD512">
        <f>IF(D512="","",N(AD511)+IF(MATCH(D512,$D$2:$D$2501,0)=ROW()-1,1,0))</f>
        <v/>
      </c>
    </row>
    <row r="513">
      <c r="X513" s="5">
        <f>IF(D513="","",W513*IF(AND(ISNUMBER(AB513),AB513&gt;0,AB513&lt;1),AB513*100,AB513)/100)</f>
        <v/>
      </c>
      <c r="Y513" s="5">
        <f>IF(D513="","",AA513*Z513/100)</f>
        <v/>
      </c>
      <c r="Z513" s="5">
        <f>IF(D513="","",W513-X513)</f>
        <v/>
      </c>
      <c r="AC513" s="5">
        <f>IF(D513="","",Z513-Y513)</f>
        <v/>
      </c>
      <c r="AD513">
        <f>IF(D513="","",N(AD512)+IF(MATCH(D513,$D$2:$D$2501,0)=ROW()-1,1,0))</f>
        <v/>
      </c>
    </row>
    <row r="514">
      <c r="X514" s="5">
        <f>IF(D514="","",W514*IF(AND(ISNUMBER(AB514),AB514&gt;0,AB514&lt;1),AB514*100,AB514)/100)</f>
        <v/>
      </c>
      <c r="Y514" s="5">
        <f>IF(D514="","",AA514*Z514/100)</f>
        <v/>
      </c>
      <c r="Z514" s="5">
        <f>IF(D514="","",W514-X514)</f>
        <v/>
      </c>
      <c r="AC514" s="5">
        <f>IF(D514="","",Z514-Y514)</f>
        <v/>
      </c>
      <c r="AD514">
        <f>IF(D514="","",N(AD513)+IF(MATCH(D514,$D$2:$D$2501,0)=ROW()-1,1,0))</f>
        <v/>
      </c>
    </row>
    <row r="515">
      <c r="X515" s="5">
        <f>IF(D515="","",W515*IF(AND(ISNUMBER(AB515),AB515&gt;0,AB515&lt;1),AB515*100,AB515)/100)</f>
        <v/>
      </c>
      <c r="Y515" s="5">
        <f>IF(D515="","",AA515*Z515/100)</f>
        <v/>
      </c>
      <c r="Z515" s="5">
        <f>IF(D515="","",W515-X515)</f>
        <v/>
      </c>
      <c r="AC515" s="5">
        <f>IF(D515="","",Z515-Y515)</f>
        <v/>
      </c>
      <c r="AD515">
        <f>IF(D515="","",N(AD514)+IF(MATCH(D515,$D$2:$D$2501,0)=ROW()-1,1,0))</f>
        <v/>
      </c>
    </row>
    <row r="516">
      <c r="X516" s="5">
        <f>IF(D516="","",W516*IF(AND(ISNUMBER(AB516),AB516&gt;0,AB516&lt;1),AB516*100,AB516)/100)</f>
        <v/>
      </c>
      <c r="Y516" s="5">
        <f>IF(D516="","",AA516*Z516/100)</f>
        <v/>
      </c>
      <c r="Z516" s="5">
        <f>IF(D516="","",W516-X516)</f>
        <v/>
      </c>
      <c r="AC516" s="5">
        <f>IF(D516="","",Z516-Y516)</f>
        <v/>
      </c>
      <c r="AD516">
        <f>IF(D516="","",N(AD515)+IF(MATCH(D516,$D$2:$D$2501,0)=ROW()-1,1,0))</f>
        <v/>
      </c>
    </row>
    <row r="517">
      <c r="X517" s="5">
        <f>IF(D517="","",W517*IF(AND(ISNUMBER(AB517),AB517&gt;0,AB517&lt;1),AB517*100,AB517)/100)</f>
        <v/>
      </c>
      <c r="Y517" s="5">
        <f>IF(D517="","",AA517*Z517/100)</f>
        <v/>
      </c>
      <c r="Z517" s="5">
        <f>IF(D517="","",W517-X517)</f>
        <v/>
      </c>
      <c r="AC517" s="5">
        <f>IF(D517="","",Z517-Y517)</f>
        <v/>
      </c>
      <c r="AD517">
        <f>IF(D517="","",N(AD516)+IF(MATCH(D517,$D$2:$D$2501,0)=ROW()-1,1,0))</f>
        <v/>
      </c>
    </row>
    <row r="518">
      <c r="X518" s="5">
        <f>IF(D518="","",W518*IF(AND(ISNUMBER(AB518),AB518&gt;0,AB518&lt;1),AB518*100,AB518)/100)</f>
        <v/>
      </c>
      <c r="Y518" s="5">
        <f>IF(D518="","",AA518*Z518/100)</f>
        <v/>
      </c>
      <c r="Z518" s="5">
        <f>IF(D518="","",W518-X518)</f>
        <v/>
      </c>
      <c r="AC518" s="5">
        <f>IF(D518="","",Z518-Y518)</f>
        <v/>
      </c>
      <c r="AD518">
        <f>IF(D518="","",N(AD517)+IF(MATCH(D518,$D$2:$D$2501,0)=ROW()-1,1,0))</f>
        <v/>
      </c>
    </row>
    <row r="519">
      <c r="X519" s="5">
        <f>IF(D519="","",W519*IF(AND(ISNUMBER(AB519),AB519&gt;0,AB519&lt;1),AB519*100,AB519)/100)</f>
        <v/>
      </c>
      <c r="Y519" s="5">
        <f>IF(D519="","",AA519*Z519/100)</f>
        <v/>
      </c>
      <c r="Z519" s="5">
        <f>IF(D519="","",W519-X519)</f>
        <v/>
      </c>
      <c r="AC519" s="5">
        <f>IF(D519="","",Z519-Y519)</f>
        <v/>
      </c>
      <c r="AD519">
        <f>IF(D519="","",N(AD518)+IF(MATCH(D519,$D$2:$D$2501,0)=ROW()-1,1,0))</f>
        <v/>
      </c>
    </row>
    <row r="520">
      <c r="X520" s="5">
        <f>IF(D520="","",W520*IF(AND(ISNUMBER(AB520),AB520&gt;0,AB520&lt;1),AB520*100,AB520)/100)</f>
        <v/>
      </c>
      <c r="Y520" s="5">
        <f>IF(D520="","",AA520*Z520/100)</f>
        <v/>
      </c>
      <c r="Z520" s="5">
        <f>IF(D520="","",W520-X520)</f>
        <v/>
      </c>
      <c r="AC520" s="5">
        <f>IF(D520="","",Z520-Y520)</f>
        <v/>
      </c>
      <c r="AD520">
        <f>IF(D520="","",N(AD519)+IF(MATCH(D520,$D$2:$D$2501,0)=ROW()-1,1,0))</f>
        <v/>
      </c>
    </row>
    <row r="521">
      <c r="X521" s="5">
        <f>IF(D521="","",W521*IF(AND(ISNUMBER(AB521),AB521&gt;0,AB521&lt;1),AB521*100,AB521)/100)</f>
        <v/>
      </c>
      <c r="Y521" s="5">
        <f>IF(D521="","",AA521*Z521/100)</f>
        <v/>
      </c>
      <c r="Z521" s="5">
        <f>IF(D521="","",W521-X521)</f>
        <v/>
      </c>
      <c r="AC521" s="5">
        <f>IF(D521="","",Z521-Y521)</f>
        <v/>
      </c>
      <c r="AD521">
        <f>IF(D521="","",N(AD520)+IF(MATCH(D521,$D$2:$D$2501,0)=ROW()-1,1,0))</f>
        <v/>
      </c>
    </row>
    <row r="522">
      <c r="X522" s="5">
        <f>IF(D522="","",W522*IF(AND(ISNUMBER(AB522),AB522&gt;0,AB522&lt;1),AB522*100,AB522)/100)</f>
        <v/>
      </c>
      <c r="Y522" s="5">
        <f>IF(D522="","",AA522*Z522/100)</f>
        <v/>
      </c>
      <c r="Z522" s="5">
        <f>IF(D522="","",W522-X522)</f>
        <v/>
      </c>
      <c r="AC522" s="5">
        <f>IF(D522="","",Z522-Y522)</f>
        <v/>
      </c>
      <c r="AD522">
        <f>IF(D522="","",N(AD521)+IF(MATCH(D522,$D$2:$D$2501,0)=ROW()-1,1,0))</f>
        <v/>
      </c>
    </row>
    <row r="523">
      <c r="X523" s="5">
        <f>IF(D523="","",W523*IF(AND(ISNUMBER(AB523),AB523&gt;0,AB523&lt;1),AB523*100,AB523)/100)</f>
        <v/>
      </c>
      <c r="Y523" s="5">
        <f>IF(D523="","",AA523*Z523/100)</f>
        <v/>
      </c>
      <c r="Z523" s="5">
        <f>IF(D523="","",W523-X523)</f>
        <v/>
      </c>
      <c r="AC523" s="5">
        <f>IF(D523="","",Z523-Y523)</f>
        <v/>
      </c>
      <c r="AD523">
        <f>IF(D523="","",N(AD522)+IF(MATCH(D523,$D$2:$D$2501,0)=ROW()-1,1,0))</f>
        <v/>
      </c>
    </row>
    <row r="524">
      <c r="X524" s="5">
        <f>IF(D524="","",W524*IF(AND(ISNUMBER(AB524),AB524&gt;0,AB524&lt;1),AB524*100,AB524)/100)</f>
        <v/>
      </c>
      <c r="Y524" s="5">
        <f>IF(D524="","",AA524*Z524/100)</f>
        <v/>
      </c>
      <c r="Z524" s="5">
        <f>IF(D524="","",W524-X524)</f>
        <v/>
      </c>
      <c r="AC524" s="5">
        <f>IF(D524="","",Z524-Y524)</f>
        <v/>
      </c>
      <c r="AD524">
        <f>IF(D524="","",N(AD523)+IF(MATCH(D524,$D$2:$D$2501,0)=ROW()-1,1,0))</f>
        <v/>
      </c>
    </row>
    <row r="525">
      <c r="X525" s="5">
        <f>IF(D525="","",W525*IF(AND(ISNUMBER(AB525),AB525&gt;0,AB525&lt;1),AB525*100,AB525)/100)</f>
        <v/>
      </c>
      <c r="Y525" s="5">
        <f>IF(D525="","",AA525*Z525/100)</f>
        <v/>
      </c>
      <c r="Z525" s="5">
        <f>IF(D525="","",W525-X525)</f>
        <v/>
      </c>
      <c r="AC525" s="5">
        <f>IF(D525="","",Z525-Y525)</f>
        <v/>
      </c>
      <c r="AD525">
        <f>IF(D525="","",N(AD524)+IF(MATCH(D525,$D$2:$D$2501,0)=ROW()-1,1,0))</f>
        <v/>
      </c>
    </row>
    <row r="526">
      <c r="X526" s="5">
        <f>IF(D526="","",W526*IF(AND(ISNUMBER(AB526),AB526&gt;0,AB526&lt;1),AB526*100,AB526)/100)</f>
        <v/>
      </c>
      <c r="Y526" s="5">
        <f>IF(D526="","",AA526*Z526/100)</f>
        <v/>
      </c>
      <c r="Z526" s="5">
        <f>IF(D526="","",W526-X526)</f>
        <v/>
      </c>
      <c r="AC526" s="5">
        <f>IF(D526="","",Z526-Y526)</f>
        <v/>
      </c>
      <c r="AD526">
        <f>IF(D526="","",N(AD525)+IF(MATCH(D526,$D$2:$D$2501,0)=ROW()-1,1,0))</f>
        <v/>
      </c>
    </row>
    <row r="527">
      <c r="X527" s="5">
        <f>IF(D527="","",W527*IF(AND(ISNUMBER(AB527),AB527&gt;0,AB527&lt;1),AB527*100,AB527)/100)</f>
        <v/>
      </c>
      <c r="Y527" s="5">
        <f>IF(D527="","",AA527*Z527/100)</f>
        <v/>
      </c>
      <c r="Z527" s="5">
        <f>IF(D527="","",W527-X527)</f>
        <v/>
      </c>
      <c r="AC527" s="5">
        <f>IF(D527="","",Z527-Y527)</f>
        <v/>
      </c>
      <c r="AD527">
        <f>IF(D527="","",N(AD526)+IF(MATCH(D527,$D$2:$D$2501,0)=ROW()-1,1,0))</f>
        <v/>
      </c>
    </row>
    <row r="528">
      <c r="X528" s="5">
        <f>IF(D528="","",W528*IF(AND(ISNUMBER(AB528),AB528&gt;0,AB528&lt;1),AB528*100,AB528)/100)</f>
        <v/>
      </c>
      <c r="Y528" s="5">
        <f>IF(D528="","",AA528*Z528/100)</f>
        <v/>
      </c>
      <c r="Z528" s="5">
        <f>IF(D528="","",W528-X528)</f>
        <v/>
      </c>
      <c r="AC528" s="5">
        <f>IF(D528="","",Z528-Y528)</f>
        <v/>
      </c>
      <c r="AD528">
        <f>IF(D528="","",N(AD527)+IF(MATCH(D528,$D$2:$D$2501,0)=ROW()-1,1,0))</f>
        <v/>
      </c>
    </row>
    <row r="529">
      <c r="X529" s="5">
        <f>IF(D529="","",W529*IF(AND(ISNUMBER(AB529),AB529&gt;0,AB529&lt;1),AB529*100,AB529)/100)</f>
        <v/>
      </c>
      <c r="Y529" s="5">
        <f>IF(D529="","",AA529*Z529/100)</f>
        <v/>
      </c>
      <c r="Z529" s="5">
        <f>IF(D529="","",W529-X529)</f>
        <v/>
      </c>
      <c r="AC529" s="5">
        <f>IF(D529="","",Z529-Y529)</f>
        <v/>
      </c>
      <c r="AD529">
        <f>IF(D529="","",N(AD528)+IF(MATCH(D529,$D$2:$D$2501,0)=ROW()-1,1,0))</f>
        <v/>
      </c>
    </row>
    <row r="530">
      <c r="X530" s="5">
        <f>IF(D530="","",W530*IF(AND(ISNUMBER(AB530),AB530&gt;0,AB530&lt;1),AB530*100,AB530)/100)</f>
        <v/>
      </c>
      <c r="Y530" s="5">
        <f>IF(D530="","",AA530*Z530/100)</f>
        <v/>
      </c>
      <c r="Z530" s="5">
        <f>IF(D530="","",W530-X530)</f>
        <v/>
      </c>
      <c r="AC530" s="5">
        <f>IF(D530="","",Z530-Y530)</f>
        <v/>
      </c>
      <c r="AD530">
        <f>IF(D530="","",N(AD529)+IF(MATCH(D530,$D$2:$D$2501,0)=ROW()-1,1,0))</f>
        <v/>
      </c>
    </row>
    <row r="531">
      <c r="X531" s="5">
        <f>IF(D531="","",W531*IF(AND(ISNUMBER(AB531),AB531&gt;0,AB531&lt;1),AB531*100,AB531)/100)</f>
        <v/>
      </c>
      <c r="Y531" s="5">
        <f>IF(D531="","",AA531*Z531/100)</f>
        <v/>
      </c>
      <c r="Z531" s="5">
        <f>IF(D531="","",W531-X531)</f>
        <v/>
      </c>
      <c r="AC531" s="5">
        <f>IF(D531="","",Z531-Y531)</f>
        <v/>
      </c>
      <c r="AD531">
        <f>IF(D531="","",N(AD530)+IF(MATCH(D531,$D$2:$D$2501,0)=ROW()-1,1,0))</f>
        <v/>
      </c>
    </row>
    <row r="532">
      <c r="X532" s="5">
        <f>IF(D532="","",W532*IF(AND(ISNUMBER(AB532),AB532&gt;0,AB532&lt;1),AB532*100,AB532)/100)</f>
        <v/>
      </c>
      <c r="Y532" s="5">
        <f>IF(D532="","",AA532*Z532/100)</f>
        <v/>
      </c>
      <c r="Z532" s="5">
        <f>IF(D532="","",W532-X532)</f>
        <v/>
      </c>
      <c r="AC532" s="5">
        <f>IF(D532="","",Z532-Y532)</f>
        <v/>
      </c>
      <c r="AD532">
        <f>IF(D532="","",N(AD531)+IF(MATCH(D532,$D$2:$D$2501,0)=ROW()-1,1,0))</f>
        <v/>
      </c>
    </row>
    <row r="533">
      <c r="X533" s="5">
        <f>IF(D533="","",W533*IF(AND(ISNUMBER(AB533),AB533&gt;0,AB533&lt;1),AB533*100,AB533)/100)</f>
        <v/>
      </c>
      <c r="Y533" s="5">
        <f>IF(D533="","",AA533*Z533/100)</f>
        <v/>
      </c>
      <c r="Z533" s="5">
        <f>IF(D533="","",W533-X533)</f>
        <v/>
      </c>
      <c r="AC533" s="5">
        <f>IF(D533="","",Z533-Y533)</f>
        <v/>
      </c>
      <c r="AD533">
        <f>IF(D533="","",N(AD532)+IF(MATCH(D533,$D$2:$D$2501,0)=ROW()-1,1,0))</f>
        <v/>
      </c>
    </row>
    <row r="534">
      <c r="X534" s="5">
        <f>IF(D534="","",W534*IF(AND(ISNUMBER(AB534),AB534&gt;0,AB534&lt;1),AB534*100,AB534)/100)</f>
        <v/>
      </c>
      <c r="Y534" s="5">
        <f>IF(D534="","",AA534*Z534/100)</f>
        <v/>
      </c>
      <c r="Z534" s="5">
        <f>IF(D534="","",W534-X534)</f>
        <v/>
      </c>
      <c r="AC534" s="5">
        <f>IF(D534="","",Z534-Y534)</f>
        <v/>
      </c>
      <c r="AD534">
        <f>IF(D534="","",N(AD533)+IF(MATCH(D534,$D$2:$D$2501,0)=ROW()-1,1,0))</f>
        <v/>
      </c>
    </row>
    <row r="535">
      <c r="X535" s="5">
        <f>IF(D535="","",W535*IF(AND(ISNUMBER(AB535),AB535&gt;0,AB535&lt;1),AB535*100,AB535)/100)</f>
        <v/>
      </c>
      <c r="Y535" s="5">
        <f>IF(D535="","",AA535*Z535/100)</f>
        <v/>
      </c>
      <c r="Z535" s="5">
        <f>IF(D535="","",W535-X535)</f>
        <v/>
      </c>
      <c r="AC535" s="5">
        <f>IF(D535="","",Z535-Y535)</f>
        <v/>
      </c>
      <c r="AD535">
        <f>IF(D535="","",N(AD534)+IF(MATCH(D535,$D$2:$D$2501,0)=ROW()-1,1,0))</f>
        <v/>
      </c>
    </row>
    <row r="536">
      <c r="X536" s="5">
        <f>IF(D536="","",W536*IF(AND(ISNUMBER(AB536),AB536&gt;0,AB536&lt;1),AB536*100,AB536)/100)</f>
        <v/>
      </c>
      <c r="Y536" s="5">
        <f>IF(D536="","",AA536*Z536/100)</f>
        <v/>
      </c>
      <c r="Z536" s="5">
        <f>IF(D536="","",W536-X536)</f>
        <v/>
      </c>
      <c r="AC536" s="5">
        <f>IF(D536="","",Z536-Y536)</f>
        <v/>
      </c>
      <c r="AD536">
        <f>IF(D536="","",N(AD535)+IF(MATCH(D536,$D$2:$D$2501,0)=ROW()-1,1,0))</f>
        <v/>
      </c>
    </row>
    <row r="537">
      <c r="X537" s="5">
        <f>IF(D537="","",W537*IF(AND(ISNUMBER(AB537),AB537&gt;0,AB537&lt;1),AB537*100,AB537)/100)</f>
        <v/>
      </c>
      <c r="Y537" s="5">
        <f>IF(D537="","",AA537*Z537/100)</f>
        <v/>
      </c>
      <c r="Z537" s="5">
        <f>IF(D537="","",W537-X537)</f>
        <v/>
      </c>
      <c r="AC537" s="5">
        <f>IF(D537="","",Z537-Y537)</f>
        <v/>
      </c>
      <c r="AD537">
        <f>IF(D537="","",N(AD536)+IF(MATCH(D537,$D$2:$D$2501,0)=ROW()-1,1,0))</f>
        <v/>
      </c>
    </row>
    <row r="538">
      <c r="X538" s="5">
        <f>IF(D538="","",W538*IF(AND(ISNUMBER(AB538),AB538&gt;0,AB538&lt;1),AB538*100,AB538)/100)</f>
        <v/>
      </c>
      <c r="Y538" s="5">
        <f>IF(D538="","",AA538*Z538/100)</f>
        <v/>
      </c>
      <c r="Z538" s="5">
        <f>IF(D538="","",W538-X538)</f>
        <v/>
      </c>
      <c r="AC538" s="5">
        <f>IF(D538="","",Z538-Y538)</f>
        <v/>
      </c>
      <c r="AD538">
        <f>IF(D538="","",N(AD537)+IF(MATCH(D538,$D$2:$D$2501,0)=ROW()-1,1,0))</f>
        <v/>
      </c>
    </row>
    <row r="539">
      <c r="X539" s="5">
        <f>IF(D539="","",W539*IF(AND(ISNUMBER(AB539),AB539&gt;0,AB539&lt;1),AB539*100,AB539)/100)</f>
        <v/>
      </c>
      <c r="Y539" s="5">
        <f>IF(D539="","",AA539*Z539/100)</f>
        <v/>
      </c>
      <c r="Z539" s="5">
        <f>IF(D539="","",W539-X539)</f>
        <v/>
      </c>
      <c r="AC539" s="5">
        <f>IF(D539="","",Z539-Y539)</f>
        <v/>
      </c>
      <c r="AD539">
        <f>IF(D539="","",N(AD538)+IF(MATCH(D539,$D$2:$D$2501,0)=ROW()-1,1,0))</f>
        <v/>
      </c>
    </row>
    <row r="540">
      <c r="X540" s="5">
        <f>IF(D540="","",W540*IF(AND(ISNUMBER(AB540),AB540&gt;0,AB540&lt;1),AB540*100,AB540)/100)</f>
        <v/>
      </c>
      <c r="Y540" s="5">
        <f>IF(D540="","",AA540*Z540/100)</f>
        <v/>
      </c>
      <c r="Z540" s="5">
        <f>IF(D540="","",W540-X540)</f>
        <v/>
      </c>
      <c r="AC540" s="5">
        <f>IF(D540="","",Z540-Y540)</f>
        <v/>
      </c>
      <c r="AD540">
        <f>IF(D540="","",N(AD539)+IF(MATCH(D540,$D$2:$D$2501,0)=ROW()-1,1,0))</f>
        <v/>
      </c>
    </row>
    <row r="541">
      <c r="X541" s="5">
        <f>IF(D541="","",W541*IF(AND(ISNUMBER(AB541),AB541&gt;0,AB541&lt;1),AB541*100,AB541)/100)</f>
        <v/>
      </c>
      <c r="Y541" s="5">
        <f>IF(D541="","",AA541*Z541/100)</f>
        <v/>
      </c>
      <c r="Z541" s="5">
        <f>IF(D541="","",W541-X541)</f>
        <v/>
      </c>
      <c r="AC541" s="5">
        <f>IF(D541="","",Z541-Y541)</f>
        <v/>
      </c>
      <c r="AD541">
        <f>IF(D541="","",N(AD540)+IF(MATCH(D541,$D$2:$D$2501,0)=ROW()-1,1,0))</f>
        <v/>
      </c>
    </row>
    <row r="542">
      <c r="X542" s="5">
        <f>IF(D542="","",W542*IF(AND(ISNUMBER(AB542),AB542&gt;0,AB542&lt;1),AB542*100,AB542)/100)</f>
        <v/>
      </c>
      <c r="Y542" s="5">
        <f>IF(D542="","",AA542*Z542/100)</f>
        <v/>
      </c>
      <c r="Z542" s="5">
        <f>IF(D542="","",W542-X542)</f>
        <v/>
      </c>
      <c r="AC542" s="5">
        <f>IF(D542="","",Z542-Y542)</f>
        <v/>
      </c>
      <c r="AD542">
        <f>IF(D542="","",N(AD541)+IF(MATCH(D542,$D$2:$D$2501,0)=ROW()-1,1,0))</f>
        <v/>
      </c>
    </row>
    <row r="543">
      <c r="X543" s="5">
        <f>IF(D543="","",W543*IF(AND(ISNUMBER(AB543),AB543&gt;0,AB543&lt;1),AB543*100,AB543)/100)</f>
        <v/>
      </c>
      <c r="Y543" s="5">
        <f>IF(D543="","",AA543*Z543/100)</f>
        <v/>
      </c>
      <c r="Z543" s="5">
        <f>IF(D543="","",W543-X543)</f>
        <v/>
      </c>
      <c r="AC543" s="5">
        <f>IF(D543="","",Z543-Y543)</f>
        <v/>
      </c>
      <c r="AD543">
        <f>IF(D543="","",N(AD542)+IF(MATCH(D543,$D$2:$D$2501,0)=ROW()-1,1,0))</f>
        <v/>
      </c>
    </row>
    <row r="544">
      <c r="X544" s="5">
        <f>IF(D544="","",W544*IF(AND(ISNUMBER(AB544),AB544&gt;0,AB544&lt;1),AB544*100,AB544)/100)</f>
        <v/>
      </c>
      <c r="Y544" s="5">
        <f>IF(D544="","",AA544*Z544/100)</f>
        <v/>
      </c>
      <c r="Z544" s="5">
        <f>IF(D544="","",W544-X544)</f>
        <v/>
      </c>
      <c r="AC544" s="5">
        <f>IF(D544="","",Z544-Y544)</f>
        <v/>
      </c>
      <c r="AD544">
        <f>IF(D544="","",N(AD543)+IF(MATCH(D544,$D$2:$D$2501,0)=ROW()-1,1,0))</f>
        <v/>
      </c>
    </row>
    <row r="545">
      <c r="X545" s="5">
        <f>IF(D545="","",W545*IF(AND(ISNUMBER(AB545),AB545&gt;0,AB545&lt;1),AB545*100,AB545)/100)</f>
        <v/>
      </c>
      <c r="Y545" s="5">
        <f>IF(D545="","",AA545*Z545/100)</f>
        <v/>
      </c>
      <c r="Z545" s="5">
        <f>IF(D545="","",W545-X545)</f>
        <v/>
      </c>
      <c r="AC545" s="5">
        <f>IF(D545="","",Z545-Y545)</f>
        <v/>
      </c>
      <c r="AD545">
        <f>IF(D545="","",N(AD544)+IF(MATCH(D545,$D$2:$D$2501,0)=ROW()-1,1,0))</f>
        <v/>
      </c>
    </row>
    <row r="546">
      <c r="X546" s="5">
        <f>IF(D546="","",W546*IF(AND(ISNUMBER(AB546),AB546&gt;0,AB546&lt;1),AB546*100,AB546)/100)</f>
        <v/>
      </c>
      <c r="Y546" s="5">
        <f>IF(D546="","",AA546*Z546/100)</f>
        <v/>
      </c>
      <c r="Z546" s="5">
        <f>IF(D546="","",W546-X546)</f>
        <v/>
      </c>
      <c r="AC546" s="5">
        <f>IF(D546="","",Z546-Y546)</f>
        <v/>
      </c>
      <c r="AD546">
        <f>IF(D546="","",N(AD545)+IF(MATCH(D546,$D$2:$D$2501,0)=ROW()-1,1,0))</f>
        <v/>
      </c>
    </row>
    <row r="547">
      <c r="X547" s="5">
        <f>IF(D547="","",W547*IF(AND(ISNUMBER(AB547),AB547&gt;0,AB547&lt;1),AB547*100,AB547)/100)</f>
        <v/>
      </c>
      <c r="Y547" s="5">
        <f>IF(D547="","",AA547*Z547/100)</f>
        <v/>
      </c>
      <c r="Z547" s="5">
        <f>IF(D547="","",W547-X547)</f>
        <v/>
      </c>
      <c r="AC547" s="5">
        <f>IF(D547="","",Z547-Y547)</f>
        <v/>
      </c>
      <c r="AD547">
        <f>IF(D547="","",N(AD546)+IF(MATCH(D547,$D$2:$D$2501,0)=ROW()-1,1,0))</f>
        <v/>
      </c>
    </row>
    <row r="548">
      <c r="X548" s="5">
        <f>IF(D548="","",W548*IF(AND(ISNUMBER(AB548),AB548&gt;0,AB548&lt;1),AB548*100,AB548)/100)</f>
        <v/>
      </c>
      <c r="Y548" s="5">
        <f>IF(D548="","",AA548*Z548/100)</f>
        <v/>
      </c>
      <c r="Z548" s="5">
        <f>IF(D548="","",W548-X548)</f>
        <v/>
      </c>
      <c r="AC548" s="5">
        <f>IF(D548="","",Z548-Y548)</f>
        <v/>
      </c>
      <c r="AD548">
        <f>IF(D548="","",N(AD547)+IF(MATCH(D548,$D$2:$D$2501,0)=ROW()-1,1,0))</f>
        <v/>
      </c>
    </row>
    <row r="549">
      <c r="X549" s="5">
        <f>IF(D549="","",W549*IF(AND(ISNUMBER(AB549),AB549&gt;0,AB549&lt;1),AB549*100,AB549)/100)</f>
        <v/>
      </c>
      <c r="Y549" s="5">
        <f>IF(D549="","",AA549*Z549/100)</f>
        <v/>
      </c>
      <c r="Z549" s="5">
        <f>IF(D549="","",W549-X549)</f>
        <v/>
      </c>
      <c r="AC549" s="5">
        <f>IF(D549="","",Z549-Y549)</f>
        <v/>
      </c>
      <c r="AD549">
        <f>IF(D549="","",N(AD548)+IF(MATCH(D549,$D$2:$D$2501,0)=ROW()-1,1,0))</f>
        <v/>
      </c>
    </row>
    <row r="550">
      <c r="X550" s="5">
        <f>IF(D550="","",W550*IF(AND(ISNUMBER(AB550),AB550&gt;0,AB550&lt;1),AB550*100,AB550)/100)</f>
        <v/>
      </c>
      <c r="Y550" s="5">
        <f>IF(D550="","",AA550*Z550/100)</f>
        <v/>
      </c>
      <c r="Z550" s="5">
        <f>IF(D550="","",W550-X550)</f>
        <v/>
      </c>
      <c r="AC550" s="5">
        <f>IF(D550="","",Z550-Y550)</f>
        <v/>
      </c>
      <c r="AD550">
        <f>IF(D550="","",N(AD549)+IF(MATCH(D550,$D$2:$D$2501,0)=ROW()-1,1,0))</f>
        <v/>
      </c>
    </row>
    <row r="551">
      <c r="X551" s="5">
        <f>IF(D551="","",W551*IF(AND(ISNUMBER(AB551),AB551&gt;0,AB551&lt;1),AB551*100,AB551)/100)</f>
        <v/>
      </c>
      <c r="Y551" s="5">
        <f>IF(D551="","",AA551*Z551/100)</f>
        <v/>
      </c>
      <c r="Z551" s="5">
        <f>IF(D551="","",W551-X551)</f>
        <v/>
      </c>
      <c r="AC551" s="5">
        <f>IF(D551="","",Z551-Y551)</f>
        <v/>
      </c>
      <c r="AD551">
        <f>IF(D551="","",N(AD550)+IF(MATCH(D551,$D$2:$D$2501,0)=ROW()-1,1,0))</f>
        <v/>
      </c>
    </row>
    <row r="552">
      <c r="X552" s="5">
        <f>IF(D552="","",W552*IF(AND(ISNUMBER(AB552),AB552&gt;0,AB552&lt;1),AB552*100,AB552)/100)</f>
        <v/>
      </c>
      <c r="Y552" s="5">
        <f>IF(D552="","",AA552*Z552/100)</f>
        <v/>
      </c>
      <c r="Z552" s="5">
        <f>IF(D552="","",W552-X552)</f>
        <v/>
      </c>
      <c r="AC552" s="5">
        <f>IF(D552="","",Z552-Y552)</f>
        <v/>
      </c>
      <c r="AD552">
        <f>IF(D552="","",N(AD551)+IF(MATCH(D552,$D$2:$D$2501,0)=ROW()-1,1,0))</f>
        <v/>
      </c>
    </row>
    <row r="553">
      <c r="X553" s="5">
        <f>IF(D553="","",W553*IF(AND(ISNUMBER(AB553),AB553&gt;0,AB553&lt;1),AB553*100,AB553)/100)</f>
        <v/>
      </c>
      <c r="Y553" s="5">
        <f>IF(D553="","",AA553*Z553/100)</f>
        <v/>
      </c>
      <c r="Z553" s="5">
        <f>IF(D553="","",W553-X553)</f>
        <v/>
      </c>
      <c r="AC553" s="5">
        <f>IF(D553="","",Z553-Y553)</f>
        <v/>
      </c>
      <c r="AD553">
        <f>IF(D553="","",N(AD552)+IF(MATCH(D553,$D$2:$D$2501,0)=ROW()-1,1,0))</f>
        <v/>
      </c>
    </row>
    <row r="554">
      <c r="X554" s="5">
        <f>IF(D554="","",W554*IF(AND(ISNUMBER(AB554),AB554&gt;0,AB554&lt;1),AB554*100,AB554)/100)</f>
        <v/>
      </c>
      <c r="Y554" s="5">
        <f>IF(D554="","",AA554*Z554/100)</f>
        <v/>
      </c>
      <c r="Z554" s="5">
        <f>IF(D554="","",W554-X554)</f>
        <v/>
      </c>
      <c r="AC554" s="5">
        <f>IF(D554="","",Z554-Y554)</f>
        <v/>
      </c>
      <c r="AD554">
        <f>IF(D554="","",N(AD553)+IF(MATCH(D554,$D$2:$D$2501,0)=ROW()-1,1,0))</f>
        <v/>
      </c>
    </row>
    <row r="555">
      <c r="X555" s="5">
        <f>IF(D555="","",W555*IF(AND(ISNUMBER(AB555),AB555&gt;0,AB555&lt;1),AB555*100,AB555)/100)</f>
        <v/>
      </c>
      <c r="Y555" s="5">
        <f>IF(D555="","",AA555*Z555/100)</f>
        <v/>
      </c>
      <c r="Z555" s="5">
        <f>IF(D555="","",W555-X555)</f>
        <v/>
      </c>
      <c r="AC555" s="5">
        <f>IF(D555="","",Z555-Y555)</f>
        <v/>
      </c>
      <c r="AD555">
        <f>IF(D555="","",N(AD554)+IF(MATCH(D555,$D$2:$D$2501,0)=ROW()-1,1,0))</f>
        <v/>
      </c>
    </row>
    <row r="556">
      <c r="X556" s="5">
        <f>IF(D556="","",W556*IF(AND(ISNUMBER(AB556),AB556&gt;0,AB556&lt;1),AB556*100,AB556)/100)</f>
        <v/>
      </c>
      <c r="Y556" s="5">
        <f>IF(D556="","",AA556*Z556/100)</f>
        <v/>
      </c>
      <c r="Z556" s="5">
        <f>IF(D556="","",W556-X556)</f>
        <v/>
      </c>
      <c r="AC556" s="5">
        <f>IF(D556="","",Z556-Y556)</f>
        <v/>
      </c>
      <c r="AD556">
        <f>IF(D556="","",N(AD555)+IF(MATCH(D556,$D$2:$D$2501,0)=ROW()-1,1,0))</f>
        <v/>
      </c>
    </row>
    <row r="557">
      <c r="X557" s="5">
        <f>IF(D557="","",W557*IF(AND(ISNUMBER(AB557),AB557&gt;0,AB557&lt;1),AB557*100,AB557)/100)</f>
        <v/>
      </c>
      <c r="Y557" s="5">
        <f>IF(D557="","",AA557*Z557/100)</f>
        <v/>
      </c>
      <c r="Z557" s="5">
        <f>IF(D557="","",W557-X557)</f>
        <v/>
      </c>
      <c r="AC557" s="5">
        <f>IF(D557="","",Z557-Y557)</f>
        <v/>
      </c>
      <c r="AD557">
        <f>IF(D557="","",N(AD556)+IF(MATCH(D557,$D$2:$D$2501,0)=ROW()-1,1,0))</f>
        <v/>
      </c>
    </row>
    <row r="558">
      <c r="X558" s="5">
        <f>IF(D558="","",W558*IF(AND(ISNUMBER(AB558),AB558&gt;0,AB558&lt;1),AB558*100,AB558)/100)</f>
        <v/>
      </c>
      <c r="Y558" s="5">
        <f>IF(D558="","",AA558*Z558/100)</f>
        <v/>
      </c>
      <c r="Z558" s="5">
        <f>IF(D558="","",W558-X558)</f>
        <v/>
      </c>
      <c r="AC558" s="5">
        <f>IF(D558="","",Z558-Y558)</f>
        <v/>
      </c>
      <c r="AD558">
        <f>IF(D558="","",N(AD557)+IF(MATCH(D558,$D$2:$D$2501,0)=ROW()-1,1,0))</f>
        <v/>
      </c>
    </row>
    <row r="559">
      <c r="X559" s="5">
        <f>IF(D559="","",W559*IF(AND(ISNUMBER(AB559),AB559&gt;0,AB559&lt;1),AB559*100,AB559)/100)</f>
        <v/>
      </c>
      <c r="Y559" s="5">
        <f>IF(D559="","",AA559*Z559/100)</f>
        <v/>
      </c>
      <c r="Z559" s="5">
        <f>IF(D559="","",W559-X559)</f>
        <v/>
      </c>
      <c r="AC559" s="5">
        <f>IF(D559="","",Z559-Y559)</f>
        <v/>
      </c>
      <c r="AD559">
        <f>IF(D559="","",N(AD558)+IF(MATCH(D559,$D$2:$D$2501,0)=ROW()-1,1,0))</f>
        <v/>
      </c>
    </row>
    <row r="560">
      <c r="X560" s="5">
        <f>IF(D560="","",W560*IF(AND(ISNUMBER(AB560),AB560&gt;0,AB560&lt;1),AB560*100,AB560)/100)</f>
        <v/>
      </c>
      <c r="Y560" s="5">
        <f>IF(D560="","",AA560*Z560/100)</f>
        <v/>
      </c>
      <c r="Z560" s="5">
        <f>IF(D560="","",W560-X560)</f>
        <v/>
      </c>
      <c r="AC560" s="5">
        <f>IF(D560="","",Z560-Y560)</f>
        <v/>
      </c>
      <c r="AD560">
        <f>IF(D560="","",N(AD559)+IF(MATCH(D560,$D$2:$D$2501,0)=ROW()-1,1,0))</f>
        <v/>
      </c>
    </row>
    <row r="561">
      <c r="X561" s="5">
        <f>IF(D561="","",W561*IF(AND(ISNUMBER(AB561),AB561&gt;0,AB561&lt;1),AB561*100,AB561)/100)</f>
        <v/>
      </c>
      <c r="Y561" s="5">
        <f>IF(D561="","",AA561*Z561/100)</f>
        <v/>
      </c>
      <c r="Z561" s="5">
        <f>IF(D561="","",W561-X561)</f>
        <v/>
      </c>
      <c r="AC561" s="5">
        <f>IF(D561="","",Z561-Y561)</f>
        <v/>
      </c>
      <c r="AD561">
        <f>IF(D561="","",N(AD560)+IF(MATCH(D561,$D$2:$D$2501,0)=ROW()-1,1,0))</f>
        <v/>
      </c>
    </row>
    <row r="562">
      <c r="X562" s="5">
        <f>IF(D562="","",W562*IF(AND(ISNUMBER(AB562),AB562&gt;0,AB562&lt;1),AB562*100,AB562)/100)</f>
        <v/>
      </c>
      <c r="Y562" s="5">
        <f>IF(D562="","",AA562*Z562/100)</f>
        <v/>
      </c>
      <c r="Z562" s="5">
        <f>IF(D562="","",W562-X562)</f>
        <v/>
      </c>
      <c r="AC562" s="5">
        <f>IF(D562="","",Z562-Y562)</f>
        <v/>
      </c>
      <c r="AD562">
        <f>IF(D562="","",N(AD561)+IF(MATCH(D562,$D$2:$D$2501,0)=ROW()-1,1,0))</f>
        <v/>
      </c>
    </row>
    <row r="563">
      <c r="X563" s="5">
        <f>IF(D563="","",W563*IF(AND(ISNUMBER(AB563),AB563&gt;0,AB563&lt;1),AB563*100,AB563)/100)</f>
        <v/>
      </c>
      <c r="Y563" s="5">
        <f>IF(D563="","",AA563*Z563/100)</f>
        <v/>
      </c>
      <c r="Z563" s="5">
        <f>IF(D563="","",W563-X563)</f>
        <v/>
      </c>
      <c r="AC563" s="5">
        <f>IF(D563="","",Z563-Y563)</f>
        <v/>
      </c>
      <c r="AD563">
        <f>IF(D563="","",N(AD562)+IF(MATCH(D563,$D$2:$D$2501,0)=ROW()-1,1,0))</f>
        <v/>
      </c>
    </row>
    <row r="564">
      <c r="X564" s="5">
        <f>IF(D564="","",W564*IF(AND(ISNUMBER(AB564),AB564&gt;0,AB564&lt;1),AB564*100,AB564)/100)</f>
        <v/>
      </c>
      <c r="Y564" s="5">
        <f>IF(D564="","",AA564*Z564/100)</f>
        <v/>
      </c>
      <c r="Z564" s="5">
        <f>IF(D564="","",W564-X564)</f>
        <v/>
      </c>
      <c r="AC564" s="5">
        <f>IF(D564="","",Z564-Y564)</f>
        <v/>
      </c>
      <c r="AD564">
        <f>IF(D564="","",N(AD563)+IF(MATCH(D564,$D$2:$D$2501,0)=ROW()-1,1,0))</f>
        <v/>
      </c>
    </row>
    <row r="565">
      <c r="X565" s="5">
        <f>IF(D565="","",W565*IF(AND(ISNUMBER(AB565),AB565&gt;0,AB565&lt;1),AB565*100,AB565)/100)</f>
        <v/>
      </c>
      <c r="Y565" s="5">
        <f>IF(D565="","",AA565*Z565/100)</f>
        <v/>
      </c>
      <c r="Z565" s="5">
        <f>IF(D565="","",W565-X565)</f>
        <v/>
      </c>
      <c r="AC565" s="5">
        <f>IF(D565="","",Z565-Y565)</f>
        <v/>
      </c>
      <c r="AD565">
        <f>IF(D565="","",N(AD564)+IF(MATCH(D565,$D$2:$D$2501,0)=ROW()-1,1,0))</f>
        <v/>
      </c>
    </row>
    <row r="566">
      <c r="X566" s="5">
        <f>IF(D566="","",W566*IF(AND(ISNUMBER(AB566),AB566&gt;0,AB566&lt;1),AB566*100,AB566)/100)</f>
        <v/>
      </c>
      <c r="Y566" s="5">
        <f>IF(D566="","",AA566*Z566/100)</f>
        <v/>
      </c>
      <c r="Z566" s="5">
        <f>IF(D566="","",W566-X566)</f>
        <v/>
      </c>
      <c r="AC566" s="5">
        <f>IF(D566="","",Z566-Y566)</f>
        <v/>
      </c>
      <c r="AD566">
        <f>IF(D566="","",N(AD565)+IF(MATCH(D566,$D$2:$D$2501,0)=ROW()-1,1,0))</f>
        <v/>
      </c>
    </row>
    <row r="567">
      <c r="X567" s="5">
        <f>IF(D567="","",W567*IF(AND(ISNUMBER(AB567),AB567&gt;0,AB567&lt;1),AB567*100,AB567)/100)</f>
        <v/>
      </c>
      <c r="Y567" s="5">
        <f>IF(D567="","",AA567*Z567/100)</f>
        <v/>
      </c>
      <c r="Z567" s="5">
        <f>IF(D567="","",W567-X567)</f>
        <v/>
      </c>
      <c r="AC567" s="5">
        <f>IF(D567="","",Z567-Y567)</f>
        <v/>
      </c>
      <c r="AD567">
        <f>IF(D567="","",N(AD566)+IF(MATCH(D567,$D$2:$D$2501,0)=ROW()-1,1,0))</f>
        <v/>
      </c>
    </row>
    <row r="568">
      <c r="X568" s="5">
        <f>IF(D568="","",W568*IF(AND(ISNUMBER(AB568),AB568&gt;0,AB568&lt;1),AB568*100,AB568)/100)</f>
        <v/>
      </c>
      <c r="Y568" s="5">
        <f>IF(D568="","",AA568*Z568/100)</f>
        <v/>
      </c>
      <c r="Z568" s="5">
        <f>IF(D568="","",W568-X568)</f>
        <v/>
      </c>
      <c r="AC568" s="5">
        <f>IF(D568="","",Z568-Y568)</f>
        <v/>
      </c>
      <c r="AD568">
        <f>IF(D568="","",N(AD567)+IF(MATCH(D568,$D$2:$D$2501,0)=ROW()-1,1,0))</f>
        <v/>
      </c>
    </row>
    <row r="569">
      <c r="X569" s="5">
        <f>IF(D569="","",W569*IF(AND(ISNUMBER(AB569),AB569&gt;0,AB569&lt;1),AB569*100,AB569)/100)</f>
        <v/>
      </c>
      <c r="Y569" s="5">
        <f>IF(D569="","",AA569*Z569/100)</f>
        <v/>
      </c>
      <c r="Z569" s="5">
        <f>IF(D569="","",W569-X569)</f>
        <v/>
      </c>
      <c r="AC569" s="5">
        <f>IF(D569="","",Z569-Y569)</f>
        <v/>
      </c>
      <c r="AD569">
        <f>IF(D569="","",N(AD568)+IF(MATCH(D569,$D$2:$D$2501,0)=ROW()-1,1,0))</f>
        <v/>
      </c>
    </row>
    <row r="570">
      <c r="X570" s="5">
        <f>IF(D570="","",W570*IF(AND(ISNUMBER(AB570),AB570&gt;0,AB570&lt;1),AB570*100,AB570)/100)</f>
        <v/>
      </c>
      <c r="Y570" s="5">
        <f>IF(D570="","",AA570*Z570/100)</f>
        <v/>
      </c>
      <c r="Z570" s="5">
        <f>IF(D570="","",W570-X570)</f>
        <v/>
      </c>
      <c r="AC570" s="5">
        <f>IF(D570="","",Z570-Y570)</f>
        <v/>
      </c>
      <c r="AD570">
        <f>IF(D570="","",N(AD569)+IF(MATCH(D570,$D$2:$D$2501,0)=ROW()-1,1,0))</f>
        <v/>
      </c>
    </row>
    <row r="571">
      <c r="X571" s="5">
        <f>IF(D571="","",W571*IF(AND(ISNUMBER(AB571),AB571&gt;0,AB571&lt;1),AB571*100,AB571)/100)</f>
        <v/>
      </c>
      <c r="Y571" s="5">
        <f>IF(D571="","",AA571*Z571/100)</f>
        <v/>
      </c>
      <c r="Z571" s="5">
        <f>IF(D571="","",W571-X571)</f>
        <v/>
      </c>
      <c r="AC571" s="5">
        <f>IF(D571="","",Z571-Y571)</f>
        <v/>
      </c>
      <c r="AD571">
        <f>IF(D571="","",N(AD570)+IF(MATCH(D571,$D$2:$D$2501,0)=ROW()-1,1,0))</f>
        <v/>
      </c>
    </row>
    <row r="572">
      <c r="X572" s="5">
        <f>IF(D572="","",W572*IF(AND(ISNUMBER(AB572),AB572&gt;0,AB572&lt;1),AB572*100,AB572)/100)</f>
        <v/>
      </c>
      <c r="Y572" s="5">
        <f>IF(D572="","",AA572*Z572/100)</f>
        <v/>
      </c>
      <c r="Z572" s="5">
        <f>IF(D572="","",W572-X572)</f>
        <v/>
      </c>
      <c r="AC572" s="5">
        <f>IF(D572="","",Z572-Y572)</f>
        <v/>
      </c>
      <c r="AD572">
        <f>IF(D572="","",N(AD571)+IF(MATCH(D572,$D$2:$D$2501,0)=ROW()-1,1,0))</f>
        <v/>
      </c>
    </row>
    <row r="573">
      <c r="X573" s="5">
        <f>IF(D573="","",W573*IF(AND(ISNUMBER(AB573),AB573&gt;0,AB573&lt;1),AB573*100,AB573)/100)</f>
        <v/>
      </c>
      <c r="Y573" s="5">
        <f>IF(D573="","",AA573*Z573/100)</f>
        <v/>
      </c>
      <c r="Z573" s="5">
        <f>IF(D573="","",W573-X573)</f>
        <v/>
      </c>
      <c r="AC573" s="5">
        <f>IF(D573="","",Z573-Y573)</f>
        <v/>
      </c>
      <c r="AD573">
        <f>IF(D573="","",N(AD572)+IF(MATCH(D573,$D$2:$D$2501,0)=ROW()-1,1,0))</f>
        <v/>
      </c>
    </row>
    <row r="574">
      <c r="X574" s="5">
        <f>IF(D574="","",W574*IF(AND(ISNUMBER(AB574),AB574&gt;0,AB574&lt;1),AB574*100,AB574)/100)</f>
        <v/>
      </c>
      <c r="Y574" s="5">
        <f>IF(D574="","",AA574*Z574/100)</f>
        <v/>
      </c>
      <c r="Z574" s="5">
        <f>IF(D574="","",W574-X574)</f>
        <v/>
      </c>
      <c r="AC574" s="5">
        <f>IF(D574="","",Z574-Y574)</f>
        <v/>
      </c>
      <c r="AD574">
        <f>IF(D574="","",N(AD573)+IF(MATCH(D574,$D$2:$D$2501,0)=ROW()-1,1,0))</f>
        <v/>
      </c>
    </row>
    <row r="575">
      <c r="X575" s="5">
        <f>IF(D575="","",W575*IF(AND(ISNUMBER(AB575),AB575&gt;0,AB575&lt;1),AB575*100,AB575)/100)</f>
        <v/>
      </c>
      <c r="Y575" s="5">
        <f>IF(D575="","",AA575*Z575/100)</f>
        <v/>
      </c>
      <c r="Z575" s="5">
        <f>IF(D575="","",W575-X575)</f>
        <v/>
      </c>
      <c r="AC575" s="5">
        <f>IF(D575="","",Z575-Y575)</f>
        <v/>
      </c>
      <c r="AD575">
        <f>IF(D575="","",N(AD574)+IF(MATCH(D575,$D$2:$D$2501,0)=ROW()-1,1,0))</f>
        <v/>
      </c>
    </row>
    <row r="576">
      <c r="X576" s="5">
        <f>IF(D576="","",W576*IF(AND(ISNUMBER(AB576),AB576&gt;0,AB576&lt;1),AB576*100,AB576)/100)</f>
        <v/>
      </c>
      <c r="Y576" s="5">
        <f>IF(D576="","",AA576*Z576/100)</f>
        <v/>
      </c>
      <c r="Z576" s="5">
        <f>IF(D576="","",W576-X576)</f>
        <v/>
      </c>
      <c r="AC576" s="5">
        <f>IF(D576="","",Z576-Y576)</f>
        <v/>
      </c>
      <c r="AD576">
        <f>IF(D576="","",N(AD575)+IF(MATCH(D576,$D$2:$D$2501,0)=ROW()-1,1,0))</f>
        <v/>
      </c>
    </row>
    <row r="577">
      <c r="X577" s="5">
        <f>IF(D577="","",W577*IF(AND(ISNUMBER(AB577),AB577&gt;0,AB577&lt;1),AB577*100,AB577)/100)</f>
        <v/>
      </c>
      <c r="Y577" s="5">
        <f>IF(D577="","",AA577*Z577/100)</f>
        <v/>
      </c>
      <c r="Z577" s="5">
        <f>IF(D577="","",W577-X577)</f>
        <v/>
      </c>
      <c r="AC577" s="5">
        <f>IF(D577="","",Z577-Y577)</f>
        <v/>
      </c>
      <c r="AD577">
        <f>IF(D577="","",N(AD576)+IF(MATCH(D577,$D$2:$D$2501,0)=ROW()-1,1,0))</f>
        <v/>
      </c>
    </row>
    <row r="578">
      <c r="X578" s="5">
        <f>IF(D578="","",W578*IF(AND(ISNUMBER(AB578),AB578&gt;0,AB578&lt;1),AB578*100,AB578)/100)</f>
        <v/>
      </c>
      <c r="Y578" s="5">
        <f>IF(D578="","",AA578*Z578/100)</f>
        <v/>
      </c>
      <c r="Z578" s="5">
        <f>IF(D578="","",W578-X578)</f>
        <v/>
      </c>
      <c r="AC578" s="5">
        <f>IF(D578="","",Z578-Y578)</f>
        <v/>
      </c>
      <c r="AD578">
        <f>IF(D578="","",N(AD577)+IF(MATCH(D578,$D$2:$D$2501,0)=ROW()-1,1,0))</f>
        <v/>
      </c>
    </row>
    <row r="579">
      <c r="X579" s="5">
        <f>IF(D579="","",W579*IF(AND(ISNUMBER(AB579),AB579&gt;0,AB579&lt;1),AB579*100,AB579)/100)</f>
        <v/>
      </c>
      <c r="Y579" s="5">
        <f>IF(D579="","",AA579*Z579/100)</f>
        <v/>
      </c>
      <c r="Z579" s="5">
        <f>IF(D579="","",W579-X579)</f>
        <v/>
      </c>
      <c r="AC579" s="5">
        <f>IF(D579="","",Z579-Y579)</f>
        <v/>
      </c>
      <c r="AD579">
        <f>IF(D579="","",N(AD578)+IF(MATCH(D579,$D$2:$D$2501,0)=ROW()-1,1,0))</f>
        <v/>
      </c>
    </row>
    <row r="580">
      <c r="X580" s="5">
        <f>IF(D580="","",W580*IF(AND(ISNUMBER(AB580),AB580&gt;0,AB580&lt;1),AB580*100,AB580)/100)</f>
        <v/>
      </c>
      <c r="Y580" s="5">
        <f>IF(D580="","",AA580*Z580/100)</f>
        <v/>
      </c>
      <c r="Z580" s="5">
        <f>IF(D580="","",W580-X580)</f>
        <v/>
      </c>
      <c r="AC580" s="5">
        <f>IF(D580="","",Z580-Y580)</f>
        <v/>
      </c>
      <c r="AD580">
        <f>IF(D580="","",N(AD579)+IF(MATCH(D580,$D$2:$D$2501,0)=ROW()-1,1,0))</f>
        <v/>
      </c>
    </row>
    <row r="581">
      <c r="X581" s="5">
        <f>IF(D581="","",W581*IF(AND(ISNUMBER(AB581),AB581&gt;0,AB581&lt;1),AB581*100,AB581)/100)</f>
        <v/>
      </c>
      <c r="Y581" s="5">
        <f>IF(D581="","",AA581*Z581/100)</f>
        <v/>
      </c>
      <c r="Z581" s="5">
        <f>IF(D581="","",W581-X581)</f>
        <v/>
      </c>
      <c r="AC581" s="5">
        <f>IF(D581="","",Z581-Y581)</f>
        <v/>
      </c>
      <c r="AD581">
        <f>IF(D581="","",N(AD580)+IF(MATCH(D581,$D$2:$D$2501,0)=ROW()-1,1,0))</f>
        <v/>
      </c>
    </row>
    <row r="582">
      <c r="X582" s="5">
        <f>IF(D582="","",W582*IF(AND(ISNUMBER(AB582),AB582&gt;0,AB582&lt;1),AB582*100,AB582)/100)</f>
        <v/>
      </c>
      <c r="Y582" s="5">
        <f>IF(D582="","",AA582*Z582/100)</f>
        <v/>
      </c>
      <c r="Z582" s="5">
        <f>IF(D582="","",W582-X582)</f>
        <v/>
      </c>
      <c r="AC582" s="5">
        <f>IF(D582="","",Z582-Y582)</f>
        <v/>
      </c>
      <c r="AD582">
        <f>IF(D582="","",N(AD581)+IF(MATCH(D582,$D$2:$D$2501,0)=ROW()-1,1,0))</f>
        <v/>
      </c>
    </row>
    <row r="583">
      <c r="X583" s="5">
        <f>IF(D583="","",W583*IF(AND(ISNUMBER(AB583),AB583&gt;0,AB583&lt;1),AB583*100,AB583)/100)</f>
        <v/>
      </c>
      <c r="Y583" s="5">
        <f>IF(D583="","",AA583*Z583/100)</f>
        <v/>
      </c>
      <c r="Z583" s="5">
        <f>IF(D583="","",W583-X583)</f>
        <v/>
      </c>
      <c r="AC583" s="5">
        <f>IF(D583="","",Z583-Y583)</f>
        <v/>
      </c>
      <c r="AD583">
        <f>IF(D583="","",N(AD582)+IF(MATCH(D583,$D$2:$D$2501,0)=ROW()-1,1,0))</f>
        <v/>
      </c>
    </row>
    <row r="584">
      <c r="X584" s="5">
        <f>IF(D584="","",W584*IF(AND(ISNUMBER(AB584),AB584&gt;0,AB584&lt;1),AB584*100,AB584)/100)</f>
        <v/>
      </c>
      <c r="Y584" s="5">
        <f>IF(D584="","",AA584*Z584/100)</f>
        <v/>
      </c>
      <c r="Z584" s="5">
        <f>IF(D584="","",W584-X584)</f>
        <v/>
      </c>
      <c r="AC584" s="5">
        <f>IF(D584="","",Z584-Y584)</f>
        <v/>
      </c>
      <c r="AD584">
        <f>IF(D584="","",N(AD583)+IF(MATCH(D584,$D$2:$D$2501,0)=ROW()-1,1,0))</f>
        <v/>
      </c>
    </row>
    <row r="585">
      <c r="X585" s="5">
        <f>IF(D585="","",W585*IF(AND(ISNUMBER(AB585),AB585&gt;0,AB585&lt;1),AB585*100,AB585)/100)</f>
        <v/>
      </c>
      <c r="Y585" s="5">
        <f>IF(D585="","",AA585*Z585/100)</f>
        <v/>
      </c>
      <c r="Z585" s="5">
        <f>IF(D585="","",W585-X585)</f>
        <v/>
      </c>
      <c r="AC585" s="5">
        <f>IF(D585="","",Z585-Y585)</f>
        <v/>
      </c>
      <c r="AD585">
        <f>IF(D585="","",N(AD584)+IF(MATCH(D585,$D$2:$D$2501,0)=ROW()-1,1,0))</f>
        <v/>
      </c>
    </row>
    <row r="586">
      <c r="X586" s="5">
        <f>IF(D586="","",W586*IF(AND(ISNUMBER(AB586),AB586&gt;0,AB586&lt;1),AB586*100,AB586)/100)</f>
        <v/>
      </c>
      <c r="Y586" s="5">
        <f>IF(D586="","",AA586*Z586/100)</f>
        <v/>
      </c>
      <c r="Z586" s="5">
        <f>IF(D586="","",W586-X586)</f>
        <v/>
      </c>
      <c r="AC586" s="5">
        <f>IF(D586="","",Z586-Y586)</f>
        <v/>
      </c>
      <c r="AD586">
        <f>IF(D586="","",N(AD585)+IF(MATCH(D586,$D$2:$D$2501,0)=ROW()-1,1,0))</f>
        <v/>
      </c>
    </row>
    <row r="587">
      <c r="X587" s="5">
        <f>IF(D587="","",W587*IF(AND(ISNUMBER(AB587),AB587&gt;0,AB587&lt;1),AB587*100,AB587)/100)</f>
        <v/>
      </c>
      <c r="Y587" s="5">
        <f>IF(D587="","",AA587*Z587/100)</f>
        <v/>
      </c>
      <c r="Z587" s="5">
        <f>IF(D587="","",W587-X587)</f>
        <v/>
      </c>
      <c r="AC587" s="5">
        <f>IF(D587="","",Z587-Y587)</f>
        <v/>
      </c>
      <c r="AD587">
        <f>IF(D587="","",N(AD586)+IF(MATCH(D587,$D$2:$D$2501,0)=ROW()-1,1,0))</f>
        <v/>
      </c>
    </row>
    <row r="588">
      <c r="X588" s="5">
        <f>IF(D588="","",W588*IF(AND(ISNUMBER(AB588),AB588&gt;0,AB588&lt;1),AB588*100,AB588)/100)</f>
        <v/>
      </c>
      <c r="Y588" s="5">
        <f>IF(D588="","",AA588*Z588/100)</f>
        <v/>
      </c>
      <c r="Z588" s="5">
        <f>IF(D588="","",W588-X588)</f>
        <v/>
      </c>
      <c r="AC588" s="5">
        <f>IF(D588="","",Z588-Y588)</f>
        <v/>
      </c>
      <c r="AD588">
        <f>IF(D588="","",N(AD587)+IF(MATCH(D588,$D$2:$D$2501,0)=ROW()-1,1,0))</f>
        <v/>
      </c>
    </row>
    <row r="589">
      <c r="X589" s="5">
        <f>IF(D589="","",W589*IF(AND(ISNUMBER(AB589),AB589&gt;0,AB589&lt;1),AB589*100,AB589)/100)</f>
        <v/>
      </c>
      <c r="Y589" s="5">
        <f>IF(D589="","",AA589*Z589/100)</f>
        <v/>
      </c>
      <c r="Z589" s="5">
        <f>IF(D589="","",W589-X589)</f>
        <v/>
      </c>
      <c r="AC589" s="5">
        <f>IF(D589="","",Z589-Y589)</f>
        <v/>
      </c>
      <c r="AD589">
        <f>IF(D589="","",N(AD588)+IF(MATCH(D589,$D$2:$D$2501,0)=ROW()-1,1,0))</f>
        <v/>
      </c>
    </row>
    <row r="590">
      <c r="X590" s="5">
        <f>IF(D590="","",W590*IF(AND(ISNUMBER(AB590),AB590&gt;0,AB590&lt;1),AB590*100,AB590)/100)</f>
        <v/>
      </c>
      <c r="Y590" s="5">
        <f>IF(D590="","",AA590*Z590/100)</f>
        <v/>
      </c>
      <c r="Z590" s="5">
        <f>IF(D590="","",W590-X590)</f>
        <v/>
      </c>
      <c r="AC590" s="5">
        <f>IF(D590="","",Z590-Y590)</f>
        <v/>
      </c>
      <c r="AD590">
        <f>IF(D590="","",N(AD589)+IF(MATCH(D590,$D$2:$D$2501,0)=ROW()-1,1,0))</f>
        <v/>
      </c>
    </row>
    <row r="591">
      <c r="X591" s="5">
        <f>IF(D591="","",W591*IF(AND(ISNUMBER(AB591),AB591&gt;0,AB591&lt;1),AB591*100,AB591)/100)</f>
        <v/>
      </c>
      <c r="Y591" s="5">
        <f>IF(D591="","",AA591*Z591/100)</f>
        <v/>
      </c>
      <c r="Z591" s="5">
        <f>IF(D591="","",W591-X591)</f>
        <v/>
      </c>
      <c r="AC591" s="5">
        <f>IF(D591="","",Z591-Y591)</f>
        <v/>
      </c>
      <c r="AD591">
        <f>IF(D591="","",N(AD590)+IF(MATCH(D591,$D$2:$D$2501,0)=ROW()-1,1,0))</f>
        <v/>
      </c>
    </row>
    <row r="592">
      <c r="X592" s="5">
        <f>IF(D592="","",W592*IF(AND(ISNUMBER(AB592),AB592&gt;0,AB592&lt;1),AB592*100,AB592)/100)</f>
        <v/>
      </c>
      <c r="Y592" s="5">
        <f>IF(D592="","",AA592*Z592/100)</f>
        <v/>
      </c>
      <c r="Z592" s="5">
        <f>IF(D592="","",W592-X592)</f>
        <v/>
      </c>
      <c r="AC592" s="5">
        <f>IF(D592="","",Z592-Y592)</f>
        <v/>
      </c>
      <c r="AD592">
        <f>IF(D592="","",N(AD591)+IF(MATCH(D592,$D$2:$D$2501,0)=ROW()-1,1,0))</f>
        <v/>
      </c>
    </row>
    <row r="593">
      <c r="X593" s="5">
        <f>IF(D593="","",W593*IF(AND(ISNUMBER(AB593),AB593&gt;0,AB593&lt;1),AB593*100,AB593)/100)</f>
        <v/>
      </c>
      <c r="Y593" s="5">
        <f>IF(D593="","",AA593*Z593/100)</f>
        <v/>
      </c>
      <c r="Z593" s="5">
        <f>IF(D593="","",W593-X593)</f>
        <v/>
      </c>
      <c r="AC593" s="5">
        <f>IF(D593="","",Z593-Y593)</f>
        <v/>
      </c>
      <c r="AD593">
        <f>IF(D593="","",N(AD592)+IF(MATCH(D593,$D$2:$D$2501,0)=ROW()-1,1,0))</f>
        <v/>
      </c>
    </row>
    <row r="594">
      <c r="X594" s="5">
        <f>IF(D594="","",W594*IF(AND(ISNUMBER(AB594),AB594&gt;0,AB594&lt;1),AB594*100,AB594)/100)</f>
        <v/>
      </c>
      <c r="Y594" s="5">
        <f>IF(D594="","",AA594*Z594/100)</f>
        <v/>
      </c>
      <c r="Z594" s="5">
        <f>IF(D594="","",W594-X594)</f>
        <v/>
      </c>
      <c r="AC594" s="5">
        <f>IF(D594="","",Z594-Y594)</f>
        <v/>
      </c>
      <c r="AD594">
        <f>IF(D594="","",N(AD593)+IF(MATCH(D594,$D$2:$D$2501,0)=ROW()-1,1,0))</f>
        <v/>
      </c>
    </row>
    <row r="595">
      <c r="X595" s="5">
        <f>IF(D595="","",W595*IF(AND(ISNUMBER(AB595),AB595&gt;0,AB595&lt;1),AB595*100,AB595)/100)</f>
        <v/>
      </c>
      <c r="Y595" s="5">
        <f>IF(D595="","",AA595*Z595/100)</f>
        <v/>
      </c>
      <c r="Z595" s="5">
        <f>IF(D595="","",W595-X595)</f>
        <v/>
      </c>
      <c r="AC595" s="5">
        <f>IF(D595="","",Z595-Y595)</f>
        <v/>
      </c>
      <c r="AD595">
        <f>IF(D595="","",N(AD594)+IF(MATCH(D595,$D$2:$D$2501,0)=ROW()-1,1,0))</f>
        <v/>
      </c>
    </row>
    <row r="596">
      <c r="X596" s="5">
        <f>IF(D596="","",W596*IF(AND(ISNUMBER(AB596),AB596&gt;0,AB596&lt;1),AB596*100,AB596)/100)</f>
        <v/>
      </c>
      <c r="Y596" s="5">
        <f>IF(D596="","",AA596*Z596/100)</f>
        <v/>
      </c>
      <c r="Z596" s="5">
        <f>IF(D596="","",W596-X596)</f>
        <v/>
      </c>
      <c r="AC596" s="5">
        <f>IF(D596="","",Z596-Y596)</f>
        <v/>
      </c>
      <c r="AD596">
        <f>IF(D596="","",N(AD595)+IF(MATCH(D596,$D$2:$D$2501,0)=ROW()-1,1,0))</f>
        <v/>
      </c>
    </row>
    <row r="597">
      <c r="X597" s="5">
        <f>IF(D597="","",W597*IF(AND(ISNUMBER(AB597),AB597&gt;0,AB597&lt;1),AB597*100,AB597)/100)</f>
        <v/>
      </c>
      <c r="Y597" s="5">
        <f>IF(D597="","",AA597*Z597/100)</f>
        <v/>
      </c>
      <c r="Z597" s="5">
        <f>IF(D597="","",W597-X597)</f>
        <v/>
      </c>
      <c r="AC597" s="5">
        <f>IF(D597="","",Z597-Y597)</f>
        <v/>
      </c>
      <c r="AD597">
        <f>IF(D597="","",N(AD596)+IF(MATCH(D597,$D$2:$D$2501,0)=ROW()-1,1,0))</f>
        <v/>
      </c>
    </row>
    <row r="598">
      <c r="X598" s="5">
        <f>IF(D598="","",W598*IF(AND(ISNUMBER(AB598),AB598&gt;0,AB598&lt;1),AB598*100,AB598)/100)</f>
        <v/>
      </c>
      <c r="Y598" s="5">
        <f>IF(D598="","",AA598*Z598/100)</f>
        <v/>
      </c>
      <c r="Z598" s="5">
        <f>IF(D598="","",W598-X598)</f>
        <v/>
      </c>
      <c r="AC598" s="5">
        <f>IF(D598="","",Z598-Y598)</f>
        <v/>
      </c>
      <c r="AD598">
        <f>IF(D598="","",N(AD597)+IF(MATCH(D598,$D$2:$D$2501,0)=ROW()-1,1,0))</f>
        <v/>
      </c>
    </row>
    <row r="599">
      <c r="X599" s="5">
        <f>IF(D599="","",W599*IF(AND(ISNUMBER(AB599),AB599&gt;0,AB599&lt;1),AB599*100,AB599)/100)</f>
        <v/>
      </c>
      <c r="Y599" s="5">
        <f>IF(D599="","",AA599*Z599/100)</f>
        <v/>
      </c>
      <c r="Z599" s="5">
        <f>IF(D599="","",W599-X599)</f>
        <v/>
      </c>
      <c r="AC599" s="5">
        <f>IF(D599="","",Z599-Y599)</f>
        <v/>
      </c>
      <c r="AD599">
        <f>IF(D599="","",N(AD598)+IF(MATCH(D599,$D$2:$D$2501,0)=ROW()-1,1,0))</f>
        <v/>
      </c>
    </row>
    <row r="600">
      <c r="X600" s="5">
        <f>IF(D600="","",W600*IF(AND(ISNUMBER(AB600),AB600&gt;0,AB600&lt;1),AB600*100,AB600)/100)</f>
        <v/>
      </c>
      <c r="Y600" s="5">
        <f>IF(D600="","",AA600*Z600/100)</f>
        <v/>
      </c>
      <c r="Z600" s="5">
        <f>IF(D600="","",W600-X600)</f>
        <v/>
      </c>
      <c r="AC600" s="5">
        <f>IF(D600="","",Z600-Y600)</f>
        <v/>
      </c>
      <c r="AD600">
        <f>IF(D600="","",N(AD599)+IF(MATCH(D600,$D$2:$D$2501,0)=ROW()-1,1,0))</f>
        <v/>
      </c>
    </row>
    <row r="601">
      <c r="X601" s="5">
        <f>IF(D601="","",W601*IF(AND(ISNUMBER(AB601),AB601&gt;0,AB601&lt;1),AB601*100,AB601)/100)</f>
        <v/>
      </c>
      <c r="Y601" s="5">
        <f>IF(D601="","",AA601*Z601/100)</f>
        <v/>
      </c>
      <c r="Z601" s="5">
        <f>IF(D601="","",W601-X601)</f>
        <v/>
      </c>
      <c r="AC601" s="5">
        <f>IF(D601="","",Z601-Y601)</f>
        <v/>
      </c>
      <c r="AD601">
        <f>IF(D601="","",N(AD600)+IF(MATCH(D601,$D$2:$D$2501,0)=ROW()-1,1,0))</f>
        <v/>
      </c>
    </row>
    <row r="602">
      <c r="X602" s="5">
        <f>IF(D602="","",W602*IF(AND(ISNUMBER(AB602),AB602&gt;0,AB602&lt;1),AB602*100,AB602)/100)</f>
        <v/>
      </c>
      <c r="Y602" s="5">
        <f>IF(D602="","",AA602*Z602/100)</f>
        <v/>
      </c>
      <c r="Z602" s="5">
        <f>IF(D602="","",W602-X602)</f>
        <v/>
      </c>
      <c r="AC602" s="5">
        <f>IF(D602="","",Z602-Y602)</f>
        <v/>
      </c>
      <c r="AD602">
        <f>IF(D602="","",N(AD601)+IF(MATCH(D602,$D$2:$D$2501,0)=ROW()-1,1,0))</f>
        <v/>
      </c>
    </row>
    <row r="603">
      <c r="X603" s="5">
        <f>IF(D603="","",W603*IF(AND(ISNUMBER(AB603),AB603&gt;0,AB603&lt;1),AB603*100,AB603)/100)</f>
        <v/>
      </c>
      <c r="Y603" s="5">
        <f>IF(D603="","",AA603*Z603/100)</f>
        <v/>
      </c>
      <c r="Z603" s="5">
        <f>IF(D603="","",W603-X603)</f>
        <v/>
      </c>
      <c r="AC603" s="5">
        <f>IF(D603="","",Z603-Y603)</f>
        <v/>
      </c>
      <c r="AD603">
        <f>IF(D603="","",N(AD602)+IF(MATCH(D603,$D$2:$D$2501,0)=ROW()-1,1,0))</f>
        <v/>
      </c>
    </row>
    <row r="604">
      <c r="X604" s="5">
        <f>IF(D604="","",W604*IF(AND(ISNUMBER(AB604),AB604&gt;0,AB604&lt;1),AB604*100,AB604)/100)</f>
        <v/>
      </c>
      <c r="Y604" s="5">
        <f>IF(D604="","",AA604*Z604/100)</f>
        <v/>
      </c>
      <c r="Z604" s="5">
        <f>IF(D604="","",W604-X604)</f>
        <v/>
      </c>
      <c r="AC604" s="5">
        <f>IF(D604="","",Z604-Y604)</f>
        <v/>
      </c>
      <c r="AD604">
        <f>IF(D604="","",N(AD603)+IF(MATCH(D604,$D$2:$D$2501,0)=ROW()-1,1,0))</f>
        <v/>
      </c>
    </row>
    <row r="605">
      <c r="X605" s="5">
        <f>IF(D605="","",W605*IF(AND(ISNUMBER(AB605),AB605&gt;0,AB605&lt;1),AB605*100,AB605)/100)</f>
        <v/>
      </c>
      <c r="Y605" s="5">
        <f>IF(D605="","",AA605*Z605/100)</f>
        <v/>
      </c>
      <c r="Z605" s="5">
        <f>IF(D605="","",W605-X605)</f>
        <v/>
      </c>
      <c r="AC605" s="5">
        <f>IF(D605="","",Z605-Y605)</f>
        <v/>
      </c>
      <c r="AD605">
        <f>IF(D605="","",N(AD604)+IF(MATCH(D605,$D$2:$D$2501,0)=ROW()-1,1,0))</f>
        <v/>
      </c>
    </row>
    <row r="606">
      <c r="X606" s="5">
        <f>IF(D606="","",W606*IF(AND(ISNUMBER(AB606),AB606&gt;0,AB606&lt;1),AB606*100,AB606)/100)</f>
        <v/>
      </c>
      <c r="Y606" s="5">
        <f>IF(D606="","",AA606*Z606/100)</f>
        <v/>
      </c>
      <c r="Z606" s="5">
        <f>IF(D606="","",W606-X606)</f>
        <v/>
      </c>
      <c r="AC606" s="5">
        <f>IF(D606="","",Z606-Y606)</f>
        <v/>
      </c>
      <c r="AD606">
        <f>IF(D606="","",N(AD605)+IF(MATCH(D606,$D$2:$D$2501,0)=ROW()-1,1,0))</f>
        <v/>
      </c>
    </row>
    <row r="607">
      <c r="X607" s="5">
        <f>IF(D607="","",W607*IF(AND(ISNUMBER(AB607),AB607&gt;0,AB607&lt;1),AB607*100,AB607)/100)</f>
        <v/>
      </c>
      <c r="Y607" s="5">
        <f>IF(D607="","",AA607*Z607/100)</f>
        <v/>
      </c>
      <c r="Z607" s="5">
        <f>IF(D607="","",W607-X607)</f>
        <v/>
      </c>
      <c r="AC607" s="5">
        <f>IF(D607="","",Z607-Y607)</f>
        <v/>
      </c>
      <c r="AD607">
        <f>IF(D607="","",N(AD606)+IF(MATCH(D607,$D$2:$D$2501,0)=ROW()-1,1,0))</f>
        <v/>
      </c>
    </row>
    <row r="608">
      <c r="X608" s="5">
        <f>IF(D608="","",W608*IF(AND(ISNUMBER(AB608),AB608&gt;0,AB608&lt;1),AB608*100,AB608)/100)</f>
        <v/>
      </c>
      <c r="Y608" s="5">
        <f>IF(D608="","",AA608*Z608/100)</f>
        <v/>
      </c>
      <c r="Z608" s="5">
        <f>IF(D608="","",W608-X608)</f>
        <v/>
      </c>
      <c r="AC608" s="5">
        <f>IF(D608="","",Z608-Y608)</f>
        <v/>
      </c>
      <c r="AD608">
        <f>IF(D608="","",N(AD607)+IF(MATCH(D608,$D$2:$D$2501,0)=ROW()-1,1,0))</f>
        <v/>
      </c>
    </row>
    <row r="609">
      <c r="X609" s="5">
        <f>IF(D609="","",W609*IF(AND(ISNUMBER(AB609),AB609&gt;0,AB609&lt;1),AB609*100,AB609)/100)</f>
        <v/>
      </c>
      <c r="Y609" s="5">
        <f>IF(D609="","",AA609*Z609/100)</f>
        <v/>
      </c>
      <c r="Z609" s="5">
        <f>IF(D609="","",W609-X609)</f>
        <v/>
      </c>
      <c r="AC609" s="5">
        <f>IF(D609="","",Z609-Y609)</f>
        <v/>
      </c>
      <c r="AD609">
        <f>IF(D609="","",N(AD608)+IF(MATCH(D609,$D$2:$D$2501,0)=ROW()-1,1,0))</f>
        <v/>
      </c>
    </row>
    <row r="610">
      <c r="X610" s="5">
        <f>IF(D610="","",W610*IF(AND(ISNUMBER(AB610),AB610&gt;0,AB610&lt;1),AB610*100,AB610)/100)</f>
        <v/>
      </c>
      <c r="Y610" s="5">
        <f>IF(D610="","",AA610*Z610/100)</f>
        <v/>
      </c>
      <c r="Z610" s="5">
        <f>IF(D610="","",W610-X610)</f>
        <v/>
      </c>
      <c r="AC610" s="5">
        <f>IF(D610="","",Z610-Y610)</f>
        <v/>
      </c>
      <c r="AD610">
        <f>IF(D610="","",N(AD609)+IF(MATCH(D610,$D$2:$D$2501,0)=ROW()-1,1,0))</f>
        <v/>
      </c>
    </row>
    <row r="611">
      <c r="X611" s="5">
        <f>IF(D611="","",W611*IF(AND(ISNUMBER(AB611),AB611&gt;0,AB611&lt;1),AB611*100,AB611)/100)</f>
        <v/>
      </c>
      <c r="Y611" s="5">
        <f>IF(D611="","",AA611*Z611/100)</f>
        <v/>
      </c>
      <c r="Z611" s="5">
        <f>IF(D611="","",W611-X611)</f>
        <v/>
      </c>
      <c r="AC611" s="5">
        <f>IF(D611="","",Z611-Y611)</f>
        <v/>
      </c>
      <c r="AD611">
        <f>IF(D611="","",N(AD610)+IF(MATCH(D611,$D$2:$D$2501,0)=ROW()-1,1,0))</f>
        <v/>
      </c>
    </row>
    <row r="612">
      <c r="X612" s="5">
        <f>IF(D612="","",W612*IF(AND(ISNUMBER(AB612),AB612&gt;0,AB612&lt;1),AB612*100,AB612)/100)</f>
        <v/>
      </c>
      <c r="Y612" s="5">
        <f>IF(D612="","",AA612*Z612/100)</f>
        <v/>
      </c>
      <c r="Z612" s="5">
        <f>IF(D612="","",W612-X612)</f>
        <v/>
      </c>
      <c r="AC612" s="5">
        <f>IF(D612="","",Z612-Y612)</f>
        <v/>
      </c>
      <c r="AD612">
        <f>IF(D612="","",N(AD611)+IF(MATCH(D612,$D$2:$D$2501,0)=ROW()-1,1,0))</f>
        <v/>
      </c>
    </row>
    <row r="613">
      <c r="X613" s="5">
        <f>IF(D613="","",W613*IF(AND(ISNUMBER(AB613),AB613&gt;0,AB613&lt;1),AB613*100,AB613)/100)</f>
        <v/>
      </c>
      <c r="Y613" s="5">
        <f>IF(D613="","",AA613*Z613/100)</f>
        <v/>
      </c>
      <c r="Z613" s="5">
        <f>IF(D613="","",W613-X613)</f>
        <v/>
      </c>
      <c r="AC613" s="5">
        <f>IF(D613="","",Z613-Y613)</f>
        <v/>
      </c>
      <c r="AD613">
        <f>IF(D613="","",N(AD612)+IF(MATCH(D613,$D$2:$D$2501,0)=ROW()-1,1,0))</f>
        <v/>
      </c>
    </row>
    <row r="614">
      <c r="X614" s="5">
        <f>IF(D614="","",W614*IF(AND(ISNUMBER(AB614),AB614&gt;0,AB614&lt;1),AB614*100,AB614)/100)</f>
        <v/>
      </c>
      <c r="Y614" s="5">
        <f>IF(D614="","",AA614*Z614/100)</f>
        <v/>
      </c>
      <c r="Z614" s="5">
        <f>IF(D614="","",W614-X614)</f>
        <v/>
      </c>
      <c r="AC614" s="5">
        <f>IF(D614="","",Z614-Y614)</f>
        <v/>
      </c>
      <c r="AD614">
        <f>IF(D614="","",N(AD613)+IF(MATCH(D614,$D$2:$D$2501,0)=ROW()-1,1,0))</f>
        <v/>
      </c>
    </row>
    <row r="615">
      <c r="X615" s="5">
        <f>IF(D615="","",W615*IF(AND(ISNUMBER(AB615),AB615&gt;0,AB615&lt;1),AB615*100,AB615)/100)</f>
        <v/>
      </c>
      <c r="Y615" s="5">
        <f>IF(D615="","",AA615*Z615/100)</f>
        <v/>
      </c>
      <c r="Z615" s="5">
        <f>IF(D615="","",W615-X615)</f>
        <v/>
      </c>
      <c r="AC615" s="5">
        <f>IF(D615="","",Z615-Y615)</f>
        <v/>
      </c>
      <c r="AD615">
        <f>IF(D615="","",N(AD614)+IF(MATCH(D615,$D$2:$D$2501,0)=ROW()-1,1,0))</f>
        <v/>
      </c>
    </row>
    <row r="616">
      <c r="X616" s="5">
        <f>IF(D616="","",W616*IF(AND(ISNUMBER(AB616),AB616&gt;0,AB616&lt;1),AB616*100,AB616)/100)</f>
        <v/>
      </c>
      <c r="Y616" s="5">
        <f>IF(D616="","",AA616*Z616/100)</f>
        <v/>
      </c>
      <c r="Z616" s="5">
        <f>IF(D616="","",W616-X616)</f>
        <v/>
      </c>
      <c r="AC616" s="5">
        <f>IF(D616="","",Z616-Y616)</f>
        <v/>
      </c>
      <c r="AD616">
        <f>IF(D616="","",N(AD615)+IF(MATCH(D616,$D$2:$D$2501,0)=ROW()-1,1,0))</f>
        <v/>
      </c>
    </row>
    <row r="617">
      <c r="X617" s="5">
        <f>IF(D617="","",W617*IF(AND(ISNUMBER(AB617),AB617&gt;0,AB617&lt;1),AB617*100,AB617)/100)</f>
        <v/>
      </c>
      <c r="Y617" s="5">
        <f>IF(D617="","",AA617*Z617/100)</f>
        <v/>
      </c>
      <c r="Z617" s="5">
        <f>IF(D617="","",W617-X617)</f>
        <v/>
      </c>
      <c r="AC617" s="5">
        <f>IF(D617="","",Z617-Y617)</f>
        <v/>
      </c>
      <c r="AD617">
        <f>IF(D617="","",N(AD616)+IF(MATCH(D617,$D$2:$D$2501,0)=ROW()-1,1,0))</f>
        <v/>
      </c>
    </row>
    <row r="618">
      <c r="X618" s="5">
        <f>IF(D618="","",W618*IF(AND(ISNUMBER(AB618),AB618&gt;0,AB618&lt;1),AB618*100,AB618)/100)</f>
        <v/>
      </c>
      <c r="Y618" s="5">
        <f>IF(D618="","",AA618*Z618/100)</f>
        <v/>
      </c>
      <c r="Z618" s="5">
        <f>IF(D618="","",W618-X618)</f>
        <v/>
      </c>
      <c r="AC618" s="5">
        <f>IF(D618="","",Z618-Y618)</f>
        <v/>
      </c>
      <c r="AD618">
        <f>IF(D618="","",N(AD617)+IF(MATCH(D618,$D$2:$D$2501,0)=ROW()-1,1,0))</f>
        <v/>
      </c>
    </row>
    <row r="619">
      <c r="X619" s="5">
        <f>IF(D619="","",W619*IF(AND(ISNUMBER(AB619),AB619&gt;0,AB619&lt;1),AB619*100,AB619)/100)</f>
        <v/>
      </c>
      <c r="Y619" s="5">
        <f>IF(D619="","",AA619*Z619/100)</f>
        <v/>
      </c>
      <c r="Z619" s="5">
        <f>IF(D619="","",W619-X619)</f>
        <v/>
      </c>
      <c r="AC619" s="5">
        <f>IF(D619="","",Z619-Y619)</f>
        <v/>
      </c>
      <c r="AD619">
        <f>IF(D619="","",N(AD618)+IF(MATCH(D619,$D$2:$D$2501,0)=ROW()-1,1,0))</f>
        <v/>
      </c>
    </row>
    <row r="620">
      <c r="X620" s="5">
        <f>IF(D620="","",W620*IF(AND(ISNUMBER(AB620),AB620&gt;0,AB620&lt;1),AB620*100,AB620)/100)</f>
        <v/>
      </c>
      <c r="Y620" s="5">
        <f>IF(D620="","",AA620*Z620/100)</f>
        <v/>
      </c>
      <c r="Z620" s="5">
        <f>IF(D620="","",W620-X620)</f>
        <v/>
      </c>
      <c r="AC620" s="5">
        <f>IF(D620="","",Z620-Y620)</f>
        <v/>
      </c>
      <c r="AD620">
        <f>IF(D620="","",N(AD619)+IF(MATCH(D620,$D$2:$D$2501,0)=ROW()-1,1,0))</f>
        <v/>
      </c>
    </row>
    <row r="621">
      <c r="X621" s="5">
        <f>IF(D621="","",W621*IF(AND(ISNUMBER(AB621),AB621&gt;0,AB621&lt;1),AB621*100,AB621)/100)</f>
        <v/>
      </c>
      <c r="Y621" s="5">
        <f>IF(D621="","",AA621*Z621/100)</f>
        <v/>
      </c>
      <c r="Z621" s="5">
        <f>IF(D621="","",W621-X621)</f>
        <v/>
      </c>
      <c r="AC621" s="5">
        <f>IF(D621="","",Z621-Y621)</f>
        <v/>
      </c>
      <c r="AD621">
        <f>IF(D621="","",N(AD620)+IF(MATCH(D621,$D$2:$D$2501,0)=ROW()-1,1,0))</f>
        <v/>
      </c>
    </row>
    <row r="622">
      <c r="X622" s="5">
        <f>IF(D622="","",W622*IF(AND(ISNUMBER(AB622),AB622&gt;0,AB622&lt;1),AB622*100,AB622)/100)</f>
        <v/>
      </c>
      <c r="Y622" s="5">
        <f>IF(D622="","",AA622*Z622/100)</f>
        <v/>
      </c>
      <c r="Z622" s="5">
        <f>IF(D622="","",W622-X622)</f>
        <v/>
      </c>
      <c r="AC622" s="5">
        <f>IF(D622="","",Z622-Y622)</f>
        <v/>
      </c>
      <c r="AD622">
        <f>IF(D622="","",N(AD621)+IF(MATCH(D622,$D$2:$D$2501,0)=ROW()-1,1,0))</f>
        <v/>
      </c>
    </row>
    <row r="623">
      <c r="X623" s="5">
        <f>IF(D623="","",W623*IF(AND(ISNUMBER(AB623),AB623&gt;0,AB623&lt;1),AB623*100,AB623)/100)</f>
        <v/>
      </c>
      <c r="Y623" s="5">
        <f>IF(D623="","",AA623*Z623/100)</f>
        <v/>
      </c>
      <c r="Z623" s="5">
        <f>IF(D623="","",W623-X623)</f>
        <v/>
      </c>
      <c r="AC623" s="5">
        <f>IF(D623="","",Z623-Y623)</f>
        <v/>
      </c>
      <c r="AD623">
        <f>IF(D623="","",N(AD622)+IF(MATCH(D623,$D$2:$D$2501,0)=ROW()-1,1,0))</f>
        <v/>
      </c>
    </row>
    <row r="624">
      <c r="X624" s="5">
        <f>IF(D624="","",W624*IF(AND(ISNUMBER(AB624),AB624&gt;0,AB624&lt;1),AB624*100,AB624)/100)</f>
        <v/>
      </c>
      <c r="Y624" s="5">
        <f>IF(D624="","",AA624*Z624/100)</f>
        <v/>
      </c>
      <c r="Z624" s="5">
        <f>IF(D624="","",W624-X624)</f>
        <v/>
      </c>
      <c r="AC624" s="5">
        <f>IF(D624="","",Z624-Y624)</f>
        <v/>
      </c>
      <c r="AD624">
        <f>IF(D624="","",N(AD623)+IF(MATCH(D624,$D$2:$D$2501,0)=ROW()-1,1,0))</f>
        <v/>
      </c>
    </row>
    <row r="625">
      <c r="X625" s="5">
        <f>IF(D625="","",W625*IF(AND(ISNUMBER(AB625),AB625&gt;0,AB625&lt;1),AB625*100,AB625)/100)</f>
        <v/>
      </c>
      <c r="Y625" s="5">
        <f>IF(D625="","",AA625*Z625/100)</f>
        <v/>
      </c>
      <c r="Z625" s="5">
        <f>IF(D625="","",W625-X625)</f>
        <v/>
      </c>
      <c r="AC625" s="5">
        <f>IF(D625="","",Z625-Y625)</f>
        <v/>
      </c>
      <c r="AD625">
        <f>IF(D625="","",N(AD624)+IF(MATCH(D625,$D$2:$D$2501,0)=ROW()-1,1,0))</f>
        <v/>
      </c>
    </row>
    <row r="626">
      <c r="X626" s="5">
        <f>IF(D626="","",W626*IF(AND(ISNUMBER(AB626),AB626&gt;0,AB626&lt;1),AB626*100,AB626)/100)</f>
        <v/>
      </c>
      <c r="Y626" s="5">
        <f>IF(D626="","",AA626*Z626/100)</f>
        <v/>
      </c>
      <c r="Z626" s="5">
        <f>IF(D626="","",W626-X626)</f>
        <v/>
      </c>
      <c r="AC626" s="5">
        <f>IF(D626="","",Z626-Y626)</f>
        <v/>
      </c>
      <c r="AD626">
        <f>IF(D626="","",N(AD625)+IF(MATCH(D626,$D$2:$D$2501,0)=ROW()-1,1,0))</f>
        <v/>
      </c>
    </row>
    <row r="627">
      <c r="X627" s="5">
        <f>IF(D627="","",W627*IF(AND(ISNUMBER(AB627),AB627&gt;0,AB627&lt;1),AB627*100,AB627)/100)</f>
        <v/>
      </c>
      <c r="Y627" s="5">
        <f>IF(D627="","",AA627*Z627/100)</f>
        <v/>
      </c>
      <c r="Z627" s="5">
        <f>IF(D627="","",W627-X627)</f>
        <v/>
      </c>
      <c r="AC627" s="5">
        <f>IF(D627="","",Z627-Y627)</f>
        <v/>
      </c>
      <c r="AD627">
        <f>IF(D627="","",N(AD626)+IF(MATCH(D627,$D$2:$D$2501,0)=ROW()-1,1,0))</f>
        <v/>
      </c>
    </row>
    <row r="628">
      <c r="X628" s="5">
        <f>IF(D628="","",W628*IF(AND(ISNUMBER(AB628),AB628&gt;0,AB628&lt;1),AB628*100,AB628)/100)</f>
        <v/>
      </c>
      <c r="Y628" s="5">
        <f>IF(D628="","",AA628*Z628/100)</f>
        <v/>
      </c>
      <c r="Z628" s="5">
        <f>IF(D628="","",W628-X628)</f>
        <v/>
      </c>
      <c r="AC628" s="5">
        <f>IF(D628="","",Z628-Y628)</f>
        <v/>
      </c>
      <c r="AD628">
        <f>IF(D628="","",N(AD627)+IF(MATCH(D628,$D$2:$D$2501,0)=ROW()-1,1,0))</f>
        <v/>
      </c>
    </row>
    <row r="629">
      <c r="X629" s="5">
        <f>IF(D629="","",W629*IF(AND(ISNUMBER(AB629),AB629&gt;0,AB629&lt;1),AB629*100,AB629)/100)</f>
        <v/>
      </c>
      <c r="Y629" s="5">
        <f>IF(D629="","",AA629*Z629/100)</f>
        <v/>
      </c>
      <c r="Z629" s="5">
        <f>IF(D629="","",W629-X629)</f>
        <v/>
      </c>
      <c r="AC629" s="5">
        <f>IF(D629="","",Z629-Y629)</f>
        <v/>
      </c>
      <c r="AD629">
        <f>IF(D629="","",N(AD628)+IF(MATCH(D629,$D$2:$D$2501,0)=ROW()-1,1,0))</f>
        <v/>
      </c>
    </row>
    <row r="630">
      <c r="X630" s="5">
        <f>IF(D630="","",W630*IF(AND(ISNUMBER(AB630),AB630&gt;0,AB630&lt;1),AB630*100,AB630)/100)</f>
        <v/>
      </c>
      <c r="Y630" s="5">
        <f>IF(D630="","",AA630*Z630/100)</f>
        <v/>
      </c>
      <c r="Z630" s="5">
        <f>IF(D630="","",W630-X630)</f>
        <v/>
      </c>
      <c r="AC630" s="5">
        <f>IF(D630="","",Z630-Y630)</f>
        <v/>
      </c>
      <c r="AD630">
        <f>IF(D630="","",N(AD629)+IF(MATCH(D630,$D$2:$D$2501,0)=ROW()-1,1,0))</f>
        <v/>
      </c>
    </row>
    <row r="631">
      <c r="X631" s="5">
        <f>IF(D631="","",W631*IF(AND(ISNUMBER(AB631),AB631&gt;0,AB631&lt;1),AB631*100,AB631)/100)</f>
        <v/>
      </c>
      <c r="Y631" s="5">
        <f>IF(D631="","",AA631*Z631/100)</f>
        <v/>
      </c>
      <c r="Z631" s="5">
        <f>IF(D631="","",W631-X631)</f>
        <v/>
      </c>
      <c r="AC631" s="5">
        <f>IF(D631="","",Z631-Y631)</f>
        <v/>
      </c>
      <c r="AD631">
        <f>IF(D631="","",N(AD630)+IF(MATCH(D631,$D$2:$D$2501,0)=ROW()-1,1,0))</f>
        <v/>
      </c>
    </row>
    <row r="632">
      <c r="X632" s="5">
        <f>IF(D632="","",W632*IF(AND(ISNUMBER(AB632),AB632&gt;0,AB632&lt;1),AB632*100,AB632)/100)</f>
        <v/>
      </c>
      <c r="Y632" s="5">
        <f>IF(D632="","",AA632*Z632/100)</f>
        <v/>
      </c>
      <c r="Z632" s="5">
        <f>IF(D632="","",W632-X632)</f>
        <v/>
      </c>
      <c r="AC632" s="5">
        <f>IF(D632="","",Z632-Y632)</f>
        <v/>
      </c>
      <c r="AD632">
        <f>IF(D632="","",N(AD631)+IF(MATCH(D632,$D$2:$D$2501,0)=ROW()-1,1,0))</f>
        <v/>
      </c>
    </row>
    <row r="633">
      <c r="X633" s="5">
        <f>IF(D633="","",W633*IF(AND(ISNUMBER(AB633),AB633&gt;0,AB633&lt;1),AB633*100,AB633)/100)</f>
        <v/>
      </c>
      <c r="Y633" s="5">
        <f>IF(D633="","",AA633*Z633/100)</f>
        <v/>
      </c>
      <c r="Z633" s="5">
        <f>IF(D633="","",W633-X633)</f>
        <v/>
      </c>
      <c r="AC633" s="5">
        <f>IF(D633="","",Z633-Y633)</f>
        <v/>
      </c>
      <c r="AD633">
        <f>IF(D633="","",N(AD632)+IF(MATCH(D633,$D$2:$D$2501,0)=ROW()-1,1,0))</f>
        <v/>
      </c>
    </row>
    <row r="634">
      <c r="X634" s="5">
        <f>IF(D634="","",W634*IF(AND(ISNUMBER(AB634),AB634&gt;0,AB634&lt;1),AB634*100,AB634)/100)</f>
        <v/>
      </c>
      <c r="Y634" s="5">
        <f>IF(D634="","",AA634*Z634/100)</f>
        <v/>
      </c>
      <c r="Z634" s="5">
        <f>IF(D634="","",W634-X634)</f>
        <v/>
      </c>
      <c r="AC634" s="5">
        <f>IF(D634="","",Z634-Y634)</f>
        <v/>
      </c>
      <c r="AD634">
        <f>IF(D634="","",N(AD633)+IF(MATCH(D634,$D$2:$D$2501,0)=ROW()-1,1,0))</f>
        <v/>
      </c>
    </row>
    <row r="635">
      <c r="X635" s="5">
        <f>IF(D635="","",W635*IF(AND(ISNUMBER(AB635),AB635&gt;0,AB635&lt;1),AB635*100,AB635)/100)</f>
        <v/>
      </c>
      <c r="Y635" s="5">
        <f>IF(D635="","",AA635*Z635/100)</f>
        <v/>
      </c>
      <c r="Z635" s="5">
        <f>IF(D635="","",W635-X635)</f>
        <v/>
      </c>
      <c r="AC635" s="5">
        <f>IF(D635="","",Z635-Y635)</f>
        <v/>
      </c>
      <c r="AD635">
        <f>IF(D635="","",N(AD634)+IF(MATCH(D635,$D$2:$D$2501,0)=ROW()-1,1,0))</f>
        <v/>
      </c>
    </row>
    <row r="636">
      <c r="X636" s="5">
        <f>IF(D636="","",W636*IF(AND(ISNUMBER(AB636),AB636&gt;0,AB636&lt;1),AB636*100,AB636)/100)</f>
        <v/>
      </c>
      <c r="Y636" s="5">
        <f>IF(D636="","",AA636*Z636/100)</f>
        <v/>
      </c>
      <c r="Z636" s="5">
        <f>IF(D636="","",W636-X636)</f>
        <v/>
      </c>
      <c r="AC636" s="5">
        <f>IF(D636="","",Z636-Y636)</f>
        <v/>
      </c>
      <c r="AD636">
        <f>IF(D636="","",N(AD635)+IF(MATCH(D636,$D$2:$D$2501,0)=ROW()-1,1,0))</f>
        <v/>
      </c>
    </row>
    <row r="637">
      <c r="X637" s="5">
        <f>IF(D637="","",W637*IF(AND(ISNUMBER(AB637),AB637&gt;0,AB637&lt;1),AB637*100,AB637)/100)</f>
        <v/>
      </c>
      <c r="Y637" s="5">
        <f>IF(D637="","",AA637*Z637/100)</f>
        <v/>
      </c>
      <c r="Z637" s="5">
        <f>IF(D637="","",W637-X637)</f>
        <v/>
      </c>
      <c r="AC637" s="5">
        <f>IF(D637="","",Z637-Y637)</f>
        <v/>
      </c>
      <c r="AD637">
        <f>IF(D637="","",N(AD636)+IF(MATCH(D637,$D$2:$D$2501,0)=ROW()-1,1,0))</f>
        <v/>
      </c>
    </row>
    <row r="638">
      <c r="X638" s="5">
        <f>IF(D638="","",W638*IF(AND(ISNUMBER(AB638),AB638&gt;0,AB638&lt;1),AB638*100,AB638)/100)</f>
        <v/>
      </c>
      <c r="Y638" s="5">
        <f>IF(D638="","",AA638*Z638/100)</f>
        <v/>
      </c>
      <c r="Z638" s="5">
        <f>IF(D638="","",W638-X638)</f>
        <v/>
      </c>
      <c r="AC638" s="5">
        <f>IF(D638="","",Z638-Y638)</f>
        <v/>
      </c>
      <c r="AD638">
        <f>IF(D638="","",N(AD637)+IF(MATCH(D638,$D$2:$D$2501,0)=ROW()-1,1,0))</f>
        <v/>
      </c>
    </row>
    <row r="639">
      <c r="X639" s="5">
        <f>IF(D639="","",W639*IF(AND(ISNUMBER(AB639),AB639&gt;0,AB639&lt;1),AB639*100,AB639)/100)</f>
        <v/>
      </c>
      <c r="Y639" s="5">
        <f>IF(D639="","",AA639*Z639/100)</f>
        <v/>
      </c>
      <c r="Z639" s="5">
        <f>IF(D639="","",W639-X639)</f>
        <v/>
      </c>
      <c r="AC639" s="5">
        <f>IF(D639="","",Z639-Y639)</f>
        <v/>
      </c>
      <c r="AD639">
        <f>IF(D639="","",N(AD638)+IF(MATCH(D639,$D$2:$D$2501,0)=ROW()-1,1,0))</f>
        <v/>
      </c>
    </row>
    <row r="640">
      <c r="X640" s="5">
        <f>IF(D640="","",W640*IF(AND(ISNUMBER(AB640),AB640&gt;0,AB640&lt;1),AB640*100,AB640)/100)</f>
        <v/>
      </c>
      <c r="Y640" s="5">
        <f>IF(D640="","",AA640*Z640/100)</f>
        <v/>
      </c>
      <c r="Z640" s="5">
        <f>IF(D640="","",W640-X640)</f>
        <v/>
      </c>
      <c r="AC640" s="5">
        <f>IF(D640="","",Z640-Y640)</f>
        <v/>
      </c>
      <c r="AD640">
        <f>IF(D640="","",N(AD639)+IF(MATCH(D640,$D$2:$D$2501,0)=ROW()-1,1,0))</f>
        <v/>
      </c>
    </row>
    <row r="641">
      <c r="X641" s="5">
        <f>IF(D641="","",W641*IF(AND(ISNUMBER(AB641),AB641&gt;0,AB641&lt;1),AB641*100,AB641)/100)</f>
        <v/>
      </c>
      <c r="Y641" s="5">
        <f>IF(D641="","",AA641*Z641/100)</f>
        <v/>
      </c>
      <c r="Z641" s="5">
        <f>IF(D641="","",W641-X641)</f>
        <v/>
      </c>
      <c r="AC641" s="5">
        <f>IF(D641="","",Z641-Y641)</f>
        <v/>
      </c>
      <c r="AD641">
        <f>IF(D641="","",N(AD640)+IF(MATCH(D641,$D$2:$D$2501,0)=ROW()-1,1,0))</f>
        <v/>
      </c>
    </row>
    <row r="642">
      <c r="X642" s="5">
        <f>IF(D642="","",W642*IF(AND(ISNUMBER(AB642),AB642&gt;0,AB642&lt;1),AB642*100,AB642)/100)</f>
        <v/>
      </c>
      <c r="Y642" s="5">
        <f>IF(D642="","",AA642*Z642/100)</f>
        <v/>
      </c>
      <c r="Z642" s="5">
        <f>IF(D642="","",W642-X642)</f>
        <v/>
      </c>
      <c r="AC642" s="5">
        <f>IF(D642="","",Z642-Y642)</f>
        <v/>
      </c>
      <c r="AD642">
        <f>IF(D642="","",N(AD641)+IF(MATCH(D642,$D$2:$D$2501,0)=ROW()-1,1,0))</f>
        <v/>
      </c>
    </row>
    <row r="643">
      <c r="X643" s="5">
        <f>IF(D643="","",W643*IF(AND(ISNUMBER(AB643),AB643&gt;0,AB643&lt;1),AB643*100,AB643)/100)</f>
        <v/>
      </c>
      <c r="Y643" s="5">
        <f>IF(D643="","",AA643*Z643/100)</f>
        <v/>
      </c>
      <c r="Z643" s="5">
        <f>IF(D643="","",W643-X643)</f>
        <v/>
      </c>
      <c r="AC643" s="5">
        <f>IF(D643="","",Z643-Y643)</f>
        <v/>
      </c>
      <c r="AD643">
        <f>IF(D643="","",N(AD642)+IF(MATCH(D643,$D$2:$D$2501,0)=ROW()-1,1,0))</f>
        <v/>
      </c>
    </row>
    <row r="644">
      <c r="X644" s="5">
        <f>IF(D644="","",W644*IF(AND(ISNUMBER(AB644),AB644&gt;0,AB644&lt;1),AB644*100,AB644)/100)</f>
        <v/>
      </c>
      <c r="Y644" s="5">
        <f>IF(D644="","",AA644*Z644/100)</f>
        <v/>
      </c>
      <c r="Z644" s="5">
        <f>IF(D644="","",W644-X644)</f>
        <v/>
      </c>
      <c r="AC644" s="5">
        <f>IF(D644="","",Z644-Y644)</f>
        <v/>
      </c>
      <c r="AD644">
        <f>IF(D644="","",N(AD643)+IF(MATCH(D644,$D$2:$D$2501,0)=ROW()-1,1,0))</f>
        <v/>
      </c>
    </row>
    <row r="645">
      <c r="X645" s="5">
        <f>IF(D645="","",W645*IF(AND(ISNUMBER(AB645),AB645&gt;0,AB645&lt;1),AB645*100,AB645)/100)</f>
        <v/>
      </c>
      <c r="Y645" s="5">
        <f>IF(D645="","",AA645*Z645/100)</f>
        <v/>
      </c>
      <c r="Z645" s="5">
        <f>IF(D645="","",W645-X645)</f>
        <v/>
      </c>
      <c r="AC645" s="5">
        <f>IF(D645="","",Z645-Y645)</f>
        <v/>
      </c>
      <c r="AD645">
        <f>IF(D645="","",N(AD644)+IF(MATCH(D645,$D$2:$D$2501,0)=ROW()-1,1,0))</f>
        <v/>
      </c>
    </row>
    <row r="646">
      <c r="X646" s="5">
        <f>IF(D646="","",W646*IF(AND(ISNUMBER(AB646),AB646&gt;0,AB646&lt;1),AB646*100,AB646)/100)</f>
        <v/>
      </c>
      <c r="Y646" s="5">
        <f>IF(D646="","",AA646*Z646/100)</f>
        <v/>
      </c>
      <c r="Z646" s="5">
        <f>IF(D646="","",W646-X646)</f>
        <v/>
      </c>
      <c r="AC646" s="5">
        <f>IF(D646="","",Z646-Y646)</f>
        <v/>
      </c>
      <c r="AD646">
        <f>IF(D646="","",N(AD645)+IF(MATCH(D646,$D$2:$D$2501,0)=ROW()-1,1,0))</f>
        <v/>
      </c>
    </row>
    <row r="647">
      <c r="X647" s="5">
        <f>IF(D647="","",W647*IF(AND(ISNUMBER(AB647),AB647&gt;0,AB647&lt;1),AB647*100,AB647)/100)</f>
        <v/>
      </c>
      <c r="Y647" s="5">
        <f>IF(D647="","",AA647*Z647/100)</f>
        <v/>
      </c>
      <c r="Z647" s="5">
        <f>IF(D647="","",W647-X647)</f>
        <v/>
      </c>
      <c r="AC647" s="5">
        <f>IF(D647="","",Z647-Y647)</f>
        <v/>
      </c>
      <c r="AD647">
        <f>IF(D647="","",N(AD646)+IF(MATCH(D647,$D$2:$D$2501,0)=ROW()-1,1,0))</f>
        <v/>
      </c>
    </row>
    <row r="648">
      <c r="X648" s="5">
        <f>IF(D648="","",W648*IF(AND(ISNUMBER(AB648),AB648&gt;0,AB648&lt;1),AB648*100,AB648)/100)</f>
        <v/>
      </c>
      <c r="Y648" s="5">
        <f>IF(D648="","",AA648*Z648/100)</f>
        <v/>
      </c>
      <c r="Z648" s="5">
        <f>IF(D648="","",W648-X648)</f>
        <v/>
      </c>
      <c r="AC648" s="5">
        <f>IF(D648="","",Z648-Y648)</f>
        <v/>
      </c>
      <c r="AD648">
        <f>IF(D648="","",N(AD647)+IF(MATCH(D648,$D$2:$D$2501,0)=ROW()-1,1,0))</f>
        <v/>
      </c>
    </row>
    <row r="649">
      <c r="X649" s="5">
        <f>IF(D649="","",W649*IF(AND(ISNUMBER(AB649),AB649&gt;0,AB649&lt;1),AB649*100,AB649)/100)</f>
        <v/>
      </c>
      <c r="Y649" s="5">
        <f>IF(D649="","",AA649*Z649/100)</f>
        <v/>
      </c>
      <c r="Z649" s="5">
        <f>IF(D649="","",W649-X649)</f>
        <v/>
      </c>
      <c r="AC649" s="5">
        <f>IF(D649="","",Z649-Y649)</f>
        <v/>
      </c>
      <c r="AD649">
        <f>IF(D649="","",N(AD648)+IF(MATCH(D649,$D$2:$D$2501,0)=ROW()-1,1,0))</f>
        <v/>
      </c>
    </row>
    <row r="650">
      <c r="X650" s="5">
        <f>IF(D650="","",W650*IF(AND(ISNUMBER(AB650),AB650&gt;0,AB650&lt;1),AB650*100,AB650)/100)</f>
        <v/>
      </c>
      <c r="Y650" s="5">
        <f>IF(D650="","",AA650*Z650/100)</f>
        <v/>
      </c>
      <c r="Z650" s="5">
        <f>IF(D650="","",W650-X650)</f>
        <v/>
      </c>
      <c r="AC650" s="5">
        <f>IF(D650="","",Z650-Y650)</f>
        <v/>
      </c>
      <c r="AD650">
        <f>IF(D650="","",N(AD649)+IF(MATCH(D650,$D$2:$D$2501,0)=ROW()-1,1,0))</f>
        <v/>
      </c>
    </row>
    <row r="651">
      <c r="X651" s="5">
        <f>IF(D651="","",W651*IF(AND(ISNUMBER(AB651),AB651&gt;0,AB651&lt;1),AB651*100,AB651)/100)</f>
        <v/>
      </c>
      <c r="Y651" s="5">
        <f>IF(D651="","",AA651*Z651/100)</f>
        <v/>
      </c>
      <c r="Z651" s="5">
        <f>IF(D651="","",W651-X651)</f>
        <v/>
      </c>
      <c r="AC651" s="5">
        <f>IF(D651="","",Z651-Y651)</f>
        <v/>
      </c>
      <c r="AD651">
        <f>IF(D651="","",N(AD650)+IF(MATCH(D651,$D$2:$D$2501,0)=ROW()-1,1,0))</f>
        <v/>
      </c>
    </row>
    <row r="652">
      <c r="X652" s="5">
        <f>IF(D652="","",W652*IF(AND(ISNUMBER(AB652),AB652&gt;0,AB652&lt;1),AB652*100,AB652)/100)</f>
        <v/>
      </c>
      <c r="Y652" s="5">
        <f>IF(D652="","",AA652*Z652/100)</f>
        <v/>
      </c>
      <c r="Z652" s="5">
        <f>IF(D652="","",W652-X652)</f>
        <v/>
      </c>
      <c r="AC652" s="5">
        <f>IF(D652="","",Z652-Y652)</f>
        <v/>
      </c>
      <c r="AD652">
        <f>IF(D652="","",N(AD651)+IF(MATCH(D652,$D$2:$D$2501,0)=ROW()-1,1,0))</f>
        <v/>
      </c>
    </row>
    <row r="653">
      <c r="X653" s="5">
        <f>IF(D653="","",W653*IF(AND(ISNUMBER(AB653),AB653&gt;0,AB653&lt;1),AB653*100,AB653)/100)</f>
        <v/>
      </c>
      <c r="Y653" s="5">
        <f>IF(D653="","",AA653*Z653/100)</f>
        <v/>
      </c>
      <c r="Z653" s="5">
        <f>IF(D653="","",W653-X653)</f>
        <v/>
      </c>
      <c r="AC653" s="5">
        <f>IF(D653="","",Z653-Y653)</f>
        <v/>
      </c>
      <c r="AD653">
        <f>IF(D653="","",N(AD652)+IF(MATCH(D653,$D$2:$D$2501,0)=ROW()-1,1,0))</f>
        <v/>
      </c>
    </row>
    <row r="654">
      <c r="X654" s="5">
        <f>IF(D654="","",W654*IF(AND(ISNUMBER(AB654),AB654&gt;0,AB654&lt;1),AB654*100,AB654)/100)</f>
        <v/>
      </c>
      <c r="Y654" s="5">
        <f>IF(D654="","",AA654*Z654/100)</f>
        <v/>
      </c>
      <c r="Z654" s="5">
        <f>IF(D654="","",W654-X654)</f>
        <v/>
      </c>
      <c r="AC654" s="5">
        <f>IF(D654="","",Z654-Y654)</f>
        <v/>
      </c>
      <c r="AD654">
        <f>IF(D654="","",N(AD653)+IF(MATCH(D654,$D$2:$D$2501,0)=ROW()-1,1,0))</f>
        <v/>
      </c>
    </row>
    <row r="655">
      <c r="X655" s="5">
        <f>IF(D655="","",W655*IF(AND(ISNUMBER(AB655),AB655&gt;0,AB655&lt;1),AB655*100,AB655)/100)</f>
        <v/>
      </c>
      <c r="Y655" s="5">
        <f>IF(D655="","",AA655*Z655/100)</f>
        <v/>
      </c>
      <c r="Z655" s="5">
        <f>IF(D655="","",W655-X655)</f>
        <v/>
      </c>
      <c r="AC655" s="5">
        <f>IF(D655="","",Z655-Y655)</f>
        <v/>
      </c>
      <c r="AD655">
        <f>IF(D655="","",N(AD654)+IF(MATCH(D655,$D$2:$D$2501,0)=ROW()-1,1,0))</f>
        <v/>
      </c>
    </row>
    <row r="656">
      <c r="X656" s="5">
        <f>IF(D656="","",W656*IF(AND(ISNUMBER(AB656),AB656&gt;0,AB656&lt;1),AB656*100,AB656)/100)</f>
        <v/>
      </c>
      <c r="Y656" s="5">
        <f>IF(D656="","",AA656*Z656/100)</f>
        <v/>
      </c>
      <c r="Z656" s="5">
        <f>IF(D656="","",W656-X656)</f>
        <v/>
      </c>
      <c r="AC656" s="5">
        <f>IF(D656="","",Z656-Y656)</f>
        <v/>
      </c>
      <c r="AD656">
        <f>IF(D656="","",N(AD655)+IF(MATCH(D656,$D$2:$D$2501,0)=ROW()-1,1,0))</f>
        <v/>
      </c>
    </row>
    <row r="657">
      <c r="X657" s="5">
        <f>IF(D657="","",W657*IF(AND(ISNUMBER(AB657),AB657&gt;0,AB657&lt;1),AB657*100,AB657)/100)</f>
        <v/>
      </c>
      <c r="Y657" s="5">
        <f>IF(D657="","",AA657*Z657/100)</f>
        <v/>
      </c>
      <c r="Z657" s="5">
        <f>IF(D657="","",W657-X657)</f>
        <v/>
      </c>
      <c r="AC657" s="5">
        <f>IF(D657="","",Z657-Y657)</f>
        <v/>
      </c>
      <c r="AD657">
        <f>IF(D657="","",N(AD656)+IF(MATCH(D657,$D$2:$D$2501,0)=ROW()-1,1,0))</f>
        <v/>
      </c>
    </row>
    <row r="658">
      <c r="X658" s="5">
        <f>IF(D658="","",W658*IF(AND(ISNUMBER(AB658),AB658&gt;0,AB658&lt;1),AB658*100,AB658)/100)</f>
        <v/>
      </c>
      <c r="Y658" s="5">
        <f>IF(D658="","",AA658*Z658/100)</f>
        <v/>
      </c>
      <c r="Z658" s="5">
        <f>IF(D658="","",W658-X658)</f>
        <v/>
      </c>
      <c r="AC658" s="5">
        <f>IF(D658="","",Z658-Y658)</f>
        <v/>
      </c>
      <c r="AD658">
        <f>IF(D658="","",N(AD657)+IF(MATCH(D658,$D$2:$D$2501,0)=ROW()-1,1,0))</f>
        <v/>
      </c>
    </row>
    <row r="659">
      <c r="X659" s="5">
        <f>IF(D659="","",W659*IF(AND(ISNUMBER(AB659),AB659&gt;0,AB659&lt;1),AB659*100,AB659)/100)</f>
        <v/>
      </c>
      <c r="Y659" s="5">
        <f>IF(D659="","",AA659*Z659/100)</f>
        <v/>
      </c>
      <c r="Z659" s="5">
        <f>IF(D659="","",W659-X659)</f>
        <v/>
      </c>
      <c r="AC659" s="5">
        <f>IF(D659="","",Z659-Y659)</f>
        <v/>
      </c>
      <c r="AD659">
        <f>IF(D659="","",N(AD658)+IF(MATCH(D659,$D$2:$D$2501,0)=ROW()-1,1,0))</f>
        <v/>
      </c>
    </row>
    <row r="660">
      <c r="X660" s="5">
        <f>IF(D660="","",W660*IF(AND(ISNUMBER(AB660),AB660&gt;0,AB660&lt;1),AB660*100,AB660)/100)</f>
        <v/>
      </c>
      <c r="Y660" s="5">
        <f>IF(D660="","",AA660*Z660/100)</f>
        <v/>
      </c>
      <c r="Z660" s="5">
        <f>IF(D660="","",W660-X660)</f>
        <v/>
      </c>
      <c r="AC660" s="5">
        <f>IF(D660="","",Z660-Y660)</f>
        <v/>
      </c>
      <c r="AD660">
        <f>IF(D660="","",N(AD659)+IF(MATCH(D660,$D$2:$D$2501,0)=ROW()-1,1,0))</f>
        <v/>
      </c>
    </row>
    <row r="661">
      <c r="X661" s="5">
        <f>IF(D661="","",W661*IF(AND(ISNUMBER(AB661),AB661&gt;0,AB661&lt;1),AB661*100,AB661)/100)</f>
        <v/>
      </c>
      <c r="Y661" s="5">
        <f>IF(D661="","",AA661*Z661/100)</f>
        <v/>
      </c>
      <c r="Z661" s="5">
        <f>IF(D661="","",W661-X661)</f>
        <v/>
      </c>
      <c r="AC661" s="5">
        <f>IF(D661="","",Z661-Y661)</f>
        <v/>
      </c>
      <c r="AD661">
        <f>IF(D661="","",N(AD660)+IF(MATCH(D661,$D$2:$D$2501,0)=ROW()-1,1,0))</f>
        <v/>
      </c>
    </row>
    <row r="662">
      <c r="X662" s="5">
        <f>IF(D662="","",W662*IF(AND(ISNUMBER(AB662),AB662&gt;0,AB662&lt;1),AB662*100,AB662)/100)</f>
        <v/>
      </c>
      <c r="Y662" s="5">
        <f>IF(D662="","",AA662*Z662/100)</f>
        <v/>
      </c>
      <c r="Z662" s="5">
        <f>IF(D662="","",W662-X662)</f>
        <v/>
      </c>
      <c r="AC662" s="5">
        <f>IF(D662="","",Z662-Y662)</f>
        <v/>
      </c>
      <c r="AD662">
        <f>IF(D662="","",N(AD661)+IF(MATCH(D662,$D$2:$D$2501,0)=ROW()-1,1,0))</f>
        <v/>
      </c>
    </row>
    <row r="663">
      <c r="X663" s="5">
        <f>IF(D663="","",W663*IF(AND(ISNUMBER(AB663),AB663&gt;0,AB663&lt;1),AB663*100,AB663)/100)</f>
        <v/>
      </c>
      <c r="Y663" s="5">
        <f>IF(D663="","",AA663*Z663/100)</f>
        <v/>
      </c>
      <c r="Z663" s="5">
        <f>IF(D663="","",W663-X663)</f>
        <v/>
      </c>
      <c r="AC663" s="5">
        <f>IF(D663="","",Z663-Y663)</f>
        <v/>
      </c>
      <c r="AD663">
        <f>IF(D663="","",N(AD662)+IF(MATCH(D663,$D$2:$D$2501,0)=ROW()-1,1,0))</f>
        <v/>
      </c>
    </row>
    <row r="664">
      <c r="X664" s="5">
        <f>IF(D664="","",W664*IF(AND(ISNUMBER(AB664),AB664&gt;0,AB664&lt;1),AB664*100,AB664)/100)</f>
        <v/>
      </c>
      <c r="Y664" s="5">
        <f>IF(D664="","",AA664*Z664/100)</f>
        <v/>
      </c>
      <c r="Z664" s="5">
        <f>IF(D664="","",W664-X664)</f>
        <v/>
      </c>
      <c r="AC664" s="5">
        <f>IF(D664="","",Z664-Y664)</f>
        <v/>
      </c>
      <c r="AD664">
        <f>IF(D664="","",N(AD663)+IF(MATCH(D664,$D$2:$D$2501,0)=ROW()-1,1,0))</f>
        <v/>
      </c>
    </row>
    <row r="665">
      <c r="X665" s="5">
        <f>IF(D665="","",W665*IF(AND(ISNUMBER(AB665),AB665&gt;0,AB665&lt;1),AB665*100,AB665)/100)</f>
        <v/>
      </c>
      <c r="Y665" s="5">
        <f>IF(D665="","",AA665*Z665/100)</f>
        <v/>
      </c>
      <c r="Z665" s="5">
        <f>IF(D665="","",W665-X665)</f>
        <v/>
      </c>
      <c r="AC665" s="5">
        <f>IF(D665="","",Z665-Y665)</f>
        <v/>
      </c>
      <c r="AD665">
        <f>IF(D665="","",N(AD664)+IF(MATCH(D665,$D$2:$D$2501,0)=ROW()-1,1,0))</f>
        <v/>
      </c>
    </row>
    <row r="666">
      <c r="X666" s="5">
        <f>IF(D666="","",W666*IF(AND(ISNUMBER(AB666),AB666&gt;0,AB666&lt;1),AB666*100,AB666)/100)</f>
        <v/>
      </c>
      <c r="Y666" s="5">
        <f>IF(D666="","",AA666*Z666/100)</f>
        <v/>
      </c>
      <c r="Z666" s="5">
        <f>IF(D666="","",W666-X666)</f>
        <v/>
      </c>
      <c r="AC666" s="5">
        <f>IF(D666="","",Z666-Y666)</f>
        <v/>
      </c>
      <c r="AD666">
        <f>IF(D666="","",N(AD665)+IF(MATCH(D666,$D$2:$D$2501,0)=ROW()-1,1,0))</f>
        <v/>
      </c>
    </row>
    <row r="667">
      <c r="X667" s="5">
        <f>IF(D667="","",W667*IF(AND(ISNUMBER(AB667),AB667&gt;0,AB667&lt;1),AB667*100,AB667)/100)</f>
        <v/>
      </c>
      <c r="Y667" s="5">
        <f>IF(D667="","",AA667*Z667/100)</f>
        <v/>
      </c>
      <c r="Z667" s="5">
        <f>IF(D667="","",W667-X667)</f>
        <v/>
      </c>
      <c r="AC667" s="5">
        <f>IF(D667="","",Z667-Y667)</f>
        <v/>
      </c>
      <c r="AD667">
        <f>IF(D667="","",N(AD666)+IF(MATCH(D667,$D$2:$D$2501,0)=ROW()-1,1,0))</f>
        <v/>
      </c>
    </row>
    <row r="668">
      <c r="X668" s="5">
        <f>IF(D668="","",W668*IF(AND(ISNUMBER(AB668),AB668&gt;0,AB668&lt;1),AB668*100,AB668)/100)</f>
        <v/>
      </c>
      <c r="Y668" s="5">
        <f>IF(D668="","",AA668*Z668/100)</f>
        <v/>
      </c>
      <c r="Z668" s="5">
        <f>IF(D668="","",W668-X668)</f>
        <v/>
      </c>
      <c r="AC668" s="5">
        <f>IF(D668="","",Z668-Y668)</f>
        <v/>
      </c>
      <c r="AD668">
        <f>IF(D668="","",N(AD667)+IF(MATCH(D668,$D$2:$D$2501,0)=ROW()-1,1,0))</f>
        <v/>
      </c>
    </row>
    <row r="669">
      <c r="X669" s="5">
        <f>IF(D669="","",W669*IF(AND(ISNUMBER(AB669),AB669&gt;0,AB669&lt;1),AB669*100,AB669)/100)</f>
        <v/>
      </c>
      <c r="Y669" s="5">
        <f>IF(D669="","",AA669*Z669/100)</f>
        <v/>
      </c>
      <c r="Z669" s="5">
        <f>IF(D669="","",W669-X669)</f>
        <v/>
      </c>
      <c r="AC669" s="5">
        <f>IF(D669="","",Z669-Y669)</f>
        <v/>
      </c>
      <c r="AD669">
        <f>IF(D669="","",N(AD668)+IF(MATCH(D669,$D$2:$D$2501,0)=ROW()-1,1,0))</f>
        <v/>
      </c>
    </row>
    <row r="670">
      <c r="X670" s="5">
        <f>IF(D670="","",W670*IF(AND(ISNUMBER(AB670),AB670&gt;0,AB670&lt;1),AB670*100,AB670)/100)</f>
        <v/>
      </c>
      <c r="Y670" s="5">
        <f>IF(D670="","",AA670*Z670/100)</f>
        <v/>
      </c>
      <c r="Z670" s="5">
        <f>IF(D670="","",W670-X670)</f>
        <v/>
      </c>
      <c r="AC670" s="5">
        <f>IF(D670="","",Z670-Y670)</f>
        <v/>
      </c>
      <c r="AD670">
        <f>IF(D670="","",N(AD669)+IF(MATCH(D670,$D$2:$D$2501,0)=ROW()-1,1,0))</f>
        <v/>
      </c>
    </row>
    <row r="671">
      <c r="X671" s="5">
        <f>IF(D671="","",W671*IF(AND(ISNUMBER(AB671),AB671&gt;0,AB671&lt;1),AB671*100,AB671)/100)</f>
        <v/>
      </c>
      <c r="Y671" s="5">
        <f>IF(D671="","",AA671*Z671/100)</f>
        <v/>
      </c>
      <c r="Z671" s="5">
        <f>IF(D671="","",W671-X671)</f>
        <v/>
      </c>
      <c r="AC671" s="5">
        <f>IF(D671="","",Z671-Y671)</f>
        <v/>
      </c>
      <c r="AD671">
        <f>IF(D671="","",N(AD670)+IF(MATCH(D671,$D$2:$D$2501,0)=ROW()-1,1,0))</f>
        <v/>
      </c>
    </row>
    <row r="672">
      <c r="X672" s="5">
        <f>IF(D672="","",W672*IF(AND(ISNUMBER(AB672),AB672&gt;0,AB672&lt;1),AB672*100,AB672)/100)</f>
        <v/>
      </c>
      <c r="Y672" s="5">
        <f>IF(D672="","",AA672*Z672/100)</f>
        <v/>
      </c>
      <c r="Z672" s="5">
        <f>IF(D672="","",W672-X672)</f>
        <v/>
      </c>
      <c r="AC672" s="5">
        <f>IF(D672="","",Z672-Y672)</f>
        <v/>
      </c>
      <c r="AD672">
        <f>IF(D672="","",N(AD671)+IF(MATCH(D672,$D$2:$D$2501,0)=ROW()-1,1,0))</f>
        <v/>
      </c>
    </row>
    <row r="673">
      <c r="X673" s="5">
        <f>IF(D673="","",W673*IF(AND(ISNUMBER(AB673),AB673&gt;0,AB673&lt;1),AB673*100,AB673)/100)</f>
        <v/>
      </c>
      <c r="Y673" s="5">
        <f>IF(D673="","",AA673*Z673/100)</f>
        <v/>
      </c>
      <c r="Z673" s="5">
        <f>IF(D673="","",W673-X673)</f>
        <v/>
      </c>
      <c r="AC673" s="5">
        <f>IF(D673="","",Z673-Y673)</f>
        <v/>
      </c>
      <c r="AD673">
        <f>IF(D673="","",N(AD672)+IF(MATCH(D673,$D$2:$D$2501,0)=ROW()-1,1,0))</f>
        <v/>
      </c>
    </row>
    <row r="674">
      <c r="X674" s="5">
        <f>IF(D674="","",W674*IF(AND(ISNUMBER(AB674),AB674&gt;0,AB674&lt;1),AB674*100,AB674)/100)</f>
        <v/>
      </c>
      <c r="Y674" s="5">
        <f>IF(D674="","",AA674*Z674/100)</f>
        <v/>
      </c>
      <c r="Z674" s="5">
        <f>IF(D674="","",W674-X674)</f>
        <v/>
      </c>
      <c r="AC674" s="5">
        <f>IF(D674="","",Z674-Y674)</f>
        <v/>
      </c>
      <c r="AD674">
        <f>IF(D674="","",N(AD673)+IF(MATCH(D674,$D$2:$D$2501,0)=ROW()-1,1,0))</f>
        <v/>
      </c>
    </row>
    <row r="675">
      <c r="X675" s="5">
        <f>IF(D675="","",W675*IF(AND(ISNUMBER(AB675),AB675&gt;0,AB675&lt;1),AB675*100,AB675)/100)</f>
        <v/>
      </c>
      <c r="Y675" s="5">
        <f>IF(D675="","",AA675*Z675/100)</f>
        <v/>
      </c>
      <c r="Z675" s="5">
        <f>IF(D675="","",W675-X675)</f>
        <v/>
      </c>
      <c r="AC675" s="5">
        <f>IF(D675="","",Z675-Y675)</f>
        <v/>
      </c>
      <c r="AD675">
        <f>IF(D675="","",N(AD674)+IF(MATCH(D675,$D$2:$D$2501,0)=ROW()-1,1,0))</f>
        <v/>
      </c>
    </row>
    <row r="676">
      <c r="X676" s="5">
        <f>IF(D676="","",W676*IF(AND(ISNUMBER(AB676),AB676&gt;0,AB676&lt;1),AB676*100,AB676)/100)</f>
        <v/>
      </c>
      <c r="Y676" s="5">
        <f>IF(D676="","",AA676*Z676/100)</f>
        <v/>
      </c>
      <c r="Z676" s="5">
        <f>IF(D676="","",W676-X676)</f>
        <v/>
      </c>
      <c r="AC676" s="5">
        <f>IF(D676="","",Z676-Y676)</f>
        <v/>
      </c>
      <c r="AD676">
        <f>IF(D676="","",N(AD675)+IF(MATCH(D676,$D$2:$D$2501,0)=ROW()-1,1,0))</f>
        <v/>
      </c>
    </row>
    <row r="677">
      <c r="X677" s="5">
        <f>IF(D677="","",W677*IF(AND(ISNUMBER(AB677),AB677&gt;0,AB677&lt;1),AB677*100,AB677)/100)</f>
        <v/>
      </c>
      <c r="Y677" s="5">
        <f>IF(D677="","",AA677*Z677/100)</f>
        <v/>
      </c>
      <c r="Z677" s="5">
        <f>IF(D677="","",W677-X677)</f>
        <v/>
      </c>
      <c r="AC677" s="5">
        <f>IF(D677="","",Z677-Y677)</f>
        <v/>
      </c>
      <c r="AD677">
        <f>IF(D677="","",N(AD676)+IF(MATCH(D677,$D$2:$D$2501,0)=ROW()-1,1,0))</f>
        <v/>
      </c>
    </row>
    <row r="678">
      <c r="X678" s="5">
        <f>IF(D678="","",W678*IF(AND(ISNUMBER(AB678),AB678&gt;0,AB678&lt;1),AB678*100,AB678)/100)</f>
        <v/>
      </c>
      <c r="Y678" s="5">
        <f>IF(D678="","",AA678*Z678/100)</f>
        <v/>
      </c>
      <c r="Z678" s="5">
        <f>IF(D678="","",W678-X678)</f>
        <v/>
      </c>
      <c r="AC678" s="5">
        <f>IF(D678="","",Z678-Y678)</f>
        <v/>
      </c>
      <c r="AD678">
        <f>IF(D678="","",N(AD677)+IF(MATCH(D678,$D$2:$D$2501,0)=ROW()-1,1,0))</f>
        <v/>
      </c>
    </row>
    <row r="679">
      <c r="X679" s="5">
        <f>IF(D679="","",W679*IF(AND(ISNUMBER(AB679),AB679&gt;0,AB679&lt;1),AB679*100,AB679)/100)</f>
        <v/>
      </c>
      <c r="Y679" s="5">
        <f>IF(D679="","",AA679*Z679/100)</f>
        <v/>
      </c>
      <c r="Z679" s="5">
        <f>IF(D679="","",W679-X679)</f>
        <v/>
      </c>
      <c r="AC679" s="5">
        <f>IF(D679="","",Z679-Y679)</f>
        <v/>
      </c>
      <c r="AD679">
        <f>IF(D679="","",N(AD678)+IF(MATCH(D679,$D$2:$D$2501,0)=ROW()-1,1,0))</f>
        <v/>
      </c>
    </row>
    <row r="680">
      <c r="X680" s="5">
        <f>IF(D680="","",W680*IF(AND(ISNUMBER(AB680),AB680&gt;0,AB680&lt;1),AB680*100,AB680)/100)</f>
        <v/>
      </c>
      <c r="Y680" s="5">
        <f>IF(D680="","",AA680*Z680/100)</f>
        <v/>
      </c>
      <c r="Z680" s="5">
        <f>IF(D680="","",W680-X680)</f>
        <v/>
      </c>
      <c r="AC680" s="5">
        <f>IF(D680="","",Z680-Y680)</f>
        <v/>
      </c>
      <c r="AD680">
        <f>IF(D680="","",N(AD679)+IF(MATCH(D680,$D$2:$D$2501,0)=ROW()-1,1,0))</f>
        <v/>
      </c>
    </row>
    <row r="681">
      <c r="X681" s="5">
        <f>IF(D681="","",W681*IF(AND(ISNUMBER(AB681),AB681&gt;0,AB681&lt;1),AB681*100,AB681)/100)</f>
        <v/>
      </c>
      <c r="Y681" s="5">
        <f>IF(D681="","",AA681*Z681/100)</f>
        <v/>
      </c>
      <c r="Z681" s="5">
        <f>IF(D681="","",W681-X681)</f>
        <v/>
      </c>
      <c r="AC681" s="5">
        <f>IF(D681="","",Z681-Y681)</f>
        <v/>
      </c>
      <c r="AD681">
        <f>IF(D681="","",N(AD680)+IF(MATCH(D681,$D$2:$D$2501,0)=ROW()-1,1,0))</f>
        <v/>
      </c>
    </row>
    <row r="682">
      <c r="X682" s="5">
        <f>IF(D682="","",W682*IF(AND(ISNUMBER(AB682),AB682&gt;0,AB682&lt;1),AB682*100,AB682)/100)</f>
        <v/>
      </c>
      <c r="Y682" s="5">
        <f>IF(D682="","",AA682*Z682/100)</f>
        <v/>
      </c>
      <c r="Z682" s="5">
        <f>IF(D682="","",W682-X682)</f>
        <v/>
      </c>
      <c r="AC682" s="5">
        <f>IF(D682="","",Z682-Y682)</f>
        <v/>
      </c>
      <c r="AD682">
        <f>IF(D682="","",N(AD681)+IF(MATCH(D682,$D$2:$D$2501,0)=ROW()-1,1,0))</f>
        <v/>
      </c>
    </row>
    <row r="683">
      <c r="X683" s="5">
        <f>IF(D683="","",W683*IF(AND(ISNUMBER(AB683),AB683&gt;0,AB683&lt;1),AB683*100,AB683)/100)</f>
        <v/>
      </c>
      <c r="Y683" s="5">
        <f>IF(D683="","",AA683*Z683/100)</f>
        <v/>
      </c>
      <c r="Z683" s="5">
        <f>IF(D683="","",W683-X683)</f>
        <v/>
      </c>
      <c r="AC683" s="5">
        <f>IF(D683="","",Z683-Y683)</f>
        <v/>
      </c>
      <c r="AD683">
        <f>IF(D683="","",N(AD682)+IF(MATCH(D683,$D$2:$D$2501,0)=ROW()-1,1,0))</f>
        <v/>
      </c>
    </row>
    <row r="684">
      <c r="X684" s="5">
        <f>IF(D684="","",W684*IF(AND(ISNUMBER(AB684),AB684&gt;0,AB684&lt;1),AB684*100,AB684)/100)</f>
        <v/>
      </c>
      <c r="Y684" s="5">
        <f>IF(D684="","",AA684*Z684/100)</f>
        <v/>
      </c>
      <c r="Z684" s="5">
        <f>IF(D684="","",W684-X684)</f>
        <v/>
      </c>
      <c r="AC684" s="5">
        <f>IF(D684="","",Z684-Y684)</f>
        <v/>
      </c>
      <c r="AD684">
        <f>IF(D684="","",N(AD683)+IF(MATCH(D684,$D$2:$D$2501,0)=ROW()-1,1,0))</f>
        <v/>
      </c>
    </row>
    <row r="685">
      <c r="X685" s="5">
        <f>IF(D685="","",W685*IF(AND(ISNUMBER(AB685),AB685&gt;0,AB685&lt;1),AB685*100,AB685)/100)</f>
        <v/>
      </c>
      <c r="Y685" s="5">
        <f>IF(D685="","",AA685*Z685/100)</f>
        <v/>
      </c>
      <c r="Z685" s="5">
        <f>IF(D685="","",W685-X685)</f>
        <v/>
      </c>
      <c r="AC685" s="5">
        <f>IF(D685="","",Z685-Y685)</f>
        <v/>
      </c>
      <c r="AD685">
        <f>IF(D685="","",N(AD684)+IF(MATCH(D685,$D$2:$D$2501,0)=ROW()-1,1,0))</f>
        <v/>
      </c>
    </row>
    <row r="686">
      <c r="X686" s="5">
        <f>IF(D686="","",W686*IF(AND(ISNUMBER(AB686),AB686&gt;0,AB686&lt;1),AB686*100,AB686)/100)</f>
        <v/>
      </c>
      <c r="Y686" s="5">
        <f>IF(D686="","",AA686*Z686/100)</f>
        <v/>
      </c>
      <c r="Z686" s="5">
        <f>IF(D686="","",W686-X686)</f>
        <v/>
      </c>
      <c r="AC686" s="5">
        <f>IF(D686="","",Z686-Y686)</f>
        <v/>
      </c>
      <c r="AD686">
        <f>IF(D686="","",N(AD685)+IF(MATCH(D686,$D$2:$D$2501,0)=ROW()-1,1,0))</f>
        <v/>
      </c>
    </row>
    <row r="687">
      <c r="X687" s="5">
        <f>IF(D687="","",W687*IF(AND(ISNUMBER(AB687),AB687&gt;0,AB687&lt;1),AB687*100,AB687)/100)</f>
        <v/>
      </c>
      <c r="Y687" s="5">
        <f>IF(D687="","",AA687*Z687/100)</f>
        <v/>
      </c>
      <c r="Z687" s="5">
        <f>IF(D687="","",W687-X687)</f>
        <v/>
      </c>
      <c r="AC687" s="5">
        <f>IF(D687="","",Z687-Y687)</f>
        <v/>
      </c>
      <c r="AD687">
        <f>IF(D687="","",N(AD686)+IF(MATCH(D687,$D$2:$D$2501,0)=ROW()-1,1,0))</f>
        <v/>
      </c>
    </row>
    <row r="688">
      <c r="X688" s="5">
        <f>IF(D688="","",W688*IF(AND(ISNUMBER(AB688),AB688&gt;0,AB688&lt;1),AB688*100,AB688)/100)</f>
        <v/>
      </c>
      <c r="Y688" s="5">
        <f>IF(D688="","",AA688*Z688/100)</f>
        <v/>
      </c>
      <c r="Z688" s="5">
        <f>IF(D688="","",W688-X688)</f>
        <v/>
      </c>
      <c r="AC688" s="5">
        <f>IF(D688="","",Z688-Y688)</f>
        <v/>
      </c>
      <c r="AD688">
        <f>IF(D688="","",N(AD687)+IF(MATCH(D688,$D$2:$D$2501,0)=ROW()-1,1,0))</f>
        <v/>
      </c>
    </row>
    <row r="689">
      <c r="X689" s="5">
        <f>IF(D689="","",W689*IF(AND(ISNUMBER(AB689),AB689&gt;0,AB689&lt;1),AB689*100,AB689)/100)</f>
        <v/>
      </c>
      <c r="Y689" s="5">
        <f>IF(D689="","",AA689*Z689/100)</f>
        <v/>
      </c>
      <c r="Z689" s="5">
        <f>IF(D689="","",W689-X689)</f>
        <v/>
      </c>
      <c r="AC689" s="5">
        <f>IF(D689="","",Z689-Y689)</f>
        <v/>
      </c>
      <c r="AD689">
        <f>IF(D689="","",N(AD688)+IF(MATCH(D689,$D$2:$D$2501,0)=ROW()-1,1,0))</f>
        <v/>
      </c>
    </row>
    <row r="690">
      <c r="X690" s="5">
        <f>IF(D690="","",W690*IF(AND(ISNUMBER(AB690),AB690&gt;0,AB690&lt;1),AB690*100,AB690)/100)</f>
        <v/>
      </c>
      <c r="Y690" s="5">
        <f>IF(D690="","",AA690*Z690/100)</f>
        <v/>
      </c>
      <c r="Z690" s="5">
        <f>IF(D690="","",W690-X690)</f>
        <v/>
      </c>
      <c r="AC690" s="5">
        <f>IF(D690="","",Z690-Y690)</f>
        <v/>
      </c>
      <c r="AD690">
        <f>IF(D690="","",N(AD689)+IF(MATCH(D690,$D$2:$D$2501,0)=ROW()-1,1,0))</f>
        <v/>
      </c>
    </row>
    <row r="691">
      <c r="X691" s="5">
        <f>IF(D691="","",W691*IF(AND(ISNUMBER(AB691),AB691&gt;0,AB691&lt;1),AB691*100,AB691)/100)</f>
        <v/>
      </c>
      <c r="Y691" s="5">
        <f>IF(D691="","",AA691*Z691/100)</f>
        <v/>
      </c>
      <c r="Z691" s="5">
        <f>IF(D691="","",W691-X691)</f>
        <v/>
      </c>
      <c r="AC691" s="5">
        <f>IF(D691="","",Z691-Y691)</f>
        <v/>
      </c>
      <c r="AD691">
        <f>IF(D691="","",N(AD690)+IF(MATCH(D691,$D$2:$D$2501,0)=ROW()-1,1,0))</f>
        <v/>
      </c>
    </row>
    <row r="692">
      <c r="X692" s="5">
        <f>IF(D692="","",W692*IF(AND(ISNUMBER(AB692),AB692&gt;0,AB692&lt;1),AB692*100,AB692)/100)</f>
        <v/>
      </c>
      <c r="Y692" s="5">
        <f>IF(D692="","",AA692*Z692/100)</f>
        <v/>
      </c>
      <c r="Z692" s="5">
        <f>IF(D692="","",W692-X692)</f>
        <v/>
      </c>
      <c r="AC692" s="5">
        <f>IF(D692="","",Z692-Y692)</f>
        <v/>
      </c>
      <c r="AD692">
        <f>IF(D692="","",N(AD691)+IF(MATCH(D692,$D$2:$D$2501,0)=ROW()-1,1,0))</f>
        <v/>
      </c>
    </row>
    <row r="693">
      <c r="X693" s="5">
        <f>IF(D693="","",W693*IF(AND(ISNUMBER(AB693),AB693&gt;0,AB693&lt;1),AB693*100,AB693)/100)</f>
        <v/>
      </c>
      <c r="Y693" s="5">
        <f>IF(D693="","",AA693*Z693/100)</f>
        <v/>
      </c>
      <c r="Z693" s="5">
        <f>IF(D693="","",W693-X693)</f>
        <v/>
      </c>
      <c r="AC693" s="5">
        <f>IF(D693="","",Z693-Y693)</f>
        <v/>
      </c>
      <c r="AD693">
        <f>IF(D693="","",N(AD692)+IF(MATCH(D693,$D$2:$D$2501,0)=ROW()-1,1,0))</f>
        <v/>
      </c>
    </row>
    <row r="694">
      <c r="X694" s="5">
        <f>IF(D694="","",W694*IF(AND(ISNUMBER(AB694),AB694&gt;0,AB694&lt;1),AB694*100,AB694)/100)</f>
        <v/>
      </c>
      <c r="Y694" s="5">
        <f>IF(D694="","",AA694*Z694/100)</f>
        <v/>
      </c>
      <c r="Z694" s="5">
        <f>IF(D694="","",W694-X694)</f>
        <v/>
      </c>
      <c r="AC694" s="5">
        <f>IF(D694="","",Z694-Y694)</f>
        <v/>
      </c>
      <c r="AD694">
        <f>IF(D694="","",N(AD693)+IF(MATCH(D694,$D$2:$D$2501,0)=ROW()-1,1,0))</f>
        <v/>
      </c>
    </row>
    <row r="695">
      <c r="X695" s="5">
        <f>IF(D695="","",W695*IF(AND(ISNUMBER(AB695),AB695&gt;0,AB695&lt;1),AB695*100,AB695)/100)</f>
        <v/>
      </c>
      <c r="Y695" s="5">
        <f>IF(D695="","",AA695*Z695/100)</f>
        <v/>
      </c>
      <c r="Z695" s="5">
        <f>IF(D695="","",W695-X695)</f>
        <v/>
      </c>
      <c r="AC695" s="5">
        <f>IF(D695="","",Z695-Y695)</f>
        <v/>
      </c>
      <c r="AD695">
        <f>IF(D695="","",N(AD694)+IF(MATCH(D695,$D$2:$D$2501,0)=ROW()-1,1,0))</f>
        <v/>
      </c>
    </row>
    <row r="696">
      <c r="X696" s="5">
        <f>IF(D696="","",W696*IF(AND(ISNUMBER(AB696),AB696&gt;0,AB696&lt;1),AB696*100,AB696)/100)</f>
        <v/>
      </c>
      <c r="Y696" s="5">
        <f>IF(D696="","",AA696*Z696/100)</f>
        <v/>
      </c>
      <c r="Z696" s="5">
        <f>IF(D696="","",W696-X696)</f>
        <v/>
      </c>
      <c r="AC696" s="5">
        <f>IF(D696="","",Z696-Y696)</f>
        <v/>
      </c>
      <c r="AD696">
        <f>IF(D696="","",N(AD695)+IF(MATCH(D696,$D$2:$D$2501,0)=ROW()-1,1,0))</f>
        <v/>
      </c>
    </row>
    <row r="697">
      <c r="X697" s="5">
        <f>IF(D697="","",W697*IF(AND(ISNUMBER(AB697),AB697&gt;0,AB697&lt;1),AB697*100,AB697)/100)</f>
        <v/>
      </c>
      <c r="Y697" s="5">
        <f>IF(D697="","",AA697*Z697/100)</f>
        <v/>
      </c>
      <c r="Z697" s="5">
        <f>IF(D697="","",W697-X697)</f>
        <v/>
      </c>
      <c r="AC697" s="5">
        <f>IF(D697="","",Z697-Y697)</f>
        <v/>
      </c>
      <c r="AD697">
        <f>IF(D697="","",N(AD696)+IF(MATCH(D697,$D$2:$D$2501,0)=ROW()-1,1,0))</f>
        <v/>
      </c>
    </row>
    <row r="698">
      <c r="X698" s="5">
        <f>IF(D698="","",W698*IF(AND(ISNUMBER(AB698),AB698&gt;0,AB698&lt;1),AB698*100,AB698)/100)</f>
        <v/>
      </c>
      <c r="Y698" s="5">
        <f>IF(D698="","",AA698*Z698/100)</f>
        <v/>
      </c>
      <c r="Z698" s="5">
        <f>IF(D698="","",W698-X698)</f>
        <v/>
      </c>
      <c r="AC698" s="5">
        <f>IF(D698="","",Z698-Y698)</f>
        <v/>
      </c>
      <c r="AD698">
        <f>IF(D698="","",N(AD697)+IF(MATCH(D698,$D$2:$D$2501,0)=ROW()-1,1,0))</f>
        <v/>
      </c>
    </row>
    <row r="699">
      <c r="X699" s="5">
        <f>IF(D699="","",W699*IF(AND(ISNUMBER(AB699),AB699&gt;0,AB699&lt;1),AB699*100,AB699)/100)</f>
        <v/>
      </c>
      <c r="Y699" s="5">
        <f>IF(D699="","",AA699*Z699/100)</f>
        <v/>
      </c>
      <c r="Z699" s="5">
        <f>IF(D699="","",W699-X699)</f>
        <v/>
      </c>
      <c r="AC699" s="5">
        <f>IF(D699="","",Z699-Y699)</f>
        <v/>
      </c>
      <c r="AD699">
        <f>IF(D699="","",N(AD698)+IF(MATCH(D699,$D$2:$D$2501,0)=ROW()-1,1,0))</f>
        <v/>
      </c>
    </row>
    <row r="700">
      <c r="X700" s="5">
        <f>IF(D700="","",W700*IF(AND(ISNUMBER(AB700),AB700&gt;0,AB700&lt;1),AB700*100,AB700)/100)</f>
        <v/>
      </c>
      <c r="Y700" s="5">
        <f>IF(D700="","",AA700*Z700/100)</f>
        <v/>
      </c>
      <c r="Z700" s="5">
        <f>IF(D700="","",W700-X700)</f>
        <v/>
      </c>
      <c r="AC700" s="5">
        <f>IF(D700="","",Z700-Y700)</f>
        <v/>
      </c>
      <c r="AD700">
        <f>IF(D700="","",N(AD699)+IF(MATCH(D700,$D$2:$D$2501,0)=ROW()-1,1,0))</f>
        <v/>
      </c>
    </row>
    <row r="701">
      <c r="X701" s="5">
        <f>IF(D701="","",W701*IF(AND(ISNUMBER(AB701),AB701&gt;0,AB701&lt;1),AB701*100,AB701)/100)</f>
        <v/>
      </c>
      <c r="Y701" s="5">
        <f>IF(D701="","",AA701*Z701/100)</f>
        <v/>
      </c>
      <c r="Z701" s="5">
        <f>IF(D701="","",W701-X701)</f>
        <v/>
      </c>
      <c r="AC701" s="5">
        <f>IF(D701="","",Z701-Y701)</f>
        <v/>
      </c>
      <c r="AD701">
        <f>IF(D701="","",N(AD700)+IF(MATCH(D701,$D$2:$D$2501,0)=ROW()-1,1,0))</f>
        <v/>
      </c>
    </row>
    <row r="702">
      <c r="X702" s="5">
        <f>IF(D702="","",W702*IF(AND(ISNUMBER(AB702),AB702&gt;0,AB702&lt;1),AB702*100,AB702)/100)</f>
        <v/>
      </c>
      <c r="Y702" s="5">
        <f>IF(D702="","",AA702*Z702/100)</f>
        <v/>
      </c>
      <c r="Z702" s="5">
        <f>IF(D702="","",W702-X702)</f>
        <v/>
      </c>
      <c r="AC702" s="5">
        <f>IF(D702="","",Z702-Y702)</f>
        <v/>
      </c>
      <c r="AD702">
        <f>IF(D702="","",N(AD701)+IF(MATCH(D702,$D$2:$D$2501,0)=ROW()-1,1,0))</f>
        <v/>
      </c>
    </row>
    <row r="703">
      <c r="X703" s="5">
        <f>IF(D703="","",W703*IF(AND(ISNUMBER(AB703),AB703&gt;0,AB703&lt;1),AB703*100,AB703)/100)</f>
        <v/>
      </c>
      <c r="Y703" s="5">
        <f>IF(D703="","",AA703*Z703/100)</f>
        <v/>
      </c>
      <c r="Z703" s="5">
        <f>IF(D703="","",W703-X703)</f>
        <v/>
      </c>
      <c r="AC703" s="5">
        <f>IF(D703="","",Z703-Y703)</f>
        <v/>
      </c>
      <c r="AD703">
        <f>IF(D703="","",N(AD702)+IF(MATCH(D703,$D$2:$D$2501,0)=ROW()-1,1,0))</f>
        <v/>
      </c>
    </row>
    <row r="704">
      <c r="X704" s="5">
        <f>IF(D704="","",W704*IF(AND(ISNUMBER(AB704),AB704&gt;0,AB704&lt;1),AB704*100,AB704)/100)</f>
        <v/>
      </c>
      <c r="Y704" s="5">
        <f>IF(D704="","",AA704*Z704/100)</f>
        <v/>
      </c>
      <c r="Z704" s="5">
        <f>IF(D704="","",W704-X704)</f>
        <v/>
      </c>
      <c r="AC704" s="5">
        <f>IF(D704="","",Z704-Y704)</f>
        <v/>
      </c>
      <c r="AD704">
        <f>IF(D704="","",N(AD703)+IF(MATCH(D704,$D$2:$D$2501,0)=ROW()-1,1,0))</f>
        <v/>
      </c>
    </row>
    <row r="705">
      <c r="X705" s="5">
        <f>IF(D705="","",W705*IF(AND(ISNUMBER(AB705),AB705&gt;0,AB705&lt;1),AB705*100,AB705)/100)</f>
        <v/>
      </c>
      <c r="Y705" s="5">
        <f>IF(D705="","",AA705*Z705/100)</f>
        <v/>
      </c>
      <c r="Z705" s="5">
        <f>IF(D705="","",W705-X705)</f>
        <v/>
      </c>
      <c r="AC705" s="5">
        <f>IF(D705="","",Z705-Y705)</f>
        <v/>
      </c>
      <c r="AD705">
        <f>IF(D705="","",N(AD704)+IF(MATCH(D705,$D$2:$D$2501,0)=ROW()-1,1,0))</f>
        <v/>
      </c>
    </row>
    <row r="706">
      <c r="X706" s="5">
        <f>IF(D706="","",W706*IF(AND(ISNUMBER(AB706),AB706&gt;0,AB706&lt;1),AB706*100,AB706)/100)</f>
        <v/>
      </c>
      <c r="Y706" s="5">
        <f>IF(D706="","",AA706*Z706/100)</f>
        <v/>
      </c>
      <c r="Z706" s="5">
        <f>IF(D706="","",W706-X706)</f>
        <v/>
      </c>
      <c r="AC706" s="5">
        <f>IF(D706="","",Z706-Y706)</f>
        <v/>
      </c>
      <c r="AD706">
        <f>IF(D706="","",N(AD705)+IF(MATCH(D706,$D$2:$D$2501,0)=ROW()-1,1,0))</f>
        <v/>
      </c>
    </row>
    <row r="707">
      <c r="X707" s="5">
        <f>IF(D707="","",W707*IF(AND(ISNUMBER(AB707),AB707&gt;0,AB707&lt;1),AB707*100,AB707)/100)</f>
        <v/>
      </c>
      <c r="Y707" s="5">
        <f>IF(D707="","",AA707*Z707/100)</f>
        <v/>
      </c>
      <c r="Z707" s="5">
        <f>IF(D707="","",W707-X707)</f>
        <v/>
      </c>
      <c r="AC707" s="5">
        <f>IF(D707="","",Z707-Y707)</f>
        <v/>
      </c>
      <c r="AD707">
        <f>IF(D707="","",N(AD706)+IF(MATCH(D707,$D$2:$D$2501,0)=ROW()-1,1,0))</f>
        <v/>
      </c>
    </row>
    <row r="708">
      <c r="X708" s="5">
        <f>IF(D708="","",W708*IF(AND(ISNUMBER(AB708),AB708&gt;0,AB708&lt;1),AB708*100,AB708)/100)</f>
        <v/>
      </c>
      <c r="Y708" s="5">
        <f>IF(D708="","",AA708*Z708/100)</f>
        <v/>
      </c>
      <c r="Z708" s="5">
        <f>IF(D708="","",W708-X708)</f>
        <v/>
      </c>
      <c r="AC708" s="5">
        <f>IF(D708="","",Z708-Y708)</f>
        <v/>
      </c>
      <c r="AD708">
        <f>IF(D708="","",N(AD707)+IF(MATCH(D708,$D$2:$D$2501,0)=ROW()-1,1,0))</f>
        <v/>
      </c>
    </row>
    <row r="709">
      <c r="X709" s="5">
        <f>IF(D709="","",W709*IF(AND(ISNUMBER(AB709),AB709&gt;0,AB709&lt;1),AB709*100,AB709)/100)</f>
        <v/>
      </c>
      <c r="Y709" s="5">
        <f>IF(D709="","",AA709*Z709/100)</f>
        <v/>
      </c>
      <c r="Z709" s="5">
        <f>IF(D709="","",W709-X709)</f>
        <v/>
      </c>
      <c r="AC709" s="5">
        <f>IF(D709="","",Z709-Y709)</f>
        <v/>
      </c>
      <c r="AD709">
        <f>IF(D709="","",N(AD708)+IF(MATCH(D709,$D$2:$D$2501,0)=ROW()-1,1,0))</f>
        <v/>
      </c>
    </row>
    <row r="710">
      <c r="X710" s="5">
        <f>IF(D710="","",W710*IF(AND(ISNUMBER(AB710),AB710&gt;0,AB710&lt;1),AB710*100,AB710)/100)</f>
        <v/>
      </c>
      <c r="Y710" s="5">
        <f>IF(D710="","",AA710*Z710/100)</f>
        <v/>
      </c>
      <c r="Z710" s="5">
        <f>IF(D710="","",W710-X710)</f>
        <v/>
      </c>
      <c r="AC710" s="5">
        <f>IF(D710="","",Z710-Y710)</f>
        <v/>
      </c>
      <c r="AD710">
        <f>IF(D710="","",N(AD709)+IF(MATCH(D710,$D$2:$D$2501,0)=ROW()-1,1,0))</f>
        <v/>
      </c>
    </row>
    <row r="711">
      <c r="X711" s="5">
        <f>IF(D711="","",W711*IF(AND(ISNUMBER(AB711),AB711&gt;0,AB711&lt;1),AB711*100,AB711)/100)</f>
        <v/>
      </c>
      <c r="Y711" s="5">
        <f>IF(D711="","",AA711*Z711/100)</f>
        <v/>
      </c>
      <c r="Z711" s="5">
        <f>IF(D711="","",W711-X711)</f>
        <v/>
      </c>
      <c r="AC711" s="5">
        <f>IF(D711="","",Z711-Y711)</f>
        <v/>
      </c>
      <c r="AD711">
        <f>IF(D711="","",N(AD710)+IF(MATCH(D711,$D$2:$D$2501,0)=ROW()-1,1,0))</f>
        <v/>
      </c>
    </row>
    <row r="712">
      <c r="X712" s="5">
        <f>IF(D712="","",W712*IF(AND(ISNUMBER(AB712),AB712&gt;0,AB712&lt;1),AB712*100,AB712)/100)</f>
        <v/>
      </c>
      <c r="Y712" s="5">
        <f>IF(D712="","",AA712*Z712/100)</f>
        <v/>
      </c>
      <c r="Z712" s="5">
        <f>IF(D712="","",W712-X712)</f>
        <v/>
      </c>
      <c r="AC712" s="5">
        <f>IF(D712="","",Z712-Y712)</f>
        <v/>
      </c>
      <c r="AD712">
        <f>IF(D712="","",N(AD711)+IF(MATCH(D712,$D$2:$D$2501,0)=ROW()-1,1,0))</f>
        <v/>
      </c>
    </row>
    <row r="713">
      <c r="X713" s="5">
        <f>IF(D713="","",W713*IF(AND(ISNUMBER(AB713),AB713&gt;0,AB713&lt;1),AB713*100,AB713)/100)</f>
        <v/>
      </c>
      <c r="Y713" s="5">
        <f>IF(D713="","",AA713*Z713/100)</f>
        <v/>
      </c>
      <c r="Z713" s="5">
        <f>IF(D713="","",W713-X713)</f>
        <v/>
      </c>
      <c r="AC713" s="5">
        <f>IF(D713="","",Z713-Y713)</f>
        <v/>
      </c>
      <c r="AD713">
        <f>IF(D713="","",N(AD712)+IF(MATCH(D713,$D$2:$D$2501,0)=ROW()-1,1,0))</f>
        <v/>
      </c>
    </row>
    <row r="714">
      <c r="X714" s="5">
        <f>IF(D714="","",W714*IF(AND(ISNUMBER(AB714),AB714&gt;0,AB714&lt;1),AB714*100,AB714)/100)</f>
        <v/>
      </c>
      <c r="Y714" s="5">
        <f>IF(D714="","",AA714*Z714/100)</f>
        <v/>
      </c>
      <c r="Z714" s="5">
        <f>IF(D714="","",W714-X714)</f>
        <v/>
      </c>
      <c r="AC714" s="5">
        <f>IF(D714="","",Z714-Y714)</f>
        <v/>
      </c>
      <c r="AD714">
        <f>IF(D714="","",N(AD713)+IF(MATCH(D714,$D$2:$D$2501,0)=ROW()-1,1,0))</f>
        <v/>
      </c>
    </row>
    <row r="715">
      <c r="X715" s="5">
        <f>IF(D715="","",W715*IF(AND(ISNUMBER(AB715),AB715&gt;0,AB715&lt;1),AB715*100,AB715)/100)</f>
        <v/>
      </c>
      <c r="Y715" s="5">
        <f>IF(D715="","",AA715*Z715/100)</f>
        <v/>
      </c>
      <c r="Z715" s="5">
        <f>IF(D715="","",W715-X715)</f>
        <v/>
      </c>
      <c r="AC715" s="5">
        <f>IF(D715="","",Z715-Y715)</f>
        <v/>
      </c>
      <c r="AD715">
        <f>IF(D715="","",N(AD714)+IF(MATCH(D715,$D$2:$D$2501,0)=ROW()-1,1,0))</f>
        <v/>
      </c>
    </row>
    <row r="716">
      <c r="X716" s="5">
        <f>IF(D716="","",W716*IF(AND(ISNUMBER(AB716),AB716&gt;0,AB716&lt;1),AB716*100,AB716)/100)</f>
        <v/>
      </c>
      <c r="Y716" s="5">
        <f>IF(D716="","",AA716*Z716/100)</f>
        <v/>
      </c>
      <c r="Z716" s="5">
        <f>IF(D716="","",W716-X716)</f>
        <v/>
      </c>
      <c r="AC716" s="5">
        <f>IF(D716="","",Z716-Y716)</f>
        <v/>
      </c>
      <c r="AD716">
        <f>IF(D716="","",N(AD715)+IF(MATCH(D716,$D$2:$D$2501,0)=ROW()-1,1,0))</f>
        <v/>
      </c>
    </row>
    <row r="717">
      <c r="X717" s="5">
        <f>IF(D717="","",W717*IF(AND(ISNUMBER(AB717),AB717&gt;0,AB717&lt;1),AB717*100,AB717)/100)</f>
        <v/>
      </c>
      <c r="Y717" s="5">
        <f>IF(D717="","",AA717*Z717/100)</f>
        <v/>
      </c>
      <c r="Z717" s="5">
        <f>IF(D717="","",W717-X717)</f>
        <v/>
      </c>
      <c r="AC717" s="5">
        <f>IF(D717="","",Z717-Y717)</f>
        <v/>
      </c>
      <c r="AD717">
        <f>IF(D717="","",N(AD716)+IF(MATCH(D717,$D$2:$D$2501,0)=ROW()-1,1,0))</f>
        <v/>
      </c>
    </row>
    <row r="718">
      <c r="X718" s="5">
        <f>IF(D718="","",W718*IF(AND(ISNUMBER(AB718),AB718&gt;0,AB718&lt;1),AB718*100,AB718)/100)</f>
        <v/>
      </c>
      <c r="Y718" s="5">
        <f>IF(D718="","",AA718*Z718/100)</f>
        <v/>
      </c>
      <c r="Z718" s="5">
        <f>IF(D718="","",W718-X718)</f>
        <v/>
      </c>
      <c r="AC718" s="5">
        <f>IF(D718="","",Z718-Y718)</f>
        <v/>
      </c>
      <c r="AD718">
        <f>IF(D718="","",N(AD717)+IF(MATCH(D718,$D$2:$D$2501,0)=ROW()-1,1,0))</f>
        <v/>
      </c>
    </row>
    <row r="719">
      <c r="X719" s="5">
        <f>IF(D719="","",W719*IF(AND(ISNUMBER(AB719),AB719&gt;0,AB719&lt;1),AB719*100,AB719)/100)</f>
        <v/>
      </c>
      <c r="Y719" s="5">
        <f>IF(D719="","",AA719*Z719/100)</f>
        <v/>
      </c>
      <c r="Z719" s="5">
        <f>IF(D719="","",W719-X719)</f>
        <v/>
      </c>
      <c r="AC719" s="5">
        <f>IF(D719="","",Z719-Y719)</f>
        <v/>
      </c>
      <c r="AD719">
        <f>IF(D719="","",N(AD718)+IF(MATCH(D719,$D$2:$D$2501,0)=ROW()-1,1,0))</f>
        <v/>
      </c>
    </row>
    <row r="720">
      <c r="X720" s="5">
        <f>IF(D720="","",W720*IF(AND(ISNUMBER(AB720),AB720&gt;0,AB720&lt;1),AB720*100,AB720)/100)</f>
        <v/>
      </c>
      <c r="Y720" s="5">
        <f>IF(D720="","",AA720*Z720/100)</f>
        <v/>
      </c>
      <c r="Z720" s="5">
        <f>IF(D720="","",W720-X720)</f>
        <v/>
      </c>
      <c r="AC720" s="5">
        <f>IF(D720="","",Z720-Y720)</f>
        <v/>
      </c>
      <c r="AD720">
        <f>IF(D720="","",N(AD719)+IF(MATCH(D720,$D$2:$D$2501,0)=ROW()-1,1,0))</f>
        <v/>
      </c>
    </row>
    <row r="721">
      <c r="X721" s="5">
        <f>IF(D721="","",W721*IF(AND(ISNUMBER(AB721),AB721&gt;0,AB721&lt;1),AB721*100,AB721)/100)</f>
        <v/>
      </c>
      <c r="Y721" s="5">
        <f>IF(D721="","",AA721*Z721/100)</f>
        <v/>
      </c>
      <c r="Z721" s="5">
        <f>IF(D721="","",W721-X721)</f>
        <v/>
      </c>
      <c r="AC721" s="5">
        <f>IF(D721="","",Z721-Y721)</f>
        <v/>
      </c>
      <c r="AD721">
        <f>IF(D721="","",N(AD720)+IF(MATCH(D721,$D$2:$D$2501,0)=ROW()-1,1,0))</f>
        <v/>
      </c>
    </row>
    <row r="722">
      <c r="X722" s="5">
        <f>IF(D722="","",W722*IF(AND(ISNUMBER(AB722),AB722&gt;0,AB722&lt;1),AB722*100,AB722)/100)</f>
        <v/>
      </c>
      <c r="Y722" s="5">
        <f>IF(D722="","",AA722*Z722/100)</f>
        <v/>
      </c>
      <c r="Z722" s="5">
        <f>IF(D722="","",W722-X722)</f>
        <v/>
      </c>
      <c r="AC722" s="5">
        <f>IF(D722="","",Z722-Y722)</f>
        <v/>
      </c>
      <c r="AD722">
        <f>IF(D722="","",N(AD721)+IF(MATCH(D722,$D$2:$D$2501,0)=ROW()-1,1,0))</f>
        <v/>
      </c>
    </row>
    <row r="723">
      <c r="X723" s="5">
        <f>IF(D723="","",W723*IF(AND(ISNUMBER(AB723),AB723&gt;0,AB723&lt;1),AB723*100,AB723)/100)</f>
        <v/>
      </c>
      <c r="Y723" s="5">
        <f>IF(D723="","",AA723*Z723/100)</f>
        <v/>
      </c>
      <c r="Z723" s="5">
        <f>IF(D723="","",W723-X723)</f>
        <v/>
      </c>
      <c r="AC723" s="5">
        <f>IF(D723="","",Z723-Y723)</f>
        <v/>
      </c>
      <c r="AD723">
        <f>IF(D723="","",N(AD722)+IF(MATCH(D723,$D$2:$D$2501,0)=ROW()-1,1,0))</f>
        <v/>
      </c>
    </row>
    <row r="724">
      <c r="X724" s="5">
        <f>IF(D724="","",W724*IF(AND(ISNUMBER(AB724),AB724&gt;0,AB724&lt;1),AB724*100,AB724)/100)</f>
        <v/>
      </c>
      <c r="Y724" s="5">
        <f>IF(D724="","",AA724*Z724/100)</f>
        <v/>
      </c>
      <c r="Z724" s="5">
        <f>IF(D724="","",W724-X724)</f>
        <v/>
      </c>
      <c r="AC724" s="5">
        <f>IF(D724="","",Z724-Y724)</f>
        <v/>
      </c>
      <c r="AD724">
        <f>IF(D724="","",N(AD723)+IF(MATCH(D724,$D$2:$D$2501,0)=ROW()-1,1,0))</f>
        <v/>
      </c>
    </row>
    <row r="725">
      <c r="X725" s="5">
        <f>IF(D725="","",W725*IF(AND(ISNUMBER(AB725),AB725&gt;0,AB725&lt;1),AB725*100,AB725)/100)</f>
        <v/>
      </c>
      <c r="Y725" s="5">
        <f>IF(D725="","",AA725*Z725/100)</f>
        <v/>
      </c>
      <c r="Z725" s="5">
        <f>IF(D725="","",W725-X725)</f>
        <v/>
      </c>
      <c r="AC725" s="5">
        <f>IF(D725="","",Z725-Y725)</f>
        <v/>
      </c>
      <c r="AD725">
        <f>IF(D725="","",N(AD724)+IF(MATCH(D725,$D$2:$D$2501,0)=ROW()-1,1,0))</f>
        <v/>
      </c>
    </row>
    <row r="726">
      <c r="X726" s="5">
        <f>IF(D726="","",W726*IF(AND(ISNUMBER(AB726),AB726&gt;0,AB726&lt;1),AB726*100,AB726)/100)</f>
        <v/>
      </c>
      <c r="Y726" s="5">
        <f>IF(D726="","",AA726*Z726/100)</f>
        <v/>
      </c>
      <c r="Z726" s="5">
        <f>IF(D726="","",W726-X726)</f>
        <v/>
      </c>
      <c r="AC726" s="5">
        <f>IF(D726="","",Z726-Y726)</f>
        <v/>
      </c>
      <c r="AD726">
        <f>IF(D726="","",N(AD725)+IF(MATCH(D726,$D$2:$D$2501,0)=ROW()-1,1,0))</f>
        <v/>
      </c>
    </row>
    <row r="727">
      <c r="X727" s="5">
        <f>IF(D727="","",W727*IF(AND(ISNUMBER(AB727),AB727&gt;0,AB727&lt;1),AB727*100,AB727)/100)</f>
        <v/>
      </c>
      <c r="Y727" s="5">
        <f>IF(D727="","",AA727*Z727/100)</f>
        <v/>
      </c>
      <c r="Z727" s="5">
        <f>IF(D727="","",W727-X727)</f>
        <v/>
      </c>
      <c r="AC727" s="5">
        <f>IF(D727="","",Z727-Y727)</f>
        <v/>
      </c>
      <c r="AD727">
        <f>IF(D727="","",N(AD726)+IF(MATCH(D727,$D$2:$D$2501,0)=ROW()-1,1,0))</f>
        <v/>
      </c>
    </row>
    <row r="728">
      <c r="X728" s="5">
        <f>IF(D728="","",W728*IF(AND(ISNUMBER(AB728),AB728&gt;0,AB728&lt;1),AB728*100,AB728)/100)</f>
        <v/>
      </c>
      <c r="Y728" s="5">
        <f>IF(D728="","",AA728*Z728/100)</f>
        <v/>
      </c>
      <c r="Z728" s="5">
        <f>IF(D728="","",W728-X728)</f>
        <v/>
      </c>
      <c r="AC728" s="5">
        <f>IF(D728="","",Z728-Y728)</f>
        <v/>
      </c>
      <c r="AD728">
        <f>IF(D728="","",N(AD727)+IF(MATCH(D728,$D$2:$D$2501,0)=ROW()-1,1,0))</f>
        <v/>
      </c>
    </row>
    <row r="729">
      <c r="X729" s="5">
        <f>IF(D729="","",W729*IF(AND(ISNUMBER(AB729),AB729&gt;0,AB729&lt;1),AB729*100,AB729)/100)</f>
        <v/>
      </c>
      <c r="Y729" s="5">
        <f>IF(D729="","",AA729*Z729/100)</f>
        <v/>
      </c>
      <c r="Z729" s="5">
        <f>IF(D729="","",W729-X729)</f>
        <v/>
      </c>
      <c r="AC729" s="5">
        <f>IF(D729="","",Z729-Y729)</f>
        <v/>
      </c>
      <c r="AD729">
        <f>IF(D729="","",N(AD728)+IF(MATCH(D729,$D$2:$D$2501,0)=ROW()-1,1,0))</f>
        <v/>
      </c>
    </row>
    <row r="730">
      <c r="X730" s="5">
        <f>IF(D730="","",W730*IF(AND(ISNUMBER(AB730),AB730&gt;0,AB730&lt;1),AB730*100,AB730)/100)</f>
        <v/>
      </c>
      <c r="Y730" s="5">
        <f>IF(D730="","",AA730*Z730/100)</f>
        <v/>
      </c>
      <c r="Z730" s="5">
        <f>IF(D730="","",W730-X730)</f>
        <v/>
      </c>
      <c r="AC730" s="5">
        <f>IF(D730="","",Z730-Y730)</f>
        <v/>
      </c>
      <c r="AD730">
        <f>IF(D730="","",N(AD729)+IF(MATCH(D730,$D$2:$D$2501,0)=ROW()-1,1,0))</f>
        <v/>
      </c>
    </row>
    <row r="731">
      <c r="X731" s="5">
        <f>IF(D731="","",W731*IF(AND(ISNUMBER(AB731),AB731&gt;0,AB731&lt;1),AB731*100,AB731)/100)</f>
        <v/>
      </c>
      <c r="Y731" s="5">
        <f>IF(D731="","",AA731*Z731/100)</f>
        <v/>
      </c>
      <c r="Z731" s="5">
        <f>IF(D731="","",W731-X731)</f>
        <v/>
      </c>
      <c r="AC731" s="5">
        <f>IF(D731="","",Z731-Y731)</f>
        <v/>
      </c>
      <c r="AD731">
        <f>IF(D731="","",N(AD730)+IF(MATCH(D731,$D$2:$D$2501,0)=ROW()-1,1,0))</f>
        <v/>
      </c>
    </row>
    <row r="732">
      <c r="X732" s="5">
        <f>IF(D732="","",W732*IF(AND(ISNUMBER(AB732),AB732&gt;0,AB732&lt;1),AB732*100,AB732)/100)</f>
        <v/>
      </c>
      <c r="Y732" s="5">
        <f>IF(D732="","",AA732*Z732/100)</f>
        <v/>
      </c>
      <c r="Z732" s="5">
        <f>IF(D732="","",W732-X732)</f>
        <v/>
      </c>
      <c r="AC732" s="5">
        <f>IF(D732="","",Z732-Y732)</f>
        <v/>
      </c>
      <c r="AD732">
        <f>IF(D732="","",N(AD731)+IF(MATCH(D732,$D$2:$D$2501,0)=ROW()-1,1,0))</f>
        <v/>
      </c>
    </row>
    <row r="733">
      <c r="X733" s="5">
        <f>IF(D733="","",W733*IF(AND(ISNUMBER(AB733),AB733&gt;0,AB733&lt;1),AB733*100,AB733)/100)</f>
        <v/>
      </c>
      <c r="Y733" s="5">
        <f>IF(D733="","",AA733*Z733/100)</f>
        <v/>
      </c>
      <c r="Z733" s="5">
        <f>IF(D733="","",W733-X733)</f>
        <v/>
      </c>
      <c r="AC733" s="5">
        <f>IF(D733="","",Z733-Y733)</f>
        <v/>
      </c>
      <c r="AD733">
        <f>IF(D733="","",N(AD732)+IF(MATCH(D733,$D$2:$D$2501,0)=ROW()-1,1,0))</f>
        <v/>
      </c>
    </row>
    <row r="734">
      <c r="X734" s="5">
        <f>IF(D734="","",W734*IF(AND(ISNUMBER(AB734),AB734&gt;0,AB734&lt;1),AB734*100,AB734)/100)</f>
        <v/>
      </c>
      <c r="Y734" s="5">
        <f>IF(D734="","",AA734*Z734/100)</f>
        <v/>
      </c>
      <c r="Z734" s="5">
        <f>IF(D734="","",W734-X734)</f>
        <v/>
      </c>
      <c r="AC734" s="5">
        <f>IF(D734="","",Z734-Y734)</f>
        <v/>
      </c>
      <c r="AD734">
        <f>IF(D734="","",N(AD733)+IF(MATCH(D734,$D$2:$D$2501,0)=ROW()-1,1,0))</f>
        <v/>
      </c>
    </row>
    <row r="735">
      <c r="X735" s="5">
        <f>IF(D735="","",W735*IF(AND(ISNUMBER(AB735),AB735&gt;0,AB735&lt;1),AB735*100,AB735)/100)</f>
        <v/>
      </c>
      <c r="Y735" s="5">
        <f>IF(D735="","",AA735*Z735/100)</f>
        <v/>
      </c>
      <c r="Z735" s="5">
        <f>IF(D735="","",W735-X735)</f>
        <v/>
      </c>
      <c r="AC735" s="5">
        <f>IF(D735="","",Z735-Y735)</f>
        <v/>
      </c>
      <c r="AD735">
        <f>IF(D735="","",N(AD734)+IF(MATCH(D735,$D$2:$D$2501,0)=ROW()-1,1,0))</f>
        <v/>
      </c>
    </row>
    <row r="736">
      <c r="X736" s="5">
        <f>IF(D736="","",W736*IF(AND(ISNUMBER(AB736),AB736&gt;0,AB736&lt;1),AB736*100,AB736)/100)</f>
        <v/>
      </c>
      <c r="Y736" s="5">
        <f>IF(D736="","",AA736*Z736/100)</f>
        <v/>
      </c>
      <c r="Z736" s="5">
        <f>IF(D736="","",W736-X736)</f>
        <v/>
      </c>
      <c r="AC736" s="5">
        <f>IF(D736="","",Z736-Y736)</f>
        <v/>
      </c>
      <c r="AD736">
        <f>IF(D736="","",N(AD735)+IF(MATCH(D736,$D$2:$D$2501,0)=ROW()-1,1,0))</f>
        <v/>
      </c>
    </row>
    <row r="737">
      <c r="X737" s="5">
        <f>IF(D737="","",W737*IF(AND(ISNUMBER(AB737),AB737&gt;0,AB737&lt;1),AB737*100,AB737)/100)</f>
        <v/>
      </c>
      <c r="Y737" s="5">
        <f>IF(D737="","",AA737*Z737/100)</f>
        <v/>
      </c>
      <c r="Z737" s="5">
        <f>IF(D737="","",W737-X737)</f>
        <v/>
      </c>
      <c r="AC737" s="5">
        <f>IF(D737="","",Z737-Y737)</f>
        <v/>
      </c>
      <c r="AD737">
        <f>IF(D737="","",N(AD736)+IF(MATCH(D737,$D$2:$D$2501,0)=ROW()-1,1,0))</f>
        <v/>
      </c>
    </row>
    <row r="738">
      <c r="X738" s="5">
        <f>IF(D738="","",W738*IF(AND(ISNUMBER(AB738),AB738&gt;0,AB738&lt;1),AB738*100,AB738)/100)</f>
        <v/>
      </c>
      <c r="Y738" s="5">
        <f>IF(D738="","",AA738*Z738/100)</f>
        <v/>
      </c>
      <c r="Z738" s="5">
        <f>IF(D738="","",W738-X738)</f>
        <v/>
      </c>
      <c r="AC738" s="5">
        <f>IF(D738="","",Z738-Y738)</f>
        <v/>
      </c>
      <c r="AD738">
        <f>IF(D738="","",N(AD737)+IF(MATCH(D738,$D$2:$D$2501,0)=ROW()-1,1,0))</f>
        <v/>
      </c>
    </row>
    <row r="739">
      <c r="X739" s="5">
        <f>IF(D739="","",W739*IF(AND(ISNUMBER(AB739),AB739&gt;0,AB739&lt;1),AB739*100,AB739)/100)</f>
        <v/>
      </c>
      <c r="Y739" s="5">
        <f>IF(D739="","",AA739*Z739/100)</f>
        <v/>
      </c>
      <c r="Z739" s="5">
        <f>IF(D739="","",W739-X739)</f>
        <v/>
      </c>
      <c r="AC739" s="5">
        <f>IF(D739="","",Z739-Y739)</f>
        <v/>
      </c>
      <c r="AD739">
        <f>IF(D739="","",N(AD738)+IF(MATCH(D739,$D$2:$D$2501,0)=ROW()-1,1,0))</f>
        <v/>
      </c>
    </row>
    <row r="740">
      <c r="X740" s="5">
        <f>IF(D740="","",W740*IF(AND(ISNUMBER(AB740),AB740&gt;0,AB740&lt;1),AB740*100,AB740)/100)</f>
        <v/>
      </c>
      <c r="Y740" s="5">
        <f>IF(D740="","",AA740*Z740/100)</f>
        <v/>
      </c>
      <c r="Z740" s="5">
        <f>IF(D740="","",W740-X740)</f>
        <v/>
      </c>
      <c r="AC740" s="5">
        <f>IF(D740="","",Z740-Y740)</f>
        <v/>
      </c>
      <c r="AD740">
        <f>IF(D740="","",N(AD739)+IF(MATCH(D740,$D$2:$D$2501,0)=ROW()-1,1,0))</f>
        <v/>
      </c>
    </row>
    <row r="741">
      <c r="X741" s="5">
        <f>IF(D741="","",W741*IF(AND(ISNUMBER(AB741),AB741&gt;0,AB741&lt;1),AB741*100,AB741)/100)</f>
        <v/>
      </c>
      <c r="Y741" s="5">
        <f>IF(D741="","",AA741*Z741/100)</f>
        <v/>
      </c>
      <c r="Z741" s="5">
        <f>IF(D741="","",W741-X741)</f>
        <v/>
      </c>
      <c r="AC741" s="5">
        <f>IF(D741="","",Z741-Y741)</f>
        <v/>
      </c>
      <c r="AD741">
        <f>IF(D741="","",N(AD740)+IF(MATCH(D741,$D$2:$D$2501,0)=ROW()-1,1,0))</f>
        <v/>
      </c>
    </row>
    <row r="742">
      <c r="X742" s="5">
        <f>IF(D742="","",W742*IF(AND(ISNUMBER(AB742),AB742&gt;0,AB742&lt;1),AB742*100,AB742)/100)</f>
        <v/>
      </c>
      <c r="Y742" s="5">
        <f>IF(D742="","",AA742*Z742/100)</f>
        <v/>
      </c>
      <c r="Z742" s="5">
        <f>IF(D742="","",W742-X742)</f>
        <v/>
      </c>
      <c r="AC742" s="5">
        <f>IF(D742="","",Z742-Y742)</f>
        <v/>
      </c>
      <c r="AD742">
        <f>IF(D742="","",N(AD741)+IF(MATCH(D742,$D$2:$D$2501,0)=ROW()-1,1,0))</f>
        <v/>
      </c>
    </row>
    <row r="743">
      <c r="X743" s="5">
        <f>IF(D743="","",W743*IF(AND(ISNUMBER(AB743),AB743&gt;0,AB743&lt;1),AB743*100,AB743)/100)</f>
        <v/>
      </c>
      <c r="Y743" s="5">
        <f>IF(D743="","",AA743*Z743/100)</f>
        <v/>
      </c>
      <c r="Z743" s="5">
        <f>IF(D743="","",W743-X743)</f>
        <v/>
      </c>
      <c r="AC743" s="5">
        <f>IF(D743="","",Z743-Y743)</f>
        <v/>
      </c>
      <c r="AD743">
        <f>IF(D743="","",N(AD742)+IF(MATCH(D743,$D$2:$D$2501,0)=ROW()-1,1,0))</f>
        <v/>
      </c>
    </row>
    <row r="744">
      <c r="X744" s="5">
        <f>IF(D744="","",W744*IF(AND(ISNUMBER(AB744),AB744&gt;0,AB744&lt;1),AB744*100,AB744)/100)</f>
        <v/>
      </c>
      <c r="Y744" s="5">
        <f>IF(D744="","",AA744*Z744/100)</f>
        <v/>
      </c>
      <c r="Z744" s="5">
        <f>IF(D744="","",W744-X744)</f>
        <v/>
      </c>
      <c r="AC744" s="5">
        <f>IF(D744="","",Z744-Y744)</f>
        <v/>
      </c>
      <c r="AD744">
        <f>IF(D744="","",N(AD743)+IF(MATCH(D744,$D$2:$D$2501,0)=ROW()-1,1,0))</f>
        <v/>
      </c>
    </row>
    <row r="745">
      <c r="X745" s="5">
        <f>IF(D745="","",W745*IF(AND(ISNUMBER(AB745),AB745&gt;0,AB745&lt;1),AB745*100,AB745)/100)</f>
        <v/>
      </c>
      <c r="Y745" s="5">
        <f>IF(D745="","",AA745*Z745/100)</f>
        <v/>
      </c>
      <c r="Z745" s="5">
        <f>IF(D745="","",W745-X745)</f>
        <v/>
      </c>
      <c r="AC745" s="5">
        <f>IF(D745="","",Z745-Y745)</f>
        <v/>
      </c>
      <c r="AD745">
        <f>IF(D745="","",N(AD744)+IF(MATCH(D745,$D$2:$D$2501,0)=ROW()-1,1,0))</f>
        <v/>
      </c>
    </row>
    <row r="746">
      <c r="X746" s="5">
        <f>IF(D746="","",W746*IF(AND(ISNUMBER(AB746),AB746&gt;0,AB746&lt;1),AB746*100,AB746)/100)</f>
        <v/>
      </c>
      <c r="Y746" s="5">
        <f>IF(D746="","",AA746*Z746/100)</f>
        <v/>
      </c>
      <c r="Z746" s="5">
        <f>IF(D746="","",W746-X746)</f>
        <v/>
      </c>
      <c r="AC746" s="5">
        <f>IF(D746="","",Z746-Y746)</f>
        <v/>
      </c>
      <c r="AD746">
        <f>IF(D746="","",N(AD745)+IF(MATCH(D746,$D$2:$D$2501,0)=ROW()-1,1,0))</f>
        <v/>
      </c>
    </row>
    <row r="747">
      <c r="X747" s="5">
        <f>IF(D747="","",W747*IF(AND(ISNUMBER(AB747),AB747&gt;0,AB747&lt;1),AB747*100,AB747)/100)</f>
        <v/>
      </c>
      <c r="Y747" s="5">
        <f>IF(D747="","",AA747*Z747/100)</f>
        <v/>
      </c>
      <c r="Z747" s="5">
        <f>IF(D747="","",W747-X747)</f>
        <v/>
      </c>
      <c r="AC747" s="5">
        <f>IF(D747="","",Z747-Y747)</f>
        <v/>
      </c>
      <c r="AD747">
        <f>IF(D747="","",N(AD746)+IF(MATCH(D747,$D$2:$D$2501,0)=ROW()-1,1,0))</f>
        <v/>
      </c>
    </row>
    <row r="748">
      <c r="X748" s="5">
        <f>IF(D748="","",W748*IF(AND(ISNUMBER(AB748),AB748&gt;0,AB748&lt;1),AB748*100,AB748)/100)</f>
        <v/>
      </c>
      <c r="Y748" s="5">
        <f>IF(D748="","",AA748*Z748/100)</f>
        <v/>
      </c>
      <c r="Z748" s="5">
        <f>IF(D748="","",W748-X748)</f>
        <v/>
      </c>
      <c r="AC748" s="5">
        <f>IF(D748="","",Z748-Y748)</f>
        <v/>
      </c>
      <c r="AD748">
        <f>IF(D748="","",N(AD747)+IF(MATCH(D748,$D$2:$D$2501,0)=ROW()-1,1,0))</f>
        <v/>
      </c>
    </row>
    <row r="749">
      <c r="X749" s="5">
        <f>IF(D749="","",W749*IF(AND(ISNUMBER(AB749),AB749&gt;0,AB749&lt;1),AB749*100,AB749)/100)</f>
        <v/>
      </c>
      <c r="Y749" s="5">
        <f>IF(D749="","",AA749*Z749/100)</f>
        <v/>
      </c>
      <c r="Z749" s="5">
        <f>IF(D749="","",W749-X749)</f>
        <v/>
      </c>
      <c r="AC749" s="5">
        <f>IF(D749="","",Z749-Y749)</f>
        <v/>
      </c>
      <c r="AD749">
        <f>IF(D749="","",N(AD748)+IF(MATCH(D749,$D$2:$D$2501,0)=ROW()-1,1,0))</f>
        <v/>
      </c>
    </row>
    <row r="750">
      <c r="X750" s="5">
        <f>IF(D750="","",W750*IF(AND(ISNUMBER(AB750),AB750&gt;0,AB750&lt;1),AB750*100,AB750)/100)</f>
        <v/>
      </c>
      <c r="Y750" s="5">
        <f>IF(D750="","",AA750*Z750/100)</f>
        <v/>
      </c>
      <c r="Z750" s="5">
        <f>IF(D750="","",W750-X750)</f>
        <v/>
      </c>
      <c r="AC750" s="5">
        <f>IF(D750="","",Z750-Y750)</f>
        <v/>
      </c>
      <c r="AD750">
        <f>IF(D750="","",N(AD749)+IF(MATCH(D750,$D$2:$D$2501,0)=ROW()-1,1,0))</f>
        <v/>
      </c>
    </row>
    <row r="751">
      <c r="X751" s="5">
        <f>IF(D751="","",W751*IF(AND(ISNUMBER(AB751),AB751&gt;0,AB751&lt;1),AB751*100,AB751)/100)</f>
        <v/>
      </c>
      <c r="Y751" s="5">
        <f>IF(D751="","",AA751*Z751/100)</f>
        <v/>
      </c>
      <c r="Z751" s="5">
        <f>IF(D751="","",W751-X751)</f>
        <v/>
      </c>
      <c r="AC751" s="5">
        <f>IF(D751="","",Z751-Y751)</f>
        <v/>
      </c>
      <c r="AD751">
        <f>IF(D751="","",N(AD750)+IF(MATCH(D751,$D$2:$D$2501,0)=ROW()-1,1,0))</f>
        <v/>
      </c>
    </row>
    <row r="752">
      <c r="X752" s="5">
        <f>IF(D752="","",W752*IF(AND(ISNUMBER(AB752),AB752&gt;0,AB752&lt;1),AB752*100,AB752)/100)</f>
        <v/>
      </c>
      <c r="Y752" s="5">
        <f>IF(D752="","",AA752*Z752/100)</f>
        <v/>
      </c>
      <c r="Z752" s="5">
        <f>IF(D752="","",W752-X752)</f>
        <v/>
      </c>
      <c r="AC752" s="5">
        <f>IF(D752="","",Z752-Y752)</f>
        <v/>
      </c>
      <c r="AD752">
        <f>IF(D752="","",N(AD751)+IF(MATCH(D752,$D$2:$D$2501,0)=ROW()-1,1,0))</f>
        <v/>
      </c>
    </row>
    <row r="753">
      <c r="X753" s="5">
        <f>IF(D753="","",W753*IF(AND(ISNUMBER(AB753),AB753&gt;0,AB753&lt;1),AB753*100,AB753)/100)</f>
        <v/>
      </c>
      <c r="Y753" s="5">
        <f>IF(D753="","",AA753*Z753/100)</f>
        <v/>
      </c>
      <c r="Z753" s="5">
        <f>IF(D753="","",W753-X753)</f>
        <v/>
      </c>
      <c r="AC753" s="5">
        <f>IF(D753="","",Z753-Y753)</f>
        <v/>
      </c>
      <c r="AD753">
        <f>IF(D753="","",N(AD752)+IF(MATCH(D753,$D$2:$D$2501,0)=ROW()-1,1,0))</f>
        <v/>
      </c>
    </row>
    <row r="754">
      <c r="X754" s="5">
        <f>IF(D754="","",W754*IF(AND(ISNUMBER(AB754),AB754&gt;0,AB754&lt;1),AB754*100,AB754)/100)</f>
        <v/>
      </c>
      <c r="Y754" s="5">
        <f>IF(D754="","",AA754*Z754/100)</f>
        <v/>
      </c>
      <c r="Z754" s="5">
        <f>IF(D754="","",W754-X754)</f>
        <v/>
      </c>
      <c r="AC754" s="5">
        <f>IF(D754="","",Z754-Y754)</f>
        <v/>
      </c>
      <c r="AD754">
        <f>IF(D754="","",N(AD753)+IF(MATCH(D754,$D$2:$D$2501,0)=ROW()-1,1,0))</f>
        <v/>
      </c>
    </row>
    <row r="755">
      <c r="X755" s="5">
        <f>IF(D755="","",W755*IF(AND(ISNUMBER(AB755),AB755&gt;0,AB755&lt;1),AB755*100,AB755)/100)</f>
        <v/>
      </c>
      <c r="Y755" s="5">
        <f>IF(D755="","",AA755*Z755/100)</f>
        <v/>
      </c>
      <c r="Z755" s="5">
        <f>IF(D755="","",W755-X755)</f>
        <v/>
      </c>
      <c r="AC755" s="5">
        <f>IF(D755="","",Z755-Y755)</f>
        <v/>
      </c>
      <c r="AD755">
        <f>IF(D755="","",N(AD754)+IF(MATCH(D755,$D$2:$D$2501,0)=ROW()-1,1,0))</f>
        <v/>
      </c>
    </row>
    <row r="756">
      <c r="X756" s="5">
        <f>IF(D756="","",W756*IF(AND(ISNUMBER(AB756),AB756&gt;0,AB756&lt;1),AB756*100,AB756)/100)</f>
        <v/>
      </c>
      <c r="Y756" s="5">
        <f>IF(D756="","",AA756*Z756/100)</f>
        <v/>
      </c>
      <c r="Z756" s="5">
        <f>IF(D756="","",W756-X756)</f>
        <v/>
      </c>
      <c r="AC756" s="5">
        <f>IF(D756="","",Z756-Y756)</f>
        <v/>
      </c>
      <c r="AD756">
        <f>IF(D756="","",N(AD755)+IF(MATCH(D756,$D$2:$D$2501,0)=ROW()-1,1,0))</f>
        <v/>
      </c>
    </row>
    <row r="757">
      <c r="X757" s="5">
        <f>IF(D757="","",W757*IF(AND(ISNUMBER(AB757),AB757&gt;0,AB757&lt;1),AB757*100,AB757)/100)</f>
        <v/>
      </c>
      <c r="Y757" s="5">
        <f>IF(D757="","",AA757*Z757/100)</f>
        <v/>
      </c>
      <c r="Z757" s="5">
        <f>IF(D757="","",W757-X757)</f>
        <v/>
      </c>
      <c r="AC757" s="5">
        <f>IF(D757="","",Z757-Y757)</f>
        <v/>
      </c>
      <c r="AD757">
        <f>IF(D757="","",N(AD756)+IF(MATCH(D757,$D$2:$D$2501,0)=ROW()-1,1,0))</f>
        <v/>
      </c>
    </row>
    <row r="758">
      <c r="X758" s="5">
        <f>IF(D758="","",W758*IF(AND(ISNUMBER(AB758),AB758&gt;0,AB758&lt;1),AB758*100,AB758)/100)</f>
        <v/>
      </c>
      <c r="Y758" s="5">
        <f>IF(D758="","",AA758*Z758/100)</f>
        <v/>
      </c>
      <c r="Z758" s="5">
        <f>IF(D758="","",W758-X758)</f>
        <v/>
      </c>
      <c r="AC758" s="5">
        <f>IF(D758="","",Z758-Y758)</f>
        <v/>
      </c>
      <c r="AD758">
        <f>IF(D758="","",N(AD757)+IF(MATCH(D758,$D$2:$D$2501,0)=ROW()-1,1,0))</f>
        <v/>
      </c>
    </row>
    <row r="759">
      <c r="X759" s="5">
        <f>IF(D759="","",W759*IF(AND(ISNUMBER(AB759),AB759&gt;0,AB759&lt;1),AB759*100,AB759)/100)</f>
        <v/>
      </c>
      <c r="Y759" s="5">
        <f>IF(D759="","",AA759*Z759/100)</f>
        <v/>
      </c>
      <c r="Z759" s="5">
        <f>IF(D759="","",W759-X759)</f>
        <v/>
      </c>
      <c r="AC759" s="5">
        <f>IF(D759="","",Z759-Y759)</f>
        <v/>
      </c>
      <c r="AD759">
        <f>IF(D759="","",N(AD758)+IF(MATCH(D759,$D$2:$D$2501,0)=ROW()-1,1,0))</f>
        <v/>
      </c>
    </row>
    <row r="760">
      <c r="X760" s="5">
        <f>IF(D760="","",W760*IF(AND(ISNUMBER(AB760),AB760&gt;0,AB760&lt;1),AB760*100,AB760)/100)</f>
        <v/>
      </c>
      <c r="Y760" s="5">
        <f>IF(D760="","",AA760*Z760/100)</f>
        <v/>
      </c>
      <c r="Z760" s="5">
        <f>IF(D760="","",W760-X760)</f>
        <v/>
      </c>
      <c r="AC760" s="5">
        <f>IF(D760="","",Z760-Y760)</f>
        <v/>
      </c>
      <c r="AD760">
        <f>IF(D760="","",N(AD759)+IF(MATCH(D760,$D$2:$D$2501,0)=ROW()-1,1,0))</f>
        <v/>
      </c>
    </row>
    <row r="761">
      <c r="X761" s="5">
        <f>IF(D761="","",W761*IF(AND(ISNUMBER(AB761),AB761&gt;0,AB761&lt;1),AB761*100,AB761)/100)</f>
        <v/>
      </c>
      <c r="Y761" s="5">
        <f>IF(D761="","",AA761*Z761/100)</f>
        <v/>
      </c>
      <c r="Z761" s="5">
        <f>IF(D761="","",W761-X761)</f>
        <v/>
      </c>
      <c r="AC761" s="5">
        <f>IF(D761="","",Z761-Y761)</f>
        <v/>
      </c>
      <c r="AD761">
        <f>IF(D761="","",N(AD760)+IF(MATCH(D761,$D$2:$D$2501,0)=ROW()-1,1,0))</f>
        <v/>
      </c>
    </row>
    <row r="762">
      <c r="X762" s="5">
        <f>IF(D762="","",W762*IF(AND(ISNUMBER(AB762),AB762&gt;0,AB762&lt;1),AB762*100,AB762)/100)</f>
        <v/>
      </c>
      <c r="Y762" s="5">
        <f>IF(D762="","",AA762*Z762/100)</f>
        <v/>
      </c>
      <c r="Z762" s="5">
        <f>IF(D762="","",W762-X762)</f>
        <v/>
      </c>
      <c r="AC762" s="5">
        <f>IF(D762="","",Z762-Y762)</f>
        <v/>
      </c>
      <c r="AD762">
        <f>IF(D762="","",N(AD761)+IF(MATCH(D762,$D$2:$D$2501,0)=ROW()-1,1,0))</f>
        <v/>
      </c>
    </row>
    <row r="763">
      <c r="X763" s="5">
        <f>IF(D763="","",W763*IF(AND(ISNUMBER(AB763),AB763&gt;0,AB763&lt;1),AB763*100,AB763)/100)</f>
        <v/>
      </c>
      <c r="Y763" s="5">
        <f>IF(D763="","",AA763*Z763/100)</f>
        <v/>
      </c>
      <c r="Z763" s="5">
        <f>IF(D763="","",W763-X763)</f>
        <v/>
      </c>
      <c r="AC763" s="5">
        <f>IF(D763="","",Z763-Y763)</f>
        <v/>
      </c>
      <c r="AD763">
        <f>IF(D763="","",N(AD762)+IF(MATCH(D763,$D$2:$D$2501,0)=ROW()-1,1,0))</f>
        <v/>
      </c>
    </row>
    <row r="764">
      <c r="X764" s="5">
        <f>IF(D764="","",W764*IF(AND(ISNUMBER(AB764),AB764&gt;0,AB764&lt;1),AB764*100,AB764)/100)</f>
        <v/>
      </c>
      <c r="Y764" s="5">
        <f>IF(D764="","",AA764*Z764/100)</f>
        <v/>
      </c>
      <c r="Z764" s="5">
        <f>IF(D764="","",W764-X764)</f>
        <v/>
      </c>
      <c r="AC764" s="5">
        <f>IF(D764="","",Z764-Y764)</f>
        <v/>
      </c>
      <c r="AD764">
        <f>IF(D764="","",N(AD763)+IF(MATCH(D764,$D$2:$D$2501,0)=ROW()-1,1,0))</f>
        <v/>
      </c>
    </row>
    <row r="765">
      <c r="X765" s="5">
        <f>IF(D765="","",W765*IF(AND(ISNUMBER(AB765),AB765&gt;0,AB765&lt;1),AB765*100,AB765)/100)</f>
        <v/>
      </c>
      <c r="Y765" s="5">
        <f>IF(D765="","",AA765*Z765/100)</f>
        <v/>
      </c>
      <c r="Z765" s="5">
        <f>IF(D765="","",W765-X765)</f>
        <v/>
      </c>
      <c r="AC765" s="5">
        <f>IF(D765="","",Z765-Y765)</f>
        <v/>
      </c>
      <c r="AD765">
        <f>IF(D765="","",N(AD764)+IF(MATCH(D765,$D$2:$D$2501,0)=ROW()-1,1,0))</f>
        <v/>
      </c>
    </row>
    <row r="766">
      <c r="X766" s="5">
        <f>IF(D766="","",W766*IF(AND(ISNUMBER(AB766),AB766&gt;0,AB766&lt;1),AB766*100,AB766)/100)</f>
        <v/>
      </c>
      <c r="Y766" s="5">
        <f>IF(D766="","",AA766*Z766/100)</f>
        <v/>
      </c>
      <c r="Z766" s="5">
        <f>IF(D766="","",W766-X766)</f>
        <v/>
      </c>
      <c r="AC766" s="5">
        <f>IF(D766="","",Z766-Y766)</f>
        <v/>
      </c>
      <c r="AD766">
        <f>IF(D766="","",N(AD765)+IF(MATCH(D766,$D$2:$D$2501,0)=ROW()-1,1,0))</f>
        <v/>
      </c>
    </row>
    <row r="767">
      <c r="X767" s="5">
        <f>IF(D767="","",W767*IF(AND(ISNUMBER(AB767),AB767&gt;0,AB767&lt;1),AB767*100,AB767)/100)</f>
        <v/>
      </c>
      <c r="Y767" s="5">
        <f>IF(D767="","",AA767*Z767/100)</f>
        <v/>
      </c>
      <c r="Z767" s="5">
        <f>IF(D767="","",W767-X767)</f>
        <v/>
      </c>
      <c r="AC767" s="5">
        <f>IF(D767="","",Z767-Y767)</f>
        <v/>
      </c>
      <c r="AD767">
        <f>IF(D767="","",N(AD766)+IF(MATCH(D767,$D$2:$D$2501,0)=ROW()-1,1,0))</f>
        <v/>
      </c>
    </row>
    <row r="768">
      <c r="X768" s="5">
        <f>IF(D768="","",W768*IF(AND(ISNUMBER(AB768),AB768&gt;0,AB768&lt;1),AB768*100,AB768)/100)</f>
        <v/>
      </c>
      <c r="Y768" s="5">
        <f>IF(D768="","",AA768*Z768/100)</f>
        <v/>
      </c>
      <c r="Z768" s="5">
        <f>IF(D768="","",W768-X768)</f>
        <v/>
      </c>
      <c r="AC768" s="5">
        <f>IF(D768="","",Z768-Y768)</f>
        <v/>
      </c>
      <c r="AD768">
        <f>IF(D768="","",N(AD767)+IF(MATCH(D768,$D$2:$D$2501,0)=ROW()-1,1,0))</f>
        <v/>
      </c>
    </row>
    <row r="769">
      <c r="X769" s="5">
        <f>IF(D769="","",W769*IF(AND(ISNUMBER(AB769),AB769&gt;0,AB769&lt;1),AB769*100,AB769)/100)</f>
        <v/>
      </c>
      <c r="Y769" s="5">
        <f>IF(D769="","",AA769*Z769/100)</f>
        <v/>
      </c>
      <c r="Z769" s="5">
        <f>IF(D769="","",W769-X769)</f>
        <v/>
      </c>
      <c r="AC769" s="5">
        <f>IF(D769="","",Z769-Y769)</f>
        <v/>
      </c>
      <c r="AD769">
        <f>IF(D769="","",N(AD768)+IF(MATCH(D769,$D$2:$D$2501,0)=ROW()-1,1,0))</f>
        <v/>
      </c>
    </row>
    <row r="770">
      <c r="X770" s="5">
        <f>IF(D770="","",W770*IF(AND(ISNUMBER(AB770),AB770&gt;0,AB770&lt;1),AB770*100,AB770)/100)</f>
        <v/>
      </c>
      <c r="Y770" s="5">
        <f>IF(D770="","",AA770*Z770/100)</f>
        <v/>
      </c>
      <c r="Z770" s="5">
        <f>IF(D770="","",W770-X770)</f>
        <v/>
      </c>
      <c r="AC770" s="5">
        <f>IF(D770="","",Z770-Y770)</f>
        <v/>
      </c>
      <c r="AD770">
        <f>IF(D770="","",N(AD769)+IF(MATCH(D770,$D$2:$D$2501,0)=ROW()-1,1,0))</f>
        <v/>
      </c>
    </row>
    <row r="771">
      <c r="X771" s="5">
        <f>IF(D771="","",W771*IF(AND(ISNUMBER(AB771),AB771&gt;0,AB771&lt;1),AB771*100,AB771)/100)</f>
        <v/>
      </c>
      <c r="Y771" s="5">
        <f>IF(D771="","",AA771*Z771/100)</f>
        <v/>
      </c>
      <c r="Z771" s="5">
        <f>IF(D771="","",W771-X771)</f>
        <v/>
      </c>
      <c r="AC771" s="5">
        <f>IF(D771="","",Z771-Y771)</f>
        <v/>
      </c>
      <c r="AD771">
        <f>IF(D771="","",N(AD770)+IF(MATCH(D771,$D$2:$D$2501,0)=ROW()-1,1,0))</f>
        <v/>
      </c>
    </row>
    <row r="772">
      <c r="X772" s="5">
        <f>IF(D772="","",W772*IF(AND(ISNUMBER(AB772),AB772&gt;0,AB772&lt;1),AB772*100,AB772)/100)</f>
        <v/>
      </c>
      <c r="Y772" s="5">
        <f>IF(D772="","",AA772*Z772/100)</f>
        <v/>
      </c>
      <c r="Z772" s="5">
        <f>IF(D772="","",W772-X772)</f>
        <v/>
      </c>
      <c r="AC772" s="5">
        <f>IF(D772="","",Z772-Y772)</f>
        <v/>
      </c>
      <c r="AD772">
        <f>IF(D772="","",N(AD771)+IF(MATCH(D772,$D$2:$D$2501,0)=ROW()-1,1,0))</f>
        <v/>
      </c>
    </row>
    <row r="773">
      <c r="X773" s="5">
        <f>IF(D773="","",W773*IF(AND(ISNUMBER(AB773),AB773&gt;0,AB773&lt;1),AB773*100,AB773)/100)</f>
        <v/>
      </c>
      <c r="Y773" s="5">
        <f>IF(D773="","",AA773*Z773/100)</f>
        <v/>
      </c>
      <c r="Z773" s="5">
        <f>IF(D773="","",W773-X773)</f>
        <v/>
      </c>
      <c r="AC773" s="5">
        <f>IF(D773="","",Z773-Y773)</f>
        <v/>
      </c>
      <c r="AD773">
        <f>IF(D773="","",N(AD772)+IF(MATCH(D773,$D$2:$D$2501,0)=ROW()-1,1,0))</f>
        <v/>
      </c>
    </row>
    <row r="774">
      <c r="X774" s="5">
        <f>IF(D774="","",W774*IF(AND(ISNUMBER(AB774),AB774&gt;0,AB774&lt;1),AB774*100,AB774)/100)</f>
        <v/>
      </c>
      <c r="Y774" s="5">
        <f>IF(D774="","",AA774*Z774/100)</f>
        <v/>
      </c>
      <c r="Z774" s="5">
        <f>IF(D774="","",W774-X774)</f>
        <v/>
      </c>
      <c r="AC774" s="5">
        <f>IF(D774="","",Z774-Y774)</f>
        <v/>
      </c>
      <c r="AD774">
        <f>IF(D774="","",N(AD773)+IF(MATCH(D774,$D$2:$D$2501,0)=ROW()-1,1,0))</f>
        <v/>
      </c>
    </row>
    <row r="775">
      <c r="X775" s="5">
        <f>IF(D775="","",W775*IF(AND(ISNUMBER(AB775),AB775&gt;0,AB775&lt;1),AB775*100,AB775)/100)</f>
        <v/>
      </c>
      <c r="Y775" s="5">
        <f>IF(D775="","",AA775*Z775/100)</f>
        <v/>
      </c>
      <c r="Z775" s="5">
        <f>IF(D775="","",W775-X775)</f>
        <v/>
      </c>
      <c r="AC775" s="5">
        <f>IF(D775="","",Z775-Y775)</f>
        <v/>
      </c>
      <c r="AD775">
        <f>IF(D775="","",N(AD774)+IF(MATCH(D775,$D$2:$D$2501,0)=ROW()-1,1,0))</f>
        <v/>
      </c>
    </row>
    <row r="776">
      <c r="X776" s="5">
        <f>IF(D776="","",W776*IF(AND(ISNUMBER(AB776),AB776&gt;0,AB776&lt;1),AB776*100,AB776)/100)</f>
        <v/>
      </c>
      <c r="Y776" s="5">
        <f>IF(D776="","",AA776*Z776/100)</f>
        <v/>
      </c>
      <c r="Z776" s="5">
        <f>IF(D776="","",W776-X776)</f>
        <v/>
      </c>
      <c r="AC776" s="5">
        <f>IF(D776="","",Z776-Y776)</f>
        <v/>
      </c>
      <c r="AD776">
        <f>IF(D776="","",N(AD775)+IF(MATCH(D776,$D$2:$D$2501,0)=ROW()-1,1,0))</f>
        <v/>
      </c>
    </row>
    <row r="777">
      <c r="X777" s="5">
        <f>IF(D777="","",W777*IF(AND(ISNUMBER(AB777),AB777&gt;0,AB777&lt;1),AB777*100,AB777)/100)</f>
        <v/>
      </c>
      <c r="Y777" s="5">
        <f>IF(D777="","",AA777*Z777/100)</f>
        <v/>
      </c>
      <c r="Z777" s="5">
        <f>IF(D777="","",W777-X777)</f>
        <v/>
      </c>
      <c r="AC777" s="5">
        <f>IF(D777="","",Z777-Y777)</f>
        <v/>
      </c>
      <c r="AD777">
        <f>IF(D777="","",N(AD776)+IF(MATCH(D777,$D$2:$D$2501,0)=ROW()-1,1,0))</f>
        <v/>
      </c>
    </row>
    <row r="778">
      <c r="X778" s="5">
        <f>IF(D778="","",W778*IF(AND(ISNUMBER(AB778),AB778&gt;0,AB778&lt;1),AB778*100,AB778)/100)</f>
        <v/>
      </c>
      <c r="Y778" s="5">
        <f>IF(D778="","",AA778*Z778/100)</f>
        <v/>
      </c>
      <c r="Z778" s="5">
        <f>IF(D778="","",W778-X778)</f>
        <v/>
      </c>
      <c r="AC778" s="5">
        <f>IF(D778="","",Z778-Y778)</f>
        <v/>
      </c>
      <c r="AD778">
        <f>IF(D778="","",N(AD777)+IF(MATCH(D778,$D$2:$D$2501,0)=ROW()-1,1,0))</f>
        <v/>
      </c>
    </row>
    <row r="779">
      <c r="X779" s="5">
        <f>IF(D779="","",W779*IF(AND(ISNUMBER(AB779),AB779&gt;0,AB779&lt;1),AB779*100,AB779)/100)</f>
        <v/>
      </c>
      <c r="Y779" s="5">
        <f>IF(D779="","",AA779*Z779/100)</f>
        <v/>
      </c>
      <c r="Z779" s="5">
        <f>IF(D779="","",W779-X779)</f>
        <v/>
      </c>
      <c r="AC779" s="5">
        <f>IF(D779="","",Z779-Y779)</f>
        <v/>
      </c>
      <c r="AD779">
        <f>IF(D779="","",N(AD778)+IF(MATCH(D779,$D$2:$D$2501,0)=ROW()-1,1,0))</f>
        <v/>
      </c>
    </row>
    <row r="780">
      <c r="X780" s="5">
        <f>IF(D780="","",W780*IF(AND(ISNUMBER(AB780),AB780&gt;0,AB780&lt;1),AB780*100,AB780)/100)</f>
        <v/>
      </c>
      <c r="Y780" s="5">
        <f>IF(D780="","",AA780*Z780/100)</f>
        <v/>
      </c>
      <c r="Z780" s="5">
        <f>IF(D780="","",W780-X780)</f>
        <v/>
      </c>
      <c r="AC780" s="5">
        <f>IF(D780="","",Z780-Y780)</f>
        <v/>
      </c>
      <c r="AD780">
        <f>IF(D780="","",N(AD779)+IF(MATCH(D780,$D$2:$D$2501,0)=ROW()-1,1,0))</f>
        <v/>
      </c>
    </row>
    <row r="781">
      <c r="X781" s="5">
        <f>IF(D781="","",W781*IF(AND(ISNUMBER(AB781),AB781&gt;0,AB781&lt;1),AB781*100,AB781)/100)</f>
        <v/>
      </c>
      <c r="Y781" s="5">
        <f>IF(D781="","",AA781*Z781/100)</f>
        <v/>
      </c>
      <c r="Z781" s="5">
        <f>IF(D781="","",W781-X781)</f>
        <v/>
      </c>
      <c r="AC781" s="5">
        <f>IF(D781="","",Z781-Y781)</f>
        <v/>
      </c>
      <c r="AD781">
        <f>IF(D781="","",N(AD780)+IF(MATCH(D781,$D$2:$D$2501,0)=ROW()-1,1,0))</f>
        <v/>
      </c>
    </row>
    <row r="782">
      <c r="X782" s="5">
        <f>IF(D782="","",W782*IF(AND(ISNUMBER(AB782),AB782&gt;0,AB782&lt;1),AB782*100,AB782)/100)</f>
        <v/>
      </c>
      <c r="Y782" s="5">
        <f>IF(D782="","",AA782*Z782/100)</f>
        <v/>
      </c>
      <c r="Z782" s="5">
        <f>IF(D782="","",W782-X782)</f>
        <v/>
      </c>
      <c r="AC782" s="5">
        <f>IF(D782="","",Z782-Y782)</f>
        <v/>
      </c>
      <c r="AD782">
        <f>IF(D782="","",N(AD781)+IF(MATCH(D782,$D$2:$D$2501,0)=ROW()-1,1,0))</f>
        <v/>
      </c>
    </row>
    <row r="783">
      <c r="X783" s="5">
        <f>IF(D783="","",W783*IF(AND(ISNUMBER(AB783),AB783&gt;0,AB783&lt;1),AB783*100,AB783)/100)</f>
        <v/>
      </c>
      <c r="Y783" s="5">
        <f>IF(D783="","",AA783*Z783/100)</f>
        <v/>
      </c>
      <c r="Z783" s="5">
        <f>IF(D783="","",W783-X783)</f>
        <v/>
      </c>
      <c r="AC783" s="5">
        <f>IF(D783="","",Z783-Y783)</f>
        <v/>
      </c>
      <c r="AD783">
        <f>IF(D783="","",N(AD782)+IF(MATCH(D783,$D$2:$D$2501,0)=ROW()-1,1,0))</f>
        <v/>
      </c>
    </row>
    <row r="784">
      <c r="X784" s="5">
        <f>IF(D784="","",W784*IF(AND(ISNUMBER(AB784),AB784&gt;0,AB784&lt;1),AB784*100,AB784)/100)</f>
        <v/>
      </c>
      <c r="Y784" s="5">
        <f>IF(D784="","",AA784*Z784/100)</f>
        <v/>
      </c>
      <c r="Z784" s="5">
        <f>IF(D784="","",W784-X784)</f>
        <v/>
      </c>
      <c r="AC784" s="5">
        <f>IF(D784="","",Z784-Y784)</f>
        <v/>
      </c>
      <c r="AD784">
        <f>IF(D784="","",N(AD783)+IF(MATCH(D784,$D$2:$D$2501,0)=ROW()-1,1,0))</f>
        <v/>
      </c>
    </row>
    <row r="785">
      <c r="X785" s="5">
        <f>IF(D785="","",W785*IF(AND(ISNUMBER(AB785),AB785&gt;0,AB785&lt;1),AB785*100,AB785)/100)</f>
        <v/>
      </c>
      <c r="Y785" s="5">
        <f>IF(D785="","",AA785*Z785/100)</f>
        <v/>
      </c>
      <c r="Z785" s="5">
        <f>IF(D785="","",W785-X785)</f>
        <v/>
      </c>
      <c r="AC785" s="5">
        <f>IF(D785="","",Z785-Y785)</f>
        <v/>
      </c>
      <c r="AD785">
        <f>IF(D785="","",N(AD784)+IF(MATCH(D785,$D$2:$D$2501,0)=ROW()-1,1,0))</f>
        <v/>
      </c>
    </row>
    <row r="786">
      <c r="X786" s="5">
        <f>IF(D786="","",W786*IF(AND(ISNUMBER(AB786),AB786&gt;0,AB786&lt;1),AB786*100,AB786)/100)</f>
        <v/>
      </c>
      <c r="Y786" s="5">
        <f>IF(D786="","",AA786*Z786/100)</f>
        <v/>
      </c>
      <c r="Z786" s="5">
        <f>IF(D786="","",W786-X786)</f>
        <v/>
      </c>
      <c r="AC786" s="5">
        <f>IF(D786="","",Z786-Y786)</f>
        <v/>
      </c>
      <c r="AD786">
        <f>IF(D786="","",N(AD785)+IF(MATCH(D786,$D$2:$D$2501,0)=ROW()-1,1,0))</f>
        <v/>
      </c>
    </row>
    <row r="787">
      <c r="X787" s="5">
        <f>IF(D787="","",W787*IF(AND(ISNUMBER(AB787),AB787&gt;0,AB787&lt;1),AB787*100,AB787)/100)</f>
        <v/>
      </c>
      <c r="Y787" s="5">
        <f>IF(D787="","",AA787*Z787/100)</f>
        <v/>
      </c>
      <c r="Z787" s="5">
        <f>IF(D787="","",W787-X787)</f>
        <v/>
      </c>
      <c r="AC787" s="5">
        <f>IF(D787="","",Z787-Y787)</f>
        <v/>
      </c>
      <c r="AD787">
        <f>IF(D787="","",N(AD786)+IF(MATCH(D787,$D$2:$D$2501,0)=ROW()-1,1,0))</f>
        <v/>
      </c>
    </row>
    <row r="788">
      <c r="X788" s="5">
        <f>IF(D788="","",W788*IF(AND(ISNUMBER(AB788),AB788&gt;0,AB788&lt;1),AB788*100,AB788)/100)</f>
        <v/>
      </c>
      <c r="Y788" s="5">
        <f>IF(D788="","",AA788*Z788/100)</f>
        <v/>
      </c>
      <c r="Z788" s="5">
        <f>IF(D788="","",W788-X788)</f>
        <v/>
      </c>
      <c r="AC788" s="5">
        <f>IF(D788="","",Z788-Y788)</f>
        <v/>
      </c>
      <c r="AD788">
        <f>IF(D788="","",N(AD787)+IF(MATCH(D788,$D$2:$D$2501,0)=ROW()-1,1,0))</f>
        <v/>
      </c>
    </row>
    <row r="789">
      <c r="X789" s="5">
        <f>IF(D789="","",W789*IF(AND(ISNUMBER(AB789),AB789&gt;0,AB789&lt;1),AB789*100,AB789)/100)</f>
        <v/>
      </c>
      <c r="Y789" s="5">
        <f>IF(D789="","",AA789*Z789/100)</f>
        <v/>
      </c>
      <c r="Z789" s="5">
        <f>IF(D789="","",W789-X789)</f>
        <v/>
      </c>
      <c r="AC789" s="5">
        <f>IF(D789="","",Z789-Y789)</f>
        <v/>
      </c>
      <c r="AD789">
        <f>IF(D789="","",N(AD788)+IF(MATCH(D789,$D$2:$D$2501,0)=ROW()-1,1,0))</f>
        <v/>
      </c>
    </row>
    <row r="790">
      <c r="X790" s="5">
        <f>IF(D790="","",W790*IF(AND(ISNUMBER(AB790),AB790&gt;0,AB790&lt;1),AB790*100,AB790)/100)</f>
        <v/>
      </c>
      <c r="Y790" s="5">
        <f>IF(D790="","",AA790*Z790/100)</f>
        <v/>
      </c>
      <c r="Z790" s="5">
        <f>IF(D790="","",W790-X790)</f>
        <v/>
      </c>
      <c r="AC790" s="5">
        <f>IF(D790="","",Z790-Y790)</f>
        <v/>
      </c>
      <c r="AD790">
        <f>IF(D790="","",N(AD789)+IF(MATCH(D790,$D$2:$D$2501,0)=ROW()-1,1,0))</f>
        <v/>
      </c>
    </row>
    <row r="791">
      <c r="X791" s="5">
        <f>IF(D791="","",W791*IF(AND(ISNUMBER(AB791),AB791&gt;0,AB791&lt;1),AB791*100,AB791)/100)</f>
        <v/>
      </c>
      <c r="Y791" s="5">
        <f>IF(D791="","",AA791*Z791/100)</f>
        <v/>
      </c>
      <c r="Z791" s="5">
        <f>IF(D791="","",W791-X791)</f>
        <v/>
      </c>
      <c r="AC791" s="5">
        <f>IF(D791="","",Z791-Y791)</f>
        <v/>
      </c>
      <c r="AD791">
        <f>IF(D791="","",N(AD790)+IF(MATCH(D791,$D$2:$D$2501,0)=ROW()-1,1,0))</f>
        <v/>
      </c>
    </row>
    <row r="792">
      <c r="X792" s="5">
        <f>IF(D792="","",W792*IF(AND(ISNUMBER(AB792),AB792&gt;0,AB792&lt;1),AB792*100,AB792)/100)</f>
        <v/>
      </c>
      <c r="Y792" s="5">
        <f>IF(D792="","",AA792*Z792/100)</f>
        <v/>
      </c>
      <c r="Z792" s="5">
        <f>IF(D792="","",W792-X792)</f>
        <v/>
      </c>
      <c r="AC792" s="5">
        <f>IF(D792="","",Z792-Y792)</f>
        <v/>
      </c>
      <c r="AD792">
        <f>IF(D792="","",N(AD791)+IF(MATCH(D792,$D$2:$D$2501,0)=ROW()-1,1,0))</f>
        <v/>
      </c>
    </row>
    <row r="793">
      <c r="X793" s="5">
        <f>IF(D793="","",W793*IF(AND(ISNUMBER(AB793),AB793&gt;0,AB793&lt;1),AB793*100,AB793)/100)</f>
        <v/>
      </c>
      <c r="Y793" s="5">
        <f>IF(D793="","",AA793*Z793/100)</f>
        <v/>
      </c>
      <c r="Z793" s="5">
        <f>IF(D793="","",W793-X793)</f>
        <v/>
      </c>
      <c r="AC793" s="5">
        <f>IF(D793="","",Z793-Y793)</f>
        <v/>
      </c>
      <c r="AD793">
        <f>IF(D793="","",N(AD792)+IF(MATCH(D793,$D$2:$D$2501,0)=ROW()-1,1,0))</f>
        <v/>
      </c>
    </row>
    <row r="794">
      <c r="X794" s="5">
        <f>IF(D794="","",W794*IF(AND(ISNUMBER(AB794),AB794&gt;0,AB794&lt;1),AB794*100,AB794)/100)</f>
        <v/>
      </c>
      <c r="Y794" s="5">
        <f>IF(D794="","",AA794*Z794/100)</f>
        <v/>
      </c>
      <c r="Z794" s="5">
        <f>IF(D794="","",W794-X794)</f>
        <v/>
      </c>
      <c r="AC794" s="5">
        <f>IF(D794="","",Z794-Y794)</f>
        <v/>
      </c>
      <c r="AD794">
        <f>IF(D794="","",N(AD793)+IF(MATCH(D794,$D$2:$D$2501,0)=ROW()-1,1,0))</f>
        <v/>
      </c>
    </row>
    <row r="795">
      <c r="X795" s="5">
        <f>IF(D795="","",W795*IF(AND(ISNUMBER(AB795),AB795&gt;0,AB795&lt;1),AB795*100,AB795)/100)</f>
        <v/>
      </c>
      <c r="Y795" s="5">
        <f>IF(D795="","",AA795*Z795/100)</f>
        <v/>
      </c>
      <c r="Z795" s="5">
        <f>IF(D795="","",W795-X795)</f>
        <v/>
      </c>
      <c r="AC795" s="5">
        <f>IF(D795="","",Z795-Y795)</f>
        <v/>
      </c>
      <c r="AD795">
        <f>IF(D795="","",N(AD794)+IF(MATCH(D795,$D$2:$D$2501,0)=ROW()-1,1,0))</f>
        <v/>
      </c>
    </row>
    <row r="796">
      <c r="X796" s="5">
        <f>IF(D796="","",W796*IF(AND(ISNUMBER(AB796),AB796&gt;0,AB796&lt;1),AB796*100,AB796)/100)</f>
        <v/>
      </c>
      <c r="Y796" s="5">
        <f>IF(D796="","",AA796*Z796/100)</f>
        <v/>
      </c>
      <c r="Z796" s="5">
        <f>IF(D796="","",W796-X796)</f>
        <v/>
      </c>
      <c r="AC796" s="5">
        <f>IF(D796="","",Z796-Y796)</f>
        <v/>
      </c>
      <c r="AD796">
        <f>IF(D796="","",N(AD795)+IF(MATCH(D796,$D$2:$D$2501,0)=ROW()-1,1,0))</f>
        <v/>
      </c>
    </row>
    <row r="797">
      <c r="X797" s="5">
        <f>IF(D797="","",W797*IF(AND(ISNUMBER(AB797),AB797&gt;0,AB797&lt;1),AB797*100,AB797)/100)</f>
        <v/>
      </c>
      <c r="Y797" s="5">
        <f>IF(D797="","",AA797*Z797/100)</f>
        <v/>
      </c>
      <c r="Z797" s="5">
        <f>IF(D797="","",W797-X797)</f>
        <v/>
      </c>
      <c r="AC797" s="5">
        <f>IF(D797="","",Z797-Y797)</f>
        <v/>
      </c>
      <c r="AD797">
        <f>IF(D797="","",N(AD796)+IF(MATCH(D797,$D$2:$D$2501,0)=ROW()-1,1,0))</f>
        <v/>
      </c>
    </row>
    <row r="798">
      <c r="X798" s="5">
        <f>IF(D798="","",W798*IF(AND(ISNUMBER(AB798),AB798&gt;0,AB798&lt;1),AB798*100,AB798)/100)</f>
        <v/>
      </c>
      <c r="Y798" s="5">
        <f>IF(D798="","",AA798*Z798/100)</f>
        <v/>
      </c>
      <c r="Z798" s="5">
        <f>IF(D798="","",W798-X798)</f>
        <v/>
      </c>
      <c r="AC798" s="5">
        <f>IF(D798="","",Z798-Y798)</f>
        <v/>
      </c>
      <c r="AD798">
        <f>IF(D798="","",N(AD797)+IF(MATCH(D798,$D$2:$D$2501,0)=ROW()-1,1,0))</f>
        <v/>
      </c>
    </row>
    <row r="799">
      <c r="X799" s="5">
        <f>IF(D799="","",W799*IF(AND(ISNUMBER(AB799),AB799&gt;0,AB799&lt;1),AB799*100,AB799)/100)</f>
        <v/>
      </c>
      <c r="Y799" s="5">
        <f>IF(D799="","",AA799*Z799/100)</f>
        <v/>
      </c>
      <c r="Z799" s="5">
        <f>IF(D799="","",W799-X799)</f>
        <v/>
      </c>
      <c r="AC799" s="5">
        <f>IF(D799="","",Z799-Y799)</f>
        <v/>
      </c>
      <c r="AD799">
        <f>IF(D799="","",N(AD798)+IF(MATCH(D799,$D$2:$D$2501,0)=ROW()-1,1,0))</f>
        <v/>
      </c>
    </row>
    <row r="800">
      <c r="X800" s="5">
        <f>IF(D800="","",W800*IF(AND(ISNUMBER(AB800),AB800&gt;0,AB800&lt;1),AB800*100,AB800)/100)</f>
        <v/>
      </c>
      <c r="Y800" s="5">
        <f>IF(D800="","",AA800*Z800/100)</f>
        <v/>
      </c>
      <c r="Z800" s="5">
        <f>IF(D800="","",W800-X800)</f>
        <v/>
      </c>
      <c r="AC800" s="5">
        <f>IF(D800="","",Z800-Y800)</f>
        <v/>
      </c>
      <c r="AD800">
        <f>IF(D800="","",N(AD799)+IF(MATCH(D800,$D$2:$D$2501,0)=ROW()-1,1,0))</f>
        <v/>
      </c>
    </row>
    <row r="801">
      <c r="X801" s="5">
        <f>IF(D801="","",W801*IF(AND(ISNUMBER(AB801),AB801&gt;0,AB801&lt;1),AB801*100,AB801)/100)</f>
        <v/>
      </c>
      <c r="Y801" s="5">
        <f>IF(D801="","",AA801*Z801/100)</f>
        <v/>
      </c>
      <c r="Z801" s="5">
        <f>IF(D801="","",W801-X801)</f>
        <v/>
      </c>
      <c r="AC801" s="5">
        <f>IF(D801="","",Z801-Y801)</f>
        <v/>
      </c>
      <c r="AD801">
        <f>IF(D801="","",N(AD800)+IF(MATCH(D801,$D$2:$D$2501,0)=ROW()-1,1,0))</f>
        <v/>
      </c>
    </row>
    <row r="802">
      <c r="X802" s="5">
        <f>IF(D802="","",W802*IF(AND(ISNUMBER(AB802),AB802&gt;0,AB802&lt;1),AB802*100,AB802)/100)</f>
        <v/>
      </c>
      <c r="Y802" s="5">
        <f>IF(D802="","",AA802*Z802/100)</f>
        <v/>
      </c>
      <c r="Z802" s="5">
        <f>IF(D802="","",W802-X802)</f>
        <v/>
      </c>
      <c r="AC802" s="5">
        <f>IF(D802="","",Z802-Y802)</f>
        <v/>
      </c>
      <c r="AD802">
        <f>IF(D802="","",N(AD801)+IF(MATCH(D802,$D$2:$D$2501,0)=ROW()-1,1,0))</f>
        <v/>
      </c>
    </row>
    <row r="803">
      <c r="X803" s="5">
        <f>IF(D803="","",W803*IF(AND(ISNUMBER(AB803),AB803&gt;0,AB803&lt;1),AB803*100,AB803)/100)</f>
        <v/>
      </c>
      <c r="Y803" s="5">
        <f>IF(D803="","",AA803*Z803/100)</f>
        <v/>
      </c>
      <c r="Z803" s="5">
        <f>IF(D803="","",W803-X803)</f>
        <v/>
      </c>
      <c r="AC803" s="5">
        <f>IF(D803="","",Z803-Y803)</f>
        <v/>
      </c>
      <c r="AD803">
        <f>IF(D803="","",N(AD802)+IF(MATCH(D803,$D$2:$D$2501,0)=ROW()-1,1,0))</f>
        <v/>
      </c>
    </row>
    <row r="804">
      <c r="X804" s="5">
        <f>IF(D804="","",W804*IF(AND(ISNUMBER(AB804),AB804&gt;0,AB804&lt;1),AB804*100,AB804)/100)</f>
        <v/>
      </c>
      <c r="Y804" s="5">
        <f>IF(D804="","",AA804*Z804/100)</f>
        <v/>
      </c>
      <c r="Z804" s="5">
        <f>IF(D804="","",W804-X804)</f>
        <v/>
      </c>
      <c r="AC804" s="5">
        <f>IF(D804="","",Z804-Y804)</f>
        <v/>
      </c>
      <c r="AD804">
        <f>IF(D804="","",N(AD803)+IF(MATCH(D804,$D$2:$D$2501,0)=ROW()-1,1,0))</f>
        <v/>
      </c>
    </row>
    <row r="805">
      <c r="X805" s="5">
        <f>IF(D805="","",W805*IF(AND(ISNUMBER(AB805),AB805&gt;0,AB805&lt;1),AB805*100,AB805)/100)</f>
        <v/>
      </c>
      <c r="Y805" s="5">
        <f>IF(D805="","",AA805*Z805/100)</f>
        <v/>
      </c>
      <c r="Z805" s="5">
        <f>IF(D805="","",W805-X805)</f>
        <v/>
      </c>
      <c r="AC805" s="5">
        <f>IF(D805="","",Z805-Y805)</f>
        <v/>
      </c>
      <c r="AD805">
        <f>IF(D805="","",N(AD804)+IF(MATCH(D805,$D$2:$D$2501,0)=ROW()-1,1,0))</f>
        <v/>
      </c>
    </row>
    <row r="806">
      <c r="X806" s="5">
        <f>IF(D806="","",W806*IF(AND(ISNUMBER(AB806),AB806&gt;0,AB806&lt;1),AB806*100,AB806)/100)</f>
        <v/>
      </c>
      <c r="Y806" s="5">
        <f>IF(D806="","",AA806*Z806/100)</f>
        <v/>
      </c>
      <c r="Z806" s="5">
        <f>IF(D806="","",W806-X806)</f>
        <v/>
      </c>
      <c r="AC806" s="5">
        <f>IF(D806="","",Z806-Y806)</f>
        <v/>
      </c>
      <c r="AD806">
        <f>IF(D806="","",N(AD805)+IF(MATCH(D806,$D$2:$D$2501,0)=ROW()-1,1,0))</f>
        <v/>
      </c>
    </row>
    <row r="807">
      <c r="X807" s="5">
        <f>IF(D807="","",W807*IF(AND(ISNUMBER(AB807),AB807&gt;0,AB807&lt;1),AB807*100,AB807)/100)</f>
        <v/>
      </c>
      <c r="Y807" s="5">
        <f>IF(D807="","",AA807*Z807/100)</f>
        <v/>
      </c>
      <c r="Z807" s="5">
        <f>IF(D807="","",W807-X807)</f>
        <v/>
      </c>
      <c r="AC807" s="5">
        <f>IF(D807="","",Z807-Y807)</f>
        <v/>
      </c>
      <c r="AD807">
        <f>IF(D807="","",N(AD806)+IF(MATCH(D807,$D$2:$D$2501,0)=ROW()-1,1,0))</f>
        <v/>
      </c>
    </row>
    <row r="808">
      <c r="X808" s="5">
        <f>IF(D808="","",W808*IF(AND(ISNUMBER(AB808),AB808&gt;0,AB808&lt;1),AB808*100,AB808)/100)</f>
        <v/>
      </c>
      <c r="Y808" s="5">
        <f>IF(D808="","",AA808*Z808/100)</f>
        <v/>
      </c>
      <c r="Z808" s="5">
        <f>IF(D808="","",W808-X808)</f>
        <v/>
      </c>
      <c r="AC808" s="5">
        <f>IF(D808="","",Z808-Y808)</f>
        <v/>
      </c>
      <c r="AD808">
        <f>IF(D808="","",N(AD807)+IF(MATCH(D808,$D$2:$D$2501,0)=ROW()-1,1,0))</f>
        <v/>
      </c>
    </row>
    <row r="809">
      <c r="X809" s="5">
        <f>IF(D809="","",W809*IF(AND(ISNUMBER(AB809),AB809&gt;0,AB809&lt;1),AB809*100,AB809)/100)</f>
        <v/>
      </c>
      <c r="Y809" s="5">
        <f>IF(D809="","",AA809*Z809/100)</f>
        <v/>
      </c>
      <c r="Z809" s="5">
        <f>IF(D809="","",W809-X809)</f>
        <v/>
      </c>
      <c r="AC809" s="5">
        <f>IF(D809="","",Z809-Y809)</f>
        <v/>
      </c>
      <c r="AD809">
        <f>IF(D809="","",N(AD808)+IF(MATCH(D809,$D$2:$D$2501,0)=ROW()-1,1,0))</f>
        <v/>
      </c>
    </row>
    <row r="810">
      <c r="X810" s="5">
        <f>IF(D810="","",W810*IF(AND(ISNUMBER(AB810),AB810&gt;0,AB810&lt;1),AB810*100,AB810)/100)</f>
        <v/>
      </c>
      <c r="Y810" s="5">
        <f>IF(D810="","",AA810*Z810/100)</f>
        <v/>
      </c>
      <c r="Z810" s="5">
        <f>IF(D810="","",W810-X810)</f>
        <v/>
      </c>
      <c r="AC810" s="5">
        <f>IF(D810="","",Z810-Y810)</f>
        <v/>
      </c>
      <c r="AD810">
        <f>IF(D810="","",N(AD809)+IF(MATCH(D810,$D$2:$D$2501,0)=ROW()-1,1,0))</f>
        <v/>
      </c>
    </row>
    <row r="811">
      <c r="X811" s="5">
        <f>IF(D811="","",W811*IF(AND(ISNUMBER(AB811),AB811&gt;0,AB811&lt;1),AB811*100,AB811)/100)</f>
        <v/>
      </c>
      <c r="Y811" s="5">
        <f>IF(D811="","",AA811*Z811/100)</f>
        <v/>
      </c>
      <c r="Z811" s="5">
        <f>IF(D811="","",W811-X811)</f>
        <v/>
      </c>
      <c r="AC811" s="5">
        <f>IF(D811="","",Z811-Y811)</f>
        <v/>
      </c>
      <c r="AD811">
        <f>IF(D811="","",N(AD810)+IF(MATCH(D811,$D$2:$D$2501,0)=ROW()-1,1,0))</f>
        <v/>
      </c>
    </row>
    <row r="812">
      <c r="X812" s="5">
        <f>IF(D812="","",W812*IF(AND(ISNUMBER(AB812),AB812&gt;0,AB812&lt;1),AB812*100,AB812)/100)</f>
        <v/>
      </c>
      <c r="Y812" s="5">
        <f>IF(D812="","",AA812*Z812/100)</f>
        <v/>
      </c>
      <c r="Z812" s="5">
        <f>IF(D812="","",W812-X812)</f>
        <v/>
      </c>
      <c r="AC812" s="5">
        <f>IF(D812="","",Z812-Y812)</f>
        <v/>
      </c>
      <c r="AD812">
        <f>IF(D812="","",N(AD811)+IF(MATCH(D812,$D$2:$D$2501,0)=ROW()-1,1,0))</f>
        <v/>
      </c>
    </row>
    <row r="813">
      <c r="X813" s="5">
        <f>IF(D813="","",W813*IF(AND(ISNUMBER(AB813),AB813&gt;0,AB813&lt;1),AB813*100,AB813)/100)</f>
        <v/>
      </c>
      <c r="Y813" s="5">
        <f>IF(D813="","",AA813*Z813/100)</f>
        <v/>
      </c>
      <c r="Z813" s="5">
        <f>IF(D813="","",W813-X813)</f>
        <v/>
      </c>
      <c r="AC813" s="5">
        <f>IF(D813="","",Z813-Y813)</f>
        <v/>
      </c>
      <c r="AD813">
        <f>IF(D813="","",N(AD812)+IF(MATCH(D813,$D$2:$D$2501,0)=ROW()-1,1,0))</f>
        <v/>
      </c>
    </row>
    <row r="814">
      <c r="X814" s="5">
        <f>IF(D814="","",W814*IF(AND(ISNUMBER(AB814),AB814&gt;0,AB814&lt;1),AB814*100,AB814)/100)</f>
        <v/>
      </c>
      <c r="Y814" s="5">
        <f>IF(D814="","",AA814*Z814/100)</f>
        <v/>
      </c>
      <c r="Z814" s="5">
        <f>IF(D814="","",W814-X814)</f>
        <v/>
      </c>
      <c r="AC814" s="5">
        <f>IF(D814="","",Z814-Y814)</f>
        <v/>
      </c>
      <c r="AD814">
        <f>IF(D814="","",N(AD813)+IF(MATCH(D814,$D$2:$D$2501,0)=ROW()-1,1,0))</f>
        <v/>
      </c>
    </row>
    <row r="815">
      <c r="X815" s="5">
        <f>IF(D815="","",W815*IF(AND(ISNUMBER(AB815),AB815&gt;0,AB815&lt;1),AB815*100,AB815)/100)</f>
        <v/>
      </c>
      <c r="Y815" s="5">
        <f>IF(D815="","",AA815*Z815/100)</f>
        <v/>
      </c>
      <c r="Z815" s="5">
        <f>IF(D815="","",W815-X815)</f>
        <v/>
      </c>
      <c r="AC815" s="5">
        <f>IF(D815="","",Z815-Y815)</f>
        <v/>
      </c>
      <c r="AD815">
        <f>IF(D815="","",N(AD814)+IF(MATCH(D815,$D$2:$D$2501,0)=ROW()-1,1,0))</f>
        <v/>
      </c>
    </row>
    <row r="816">
      <c r="X816" s="5">
        <f>IF(D816="","",W816*IF(AND(ISNUMBER(AB816),AB816&gt;0,AB816&lt;1),AB816*100,AB816)/100)</f>
        <v/>
      </c>
      <c r="Y816" s="5">
        <f>IF(D816="","",AA816*Z816/100)</f>
        <v/>
      </c>
      <c r="Z816" s="5">
        <f>IF(D816="","",W816-X816)</f>
        <v/>
      </c>
      <c r="AC816" s="5">
        <f>IF(D816="","",Z816-Y816)</f>
        <v/>
      </c>
      <c r="AD816">
        <f>IF(D816="","",N(AD815)+IF(MATCH(D816,$D$2:$D$2501,0)=ROW()-1,1,0))</f>
        <v/>
      </c>
    </row>
    <row r="817">
      <c r="X817" s="5">
        <f>IF(D817="","",W817*IF(AND(ISNUMBER(AB817),AB817&gt;0,AB817&lt;1),AB817*100,AB817)/100)</f>
        <v/>
      </c>
      <c r="Y817" s="5">
        <f>IF(D817="","",AA817*Z817/100)</f>
        <v/>
      </c>
      <c r="Z817" s="5">
        <f>IF(D817="","",W817-X817)</f>
        <v/>
      </c>
      <c r="AC817" s="5">
        <f>IF(D817="","",Z817-Y817)</f>
        <v/>
      </c>
      <c r="AD817">
        <f>IF(D817="","",N(AD816)+IF(MATCH(D817,$D$2:$D$2501,0)=ROW()-1,1,0))</f>
        <v/>
      </c>
    </row>
    <row r="818">
      <c r="X818" s="5">
        <f>IF(D818="","",W818*IF(AND(ISNUMBER(AB818),AB818&gt;0,AB818&lt;1),AB818*100,AB818)/100)</f>
        <v/>
      </c>
      <c r="Y818" s="5">
        <f>IF(D818="","",AA818*Z818/100)</f>
        <v/>
      </c>
      <c r="Z818" s="5">
        <f>IF(D818="","",W818-X818)</f>
        <v/>
      </c>
      <c r="AC818" s="5">
        <f>IF(D818="","",Z818-Y818)</f>
        <v/>
      </c>
      <c r="AD818">
        <f>IF(D818="","",N(AD817)+IF(MATCH(D818,$D$2:$D$2501,0)=ROW()-1,1,0))</f>
        <v/>
      </c>
    </row>
    <row r="819">
      <c r="X819" s="5">
        <f>IF(D819="","",W819*IF(AND(ISNUMBER(AB819),AB819&gt;0,AB819&lt;1),AB819*100,AB819)/100)</f>
        <v/>
      </c>
      <c r="Y819" s="5">
        <f>IF(D819="","",AA819*Z819/100)</f>
        <v/>
      </c>
      <c r="Z819" s="5">
        <f>IF(D819="","",W819-X819)</f>
        <v/>
      </c>
      <c r="AC819" s="5">
        <f>IF(D819="","",Z819-Y819)</f>
        <v/>
      </c>
      <c r="AD819">
        <f>IF(D819="","",N(AD818)+IF(MATCH(D819,$D$2:$D$2501,0)=ROW()-1,1,0))</f>
        <v/>
      </c>
    </row>
    <row r="820">
      <c r="X820" s="5">
        <f>IF(D820="","",W820*IF(AND(ISNUMBER(AB820),AB820&gt;0,AB820&lt;1),AB820*100,AB820)/100)</f>
        <v/>
      </c>
      <c r="Y820" s="5">
        <f>IF(D820="","",AA820*Z820/100)</f>
        <v/>
      </c>
      <c r="Z820" s="5">
        <f>IF(D820="","",W820-X820)</f>
        <v/>
      </c>
      <c r="AC820" s="5">
        <f>IF(D820="","",Z820-Y820)</f>
        <v/>
      </c>
      <c r="AD820">
        <f>IF(D820="","",N(AD819)+IF(MATCH(D820,$D$2:$D$2501,0)=ROW()-1,1,0))</f>
        <v/>
      </c>
    </row>
    <row r="821">
      <c r="X821" s="5">
        <f>IF(D821="","",W821*IF(AND(ISNUMBER(AB821),AB821&gt;0,AB821&lt;1),AB821*100,AB821)/100)</f>
        <v/>
      </c>
      <c r="Y821" s="5">
        <f>IF(D821="","",AA821*Z821/100)</f>
        <v/>
      </c>
      <c r="Z821" s="5">
        <f>IF(D821="","",W821-X821)</f>
        <v/>
      </c>
      <c r="AC821" s="5">
        <f>IF(D821="","",Z821-Y821)</f>
        <v/>
      </c>
      <c r="AD821">
        <f>IF(D821="","",N(AD820)+IF(MATCH(D821,$D$2:$D$2501,0)=ROW()-1,1,0))</f>
        <v/>
      </c>
    </row>
    <row r="822">
      <c r="X822" s="5">
        <f>IF(D822="","",W822*IF(AND(ISNUMBER(AB822),AB822&gt;0,AB822&lt;1),AB822*100,AB822)/100)</f>
        <v/>
      </c>
      <c r="Y822" s="5">
        <f>IF(D822="","",AA822*Z822/100)</f>
        <v/>
      </c>
      <c r="Z822" s="5">
        <f>IF(D822="","",W822-X822)</f>
        <v/>
      </c>
      <c r="AC822" s="5">
        <f>IF(D822="","",Z822-Y822)</f>
        <v/>
      </c>
      <c r="AD822">
        <f>IF(D822="","",N(AD821)+IF(MATCH(D822,$D$2:$D$2501,0)=ROW()-1,1,0))</f>
        <v/>
      </c>
    </row>
    <row r="823">
      <c r="X823" s="5">
        <f>IF(D823="","",W823*IF(AND(ISNUMBER(AB823),AB823&gt;0,AB823&lt;1),AB823*100,AB823)/100)</f>
        <v/>
      </c>
      <c r="Y823" s="5">
        <f>IF(D823="","",AA823*Z823/100)</f>
        <v/>
      </c>
      <c r="Z823" s="5">
        <f>IF(D823="","",W823-X823)</f>
        <v/>
      </c>
      <c r="AC823" s="5">
        <f>IF(D823="","",Z823-Y823)</f>
        <v/>
      </c>
      <c r="AD823">
        <f>IF(D823="","",N(AD822)+IF(MATCH(D823,$D$2:$D$2501,0)=ROW()-1,1,0))</f>
        <v/>
      </c>
    </row>
    <row r="824">
      <c r="X824" s="5">
        <f>IF(D824="","",W824*IF(AND(ISNUMBER(AB824),AB824&gt;0,AB824&lt;1),AB824*100,AB824)/100)</f>
        <v/>
      </c>
      <c r="Y824" s="5">
        <f>IF(D824="","",AA824*Z824/100)</f>
        <v/>
      </c>
      <c r="Z824" s="5">
        <f>IF(D824="","",W824-X824)</f>
        <v/>
      </c>
      <c r="AC824" s="5">
        <f>IF(D824="","",Z824-Y824)</f>
        <v/>
      </c>
      <c r="AD824">
        <f>IF(D824="","",N(AD823)+IF(MATCH(D824,$D$2:$D$2501,0)=ROW()-1,1,0))</f>
        <v/>
      </c>
    </row>
    <row r="825">
      <c r="X825" s="5">
        <f>IF(D825="","",W825*IF(AND(ISNUMBER(AB825),AB825&gt;0,AB825&lt;1),AB825*100,AB825)/100)</f>
        <v/>
      </c>
      <c r="Y825" s="5">
        <f>IF(D825="","",AA825*Z825/100)</f>
        <v/>
      </c>
      <c r="Z825" s="5">
        <f>IF(D825="","",W825-X825)</f>
        <v/>
      </c>
      <c r="AC825" s="5">
        <f>IF(D825="","",Z825-Y825)</f>
        <v/>
      </c>
      <c r="AD825">
        <f>IF(D825="","",N(AD824)+IF(MATCH(D825,$D$2:$D$2501,0)=ROW()-1,1,0))</f>
        <v/>
      </c>
    </row>
    <row r="826">
      <c r="X826" s="5">
        <f>IF(D826="","",W826*IF(AND(ISNUMBER(AB826),AB826&gt;0,AB826&lt;1),AB826*100,AB826)/100)</f>
        <v/>
      </c>
      <c r="Y826" s="5">
        <f>IF(D826="","",AA826*Z826/100)</f>
        <v/>
      </c>
      <c r="Z826" s="5">
        <f>IF(D826="","",W826-X826)</f>
        <v/>
      </c>
      <c r="AC826" s="5">
        <f>IF(D826="","",Z826-Y826)</f>
        <v/>
      </c>
      <c r="AD826">
        <f>IF(D826="","",N(AD825)+IF(MATCH(D826,$D$2:$D$2501,0)=ROW()-1,1,0))</f>
        <v/>
      </c>
    </row>
    <row r="827">
      <c r="X827" s="5">
        <f>IF(D827="","",W827*IF(AND(ISNUMBER(AB827),AB827&gt;0,AB827&lt;1),AB827*100,AB827)/100)</f>
        <v/>
      </c>
      <c r="Y827" s="5">
        <f>IF(D827="","",AA827*Z827/100)</f>
        <v/>
      </c>
      <c r="Z827" s="5">
        <f>IF(D827="","",W827-X827)</f>
        <v/>
      </c>
      <c r="AC827" s="5">
        <f>IF(D827="","",Z827-Y827)</f>
        <v/>
      </c>
      <c r="AD827">
        <f>IF(D827="","",N(AD826)+IF(MATCH(D827,$D$2:$D$2501,0)=ROW()-1,1,0))</f>
        <v/>
      </c>
    </row>
    <row r="828">
      <c r="X828" s="5">
        <f>IF(D828="","",W828*IF(AND(ISNUMBER(AB828),AB828&gt;0,AB828&lt;1),AB828*100,AB828)/100)</f>
        <v/>
      </c>
      <c r="Y828" s="5">
        <f>IF(D828="","",AA828*Z828/100)</f>
        <v/>
      </c>
      <c r="Z828" s="5">
        <f>IF(D828="","",W828-X828)</f>
        <v/>
      </c>
      <c r="AC828" s="5">
        <f>IF(D828="","",Z828-Y828)</f>
        <v/>
      </c>
      <c r="AD828">
        <f>IF(D828="","",N(AD827)+IF(MATCH(D828,$D$2:$D$2501,0)=ROW()-1,1,0))</f>
        <v/>
      </c>
    </row>
    <row r="829">
      <c r="X829" s="5">
        <f>IF(D829="","",W829*IF(AND(ISNUMBER(AB829),AB829&gt;0,AB829&lt;1),AB829*100,AB829)/100)</f>
        <v/>
      </c>
      <c r="Y829" s="5">
        <f>IF(D829="","",AA829*Z829/100)</f>
        <v/>
      </c>
      <c r="Z829" s="5">
        <f>IF(D829="","",W829-X829)</f>
        <v/>
      </c>
      <c r="AC829" s="5">
        <f>IF(D829="","",Z829-Y829)</f>
        <v/>
      </c>
      <c r="AD829">
        <f>IF(D829="","",N(AD828)+IF(MATCH(D829,$D$2:$D$2501,0)=ROW()-1,1,0))</f>
        <v/>
      </c>
    </row>
    <row r="830">
      <c r="X830" s="5">
        <f>IF(D830="","",W830*IF(AND(ISNUMBER(AB830),AB830&gt;0,AB830&lt;1),AB830*100,AB830)/100)</f>
        <v/>
      </c>
      <c r="Y830" s="5">
        <f>IF(D830="","",AA830*Z830/100)</f>
        <v/>
      </c>
      <c r="Z830" s="5">
        <f>IF(D830="","",W830-X830)</f>
        <v/>
      </c>
      <c r="AC830" s="5">
        <f>IF(D830="","",Z830-Y830)</f>
        <v/>
      </c>
      <c r="AD830">
        <f>IF(D830="","",N(AD829)+IF(MATCH(D830,$D$2:$D$2501,0)=ROW()-1,1,0))</f>
        <v/>
      </c>
    </row>
    <row r="831">
      <c r="X831" s="5">
        <f>IF(D831="","",W831*IF(AND(ISNUMBER(AB831),AB831&gt;0,AB831&lt;1),AB831*100,AB831)/100)</f>
        <v/>
      </c>
      <c r="Y831" s="5">
        <f>IF(D831="","",AA831*Z831/100)</f>
        <v/>
      </c>
      <c r="Z831" s="5">
        <f>IF(D831="","",W831-X831)</f>
        <v/>
      </c>
      <c r="AC831" s="5">
        <f>IF(D831="","",Z831-Y831)</f>
        <v/>
      </c>
      <c r="AD831">
        <f>IF(D831="","",N(AD830)+IF(MATCH(D831,$D$2:$D$2501,0)=ROW()-1,1,0))</f>
        <v/>
      </c>
    </row>
    <row r="832">
      <c r="X832" s="5">
        <f>IF(D832="","",W832*IF(AND(ISNUMBER(AB832),AB832&gt;0,AB832&lt;1),AB832*100,AB832)/100)</f>
        <v/>
      </c>
      <c r="Y832" s="5">
        <f>IF(D832="","",AA832*Z832/100)</f>
        <v/>
      </c>
      <c r="Z832" s="5">
        <f>IF(D832="","",W832-X832)</f>
        <v/>
      </c>
      <c r="AC832" s="5">
        <f>IF(D832="","",Z832-Y832)</f>
        <v/>
      </c>
      <c r="AD832">
        <f>IF(D832="","",N(AD831)+IF(MATCH(D832,$D$2:$D$2501,0)=ROW()-1,1,0))</f>
        <v/>
      </c>
    </row>
    <row r="833">
      <c r="X833" s="5">
        <f>IF(D833="","",W833*IF(AND(ISNUMBER(AB833),AB833&gt;0,AB833&lt;1),AB833*100,AB833)/100)</f>
        <v/>
      </c>
      <c r="Y833" s="5">
        <f>IF(D833="","",AA833*Z833/100)</f>
        <v/>
      </c>
      <c r="Z833" s="5">
        <f>IF(D833="","",W833-X833)</f>
        <v/>
      </c>
      <c r="AC833" s="5">
        <f>IF(D833="","",Z833-Y833)</f>
        <v/>
      </c>
      <c r="AD833">
        <f>IF(D833="","",N(AD832)+IF(MATCH(D833,$D$2:$D$2501,0)=ROW()-1,1,0))</f>
        <v/>
      </c>
    </row>
    <row r="834">
      <c r="X834" s="5">
        <f>IF(D834="","",W834*IF(AND(ISNUMBER(AB834),AB834&gt;0,AB834&lt;1),AB834*100,AB834)/100)</f>
        <v/>
      </c>
      <c r="Y834" s="5">
        <f>IF(D834="","",AA834*Z834/100)</f>
        <v/>
      </c>
      <c r="Z834" s="5">
        <f>IF(D834="","",W834-X834)</f>
        <v/>
      </c>
      <c r="AC834" s="5">
        <f>IF(D834="","",Z834-Y834)</f>
        <v/>
      </c>
      <c r="AD834">
        <f>IF(D834="","",N(AD833)+IF(MATCH(D834,$D$2:$D$2501,0)=ROW()-1,1,0))</f>
        <v/>
      </c>
    </row>
    <row r="835">
      <c r="X835" s="5">
        <f>IF(D835="","",W835*IF(AND(ISNUMBER(AB835),AB835&gt;0,AB835&lt;1),AB835*100,AB835)/100)</f>
        <v/>
      </c>
      <c r="Y835" s="5">
        <f>IF(D835="","",AA835*Z835/100)</f>
        <v/>
      </c>
      <c r="Z835" s="5">
        <f>IF(D835="","",W835-X835)</f>
        <v/>
      </c>
      <c r="AC835" s="5">
        <f>IF(D835="","",Z835-Y835)</f>
        <v/>
      </c>
      <c r="AD835">
        <f>IF(D835="","",N(AD834)+IF(MATCH(D835,$D$2:$D$2501,0)=ROW()-1,1,0))</f>
        <v/>
      </c>
    </row>
    <row r="836">
      <c r="X836" s="5">
        <f>IF(D836="","",W836*IF(AND(ISNUMBER(AB836),AB836&gt;0,AB836&lt;1),AB836*100,AB836)/100)</f>
        <v/>
      </c>
      <c r="Y836" s="5">
        <f>IF(D836="","",AA836*Z836/100)</f>
        <v/>
      </c>
      <c r="Z836" s="5">
        <f>IF(D836="","",W836-X836)</f>
        <v/>
      </c>
      <c r="AC836" s="5">
        <f>IF(D836="","",Z836-Y836)</f>
        <v/>
      </c>
      <c r="AD836">
        <f>IF(D836="","",N(AD835)+IF(MATCH(D836,$D$2:$D$2501,0)=ROW()-1,1,0))</f>
        <v/>
      </c>
    </row>
    <row r="837">
      <c r="X837" s="5">
        <f>IF(D837="","",W837*IF(AND(ISNUMBER(AB837),AB837&gt;0,AB837&lt;1),AB837*100,AB837)/100)</f>
        <v/>
      </c>
      <c r="Y837" s="5">
        <f>IF(D837="","",AA837*Z837/100)</f>
        <v/>
      </c>
      <c r="Z837" s="5">
        <f>IF(D837="","",W837-X837)</f>
        <v/>
      </c>
      <c r="AC837" s="5">
        <f>IF(D837="","",Z837-Y837)</f>
        <v/>
      </c>
      <c r="AD837">
        <f>IF(D837="","",N(AD836)+IF(MATCH(D837,$D$2:$D$2501,0)=ROW()-1,1,0))</f>
        <v/>
      </c>
    </row>
    <row r="838">
      <c r="X838" s="5">
        <f>IF(D838="","",W838*IF(AND(ISNUMBER(AB838),AB838&gt;0,AB838&lt;1),AB838*100,AB838)/100)</f>
        <v/>
      </c>
      <c r="Y838" s="5">
        <f>IF(D838="","",AA838*Z838/100)</f>
        <v/>
      </c>
      <c r="Z838" s="5">
        <f>IF(D838="","",W838-X838)</f>
        <v/>
      </c>
      <c r="AC838" s="5">
        <f>IF(D838="","",Z838-Y838)</f>
        <v/>
      </c>
      <c r="AD838">
        <f>IF(D838="","",N(AD837)+IF(MATCH(D838,$D$2:$D$2501,0)=ROW()-1,1,0))</f>
        <v/>
      </c>
    </row>
    <row r="839">
      <c r="X839" s="5">
        <f>IF(D839="","",W839*IF(AND(ISNUMBER(AB839),AB839&gt;0,AB839&lt;1),AB839*100,AB839)/100)</f>
        <v/>
      </c>
      <c r="Y839" s="5">
        <f>IF(D839="","",AA839*Z839/100)</f>
        <v/>
      </c>
      <c r="Z839" s="5">
        <f>IF(D839="","",W839-X839)</f>
        <v/>
      </c>
      <c r="AC839" s="5">
        <f>IF(D839="","",Z839-Y839)</f>
        <v/>
      </c>
      <c r="AD839">
        <f>IF(D839="","",N(AD838)+IF(MATCH(D839,$D$2:$D$2501,0)=ROW()-1,1,0))</f>
        <v/>
      </c>
    </row>
    <row r="840">
      <c r="X840" s="5">
        <f>IF(D840="","",W840*IF(AND(ISNUMBER(AB840),AB840&gt;0,AB840&lt;1),AB840*100,AB840)/100)</f>
        <v/>
      </c>
      <c r="Y840" s="5">
        <f>IF(D840="","",AA840*Z840/100)</f>
        <v/>
      </c>
      <c r="Z840" s="5">
        <f>IF(D840="","",W840-X840)</f>
        <v/>
      </c>
      <c r="AC840" s="5">
        <f>IF(D840="","",Z840-Y840)</f>
        <v/>
      </c>
      <c r="AD840">
        <f>IF(D840="","",N(AD839)+IF(MATCH(D840,$D$2:$D$2501,0)=ROW()-1,1,0))</f>
        <v/>
      </c>
    </row>
    <row r="841">
      <c r="X841" s="5">
        <f>IF(D841="","",W841*IF(AND(ISNUMBER(AB841),AB841&gt;0,AB841&lt;1),AB841*100,AB841)/100)</f>
        <v/>
      </c>
      <c r="Y841" s="5">
        <f>IF(D841="","",AA841*Z841/100)</f>
        <v/>
      </c>
      <c r="Z841" s="5">
        <f>IF(D841="","",W841-X841)</f>
        <v/>
      </c>
      <c r="AC841" s="5">
        <f>IF(D841="","",Z841-Y841)</f>
        <v/>
      </c>
      <c r="AD841">
        <f>IF(D841="","",N(AD840)+IF(MATCH(D841,$D$2:$D$2501,0)=ROW()-1,1,0))</f>
        <v/>
      </c>
    </row>
    <row r="842">
      <c r="X842" s="5">
        <f>IF(D842="","",W842*IF(AND(ISNUMBER(AB842),AB842&gt;0,AB842&lt;1),AB842*100,AB842)/100)</f>
        <v/>
      </c>
      <c r="Y842" s="5">
        <f>IF(D842="","",AA842*Z842/100)</f>
        <v/>
      </c>
      <c r="Z842" s="5">
        <f>IF(D842="","",W842-X842)</f>
        <v/>
      </c>
      <c r="AC842" s="5">
        <f>IF(D842="","",Z842-Y842)</f>
        <v/>
      </c>
      <c r="AD842">
        <f>IF(D842="","",N(AD841)+IF(MATCH(D842,$D$2:$D$2501,0)=ROW()-1,1,0))</f>
        <v/>
      </c>
    </row>
    <row r="843">
      <c r="X843" s="5">
        <f>IF(D843="","",W843*IF(AND(ISNUMBER(AB843),AB843&gt;0,AB843&lt;1),AB843*100,AB843)/100)</f>
        <v/>
      </c>
      <c r="Y843" s="5">
        <f>IF(D843="","",AA843*Z843/100)</f>
        <v/>
      </c>
      <c r="Z843" s="5">
        <f>IF(D843="","",W843-X843)</f>
        <v/>
      </c>
      <c r="AC843" s="5">
        <f>IF(D843="","",Z843-Y843)</f>
        <v/>
      </c>
      <c r="AD843">
        <f>IF(D843="","",N(AD842)+IF(MATCH(D843,$D$2:$D$2501,0)=ROW()-1,1,0))</f>
        <v/>
      </c>
    </row>
    <row r="844">
      <c r="X844" s="5">
        <f>IF(D844="","",W844*IF(AND(ISNUMBER(AB844),AB844&gt;0,AB844&lt;1),AB844*100,AB844)/100)</f>
        <v/>
      </c>
      <c r="Y844" s="5">
        <f>IF(D844="","",AA844*Z844/100)</f>
        <v/>
      </c>
      <c r="Z844" s="5">
        <f>IF(D844="","",W844-X844)</f>
        <v/>
      </c>
      <c r="AC844" s="5">
        <f>IF(D844="","",Z844-Y844)</f>
        <v/>
      </c>
      <c r="AD844">
        <f>IF(D844="","",N(AD843)+IF(MATCH(D844,$D$2:$D$2501,0)=ROW()-1,1,0))</f>
        <v/>
      </c>
    </row>
    <row r="845">
      <c r="X845" s="5">
        <f>IF(D845="","",W845*IF(AND(ISNUMBER(AB845),AB845&gt;0,AB845&lt;1),AB845*100,AB845)/100)</f>
        <v/>
      </c>
      <c r="Y845" s="5">
        <f>IF(D845="","",AA845*Z845/100)</f>
        <v/>
      </c>
      <c r="Z845" s="5">
        <f>IF(D845="","",W845-X845)</f>
        <v/>
      </c>
      <c r="AC845" s="5">
        <f>IF(D845="","",Z845-Y845)</f>
        <v/>
      </c>
      <c r="AD845">
        <f>IF(D845="","",N(AD844)+IF(MATCH(D845,$D$2:$D$2501,0)=ROW()-1,1,0))</f>
        <v/>
      </c>
    </row>
    <row r="846">
      <c r="X846" s="5">
        <f>IF(D846="","",W846*IF(AND(ISNUMBER(AB846),AB846&gt;0,AB846&lt;1),AB846*100,AB846)/100)</f>
        <v/>
      </c>
      <c r="Y846" s="5">
        <f>IF(D846="","",AA846*Z846/100)</f>
        <v/>
      </c>
      <c r="Z846" s="5">
        <f>IF(D846="","",W846-X846)</f>
        <v/>
      </c>
      <c r="AC846" s="5">
        <f>IF(D846="","",Z846-Y846)</f>
        <v/>
      </c>
      <c r="AD846">
        <f>IF(D846="","",N(AD845)+IF(MATCH(D846,$D$2:$D$2501,0)=ROW()-1,1,0))</f>
        <v/>
      </c>
    </row>
    <row r="847">
      <c r="X847" s="5">
        <f>IF(D847="","",W847*IF(AND(ISNUMBER(AB847),AB847&gt;0,AB847&lt;1),AB847*100,AB847)/100)</f>
        <v/>
      </c>
      <c r="Y847" s="5">
        <f>IF(D847="","",AA847*Z847/100)</f>
        <v/>
      </c>
      <c r="Z847" s="5">
        <f>IF(D847="","",W847-X847)</f>
        <v/>
      </c>
      <c r="AC847" s="5">
        <f>IF(D847="","",Z847-Y847)</f>
        <v/>
      </c>
      <c r="AD847">
        <f>IF(D847="","",N(AD846)+IF(MATCH(D847,$D$2:$D$2501,0)=ROW()-1,1,0))</f>
        <v/>
      </c>
    </row>
    <row r="848">
      <c r="X848" s="5">
        <f>IF(D848="","",W848*IF(AND(ISNUMBER(AB848),AB848&gt;0,AB848&lt;1),AB848*100,AB848)/100)</f>
        <v/>
      </c>
      <c r="Y848" s="5">
        <f>IF(D848="","",AA848*Z848/100)</f>
        <v/>
      </c>
      <c r="Z848" s="5">
        <f>IF(D848="","",W848-X848)</f>
        <v/>
      </c>
      <c r="AC848" s="5">
        <f>IF(D848="","",Z848-Y848)</f>
        <v/>
      </c>
      <c r="AD848">
        <f>IF(D848="","",N(AD847)+IF(MATCH(D848,$D$2:$D$2501,0)=ROW()-1,1,0))</f>
        <v/>
      </c>
    </row>
    <row r="849">
      <c r="X849" s="5">
        <f>IF(D849="","",W849*IF(AND(ISNUMBER(AB849),AB849&gt;0,AB849&lt;1),AB849*100,AB849)/100)</f>
        <v/>
      </c>
      <c r="Y849" s="5">
        <f>IF(D849="","",AA849*Z849/100)</f>
        <v/>
      </c>
      <c r="Z849" s="5">
        <f>IF(D849="","",W849-X849)</f>
        <v/>
      </c>
      <c r="AC849" s="5">
        <f>IF(D849="","",Z849-Y849)</f>
        <v/>
      </c>
      <c r="AD849">
        <f>IF(D849="","",N(AD848)+IF(MATCH(D849,$D$2:$D$2501,0)=ROW()-1,1,0))</f>
        <v/>
      </c>
    </row>
    <row r="850">
      <c r="X850" s="5">
        <f>IF(D850="","",W850*IF(AND(ISNUMBER(AB850),AB850&gt;0,AB850&lt;1),AB850*100,AB850)/100)</f>
        <v/>
      </c>
      <c r="Y850" s="5">
        <f>IF(D850="","",AA850*Z850/100)</f>
        <v/>
      </c>
      <c r="Z850" s="5">
        <f>IF(D850="","",W850-X850)</f>
        <v/>
      </c>
      <c r="AC850" s="5">
        <f>IF(D850="","",Z850-Y850)</f>
        <v/>
      </c>
      <c r="AD850">
        <f>IF(D850="","",N(AD849)+IF(MATCH(D850,$D$2:$D$2501,0)=ROW()-1,1,0))</f>
        <v/>
      </c>
    </row>
    <row r="851">
      <c r="X851" s="5">
        <f>IF(D851="","",W851*IF(AND(ISNUMBER(AB851),AB851&gt;0,AB851&lt;1),AB851*100,AB851)/100)</f>
        <v/>
      </c>
      <c r="Y851" s="5">
        <f>IF(D851="","",AA851*Z851/100)</f>
        <v/>
      </c>
      <c r="Z851" s="5">
        <f>IF(D851="","",W851-X851)</f>
        <v/>
      </c>
      <c r="AC851" s="5">
        <f>IF(D851="","",Z851-Y851)</f>
        <v/>
      </c>
      <c r="AD851">
        <f>IF(D851="","",N(AD850)+IF(MATCH(D851,$D$2:$D$2501,0)=ROW()-1,1,0))</f>
        <v/>
      </c>
    </row>
    <row r="852">
      <c r="X852" s="5">
        <f>IF(D852="","",W852*IF(AND(ISNUMBER(AB852),AB852&gt;0,AB852&lt;1),AB852*100,AB852)/100)</f>
        <v/>
      </c>
      <c r="Y852" s="5">
        <f>IF(D852="","",AA852*Z852/100)</f>
        <v/>
      </c>
      <c r="Z852" s="5">
        <f>IF(D852="","",W852-X852)</f>
        <v/>
      </c>
      <c r="AC852" s="5">
        <f>IF(D852="","",Z852-Y852)</f>
        <v/>
      </c>
      <c r="AD852">
        <f>IF(D852="","",N(AD851)+IF(MATCH(D852,$D$2:$D$2501,0)=ROW()-1,1,0))</f>
        <v/>
      </c>
    </row>
    <row r="853">
      <c r="X853" s="5">
        <f>IF(D853="","",W853*IF(AND(ISNUMBER(AB853),AB853&gt;0,AB853&lt;1),AB853*100,AB853)/100)</f>
        <v/>
      </c>
      <c r="Y853" s="5">
        <f>IF(D853="","",AA853*Z853/100)</f>
        <v/>
      </c>
      <c r="Z853" s="5">
        <f>IF(D853="","",W853-X853)</f>
        <v/>
      </c>
      <c r="AC853" s="5">
        <f>IF(D853="","",Z853-Y853)</f>
        <v/>
      </c>
      <c r="AD853">
        <f>IF(D853="","",N(AD852)+IF(MATCH(D853,$D$2:$D$2501,0)=ROW()-1,1,0))</f>
        <v/>
      </c>
    </row>
    <row r="854">
      <c r="X854" s="5">
        <f>IF(D854="","",W854*IF(AND(ISNUMBER(AB854),AB854&gt;0,AB854&lt;1),AB854*100,AB854)/100)</f>
        <v/>
      </c>
      <c r="Y854" s="5">
        <f>IF(D854="","",AA854*Z854/100)</f>
        <v/>
      </c>
      <c r="Z854" s="5">
        <f>IF(D854="","",W854-X854)</f>
        <v/>
      </c>
      <c r="AC854" s="5">
        <f>IF(D854="","",Z854-Y854)</f>
        <v/>
      </c>
      <c r="AD854">
        <f>IF(D854="","",N(AD853)+IF(MATCH(D854,$D$2:$D$2501,0)=ROW()-1,1,0))</f>
        <v/>
      </c>
    </row>
    <row r="855">
      <c r="X855" s="5">
        <f>IF(D855="","",W855*IF(AND(ISNUMBER(AB855),AB855&gt;0,AB855&lt;1),AB855*100,AB855)/100)</f>
        <v/>
      </c>
      <c r="Y855" s="5">
        <f>IF(D855="","",AA855*Z855/100)</f>
        <v/>
      </c>
      <c r="Z855" s="5">
        <f>IF(D855="","",W855-X855)</f>
        <v/>
      </c>
      <c r="AC855" s="5">
        <f>IF(D855="","",Z855-Y855)</f>
        <v/>
      </c>
      <c r="AD855">
        <f>IF(D855="","",N(AD854)+IF(MATCH(D855,$D$2:$D$2501,0)=ROW()-1,1,0))</f>
        <v/>
      </c>
    </row>
    <row r="856">
      <c r="X856" s="5">
        <f>IF(D856="","",W856*IF(AND(ISNUMBER(AB856),AB856&gt;0,AB856&lt;1),AB856*100,AB856)/100)</f>
        <v/>
      </c>
      <c r="Y856" s="5">
        <f>IF(D856="","",AA856*Z856/100)</f>
        <v/>
      </c>
      <c r="Z856" s="5">
        <f>IF(D856="","",W856-X856)</f>
        <v/>
      </c>
      <c r="AC856" s="5">
        <f>IF(D856="","",Z856-Y856)</f>
        <v/>
      </c>
      <c r="AD856">
        <f>IF(D856="","",N(AD855)+IF(MATCH(D856,$D$2:$D$2501,0)=ROW()-1,1,0))</f>
        <v/>
      </c>
    </row>
    <row r="857">
      <c r="X857" s="5">
        <f>IF(D857="","",W857*IF(AND(ISNUMBER(AB857),AB857&gt;0,AB857&lt;1),AB857*100,AB857)/100)</f>
        <v/>
      </c>
      <c r="Y857" s="5">
        <f>IF(D857="","",AA857*Z857/100)</f>
        <v/>
      </c>
      <c r="Z857" s="5">
        <f>IF(D857="","",W857-X857)</f>
        <v/>
      </c>
      <c r="AC857" s="5">
        <f>IF(D857="","",Z857-Y857)</f>
        <v/>
      </c>
      <c r="AD857">
        <f>IF(D857="","",N(AD856)+IF(MATCH(D857,$D$2:$D$2501,0)=ROW()-1,1,0))</f>
        <v/>
      </c>
    </row>
    <row r="858">
      <c r="X858" s="5">
        <f>IF(D858="","",W858*IF(AND(ISNUMBER(AB858),AB858&gt;0,AB858&lt;1),AB858*100,AB858)/100)</f>
        <v/>
      </c>
      <c r="Y858" s="5">
        <f>IF(D858="","",AA858*Z858/100)</f>
        <v/>
      </c>
      <c r="Z858" s="5">
        <f>IF(D858="","",W858-X858)</f>
        <v/>
      </c>
      <c r="AC858" s="5">
        <f>IF(D858="","",Z858-Y858)</f>
        <v/>
      </c>
      <c r="AD858">
        <f>IF(D858="","",N(AD857)+IF(MATCH(D858,$D$2:$D$2501,0)=ROW()-1,1,0))</f>
        <v/>
      </c>
    </row>
    <row r="859">
      <c r="X859" s="5">
        <f>IF(D859="","",W859*IF(AND(ISNUMBER(AB859),AB859&gt;0,AB859&lt;1),AB859*100,AB859)/100)</f>
        <v/>
      </c>
      <c r="Y859" s="5">
        <f>IF(D859="","",AA859*Z859/100)</f>
        <v/>
      </c>
      <c r="Z859" s="5">
        <f>IF(D859="","",W859-X859)</f>
        <v/>
      </c>
      <c r="AC859" s="5">
        <f>IF(D859="","",Z859-Y859)</f>
        <v/>
      </c>
      <c r="AD859">
        <f>IF(D859="","",N(AD858)+IF(MATCH(D859,$D$2:$D$2501,0)=ROW()-1,1,0))</f>
        <v/>
      </c>
    </row>
    <row r="860">
      <c r="X860" s="5">
        <f>IF(D860="","",W860*IF(AND(ISNUMBER(AB860),AB860&gt;0,AB860&lt;1),AB860*100,AB860)/100)</f>
        <v/>
      </c>
      <c r="Y860" s="5">
        <f>IF(D860="","",AA860*Z860/100)</f>
        <v/>
      </c>
      <c r="Z860" s="5">
        <f>IF(D860="","",W860-X860)</f>
        <v/>
      </c>
      <c r="AC860" s="5">
        <f>IF(D860="","",Z860-Y860)</f>
        <v/>
      </c>
      <c r="AD860">
        <f>IF(D860="","",N(AD859)+IF(MATCH(D860,$D$2:$D$2501,0)=ROW()-1,1,0))</f>
        <v/>
      </c>
    </row>
    <row r="861">
      <c r="X861" s="5">
        <f>IF(D861="","",W861*IF(AND(ISNUMBER(AB861),AB861&gt;0,AB861&lt;1),AB861*100,AB861)/100)</f>
        <v/>
      </c>
      <c r="Y861" s="5">
        <f>IF(D861="","",AA861*Z861/100)</f>
        <v/>
      </c>
      <c r="Z861" s="5">
        <f>IF(D861="","",W861-X861)</f>
        <v/>
      </c>
      <c r="AC861" s="5">
        <f>IF(D861="","",Z861-Y861)</f>
        <v/>
      </c>
      <c r="AD861">
        <f>IF(D861="","",N(AD860)+IF(MATCH(D861,$D$2:$D$2501,0)=ROW()-1,1,0))</f>
        <v/>
      </c>
    </row>
    <row r="862">
      <c r="X862" s="5">
        <f>IF(D862="","",W862*IF(AND(ISNUMBER(AB862),AB862&gt;0,AB862&lt;1),AB862*100,AB862)/100)</f>
        <v/>
      </c>
      <c r="Y862" s="5">
        <f>IF(D862="","",AA862*Z862/100)</f>
        <v/>
      </c>
      <c r="Z862" s="5">
        <f>IF(D862="","",W862-X862)</f>
        <v/>
      </c>
      <c r="AC862" s="5">
        <f>IF(D862="","",Z862-Y862)</f>
        <v/>
      </c>
      <c r="AD862">
        <f>IF(D862="","",N(AD861)+IF(MATCH(D862,$D$2:$D$2501,0)=ROW()-1,1,0))</f>
        <v/>
      </c>
    </row>
    <row r="863">
      <c r="X863" s="5">
        <f>IF(D863="","",W863*IF(AND(ISNUMBER(AB863),AB863&gt;0,AB863&lt;1),AB863*100,AB863)/100)</f>
        <v/>
      </c>
      <c r="Y863" s="5">
        <f>IF(D863="","",AA863*Z863/100)</f>
        <v/>
      </c>
      <c r="Z863" s="5">
        <f>IF(D863="","",W863-X863)</f>
        <v/>
      </c>
      <c r="AC863" s="5">
        <f>IF(D863="","",Z863-Y863)</f>
        <v/>
      </c>
      <c r="AD863">
        <f>IF(D863="","",N(AD862)+IF(MATCH(D863,$D$2:$D$2501,0)=ROW()-1,1,0))</f>
        <v/>
      </c>
    </row>
    <row r="864">
      <c r="X864" s="5">
        <f>IF(D864="","",W864*IF(AND(ISNUMBER(AB864),AB864&gt;0,AB864&lt;1),AB864*100,AB864)/100)</f>
        <v/>
      </c>
      <c r="Y864" s="5">
        <f>IF(D864="","",AA864*Z864/100)</f>
        <v/>
      </c>
      <c r="Z864" s="5">
        <f>IF(D864="","",W864-X864)</f>
        <v/>
      </c>
      <c r="AC864" s="5">
        <f>IF(D864="","",Z864-Y864)</f>
        <v/>
      </c>
      <c r="AD864">
        <f>IF(D864="","",N(AD863)+IF(MATCH(D864,$D$2:$D$2501,0)=ROW()-1,1,0))</f>
        <v/>
      </c>
    </row>
    <row r="865">
      <c r="X865" s="5">
        <f>IF(D865="","",W865*IF(AND(ISNUMBER(AB865),AB865&gt;0,AB865&lt;1),AB865*100,AB865)/100)</f>
        <v/>
      </c>
      <c r="Y865" s="5">
        <f>IF(D865="","",AA865*Z865/100)</f>
        <v/>
      </c>
      <c r="Z865" s="5">
        <f>IF(D865="","",W865-X865)</f>
        <v/>
      </c>
      <c r="AC865" s="5">
        <f>IF(D865="","",Z865-Y865)</f>
        <v/>
      </c>
      <c r="AD865">
        <f>IF(D865="","",N(AD864)+IF(MATCH(D865,$D$2:$D$2501,0)=ROW()-1,1,0))</f>
        <v/>
      </c>
    </row>
    <row r="866">
      <c r="X866" s="5">
        <f>IF(D866="","",W866*IF(AND(ISNUMBER(AB866),AB866&gt;0,AB866&lt;1),AB866*100,AB866)/100)</f>
        <v/>
      </c>
      <c r="Y866" s="5">
        <f>IF(D866="","",AA866*Z866/100)</f>
        <v/>
      </c>
      <c r="Z866" s="5">
        <f>IF(D866="","",W866-X866)</f>
        <v/>
      </c>
      <c r="AC866" s="5">
        <f>IF(D866="","",Z866-Y866)</f>
        <v/>
      </c>
      <c r="AD866">
        <f>IF(D866="","",N(AD865)+IF(MATCH(D866,$D$2:$D$2501,0)=ROW()-1,1,0))</f>
        <v/>
      </c>
    </row>
    <row r="867">
      <c r="X867" s="5">
        <f>IF(D867="","",W867*IF(AND(ISNUMBER(AB867),AB867&gt;0,AB867&lt;1),AB867*100,AB867)/100)</f>
        <v/>
      </c>
      <c r="Y867" s="5">
        <f>IF(D867="","",AA867*Z867/100)</f>
        <v/>
      </c>
      <c r="Z867" s="5">
        <f>IF(D867="","",W867-X867)</f>
        <v/>
      </c>
      <c r="AC867" s="5">
        <f>IF(D867="","",Z867-Y867)</f>
        <v/>
      </c>
      <c r="AD867">
        <f>IF(D867="","",N(AD866)+IF(MATCH(D867,$D$2:$D$2501,0)=ROW()-1,1,0))</f>
        <v/>
      </c>
    </row>
    <row r="868">
      <c r="X868" s="5">
        <f>IF(D868="","",W868*IF(AND(ISNUMBER(AB868),AB868&gt;0,AB868&lt;1),AB868*100,AB868)/100)</f>
        <v/>
      </c>
      <c r="Y868" s="5">
        <f>IF(D868="","",AA868*Z868/100)</f>
        <v/>
      </c>
      <c r="Z868" s="5">
        <f>IF(D868="","",W868-X868)</f>
        <v/>
      </c>
      <c r="AC868" s="5">
        <f>IF(D868="","",Z868-Y868)</f>
        <v/>
      </c>
      <c r="AD868">
        <f>IF(D868="","",N(AD867)+IF(MATCH(D868,$D$2:$D$2501,0)=ROW()-1,1,0))</f>
        <v/>
      </c>
    </row>
    <row r="869">
      <c r="X869" s="5">
        <f>IF(D869="","",W869*IF(AND(ISNUMBER(AB869),AB869&gt;0,AB869&lt;1),AB869*100,AB869)/100)</f>
        <v/>
      </c>
      <c r="Y869" s="5">
        <f>IF(D869="","",AA869*Z869/100)</f>
        <v/>
      </c>
      <c r="Z869" s="5">
        <f>IF(D869="","",W869-X869)</f>
        <v/>
      </c>
      <c r="AC869" s="5">
        <f>IF(D869="","",Z869-Y869)</f>
        <v/>
      </c>
      <c r="AD869">
        <f>IF(D869="","",N(AD868)+IF(MATCH(D869,$D$2:$D$2501,0)=ROW()-1,1,0))</f>
        <v/>
      </c>
    </row>
    <row r="870">
      <c r="X870" s="5">
        <f>IF(D870="","",W870*IF(AND(ISNUMBER(AB870),AB870&gt;0,AB870&lt;1),AB870*100,AB870)/100)</f>
        <v/>
      </c>
      <c r="Y870" s="5">
        <f>IF(D870="","",AA870*Z870/100)</f>
        <v/>
      </c>
      <c r="Z870" s="5">
        <f>IF(D870="","",W870-X870)</f>
        <v/>
      </c>
      <c r="AC870" s="5">
        <f>IF(D870="","",Z870-Y870)</f>
        <v/>
      </c>
      <c r="AD870">
        <f>IF(D870="","",N(AD869)+IF(MATCH(D870,$D$2:$D$2501,0)=ROW()-1,1,0))</f>
        <v/>
      </c>
    </row>
    <row r="871">
      <c r="X871" s="5">
        <f>IF(D871="","",W871*IF(AND(ISNUMBER(AB871),AB871&gt;0,AB871&lt;1),AB871*100,AB871)/100)</f>
        <v/>
      </c>
      <c r="Y871" s="5">
        <f>IF(D871="","",AA871*Z871/100)</f>
        <v/>
      </c>
      <c r="Z871" s="5">
        <f>IF(D871="","",W871-X871)</f>
        <v/>
      </c>
      <c r="AC871" s="5">
        <f>IF(D871="","",Z871-Y871)</f>
        <v/>
      </c>
      <c r="AD871">
        <f>IF(D871="","",N(AD870)+IF(MATCH(D871,$D$2:$D$2501,0)=ROW()-1,1,0))</f>
        <v/>
      </c>
    </row>
    <row r="872">
      <c r="X872" s="5">
        <f>IF(D872="","",W872*IF(AND(ISNUMBER(AB872),AB872&gt;0,AB872&lt;1),AB872*100,AB872)/100)</f>
        <v/>
      </c>
      <c r="Y872" s="5">
        <f>IF(D872="","",AA872*Z872/100)</f>
        <v/>
      </c>
      <c r="Z872" s="5">
        <f>IF(D872="","",W872-X872)</f>
        <v/>
      </c>
      <c r="AC872" s="5">
        <f>IF(D872="","",Z872-Y872)</f>
        <v/>
      </c>
      <c r="AD872">
        <f>IF(D872="","",N(AD871)+IF(MATCH(D872,$D$2:$D$2501,0)=ROW()-1,1,0))</f>
        <v/>
      </c>
    </row>
    <row r="873">
      <c r="X873" s="5">
        <f>IF(D873="","",W873*IF(AND(ISNUMBER(AB873),AB873&gt;0,AB873&lt;1),AB873*100,AB873)/100)</f>
        <v/>
      </c>
      <c r="Y873" s="5">
        <f>IF(D873="","",AA873*Z873/100)</f>
        <v/>
      </c>
      <c r="Z873" s="5">
        <f>IF(D873="","",W873-X873)</f>
        <v/>
      </c>
      <c r="AC873" s="5">
        <f>IF(D873="","",Z873-Y873)</f>
        <v/>
      </c>
      <c r="AD873">
        <f>IF(D873="","",N(AD872)+IF(MATCH(D873,$D$2:$D$2501,0)=ROW()-1,1,0))</f>
        <v/>
      </c>
    </row>
    <row r="874">
      <c r="X874" s="5">
        <f>IF(D874="","",W874*IF(AND(ISNUMBER(AB874),AB874&gt;0,AB874&lt;1),AB874*100,AB874)/100)</f>
        <v/>
      </c>
      <c r="Y874" s="5">
        <f>IF(D874="","",AA874*Z874/100)</f>
        <v/>
      </c>
      <c r="Z874" s="5">
        <f>IF(D874="","",W874-X874)</f>
        <v/>
      </c>
      <c r="AC874" s="5">
        <f>IF(D874="","",Z874-Y874)</f>
        <v/>
      </c>
      <c r="AD874">
        <f>IF(D874="","",N(AD873)+IF(MATCH(D874,$D$2:$D$2501,0)=ROW()-1,1,0))</f>
        <v/>
      </c>
    </row>
    <row r="875">
      <c r="X875" s="5">
        <f>IF(D875="","",W875*IF(AND(ISNUMBER(AB875),AB875&gt;0,AB875&lt;1),AB875*100,AB875)/100)</f>
        <v/>
      </c>
      <c r="Y875" s="5">
        <f>IF(D875="","",AA875*Z875/100)</f>
        <v/>
      </c>
      <c r="Z875" s="5">
        <f>IF(D875="","",W875-X875)</f>
        <v/>
      </c>
      <c r="AC875" s="5">
        <f>IF(D875="","",Z875-Y875)</f>
        <v/>
      </c>
      <c r="AD875">
        <f>IF(D875="","",N(AD874)+IF(MATCH(D875,$D$2:$D$2501,0)=ROW()-1,1,0))</f>
        <v/>
      </c>
    </row>
    <row r="876">
      <c r="X876" s="5">
        <f>IF(D876="","",W876*IF(AND(ISNUMBER(AB876),AB876&gt;0,AB876&lt;1),AB876*100,AB876)/100)</f>
        <v/>
      </c>
      <c r="Y876" s="5">
        <f>IF(D876="","",AA876*Z876/100)</f>
        <v/>
      </c>
      <c r="Z876" s="5">
        <f>IF(D876="","",W876-X876)</f>
        <v/>
      </c>
      <c r="AC876" s="5">
        <f>IF(D876="","",Z876-Y876)</f>
        <v/>
      </c>
      <c r="AD876">
        <f>IF(D876="","",N(AD875)+IF(MATCH(D876,$D$2:$D$2501,0)=ROW()-1,1,0))</f>
        <v/>
      </c>
    </row>
    <row r="877">
      <c r="X877" s="5">
        <f>IF(D877="","",W877*IF(AND(ISNUMBER(AB877),AB877&gt;0,AB877&lt;1),AB877*100,AB877)/100)</f>
        <v/>
      </c>
      <c r="Y877" s="5">
        <f>IF(D877="","",AA877*Z877/100)</f>
        <v/>
      </c>
      <c r="Z877" s="5">
        <f>IF(D877="","",W877-X877)</f>
        <v/>
      </c>
      <c r="AC877" s="5">
        <f>IF(D877="","",Z877-Y877)</f>
        <v/>
      </c>
      <c r="AD877">
        <f>IF(D877="","",N(AD876)+IF(MATCH(D877,$D$2:$D$2501,0)=ROW()-1,1,0))</f>
        <v/>
      </c>
    </row>
    <row r="878">
      <c r="X878" s="5">
        <f>IF(D878="","",W878*IF(AND(ISNUMBER(AB878),AB878&gt;0,AB878&lt;1),AB878*100,AB878)/100)</f>
        <v/>
      </c>
      <c r="Y878" s="5">
        <f>IF(D878="","",AA878*Z878/100)</f>
        <v/>
      </c>
      <c r="Z878" s="5">
        <f>IF(D878="","",W878-X878)</f>
        <v/>
      </c>
      <c r="AC878" s="5">
        <f>IF(D878="","",Z878-Y878)</f>
        <v/>
      </c>
      <c r="AD878">
        <f>IF(D878="","",N(AD877)+IF(MATCH(D878,$D$2:$D$2501,0)=ROW()-1,1,0))</f>
        <v/>
      </c>
    </row>
    <row r="879">
      <c r="X879" s="5">
        <f>IF(D879="","",W879*IF(AND(ISNUMBER(AB879),AB879&gt;0,AB879&lt;1),AB879*100,AB879)/100)</f>
        <v/>
      </c>
      <c r="Y879" s="5">
        <f>IF(D879="","",AA879*Z879/100)</f>
        <v/>
      </c>
      <c r="Z879" s="5">
        <f>IF(D879="","",W879-X879)</f>
        <v/>
      </c>
      <c r="AC879" s="5">
        <f>IF(D879="","",Z879-Y879)</f>
        <v/>
      </c>
      <c r="AD879">
        <f>IF(D879="","",N(AD878)+IF(MATCH(D879,$D$2:$D$2501,0)=ROW()-1,1,0))</f>
        <v/>
      </c>
    </row>
    <row r="880">
      <c r="X880" s="5">
        <f>IF(D880="","",W880*IF(AND(ISNUMBER(AB880),AB880&gt;0,AB880&lt;1),AB880*100,AB880)/100)</f>
        <v/>
      </c>
      <c r="Y880" s="5">
        <f>IF(D880="","",AA880*Z880/100)</f>
        <v/>
      </c>
      <c r="Z880" s="5">
        <f>IF(D880="","",W880-X880)</f>
        <v/>
      </c>
      <c r="AC880" s="5">
        <f>IF(D880="","",Z880-Y880)</f>
        <v/>
      </c>
      <c r="AD880">
        <f>IF(D880="","",N(AD879)+IF(MATCH(D880,$D$2:$D$2501,0)=ROW()-1,1,0))</f>
        <v/>
      </c>
    </row>
    <row r="881">
      <c r="X881" s="5">
        <f>IF(D881="","",W881*IF(AND(ISNUMBER(AB881),AB881&gt;0,AB881&lt;1),AB881*100,AB881)/100)</f>
        <v/>
      </c>
      <c r="Y881" s="5">
        <f>IF(D881="","",AA881*Z881/100)</f>
        <v/>
      </c>
      <c r="Z881" s="5">
        <f>IF(D881="","",W881-X881)</f>
        <v/>
      </c>
      <c r="AC881" s="5">
        <f>IF(D881="","",Z881-Y881)</f>
        <v/>
      </c>
      <c r="AD881">
        <f>IF(D881="","",N(AD880)+IF(MATCH(D881,$D$2:$D$2501,0)=ROW()-1,1,0))</f>
        <v/>
      </c>
    </row>
    <row r="882">
      <c r="X882" s="5">
        <f>IF(D882="","",W882*IF(AND(ISNUMBER(AB882),AB882&gt;0,AB882&lt;1),AB882*100,AB882)/100)</f>
        <v/>
      </c>
      <c r="Y882" s="5">
        <f>IF(D882="","",AA882*Z882/100)</f>
        <v/>
      </c>
      <c r="Z882" s="5">
        <f>IF(D882="","",W882-X882)</f>
        <v/>
      </c>
      <c r="AC882" s="5">
        <f>IF(D882="","",Z882-Y882)</f>
        <v/>
      </c>
      <c r="AD882">
        <f>IF(D882="","",N(AD881)+IF(MATCH(D882,$D$2:$D$2501,0)=ROW()-1,1,0))</f>
        <v/>
      </c>
    </row>
    <row r="883">
      <c r="X883" s="5">
        <f>IF(D883="","",W883*IF(AND(ISNUMBER(AB883),AB883&gt;0,AB883&lt;1),AB883*100,AB883)/100)</f>
        <v/>
      </c>
      <c r="Y883" s="5">
        <f>IF(D883="","",AA883*Z883/100)</f>
        <v/>
      </c>
      <c r="Z883" s="5">
        <f>IF(D883="","",W883-X883)</f>
        <v/>
      </c>
      <c r="AC883" s="5">
        <f>IF(D883="","",Z883-Y883)</f>
        <v/>
      </c>
      <c r="AD883">
        <f>IF(D883="","",N(AD882)+IF(MATCH(D883,$D$2:$D$2501,0)=ROW()-1,1,0))</f>
        <v/>
      </c>
    </row>
    <row r="884">
      <c r="X884" s="5">
        <f>IF(D884="","",W884*IF(AND(ISNUMBER(AB884),AB884&gt;0,AB884&lt;1),AB884*100,AB884)/100)</f>
        <v/>
      </c>
      <c r="Y884" s="5">
        <f>IF(D884="","",AA884*Z884/100)</f>
        <v/>
      </c>
      <c r="Z884" s="5">
        <f>IF(D884="","",W884-X884)</f>
        <v/>
      </c>
      <c r="AC884" s="5">
        <f>IF(D884="","",Z884-Y884)</f>
        <v/>
      </c>
      <c r="AD884">
        <f>IF(D884="","",N(AD883)+IF(MATCH(D884,$D$2:$D$2501,0)=ROW()-1,1,0))</f>
        <v/>
      </c>
    </row>
    <row r="885">
      <c r="X885" s="5">
        <f>IF(D885="","",W885*IF(AND(ISNUMBER(AB885),AB885&gt;0,AB885&lt;1),AB885*100,AB885)/100)</f>
        <v/>
      </c>
      <c r="Y885" s="5">
        <f>IF(D885="","",AA885*Z885/100)</f>
        <v/>
      </c>
      <c r="Z885" s="5">
        <f>IF(D885="","",W885-X885)</f>
        <v/>
      </c>
      <c r="AC885" s="5">
        <f>IF(D885="","",Z885-Y885)</f>
        <v/>
      </c>
      <c r="AD885">
        <f>IF(D885="","",N(AD884)+IF(MATCH(D885,$D$2:$D$2501,0)=ROW()-1,1,0))</f>
        <v/>
      </c>
    </row>
    <row r="886">
      <c r="X886" s="5">
        <f>IF(D886="","",W886*IF(AND(ISNUMBER(AB886),AB886&gt;0,AB886&lt;1),AB886*100,AB886)/100)</f>
        <v/>
      </c>
      <c r="Y886" s="5">
        <f>IF(D886="","",AA886*Z886/100)</f>
        <v/>
      </c>
      <c r="Z886" s="5">
        <f>IF(D886="","",W886-X886)</f>
        <v/>
      </c>
      <c r="AC886" s="5">
        <f>IF(D886="","",Z886-Y886)</f>
        <v/>
      </c>
      <c r="AD886">
        <f>IF(D886="","",N(AD885)+IF(MATCH(D886,$D$2:$D$2501,0)=ROW()-1,1,0))</f>
        <v/>
      </c>
    </row>
    <row r="887">
      <c r="X887" s="5">
        <f>IF(D887="","",W887*IF(AND(ISNUMBER(AB887),AB887&gt;0,AB887&lt;1),AB887*100,AB887)/100)</f>
        <v/>
      </c>
      <c r="Y887" s="5">
        <f>IF(D887="","",AA887*Z887/100)</f>
        <v/>
      </c>
      <c r="Z887" s="5">
        <f>IF(D887="","",W887-X887)</f>
        <v/>
      </c>
      <c r="AC887" s="5">
        <f>IF(D887="","",Z887-Y887)</f>
        <v/>
      </c>
      <c r="AD887">
        <f>IF(D887="","",N(AD886)+IF(MATCH(D887,$D$2:$D$2501,0)=ROW()-1,1,0))</f>
        <v/>
      </c>
    </row>
    <row r="888">
      <c r="X888" s="5">
        <f>IF(D888="","",W888*IF(AND(ISNUMBER(AB888),AB888&gt;0,AB888&lt;1),AB888*100,AB888)/100)</f>
        <v/>
      </c>
      <c r="Y888" s="5">
        <f>IF(D888="","",AA888*Z888/100)</f>
        <v/>
      </c>
      <c r="Z888" s="5">
        <f>IF(D888="","",W888-X888)</f>
        <v/>
      </c>
      <c r="AC888" s="5">
        <f>IF(D888="","",Z888-Y888)</f>
        <v/>
      </c>
      <c r="AD888">
        <f>IF(D888="","",N(AD887)+IF(MATCH(D888,$D$2:$D$2501,0)=ROW()-1,1,0))</f>
        <v/>
      </c>
    </row>
    <row r="889">
      <c r="X889" s="5">
        <f>IF(D889="","",W889*IF(AND(ISNUMBER(AB889),AB889&gt;0,AB889&lt;1),AB889*100,AB889)/100)</f>
        <v/>
      </c>
      <c r="Y889" s="5">
        <f>IF(D889="","",AA889*Z889/100)</f>
        <v/>
      </c>
      <c r="Z889" s="5">
        <f>IF(D889="","",W889-X889)</f>
        <v/>
      </c>
      <c r="AC889" s="5">
        <f>IF(D889="","",Z889-Y889)</f>
        <v/>
      </c>
      <c r="AD889">
        <f>IF(D889="","",N(AD888)+IF(MATCH(D889,$D$2:$D$2501,0)=ROW()-1,1,0))</f>
        <v/>
      </c>
    </row>
    <row r="890">
      <c r="X890" s="5">
        <f>IF(D890="","",W890*IF(AND(ISNUMBER(AB890),AB890&gt;0,AB890&lt;1),AB890*100,AB890)/100)</f>
        <v/>
      </c>
      <c r="Y890" s="5">
        <f>IF(D890="","",AA890*Z890/100)</f>
        <v/>
      </c>
      <c r="Z890" s="5">
        <f>IF(D890="","",W890-X890)</f>
        <v/>
      </c>
      <c r="AC890" s="5">
        <f>IF(D890="","",Z890-Y890)</f>
        <v/>
      </c>
      <c r="AD890">
        <f>IF(D890="","",N(AD889)+IF(MATCH(D890,$D$2:$D$2501,0)=ROW()-1,1,0))</f>
        <v/>
      </c>
    </row>
    <row r="891">
      <c r="X891" s="5">
        <f>IF(D891="","",W891*IF(AND(ISNUMBER(AB891),AB891&gt;0,AB891&lt;1),AB891*100,AB891)/100)</f>
        <v/>
      </c>
      <c r="Y891" s="5">
        <f>IF(D891="","",AA891*Z891/100)</f>
        <v/>
      </c>
      <c r="Z891" s="5">
        <f>IF(D891="","",W891-X891)</f>
        <v/>
      </c>
      <c r="AC891" s="5">
        <f>IF(D891="","",Z891-Y891)</f>
        <v/>
      </c>
      <c r="AD891">
        <f>IF(D891="","",N(AD890)+IF(MATCH(D891,$D$2:$D$2501,0)=ROW()-1,1,0))</f>
        <v/>
      </c>
    </row>
    <row r="892">
      <c r="X892" s="5">
        <f>IF(D892="","",W892*IF(AND(ISNUMBER(AB892),AB892&gt;0,AB892&lt;1),AB892*100,AB892)/100)</f>
        <v/>
      </c>
      <c r="Y892" s="5">
        <f>IF(D892="","",AA892*Z892/100)</f>
        <v/>
      </c>
      <c r="Z892" s="5">
        <f>IF(D892="","",W892-X892)</f>
        <v/>
      </c>
      <c r="AC892" s="5">
        <f>IF(D892="","",Z892-Y892)</f>
        <v/>
      </c>
      <c r="AD892">
        <f>IF(D892="","",N(AD891)+IF(MATCH(D892,$D$2:$D$2501,0)=ROW()-1,1,0))</f>
        <v/>
      </c>
    </row>
    <row r="893">
      <c r="X893" s="5">
        <f>IF(D893="","",W893*IF(AND(ISNUMBER(AB893),AB893&gt;0,AB893&lt;1),AB893*100,AB893)/100)</f>
        <v/>
      </c>
      <c r="Y893" s="5">
        <f>IF(D893="","",AA893*Z893/100)</f>
        <v/>
      </c>
      <c r="Z893" s="5">
        <f>IF(D893="","",W893-X893)</f>
        <v/>
      </c>
      <c r="AC893" s="5">
        <f>IF(D893="","",Z893-Y893)</f>
        <v/>
      </c>
      <c r="AD893">
        <f>IF(D893="","",N(AD892)+IF(MATCH(D893,$D$2:$D$2501,0)=ROW()-1,1,0))</f>
        <v/>
      </c>
    </row>
    <row r="894">
      <c r="X894" s="5">
        <f>IF(D894="","",W894*IF(AND(ISNUMBER(AB894),AB894&gt;0,AB894&lt;1),AB894*100,AB894)/100)</f>
        <v/>
      </c>
      <c r="Y894" s="5">
        <f>IF(D894="","",AA894*Z894/100)</f>
        <v/>
      </c>
      <c r="Z894" s="5">
        <f>IF(D894="","",W894-X894)</f>
        <v/>
      </c>
      <c r="AC894" s="5">
        <f>IF(D894="","",Z894-Y894)</f>
        <v/>
      </c>
      <c r="AD894">
        <f>IF(D894="","",N(AD893)+IF(MATCH(D894,$D$2:$D$2501,0)=ROW()-1,1,0))</f>
        <v/>
      </c>
    </row>
    <row r="895">
      <c r="X895" s="5">
        <f>IF(D895="","",W895*IF(AND(ISNUMBER(AB895),AB895&gt;0,AB895&lt;1),AB895*100,AB895)/100)</f>
        <v/>
      </c>
      <c r="Y895" s="5">
        <f>IF(D895="","",AA895*Z895/100)</f>
        <v/>
      </c>
      <c r="Z895" s="5">
        <f>IF(D895="","",W895-X895)</f>
        <v/>
      </c>
      <c r="AC895" s="5">
        <f>IF(D895="","",Z895-Y895)</f>
        <v/>
      </c>
      <c r="AD895">
        <f>IF(D895="","",N(AD894)+IF(MATCH(D895,$D$2:$D$2501,0)=ROW()-1,1,0))</f>
        <v/>
      </c>
    </row>
    <row r="896">
      <c r="X896" s="5">
        <f>IF(D896="","",W896*IF(AND(ISNUMBER(AB896),AB896&gt;0,AB896&lt;1),AB896*100,AB896)/100)</f>
        <v/>
      </c>
      <c r="Y896" s="5">
        <f>IF(D896="","",AA896*Z896/100)</f>
        <v/>
      </c>
      <c r="Z896" s="5">
        <f>IF(D896="","",W896-X896)</f>
        <v/>
      </c>
      <c r="AC896" s="5">
        <f>IF(D896="","",Z896-Y896)</f>
        <v/>
      </c>
      <c r="AD896">
        <f>IF(D896="","",N(AD895)+IF(MATCH(D896,$D$2:$D$2501,0)=ROW()-1,1,0))</f>
        <v/>
      </c>
    </row>
    <row r="897">
      <c r="X897" s="5">
        <f>IF(D897="","",W897*IF(AND(ISNUMBER(AB897),AB897&gt;0,AB897&lt;1),AB897*100,AB897)/100)</f>
        <v/>
      </c>
      <c r="Y897" s="5">
        <f>IF(D897="","",AA897*Z897/100)</f>
        <v/>
      </c>
      <c r="Z897" s="5">
        <f>IF(D897="","",W897-X897)</f>
        <v/>
      </c>
      <c r="AC897" s="5">
        <f>IF(D897="","",Z897-Y897)</f>
        <v/>
      </c>
      <c r="AD897">
        <f>IF(D897="","",N(AD896)+IF(MATCH(D897,$D$2:$D$2501,0)=ROW()-1,1,0))</f>
        <v/>
      </c>
    </row>
    <row r="898">
      <c r="X898" s="5">
        <f>IF(D898="","",W898*IF(AND(ISNUMBER(AB898),AB898&gt;0,AB898&lt;1),AB898*100,AB898)/100)</f>
        <v/>
      </c>
      <c r="Y898" s="5">
        <f>IF(D898="","",AA898*Z898/100)</f>
        <v/>
      </c>
      <c r="Z898" s="5">
        <f>IF(D898="","",W898-X898)</f>
        <v/>
      </c>
      <c r="AC898" s="5">
        <f>IF(D898="","",Z898-Y898)</f>
        <v/>
      </c>
      <c r="AD898">
        <f>IF(D898="","",N(AD897)+IF(MATCH(D898,$D$2:$D$2501,0)=ROW()-1,1,0))</f>
        <v/>
      </c>
    </row>
    <row r="899">
      <c r="X899" s="5">
        <f>IF(D899="","",W899*IF(AND(ISNUMBER(AB899),AB899&gt;0,AB899&lt;1),AB899*100,AB899)/100)</f>
        <v/>
      </c>
      <c r="Y899" s="5">
        <f>IF(D899="","",AA899*Z899/100)</f>
        <v/>
      </c>
      <c r="Z899" s="5">
        <f>IF(D899="","",W899-X899)</f>
        <v/>
      </c>
      <c r="AC899" s="5">
        <f>IF(D899="","",Z899-Y899)</f>
        <v/>
      </c>
      <c r="AD899">
        <f>IF(D899="","",N(AD898)+IF(MATCH(D899,$D$2:$D$2501,0)=ROW()-1,1,0))</f>
        <v/>
      </c>
    </row>
    <row r="900">
      <c r="X900" s="5">
        <f>IF(D900="","",W900*IF(AND(ISNUMBER(AB900),AB900&gt;0,AB900&lt;1),AB900*100,AB900)/100)</f>
        <v/>
      </c>
      <c r="Y900" s="5">
        <f>IF(D900="","",AA900*Z900/100)</f>
        <v/>
      </c>
      <c r="Z900" s="5">
        <f>IF(D900="","",W900-X900)</f>
        <v/>
      </c>
      <c r="AC900" s="5">
        <f>IF(D900="","",Z900-Y900)</f>
        <v/>
      </c>
      <c r="AD900">
        <f>IF(D900="","",N(AD899)+IF(MATCH(D900,$D$2:$D$2501,0)=ROW()-1,1,0))</f>
        <v/>
      </c>
    </row>
    <row r="901">
      <c r="X901" s="5">
        <f>IF(D901="","",W901*IF(AND(ISNUMBER(AB901),AB901&gt;0,AB901&lt;1),AB901*100,AB901)/100)</f>
        <v/>
      </c>
      <c r="Y901" s="5">
        <f>IF(D901="","",AA901*Z901/100)</f>
        <v/>
      </c>
      <c r="Z901" s="5">
        <f>IF(D901="","",W901-X901)</f>
        <v/>
      </c>
      <c r="AC901" s="5">
        <f>IF(D901="","",Z901-Y901)</f>
        <v/>
      </c>
      <c r="AD901">
        <f>IF(D901="","",N(AD900)+IF(MATCH(D901,$D$2:$D$2501,0)=ROW()-1,1,0))</f>
        <v/>
      </c>
    </row>
    <row r="902">
      <c r="X902" s="5">
        <f>IF(D902="","",W902*IF(AND(ISNUMBER(AB902),AB902&gt;0,AB902&lt;1),AB902*100,AB902)/100)</f>
        <v/>
      </c>
      <c r="Y902" s="5">
        <f>IF(D902="","",AA902*Z902/100)</f>
        <v/>
      </c>
      <c r="Z902" s="5">
        <f>IF(D902="","",W902-X902)</f>
        <v/>
      </c>
      <c r="AC902" s="5">
        <f>IF(D902="","",Z902-Y902)</f>
        <v/>
      </c>
      <c r="AD902">
        <f>IF(D902="","",N(AD901)+IF(MATCH(D902,$D$2:$D$2501,0)=ROW()-1,1,0))</f>
        <v/>
      </c>
    </row>
    <row r="903">
      <c r="X903" s="5">
        <f>IF(D903="","",W903*IF(AND(ISNUMBER(AB903),AB903&gt;0,AB903&lt;1),AB903*100,AB903)/100)</f>
        <v/>
      </c>
      <c r="Y903" s="5">
        <f>IF(D903="","",AA903*Z903/100)</f>
        <v/>
      </c>
      <c r="Z903" s="5">
        <f>IF(D903="","",W903-X903)</f>
        <v/>
      </c>
      <c r="AC903" s="5">
        <f>IF(D903="","",Z903-Y903)</f>
        <v/>
      </c>
      <c r="AD903">
        <f>IF(D903="","",N(AD902)+IF(MATCH(D903,$D$2:$D$2501,0)=ROW()-1,1,0))</f>
        <v/>
      </c>
    </row>
    <row r="904">
      <c r="X904" s="5">
        <f>IF(D904="","",W904*IF(AND(ISNUMBER(AB904),AB904&gt;0,AB904&lt;1),AB904*100,AB904)/100)</f>
        <v/>
      </c>
      <c r="Y904" s="5">
        <f>IF(D904="","",AA904*Z904/100)</f>
        <v/>
      </c>
      <c r="Z904" s="5">
        <f>IF(D904="","",W904-X904)</f>
        <v/>
      </c>
      <c r="AC904" s="5">
        <f>IF(D904="","",Z904-Y904)</f>
        <v/>
      </c>
      <c r="AD904">
        <f>IF(D904="","",N(AD903)+IF(MATCH(D904,$D$2:$D$2501,0)=ROW()-1,1,0))</f>
        <v/>
      </c>
    </row>
    <row r="905">
      <c r="X905" s="5">
        <f>IF(D905="","",W905*IF(AND(ISNUMBER(AB905),AB905&gt;0,AB905&lt;1),AB905*100,AB905)/100)</f>
        <v/>
      </c>
      <c r="Y905" s="5">
        <f>IF(D905="","",AA905*Z905/100)</f>
        <v/>
      </c>
      <c r="Z905" s="5">
        <f>IF(D905="","",W905-X905)</f>
        <v/>
      </c>
      <c r="AC905" s="5">
        <f>IF(D905="","",Z905-Y905)</f>
        <v/>
      </c>
      <c r="AD905">
        <f>IF(D905="","",N(AD904)+IF(MATCH(D905,$D$2:$D$2501,0)=ROW()-1,1,0))</f>
        <v/>
      </c>
    </row>
    <row r="906">
      <c r="X906" s="5">
        <f>IF(D906="","",W906*IF(AND(ISNUMBER(AB906),AB906&gt;0,AB906&lt;1),AB906*100,AB906)/100)</f>
        <v/>
      </c>
      <c r="Y906" s="5">
        <f>IF(D906="","",AA906*Z906/100)</f>
        <v/>
      </c>
      <c r="Z906" s="5">
        <f>IF(D906="","",W906-X906)</f>
        <v/>
      </c>
      <c r="AC906" s="5">
        <f>IF(D906="","",Z906-Y906)</f>
        <v/>
      </c>
      <c r="AD906">
        <f>IF(D906="","",N(AD905)+IF(MATCH(D906,$D$2:$D$2501,0)=ROW()-1,1,0))</f>
        <v/>
      </c>
    </row>
    <row r="907">
      <c r="X907" s="5">
        <f>IF(D907="","",W907*IF(AND(ISNUMBER(AB907),AB907&gt;0,AB907&lt;1),AB907*100,AB907)/100)</f>
        <v/>
      </c>
      <c r="Y907" s="5">
        <f>IF(D907="","",AA907*Z907/100)</f>
        <v/>
      </c>
      <c r="Z907" s="5">
        <f>IF(D907="","",W907-X907)</f>
        <v/>
      </c>
      <c r="AC907" s="5">
        <f>IF(D907="","",Z907-Y907)</f>
        <v/>
      </c>
      <c r="AD907">
        <f>IF(D907="","",N(AD906)+IF(MATCH(D907,$D$2:$D$2501,0)=ROW()-1,1,0))</f>
        <v/>
      </c>
    </row>
    <row r="908">
      <c r="X908" s="5">
        <f>IF(D908="","",W908*IF(AND(ISNUMBER(AB908),AB908&gt;0,AB908&lt;1),AB908*100,AB908)/100)</f>
        <v/>
      </c>
      <c r="Y908" s="5">
        <f>IF(D908="","",AA908*Z908/100)</f>
        <v/>
      </c>
      <c r="Z908" s="5">
        <f>IF(D908="","",W908-X908)</f>
        <v/>
      </c>
      <c r="AC908" s="5">
        <f>IF(D908="","",Z908-Y908)</f>
        <v/>
      </c>
      <c r="AD908">
        <f>IF(D908="","",N(AD907)+IF(MATCH(D908,$D$2:$D$2501,0)=ROW()-1,1,0))</f>
        <v/>
      </c>
    </row>
    <row r="909">
      <c r="X909" s="5">
        <f>IF(D909="","",W909*IF(AND(ISNUMBER(AB909),AB909&gt;0,AB909&lt;1),AB909*100,AB909)/100)</f>
        <v/>
      </c>
      <c r="Y909" s="5">
        <f>IF(D909="","",AA909*Z909/100)</f>
        <v/>
      </c>
      <c r="Z909" s="5">
        <f>IF(D909="","",W909-X909)</f>
        <v/>
      </c>
      <c r="AC909" s="5">
        <f>IF(D909="","",Z909-Y909)</f>
        <v/>
      </c>
      <c r="AD909">
        <f>IF(D909="","",N(AD908)+IF(MATCH(D909,$D$2:$D$2501,0)=ROW()-1,1,0))</f>
        <v/>
      </c>
    </row>
    <row r="910">
      <c r="X910" s="5">
        <f>IF(D910="","",W910*IF(AND(ISNUMBER(AB910),AB910&gt;0,AB910&lt;1),AB910*100,AB910)/100)</f>
        <v/>
      </c>
      <c r="Y910" s="5">
        <f>IF(D910="","",AA910*Z910/100)</f>
        <v/>
      </c>
      <c r="Z910" s="5">
        <f>IF(D910="","",W910-X910)</f>
        <v/>
      </c>
      <c r="AC910" s="5">
        <f>IF(D910="","",Z910-Y910)</f>
        <v/>
      </c>
      <c r="AD910">
        <f>IF(D910="","",N(AD909)+IF(MATCH(D910,$D$2:$D$2501,0)=ROW()-1,1,0))</f>
        <v/>
      </c>
    </row>
    <row r="911">
      <c r="X911" s="5">
        <f>IF(D911="","",W911*IF(AND(ISNUMBER(AB911),AB911&gt;0,AB911&lt;1),AB911*100,AB911)/100)</f>
        <v/>
      </c>
      <c r="Y911" s="5">
        <f>IF(D911="","",AA911*Z911/100)</f>
        <v/>
      </c>
      <c r="Z911" s="5">
        <f>IF(D911="","",W911-X911)</f>
        <v/>
      </c>
      <c r="AC911" s="5">
        <f>IF(D911="","",Z911-Y911)</f>
        <v/>
      </c>
      <c r="AD911">
        <f>IF(D911="","",N(AD910)+IF(MATCH(D911,$D$2:$D$2501,0)=ROW()-1,1,0))</f>
        <v/>
      </c>
    </row>
    <row r="912">
      <c r="X912" s="5">
        <f>IF(D912="","",W912*IF(AND(ISNUMBER(AB912),AB912&gt;0,AB912&lt;1),AB912*100,AB912)/100)</f>
        <v/>
      </c>
      <c r="Y912" s="5">
        <f>IF(D912="","",AA912*Z912/100)</f>
        <v/>
      </c>
      <c r="Z912" s="5">
        <f>IF(D912="","",W912-X912)</f>
        <v/>
      </c>
      <c r="AC912" s="5">
        <f>IF(D912="","",Z912-Y912)</f>
        <v/>
      </c>
      <c r="AD912">
        <f>IF(D912="","",N(AD911)+IF(MATCH(D912,$D$2:$D$2501,0)=ROW()-1,1,0))</f>
        <v/>
      </c>
    </row>
    <row r="913">
      <c r="X913" s="5">
        <f>IF(D913="","",W913*IF(AND(ISNUMBER(AB913),AB913&gt;0,AB913&lt;1),AB913*100,AB913)/100)</f>
        <v/>
      </c>
      <c r="Y913" s="5">
        <f>IF(D913="","",AA913*Z913/100)</f>
        <v/>
      </c>
      <c r="Z913" s="5">
        <f>IF(D913="","",W913-X913)</f>
        <v/>
      </c>
      <c r="AC913" s="5">
        <f>IF(D913="","",Z913-Y913)</f>
        <v/>
      </c>
      <c r="AD913">
        <f>IF(D913="","",N(AD912)+IF(MATCH(D913,$D$2:$D$2501,0)=ROW()-1,1,0))</f>
        <v/>
      </c>
    </row>
    <row r="914">
      <c r="X914" s="5">
        <f>IF(D914="","",W914*IF(AND(ISNUMBER(AB914),AB914&gt;0,AB914&lt;1),AB914*100,AB914)/100)</f>
        <v/>
      </c>
      <c r="Y914" s="5">
        <f>IF(D914="","",AA914*Z914/100)</f>
        <v/>
      </c>
      <c r="Z914" s="5">
        <f>IF(D914="","",W914-X914)</f>
        <v/>
      </c>
      <c r="AC914" s="5">
        <f>IF(D914="","",Z914-Y914)</f>
        <v/>
      </c>
      <c r="AD914">
        <f>IF(D914="","",N(AD913)+IF(MATCH(D914,$D$2:$D$2501,0)=ROW()-1,1,0))</f>
        <v/>
      </c>
    </row>
    <row r="915">
      <c r="X915" s="5">
        <f>IF(D915="","",W915*IF(AND(ISNUMBER(AB915),AB915&gt;0,AB915&lt;1),AB915*100,AB915)/100)</f>
        <v/>
      </c>
      <c r="Y915" s="5">
        <f>IF(D915="","",AA915*Z915/100)</f>
        <v/>
      </c>
      <c r="Z915" s="5">
        <f>IF(D915="","",W915-X915)</f>
        <v/>
      </c>
      <c r="AC915" s="5">
        <f>IF(D915="","",Z915-Y915)</f>
        <v/>
      </c>
      <c r="AD915">
        <f>IF(D915="","",N(AD914)+IF(MATCH(D915,$D$2:$D$2501,0)=ROW()-1,1,0))</f>
        <v/>
      </c>
    </row>
    <row r="916">
      <c r="X916" s="5">
        <f>IF(D916="","",W916*IF(AND(ISNUMBER(AB916),AB916&gt;0,AB916&lt;1),AB916*100,AB916)/100)</f>
        <v/>
      </c>
      <c r="Y916" s="5">
        <f>IF(D916="","",AA916*Z916/100)</f>
        <v/>
      </c>
      <c r="Z916" s="5">
        <f>IF(D916="","",W916-X916)</f>
        <v/>
      </c>
      <c r="AC916" s="5">
        <f>IF(D916="","",Z916-Y916)</f>
        <v/>
      </c>
      <c r="AD916">
        <f>IF(D916="","",N(AD915)+IF(MATCH(D916,$D$2:$D$2501,0)=ROW()-1,1,0))</f>
        <v/>
      </c>
    </row>
    <row r="917">
      <c r="X917" s="5">
        <f>IF(D917="","",W917*IF(AND(ISNUMBER(AB917),AB917&gt;0,AB917&lt;1),AB917*100,AB917)/100)</f>
        <v/>
      </c>
      <c r="Y917" s="5">
        <f>IF(D917="","",AA917*Z917/100)</f>
        <v/>
      </c>
      <c r="Z917" s="5">
        <f>IF(D917="","",W917-X917)</f>
        <v/>
      </c>
      <c r="AC917" s="5">
        <f>IF(D917="","",Z917-Y917)</f>
        <v/>
      </c>
      <c r="AD917">
        <f>IF(D917="","",N(AD916)+IF(MATCH(D917,$D$2:$D$2501,0)=ROW()-1,1,0))</f>
        <v/>
      </c>
    </row>
    <row r="918">
      <c r="X918" s="5">
        <f>IF(D918="","",W918*IF(AND(ISNUMBER(AB918),AB918&gt;0,AB918&lt;1),AB918*100,AB918)/100)</f>
        <v/>
      </c>
      <c r="Y918" s="5">
        <f>IF(D918="","",AA918*Z918/100)</f>
        <v/>
      </c>
      <c r="Z918" s="5">
        <f>IF(D918="","",W918-X918)</f>
        <v/>
      </c>
      <c r="AC918" s="5">
        <f>IF(D918="","",Z918-Y918)</f>
        <v/>
      </c>
      <c r="AD918">
        <f>IF(D918="","",N(AD917)+IF(MATCH(D918,$D$2:$D$2501,0)=ROW()-1,1,0))</f>
        <v/>
      </c>
    </row>
    <row r="919">
      <c r="X919" s="5">
        <f>IF(D919="","",W919*IF(AND(ISNUMBER(AB919),AB919&gt;0,AB919&lt;1),AB919*100,AB919)/100)</f>
        <v/>
      </c>
      <c r="Y919" s="5">
        <f>IF(D919="","",AA919*Z919/100)</f>
        <v/>
      </c>
      <c r="Z919" s="5">
        <f>IF(D919="","",W919-X919)</f>
        <v/>
      </c>
      <c r="AC919" s="5">
        <f>IF(D919="","",Z919-Y919)</f>
        <v/>
      </c>
      <c r="AD919">
        <f>IF(D919="","",N(AD918)+IF(MATCH(D919,$D$2:$D$2501,0)=ROW()-1,1,0))</f>
        <v/>
      </c>
    </row>
    <row r="920">
      <c r="X920" s="5">
        <f>IF(D920="","",W920*IF(AND(ISNUMBER(AB920),AB920&gt;0,AB920&lt;1),AB920*100,AB920)/100)</f>
        <v/>
      </c>
      <c r="Y920" s="5">
        <f>IF(D920="","",AA920*Z920/100)</f>
        <v/>
      </c>
      <c r="Z920" s="5">
        <f>IF(D920="","",W920-X920)</f>
        <v/>
      </c>
      <c r="AC920" s="5">
        <f>IF(D920="","",Z920-Y920)</f>
        <v/>
      </c>
      <c r="AD920">
        <f>IF(D920="","",N(AD919)+IF(MATCH(D920,$D$2:$D$2501,0)=ROW()-1,1,0))</f>
        <v/>
      </c>
    </row>
    <row r="921">
      <c r="X921" s="5">
        <f>IF(D921="","",W921*IF(AND(ISNUMBER(AB921),AB921&gt;0,AB921&lt;1),AB921*100,AB921)/100)</f>
        <v/>
      </c>
      <c r="Y921" s="5">
        <f>IF(D921="","",AA921*Z921/100)</f>
        <v/>
      </c>
      <c r="Z921" s="5">
        <f>IF(D921="","",W921-X921)</f>
        <v/>
      </c>
      <c r="AC921" s="5">
        <f>IF(D921="","",Z921-Y921)</f>
        <v/>
      </c>
      <c r="AD921">
        <f>IF(D921="","",N(AD920)+IF(MATCH(D921,$D$2:$D$2501,0)=ROW()-1,1,0))</f>
        <v/>
      </c>
    </row>
    <row r="922">
      <c r="X922" s="5">
        <f>IF(D922="","",W922*IF(AND(ISNUMBER(AB922),AB922&gt;0,AB922&lt;1),AB922*100,AB922)/100)</f>
        <v/>
      </c>
      <c r="Y922" s="5">
        <f>IF(D922="","",AA922*Z922/100)</f>
        <v/>
      </c>
      <c r="Z922" s="5">
        <f>IF(D922="","",W922-X922)</f>
        <v/>
      </c>
      <c r="AC922" s="5">
        <f>IF(D922="","",Z922-Y922)</f>
        <v/>
      </c>
      <c r="AD922">
        <f>IF(D922="","",N(AD921)+IF(MATCH(D922,$D$2:$D$2501,0)=ROW()-1,1,0))</f>
        <v/>
      </c>
    </row>
    <row r="923">
      <c r="X923" s="5">
        <f>IF(D923="","",W923*IF(AND(ISNUMBER(AB923),AB923&gt;0,AB923&lt;1),AB923*100,AB923)/100)</f>
        <v/>
      </c>
      <c r="Y923" s="5">
        <f>IF(D923="","",AA923*Z923/100)</f>
        <v/>
      </c>
      <c r="Z923" s="5">
        <f>IF(D923="","",W923-X923)</f>
        <v/>
      </c>
      <c r="AC923" s="5">
        <f>IF(D923="","",Z923-Y923)</f>
        <v/>
      </c>
      <c r="AD923">
        <f>IF(D923="","",N(AD922)+IF(MATCH(D923,$D$2:$D$2501,0)=ROW()-1,1,0))</f>
        <v/>
      </c>
    </row>
    <row r="924">
      <c r="X924" s="5">
        <f>IF(D924="","",W924*IF(AND(ISNUMBER(AB924),AB924&gt;0,AB924&lt;1),AB924*100,AB924)/100)</f>
        <v/>
      </c>
      <c r="Y924" s="5">
        <f>IF(D924="","",AA924*Z924/100)</f>
        <v/>
      </c>
      <c r="Z924" s="5">
        <f>IF(D924="","",W924-X924)</f>
        <v/>
      </c>
      <c r="AC924" s="5">
        <f>IF(D924="","",Z924-Y924)</f>
        <v/>
      </c>
      <c r="AD924">
        <f>IF(D924="","",N(AD923)+IF(MATCH(D924,$D$2:$D$2501,0)=ROW()-1,1,0))</f>
        <v/>
      </c>
    </row>
    <row r="925">
      <c r="X925" s="5">
        <f>IF(D925="","",W925*IF(AND(ISNUMBER(AB925),AB925&gt;0,AB925&lt;1),AB925*100,AB925)/100)</f>
        <v/>
      </c>
      <c r="Y925" s="5">
        <f>IF(D925="","",AA925*Z925/100)</f>
        <v/>
      </c>
      <c r="Z925" s="5">
        <f>IF(D925="","",W925-X925)</f>
        <v/>
      </c>
      <c r="AC925" s="5">
        <f>IF(D925="","",Z925-Y925)</f>
        <v/>
      </c>
      <c r="AD925">
        <f>IF(D925="","",N(AD924)+IF(MATCH(D925,$D$2:$D$2501,0)=ROW()-1,1,0))</f>
        <v/>
      </c>
    </row>
    <row r="926">
      <c r="X926" s="5">
        <f>IF(D926="","",W926*IF(AND(ISNUMBER(AB926),AB926&gt;0,AB926&lt;1),AB926*100,AB926)/100)</f>
        <v/>
      </c>
      <c r="Y926" s="5">
        <f>IF(D926="","",AA926*Z926/100)</f>
        <v/>
      </c>
      <c r="Z926" s="5">
        <f>IF(D926="","",W926-X926)</f>
        <v/>
      </c>
      <c r="AC926" s="5">
        <f>IF(D926="","",Z926-Y926)</f>
        <v/>
      </c>
      <c r="AD926">
        <f>IF(D926="","",N(AD925)+IF(MATCH(D926,$D$2:$D$2501,0)=ROW()-1,1,0))</f>
        <v/>
      </c>
    </row>
    <row r="927">
      <c r="X927" s="5">
        <f>IF(D927="","",W927*IF(AND(ISNUMBER(AB927),AB927&gt;0,AB927&lt;1),AB927*100,AB927)/100)</f>
        <v/>
      </c>
      <c r="Y927" s="5">
        <f>IF(D927="","",AA927*Z927/100)</f>
        <v/>
      </c>
      <c r="Z927" s="5">
        <f>IF(D927="","",W927-X927)</f>
        <v/>
      </c>
      <c r="AC927" s="5">
        <f>IF(D927="","",Z927-Y927)</f>
        <v/>
      </c>
      <c r="AD927">
        <f>IF(D927="","",N(AD926)+IF(MATCH(D927,$D$2:$D$2501,0)=ROW()-1,1,0))</f>
        <v/>
      </c>
    </row>
    <row r="928">
      <c r="X928" s="5">
        <f>IF(D928="","",W928*IF(AND(ISNUMBER(AB928),AB928&gt;0,AB928&lt;1),AB928*100,AB928)/100)</f>
        <v/>
      </c>
      <c r="Y928" s="5">
        <f>IF(D928="","",AA928*Z928/100)</f>
        <v/>
      </c>
      <c r="Z928" s="5">
        <f>IF(D928="","",W928-X928)</f>
        <v/>
      </c>
      <c r="AC928" s="5">
        <f>IF(D928="","",Z928-Y928)</f>
        <v/>
      </c>
      <c r="AD928">
        <f>IF(D928="","",N(AD927)+IF(MATCH(D928,$D$2:$D$2501,0)=ROW()-1,1,0))</f>
        <v/>
      </c>
    </row>
    <row r="929">
      <c r="X929" s="5">
        <f>IF(D929="","",W929*IF(AND(ISNUMBER(AB929),AB929&gt;0,AB929&lt;1),AB929*100,AB929)/100)</f>
        <v/>
      </c>
      <c r="Y929" s="5">
        <f>IF(D929="","",AA929*Z929/100)</f>
        <v/>
      </c>
      <c r="Z929" s="5">
        <f>IF(D929="","",W929-X929)</f>
        <v/>
      </c>
      <c r="AC929" s="5">
        <f>IF(D929="","",Z929-Y929)</f>
        <v/>
      </c>
      <c r="AD929">
        <f>IF(D929="","",N(AD928)+IF(MATCH(D929,$D$2:$D$2501,0)=ROW()-1,1,0))</f>
        <v/>
      </c>
    </row>
    <row r="930">
      <c r="X930" s="5">
        <f>IF(D930="","",W930*IF(AND(ISNUMBER(AB930),AB930&gt;0,AB930&lt;1),AB930*100,AB930)/100)</f>
        <v/>
      </c>
      <c r="Y930" s="5">
        <f>IF(D930="","",AA930*Z930/100)</f>
        <v/>
      </c>
      <c r="Z930" s="5">
        <f>IF(D930="","",W930-X930)</f>
        <v/>
      </c>
      <c r="AC930" s="5">
        <f>IF(D930="","",Z930-Y930)</f>
        <v/>
      </c>
      <c r="AD930">
        <f>IF(D930="","",N(AD929)+IF(MATCH(D930,$D$2:$D$2501,0)=ROW()-1,1,0))</f>
        <v/>
      </c>
    </row>
    <row r="931">
      <c r="X931" s="5">
        <f>IF(D931="","",W931*IF(AND(ISNUMBER(AB931),AB931&gt;0,AB931&lt;1),AB931*100,AB931)/100)</f>
        <v/>
      </c>
      <c r="Y931" s="5">
        <f>IF(D931="","",AA931*Z931/100)</f>
        <v/>
      </c>
      <c r="Z931" s="5">
        <f>IF(D931="","",W931-X931)</f>
        <v/>
      </c>
      <c r="AC931" s="5">
        <f>IF(D931="","",Z931-Y931)</f>
        <v/>
      </c>
      <c r="AD931">
        <f>IF(D931="","",N(AD930)+IF(MATCH(D931,$D$2:$D$2501,0)=ROW()-1,1,0))</f>
        <v/>
      </c>
    </row>
    <row r="932">
      <c r="X932" s="5">
        <f>IF(D932="","",W932*IF(AND(ISNUMBER(AB932),AB932&gt;0,AB932&lt;1),AB932*100,AB932)/100)</f>
        <v/>
      </c>
      <c r="Y932" s="5">
        <f>IF(D932="","",AA932*Z932/100)</f>
        <v/>
      </c>
      <c r="Z932" s="5">
        <f>IF(D932="","",W932-X932)</f>
        <v/>
      </c>
      <c r="AC932" s="5">
        <f>IF(D932="","",Z932-Y932)</f>
        <v/>
      </c>
      <c r="AD932">
        <f>IF(D932="","",N(AD931)+IF(MATCH(D932,$D$2:$D$2501,0)=ROW()-1,1,0))</f>
        <v/>
      </c>
    </row>
    <row r="933">
      <c r="X933" s="5">
        <f>IF(D933="","",W933*IF(AND(ISNUMBER(AB933),AB933&gt;0,AB933&lt;1),AB933*100,AB933)/100)</f>
        <v/>
      </c>
      <c r="Y933" s="5">
        <f>IF(D933="","",AA933*Z933/100)</f>
        <v/>
      </c>
      <c r="Z933" s="5">
        <f>IF(D933="","",W933-X933)</f>
        <v/>
      </c>
      <c r="AC933" s="5">
        <f>IF(D933="","",Z933-Y933)</f>
        <v/>
      </c>
      <c r="AD933">
        <f>IF(D933="","",N(AD932)+IF(MATCH(D933,$D$2:$D$2501,0)=ROW()-1,1,0))</f>
        <v/>
      </c>
    </row>
    <row r="934">
      <c r="X934" s="5">
        <f>IF(D934="","",W934*IF(AND(ISNUMBER(AB934),AB934&gt;0,AB934&lt;1),AB934*100,AB934)/100)</f>
        <v/>
      </c>
      <c r="Y934" s="5">
        <f>IF(D934="","",AA934*Z934/100)</f>
        <v/>
      </c>
      <c r="Z934" s="5">
        <f>IF(D934="","",W934-X934)</f>
        <v/>
      </c>
      <c r="AC934" s="5">
        <f>IF(D934="","",Z934-Y934)</f>
        <v/>
      </c>
      <c r="AD934">
        <f>IF(D934="","",N(AD933)+IF(MATCH(D934,$D$2:$D$2501,0)=ROW()-1,1,0))</f>
        <v/>
      </c>
    </row>
    <row r="935">
      <c r="X935" s="5">
        <f>IF(D935="","",W935*IF(AND(ISNUMBER(AB935),AB935&gt;0,AB935&lt;1),AB935*100,AB935)/100)</f>
        <v/>
      </c>
      <c r="Y935" s="5">
        <f>IF(D935="","",AA935*Z935/100)</f>
        <v/>
      </c>
      <c r="Z935" s="5">
        <f>IF(D935="","",W935-X935)</f>
        <v/>
      </c>
      <c r="AC935" s="5">
        <f>IF(D935="","",Z935-Y935)</f>
        <v/>
      </c>
      <c r="AD935">
        <f>IF(D935="","",N(AD934)+IF(MATCH(D935,$D$2:$D$2501,0)=ROW()-1,1,0))</f>
        <v/>
      </c>
    </row>
    <row r="936">
      <c r="X936" s="5">
        <f>IF(D936="","",W936*IF(AND(ISNUMBER(AB936),AB936&gt;0,AB936&lt;1),AB936*100,AB936)/100)</f>
        <v/>
      </c>
      <c r="Y936" s="5">
        <f>IF(D936="","",AA936*Z936/100)</f>
        <v/>
      </c>
      <c r="Z936" s="5">
        <f>IF(D936="","",W936-X936)</f>
        <v/>
      </c>
      <c r="AC936" s="5">
        <f>IF(D936="","",Z936-Y936)</f>
        <v/>
      </c>
      <c r="AD936">
        <f>IF(D936="","",N(AD935)+IF(MATCH(D936,$D$2:$D$2501,0)=ROW()-1,1,0))</f>
        <v/>
      </c>
    </row>
    <row r="937">
      <c r="X937" s="5">
        <f>IF(D937="","",W937*IF(AND(ISNUMBER(AB937),AB937&gt;0,AB937&lt;1),AB937*100,AB937)/100)</f>
        <v/>
      </c>
      <c r="Y937" s="5">
        <f>IF(D937="","",AA937*Z937/100)</f>
        <v/>
      </c>
      <c r="Z937" s="5">
        <f>IF(D937="","",W937-X937)</f>
        <v/>
      </c>
      <c r="AC937" s="5">
        <f>IF(D937="","",Z937-Y937)</f>
        <v/>
      </c>
      <c r="AD937">
        <f>IF(D937="","",N(AD936)+IF(MATCH(D937,$D$2:$D$2501,0)=ROW()-1,1,0))</f>
        <v/>
      </c>
    </row>
    <row r="938">
      <c r="X938" s="5">
        <f>IF(D938="","",W938*IF(AND(ISNUMBER(AB938),AB938&gt;0,AB938&lt;1),AB938*100,AB938)/100)</f>
        <v/>
      </c>
      <c r="Y938" s="5">
        <f>IF(D938="","",AA938*Z938/100)</f>
        <v/>
      </c>
      <c r="Z938" s="5">
        <f>IF(D938="","",W938-X938)</f>
        <v/>
      </c>
      <c r="AC938" s="5">
        <f>IF(D938="","",Z938-Y938)</f>
        <v/>
      </c>
      <c r="AD938">
        <f>IF(D938="","",N(AD937)+IF(MATCH(D938,$D$2:$D$2501,0)=ROW()-1,1,0))</f>
        <v/>
      </c>
    </row>
    <row r="939">
      <c r="X939" s="5">
        <f>IF(D939="","",W939*IF(AND(ISNUMBER(AB939),AB939&gt;0,AB939&lt;1),AB939*100,AB939)/100)</f>
        <v/>
      </c>
      <c r="Y939" s="5">
        <f>IF(D939="","",AA939*Z939/100)</f>
        <v/>
      </c>
      <c r="Z939" s="5">
        <f>IF(D939="","",W939-X939)</f>
        <v/>
      </c>
      <c r="AC939" s="5">
        <f>IF(D939="","",Z939-Y939)</f>
        <v/>
      </c>
      <c r="AD939">
        <f>IF(D939="","",N(AD938)+IF(MATCH(D939,$D$2:$D$2501,0)=ROW()-1,1,0))</f>
        <v/>
      </c>
    </row>
    <row r="940">
      <c r="X940" s="5">
        <f>IF(D940="","",W940*IF(AND(ISNUMBER(AB940),AB940&gt;0,AB940&lt;1),AB940*100,AB940)/100)</f>
        <v/>
      </c>
      <c r="Y940" s="5">
        <f>IF(D940="","",AA940*Z940/100)</f>
        <v/>
      </c>
      <c r="Z940" s="5">
        <f>IF(D940="","",W940-X940)</f>
        <v/>
      </c>
      <c r="AC940" s="5">
        <f>IF(D940="","",Z940-Y940)</f>
        <v/>
      </c>
      <c r="AD940">
        <f>IF(D940="","",N(AD939)+IF(MATCH(D940,$D$2:$D$2501,0)=ROW()-1,1,0))</f>
        <v/>
      </c>
    </row>
    <row r="941">
      <c r="X941" s="5">
        <f>IF(D941="","",W941*IF(AND(ISNUMBER(AB941),AB941&gt;0,AB941&lt;1),AB941*100,AB941)/100)</f>
        <v/>
      </c>
      <c r="Y941" s="5">
        <f>IF(D941="","",AA941*Z941/100)</f>
        <v/>
      </c>
      <c r="Z941" s="5">
        <f>IF(D941="","",W941-X941)</f>
        <v/>
      </c>
      <c r="AC941" s="5">
        <f>IF(D941="","",Z941-Y941)</f>
        <v/>
      </c>
      <c r="AD941">
        <f>IF(D941="","",N(AD940)+IF(MATCH(D941,$D$2:$D$2501,0)=ROW()-1,1,0))</f>
        <v/>
      </c>
    </row>
    <row r="942">
      <c r="X942" s="5">
        <f>IF(D942="","",W942*IF(AND(ISNUMBER(AB942),AB942&gt;0,AB942&lt;1),AB942*100,AB942)/100)</f>
        <v/>
      </c>
      <c r="Y942" s="5">
        <f>IF(D942="","",AA942*Z942/100)</f>
        <v/>
      </c>
      <c r="Z942" s="5">
        <f>IF(D942="","",W942-X942)</f>
        <v/>
      </c>
      <c r="AC942" s="5">
        <f>IF(D942="","",Z942-Y942)</f>
        <v/>
      </c>
      <c r="AD942">
        <f>IF(D942="","",N(AD941)+IF(MATCH(D942,$D$2:$D$2501,0)=ROW()-1,1,0))</f>
        <v/>
      </c>
    </row>
    <row r="943">
      <c r="X943" s="5">
        <f>IF(D943="","",W943*IF(AND(ISNUMBER(AB943),AB943&gt;0,AB943&lt;1),AB943*100,AB943)/100)</f>
        <v/>
      </c>
      <c r="Y943" s="5">
        <f>IF(D943="","",AA943*Z943/100)</f>
        <v/>
      </c>
      <c r="Z943" s="5">
        <f>IF(D943="","",W943-X943)</f>
        <v/>
      </c>
      <c r="AC943" s="5">
        <f>IF(D943="","",Z943-Y943)</f>
        <v/>
      </c>
      <c r="AD943">
        <f>IF(D943="","",N(AD942)+IF(MATCH(D943,$D$2:$D$2501,0)=ROW()-1,1,0))</f>
        <v/>
      </c>
    </row>
    <row r="944">
      <c r="X944" s="5">
        <f>IF(D944="","",W944*IF(AND(ISNUMBER(AB944),AB944&gt;0,AB944&lt;1),AB944*100,AB944)/100)</f>
        <v/>
      </c>
      <c r="Y944" s="5">
        <f>IF(D944="","",AA944*Z944/100)</f>
        <v/>
      </c>
      <c r="Z944" s="5">
        <f>IF(D944="","",W944-X944)</f>
        <v/>
      </c>
      <c r="AC944" s="5">
        <f>IF(D944="","",Z944-Y944)</f>
        <v/>
      </c>
      <c r="AD944">
        <f>IF(D944="","",N(AD943)+IF(MATCH(D944,$D$2:$D$2501,0)=ROW()-1,1,0))</f>
        <v/>
      </c>
    </row>
    <row r="945">
      <c r="X945" s="5">
        <f>IF(D945="","",W945*IF(AND(ISNUMBER(AB945),AB945&gt;0,AB945&lt;1),AB945*100,AB945)/100)</f>
        <v/>
      </c>
      <c r="Y945" s="5">
        <f>IF(D945="","",AA945*Z945/100)</f>
        <v/>
      </c>
      <c r="Z945" s="5">
        <f>IF(D945="","",W945-X945)</f>
        <v/>
      </c>
      <c r="AC945" s="5">
        <f>IF(D945="","",Z945-Y945)</f>
        <v/>
      </c>
      <c r="AD945">
        <f>IF(D945="","",N(AD944)+IF(MATCH(D945,$D$2:$D$2501,0)=ROW()-1,1,0))</f>
        <v/>
      </c>
    </row>
    <row r="946">
      <c r="X946" s="5">
        <f>IF(D946="","",W946*IF(AND(ISNUMBER(AB946),AB946&gt;0,AB946&lt;1),AB946*100,AB946)/100)</f>
        <v/>
      </c>
      <c r="Y946" s="5">
        <f>IF(D946="","",AA946*Z946/100)</f>
        <v/>
      </c>
      <c r="Z946" s="5">
        <f>IF(D946="","",W946-X946)</f>
        <v/>
      </c>
      <c r="AC946" s="5">
        <f>IF(D946="","",Z946-Y946)</f>
        <v/>
      </c>
      <c r="AD946">
        <f>IF(D946="","",N(AD945)+IF(MATCH(D946,$D$2:$D$2501,0)=ROW()-1,1,0))</f>
        <v/>
      </c>
    </row>
    <row r="947">
      <c r="X947" s="5">
        <f>IF(D947="","",W947*IF(AND(ISNUMBER(AB947),AB947&gt;0,AB947&lt;1),AB947*100,AB947)/100)</f>
        <v/>
      </c>
      <c r="Y947" s="5">
        <f>IF(D947="","",AA947*Z947/100)</f>
        <v/>
      </c>
      <c r="Z947" s="5">
        <f>IF(D947="","",W947-X947)</f>
        <v/>
      </c>
      <c r="AC947" s="5">
        <f>IF(D947="","",Z947-Y947)</f>
        <v/>
      </c>
      <c r="AD947">
        <f>IF(D947="","",N(AD946)+IF(MATCH(D947,$D$2:$D$2501,0)=ROW()-1,1,0))</f>
        <v/>
      </c>
    </row>
    <row r="948">
      <c r="X948" s="5">
        <f>IF(D948="","",W948*IF(AND(ISNUMBER(AB948),AB948&gt;0,AB948&lt;1),AB948*100,AB948)/100)</f>
        <v/>
      </c>
      <c r="Y948" s="5">
        <f>IF(D948="","",AA948*Z948/100)</f>
        <v/>
      </c>
      <c r="Z948" s="5">
        <f>IF(D948="","",W948-X948)</f>
        <v/>
      </c>
      <c r="AC948" s="5">
        <f>IF(D948="","",Z948-Y948)</f>
        <v/>
      </c>
      <c r="AD948">
        <f>IF(D948="","",N(AD947)+IF(MATCH(D948,$D$2:$D$2501,0)=ROW()-1,1,0))</f>
        <v/>
      </c>
    </row>
    <row r="949">
      <c r="X949" s="5">
        <f>IF(D949="","",W949*IF(AND(ISNUMBER(AB949),AB949&gt;0,AB949&lt;1),AB949*100,AB949)/100)</f>
        <v/>
      </c>
      <c r="Y949" s="5">
        <f>IF(D949="","",AA949*Z949/100)</f>
        <v/>
      </c>
      <c r="Z949" s="5">
        <f>IF(D949="","",W949-X949)</f>
        <v/>
      </c>
      <c r="AC949" s="5">
        <f>IF(D949="","",Z949-Y949)</f>
        <v/>
      </c>
      <c r="AD949">
        <f>IF(D949="","",N(AD948)+IF(MATCH(D949,$D$2:$D$2501,0)=ROW()-1,1,0))</f>
        <v/>
      </c>
    </row>
    <row r="950">
      <c r="X950" s="5">
        <f>IF(D950="","",W950*IF(AND(ISNUMBER(AB950),AB950&gt;0,AB950&lt;1),AB950*100,AB950)/100)</f>
        <v/>
      </c>
      <c r="Y950" s="5">
        <f>IF(D950="","",AA950*Z950/100)</f>
        <v/>
      </c>
      <c r="Z950" s="5">
        <f>IF(D950="","",W950-X950)</f>
        <v/>
      </c>
      <c r="AC950" s="5">
        <f>IF(D950="","",Z950-Y950)</f>
        <v/>
      </c>
      <c r="AD950">
        <f>IF(D950="","",N(AD949)+IF(MATCH(D950,$D$2:$D$2501,0)=ROW()-1,1,0))</f>
        <v/>
      </c>
    </row>
    <row r="951">
      <c r="X951" s="5">
        <f>IF(D951="","",W951*IF(AND(ISNUMBER(AB951),AB951&gt;0,AB951&lt;1),AB951*100,AB951)/100)</f>
        <v/>
      </c>
      <c r="Y951" s="5">
        <f>IF(D951="","",AA951*Z951/100)</f>
        <v/>
      </c>
      <c r="Z951" s="5">
        <f>IF(D951="","",W951-X951)</f>
        <v/>
      </c>
      <c r="AC951" s="5">
        <f>IF(D951="","",Z951-Y951)</f>
        <v/>
      </c>
      <c r="AD951">
        <f>IF(D951="","",N(AD950)+IF(MATCH(D951,$D$2:$D$2501,0)=ROW()-1,1,0))</f>
        <v/>
      </c>
    </row>
    <row r="952">
      <c r="X952" s="5">
        <f>IF(D952="","",W952*IF(AND(ISNUMBER(AB952),AB952&gt;0,AB952&lt;1),AB952*100,AB952)/100)</f>
        <v/>
      </c>
      <c r="Y952" s="5">
        <f>IF(D952="","",AA952*Z952/100)</f>
        <v/>
      </c>
      <c r="Z952" s="5">
        <f>IF(D952="","",W952-X952)</f>
        <v/>
      </c>
      <c r="AC952" s="5">
        <f>IF(D952="","",Z952-Y952)</f>
        <v/>
      </c>
      <c r="AD952">
        <f>IF(D952="","",N(AD951)+IF(MATCH(D952,$D$2:$D$2501,0)=ROW()-1,1,0))</f>
        <v/>
      </c>
    </row>
    <row r="953">
      <c r="X953" s="5">
        <f>IF(D953="","",W953*IF(AND(ISNUMBER(AB953),AB953&gt;0,AB953&lt;1),AB953*100,AB953)/100)</f>
        <v/>
      </c>
      <c r="Y953" s="5">
        <f>IF(D953="","",AA953*Z953/100)</f>
        <v/>
      </c>
      <c r="Z953" s="5">
        <f>IF(D953="","",W953-X953)</f>
        <v/>
      </c>
      <c r="AC953" s="5">
        <f>IF(D953="","",Z953-Y953)</f>
        <v/>
      </c>
      <c r="AD953">
        <f>IF(D953="","",N(AD952)+IF(MATCH(D953,$D$2:$D$2501,0)=ROW()-1,1,0))</f>
        <v/>
      </c>
    </row>
    <row r="954">
      <c r="X954" s="5">
        <f>IF(D954="","",W954*IF(AND(ISNUMBER(AB954),AB954&gt;0,AB954&lt;1),AB954*100,AB954)/100)</f>
        <v/>
      </c>
      <c r="Y954" s="5">
        <f>IF(D954="","",AA954*Z954/100)</f>
        <v/>
      </c>
      <c r="Z954" s="5">
        <f>IF(D954="","",W954-X954)</f>
        <v/>
      </c>
      <c r="AC954" s="5">
        <f>IF(D954="","",Z954-Y954)</f>
        <v/>
      </c>
      <c r="AD954">
        <f>IF(D954="","",N(AD953)+IF(MATCH(D954,$D$2:$D$2501,0)=ROW()-1,1,0))</f>
        <v/>
      </c>
    </row>
    <row r="955">
      <c r="X955" s="5">
        <f>IF(D955="","",W955*IF(AND(ISNUMBER(AB955),AB955&gt;0,AB955&lt;1),AB955*100,AB955)/100)</f>
        <v/>
      </c>
      <c r="Y955" s="5">
        <f>IF(D955="","",AA955*Z955/100)</f>
        <v/>
      </c>
      <c r="Z955" s="5">
        <f>IF(D955="","",W955-X955)</f>
        <v/>
      </c>
      <c r="AC955" s="5">
        <f>IF(D955="","",Z955-Y955)</f>
        <v/>
      </c>
      <c r="AD955">
        <f>IF(D955="","",N(AD954)+IF(MATCH(D955,$D$2:$D$2501,0)=ROW()-1,1,0))</f>
        <v/>
      </c>
    </row>
    <row r="956">
      <c r="X956" s="5">
        <f>IF(D956="","",W956*IF(AND(ISNUMBER(AB956),AB956&gt;0,AB956&lt;1),AB956*100,AB956)/100)</f>
        <v/>
      </c>
      <c r="Y956" s="5">
        <f>IF(D956="","",AA956*Z956/100)</f>
        <v/>
      </c>
      <c r="Z956" s="5">
        <f>IF(D956="","",W956-X956)</f>
        <v/>
      </c>
      <c r="AC956" s="5">
        <f>IF(D956="","",Z956-Y956)</f>
        <v/>
      </c>
      <c r="AD956">
        <f>IF(D956="","",N(AD955)+IF(MATCH(D956,$D$2:$D$2501,0)=ROW()-1,1,0))</f>
        <v/>
      </c>
    </row>
    <row r="957">
      <c r="X957" s="5">
        <f>IF(D957="","",W957*IF(AND(ISNUMBER(AB957),AB957&gt;0,AB957&lt;1),AB957*100,AB957)/100)</f>
        <v/>
      </c>
      <c r="Y957" s="5">
        <f>IF(D957="","",AA957*Z957/100)</f>
        <v/>
      </c>
      <c r="Z957" s="5">
        <f>IF(D957="","",W957-X957)</f>
        <v/>
      </c>
      <c r="AC957" s="5">
        <f>IF(D957="","",Z957-Y957)</f>
        <v/>
      </c>
      <c r="AD957">
        <f>IF(D957="","",N(AD956)+IF(MATCH(D957,$D$2:$D$2501,0)=ROW()-1,1,0))</f>
        <v/>
      </c>
    </row>
    <row r="958">
      <c r="X958" s="5">
        <f>IF(D958="","",W958*IF(AND(ISNUMBER(AB958),AB958&gt;0,AB958&lt;1),AB958*100,AB958)/100)</f>
        <v/>
      </c>
      <c r="Y958" s="5">
        <f>IF(D958="","",AA958*Z958/100)</f>
        <v/>
      </c>
      <c r="Z958" s="5">
        <f>IF(D958="","",W958-X958)</f>
        <v/>
      </c>
      <c r="AC958" s="5">
        <f>IF(D958="","",Z958-Y958)</f>
        <v/>
      </c>
      <c r="AD958">
        <f>IF(D958="","",N(AD957)+IF(MATCH(D958,$D$2:$D$2501,0)=ROW()-1,1,0))</f>
        <v/>
      </c>
    </row>
    <row r="959">
      <c r="X959" s="5">
        <f>IF(D959="","",W959*IF(AND(ISNUMBER(AB959),AB959&gt;0,AB959&lt;1),AB959*100,AB959)/100)</f>
        <v/>
      </c>
      <c r="Y959" s="5">
        <f>IF(D959="","",AA959*Z959/100)</f>
        <v/>
      </c>
      <c r="Z959" s="5">
        <f>IF(D959="","",W959-X959)</f>
        <v/>
      </c>
      <c r="AC959" s="5">
        <f>IF(D959="","",Z959-Y959)</f>
        <v/>
      </c>
      <c r="AD959">
        <f>IF(D959="","",N(AD958)+IF(MATCH(D959,$D$2:$D$2501,0)=ROW()-1,1,0))</f>
        <v/>
      </c>
    </row>
    <row r="960">
      <c r="X960" s="5">
        <f>IF(D960="","",W960*IF(AND(ISNUMBER(AB960),AB960&gt;0,AB960&lt;1),AB960*100,AB960)/100)</f>
        <v/>
      </c>
      <c r="Y960" s="5">
        <f>IF(D960="","",AA960*Z960/100)</f>
        <v/>
      </c>
      <c r="Z960" s="5">
        <f>IF(D960="","",W960-X960)</f>
        <v/>
      </c>
      <c r="AC960" s="5">
        <f>IF(D960="","",Z960-Y960)</f>
        <v/>
      </c>
      <c r="AD960">
        <f>IF(D960="","",N(AD959)+IF(MATCH(D960,$D$2:$D$2501,0)=ROW()-1,1,0))</f>
        <v/>
      </c>
    </row>
    <row r="961">
      <c r="X961" s="5">
        <f>IF(D961="","",W961*IF(AND(ISNUMBER(AB961),AB961&gt;0,AB961&lt;1),AB961*100,AB961)/100)</f>
        <v/>
      </c>
      <c r="Y961" s="5">
        <f>IF(D961="","",AA961*Z961/100)</f>
        <v/>
      </c>
      <c r="Z961" s="5">
        <f>IF(D961="","",W961-X961)</f>
        <v/>
      </c>
      <c r="AC961" s="5">
        <f>IF(D961="","",Z961-Y961)</f>
        <v/>
      </c>
      <c r="AD961">
        <f>IF(D961="","",N(AD960)+IF(MATCH(D961,$D$2:$D$2501,0)=ROW()-1,1,0))</f>
        <v/>
      </c>
    </row>
    <row r="962">
      <c r="X962" s="5">
        <f>IF(D962="","",W962*IF(AND(ISNUMBER(AB962),AB962&gt;0,AB962&lt;1),AB962*100,AB962)/100)</f>
        <v/>
      </c>
      <c r="Y962" s="5">
        <f>IF(D962="","",AA962*Z962/100)</f>
        <v/>
      </c>
      <c r="Z962" s="5">
        <f>IF(D962="","",W962-X962)</f>
        <v/>
      </c>
      <c r="AC962" s="5">
        <f>IF(D962="","",Z962-Y962)</f>
        <v/>
      </c>
      <c r="AD962">
        <f>IF(D962="","",N(AD961)+IF(MATCH(D962,$D$2:$D$2501,0)=ROW()-1,1,0))</f>
        <v/>
      </c>
    </row>
    <row r="963">
      <c r="X963" s="5">
        <f>IF(D963="","",W963*IF(AND(ISNUMBER(AB963),AB963&gt;0,AB963&lt;1),AB963*100,AB963)/100)</f>
        <v/>
      </c>
      <c r="Y963" s="5">
        <f>IF(D963="","",AA963*Z963/100)</f>
        <v/>
      </c>
      <c r="Z963" s="5">
        <f>IF(D963="","",W963-X963)</f>
        <v/>
      </c>
      <c r="AC963" s="5">
        <f>IF(D963="","",Z963-Y963)</f>
        <v/>
      </c>
      <c r="AD963">
        <f>IF(D963="","",N(AD962)+IF(MATCH(D963,$D$2:$D$2501,0)=ROW()-1,1,0))</f>
        <v/>
      </c>
    </row>
    <row r="964">
      <c r="X964" s="5">
        <f>IF(D964="","",W964*IF(AND(ISNUMBER(AB964),AB964&gt;0,AB964&lt;1),AB964*100,AB964)/100)</f>
        <v/>
      </c>
      <c r="Y964" s="5">
        <f>IF(D964="","",AA964*Z964/100)</f>
        <v/>
      </c>
      <c r="Z964" s="5">
        <f>IF(D964="","",W964-X964)</f>
        <v/>
      </c>
      <c r="AC964" s="5">
        <f>IF(D964="","",Z964-Y964)</f>
        <v/>
      </c>
      <c r="AD964">
        <f>IF(D964="","",N(AD963)+IF(MATCH(D964,$D$2:$D$2501,0)=ROW()-1,1,0))</f>
        <v/>
      </c>
    </row>
    <row r="965">
      <c r="X965" s="5">
        <f>IF(D965="","",W965*IF(AND(ISNUMBER(AB965),AB965&gt;0,AB965&lt;1),AB965*100,AB965)/100)</f>
        <v/>
      </c>
      <c r="Y965" s="5">
        <f>IF(D965="","",AA965*Z965/100)</f>
        <v/>
      </c>
      <c r="Z965" s="5">
        <f>IF(D965="","",W965-X965)</f>
        <v/>
      </c>
      <c r="AC965" s="5">
        <f>IF(D965="","",Z965-Y965)</f>
        <v/>
      </c>
      <c r="AD965">
        <f>IF(D965="","",N(AD964)+IF(MATCH(D965,$D$2:$D$2501,0)=ROW()-1,1,0))</f>
        <v/>
      </c>
    </row>
    <row r="966">
      <c r="X966" s="5">
        <f>IF(D966="","",W966*IF(AND(ISNUMBER(AB966),AB966&gt;0,AB966&lt;1),AB966*100,AB966)/100)</f>
        <v/>
      </c>
      <c r="Y966" s="5">
        <f>IF(D966="","",AA966*Z966/100)</f>
        <v/>
      </c>
      <c r="Z966" s="5">
        <f>IF(D966="","",W966-X966)</f>
        <v/>
      </c>
      <c r="AC966" s="5">
        <f>IF(D966="","",Z966-Y966)</f>
        <v/>
      </c>
      <c r="AD966">
        <f>IF(D966="","",N(AD965)+IF(MATCH(D966,$D$2:$D$2501,0)=ROW()-1,1,0))</f>
        <v/>
      </c>
    </row>
    <row r="967">
      <c r="X967" s="5">
        <f>IF(D967="","",W967*IF(AND(ISNUMBER(AB967),AB967&gt;0,AB967&lt;1),AB967*100,AB967)/100)</f>
        <v/>
      </c>
      <c r="Y967" s="5">
        <f>IF(D967="","",AA967*Z967/100)</f>
        <v/>
      </c>
      <c r="Z967" s="5">
        <f>IF(D967="","",W967-X967)</f>
        <v/>
      </c>
      <c r="AC967" s="5">
        <f>IF(D967="","",Z967-Y967)</f>
        <v/>
      </c>
      <c r="AD967">
        <f>IF(D967="","",N(AD966)+IF(MATCH(D967,$D$2:$D$2501,0)=ROW()-1,1,0))</f>
        <v/>
      </c>
    </row>
    <row r="968">
      <c r="X968" s="5">
        <f>IF(D968="","",W968*IF(AND(ISNUMBER(AB968),AB968&gt;0,AB968&lt;1),AB968*100,AB968)/100)</f>
        <v/>
      </c>
      <c r="Y968" s="5">
        <f>IF(D968="","",AA968*Z968/100)</f>
        <v/>
      </c>
      <c r="Z968" s="5">
        <f>IF(D968="","",W968-X968)</f>
        <v/>
      </c>
      <c r="AC968" s="5">
        <f>IF(D968="","",Z968-Y968)</f>
        <v/>
      </c>
      <c r="AD968">
        <f>IF(D968="","",N(AD967)+IF(MATCH(D968,$D$2:$D$2501,0)=ROW()-1,1,0))</f>
        <v/>
      </c>
    </row>
    <row r="969">
      <c r="X969" s="5">
        <f>IF(D969="","",W969*IF(AND(ISNUMBER(AB969),AB969&gt;0,AB969&lt;1),AB969*100,AB969)/100)</f>
        <v/>
      </c>
      <c r="Y969" s="5">
        <f>IF(D969="","",AA969*Z969/100)</f>
        <v/>
      </c>
      <c r="Z969" s="5">
        <f>IF(D969="","",W969-X969)</f>
        <v/>
      </c>
      <c r="AC969" s="5">
        <f>IF(D969="","",Z969-Y969)</f>
        <v/>
      </c>
      <c r="AD969">
        <f>IF(D969="","",N(AD968)+IF(MATCH(D969,$D$2:$D$2501,0)=ROW()-1,1,0))</f>
        <v/>
      </c>
    </row>
    <row r="970">
      <c r="X970" s="5">
        <f>IF(D970="","",W970*IF(AND(ISNUMBER(AB970),AB970&gt;0,AB970&lt;1),AB970*100,AB970)/100)</f>
        <v/>
      </c>
      <c r="Y970" s="5">
        <f>IF(D970="","",AA970*Z970/100)</f>
        <v/>
      </c>
      <c r="Z970" s="5">
        <f>IF(D970="","",W970-X970)</f>
        <v/>
      </c>
      <c r="AC970" s="5">
        <f>IF(D970="","",Z970-Y970)</f>
        <v/>
      </c>
      <c r="AD970">
        <f>IF(D970="","",N(AD969)+IF(MATCH(D970,$D$2:$D$2501,0)=ROW()-1,1,0))</f>
        <v/>
      </c>
    </row>
    <row r="971">
      <c r="X971" s="5">
        <f>IF(D971="","",W971*IF(AND(ISNUMBER(AB971),AB971&gt;0,AB971&lt;1),AB971*100,AB971)/100)</f>
        <v/>
      </c>
      <c r="Y971" s="5">
        <f>IF(D971="","",AA971*Z971/100)</f>
        <v/>
      </c>
      <c r="Z971" s="5">
        <f>IF(D971="","",W971-X971)</f>
        <v/>
      </c>
      <c r="AC971" s="5">
        <f>IF(D971="","",Z971-Y971)</f>
        <v/>
      </c>
      <c r="AD971">
        <f>IF(D971="","",N(AD970)+IF(MATCH(D971,$D$2:$D$2501,0)=ROW()-1,1,0))</f>
        <v/>
      </c>
    </row>
    <row r="972">
      <c r="X972" s="5">
        <f>IF(D972="","",W972*IF(AND(ISNUMBER(AB972),AB972&gt;0,AB972&lt;1),AB972*100,AB972)/100)</f>
        <v/>
      </c>
      <c r="Y972" s="5">
        <f>IF(D972="","",AA972*Z972/100)</f>
        <v/>
      </c>
      <c r="Z972" s="5">
        <f>IF(D972="","",W972-X972)</f>
        <v/>
      </c>
      <c r="AC972" s="5">
        <f>IF(D972="","",Z972-Y972)</f>
        <v/>
      </c>
      <c r="AD972">
        <f>IF(D972="","",N(AD971)+IF(MATCH(D972,$D$2:$D$2501,0)=ROW()-1,1,0))</f>
        <v/>
      </c>
    </row>
    <row r="973">
      <c r="X973" s="5">
        <f>IF(D973="","",W973*IF(AND(ISNUMBER(AB973),AB973&gt;0,AB973&lt;1),AB973*100,AB973)/100)</f>
        <v/>
      </c>
      <c r="Y973" s="5">
        <f>IF(D973="","",AA973*Z973/100)</f>
        <v/>
      </c>
      <c r="Z973" s="5">
        <f>IF(D973="","",W973-X973)</f>
        <v/>
      </c>
      <c r="AC973" s="5">
        <f>IF(D973="","",Z973-Y973)</f>
        <v/>
      </c>
      <c r="AD973">
        <f>IF(D973="","",N(AD972)+IF(MATCH(D973,$D$2:$D$2501,0)=ROW()-1,1,0))</f>
        <v/>
      </c>
    </row>
    <row r="974">
      <c r="X974" s="5">
        <f>IF(D974="","",W974*IF(AND(ISNUMBER(AB974),AB974&gt;0,AB974&lt;1),AB974*100,AB974)/100)</f>
        <v/>
      </c>
      <c r="Y974" s="5">
        <f>IF(D974="","",AA974*Z974/100)</f>
        <v/>
      </c>
      <c r="Z974" s="5">
        <f>IF(D974="","",W974-X974)</f>
        <v/>
      </c>
      <c r="AC974" s="5">
        <f>IF(D974="","",Z974-Y974)</f>
        <v/>
      </c>
      <c r="AD974">
        <f>IF(D974="","",N(AD973)+IF(MATCH(D974,$D$2:$D$2501,0)=ROW()-1,1,0))</f>
        <v/>
      </c>
    </row>
    <row r="975">
      <c r="X975" s="5">
        <f>IF(D975="","",W975*IF(AND(ISNUMBER(AB975),AB975&gt;0,AB975&lt;1),AB975*100,AB975)/100)</f>
        <v/>
      </c>
      <c r="Y975" s="5">
        <f>IF(D975="","",AA975*Z975/100)</f>
        <v/>
      </c>
      <c r="Z975" s="5">
        <f>IF(D975="","",W975-X975)</f>
        <v/>
      </c>
      <c r="AC975" s="5">
        <f>IF(D975="","",Z975-Y975)</f>
        <v/>
      </c>
      <c r="AD975">
        <f>IF(D975="","",N(AD974)+IF(MATCH(D975,$D$2:$D$2501,0)=ROW()-1,1,0))</f>
        <v/>
      </c>
    </row>
    <row r="976">
      <c r="X976" s="5">
        <f>IF(D976="","",W976*IF(AND(ISNUMBER(AB976),AB976&gt;0,AB976&lt;1),AB976*100,AB976)/100)</f>
        <v/>
      </c>
      <c r="Y976" s="5">
        <f>IF(D976="","",AA976*Z976/100)</f>
        <v/>
      </c>
      <c r="Z976" s="5">
        <f>IF(D976="","",W976-X976)</f>
        <v/>
      </c>
      <c r="AC976" s="5">
        <f>IF(D976="","",Z976-Y976)</f>
        <v/>
      </c>
      <c r="AD976">
        <f>IF(D976="","",N(AD975)+IF(MATCH(D976,$D$2:$D$2501,0)=ROW()-1,1,0))</f>
        <v/>
      </c>
    </row>
    <row r="977">
      <c r="X977" s="5">
        <f>IF(D977="","",W977*IF(AND(ISNUMBER(AB977),AB977&gt;0,AB977&lt;1),AB977*100,AB977)/100)</f>
        <v/>
      </c>
      <c r="Y977" s="5">
        <f>IF(D977="","",AA977*Z977/100)</f>
        <v/>
      </c>
      <c r="Z977" s="5">
        <f>IF(D977="","",W977-X977)</f>
        <v/>
      </c>
      <c r="AC977" s="5">
        <f>IF(D977="","",Z977-Y977)</f>
        <v/>
      </c>
      <c r="AD977">
        <f>IF(D977="","",N(AD976)+IF(MATCH(D977,$D$2:$D$2501,0)=ROW()-1,1,0))</f>
        <v/>
      </c>
    </row>
    <row r="978">
      <c r="X978" s="5">
        <f>IF(D978="","",W978*IF(AND(ISNUMBER(AB978),AB978&gt;0,AB978&lt;1),AB978*100,AB978)/100)</f>
        <v/>
      </c>
      <c r="Y978" s="5">
        <f>IF(D978="","",AA978*Z978/100)</f>
        <v/>
      </c>
      <c r="Z978" s="5">
        <f>IF(D978="","",W978-X978)</f>
        <v/>
      </c>
      <c r="AC978" s="5">
        <f>IF(D978="","",Z978-Y978)</f>
        <v/>
      </c>
      <c r="AD978">
        <f>IF(D978="","",N(AD977)+IF(MATCH(D978,$D$2:$D$2501,0)=ROW()-1,1,0))</f>
        <v/>
      </c>
    </row>
    <row r="979">
      <c r="X979" s="5">
        <f>IF(D979="","",W979*IF(AND(ISNUMBER(AB979),AB979&gt;0,AB979&lt;1),AB979*100,AB979)/100)</f>
        <v/>
      </c>
      <c r="Y979" s="5">
        <f>IF(D979="","",AA979*Z979/100)</f>
        <v/>
      </c>
      <c r="Z979" s="5">
        <f>IF(D979="","",W979-X979)</f>
        <v/>
      </c>
      <c r="AC979" s="5">
        <f>IF(D979="","",Z979-Y979)</f>
        <v/>
      </c>
      <c r="AD979">
        <f>IF(D979="","",N(AD978)+IF(MATCH(D979,$D$2:$D$2501,0)=ROW()-1,1,0))</f>
        <v/>
      </c>
    </row>
    <row r="980">
      <c r="X980" s="5">
        <f>IF(D980="","",W980*IF(AND(ISNUMBER(AB980),AB980&gt;0,AB980&lt;1),AB980*100,AB980)/100)</f>
        <v/>
      </c>
      <c r="Y980" s="5">
        <f>IF(D980="","",AA980*Z980/100)</f>
        <v/>
      </c>
      <c r="Z980" s="5">
        <f>IF(D980="","",W980-X980)</f>
        <v/>
      </c>
      <c r="AC980" s="5">
        <f>IF(D980="","",Z980-Y980)</f>
        <v/>
      </c>
      <c r="AD980">
        <f>IF(D980="","",N(AD979)+IF(MATCH(D980,$D$2:$D$2501,0)=ROW()-1,1,0))</f>
        <v/>
      </c>
    </row>
    <row r="981">
      <c r="X981" s="5">
        <f>IF(D981="","",W981*IF(AND(ISNUMBER(AB981),AB981&gt;0,AB981&lt;1),AB981*100,AB981)/100)</f>
        <v/>
      </c>
      <c r="Y981" s="5">
        <f>IF(D981="","",AA981*Z981/100)</f>
        <v/>
      </c>
      <c r="Z981" s="5">
        <f>IF(D981="","",W981-X981)</f>
        <v/>
      </c>
      <c r="AC981" s="5">
        <f>IF(D981="","",Z981-Y981)</f>
        <v/>
      </c>
      <c r="AD981">
        <f>IF(D981="","",N(AD980)+IF(MATCH(D981,$D$2:$D$2501,0)=ROW()-1,1,0))</f>
        <v/>
      </c>
    </row>
    <row r="982">
      <c r="X982" s="5">
        <f>IF(D982="","",W982*IF(AND(ISNUMBER(AB982),AB982&gt;0,AB982&lt;1),AB982*100,AB982)/100)</f>
        <v/>
      </c>
      <c r="Y982" s="5">
        <f>IF(D982="","",AA982*Z982/100)</f>
        <v/>
      </c>
      <c r="Z982" s="5">
        <f>IF(D982="","",W982-X982)</f>
        <v/>
      </c>
      <c r="AC982" s="5">
        <f>IF(D982="","",Z982-Y982)</f>
        <v/>
      </c>
      <c r="AD982">
        <f>IF(D982="","",N(AD981)+IF(MATCH(D982,$D$2:$D$2501,0)=ROW()-1,1,0))</f>
        <v/>
      </c>
    </row>
    <row r="983">
      <c r="X983" s="5">
        <f>IF(D983="","",W983*IF(AND(ISNUMBER(AB983),AB983&gt;0,AB983&lt;1),AB983*100,AB983)/100)</f>
        <v/>
      </c>
      <c r="Y983" s="5">
        <f>IF(D983="","",AA983*Z983/100)</f>
        <v/>
      </c>
      <c r="Z983" s="5">
        <f>IF(D983="","",W983-X983)</f>
        <v/>
      </c>
      <c r="AC983" s="5">
        <f>IF(D983="","",Z983-Y983)</f>
        <v/>
      </c>
      <c r="AD983">
        <f>IF(D983="","",N(AD982)+IF(MATCH(D983,$D$2:$D$2501,0)=ROW()-1,1,0))</f>
        <v/>
      </c>
    </row>
    <row r="984">
      <c r="X984" s="5">
        <f>IF(D984="","",W984*IF(AND(ISNUMBER(AB984),AB984&gt;0,AB984&lt;1),AB984*100,AB984)/100)</f>
        <v/>
      </c>
      <c r="Y984" s="5">
        <f>IF(D984="","",AA984*Z984/100)</f>
        <v/>
      </c>
      <c r="Z984" s="5">
        <f>IF(D984="","",W984-X984)</f>
        <v/>
      </c>
      <c r="AC984" s="5">
        <f>IF(D984="","",Z984-Y984)</f>
        <v/>
      </c>
      <c r="AD984">
        <f>IF(D984="","",N(AD983)+IF(MATCH(D984,$D$2:$D$2501,0)=ROW()-1,1,0))</f>
        <v/>
      </c>
    </row>
    <row r="985">
      <c r="X985" s="5">
        <f>IF(D985="","",W985*IF(AND(ISNUMBER(AB985),AB985&gt;0,AB985&lt;1),AB985*100,AB985)/100)</f>
        <v/>
      </c>
      <c r="Y985" s="5">
        <f>IF(D985="","",AA985*Z985/100)</f>
        <v/>
      </c>
      <c r="Z985" s="5">
        <f>IF(D985="","",W985-X985)</f>
        <v/>
      </c>
      <c r="AC985" s="5">
        <f>IF(D985="","",Z985-Y985)</f>
        <v/>
      </c>
      <c r="AD985">
        <f>IF(D985="","",N(AD984)+IF(MATCH(D985,$D$2:$D$2501,0)=ROW()-1,1,0))</f>
        <v/>
      </c>
    </row>
    <row r="986">
      <c r="X986" s="5">
        <f>IF(D986="","",W986*IF(AND(ISNUMBER(AB986),AB986&gt;0,AB986&lt;1),AB986*100,AB986)/100)</f>
        <v/>
      </c>
      <c r="Y986" s="5">
        <f>IF(D986="","",AA986*Z986/100)</f>
        <v/>
      </c>
      <c r="Z986" s="5">
        <f>IF(D986="","",W986-X986)</f>
        <v/>
      </c>
      <c r="AC986" s="5">
        <f>IF(D986="","",Z986-Y986)</f>
        <v/>
      </c>
      <c r="AD986">
        <f>IF(D986="","",N(AD985)+IF(MATCH(D986,$D$2:$D$2501,0)=ROW()-1,1,0))</f>
        <v/>
      </c>
    </row>
    <row r="987">
      <c r="X987" s="5">
        <f>IF(D987="","",W987*IF(AND(ISNUMBER(AB987),AB987&gt;0,AB987&lt;1),AB987*100,AB987)/100)</f>
        <v/>
      </c>
      <c r="Y987" s="5">
        <f>IF(D987="","",AA987*Z987/100)</f>
        <v/>
      </c>
      <c r="Z987" s="5">
        <f>IF(D987="","",W987-X987)</f>
        <v/>
      </c>
      <c r="AC987" s="5">
        <f>IF(D987="","",Z987-Y987)</f>
        <v/>
      </c>
      <c r="AD987">
        <f>IF(D987="","",N(AD986)+IF(MATCH(D987,$D$2:$D$2501,0)=ROW()-1,1,0))</f>
        <v/>
      </c>
    </row>
    <row r="988">
      <c r="X988" s="5">
        <f>IF(D988="","",W988*IF(AND(ISNUMBER(AB988),AB988&gt;0,AB988&lt;1),AB988*100,AB988)/100)</f>
        <v/>
      </c>
      <c r="Y988" s="5">
        <f>IF(D988="","",AA988*Z988/100)</f>
        <v/>
      </c>
      <c r="Z988" s="5">
        <f>IF(D988="","",W988-X988)</f>
        <v/>
      </c>
      <c r="AC988" s="5">
        <f>IF(D988="","",Z988-Y988)</f>
        <v/>
      </c>
      <c r="AD988">
        <f>IF(D988="","",N(AD987)+IF(MATCH(D988,$D$2:$D$2501,0)=ROW()-1,1,0))</f>
        <v/>
      </c>
    </row>
    <row r="989">
      <c r="X989" s="5">
        <f>IF(D989="","",W989*IF(AND(ISNUMBER(AB989),AB989&gt;0,AB989&lt;1),AB989*100,AB989)/100)</f>
        <v/>
      </c>
      <c r="Y989" s="5">
        <f>IF(D989="","",AA989*Z989/100)</f>
        <v/>
      </c>
      <c r="Z989" s="5">
        <f>IF(D989="","",W989-X989)</f>
        <v/>
      </c>
      <c r="AC989" s="5">
        <f>IF(D989="","",Z989-Y989)</f>
        <v/>
      </c>
      <c r="AD989">
        <f>IF(D989="","",N(AD988)+IF(MATCH(D989,$D$2:$D$2501,0)=ROW()-1,1,0))</f>
        <v/>
      </c>
    </row>
    <row r="990">
      <c r="X990" s="5">
        <f>IF(D990="","",W990*IF(AND(ISNUMBER(AB990),AB990&gt;0,AB990&lt;1),AB990*100,AB990)/100)</f>
        <v/>
      </c>
      <c r="Y990" s="5">
        <f>IF(D990="","",AA990*Z990/100)</f>
        <v/>
      </c>
      <c r="Z990" s="5">
        <f>IF(D990="","",W990-X990)</f>
        <v/>
      </c>
      <c r="AC990" s="5">
        <f>IF(D990="","",Z990-Y990)</f>
        <v/>
      </c>
      <c r="AD990">
        <f>IF(D990="","",N(AD989)+IF(MATCH(D990,$D$2:$D$2501,0)=ROW()-1,1,0))</f>
        <v/>
      </c>
    </row>
    <row r="991">
      <c r="X991" s="5">
        <f>IF(D991="","",W991*IF(AND(ISNUMBER(AB991),AB991&gt;0,AB991&lt;1),AB991*100,AB991)/100)</f>
        <v/>
      </c>
      <c r="Y991" s="5">
        <f>IF(D991="","",AA991*Z991/100)</f>
        <v/>
      </c>
      <c r="Z991" s="5">
        <f>IF(D991="","",W991-X991)</f>
        <v/>
      </c>
      <c r="AC991" s="5">
        <f>IF(D991="","",Z991-Y991)</f>
        <v/>
      </c>
      <c r="AD991">
        <f>IF(D991="","",N(AD990)+IF(MATCH(D991,$D$2:$D$2501,0)=ROW()-1,1,0))</f>
        <v/>
      </c>
    </row>
    <row r="992">
      <c r="X992" s="5">
        <f>IF(D992="","",W992*IF(AND(ISNUMBER(AB992),AB992&gt;0,AB992&lt;1),AB992*100,AB992)/100)</f>
        <v/>
      </c>
      <c r="Y992" s="5">
        <f>IF(D992="","",AA992*Z992/100)</f>
        <v/>
      </c>
      <c r="Z992" s="5">
        <f>IF(D992="","",W992-X992)</f>
        <v/>
      </c>
      <c r="AC992" s="5">
        <f>IF(D992="","",Z992-Y992)</f>
        <v/>
      </c>
      <c r="AD992">
        <f>IF(D992="","",N(AD991)+IF(MATCH(D992,$D$2:$D$2501,0)=ROW()-1,1,0))</f>
        <v/>
      </c>
    </row>
    <row r="993">
      <c r="X993" s="5">
        <f>IF(D993="","",W993*IF(AND(ISNUMBER(AB993),AB993&gt;0,AB993&lt;1),AB993*100,AB993)/100)</f>
        <v/>
      </c>
      <c r="Y993" s="5">
        <f>IF(D993="","",AA993*Z993/100)</f>
        <v/>
      </c>
      <c r="Z993" s="5">
        <f>IF(D993="","",W993-X993)</f>
        <v/>
      </c>
      <c r="AC993" s="5">
        <f>IF(D993="","",Z993-Y993)</f>
        <v/>
      </c>
      <c r="AD993">
        <f>IF(D993="","",N(AD992)+IF(MATCH(D993,$D$2:$D$2501,0)=ROW()-1,1,0))</f>
        <v/>
      </c>
    </row>
    <row r="994">
      <c r="X994" s="5">
        <f>IF(D994="","",W994*IF(AND(ISNUMBER(AB994),AB994&gt;0,AB994&lt;1),AB994*100,AB994)/100)</f>
        <v/>
      </c>
      <c r="Y994" s="5">
        <f>IF(D994="","",AA994*Z994/100)</f>
        <v/>
      </c>
      <c r="Z994" s="5">
        <f>IF(D994="","",W994-X994)</f>
        <v/>
      </c>
      <c r="AC994" s="5">
        <f>IF(D994="","",Z994-Y994)</f>
        <v/>
      </c>
      <c r="AD994">
        <f>IF(D994="","",N(AD993)+IF(MATCH(D994,$D$2:$D$2501,0)=ROW()-1,1,0))</f>
        <v/>
      </c>
    </row>
    <row r="995">
      <c r="X995" s="5">
        <f>IF(D995="","",W995*IF(AND(ISNUMBER(AB995),AB995&gt;0,AB995&lt;1),AB995*100,AB995)/100)</f>
        <v/>
      </c>
      <c r="Y995" s="5">
        <f>IF(D995="","",AA995*Z995/100)</f>
        <v/>
      </c>
      <c r="Z995" s="5">
        <f>IF(D995="","",W995-X995)</f>
        <v/>
      </c>
      <c r="AC995" s="5">
        <f>IF(D995="","",Z995-Y995)</f>
        <v/>
      </c>
      <c r="AD995">
        <f>IF(D995="","",N(AD994)+IF(MATCH(D995,$D$2:$D$2501,0)=ROW()-1,1,0))</f>
        <v/>
      </c>
    </row>
    <row r="996">
      <c r="X996" s="5">
        <f>IF(D996="","",W996*IF(AND(ISNUMBER(AB996),AB996&gt;0,AB996&lt;1),AB996*100,AB996)/100)</f>
        <v/>
      </c>
      <c r="Y996" s="5">
        <f>IF(D996="","",AA996*Z996/100)</f>
        <v/>
      </c>
      <c r="Z996" s="5">
        <f>IF(D996="","",W996-X996)</f>
        <v/>
      </c>
      <c r="AC996" s="5">
        <f>IF(D996="","",Z996-Y996)</f>
        <v/>
      </c>
      <c r="AD996">
        <f>IF(D996="","",N(AD995)+IF(MATCH(D996,$D$2:$D$2501,0)=ROW()-1,1,0))</f>
        <v/>
      </c>
    </row>
    <row r="997">
      <c r="X997" s="5">
        <f>IF(D997="","",W997*IF(AND(ISNUMBER(AB997),AB997&gt;0,AB997&lt;1),AB997*100,AB997)/100)</f>
        <v/>
      </c>
      <c r="Y997" s="5">
        <f>IF(D997="","",AA997*Z997/100)</f>
        <v/>
      </c>
      <c r="Z997" s="5">
        <f>IF(D997="","",W997-X997)</f>
        <v/>
      </c>
      <c r="AC997" s="5">
        <f>IF(D997="","",Z997-Y997)</f>
        <v/>
      </c>
      <c r="AD997">
        <f>IF(D997="","",N(AD996)+IF(MATCH(D997,$D$2:$D$2501,0)=ROW()-1,1,0))</f>
        <v/>
      </c>
    </row>
    <row r="998">
      <c r="X998" s="5">
        <f>IF(D998="","",W998*IF(AND(ISNUMBER(AB998),AB998&gt;0,AB998&lt;1),AB998*100,AB998)/100)</f>
        <v/>
      </c>
      <c r="Y998" s="5">
        <f>IF(D998="","",AA998*Z998/100)</f>
        <v/>
      </c>
      <c r="Z998" s="5">
        <f>IF(D998="","",W998-X998)</f>
        <v/>
      </c>
      <c r="AC998" s="5">
        <f>IF(D998="","",Z998-Y998)</f>
        <v/>
      </c>
      <c r="AD998">
        <f>IF(D998="","",N(AD997)+IF(MATCH(D998,$D$2:$D$2501,0)=ROW()-1,1,0))</f>
        <v/>
      </c>
    </row>
    <row r="999">
      <c r="X999" s="5">
        <f>IF(D999="","",W999*IF(AND(ISNUMBER(AB999),AB999&gt;0,AB999&lt;1),AB999*100,AB999)/100)</f>
        <v/>
      </c>
      <c r="Y999" s="5">
        <f>IF(D999="","",AA999*Z999/100)</f>
        <v/>
      </c>
      <c r="Z999" s="5">
        <f>IF(D999="","",W999-X999)</f>
        <v/>
      </c>
      <c r="AC999" s="5">
        <f>IF(D999="","",Z999-Y999)</f>
        <v/>
      </c>
      <c r="AD999">
        <f>IF(D999="","",N(AD998)+IF(MATCH(D999,$D$2:$D$2501,0)=ROW()-1,1,0))</f>
        <v/>
      </c>
    </row>
    <row r="1000">
      <c r="X1000" s="5">
        <f>IF(D1000="","",W1000*IF(AND(ISNUMBER(AB1000),AB1000&gt;0,AB1000&lt;1),AB1000*100,AB1000)/100)</f>
        <v/>
      </c>
      <c r="Y1000" s="5">
        <f>IF(D1000="","",AA1000*Z1000/100)</f>
        <v/>
      </c>
      <c r="Z1000" s="5">
        <f>IF(D1000="","",W1000-X1000)</f>
        <v/>
      </c>
      <c r="AC1000" s="5">
        <f>IF(D1000="","",Z1000-Y1000)</f>
        <v/>
      </c>
      <c r="AD1000">
        <f>IF(D1000="","",N(AD999)+IF(MATCH(D1000,$D$2:$D$2501,0)=ROW()-1,1,0))</f>
        <v/>
      </c>
    </row>
    <row r="1001">
      <c r="X1001" s="5">
        <f>IF(D1001="","",W1001*IF(AND(ISNUMBER(AB1001),AB1001&gt;0,AB1001&lt;1),AB1001*100,AB1001)/100)</f>
        <v/>
      </c>
      <c r="Y1001" s="5">
        <f>IF(D1001="","",AA1001*Z1001/100)</f>
        <v/>
      </c>
      <c r="Z1001" s="5">
        <f>IF(D1001="","",W1001-X1001)</f>
        <v/>
      </c>
      <c r="AC1001" s="5">
        <f>IF(D1001="","",Z1001-Y1001)</f>
        <v/>
      </c>
      <c r="AD1001">
        <f>IF(D1001="","",N(AD1000)+IF(MATCH(D1001,$D$2:$D$2501,0)=ROW()-1,1,0))</f>
        <v/>
      </c>
    </row>
    <row r="1002">
      <c r="X1002" s="5">
        <f>IF(D1002="","",W1002*IF(AND(ISNUMBER(AB1002),AB1002&gt;0,AB1002&lt;1),AB1002*100,AB1002)/100)</f>
        <v/>
      </c>
      <c r="Y1002" s="5">
        <f>IF(D1002="","",AA1002*Z1002/100)</f>
        <v/>
      </c>
      <c r="Z1002" s="5">
        <f>IF(D1002="","",W1002-X1002)</f>
        <v/>
      </c>
      <c r="AC1002" s="5">
        <f>IF(D1002="","",Z1002-Y1002)</f>
        <v/>
      </c>
      <c r="AD1002">
        <f>IF(D1002="","",N(AD1001)+IF(MATCH(D1002,$D$2:$D$2501,0)=ROW()-1,1,0))</f>
        <v/>
      </c>
    </row>
    <row r="1003">
      <c r="X1003" s="5">
        <f>IF(D1003="","",W1003*IF(AND(ISNUMBER(AB1003),AB1003&gt;0,AB1003&lt;1),AB1003*100,AB1003)/100)</f>
        <v/>
      </c>
      <c r="Y1003" s="5">
        <f>IF(D1003="","",AA1003*Z1003/100)</f>
        <v/>
      </c>
      <c r="Z1003" s="5">
        <f>IF(D1003="","",W1003-X1003)</f>
        <v/>
      </c>
      <c r="AC1003" s="5">
        <f>IF(D1003="","",Z1003-Y1003)</f>
        <v/>
      </c>
      <c r="AD1003">
        <f>IF(D1003="","",N(AD1002)+IF(MATCH(D1003,$D$2:$D$2501,0)=ROW()-1,1,0))</f>
        <v/>
      </c>
    </row>
    <row r="1004">
      <c r="X1004" s="5">
        <f>IF(D1004="","",W1004*IF(AND(ISNUMBER(AB1004),AB1004&gt;0,AB1004&lt;1),AB1004*100,AB1004)/100)</f>
        <v/>
      </c>
      <c r="Y1004" s="5">
        <f>IF(D1004="","",AA1004*Z1004/100)</f>
        <v/>
      </c>
      <c r="Z1004" s="5">
        <f>IF(D1004="","",W1004-X1004)</f>
        <v/>
      </c>
      <c r="AC1004" s="5">
        <f>IF(D1004="","",Z1004-Y1004)</f>
        <v/>
      </c>
      <c r="AD1004">
        <f>IF(D1004="","",N(AD1003)+IF(MATCH(D1004,$D$2:$D$2501,0)=ROW()-1,1,0))</f>
        <v/>
      </c>
    </row>
    <row r="1005">
      <c r="X1005" s="5">
        <f>IF(D1005="","",W1005*IF(AND(ISNUMBER(AB1005),AB1005&gt;0,AB1005&lt;1),AB1005*100,AB1005)/100)</f>
        <v/>
      </c>
      <c r="Y1005" s="5">
        <f>IF(D1005="","",AA1005*Z1005/100)</f>
        <v/>
      </c>
      <c r="Z1005" s="5">
        <f>IF(D1005="","",W1005-X1005)</f>
        <v/>
      </c>
      <c r="AC1005" s="5">
        <f>IF(D1005="","",Z1005-Y1005)</f>
        <v/>
      </c>
      <c r="AD1005">
        <f>IF(D1005="","",N(AD1004)+IF(MATCH(D1005,$D$2:$D$2501,0)=ROW()-1,1,0))</f>
        <v/>
      </c>
    </row>
    <row r="1006">
      <c r="X1006" s="5">
        <f>IF(D1006="","",W1006*IF(AND(ISNUMBER(AB1006),AB1006&gt;0,AB1006&lt;1),AB1006*100,AB1006)/100)</f>
        <v/>
      </c>
      <c r="Y1006" s="5">
        <f>IF(D1006="","",AA1006*Z1006/100)</f>
        <v/>
      </c>
      <c r="Z1006" s="5">
        <f>IF(D1006="","",W1006-X1006)</f>
        <v/>
      </c>
      <c r="AC1006" s="5">
        <f>IF(D1006="","",Z1006-Y1006)</f>
        <v/>
      </c>
      <c r="AD1006">
        <f>IF(D1006="","",N(AD1005)+IF(MATCH(D1006,$D$2:$D$2501,0)=ROW()-1,1,0))</f>
        <v/>
      </c>
    </row>
    <row r="1007">
      <c r="X1007" s="5">
        <f>IF(D1007="","",W1007*IF(AND(ISNUMBER(AB1007),AB1007&gt;0,AB1007&lt;1),AB1007*100,AB1007)/100)</f>
        <v/>
      </c>
      <c r="Y1007" s="5">
        <f>IF(D1007="","",AA1007*Z1007/100)</f>
        <v/>
      </c>
      <c r="Z1007" s="5">
        <f>IF(D1007="","",W1007-X1007)</f>
        <v/>
      </c>
      <c r="AC1007" s="5">
        <f>IF(D1007="","",Z1007-Y1007)</f>
        <v/>
      </c>
      <c r="AD1007">
        <f>IF(D1007="","",N(AD1006)+IF(MATCH(D1007,$D$2:$D$2501,0)=ROW()-1,1,0))</f>
        <v/>
      </c>
    </row>
    <row r="1008">
      <c r="X1008" s="5">
        <f>IF(D1008="","",W1008*IF(AND(ISNUMBER(AB1008),AB1008&gt;0,AB1008&lt;1),AB1008*100,AB1008)/100)</f>
        <v/>
      </c>
      <c r="Y1008" s="5">
        <f>IF(D1008="","",AA1008*Z1008/100)</f>
        <v/>
      </c>
      <c r="Z1008" s="5">
        <f>IF(D1008="","",W1008-X1008)</f>
        <v/>
      </c>
      <c r="AC1008" s="5">
        <f>IF(D1008="","",Z1008-Y1008)</f>
        <v/>
      </c>
      <c r="AD1008">
        <f>IF(D1008="","",N(AD1007)+IF(MATCH(D1008,$D$2:$D$2501,0)=ROW()-1,1,0))</f>
        <v/>
      </c>
    </row>
    <row r="1009">
      <c r="X1009" s="5">
        <f>IF(D1009="","",W1009*IF(AND(ISNUMBER(AB1009),AB1009&gt;0,AB1009&lt;1),AB1009*100,AB1009)/100)</f>
        <v/>
      </c>
      <c r="Y1009" s="5">
        <f>IF(D1009="","",AA1009*Z1009/100)</f>
        <v/>
      </c>
      <c r="Z1009" s="5">
        <f>IF(D1009="","",W1009-X1009)</f>
        <v/>
      </c>
      <c r="AC1009" s="5">
        <f>IF(D1009="","",Z1009-Y1009)</f>
        <v/>
      </c>
      <c r="AD1009">
        <f>IF(D1009="","",N(AD1008)+IF(MATCH(D1009,$D$2:$D$2501,0)=ROW()-1,1,0))</f>
        <v/>
      </c>
    </row>
    <row r="1010">
      <c r="X1010" s="5">
        <f>IF(D1010="","",W1010*IF(AND(ISNUMBER(AB1010),AB1010&gt;0,AB1010&lt;1),AB1010*100,AB1010)/100)</f>
        <v/>
      </c>
      <c r="Y1010" s="5">
        <f>IF(D1010="","",AA1010*Z1010/100)</f>
        <v/>
      </c>
      <c r="Z1010" s="5">
        <f>IF(D1010="","",W1010-X1010)</f>
        <v/>
      </c>
      <c r="AC1010" s="5">
        <f>IF(D1010="","",Z1010-Y1010)</f>
        <v/>
      </c>
      <c r="AD1010">
        <f>IF(D1010="","",N(AD1009)+IF(MATCH(D1010,$D$2:$D$2501,0)=ROW()-1,1,0))</f>
        <v/>
      </c>
    </row>
    <row r="1011">
      <c r="X1011" s="5">
        <f>IF(D1011="","",W1011*IF(AND(ISNUMBER(AB1011),AB1011&gt;0,AB1011&lt;1),AB1011*100,AB1011)/100)</f>
        <v/>
      </c>
      <c r="Y1011" s="5">
        <f>IF(D1011="","",AA1011*Z1011/100)</f>
        <v/>
      </c>
      <c r="Z1011" s="5">
        <f>IF(D1011="","",W1011-X1011)</f>
        <v/>
      </c>
      <c r="AC1011" s="5">
        <f>IF(D1011="","",Z1011-Y1011)</f>
        <v/>
      </c>
      <c r="AD1011">
        <f>IF(D1011="","",N(AD1010)+IF(MATCH(D1011,$D$2:$D$2501,0)=ROW()-1,1,0))</f>
        <v/>
      </c>
    </row>
    <row r="1012">
      <c r="X1012" s="5">
        <f>IF(D1012="","",W1012*IF(AND(ISNUMBER(AB1012),AB1012&gt;0,AB1012&lt;1),AB1012*100,AB1012)/100)</f>
        <v/>
      </c>
      <c r="Y1012" s="5">
        <f>IF(D1012="","",AA1012*Z1012/100)</f>
        <v/>
      </c>
      <c r="Z1012" s="5">
        <f>IF(D1012="","",W1012-X1012)</f>
        <v/>
      </c>
      <c r="AC1012" s="5">
        <f>IF(D1012="","",Z1012-Y1012)</f>
        <v/>
      </c>
      <c r="AD1012">
        <f>IF(D1012="","",N(AD1011)+IF(MATCH(D1012,$D$2:$D$2501,0)=ROW()-1,1,0))</f>
        <v/>
      </c>
    </row>
    <row r="1013">
      <c r="X1013" s="5">
        <f>IF(D1013="","",W1013*IF(AND(ISNUMBER(AB1013),AB1013&gt;0,AB1013&lt;1),AB1013*100,AB1013)/100)</f>
        <v/>
      </c>
      <c r="Y1013" s="5">
        <f>IF(D1013="","",AA1013*Z1013/100)</f>
        <v/>
      </c>
      <c r="Z1013" s="5">
        <f>IF(D1013="","",W1013-X1013)</f>
        <v/>
      </c>
      <c r="AC1013" s="5">
        <f>IF(D1013="","",Z1013-Y1013)</f>
        <v/>
      </c>
      <c r="AD1013">
        <f>IF(D1013="","",N(AD1012)+IF(MATCH(D1013,$D$2:$D$2501,0)=ROW()-1,1,0))</f>
        <v/>
      </c>
    </row>
    <row r="1014">
      <c r="X1014" s="5">
        <f>IF(D1014="","",W1014*IF(AND(ISNUMBER(AB1014),AB1014&gt;0,AB1014&lt;1),AB1014*100,AB1014)/100)</f>
        <v/>
      </c>
      <c r="Y1014" s="5">
        <f>IF(D1014="","",AA1014*Z1014/100)</f>
        <v/>
      </c>
      <c r="Z1014" s="5">
        <f>IF(D1014="","",W1014-X1014)</f>
        <v/>
      </c>
      <c r="AC1014" s="5">
        <f>IF(D1014="","",Z1014-Y1014)</f>
        <v/>
      </c>
      <c r="AD1014">
        <f>IF(D1014="","",N(AD1013)+IF(MATCH(D1014,$D$2:$D$2501,0)=ROW()-1,1,0))</f>
        <v/>
      </c>
    </row>
    <row r="1015">
      <c r="X1015" s="5">
        <f>IF(D1015="","",W1015*IF(AND(ISNUMBER(AB1015),AB1015&gt;0,AB1015&lt;1),AB1015*100,AB1015)/100)</f>
        <v/>
      </c>
      <c r="Y1015" s="5">
        <f>IF(D1015="","",AA1015*Z1015/100)</f>
        <v/>
      </c>
      <c r="Z1015" s="5">
        <f>IF(D1015="","",W1015-X1015)</f>
        <v/>
      </c>
      <c r="AC1015" s="5">
        <f>IF(D1015="","",Z1015-Y1015)</f>
        <v/>
      </c>
      <c r="AD1015">
        <f>IF(D1015="","",N(AD1014)+IF(MATCH(D1015,$D$2:$D$2501,0)=ROW()-1,1,0))</f>
        <v/>
      </c>
    </row>
    <row r="1016">
      <c r="X1016" s="5">
        <f>IF(D1016="","",W1016*IF(AND(ISNUMBER(AB1016),AB1016&gt;0,AB1016&lt;1),AB1016*100,AB1016)/100)</f>
        <v/>
      </c>
      <c r="Y1016" s="5">
        <f>IF(D1016="","",AA1016*Z1016/100)</f>
        <v/>
      </c>
      <c r="Z1016" s="5">
        <f>IF(D1016="","",W1016-X1016)</f>
        <v/>
      </c>
      <c r="AC1016" s="5">
        <f>IF(D1016="","",Z1016-Y1016)</f>
        <v/>
      </c>
      <c r="AD1016">
        <f>IF(D1016="","",N(AD1015)+IF(MATCH(D1016,$D$2:$D$2501,0)=ROW()-1,1,0))</f>
        <v/>
      </c>
    </row>
    <row r="1017">
      <c r="X1017" s="5">
        <f>IF(D1017="","",W1017*IF(AND(ISNUMBER(AB1017),AB1017&gt;0,AB1017&lt;1),AB1017*100,AB1017)/100)</f>
        <v/>
      </c>
      <c r="Y1017" s="5">
        <f>IF(D1017="","",AA1017*Z1017/100)</f>
        <v/>
      </c>
      <c r="Z1017" s="5">
        <f>IF(D1017="","",W1017-X1017)</f>
        <v/>
      </c>
      <c r="AC1017" s="5">
        <f>IF(D1017="","",Z1017-Y1017)</f>
        <v/>
      </c>
      <c r="AD1017">
        <f>IF(D1017="","",N(AD1016)+IF(MATCH(D1017,$D$2:$D$2501,0)=ROW()-1,1,0))</f>
        <v/>
      </c>
    </row>
    <row r="1018">
      <c r="X1018" s="5">
        <f>IF(D1018="","",W1018*IF(AND(ISNUMBER(AB1018),AB1018&gt;0,AB1018&lt;1),AB1018*100,AB1018)/100)</f>
        <v/>
      </c>
      <c r="Y1018" s="5">
        <f>IF(D1018="","",AA1018*Z1018/100)</f>
        <v/>
      </c>
      <c r="Z1018" s="5">
        <f>IF(D1018="","",W1018-X1018)</f>
        <v/>
      </c>
      <c r="AC1018" s="5">
        <f>IF(D1018="","",Z1018-Y1018)</f>
        <v/>
      </c>
      <c r="AD1018">
        <f>IF(D1018="","",N(AD1017)+IF(MATCH(D1018,$D$2:$D$2501,0)=ROW()-1,1,0))</f>
        <v/>
      </c>
    </row>
    <row r="1019">
      <c r="X1019" s="5">
        <f>IF(D1019="","",W1019*IF(AND(ISNUMBER(AB1019),AB1019&gt;0,AB1019&lt;1),AB1019*100,AB1019)/100)</f>
        <v/>
      </c>
      <c r="Y1019" s="5">
        <f>IF(D1019="","",AA1019*Z1019/100)</f>
        <v/>
      </c>
      <c r="Z1019" s="5">
        <f>IF(D1019="","",W1019-X1019)</f>
        <v/>
      </c>
      <c r="AC1019" s="5">
        <f>IF(D1019="","",Z1019-Y1019)</f>
        <v/>
      </c>
      <c r="AD1019">
        <f>IF(D1019="","",N(AD1018)+IF(MATCH(D1019,$D$2:$D$2501,0)=ROW()-1,1,0))</f>
        <v/>
      </c>
    </row>
    <row r="1020">
      <c r="X1020" s="5">
        <f>IF(D1020="","",W1020*IF(AND(ISNUMBER(AB1020),AB1020&gt;0,AB1020&lt;1),AB1020*100,AB1020)/100)</f>
        <v/>
      </c>
      <c r="Y1020" s="5">
        <f>IF(D1020="","",AA1020*Z1020/100)</f>
        <v/>
      </c>
      <c r="Z1020" s="5">
        <f>IF(D1020="","",W1020-X1020)</f>
        <v/>
      </c>
      <c r="AC1020" s="5">
        <f>IF(D1020="","",Z1020-Y1020)</f>
        <v/>
      </c>
      <c r="AD1020">
        <f>IF(D1020="","",N(AD1019)+IF(MATCH(D1020,$D$2:$D$2501,0)=ROW()-1,1,0))</f>
        <v/>
      </c>
    </row>
    <row r="1021">
      <c r="X1021" s="5">
        <f>IF(D1021="","",W1021*IF(AND(ISNUMBER(AB1021),AB1021&gt;0,AB1021&lt;1),AB1021*100,AB1021)/100)</f>
        <v/>
      </c>
      <c r="Y1021" s="5">
        <f>IF(D1021="","",AA1021*Z1021/100)</f>
        <v/>
      </c>
      <c r="Z1021" s="5">
        <f>IF(D1021="","",W1021-X1021)</f>
        <v/>
      </c>
      <c r="AC1021" s="5">
        <f>IF(D1021="","",Z1021-Y1021)</f>
        <v/>
      </c>
      <c r="AD1021">
        <f>IF(D1021="","",N(AD1020)+IF(MATCH(D1021,$D$2:$D$2501,0)=ROW()-1,1,0))</f>
        <v/>
      </c>
    </row>
    <row r="1022">
      <c r="X1022" s="5">
        <f>IF(D1022="","",W1022*IF(AND(ISNUMBER(AB1022),AB1022&gt;0,AB1022&lt;1),AB1022*100,AB1022)/100)</f>
        <v/>
      </c>
      <c r="Y1022" s="5">
        <f>IF(D1022="","",AA1022*Z1022/100)</f>
        <v/>
      </c>
      <c r="Z1022" s="5">
        <f>IF(D1022="","",W1022-X1022)</f>
        <v/>
      </c>
      <c r="AC1022" s="5">
        <f>IF(D1022="","",Z1022-Y1022)</f>
        <v/>
      </c>
      <c r="AD1022">
        <f>IF(D1022="","",N(AD1021)+IF(MATCH(D1022,$D$2:$D$2501,0)=ROW()-1,1,0))</f>
        <v/>
      </c>
    </row>
    <row r="1023">
      <c r="X1023" s="5">
        <f>IF(D1023="","",W1023*IF(AND(ISNUMBER(AB1023),AB1023&gt;0,AB1023&lt;1),AB1023*100,AB1023)/100)</f>
        <v/>
      </c>
      <c r="Y1023" s="5">
        <f>IF(D1023="","",AA1023*Z1023/100)</f>
        <v/>
      </c>
      <c r="Z1023" s="5">
        <f>IF(D1023="","",W1023-X1023)</f>
        <v/>
      </c>
      <c r="AC1023" s="5">
        <f>IF(D1023="","",Z1023-Y1023)</f>
        <v/>
      </c>
      <c r="AD1023">
        <f>IF(D1023="","",N(AD1022)+IF(MATCH(D1023,$D$2:$D$2501,0)=ROW()-1,1,0))</f>
        <v/>
      </c>
    </row>
    <row r="1024">
      <c r="X1024" s="5">
        <f>IF(D1024="","",W1024*IF(AND(ISNUMBER(AB1024),AB1024&gt;0,AB1024&lt;1),AB1024*100,AB1024)/100)</f>
        <v/>
      </c>
      <c r="Y1024" s="5">
        <f>IF(D1024="","",AA1024*Z1024/100)</f>
        <v/>
      </c>
      <c r="Z1024" s="5">
        <f>IF(D1024="","",W1024-X1024)</f>
        <v/>
      </c>
      <c r="AC1024" s="5">
        <f>IF(D1024="","",Z1024-Y1024)</f>
        <v/>
      </c>
      <c r="AD1024">
        <f>IF(D1024="","",N(AD1023)+IF(MATCH(D1024,$D$2:$D$2501,0)=ROW()-1,1,0))</f>
        <v/>
      </c>
    </row>
    <row r="1025">
      <c r="X1025" s="5">
        <f>IF(D1025="","",W1025*IF(AND(ISNUMBER(AB1025),AB1025&gt;0,AB1025&lt;1),AB1025*100,AB1025)/100)</f>
        <v/>
      </c>
      <c r="Y1025" s="5">
        <f>IF(D1025="","",AA1025*Z1025/100)</f>
        <v/>
      </c>
      <c r="Z1025" s="5">
        <f>IF(D1025="","",W1025-X1025)</f>
        <v/>
      </c>
      <c r="AC1025" s="5">
        <f>IF(D1025="","",Z1025-Y1025)</f>
        <v/>
      </c>
      <c r="AD1025">
        <f>IF(D1025="","",N(AD1024)+IF(MATCH(D1025,$D$2:$D$2501,0)=ROW()-1,1,0))</f>
        <v/>
      </c>
    </row>
    <row r="1026">
      <c r="X1026" s="5">
        <f>IF(D1026="","",W1026*IF(AND(ISNUMBER(AB1026),AB1026&gt;0,AB1026&lt;1),AB1026*100,AB1026)/100)</f>
        <v/>
      </c>
      <c r="Y1026" s="5">
        <f>IF(D1026="","",AA1026*Z1026/100)</f>
        <v/>
      </c>
      <c r="Z1026" s="5">
        <f>IF(D1026="","",W1026-X1026)</f>
        <v/>
      </c>
      <c r="AC1026" s="5">
        <f>IF(D1026="","",Z1026-Y1026)</f>
        <v/>
      </c>
      <c r="AD1026">
        <f>IF(D1026="","",N(AD1025)+IF(MATCH(D1026,$D$2:$D$2501,0)=ROW()-1,1,0))</f>
        <v/>
      </c>
    </row>
    <row r="1027">
      <c r="X1027" s="5">
        <f>IF(D1027="","",W1027*IF(AND(ISNUMBER(AB1027),AB1027&gt;0,AB1027&lt;1),AB1027*100,AB1027)/100)</f>
        <v/>
      </c>
      <c r="Y1027" s="5">
        <f>IF(D1027="","",AA1027*Z1027/100)</f>
        <v/>
      </c>
      <c r="Z1027" s="5">
        <f>IF(D1027="","",W1027-X1027)</f>
        <v/>
      </c>
      <c r="AC1027" s="5">
        <f>IF(D1027="","",Z1027-Y1027)</f>
        <v/>
      </c>
      <c r="AD1027">
        <f>IF(D1027="","",N(AD1026)+IF(MATCH(D1027,$D$2:$D$2501,0)=ROW()-1,1,0))</f>
        <v/>
      </c>
    </row>
    <row r="1028">
      <c r="X1028" s="5">
        <f>IF(D1028="","",W1028*IF(AND(ISNUMBER(AB1028),AB1028&gt;0,AB1028&lt;1),AB1028*100,AB1028)/100)</f>
        <v/>
      </c>
      <c r="Y1028" s="5">
        <f>IF(D1028="","",AA1028*Z1028/100)</f>
        <v/>
      </c>
      <c r="Z1028" s="5">
        <f>IF(D1028="","",W1028-X1028)</f>
        <v/>
      </c>
      <c r="AC1028" s="5">
        <f>IF(D1028="","",Z1028-Y1028)</f>
        <v/>
      </c>
      <c r="AD1028">
        <f>IF(D1028="","",N(AD1027)+IF(MATCH(D1028,$D$2:$D$2501,0)=ROW()-1,1,0))</f>
        <v/>
      </c>
    </row>
    <row r="1029">
      <c r="X1029" s="5">
        <f>IF(D1029="","",W1029*IF(AND(ISNUMBER(AB1029),AB1029&gt;0,AB1029&lt;1),AB1029*100,AB1029)/100)</f>
        <v/>
      </c>
      <c r="Y1029" s="5">
        <f>IF(D1029="","",AA1029*Z1029/100)</f>
        <v/>
      </c>
      <c r="Z1029" s="5">
        <f>IF(D1029="","",W1029-X1029)</f>
        <v/>
      </c>
      <c r="AC1029" s="5">
        <f>IF(D1029="","",Z1029-Y1029)</f>
        <v/>
      </c>
      <c r="AD1029">
        <f>IF(D1029="","",N(AD1028)+IF(MATCH(D1029,$D$2:$D$2501,0)=ROW()-1,1,0))</f>
        <v/>
      </c>
    </row>
    <row r="1030">
      <c r="X1030" s="5">
        <f>IF(D1030="","",W1030*IF(AND(ISNUMBER(AB1030),AB1030&gt;0,AB1030&lt;1),AB1030*100,AB1030)/100)</f>
        <v/>
      </c>
      <c r="Y1030" s="5">
        <f>IF(D1030="","",AA1030*Z1030/100)</f>
        <v/>
      </c>
      <c r="Z1030" s="5">
        <f>IF(D1030="","",W1030-X1030)</f>
        <v/>
      </c>
      <c r="AC1030" s="5">
        <f>IF(D1030="","",Z1030-Y1030)</f>
        <v/>
      </c>
      <c r="AD1030">
        <f>IF(D1030="","",N(AD1029)+IF(MATCH(D1030,$D$2:$D$2501,0)=ROW()-1,1,0))</f>
        <v/>
      </c>
    </row>
    <row r="1031">
      <c r="X1031" s="5">
        <f>IF(D1031="","",W1031*IF(AND(ISNUMBER(AB1031),AB1031&gt;0,AB1031&lt;1),AB1031*100,AB1031)/100)</f>
        <v/>
      </c>
      <c r="Y1031" s="5">
        <f>IF(D1031="","",AA1031*Z1031/100)</f>
        <v/>
      </c>
      <c r="Z1031" s="5">
        <f>IF(D1031="","",W1031-X1031)</f>
        <v/>
      </c>
      <c r="AC1031" s="5">
        <f>IF(D1031="","",Z1031-Y1031)</f>
        <v/>
      </c>
      <c r="AD1031">
        <f>IF(D1031="","",N(AD1030)+IF(MATCH(D1031,$D$2:$D$2501,0)=ROW()-1,1,0))</f>
        <v/>
      </c>
    </row>
    <row r="1032">
      <c r="X1032" s="5">
        <f>IF(D1032="","",W1032*IF(AND(ISNUMBER(AB1032),AB1032&gt;0,AB1032&lt;1),AB1032*100,AB1032)/100)</f>
        <v/>
      </c>
      <c r="Y1032" s="5">
        <f>IF(D1032="","",AA1032*Z1032/100)</f>
        <v/>
      </c>
      <c r="Z1032" s="5">
        <f>IF(D1032="","",W1032-X1032)</f>
        <v/>
      </c>
      <c r="AC1032" s="5">
        <f>IF(D1032="","",Z1032-Y1032)</f>
        <v/>
      </c>
      <c r="AD1032">
        <f>IF(D1032="","",N(AD1031)+IF(MATCH(D1032,$D$2:$D$2501,0)=ROW()-1,1,0))</f>
        <v/>
      </c>
    </row>
    <row r="1033">
      <c r="X1033" s="5">
        <f>IF(D1033="","",W1033*IF(AND(ISNUMBER(AB1033),AB1033&gt;0,AB1033&lt;1),AB1033*100,AB1033)/100)</f>
        <v/>
      </c>
      <c r="Y1033" s="5">
        <f>IF(D1033="","",AA1033*Z1033/100)</f>
        <v/>
      </c>
      <c r="Z1033" s="5">
        <f>IF(D1033="","",W1033-X1033)</f>
        <v/>
      </c>
      <c r="AC1033" s="5">
        <f>IF(D1033="","",Z1033-Y1033)</f>
        <v/>
      </c>
      <c r="AD1033">
        <f>IF(D1033="","",N(AD1032)+IF(MATCH(D1033,$D$2:$D$2501,0)=ROW()-1,1,0))</f>
        <v/>
      </c>
    </row>
    <row r="1034">
      <c r="X1034" s="5">
        <f>IF(D1034="","",W1034*IF(AND(ISNUMBER(AB1034),AB1034&gt;0,AB1034&lt;1),AB1034*100,AB1034)/100)</f>
        <v/>
      </c>
      <c r="Y1034" s="5">
        <f>IF(D1034="","",AA1034*Z1034/100)</f>
        <v/>
      </c>
      <c r="Z1034" s="5">
        <f>IF(D1034="","",W1034-X1034)</f>
        <v/>
      </c>
      <c r="AC1034" s="5">
        <f>IF(D1034="","",Z1034-Y1034)</f>
        <v/>
      </c>
      <c r="AD1034">
        <f>IF(D1034="","",N(AD1033)+IF(MATCH(D1034,$D$2:$D$2501,0)=ROW()-1,1,0))</f>
        <v/>
      </c>
    </row>
    <row r="1035">
      <c r="X1035" s="5">
        <f>IF(D1035="","",W1035*IF(AND(ISNUMBER(AB1035),AB1035&gt;0,AB1035&lt;1),AB1035*100,AB1035)/100)</f>
        <v/>
      </c>
      <c r="Y1035" s="5">
        <f>IF(D1035="","",AA1035*Z1035/100)</f>
        <v/>
      </c>
      <c r="Z1035" s="5">
        <f>IF(D1035="","",W1035-X1035)</f>
        <v/>
      </c>
      <c r="AC1035" s="5">
        <f>IF(D1035="","",Z1035-Y1035)</f>
        <v/>
      </c>
      <c r="AD1035">
        <f>IF(D1035="","",N(AD1034)+IF(MATCH(D1035,$D$2:$D$2501,0)=ROW()-1,1,0))</f>
        <v/>
      </c>
    </row>
    <row r="1036">
      <c r="X1036" s="5">
        <f>IF(D1036="","",W1036*IF(AND(ISNUMBER(AB1036),AB1036&gt;0,AB1036&lt;1),AB1036*100,AB1036)/100)</f>
        <v/>
      </c>
      <c r="Y1036" s="5">
        <f>IF(D1036="","",AA1036*Z1036/100)</f>
        <v/>
      </c>
      <c r="Z1036" s="5">
        <f>IF(D1036="","",W1036-X1036)</f>
        <v/>
      </c>
      <c r="AC1036" s="5">
        <f>IF(D1036="","",Z1036-Y1036)</f>
        <v/>
      </c>
      <c r="AD1036">
        <f>IF(D1036="","",N(AD1035)+IF(MATCH(D1036,$D$2:$D$2501,0)=ROW()-1,1,0))</f>
        <v/>
      </c>
    </row>
    <row r="1037">
      <c r="X1037" s="5">
        <f>IF(D1037="","",W1037*IF(AND(ISNUMBER(AB1037),AB1037&gt;0,AB1037&lt;1),AB1037*100,AB1037)/100)</f>
        <v/>
      </c>
      <c r="Y1037" s="5">
        <f>IF(D1037="","",AA1037*Z1037/100)</f>
        <v/>
      </c>
      <c r="Z1037" s="5">
        <f>IF(D1037="","",W1037-X1037)</f>
        <v/>
      </c>
      <c r="AC1037" s="5">
        <f>IF(D1037="","",Z1037-Y1037)</f>
        <v/>
      </c>
      <c r="AD1037">
        <f>IF(D1037="","",N(AD1036)+IF(MATCH(D1037,$D$2:$D$2501,0)=ROW()-1,1,0))</f>
        <v/>
      </c>
    </row>
    <row r="1038">
      <c r="X1038" s="5">
        <f>IF(D1038="","",W1038*IF(AND(ISNUMBER(AB1038),AB1038&gt;0,AB1038&lt;1),AB1038*100,AB1038)/100)</f>
        <v/>
      </c>
      <c r="Y1038" s="5">
        <f>IF(D1038="","",AA1038*Z1038/100)</f>
        <v/>
      </c>
      <c r="Z1038" s="5">
        <f>IF(D1038="","",W1038-X1038)</f>
        <v/>
      </c>
      <c r="AC1038" s="5">
        <f>IF(D1038="","",Z1038-Y1038)</f>
        <v/>
      </c>
      <c r="AD1038">
        <f>IF(D1038="","",N(AD1037)+IF(MATCH(D1038,$D$2:$D$2501,0)=ROW()-1,1,0))</f>
        <v/>
      </c>
    </row>
    <row r="1039">
      <c r="X1039" s="5">
        <f>IF(D1039="","",W1039*IF(AND(ISNUMBER(AB1039),AB1039&gt;0,AB1039&lt;1),AB1039*100,AB1039)/100)</f>
        <v/>
      </c>
      <c r="Y1039" s="5">
        <f>IF(D1039="","",AA1039*Z1039/100)</f>
        <v/>
      </c>
      <c r="Z1039" s="5">
        <f>IF(D1039="","",W1039-X1039)</f>
        <v/>
      </c>
      <c r="AC1039" s="5">
        <f>IF(D1039="","",Z1039-Y1039)</f>
        <v/>
      </c>
      <c r="AD1039">
        <f>IF(D1039="","",N(AD1038)+IF(MATCH(D1039,$D$2:$D$2501,0)=ROW()-1,1,0))</f>
        <v/>
      </c>
    </row>
    <row r="1040">
      <c r="X1040" s="5">
        <f>IF(D1040="","",W1040*IF(AND(ISNUMBER(AB1040),AB1040&gt;0,AB1040&lt;1),AB1040*100,AB1040)/100)</f>
        <v/>
      </c>
      <c r="Y1040" s="5">
        <f>IF(D1040="","",AA1040*Z1040/100)</f>
        <v/>
      </c>
      <c r="Z1040" s="5">
        <f>IF(D1040="","",W1040-X1040)</f>
        <v/>
      </c>
      <c r="AC1040" s="5">
        <f>IF(D1040="","",Z1040-Y1040)</f>
        <v/>
      </c>
      <c r="AD1040">
        <f>IF(D1040="","",N(AD1039)+IF(MATCH(D1040,$D$2:$D$2501,0)=ROW()-1,1,0))</f>
        <v/>
      </c>
    </row>
    <row r="1041">
      <c r="X1041" s="5">
        <f>IF(D1041="","",W1041*IF(AND(ISNUMBER(AB1041),AB1041&gt;0,AB1041&lt;1),AB1041*100,AB1041)/100)</f>
        <v/>
      </c>
      <c r="Y1041" s="5">
        <f>IF(D1041="","",AA1041*Z1041/100)</f>
        <v/>
      </c>
      <c r="Z1041" s="5">
        <f>IF(D1041="","",W1041-X1041)</f>
        <v/>
      </c>
      <c r="AC1041" s="5">
        <f>IF(D1041="","",Z1041-Y1041)</f>
        <v/>
      </c>
      <c r="AD1041">
        <f>IF(D1041="","",N(AD1040)+IF(MATCH(D1041,$D$2:$D$2501,0)=ROW()-1,1,0))</f>
        <v/>
      </c>
    </row>
    <row r="1042">
      <c r="X1042" s="5">
        <f>IF(D1042="","",W1042*IF(AND(ISNUMBER(AB1042),AB1042&gt;0,AB1042&lt;1),AB1042*100,AB1042)/100)</f>
        <v/>
      </c>
      <c r="Y1042" s="5">
        <f>IF(D1042="","",AA1042*Z1042/100)</f>
        <v/>
      </c>
      <c r="Z1042" s="5">
        <f>IF(D1042="","",W1042-X1042)</f>
        <v/>
      </c>
      <c r="AC1042" s="5">
        <f>IF(D1042="","",Z1042-Y1042)</f>
        <v/>
      </c>
      <c r="AD1042">
        <f>IF(D1042="","",N(AD1041)+IF(MATCH(D1042,$D$2:$D$2501,0)=ROW()-1,1,0))</f>
        <v/>
      </c>
    </row>
    <row r="1043">
      <c r="X1043" s="5">
        <f>IF(D1043="","",W1043*IF(AND(ISNUMBER(AB1043),AB1043&gt;0,AB1043&lt;1),AB1043*100,AB1043)/100)</f>
        <v/>
      </c>
      <c r="Y1043" s="5">
        <f>IF(D1043="","",AA1043*Z1043/100)</f>
        <v/>
      </c>
      <c r="Z1043" s="5">
        <f>IF(D1043="","",W1043-X1043)</f>
        <v/>
      </c>
      <c r="AC1043" s="5">
        <f>IF(D1043="","",Z1043-Y1043)</f>
        <v/>
      </c>
      <c r="AD1043">
        <f>IF(D1043="","",N(AD1042)+IF(MATCH(D1043,$D$2:$D$2501,0)=ROW()-1,1,0))</f>
        <v/>
      </c>
    </row>
    <row r="1044">
      <c r="X1044" s="5">
        <f>IF(D1044="","",W1044*IF(AND(ISNUMBER(AB1044),AB1044&gt;0,AB1044&lt;1),AB1044*100,AB1044)/100)</f>
        <v/>
      </c>
      <c r="Y1044" s="5">
        <f>IF(D1044="","",AA1044*Z1044/100)</f>
        <v/>
      </c>
      <c r="Z1044" s="5">
        <f>IF(D1044="","",W1044-X1044)</f>
        <v/>
      </c>
      <c r="AC1044" s="5">
        <f>IF(D1044="","",Z1044-Y1044)</f>
        <v/>
      </c>
      <c r="AD1044">
        <f>IF(D1044="","",N(AD1043)+IF(MATCH(D1044,$D$2:$D$2501,0)=ROW()-1,1,0))</f>
        <v/>
      </c>
    </row>
    <row r="1045">
      <c r="X1045" s="5">
        <f>IF(D1045="","",W1045*IF(AND(ISNUMBER(AB1045),AB1045&gt;0,AB1045&lt;1),AB1045*100,AB1045)/100)</f>
        <v/>
      </c>
      <c r="Y1045" s="5">
        <f>IF(D1045="","",AA1045*Z1045/100)</f>
        <v/>
      </c>
      <c r="Z1045" s="5">
        <f>IF(D1045="","",W1045-X1045)</f>
        <v/>
      </c>
      <c r="AC1045" s="5">
        <f>IF(D1045="","",Z1045-Y1045)</f>
        <v/>
      </c>
      <c r="AD1045">
        <f>IF(D1045="","",N(AD1044)+IF(MATCH(D1045,$D$2:$D$2501,0)=ROW()-1,1,0))</f>
        <v/>
      </c>
    </row>
    <row r="1046">
      <c r="X1046" s="5">
        <f>IF(D1046="","",W1046*IF(AND(ISNUMBER(AB1046),AB1046&gt;0,AB1046&lt;1),AB1046*100,AB1046)/100)</f>
        <v/>
      </c>
      <c r="Y1046" s="5">
        <f>IF(D1046="","",AA1046*Z1046/100)</f>
        <v/>
      </c>
      <c r="Z1046" s="5">
        <f>IF(D1046="","",W1046-X1046)</f>
        <v/>
      </c>
      <c r="AC1046" s="5">
        <f>IF(D1046="","",Z1046-Y1046)</f>
        <v/>
      </c>
      <c r="AD1046">
        <f>IF(D1046="","",N(AD1045)+IF(MATCH(D1046,$D$2:$D$2501,0)=ROW()-1,1,0))</f>
        <v/>
      </c>
    </row>
    <row r="1047">
      <c r="X1047" s="5">
        <f>IF(D1047="","",W1047*IF(AND(ISNUMBER(AB1047),AB1047&gt;0,AB1047&lt;1),AB1047*100,AB1047)/100)</f>
        <v/>
      </c>
      <c r="Y1047" s="5">
        <f>IF(D1047="","",AA1047*Z1047/100)</f>
        <v/>
      </c>
      <c r="Z1047" s="5">
        <f>IF(D1047="","",W1047-X1047)</f>
        <v/>
      </c>
      <c r="AC1047" s="5">
        <f>IF(D1047="","",Z1047-Y1047)</f>
        <v/>
      </c>
      <c r="AD1047">
        <f>IF(D1047="","",N(AD1046)+IF(MATCH(D1047,$D$2:$D$2501,0)=ROW()-1,1,0))</f>
        <v/>
      </c>
    </row>
    <row r="1048">
      <c r="X1048" s="5">
        <f>IF(D1048="","",W1048*IF(AND(ISNUMBER(AB1048),AB1048&gt;0,AB1048&lt;1),AB1048*100,AB1048)/100)</f>
        <v/>
      </c>
      <c r="Y1048" s="5">
        <f>IF(D1048="","",AA1048*Z1048/100)</f>
        <v/>
      </c>
      <c r="Z1048" s="5">
        <f>IF(D1048="","",W1048-X1048)</f>
        <v/>
      </c>
      <c r="AC1048" s="5">
        <f>IF(D1048="","",Z1048-Y1048)</f>
        <v/>
      </c>
      <c r="AD1048">
        <f>IF(D1048="","",N(AD1047)+IF(MATCH(D1048,$D$2:$D$2501,0)=ROW()-1,1,0))</f>
        <v/>
      </c>
    </row>
    <row r="1049">
      <c r="X1049" s="5">
        <f>IF(D1049="","",W1049*IF(AND(ISNUMBER(AB1049),AB1049&gt;0,AB1049&lt;1),AB1049*100,AB1049)/100)</f>
        <v/>
      </c>
      <c r="Y1049" s="5">
        <f>IF(D1049="","",AA1049*Z1049/100)</f>
        <v/>
      </c>
      <c r="Z1049" s="5">
        <f>IF(D1049="","",W1049-X1049)</f>
        <v/>
      </c>
      <c r="AC1049" s="5">
        <f>IF(D1049="","",Z1049-Y1049)</f>
        <v/>
      </c>
      <c r="AD1049">
        <f>IF(D1049="","",N(AD1048)+IF(MATCH(D1049,$D$2:$D$2501,0)=ROW()-1,1,0))</f>
        <v/>
      </c>
    </row>
    <row r="1050">
      <c r="X1050" s="5">
        <f>IF(D1050="","",W1050*IF(AND(ISNUMBER(AB1050),AB1050&gt;0,AB1050&lt;1),AB1050*100,AB1050)/100)</f>
        <v/>
      </c>
      <c r="Y1050" s="5">
        <f>IF(D1050="","",AA1050*Z1050/100)</f>
        <v/>
      </c>
      <c r="Z1050" s="5">
        <f>IF(D1050="","",W1050-X1050)</f>
        <v/>
      </c>
      <c r="AC1050" s="5">
        <f>IF(D1050="","",Z1050-Y1050)</f>
        <v/>
      </c>
      <c r="AD1050">
        <f>IF(D1050="","",N(AD1049)+IF(MATCH(D1050,$D$2:$D$2501,0)=ROW()-1,1,0))</f>
        <v/>
      </c>
    </row>
    <row r="1051">
      <c r="X1051" s="5">
        <f>IF(D1051="","",W1051*IF(AND(ISNUMBER(AB1051),AB1051&gt;0,AB1051&lt;1),AB1051*100,AB1051)/100)</f>
        <v/>
      </c>
      <c r="Y1051" s="5">
        <f>IF(D1051="","",AA1051*Z1051/100)</f>
        <v/>
      </c>
      <c r="Z1051" s="5">
        <f>IF(D1051="","",W1051-X1051)</f>
        <v/>
      </c>
      <c r="AC1051" s="5">
        <f>IF(D1051="","",Z1051-Y1051)</f>
        <v/>
      </c>
      <c r="AD1051">
        <f>IF(D1051="","",N(AD1050)+IF(MATCH(D1051,$D$2:$D$2501,0)=ROW()-1,1,0))</f>
        <v/>
      </c>
    </row>
    <row r="1052">
      <c r="X1052" s="5">
        <f>IF(D1052="","",W1052*IF(AND(ISNUMBER(AB1052),AB1052&gt;0,AB1052&lt;1),AB1052*100,AB1052)/100)</f>
        <v/>
      </c>
      <c r="Y1052" s="5">
        <f>IF(D1052="","",AA1052*Z1052/100)</f>
        <v/>
      </c>
      <c r="Z1052" s="5">
        <f>IF(D1052="","",W1052-X1052)</f>
        <v/>
      </c>
      <c r="AC1052" s="5">
        <f>IF(D1052="","",Z1052-Y1052)</f>
        <v/>
      </c>
      <c r="AD1052">
        <f>IF(D1052="","",N(AD1051)+IF(MATCH(D1052,$D$2:$D$2501,0)=ROW()-1,1,0))</f>
        <v/>
      </c>
    </row>
    <row r="1053">
      <c r="X1053" s="5">
        <f>IF(D1053="","",W1053*IF(AND(ISNUMBER(AB1053),AB1053&gt;0,AB1053&lt;1),AB1053*100,AB1053)/100)</f>
        <v/>
      </c>
      <c r="Y1053" s="5">
        <f>IF(D1053="","",AA1053*Z1053/100)</f>
        <v/>
      </c>
      <c r="Z1053" s="5">
        <f>IF(D1053="","",W1053-X1053)</f>
        <v/>
      </c>
      <c r="AC1053" s="5">
        <f>IF(D1053="","",Z1053-Y1053)</f>
        <v/>
      </c>
      <c r="AD1053">
        <f>IF(D1053="","",N(AD1052)+IF(MATCH(D1053,$D$2:$D$2501,0)=ROW()-1,1,0))</f>
        <v/>
      </c>
    </row>
    <row r="1054">
      <c r="X1054" s="5">
        <f>IF(D1054="","",W1054*IF(AND(ISNUMBER(AB1054),AB1054&gt;0,AB1054&lt;1),AB1054*100,AB1054)/100)</f>
        <v/>
      </c>
      <c r="Y1054" s="5">
        <f>IF(D1054="","",AA1054*Z1054/100)</f>
        <v/>
      </c>
      <c r="Z1054" s="5">
        <f>IF(D1054="","",W1054-X1054)</f>
        <v/>
      </c>
      <c r="AC1054" s="5">
        <f>IF(D1054="","",Z1054-Y1054)</f>
        <v/>
      </c>
      <c r="AD1054">
        <f>IF(D1054="","",N(AD1053)+IF(MATCH(D1054,$D$2:$D$2501,0)=ROW()-1,1,0))</f>
        <v/>
      </c>
    </row>
    <row r="1055">
      <c r="X1055" s="5">
        <f>IF(D1055="","",W1055*IF(AND(ISNUMBER(AB1055),AB1055&gt;0,AB1055&lt;1),AB1055*100,AB1055)/100)</f>
        <v/>
      </c>
      <c r="Y1055" s="5">
        <f>IF(D1055="","",AA1055*Z1055/100)</f>
        <v/>
      </c>
      <c r="Z1055" s="5">
        <f>IF(D1055="","",W1055-X1055)</f>
        <v/>
      </c>
      <c r="AC1055" s="5">
        <f>IF(D1055="","",Z1055-Y1055)</f>
        <v/>
      </c>
      <c r="AD1055">
        <f>IF(D1055="","",N(AD1054)+IF(MATCH(D1055,$D$2:$D$2501,0)=ROW()-1,1,0))</f>
        <v/>
      </c>
    </row>
    <row r="1056">
      <c r="X1056" s="5">
        <f>IF(D1056="","",W1056*IF(AND(ISNUMBER(AB1056),AB1056&gt;0,AB1056&lt;1),AB1056*100,AB1056)/100)</f>
        <v/>
      </c>
      <c r="Y1056" s="5">
        <f>IF(D1056="","",AA1056*Z1056/100)</f>
        <v/>
      </c>
      <c r="Z1056" s="5">
        <f>IF(D1056="","",W1056-X1056)</f>
        <v/>
      </c>
      <c r="AC1056" s="5">
        <f>IF(D1056="","",Z1056-Y1056)</f>
        <v/>
      </c>
      <c r="AD1056">
        <f>IF(D1056="","",N(AD1055)+IF(MATCH(D1056,$D$2:$D$2501,0)=ROW()-1,1,0))</f>
        <v/>
      </c>
    </row>
    <row r="1057">
      <c r="X1057" s="5">
        <f>IF(D1057="","",W1057*IF(AND(ISNUMBER(AB1057),AB1057&gt;0,AB1057&lt;1),AB1057*100,AB1057)/100)</f>
        <v/>
      </c>
      <c r="Y1057" s="5">
        <f>IF(D1057="","",AA1057*Z1057/100)</f>
        <v/>
      </c>
      <c r="Z1057" s="5">
        <f>IF(D1057="","",W1057-X1057)</f>
        <v/>
      </c>
      <c r="AC1057" s="5">
        <f>IF(D1057="","",Z1057-Y1057)</f>
        <v/>
      </c>
      <c r="AD1057">
        <f>IF(D1057="","",N(AD1056)+IF(MATCH(D1057,$D$2:$D$2501,0)=ROW()-1,1,0))</f>
        <v/>
      </c>
    </row>
    <row r="1058">
      <c r="X1058" s="5">
        <f>IF(D1058="","",W1058*IF(AND(ISNUMBER(AB1058),AB1058&gt;0,AB1058&lt;1),AB1058*100,AB1058)/100)</f>
        <v/>
      </c>
      <c r="Y1058" s="5">
        <f>IF(D1058="","",AA1058*Z1058/100)</f>
        <v/>
      </c>
      <c r="Z1058" s="5">
        <f>IF(D1058="","",W1058-X1058)</f>
        <v/>
      </c>
      <c r="AC1058" s="5">
        <f>IF(D1058="","",Z1058-Y1058)</f>
        <v/>
      </c>
      <c r="AD1058">
        <f>IF(D1058="","",N(AD1057)+IF(MATCH(D1058,$D$2:$D$2501,0)=ROW()-1,1,0))</f>
        <v/>
      </c>
    </row>
    <row r="1059">
      <c r="X1059" s="5">
        <f>IF(D1059="","",W1059*IF(AND(ISNUMBER(AB1059),AB1059&gt;0,AB1059&lt;1),AB1059*100,AB1059)/100)</f>
        <v/>
      </c>
      <c r="Y1059" s="5">
        <f>IF(D1059="","",AA1059*Z1059/100)</f>
        <v/>
      </c>
      <c r="Z1059" s="5">
        <f>IF(D1059="","",W1059-X1059)</f>
        <v/>
      </c>
      <c r="AC1059" s="5">
        <f>IF(D1059="","",Z1059-Y1059)</f>
        <v/>
      </c>
      <c r="AD1059">
        <f>IF(D1059="","",N(AD1058)+IF(MATCH(D1059,$D$2:$D$2501,0)=ROW()-1,1,0))</f>
        <v/>
      </c>
    </row>
    <row r="1060">
      <c r="X1060" s="5">
        <f>IF(D1060="","",W1060*IF(AND(ISNUMBER(AB1060),AB1060&gt;0,AB1060&lt;1),AB1060*100,AB1060)/100)</f>
        <v/>
      </c>
      <c r="Y1060" s="5">
        <f>IF(D1060="","",AA1060*Z1060/100)</f>
        <v/>
      </c>
      <c r="Z1060" s="5">
        <f>IF(D1060="","",W1060-X1060)</f>
        <v/>
      </c>
      <c r="AC1060" s="5">
        <f>IF(D1060="","",Z1060-Y1060)</f>
        <v/>
      </c>
      <c r="AD1060">
        <f>IF(D1060="","",N(AD1059)+IF(MATCH(D1060,$D$2:$D$2501,0)=ROW()-1,1,0))</f>
        <v/>
      </c>
    </row>
    <row r="1061">
      <c r="X1061" s="5">
        <f>IF(D1061="","",W1061*IF(AND(ISNUMBER(AB1061),AB1061&gt;0,AB1061&lt;1),AB1061*100,AB1061)/100)</f>
        <v/>
      </c>
      <c r="Y1061" s="5">
        <f>IF(D1061="","",AA1061*Z1061/100)</f>
        <v/>
      </c>
      <c r="Z1061" s="5">
        <f>IF(D1061="","",W1061-X1061)</f>
        <v/>
      </c>
      <c r="AC1061" s="5">
        <f>IF(D1061="","",Z1061-Y1061)</f>
        <v/>
      </c>
      <c r="AD1061">
        <f>IF(D1061="","",N(AD1060)+IF(MATCH(D1061,$D$2:$D$2501,0)=ROW()-1,1,0))</f>
        <v/>
      </c>
    </row>
    <row r="1062">
      <c r="X1062" s="5">
        <f>IF(D1062="","",W1062*IF(AND(ISNUMBER(AB1062),AB1062&gt;0,AB1062&lt;1),AB1062*100,AB1062)/100)</f>
        <v/>
      </c>
      <c r="Y1062" s="5">
        <f>IF(D1062="","",AA1062*Z1062/100)</f>
        <v/>
      </c>
      <c r="Z1062" s="5">
        <f>IF(D1062="","",W1062-X1062)</f>
        <v/>
      </c>
      <c r="AC1062" s="5">
        <f>IF(D1062="","",Z1062-Y1062)</f>
        <v/>
      </c>
      <c r="AD1062">
        <f>IF(D1062="","",N(AD1061)+IF(MATCH(D1062,$D$2:$D$2501,0)=ROW()-1,1,0))</f>
        <v/>
      </c>
    </row>
    <row r="1063">
      <c r="X1063" s="5">
        <f>IF(D1063="","",W1063*IF(AND(ISNUMBER(AB1063),AB1063&gt;0,AB1063&lt;1),AB1063*100,AB1063)/100)</f>
        <v/>
      </c>
      <c r="Y1063" s="5">
        <f>IF(D1063="","",AA1063*Z1063/100)</f>
        <v/>
      </c>
      <c r="Z1063" s="5">
        <f>IF(D1063="","",W1063-X1063)</f>
        <v/>
      </c>
      <c r="AC1063" s="5">
        <f>IF(D1063="","",Z1063-Y1063)</f>
        <v/>
      </c>
      <c r="AD1063">
        <f>IF(D1063="","",N(AD1062)+IF(MATCH(D1063,$D$2:$D$2501,0)=ROW()-1,1,0))</f>
        <v/>
      </c>
    </row>
    <row r="1064">
      <c r="X1064" s="5">
        <f>IF(D1064="","",W1064*IF(AND(ISNUMBER(AB1064),AB1064&gt;0,AB1064&lt;1),AB1064*100,AB1064)/100)</f>
        <v/>
      </c>
      <c r="Y1064" s="5">
        <f>IF(D1064="","",AA1064*Z1064/100)</f>
        <v/>
      </c>
      <c r="Z1064" s="5">
        <f>IF(D1064="","",W1064-X1064)</f>
        <v/>
      </c>
      <c r="AC1064" s="5">
        <f>IF(D1064="","",Z1064-Y1064)</f>
        <v/>
      </c>
      <c r="AD1064">
        <f>IF(D1064="","",N(AD1063)+IF(MATCH(D1064,$D$2:$D$2501,0)=ROW()-1,1,0))</f>
        <v/>
      </c>
    </row>
    <row r="1065">
      <c r="X1065" s="5">
        <f>IF(D1065="","",W1065*IF(AND(ISNUMBER(AB1065),AB1065&gt;0,AB1065&lt;1),AB1065*100,AB1065)/100)</f>
        <v/>
      </c>
      <c r="Y1065" s="5">
        <f>IF(D1065="","",AA1065*Z1065/100)</f>
        <v/>
      </c>
      <c r="Z1065" s="5">
        <f>IF(D1065="","",W1065-X1065)</f>
        <v/>
      </c>
      <c r="AC1065" s="5">
        <f>IF(D1065="","",Z1065-Y1065)</f>
        <v/>
      </c>
      <c r="AD1065">
        <f>IF(D1065="","",N(AD1064)+IF(MATCH(D1065,$D$2:$D$2501,0)=ROW()-1,1,0))</f>
        <v/>
      </c>
    </row>
    <row r="1066">
      <c r="X1066" s="5">
        <f>IF(D1066="","",W1066*IF(AND(ISNUMBER(AB1066),AB1066&gt;0,AB1066&lt;1),AB1066*100,AB1066)/100)</f>
        <v/>
      </c>
      <c r="Y1066" s="5">
        <f>IF(D1066="","",AA1066*Z1066/100)</f>
        <v/>
      </c>
      <c r="Z1066" s="5">
        <f>IF(D1066="","",W1066-X1066)</f>
        <v/>
      </c>
      <c r="AC1066" s="5">
        <f>IF(D1066="","",Z1066-Y1066)</f>
        <v/>
      </c>
      <c r="AD1066">
        <f>IF(D1066="","",N(AD1065)+IF(MATCH(D1066,$D$2:$D$2501,0)=ROW()-1,1,0))</f>
        <v/>
      </c>
    </row>
    <row r="1067">
      <c r="X1067" s="5">
        <f>IF(D1067="","",W1067*IF(AND(ISNUMBER(AB1067),AB1067&gt;0,AB1067&lt;1),AB1067*100,AB1067)/100)</f>
        <v/>
      </c>
      <c r="Y1067" s="5">
        <f>IF(D1067="","",AA1067*Z1067/100)</f>
        <v/>
      </c>
      <c r="Z1067" s="5">
        <f>IF(D1067="","",W1067-X1067)</f>
        <v/>
      </c>
      <c r="AC1067" s="5">
        <f>IF(D1067="","",Z1067-Y1067)</f>
        <v/>
      </c>
      <c r="AD1067">
        <f>IF(D1067="","",N(AD1066)+IF(MATCH(D1067,$D$2:$D$2501,0)=ROW()-1,1,0))</f>
        <v/>
      </c>
    </row>
    <row r="1068">
      <c r="X1068" s="5">
        <f>IF(D1068="","",W1068*IF(AND(ISNUMBER(AB1068),AB1068&gt;0,AB1068&lt;1),AB1068*100,AB1068)/100)</f>
        <v/>
      </c>
      <c r="Y1068" s="5">
        <f>IF(D1068="","",AA1068*Z1068/100)</f>
        <v/>
      </c>
      <c r="Z1068" s="5">
        <f>IF(D1068="","",W1068-X1068)</f>
        <v/>
      </c>
      <c r="AC1068" s="5">
        <f>IF(D1068="","",Z1068-Y1068)</f>
        <v/>
      </c>
      <c r="AD1068">
        <f>IF(D1068="","",N(AD1067)+IF(MATCH(D1068,$D$2:$D$2501,0)=ROW()-1,1,0))</f>
        <v/>
      </c>
    </row>
    <row r="1069">
      <c r="X1069" s="5">
        <f>IF(D1069="","",W1069*IF(AND(ISNUMBER(AB1069),AB1069&gt;0,AB1069&lt;1),AB1069*100,AB1069)/100)</f>
        <v/>
      </c>
      <c r="Y1069" s="5">
        <f>IF(D1069="","",AA1069*Z1069/100)</f>
        <v/>
      </c>
      <c r="Z1069" s="5">
        <f>IF(D1069="","",W1069-X1069)</f>
        <v/>
      </c>
      <c r="AC1069" s="5">
        <f>IF(D1069="","",Z1069-Y1069)</f>
        <v/>
      </c>
      <c r="AD1069">
        <f>IF(D1069="","",N(AD1068)+IF(MATCH(D1069,$D$2:$D$2501,0)=ROW()-1,1,0))</f>
        <v/>
      </c>
    </row>
    <row r="1070">
      <c r="X1070" s="5">
        <f>IF(D1070="","",W1070*IF(AND(ISNUMBER(AB1070),AB1070&gt;0,AB1070&lt;1),AB1070*100,AB1070)/100)</f>
        <v/>
      </c>
      <c r="Y1070" s="5">
        <f>IF(D1070="","",AA1070*Z1070/100)</f>
        <v/>
      </c>
      <c r="Z1070" s="5">
        <f>IF(D1070="","",W1070-X1070)</f>
        <v/>
      </c>
      <c r="AC1070" s="5">
        <f>IF(D1070="","",Z1070-Y1070)</f>
        <v/>
      </c>
      <c r="AD1070">
        <f>IF(D1070="","",N(AD1069)+IF(MATCH(D1070,$D$2:$D$2501,0)=ROW()-1,1,0))</f>
        <v/>
      </c>
    </row>
    <row r="1071">
      <c r="X1071" s="5">
        <f>IF(D1071="","",W1071*IF(AND(ISNUMBER(AB1071),AB1071&gt;0,AB1071&lt;1),AB1071*100,AB1071)/100)</f>
        <v/>
      </c>
      <c r="Y1071" s="5">
        <f>IF(D1071="","",AA1071*Z1071/100)</f>
        <v/>
      </c>
      <c r="Z1071" s="5">
        <f>IF(D1071="","",W1071-X1071)</f>
        <v/>
      </c>
      <c r="AC1071" s="5">
        <f>IF(D1071="","",Z1071-Y1071)</f>
        <v/>
      </c>
      <c r="AD1071">
        <f>IF(D1071="","",N(AD1070)+IF(MATCH(D1071,$D$2:$D$2501,0)=ROW()-1,1,0))</f>
        <v/>
      </c>
    </row>
    <row r="1072">
      <c r="X1072" s="5">
        <f>IF(D1072="","",W1072*IF(AND(ISNUMBER(AB1072),AB1072&gt;0,AB1072&lt;1),AB1072*100,AB1072)/100)</f>
        <v/>
      </c>
      <c r="Y1072" s="5">
        <f>IF(D1072="","",AA1072*Z1072/100)</f>
        <v/>
      </c>
      <c r="Z1072" s="5">
        <f>IF(D1072="","",W1072-X1072)</f>
        <v/>
      </c>
      <c r="AC1072" s="5">
        <f>IF(D1072="","",Z1072-Y1072)</f>
        <v/>
      </c>
      <c r="AD1072">
        <f>IF(D1072="","",N(AD1071)+IF(MATCH(D1072,$D$2:$D$2501,0)=ROW()-1,1,0))</f>
        <v/>
      </c>
    </row>
    <row r="1073">
      <c r="X1073" s="5">
        <f>IF(D1073="","",W1073*IF(AND(ISNUMBER(AB1073),AB1073&gt;0,AB1073&lt;1),AB1073*100,AB1073)/100)</f>
        <v/>
      </c>
      <c r="Y1073" s="5">
        <f>IF(D1073="","",AA1073*Z1073/100)</f>
        <v/>
      </c>
      <c r="Z1073" s="5">
        <f>IF(D1073="","",W1073-X1073)</f>
        <v/>
      </c>
      <c r="AC1073" s="5">
        <f>IF(D1073="","",Z1073-Y1073)</f>
        <v/>
      </c>
      <c r="AD1073">
        <f>IF(D1073="","",N(AD1072)+IF(MATCH(D1073,$D$2:$D$2501,0)=ROW()-1,1,0))</f>
        <v/>
      </c>
    </row>
    <row r="1074">
      <c r="X1074" s="5">
        <f>IF(D1074="","",W1074*IF(AND(ISNUMBER(AB1074),AB1074&gt;0,AB1074&lt;1),AB1074*100,AB1074)/100)</f>
        <v/>
      </c>
      <c r="Y1074" s="5">
        <f>IF(D1074="","",AA1074*Z1074/100)</f>
        <v/>
      </c>
      <c r="Z1074" s="5">
        <f>IF(D1074="","",W1074-X1074)</f>
        <v/>
      </c>
      <c r="AC1074" s="5">
        <f>IF(D1074="","",Z1074-Y1074)</f>
        <v/>
      </c>
      <c r="AD1074">
        <f>IF(D1074="","",N(AD1073)+IF(MATCH(D1074,$D$2:$D$2501,0)=ROW()-1,1,0))</f>
        <v/>
      </c>
    </row>
    <row r="1075">
      <c r="X1075" s="5">
        <f>IF(D1075="","",W1075*IF(AND(ISNUMBER(AB1075),AB1075&gt;0,AB1075&lt;1),AB1075*100,AB1075)/100)</f>
        <v/>
      </c>
      <c r="Y1075" s="5">
        <f>IF(D1075="","",AA1075*Z1075/100)</f>
        <v/>
      </c>
      <c r="Z1075" s="5">
        <f>IF(D1075="","",W1075-X1075)</f>
        <v/>
      </c>
      <c r="AC1075" s="5">
        <f>IF(D1075="","",Z1075-Y1075)</f>
        <v/>
      </c>
      <c r="AD1075">
        <f>IF(D1075="","",N(AD1074)+IF(MATCH(D1075,$D$2:$D$2501,0)=ROW()-1,1,0))</f>
        <v/>
      </c>
    </row>
    <row r="1076">
      <c r="X1076" s="5">
        <f>IF(D1076="","",W1076*IF(AND(ISNUMBER(AB1076),AB1076&gt;0,AB1076&lt;1),AB1076*100,AB1076)/100)</f>
        <v/>
      </c>
      <c r="Y1076" s="5">
        <f>IF(D1076="","",AA1076*Z1076/100)</f>
        <v/>
      </c>
      <c r="Z1076" s="5">
        <f>IF(D1076="","",W1076-X1076)</f>
        <v/>
      </c>
      <c r="AC1076" s="5">
        <f>IF(D1076="","",Z1076-Y1076)</f>
        <v/>
      </c>
      <c r="AD1076">
        <f>IF(D1076="","",N(AD1075)+IF(MATCH(D1076,$D$2:$D$2501,0)=ROW()-1,1,0))</f>
        <v/>
      </c>
    </row>
    <row r="1077">
      <c r="X1077" s="5">
        <f>IF(D1077="","",W1077*IF(AND(ISNUMBER(AB1077),AB1077&gt;0,AB1077&lt;1),AB1077*100,AB1077)/100)</f>
        <v/>
      </c>
      <c r="Y1077" s="5">
        <f>IF(D1077="","",AA1077*Z1077/100)</f>
        <v/>
      </c>
      <c r="Z1077" s="5">
        <f>IF(D1077="","",W1077-X1077)</f>
        <v/>
      </c>
      <c r="AC1077" s="5">
        <f>IF(D1077="","",Z1077-Y1077)</f>
        <v/>
      </c>
      <c r="AD1077">
        <f>IF(D1077="","",N(AD1076)+IF(MATCH(D1077,$D$2:$D$2501,0)=ROW()-1,1,0))</f>
        <v/>
      </c>
    </row>
    <row r="1078">
      <c r="X1078" s="5">
        <f>IF(D1078="","",W1078*IF(AND(ISNUMBER(AB1078),AB1078&gt;0,AB1078&lt;1),AB1078*100,AB1078)/100)</f>
        <v/>
      </c>
      <c r="Y1078" s="5">
        <f>IF(D1078="","",AA1078*Z1078/100)</f>
        <v/>
      </c>
      <c r="Z1078" s="5">
        <f>IF(D1078="","",W1078-X1078)</f>
        <v/>
      </c>
      <c r="AC1078" s="5">
        <f>IF(D1078="","",Z1078-Y1078)</f>
        <v/>
      </c>
      <c r="AD1078">
        <f>IF(D1078="","",N(AD1077)+IF(MATCH(D1078,$D$2:$D$2501,0)=ROW()-1,1,0))</f>
        <v/>
      </c>
    </row>
    <row r="1079">
      <c r="X1079" s="5">
        <f>IF(D1079="","",W1079*IF(AND(ISNUMBER(AB1079),AB1079&gt;0,AB1079&lt;1),AB1079*100,AB1079)/100)</f>
        <v/>
      </c>
      <c r="Y1079" s="5">
        <f>IF(D1079="","",AA1079*Z1079/100)</f>
        <v/>
      </c>
      <c r="Z1079" s="5">
        <f>IF(D1079="","",W1079-X1079)</f>
        <v/>
      </c>
      <c r="AC1079" s="5">
        <f>IF(D1079="","",Z1079-Y1079)</f>
        <v/>
      </c>
      <c r="AD1079">
        <f>IF(D1079="","",N(AD1078)+IF(MATCH(D1079,$D$2:$D$2501,0)=ROW()-1,1,0))</f>
        <v/>
      </c>
    </row>
    <row r="1080">
      <c r="X1080" s="5">
        <f>IF(D1080="","",W1080*IF(AND(ISNUMBER(AB1080),AB1080&gt;0,AB1080&lt;1),AB1080*100,AB1080)/100)</f>
        <v/>
      </c>
      <c r="Y1080" s="5">
        <f>IF(D1080="","",AA1080*Z1080/100)</f>
        <v/>
      </c>
      <c r="Z1080" s="5">
        <f>IF(D1080="","",W1080-X1080)</f>
        <v/>
      </c>
      <c r="AC1080" s="5">
        <f>IF(D1080="","",Z1080-Y1080)</f>
        <v/>
      </c>
      <c r="AD1080">
        <f>IF(D1080="","",N(AD1079)+IF(MATCH(D1080,$D$2:$D$2501,0)=ROW()-1,1,0))</f>
        <v/>
      </c>
    </row>
    <row r="1081">
      <c r="X1081" s="5">
        <f>IF(D1081="","",W1081*IF(AND(ISNUMBER(AB1081),AB1081&gt;0,AB1081&lt;1),AB1081*100,AB1081)/100)</f>
        <v/>
      </c>
      <c r="Y1081" s="5">
        <f>IF(D1081="","",AA1081*Z1081/100)</f>
        <v/>
      </c>
      <c r="Z1081" s="5">
        <f>IF(D1081="","",W1081-X1081)</f>
        <v/>
      </c>
      <c r="AC1081" s="5">
        <f>IF(D1081="","",Z1081-Y1081)</f>
        <v/>
      </c>
      <c r="AD1081">
        <f>IF(D1081="","",N(AD1080)+IF(MATCH(D1081,$D$2:$D$2501,0)=ROW()-1,1,0))</f>
        <v/>
      </c>
    </row>
    <row r="1082">
      <c r="X1082" s="5">
        <f>IF(D1082="","",W1082*IF(AND(ISNUMBER(AB1082),AB1082&gt;0,AB1082&lt;1),AB1082*100,AB1082)/100)</f>
        <v/>
      </c>
      <c r="Y1082" s="5">
        <f>IF(D1082="","",AA1082*Z1082/100)</f>
        <v/>
      </c>
      <c r="Z1082" s="5">
        <f>IF(D1082="","",W1082-X1082)</f>
        <v/>
      </c>
      <c r="AC1082" s="5">
        <f>IF(D1082="","",Z1082-Y1082)</f>
        <v/>
      </c>
      <c r="AD1082">
        <f>IF(D1082="","",N(AD1081)+IF(MATCH(D1082,$D$2:$D$2501,0)=ROW()-1,1,0))</f>
        <v/>
      </c>
    </row>
    <row r="1083">
      <c r="X1083" s="5">
        <f>IF(D1083="","",W1083*IF(AND(ISNUMBER(AB1083),AB1083&gt;0,AB1083&lt;1),AB1083*100,AB1083)/100)</f>
        <v/>
      </c>
      <c r="Y1083" s="5">
        <f>IF(D1083="","",AA1083*Z1083/100)</f>
        <v/>
      </c>
      <c r="Z1083" s="5">
        <f>IF(D1083="","",W1083-X1083)</f>
        <v/>
      </c>
      <c r="AC1083" s="5">
        <f>IF(D1083="","",Z1083-Y1083)</f>
        <v/>
      </c>
      <c r="AD1083">
        <f>IF(D1083="","",N(AD1082)+IF(MATCH(D1083,$D$2:$D$2501,0)=ROW()-1,1,0))</f>
        <v/>
      </c>
    </row>
    <row r="1084">
      <c r="X1084" s="5">
        <f>IF(D1084="","",W1084*IF(AND(ISNUMBER(AB1084),AB1084&gt;0,AB1084&lt;1),AB1084*100,AB1084)/100)</f>
        <v/>
      </c>
      <c r="Y1084" s="5">
        <f>IF(D1084="","",AA1084*Z1084/100)</f>
        <v/>
      </c>
      <c r="Z1084" s="5">
        <f>IF(D1084="","",W1084-X1084)</f>
        <v/>
      </c>
      <c r="AC1084" s="5">
        <f>IF(D1084="","",Z1084-Y1084)</f>
        <v/>
      </c>
      <c r="AD1084">
        <f>IF(D1084="","",N(AD1083)+IF(MATCH(D1084,$D$2:$D$2501,0)=ROW()-1,1,0))</f>
        <v/>
      </c>
    </row>
    <row r="1085">
      <c r="X1085" s="5">
        <f>IF(D1085="","",W1085*IF(AND(ISNUMBER(AB1085),AB1085&gt;0,AB1085&lt;1),AB1085*100,AB1085)/100)</f>
        <v/>
      </c>
      <c r="Y1085" s="5">
        <f>IF(D1085="","",AA1085*Z1085/100)</f>
        <v/>
      </c>
      <c r="Z1085" s="5">
        <f>IF(D1085="","",W1085-X1085)</f>
        <v/>
      </c>
      <c r="AC1085" s="5">
        <f>IF(D1085="","",Z1085-Y1085)</f>
        <v/>
      </c>
      <c r="AD1085">
        <f>IF(D1085="","",N(AD1084)+IF(MATCH(D1085,$D$2:$D$2501,0)=ROW()-1,1,0))</f>
        <v/>
      </c>
    </row>
    <row r="1086">
      <c r="X1086" s="5">
        <f>IF(D1086="","",W1086*IF(AND(ISNUMBER(AB1086),AB1086&gt;0,AB1086&lt;1),AB1086*100,AB1086)/100)</f>
        <v/>
      </c>
      <c r="Y1086" s="5">
        <f>IF(D1086="","",AA1086*Z1086/100)</f>
        <v/>
      </c>
      <c r="Z1086" s="5">
        <f>IF(D1086="","",W1086-X1086)</f>
        <v/>
      </c>
      <c r="AC1086" s="5">
        <f>IF(D1086="","",Z1086-Y1086)</f>
        <v/>
      </c>
      <c r="AD1086">
        <f>IF(D1086="","",N(AD1085)+IF(MATCH(D1086,$D$2:$D$2501,0)=ROW()-1,1,0))</f>
        <v/>
      </c>
    </row>
    <row r="1087">
      <c r="X1087" s="5">
        <f>IF(D1087="","",W1087*IF(AND(ISNUMBER(AB1087),AB1087&gt;0,AB1087&lt;1),AB1087*100,AB1087)/100)</f>
        <v/>
      </c>
      <c r="Y1087" s="5">
        <f>IF(D1087="","",AA1087*Z1087/100)</f>
        <v/>
      </c>
      <c r="Z1087" s="5">
        <f>IF(D1087="","",W1087-X1087)</f>
        <v/>
      </c>
      <c r="AC1087" s="5">
        <f>IF(D1087="","",Z1087-Y1087)</f>
        <v/>
      </c>
      <c r="AD1087">
        <f>IF(D1087="","",N(AD1086)+IF(MATCH(D1087,$D$2:$D$2501,0)=ROW()-1,1,0))</f>
        <v/>
      </c>
    </row>
    <row r="1088">
      <c r="X1088" s="5">
        <f>IF(D1088="","",W1088*IF(AND(ISNUMBER(AB1088),AB1088&gt;0,AB1088&lt;1),AB1088*100,AB1088)/100)</f>
        <v/>
      </c>
      <c r="Y1088" s="5">
        <f>IF(D1088="","",AA1088*Z1088/100)</f>
        <v/>
      </c>
      <c r="Z1088" s="5">
        <f>IF(D1088="","",W1088-X1088)</f>
        <v/>
      </c>
      <c r="AC1088" s="5">
        <f>IF(D1088="","",Z1088-Y1088)</f>
        <v/>
      </c>
      <c r="AD1088">
        <f>IF(D1088="","",N(AD1087)+IF(MATCH(D1088,$D$2:$D$2501,0)=ROW()-1,1,0))</f>
        <v/>
      </c>
    </row>
    <row r="1089">
      <c r="X1089" s="5">
        <f>IF(D1089="","",W1089*IF(AND(ISNUMBER(AB1089),AB1089&gt;0,AB1089&lt;1),AB1089*100,AB1089)/100)</f>
        <v/>
      </c>
      <c r="Y1089" s="5">
        <f>IF(D1089="","",AA1089*Z1089/100)</f>
        <v/>
      </c>
      <c r="Z1089" s="5">
        <f>IF(D1089="","",W1089-X1089)</f>
        <v/>
      </c>
      <c r="AC1089" s="5">
        <f>IF(D1089="","",Z1089-Y1089)</f>
        <v/>
      </c>
      <c r="AD1089">
        <f>IF(D1089="","",N(AD1088)+IF(MATCH(D1089,$D$2:$D$2501,0)=ROW()-1,1,0))</f>
        <v/>
      </c>
    </row>
    <row r="1090">
      <c r="X1090" s="5">
        <f>IF(D1090="","",W1090*IF(AND(ISNUMBER(AB1090),AB1090&gt;0,AB1090&lt;1),AB1090*100,AB1090)/100)</f>
        <v/>
      </c>
      <c r="Y1090" s="5">
        <f>IF(D1090="","",AA1090*Z1090/100)</f>
        <v/>
      </c>
      <c r="Z1090" s="5">
        <f>IF(D1090="","",W1090-X1090)</f>
        <v/>
      </c>
      <c r="AC1090" s="5">
        <f>IF(D1090="","",Z1090-Y1090)</f>
        <v/>
      </c>
      <c r="AD1090">
        <f>IF(D1090="","",N(AD1089)+IF(MATCH(D1090,$D$2:$D$2501,0)=ROW()-1,1,0))</f>
        <v/>
      </c>
    </row>
    <row r="1091">
      <c r="X1091" s="5">
        <f>IF(D1091="","",W1091*IF(AND(ISNUMBER(AB1091),AB1091&gt;0,AB1091&lt;1),AB1091*100,AB1091)/100)</f>
        <v/>
      </c>
      <c r="Y1091" s="5">
        <f>IF(D1091="","",AA1091*Z1091/100)</f>
        <v/>
      </c>
      <c r="Z1091" s="5">
        <f>IF(D1091="","",W1091-X1091)</f>
        <v/>
      </c>
      <c r="AC1091" s="5">
        <f>IF(D1091="","",Z1091-Y1091)</f>
        <v/>
      </c>
      <c r="AD1091">
        <f>IF(D1091="","",N(AD1090)+IF(MATCH(D1091,$D$2:$D$2501,0)=ROW()-1,1,0))</f>
        <v/>
      </c>
    </row>
    <row r="1092">
      <c r="X1092" s="5">
        <f>IF(D1092="","",W1092*IF(AND(ISNUMBER(AB1092),AB1092&gt;0,AB1092&lt;1),AB1092*100,AB1092)/100)</f>
        <v/>
      </c>
      <c r="Y1092" s="5">
        <f>IF(D1092="","",AA1092*Z1092/100)</f>
        <v/>
      </c>
      <c r="Z1092" s="5">
        <f>IF(D1092="","",W1092-X1092)</f>
        <v/>
      </c>
      <c r="AC1092" s="5">
        <f>IF(D1092="","",Z1092-Y1092)</f>
        <v/>
      </c>
      <c r="AD1092">
        <f>IF(D1092="","",N(AD1091)+IF(MATCH(D1092,$D$2:$D$2501,0)=ROW()-1,1,0))</f>
        <v/>
      </c>
    </row>
    <row r="1093">
      <c r="X1093" s="5">
        <f>IF(D1093="","",W1093*IF(AND(ISNUMBER(AB1093),AB1093&gt;0,AB1093&lt;1),AB1093*100,AB1093)/100)</f>
        <v/>
      </c>
      <c r="Y1093" s="5">
        <f>IF(D1093="","",AA1093*Z1093/100)</f>
        <v/>
      </c>
      <c r="Z1093" s="5">
        <f>IF(D1093="","",W1093-X1093)</f>
        <v/>
      </c>
      <c r="AC1093" s="5">
        <f>IF(D1093="","",Z1093-Y1093)</f>
        <v/>
      </c>
      <c r="AD1093">
        <f>IF(D1093="","",N(AD1092)+IF(MATCH(D1093,$D$2:$D$2501,0)=ROW()-1,1,0))</f>
        <v/>
      </c>
    </row>
    <row r="1094">
      <c r="X1094" s="5">
        <f>IF(D1094="","",W1094*IF(AND(ISNUMBER(AB1094),AB1094&gt;0,AB1094&lt;1),AB1094*100,AB1094)/100)</f>
        <v/>
      </c>
      <c r="Y1094" s="5">
        <f>IF(D1094="","",AA1094*Z1094/100)</f>
        <v/>
      </c>
      <c r="Z1094" s="5">
        <f>IF(D1094="","",W1094-X1094)</f>
        <v/>
      </c>
      <c r="AC1094" s="5">
        <f>IF(D1094="","",Z1094-Y1094)</f>
        <v/>
      </c>
      <c r="AD1094">
        <f>IF(D1094="","",N(AD1093)+IF(MATCH(D1094,$D$2:$D$2501,0)=ROW()-1,1,0))</f>
        <v/>
      </c>
    </row>
    <row r="1095">
      <c r="X1095" s="5">
        <f>IF(D1095="","",W1095*IF(AND(ISNUMBER(AB1095),AB1095&gt;0,AB1095&lt;1),AB1095*100,AB1095)/100)</f>
        <v/>
      </c>
      <c r="Y1095" s="5">
        <f>IF(D1095="","",AA1095*Z1095/100)</f>
        <v/>
      </c>
      <c r="Z1095" s="5">
        <f>IF(D1095="","",W1095-X1095)</f>
        <v/>
      </c>
      <c r="AC1095" s="5">
        <f>IF(D1095="","",Z1095-Y1095)</f>
        <v/>
      </c>
      <c r="AD1095">
        <f>IF(D1095="","",N(AD1094)+IF(MATCH(D1095,$D$2:$D$2501,0)=ROW()-1,1,0))</f>
        <v/>
      </c>
    </row>
    <row r="1096">
      <c r="X1096" s="5">
        <f>IF(D1096="","",W1096*IF(AND(ISNUMBER(AB1096),AB1096&gt;0,AB1096&lt;1),AB1096*100,AB1096)/100)</f>
        <v/>
      </c>
      <c r="Y1096" s="5">
        <f>IF(D1096="","",AA1096*Z1096/100)</f>
        <v/>
      </c>
      <c r="Z1096" s="5">
        <f>IF(D1096="","",W1096-X1096)</f>
        <v/>
      </c>
      <c r="AC1096" s="5">
        <f>IF(D1096="","",Z1096-Y1096)</f>
        <v/>
      </c>
      <c r="AD1096">
        <f>IF(D1096="","",N(AD1095)+IF(MATCH(D1096,$D$2:$D$2501,0)=ROW()-1,1,0))</f>
        <v/>
      </c>
    </row>
    <row r="1097">
      <c r="X1097" s="5">
        <f>IF(D1097="","",W1097*IF(AND(ISNUMBER(AB1097),AB1097&gt;0,AB1097&lt;1),AB1097*100,AB1097)/100)</f>
        <v/>
      </c>
      <c r="Y1097" s="5">
        <f>IF(D1097="","",AA1097*Z1097/100)</f>
        <v/>
      </c>
      <c r="Z1097" s="5">
        <f>IF(D1097="","",W1097-X1097)</f>
        <v/>
      </c>
      <c r="AC1097" s="5">
        <f>IF(D1097="","",Z1097-Y1097)</f>
        <v/>
      </c>
      <c r="AD1097">
        <f>IF(D1097="","",N(AD1096)+IF(MATCH(D1097,$D$2:$D$2501,0)=ROW()-1,1,0))</f>
        <v/>
      </c>
    </row>
    <row r="1098">
      <c r="X1098" s="5">
        <f>IF(D1098="","",W1098*IF(AND(ISNUMBER(AB1098),AB1098&gt;0,AB1098&lt;1),AB1098*100,AB1098)/100)</f>
        <v/>
      </c>
      <c r="Y1098" s="5">
        <f>IF(D1098="","",AA1098*Z1098/100)</f>
        <v/>
      </c>
      <c r="Z1098" s="5">
        <f>IF(D1098="","",W1098-X1098)</f>
        <v/>
      </c>
      <c r="AC1098" s="5">
        <f>IF(D1098="","",Z1098-Y1098)</f>
        <v/>
      </c>
      <c r="AD1098">
        <f>IF(D1098="","",N(AD1097)+IF(MATCH(D1098,$D$2:$D$2501,0)=ROW()-1,1,0))</f>
        <v/>
      </c>
    </row>
    <row r="1099">
      <c r="X1099" s="5">
        <f>IF(D1099="","",W1099*IF(AND(ISNUMBER(AB1099),AB1099&gt;0,AB1099&lt;1),AB1099*100,AB1099)/100)</f>
        <v/>
      </c>
      <c r="Y1099" s="5">
        <f>IF(D1099="","",AA1099*Z1099/100)</f>
        <v/>
      </c>
      <c r="Z1099" s="5">
        <f>IF(D1099="","",W1099-X1099)</f>
        <v/>
      </c>
      <c r="AC1099" s="5">
        <f>IF(D1099="","",Z1099-Y1099)</f>
        <v/>
      </c>
      <c r="AD1099">
        <f>IF(D1099="","",N(AD1098)+IF(MATCH(D1099,$D$2:$D$2501,0)=ROW()-1,1,0))</f>
        <v/>
      </c>
    </row>
    <row r="1100">
      <c r="X1100" s="5">
        <f>IF(D1100="","",W1100*IF(AND(ISNUMBER(AB1100),AB1100&gt;0,AB1100&lt;1),AB1100*100,AB1100)/100)</f>
        <v/>
      </c>
      <c r="Y1100" s="5">
        <f>IF(D1100="","",AA1100*Z1100/100)</f>
        <v/>
      </c>
      <c r="Z1100" s="5">
        <f>IF(D1100="","",W1100-X1100)</f>
        <v/>
      </c>
      <c r="AC1100" s="5">
        <f>IF(D1100="","",Z1100-Y1100)</f>
        <v/>
      </c>
      <c r="AD1100">
        <f>IF(D1100="","",N(AD1099)+IF(MATCH(D1100,$D$2:$D$2501,0)=ROW()-1,1,0))</f>
        <v/>
      </c>
    </row>
    <row r="1101">
      <c r="X1101" s="5">
        <f>IF(D1101="","",W1101*IF(AND(ISNUMBER(AB1101),AB1101&gt;0,AB1101&lt;1),AB1101*100,AB1101)/100)</f>
        <v/>
      </c>
      <c r="Y1101" s="5">
        <f>IF(D1101="","",AA1101*Z1101/100)</f>
        <v/>
      </c>
      <c r="Z1101" s="5">
        <f>IF(D1101="","",W1101-X1101)</f>
        <v/>
      </c>
      <c r="AC1101" s="5">
        <f>IF(D1101="","",Z1101-Y1101)</f>
        <v/>
      </c>
      <c r="AD1101">
        <f>IF(D1101="","",N(AD1100)+IF(MATCH(D1101,$D$2:$D$2501,0)=ROW()-1,1,0))</f>
        <v/>
      </c>
    </row>
    <row r="1102">
      <c r="X1102" s="5">
        <f>IF(D1102="","",W1102*IF(AND(ISNUMBER(AB1102),AB1102&gt;0,AB1102&lt;1),AB1102*100,AB1102)/100)</f>
        <v/>
      </c>
      <c r="Y1102" s="5">
        <f>IF(D1102="","",AA1102*Z1102/100)</f>
        <v/>
      </c>
      <c r="Z1102" s="5">
        <f>IF(D1102="","",W1102-X1102)</f>
        <v/>
      </c>
      <c r="AC1102" s="5">
        <f>IF(D1102="","",Z1102-Y1102)</f>
        <v/>
      </c>
      <c r="AD1102">
        <f>IF(D1102="","",N(AD1101)+IF(MATCH(D1102,$D$2:$D$2501,0)=ROW()-1,1,0))</f>
        <v/>
      </c>
    </row>
    <row r="1103">
      <c r="X1103" s="5">
        <f>IF(D1103="","",W1103*IF(AND(ISNUMBER(AB1103),AB1103&gt;0,AB1103&lt;1),AB1103*100,AB1103)/100)</f>
        <v/>
      </c>
      <c r="Y1103" s="5">
        <f>IF(D1103="","",AA1103*Z1103/100)</f>
        <v/>
      </c>
      <c r="Z1103" s="5">
        <f>IF(D1103="","",W1103-X1103)</f>
        <v/>
      </c>
      <c r="AC1103" s="5">
        <f>IF(D1103="","",Z1103-Y1103)</f>
        <v/>
      </c>
      <c r="AD1103">
        <f>IF(D1103="","",N(AD1102)+IF(MATCH(D1103,$D$2:$D$2501,0)=ROW()-1,1,0))</f>
        <v/>
      </c>
    </row>
    <row r="1104">
      <c r="X1104" s="5">
        <f>IF(D1104="","",W1104*IF(AND(ISNUMBER(AB1104),AB1104&gt;0,AB1104&lt;1),AB1104*100,AB1104)/100)</f>
        <v/>
      </c>
      <c r="Y1104" s="5">
        <f>IF(D1104="","",AA1104*Z1104/100)</f>
        <v/>
      </c>
      <c r="Z1104" s="5">
        <f>IF(D1104="","",W1104-X1104)</f>
        <v/>
      </c>
      <c r="AC1104" s="5">
        <f>IF(D1104="","",Z1104-Y1104)</f>
        <v/>
      </c>
      <c r="AD1104">
        <f>IF(D1104="","",N(AD1103)+IF(MATCH(D1104,$D$2:$D$2501,0)=ROW()-1,1,0))</f>
        <v/>
      </c>
    </row>
    <row r="1105">
      <c r="X1105" s="5">
        <f>IF(D1105="","",W1105*IF(AND(ISNUMBER(AB1105),AB1105&gt;0,AB1105&lt;1),AB1105*100,AB1105)/100)</f>
        <v/>
      </c>
      <c r="Y1105" s="5">
        <f>IF(D1105="","",AA1105*Z1105/100)</f>
        <v/>
      </c>
      <c r="Z1105" s="5">
        <f>IF(D1105="","",W1105-X1105)</f>
        <v/>
      </c>
      <c r="AC1105" s="5">
        <f>IF(D1105="","",Z1105-Y1105)</f>
        <v/>
      </c>
      <c r="AD1105">
        <f>IF(D1105="","",N(AD1104)+IF(MATCH(D1105,$D$2:$D$2501,0)=ROW()-1,1,0))</f>
        <v/>
      </c>
    </row>
    <row r="1106">
      <c r="X1106" s="5">
        <f>IF(D1106="","",W1106*IF(AND(ISNUMBER(AB1106),AB1106&gt;0,AB1106&lt;1),AB1106*100,AB1106)/100)</f>
        <v/>
      </c>
      <c r="Y1106" s="5">
        <f>IF(D1106="","",AA1106*Z1106/100)</f>
        <v/>
      </c>
      <c r="Z1106" s="5">
        <f>IF(D1106="","",W1106-X1106)</f>
        <v/>
      </c>
      <c r="AC1106" s="5">
        <f>IF(D1106="","",Z1106-Y1106)</f>
        <v/>
      </c>
      <c r="AD1106">
        <f>IF(D1106="","",N(AD1105)+IF(MATCH(D1106,$D$2:$D$2501,0)=ROW()-1,1,0))</f>
        <v/>
      </c>
    </row>
    <row r="1107">
      <c r="X1107" s="5">
        <f>IF(D1107="","",W1107*IF(AND(ISNUMBER(AB1107),AB1107&gt;0,AB1107&lt;1),AB1107*100,AB1107)/100)</f>
        <v/>
      </c>
      <c r="Y1107" s="5">
        <f>IF(D1107="","",AA1107*Z1107/100)</f>
        <v/>
      </c>
      <c r="Z1107" s="5">
        <f>IF(D1107="","",W1107-X1107)</f>
        <v/>
      </c>
      <c r="AC1107" s="5">
        <f>IF(D1107="","",Z1107-Y1107)</f>
        <v/>
      </c>
      <c r="AD1107">
        <f>IF(D1107="","",N(AD1106)+IF(MATCH(D1107,$D$2:$D$2501,0)=ROW()-1,1,0))</f>
        <v/>
      </c>
    </row>
    <row r="1108">
      <c r="X1108" s="5">
        <f>IF(D1108="","",W1108*IF(AND(ISNUMBER(AB1108),AB1108&gt;0,AB1108&lt;1),AB1108*100,AB1108)/100)</f>
        <v/>
      </c>
      <c r="Y1108" s="5">
        <f>IF(D1108="","",AA1108*Z1108/100)</f>
        <v/>
      </c>
      <c r="Z1108" s="5">
        <f>IF(D1108="","",W1108-X1108)</f>
        <v/>
      </c>
      <c r="AC1108" s="5">
        <f>IF(D1108="","",Z1108-Y1108)</f>
        <v/>
      </c>
      <c r="AD1108">
        <f>IF(D1108="","",N(AD1107)+IF(MATCH(D1108,$D$2:$D$2501,0)=ROW()-1,1,0))</f>
        <v/>
      </c>
    </row>
    <row r="1109">
      <c r="X1109" s="5">
        <f>IF(D1109="","",W1109*IF(AND(ISNUMBER(AB1109),AB1109&gt;0,AB1109&lt;1),AB1109*100,AB1109)/100)</f>
        <v/>
      </c>
      <c r="Y1109" s="5">
        <f>IF(D1109="","",AA1109*Z1109/100)</f>
        <v/>
      </c>
      <c r="Z1109" s="5">
        <f>IF(D1109="","",W1109-X1109)</f>
        <v/>
      </c>
      <c r="AC1109" s="5">
        <f>IF(D1109="","",Z1109-Y1109)</f>
        <v/>
      </c>
      <c r="AD1109">
        <f>IF(D1109="","",N(AD1108)+IF(MATCH(D1109,$D$2:$D$2501,0)=ROW()-1,1,0))</f>
        <v/>
      </c>
    </row>
    <row r="1110">
      <c r="X1110" s="5">
        <f>IF(D1110="","",W1110*IF(AND(ISNUMBER(AB1110),AB1110&gt;0,AB1110&lt;1),AB1110*100,AB1110)/100)</f>
        <v/>
      </c>
      <c r="Y1110" s="5">
        <f>IF(D1110="","",AA1110*Z1110/100)</f>
        <v/>
      </c>
      <c r="Z1110" s="5">
        <f>IF(D1110="","",W1110-X1110)</f>
        <v/>
      </c>
      <c r="AC1110" s="5">
        <f>IF(D1110="","",Z1110-Y1110)</f>
        <v/>
      </c>
      <c r="AD1110">
        <f>IF(D1110="","",N(AD1109)+IF(MATCH(D1110,$D$2:$D$2501,0)=ROW()-1,1,0))</f>
        <v/>
      </c>
    </row>
    <row r="1111">
      <c r="X1111" s="5">
        <f>IF(D1111="","",W1111*IF(AND(ISNUMBER(AB1111),AB1111&gt;0,AB1111&lt;1),AB1111*100,AB1111)/100)</f>
        <v/>
      </c>
      <c r="Y1111" s="5">
        <f>IF(D1111="","",AA1111*Z1111/100)</f>
        <v/>
      </c>
      <c r="Z1111" s="5">
        <f>IF(D1111="","",W1111-X1111)</f>
        <v/>
      </c>
      <c r="AC1111" s="5">
        <f>IF(D1111="","",Z1111-Y1111)</f>
        <v/>
      </c>
      <c r="AD1111">
        <f>IF(D1111="","",N(AD1110)+IF(MATCH(D1111,$D$2:$D$2501,0)=ROW()-1,1,0))</f>
        <v/>
      </c>
    </row>
    <row r="1112">
      <c r="X1112" s="5">
        <f>IF(D1112="","",W1112*IF(AND(ISNUMBER(AB1112),AB1112&gt;0,AB1112&lt;1),AB1112*100,AB1112)/100)</f>
        <v/>
      </c>
      <c r="Y1112" s="5">
        <f>IF(D1112="","",AA1112*Z1112/100)</f>
        <v/>
      </c>
      <c r="Z1112" s="5">
        <f>IF(D1112="","",W1112-X1112)</f>
        <v/>
      </c>
      <c r="AC1112" s="5">
        <f>IF(D1112="","",Z1112-Y1112)</f>
        <v/>
      </c>
      <c r="AD1112">
        <f>IF(D1112="","",N(AD1111)+IF(MATCH(D1112,$D$2:$D$2501,0)=ROW()-1,1,0))</f>
        <v/>
      </c>
    </row>
    <row r="1113">
      <c r="X1113" s="5">
        <f>IF(D1113="","",W1113*IF(AND(ISNUMBER(AB1113),AB1113&gt;0,AB1113&lt;1),AB1113*100,AB1113)/100)</f>
        <v/>
      </c>
      <c r="Y1113" s="5">
        <f>IF(D1113="","",AA1113*Z1113/100)</f>
        <v/>
      </c>
      <c r="Z1113" s="5">
        <f>IF(D1113="","",W1113-X1113)</f>
        <v/>
      </c>
      <c r="AC1113" s="5">
        <f>IF(D1113="","",Z1113-Y1113)</f>
        <v/>
      </c>
      <c r="AD1113">
        <f>IF(D1113="","",N(AD1112)+IF(MATCH(D1113,$D$2:$D$2501,0)=ROW()-1,1,0))</f>
        <v/>
      </c>
    </row>
    <row r="1114">
      <c r="X1114" s="5">
        <f>IF(D1114="","",W1114*IF(AND(ISNUMBER(AB1114),AB1114&gt;0,AB1114&lt;1),AB1114*100,AB1114)/100)</f>
        <v/>
      </c>
      <c r="Y1114" s="5">
        <f>IF(D1114="","",AA1114*Z1114/100)</f>
        <v/>
      </c>
      <c r="Z1114" s="5">
        <f>IF(D1114="","",W1114-X1114)</f>
        <v/>
      </c>
      <c r="AC1114" s="5">
        <f>IF(D1114="","",Z1114-Y1114)</f>
        <v/>
      </c>
      <c r="AD1114">
        <f>IF(D1114="","",N(AD1113)+IF(MATCH(D1114,$D$2:$D$2501,0)=ROW()-1,1,0))</f>
        <v/>
      </c>
    </row>
    <row r="1115">
      <c r="X1115" s="5">
        <f>IF(D1115="","",W1115*IF(AND(ISNUMBER(AB1115),AB1115&gt;0,AB1115&lt;1),AB1115*100,AB1115)/100)</f>
        <v/>
      </c>
      <c r="Y1115" s="5">
        <f>IF(D1115="","",AA1115*Z1115/100)</f>
        <v/>
      </c>
      <c r="Z1115" s="5">
        <f>IF(D1115="","",W1115-X1115)</f>
        <v/>
      </c>
      <c r="AC1115" s="5">
        <f>IF(D1115="","",Z1115-Y1115)</f>
        <v/>
      </c>
      <c r="AD1115">
        <f>IF(D1115="","",N(AD1114)+IF(MATCH(D1115,$D$2:$D$2501,0)=ROW()-1,1,0))</f>
        <v/>
      </c>
    </row>
    <row r="1116">
      <c r="X1116" s="5">
        <f>IF(D1116="","",W1116*IF(AND(ISNUMBER(AB1116),AB1116&gt;0,AB1116&lt;1),AB1116*100,AB1116)/100)</f>
        <v/>
      </c>
      <c r="Y1116" s="5">
        <f>IF(D1116="","",AA1116*Z1116/100)</f>
        <v/>
      </c>
      <c r="Z1116" s="5">
        <f>IF(D1116="","",W1116-X1116)</f>
        <v/>
      </c>
      <c r="AC1116" s="5">
        <f>IF(D1116="","",Z1116-Y1116)</f>
        <v/>
      </c>
      <c r="AD1116">
        <f>IF(D1116="","",N(AD1115)+IF(MATCH(D1116,$D$2:$D$2501,0)=ROW()-1,1,0))</f>
        <v/>
      </c>
    </row>
    <row r="1117">
      <c r="X1117" s="5">
        <f>IF(D1117="","",W1117*IF(AND(ISNUMBER(AB1117),AB1117&gt;0,AB1117&lt;1),AB1117*100,AB1117)/100)</f>
        <v/>
      </c>
      <c r="Y1117" s="5">
        <f>IF(D1117="","",AA1117*Z1117/100)</f>
        <v/>
      </c>
      <c r="Z1117" s="5">
        <f>IF(D1117="","",W1117-X1117)</f>
        <v/>
      </c>
      <c r="AC1117" s="5">
        <f>IF(D1117="","",Z1117-Y1117)</f>
        <v/>
      </c>
      <c r="AD1117">
        <f>IF(D1117="","",N(AD1116)+IF(MATCH(D1117,$D$2:$D$2501,0)=ROW()-1,1,0))</f>
        <v/>
      </c>
    </row>
    <row r="1118">
      <c r="X1118" s="5">
        <f>IF(D1118="","",W1118*IF(AND(ISNUMBER(AB1118),AB1118&gt;0,AB1118&lt;1),AB1118*100,AB1118)/100)</f>
        <v/>
      </c>
      <c r="Y1118" s="5">
        <f>IF(D1118="","",AA1118*Z1118/100)</f>
        <v/>
      </c>
      <c r="Z1118" s="5">
        <f>IF(D1118="","",W1118-X1118)</f>
        <v/>
      </c>
      <c r="AC1118" s="5">
        <f>IF(D1118="","",Z1118-Y1118)</f>
        <v/>
      </c>
      <c r="AD1118">
        <f>IF(D1118="","",N(AD1117)+IF(MATCH(D1118,$D$2:$D$2501,0)=ROW()-1,1,0))</f>
        <v/>
      </c>
    </row>
    <row r="1119">
      <c r="X1119" s="5">
        <f>IF(D1119="","",W1119*IF(AND(ISNUMBER(AB1119),AB1119&gt;0,AB1119&lt;1),AB1119*100,AB1119)/100)</f>
        <v/>
      </c>
      <c r="Y1119" s="5">
        <f>IF(D1119="","",AA1119*Z1119/100)</f>
        <v/>
      </c>
      <c r="Z1119" s="5">
        <f>IF(D1119="","",W1119-X1119)</f>
        <v/>
      </c>
      <c r="AC1119" s="5">
        <f>IF(D1119="","",Z1119-Y1119)</f>
        <v/>
      </c>
      <c r="AD1119">
        <f>IF(D1119="","",N(AD1118)+IF(MATCH(D1119,$D$2:$D$2501,0)=ROW()-1,1,0))</f>
        <v/>
      </c>
    </row>
    <row r="1120">
      <c r="X1120" s="5">
        <f>IF(D1120="","",W1120*IF(AND(ISNUMBER(AB1120),AB1120&gt;0,AB1120&lt;1),AB1120*100,AB1120)/100)</f>
        <v/>
      </c>
      <c r="Y1120" s="5">
        <f>IF(D1120="","",AA1120*Z1120/100)</f>
        <v/>
      </c>
      <c r="Z1120" s="5">
        <f>IF(D1120="","",W1120-X1120)</f>
        <v/>
      </c>
      <c r="AC1120" s="5">
        <f>IF(D1120="","",Z1120-Y1120)</f>
        <v/>
      </c>
      <c r="AD1120">
        <f>IF(D1120="","",N(AD1119)+IF(MATCH(D1120,$D$2:$D$2501,0)=ROW()-1,1,0))</f>
        <v/>
      </c>
    </row>
    <row r="1121">
      <c r="X1121" s="5">
        <f>IF(D1121="","",W1121*IF(AND(ISNUMBER(AB1121),AB1121&gt;0,AB1121&lt;1),AB1121*100,AB1121)/100)</f>
        <v/>
      </c>
      <c r="Y1121" s="5">
        <f>IF(D1121="","",AA1121*Z1121/100)</f>
        <v/>
      </c>
      <c r="Z1121" s="5">
        <f>IF(D1121="","",W1121-X1121)</f>
        <v/>
      </c>
      <c r="AC1121" s="5">
        <f>IF(D1121="","",Z1121-Y1121)</f>
        <v/>
      </c>
      <c r="AD1121">
        <f>IF(D1121="","",N(AD1120)+IF(MATCH(D1121,$D$2:$D$2501,0)=ROW()-1,1,0))</f>
        <v/>
      </c>
    </row>
    <row r="1122">
      <c r="X1122" s="5">
        <f>IF(D1122="","",W1122*IF(AND(ISNUMBER(AB1122),AB1122&gt;0,AB1122&lt;1),AB1122*100,AB1122)/100)</f>
        <v/>
      </c>
      <c r="Y1122" s="5">
        <f>IF(D1122="","",AA1122*Z1122/100)</f>
        <v/>
      </c>
      <c r="Z1122" s="5">
        <f>IF(D1122="","",W1122-X1122)</f>
        <v/>
      </c>
      <c r="AC1122" s="5">
        <f>IF(D1122="","",Z1122-Y1122)</f>
        <v/>
      </c>
      <c r="AD1122">
        <f>IF(D1122="","",N(AD1121)+IF(MATCH(D1122,$D$2:$D$2501,0)=ROW()-1,1,0))</f>
        <v/>
      </c>
    </row>
    <row r="1123">
      <c r="X1123" s="5">
        <f>IF(D1123="","",W1123*IF(AND(ISNUMBER(AB1123),AB1123&gt;0,AB1123&lt;1),AB1123*100,AB1123)/100)</f>
        <v/>
      </c>
      <c r="Y1123" s="5">
        <f>IF(D1123="","",AA1123*Z1123/100)</f>
        <v/>
      </c>
      <c r="Z1123" s="5">
        <f>IF(D1123="","",W1123-X1123)</f>
        <v/>
      </c>
      <c r="AC1123" s="5">
        <f>IF(D1123="","",Z1123-Y1123)</f>
        <v/>
      </c>
      <c r="AD1123">
        <f>IF(D1123="","",N(AD1122)+IF(MATCH(D1123,$D$2:$D$2501,0)=ROW()-1,1,0))</f>
        <v/>
      </c>
    </row>
    <row r="1124">
      <c r="X1124" s="5">
        <f>IF(D1124="","",W1124*IF(AND(ISNUMBER(AB1124),AB1124&gt;0,AB1124&lt;1),AB1124*100,AB1124)/100)</f>
        <v/>
      </c>
      <c r="Y1124" s="5">
        <f>IF(D1124="","",AA1124*Z1124/100)</f>
        <v/>
      </c>
      <c r="Z1124" s="5">
        <f>IF(D1124="","",W1124-X1124)</f>
        <v/>
      </c>
      <c r="AC1124" s="5">
        <f>IF(D1124="","",Z1124-Y1124)</f>
        <v/>
      </c>
      <c r="AD1124">
        <f>IF(D1124="","",N(AD1123)+IF(MATCH(D1124,$D$2:$D$2501,0)=ROW()-1,1,0))</f>
        <v/>
      </c>
    </row>
    <row r="1125">
      <c r="X1125" s="5">
        <f>IF(D1125="","",W1125*IF(AND(ISNUMBER(AB1125),AB1125&gt;0,AB1125&lt;1),AB1125*100,AB1125)/100)</f>
        <v/>
      </c>
      <c r="Y1125" s="5">
        <f>IF(D1125="","",AA1125*Z1125/100)</f>
        <v/>
      </c>
      <c r="Z1125" s="5">
        <f>IF(D1125="","",W1125-X1125)</f>
        <v/>
      </c>
      <c r="AC1125" s="5">
        <f>IF(D1125="","",Z1125-Y1125)</f>
        <v/>
      </c>
      <c r="AD1125">
        <f>IF(D1125="","",N(AD1124)+IF(MATCH(D1125,$D$2:$D$2501,0)=ROW()-1,1,0))</f>
        <v/>
      </c>
    </row>
    <row r="1126">
      <c r="X1126" s="5">
        <f>IF(D1126="","",W1126*IF(AND(ISNUMBER(AB1126),AB1126&gt;0,AB1126&lt;1),AB1126*100,AB1126)/100)</f>
        <v/>
      </c>
      <c r="Y1126" s="5">
        <f>IF(D1126="","",AA1126*Z1126/100)</f>
        <v/>
      </c>
      <c r="Z1126" s="5">
        <f>IF(D1126="","",W1126-X1126)</f>
        <v/>
      </c>
      <c r="AC1126" s="5">
        <f>IF(D1126="","",Z1126-Y1126)</f>
        <v/>
      </c>
      <c r="AD1126">
        <f>IF(D1126="","",N(AD1125)+IF(MATCH(D1126,$D$2:$D$2501,0)=ROW()-1,1,0))</f>
        <v/>
      </c>
    </row>
    <row r="1127">
      <c r="X1127" s="5">
        <f>IF(D1127="","",W1127*IF(AND(ISNUMBER(AB1127),AB1127&gt;0,AB1127&lt;1),AB1127*100,AB1127)/100)</f>
        <v/>
      </c>
      <c r="Y1127" s="5">
        <f>IF(D1127="","",AA1127*Z1127/100)</f>
        <v/>
      </c>
      <c r="Z1127" s="5">
        <f>IF(D1127="","",W1127-X1127)</f>
        <v/>
      </c>
      <c r="AC1127" s="5">
        <f>IF(D1127="","",Z1127-Y1127)</f>
        <v/>
      </c>
      <c r="AD1127">
        <f>IF(D1127="","",N(AD1126)+IF(MATCH(D1127,$D$2:$D$2501,0)=ROW()-1,1,0))</f>
        <v/>
      </c>
    </row>
    <row r="1128">
      <c r="X1128" s="5">
        <f>IF(D1128="","",W1128*IF(AND(ISNUMBER(AB1128),AB1128&gt;0,AB1128&lt;1),AB1128*100,AB1128)/100)</f>
        <v/>
      </c>
      <c r="Y1128" s="5">
        <f>IF(D1128="","",AA1128*Z1128/100)</f>
        <v/>
      </c>
      <c r="Z1128" s="5">
        <f>IF(D1128="","",W1128-X1128)</f>
        <v/>
      </c>
      <c r="AC1128" s="5">
        <f>IF(D1128="","",Z1128-Y1128)</f>
        <v/>
      </c>
      <c r="AD1128">
        <f>IF(D1128="","",N(AD1127)+IF(MATCH(D1128,$D$2:$D$2501,0)=ROW()-1,1,0))</f>
        <v/>
      </c>
    </row>
    <row r="1129">
      <c r="X1129" s="5">
        <f>IF(D1129="","",W1129*IF(AND(ISNUMBER(AB1129),AB1129&gt;0,AB1129&lt;1),AB1129*100,AB1129)/100)</f>
        <v/>
      </c>
      <c r="Y1129" s="5">
        <f>IF(D1129="","",AA1129*Z1129/100)</f>
        <v/>
      </c>
      <c r="Z1129" s="5">
        <f>IF(D1129="","",W1129-X1129)</f>
        <v/>
      </c>
      <c r="AC1129" s="5">
        <f>IF(D1129="","",Z1129-Y1129)</f>
        <v/>
      </c>
      <c r="AD1129">
        <f>IF(D1129="","",N(AD1128)+IF(MATCH(D1129,$D$2:$D$2501,0)=ROW()-1,1,0))</f>
        <v/>
      </c>
    </row>
    <row r="1130">
      <c r="X1130" s="5">
        <f>IF(D1130="","",W1130*IF(AND(ISNUMBER(AB1130),AB1130&gt;0,AB1130&lt;1),AB1130*100,AB1130)/100)</f>
        <v/>
      </c>
      <c r="Y1130" s="5">
        <f>IF(D1130="","",AA1130*Z1130/100)</f>
        <v/>
      </c>
      <c r="Z1130" s="5">
        <f>IF(D1130="","",W1130-X1130)</f>
        <v/>
      </c>
      <c r="AC1130" s="5">
        <f>IF(D1130="","",Z1130-Y1130)</f>
        <v/>
      </c>
      <c r="AD1130">
        <f>IF(D1130="","",N(AD1129)+IF(MATCH(D1130,$D$2:$D$2501,0)=ROW()-1,1,0))</f>
        <v/>
      </c>
    </row>
    <row r="1131">
      <c r="X1131" s="5">
        <f>IF(D1131="","",W1131*IF(AND(ISNUMBER(AB1131),AB1131&gt;0,AB1131&lt;1),AB1131*100,AB1131)/100)</f>
        <v/>
      </c>
      <c r="Y1131" s="5">
        <f>IF(D1131="","",AA1131*Z1131/100)</f>
        <v/>
      </c>
      <c r="Z1131" s="5">
        <f>IF(D1131="","",W1131-X1131)</f>
        <v/>
      </c>
      <c r="AC1131" s="5">
        <f>IF(D1131="","",Z1131-Y1131)</f>
        <v/>
      </c>
      <c r="AD1131">
        <f>IF(D1131="","",N(AD1130)+IF(MATCH(D1131,$D$2:$D$2501,0)=ROW()-1,1,0))</f>
        <v/>
      </c>
    </row>
    <row r="1132">
      <c r="X1132" s="5">
        <f>IF(D1132="","",W1132*IF(AND(ISNUMBER(AB1132),AB1132&gt;0,AB1132&lt;1),AB1132*100,AB1132)/100)</f>
        <v/>
      </c>
      <c r="Y1132" s="5">
        <f>IF(D1132="","",AA1132*Z1132/100)</f>
        <v/>
      </c>
      <c r="Z1132" s="5">
        <f>IF(D1132="","",W1132-X1132)</f>
        <v/>
      </c>
      <c r="AC1132" s="5">
        <f>IF(D1132="","",Z1132-Y1132)</f>
        <v/>
      </c>
      <c r="AD1132">
        <f>IF(D1132="","",N(AD1131)+IF(MATCH(D1132,$D$2:$D$2501,0)=ROW()-1,1,0))</f>
        <v/>
      </c>
    </row>
    <row r="1133">
      <c r="X1133" s="5">
        <f>IF(D1133="","",W1133*IF(AND(ISNUMBER(AB1133),AB1133&gt;0,AB1133&lt;1),AB1133*100,AB1133)/100)</f>
        <v/>
      </c>
      <c r="Y1133" s="5">
        <f>IF(D1133="","",AA1133*Z1133/100)</f>
        <v/>
      </c>
      <c r="Z1133" s="5">
        <f>IF(D1133="","",W1133-X1133)</f>
        <v/>
      </c>
      <c r="AC1133" s="5">
        <f>IF(D1133="","",Z1133-Y1133)</f>
        <v/>
      </c>
      <c r="AD1133">
        <f>IF(D1133="","",N(AD1132)+IF(MATCH(D1133,$D$2:$D$2501,0)=ROW()-1,1,0))</f>
        <v/>
      </c>
    </row>
    <row r="1134">
      <c r="X1134" s="5">
        <f>IF(D1134="","",W1134*IF(AND(ISNUMBER(AB1134),AB1134&gt;0,AB1134&lt;1),AB1134*100,AB1134)/100)</f>
        <v/>
      </c>
      <c r="Y1134" s="5">
        <f>IF(D1134="","",AA1134*Z1134/100)</f>
        <v/>
      </c>
      <c r="Z1134" s="5">
        <f>IF(D1134="","",W1134-X1134)</f>
        <v/>
      </c>
      <c r="AC1134" s="5">
        <f>IF(D1134="","",Z1134-Y1134)</f>
        <v/>
      </c>
      <c r="AD1134">
        <f>IF(D1134="","",N(AD1133)+IF(MATCH(D1134,$D$2:$D$2501,0)=ROW()-1,1,0))</f>
        <v/>
      </c>
    </row>
    <row r="1135">
      <c r="X1135" s="5">
        <f>IF(D1135="","",W1135*IF(AND(ISNUMBER(AB1135),AB1135&gt;0,AB1135&lt;1),AB1135*100,AB1135)/100)</f>
        <v/>
      </c>
      <c r="Y1135" s="5">
        <f>IF(D1135="","",AA1135*Z1135/100)</f>
        <v/>
      </c>
      <c r="Z1135" s="5">
        <f>IF(D1135="","",W1135-X1135)</f>
        <v/>
      </c>
      <c r="AC1135" s="5">
        <f>IF(D1135="","",Z1135-Y1135)</f>
        <v/>
      </c>
      <c r="AD1135">
        <f>IF(D1135="","",N(AD1134)+IF(MATCH(D1135,$D$2:$D$2501,0)=ROW()-1,1,0))</f>
        <v/>
      </c>
    </row>
    <row r="1136">
      <c r="X1136" s="5">
        <f>IF(D1136="","",W1136*IF(AND(ISNUMBER(AB1136),AB1136&gt;0,AB1136&lt;1),AB1136*100,AB1136)/100)</f>
        <v/>
      </c>
      <c r="Y1136" s="5">
        <f>IF(D1136="","",AA1136*Z1136/100)</f>
        <v/>
      </c>
      <c r="Z1136" s="5">
        <f>IF(D1136="","",W1136-X1136)</f>
        <v/>
      </c>
      <c r="AC1136" s="5">
        <f>IF(D1136="","",Z1136-Y1136)</f>
        <v/>
      </c>
      <c r="AD1136">
        <f>IF(D1136="","",N(AD1135)+IF(MATCH(D1136,$D$2:$D$2501,0)=ROW()-1,1,0))</f>
        <v/>
      </c>
    </row>
    <row r="1137">
      <c r="X1137" s="5">
        <f>IF(D1137="","",W1137*IF(AND(ISNUMBER(AB1137),AB1137&gt;0,AB1137&lt;1),AB1137*100,AB1137)/100)</f>
        <v/>
      </c>
      <c r="Y1137" s="5">
        <f>IF(D1137="","",AA1137*Z1137/100)</f>
        <v/>
      </c>
      <c r="Z1137" s="5">
        <f>IF(D1137="","",W1137-X1137)</f>
        <v/>
      </c>
      <c r="AC1137" s="5">
        <f>IF(D1137="","",Z1137-Y1137)</f>
        <v/>
      </c>
      <c r="AD1137">
        <f>IF(D1137="","",N(AD1136)+IF(MATCH(D1137,$D$2:$D$2501,0)=ROW()-1,1,0))</f>
        <v/>
      </c>
    </row>
    <row r="1138">
      <c r="X1138" s="5">
        <f>IF(D1138="","",W1138*IF(AND(ISNUMBER(AB1138),AB1138&gt;0,AB1138&lt;1),AB1138*100,AB1138)/100)</f>
        <v/>
      </c>
      <c r="Y1138" s="5">
        <f>IF(D1138="","",AA1138*Z1138/100)</f>
        <v/>
      </c>
      <c r="Z1138" s="5">
        <f>IF(D1138="","",W1138-X1138)</f>
        <v/>
      </c>
      <c r="AC1138" s="5">
        <f>IF(D1138="","",Z1138-Y1138)</f>
        <v/>
      </c>
      <c r="AD1138">
        <f>IF(D1138="","",N(AD1137)+IF(MATCH(D1138,$D$2:$D$2501,0)=ROW()-1,1,0))</f>
        <v/>
      </c>
    </row>
    <row r="1139">
      <c r="X1139" s="5">
        <f>IF(D1139="","",W1139*IF(AND(ISNUMBER(AB1139),AB1139&gt;0,AB1139&lt;1),AB1139*100,AB1139)/100)</f>
        <v/>
      </c>
      <c r="Y1139" s="5">
        <f>IF(D1139="","",AA1139*Z1139/100)</f>
        <v/>
      </c>
      <c r="Z1139" s="5">
        <f>IF(D1139="","",W1139-X1139)</f>
        <v/>
      </c>
      <c r="AC1139" s="5">
        <f>IF(D1139="","",Z1139-Y1139)</f>
        <v/>
      </c>
      <c r="AD1139">
        <f>IF(D1139="","",N(AD1138)+IF(MATCH(D1139,$D$2:$D$2501,0)=ROW()-1,1,0))</f>
        <v/>
      </c>
    </row>
    <row r="1140">
      <c r="X1140" s="5">
        <f>IF(D1140="","",W1140*IF(AND(ISNUMBER(AB1140),AB1140&gt;0,AB1140&lt;1),AB1140*100,AB1140)/100)</f>
        <v/>
      </c>
      <c r="Y1140" s="5">
        <f>IF(D1140="","",AA1140*Z1140/100)</f>
        <v/>
      </c>
      <c r="Z1140" s="5">
        <f>IF(D1140="","",W1140-X1140)</f>
        <v/>
      </c>
      <c r="AC1140" s="5">
        <f>IF(D1140="","",Z1140-Y1140)</f>
        <v/>
      </c>
      <c r="AD1140">
        <f>IF(D1140="","",N(AD1139)+IF(MATCH(D1140,$D$2:$D$2501,0)=ROW()-1,1,0))</f>
        <v/>
      </c>
    </row>
    <row r="1141">
      <c r="X1141" s="5">
        <f>IF(D1141="","",W1141*IF(AND(ISNUMBER(AB1141),AB1141&gt;0,AB1141&lt;1),AB1141*100,AB1141)/100)</f>
        <v/>
      </c>
      <c r="Y1141" s="5">
        <f>IF(D1141="","",AA1141*Z1141/100)</f>
        <v/>
      </c>
      <c r="Z1141" s="5">
        <f>IF(D1141="","",W1141-X1141)</f>
        <v/>
      </c>
      <c r="AC1141" s="5">
        <f>IF(D1141="","",Z1141-Y1141)</f>
        <v/>
      </c>
      <c r="AD1141">
        <f>IF(D1141="","",N(AD1140)+IF(MATCH(D1141,$D$2:$D$2501,0)=ROW()-1,1,0))</f>
        <v/>
      </c>
    </row>
    <row r="1142">
      <c r="X1142" s="5">
        <f>IF(D1142="","",W1142*IF(AND(ISNUMBER(AB1142),AB1142&gt;0,AB1142&lt;1),AB1142*100,AB1142)/100)</f>
        <v/>
      </c>
      <c r="Y1142" s="5">
        <f>IF(D1142="","",AA1142*Z1142/100)</f>
        <v/>
      </c>
      <c r="Z1142" s="5">
        <f>IF(D1142="","",W1142-X1142)</f>
        <v/>
      </c>
      <c r="AC1142" s="5">
        <f>IF(D1142="","",Z1142-Y1142)</f>
        <v/>
      </c>
      <c r="AD1142">
        <f>IF(D1142="","",N(AD1141)+IF(MATCH(D1142,$D$2:$D$2501,0)=ROW()-1,1,0))</f>
        <v/>
      </c>
    </row>
    <row r="1143">
      <c r="X1143" s="5">
        <f>IF(D1143="","",W1143*IF(AND(ISNUMBER(AB1143),AB1143&gt;0,AB1143&lt;1),AB1143*100,AB1143)/100)</f>
        <v/>
      </c>
      <c r="Y1143" s="5">
        <f>IF(D1143="","",AA1143*Z1143/100)</f>
        <v/>
      </c>
      <c r="Z1143" s="5">
        <f>IF(D1143="","",W1143-X1143)</f>
        <v/>
      </c>
      <c r="AC1143" s="5">
        <f>IF(D1143="","",Z1143-Y1143)</f>
        <v/>
      </c>
      <c r="AD1143">
        <f>IF(D1143="","",N(AD1142)+IF(MATCH(D1143,$D$2:$D$2501,0)=ROW()-1,1,0))</f>
        <v/>
      </c>
    </row>
    <row r="1144">
      <c r="X1144" s="5">
        <f>IF(D1144="","",W1144*IF(AND(ISNUMBER(AB1144),AB1144&gt;0,AB1144&lt;1),AB1144*100,AB1144)/100)</f>
        <v/>
      </c>
      <c r="Y1144" s="5">
        <f>IF(D1144="","",AA1144*Z1144/100)</f>
        <v/>
      </c>
      <c r="Z1144" s="5">
        <f>IF(D1144="","",W1144-X1144)</f>
        <v/>
      </c>
      <c r="AC1144" s="5">
        <f>IF(D1144="","",Z1144-Y1144)</f>
        <v/>
      </c>
      <c r="AD1144">
        <f>IF(D1144="","",N(AD1143)+IF(MATCH(D1144,$D$2:$D$2501,0)=ROW()-1,1,0))</f>
        <v/>
      </c>
    </row>
    <row r="1145">
      <c r="X1145" s="5">
        <f>IF(D1145="","",W1145*IF(AND(ISNUMBER(AB1145),AB1145&gt;0,AB1145&lt;1),AB1145*100,AB1145)/100)</f>
        <v/>
      </c>
      <c r="Y1145" s="5">
        <f>IF(D1145="","",AA1145*Z1145/100)</f>
        <v/>
      </c>
      <c r="Z1145" s="5">
        <f>IF(D1145="","",W1145-X1145)</f>
        <v/>
      </c>
      <c r="AC1145" s="5">
        <f>IF(D1145="","",Z1145-Y1145)</f>
        <v/>
      </c>
      <c r="AD1145">
        <f>IF(D1145="","",N(AD1144)+IF(MATCH(D1145,$D$2:$D$2501,0)=ROW()-1,1,0))</f>
        <v/>
      </c>
    </row>
    <row r="1146">
      <c r="X1146" s="5">
        <f>IF(D1146="","",W1146*IF(AND(ISNUMBER(AB1146),AB1146&gt;0,AB1146&lt;1),AB1146*100,AB1146)/100)</f>
        <v/>
      </c>
      <c r="Y1146" s="5">
        <f>IF(D1146="","",AA1146*Z1146/100)</f>
        <v/>
      </c>
      <c r="Z1146" s="5">
        <f>IF(D1146="","",W1146-X1146)</f>
        <v/>
      </c>
      <c r="AC1146" s="5">
        <f>IF(D1146="","",Z1146-Y1146)</f>
        <v/>
      </c>
      <c r="AD1146">
        <f>IF(D1146="","",N(AD1145)+IF(MATCH(D1146,$D$2:$D$2501,0)=ROW()-1,1,0))</f>
        <v/>
      </c>
    </row>
    <row r="1147">
      <c r="X1147" s="5">
        <f>IF(D1147="","",W1147*IF(AND(ISNUMBER(AB1147),AB1147&gt;0,AB1147&lt;1),AB1147*100,AB1147)/100)</f>
        <v/>
      </c>
      <c r="Y1147" s="5">
        <f>IF(D1147="","",AA1147*Z1147/100)</f>
        <v/>
      </c>
      <c r="Z1147" s="5">
        <f>IF(D1147="","",W1147-X1147)</f>
        <v/>
      </c>
      <c r="AC1147" s="5">
        <f>IF(D1147="","",Z1147-Y1147)</f>
        <v/>
      </c>
      <c r="AD1147">
        <f>IF(D1147="","",N(AD1146)+IF(MATCH(D1147,$D$2:$D$2501,0)=ROW()-1,1,0))</f>
        <v/>
      </c>
    </row>
    <row r="1148">
      <c r="X1148" s="5">
        <f>IF(D1148="","",W1148*IF(AND(ISNUMBER(AB1148),AB1148&gt;0,AB1148&lt;1),AB1148*100,AB1148)/100)</f>
        <v/>
      </c>
      <c r="Y1148" s="5">
        <f>IF(D1148="","",AA1148*Z1148/100)</f>
        <v/>
      </c>
      <c r="Z1148" s="5">
        <f>IF(D1148="","",W1148-X1148)</f>
        <v/>
      </c>
      <c r="AC1148" s="5">
        <f>IF(D1148="","",Z1148-Y1148)</f>
        <v/>
      </c>
      <c r="AD1148">
        <f>IF(D1148="","",N(AD1147)+IF(MATCH(D1148,$D$2:$D$2501,0)=ROW()-1,1,0))</f>
        <v/>
      </c>
    </row>
    <row r="1149">
      <c r="X1149" s="5">
        <f>IF(D1149="","",W1149*IF(AND(ISNUMBER(AB1149),AB1149&gt;0,AB1149&lt;1),AB1149*100,AB1149)/100)</f>
        <v/>
      </c>
      <c r="Y1149" s="5">
        <f>IF(D1149="","",AA1149*Z1149/100)</f>
        <v/>
      </c>
      <c r="Z1149" s="5">
        <f>IF(D1149="","",W1149-X1149)</f>
        <v/>
      </c>
      <c r="AC1149" s="5">
        <f>IF(D1149="","",Z1149-Y1149)</f>
        <v/>
      </c>
      <c r="AD1149">
        <f>IF(D1149="","",N(AD1148)+IF(MATCH(D1149,$D$2:$D$2501,0)=ROW()-1,1,0))</f>
        <v/>
      </c>
    </row>
    <row r="1150">
      <c r="X1150" s="5">
        <f>IF(D1150="","",W1150*IF(AND(ISNUMBER(AB1150),AB1150&gt;0,AB1150&lt;1),AB1150*100,AB1150)/100)</f>
        <v/>
      </c>
      <c r="Y1150" s="5">
        <f>IF(D1150="","",AA1150*Z1150/100)</f>
        <v/>
      </c>
      <c r="Z1150" s="5">
        <f>IF(D1150="","",W1150-X1150)</f>
        <v/>
      </c>
      <c r="AC1150" s="5">
        <f>IF(D1150="","",Z1150-Y1150)</f>
        <v/>
      </c>
      <c r="AD1150">
        <f>IF(D1150="","",N(AD1149)+IF(MATCH(D1150,$D$2:$D$2501,0)=ROW()-1,1,0))</f>
        <v/>
      </c>
    </row>
    <row r="1151">
      <c r="X1151" s="5">
        <f>IF(D1151="","",W1151*IF(AND(ISNUMBER(AB1151),AB1151&gt;0,AB1151&lt;1),AB1151*100,AB1151)/100)</f>
        <v/>
      </c>
      <c r="Y1151" s="5">
        <f>IF(D1151="","",AA1151*Z1151/100)</f>
        <v/>
      </c>
      <c r="Z1151" s="5">
        <f>IF(D1151="","",W1151-X1151)</f>
        <v/>
      </c>
      <c r="AC1151" s="5">
        <f>IF(D1151="","",Z1151-Y1151)</f>
        <v/>
      </c>
      <c r="AD1151">
        <f>IF(D1151="","",N(AD1150)+IF(MATCH(D1151,$D$2:$D$2501,0)=ROW()-1,1,0))</f>
        <v/>
      </c>
    </row>
    <row r="1152">
      <c r="X1152" s="5">
        <f>IF(D1152="","",W1152*IF(AND(ISNUMBER(AB1152),AB1152&gt;0,AB1152&lt;1),AB1152*100,AB1152)/100)</f>
        <v/>
      </c>
      <c r="Y1152" s="5">
        <f>IF(D1152="","",AA1152*Z1152/100)</f>
        <v/>
      </c>
      <c r="Z1152" s="5">
        <f>IF(D1152="","",W1152-X1152)</f>
        <v/>
      </c>
      <c r="AC1152" s="5">
        <f>IF(D1152="","",Z1152-Y1152)</f>
        <v/>
      </c>
      <c r="AD1152">
        <f>IF(D1152="","",N(AD1151)+IF(MATCH(D1152,$D$2:$D$2501,0)=ROW()-1,1,0))</f>
        <v/>
      </c>
    </row>
    <row r="1153">
      <c r="X1153" s="5">
        <f>IF(D1153="","",W1153*IF(AND(ISNUMBER(AB1153),AB1153&gt;0,AB1153&lt;1),AB1153*100,AB1153)/100)</f>
        <v/>
      </c>
      <c r="Y1153" s="5">
        <f>IF(D1153="","",AA1153*Z1153/100)</f>
        <v/>
      </c>
      <c r="Z1153" s="5">
        <f>IF(D1153="","",W1153-X1153)</f>
        <v/>
      </c>
      <c r="AC1153" s="5">
        <f>IF(D1153="","",Z1153-Y1153)</f>
        <v/>
      </c>
      <c r="AD1153">
        <f>IF(D1153="","",N(AD1152)+IF(MATCH(D1153,$D$2:$D$2501,0)=ROW()-1,1,0))</f>
        <v/>
      </c>
    </row>
    <row r="1154">
      <c r="X1154" s="5">
        <f>IF(D1154="","",W1154*IF(AND(ISNUMBER(AB1154),AB1154&gt;0,AB1154&lt;1),AB1154*100,AB1154)/100)</f>
        <v/>
      </c>
      <c r="Y1154" s="5">
        <f>IF(D1154="","",AA1154*Z1154/100)</f>
        <v/>
      </c>
      <c r="Z1154" s="5">
        <f>IF(D1154="","",W1154-X1154)</f>
        <v/>
      </c>
      <c r="AC1154" s="5">
        <f>IF(D1154="","",Z1154-Y1154)</f>
        <v/>
      </c>
      <c r="AD1154">
        <f>IF(D1154="","",N(AD1153)+IF(MATCH(D1154,$D$2:$D$2501,0)=ROW()-1,1,0))</f>
        <v/>
      </c>
    </row>
    <row r="1155">
      <c r="X1155" s="5">
        <f>IF(D1155="","",W1155*IF(AND(ISNUMBER(AB1155),AB1155&gt;0,AB1155&lt;1),AB1155*100,AB1155)/100)</f>
        <v/>
      </c>
      <c r="Y1155" s="5">
        <f>IF(D1155="","",AA1155*Z1155/100)</f>
        <v/>
      </c>
      <c r="Z1155" s="5">
        <f>IF(D1155="","",W1155-X1155)</f>
        <v/>
      </c>
      <c r="AC1155" s="5">
        <f>IF(D1155="","",Z1155-Y1155)</f>
        <v/>
      </c>
      <c r="AD1155">
        <f>IF(D1155="","",N(AD1154)+IF(MATCH(D1155,$D$2:$D$2501,0)=ROW()-1,1,0))</f>
        <v/>
      </c>
    </row>
    <row r="1156">
      <c r="X1156" s="5">
        <f>IF(D1156="","",W1156*IF(AND(ISNUMBER(AB1156),AB1156&gt;0,AB1156&lt;1),AB1156*100,AB1156)/100)</f>
        <v/>
      </c>
      <c r="Y1156" s="5">
        <f>IF(D1156="","",AA1156*Z1156/100)</f>
        <v/>
      </c>
      <c r="Z1156" s="5">
        <f>IF(D1156="","",W1156-X1156)</f>
        <v/>
      </c>
      <c r="AC1156" s="5">
        <f>IF(D1156="","",Z1156-Y1156)</f>
        <v/>
      </c>
      <c r="AD1156">
        <f>IF(D1156="","",N(AD1155)+IF(MATCH(D1156,$D$2:$D$2501,0)=ROW()-1,1,0))</f>
        <v/>
      </c>
    </row>
    <row r="1157">
      <c r="X1157" s="5">
        <f>IF(D1157="","",W1157*IF(AND(ISNUMBER(AB1157),AB1157&gt;0,AB1157&lt;1),AB1157*100,AB1157)/100)</f>
        <v/>
      </c>
      <c r="Y1157" s="5">
        <f>IF(D1157="","",AA1157*Z1157/100)</f>
        <v/>
      </c>
      <c r="Z1157" s="5">
        <f>IF(D1157="","",W1157-X1157)</f>
        <v/>
      </c>
      <c r="AC1157" s="5">
        <f>IF(D1157="","",Z1157-Y1157)</f>
        <v/>
      </c>
      <c r="AD1157">
        <f>IF(D1157="","",N(AD1156)+IF(MATCH(D1157,$D$2:$D$2501,0)=ROW()-1,1,0))</f>
        <v/>
      </c>
    </row>
    <row r="1158">
      <c r="X1158" s="5">
        <f>IF(D1158="","",W1158*IF(AND(ISNUMBER(AB1158),AB1158&gt;0,AB1158&lt;1),AB1158*100,AB1158)/100)</f>
        <v/>
      </c>
      <c r="Y1158" s="5">
        <f>IF(D1158="","",AA1158*Z1158/100)</f>
        <v/>
      </c>
      <c r="Z1158" s="5">
        <f>IF(D1158="","",W1158-X1158)</f>
        <v/>
      </c>
      <c r="AC1158" s="5">
        <f>IF(D1158="","",Z1158-Y1158)</f>
        <v/>
      </c>
      <c r="AD1158">
        <f>IF(D1158="","",N(AD1157)+IF(MATCH(D1158,$D$2:$D$2501,0)=ROW()-1,1,0))</f>
        <v/>
      </c>
    </row>
    <row r="1159">
      <c r="X1159" s="5">
        <f>IF(D1159="","",W1159*IF(AND(ISNUMBER(AB1159),AB1159&gt;0,AB1159&lt;1),AB1159*100,AB1159)/100)</f>
        <v/>
      </c>
      <c r="Y1159" s="5">
        <f>IF(D1159="","",AA1159*Z1159/100)</f>
        <v/>
      </c>
      <c r="Z1159" s="5">
        <f>IF(D1159="","",W1159-X1159)</f>
        <v/>
      </c>
      <c r="AC1159" s="5">
        <f>IF(D1159="","",Z1159-Y1159)</f>
        <v/>
      </c>
      <c r="AD1159">
        <f>IF(D1159="","",N(AD1158)+IF(MATCH(D1159,$D$2:$D$2501,0)=ROW()-1,1,0))</f>
        <v/>
      </c>
    </row>
    <row r="1160">
      <c r="X1160" s="5">
        <f>IF(D1160="","",W1160*IF(AND(ISNUMBER(AB1160),AB1160&gt;0,AB1160&lt;1),AB1160*100,AB1160)/100)</f>
        <v/>
      </c>
      <c r="Y1160" s="5">
        <f>IF(D1160="","",AA1160*Z1160/100)</f>
        <v/>
      </c>
      <c r="Z1160" s="5">
        <f>IF(D1160="","",W1160-X1160)</f>
        <v/>
      </c>
      <c r="AC1160" s="5">
        <f>IF(D1160="","",Z1160-Y1160)</f>
        <v/>
      </c>
      <c r="AD1160">
        <f>IF(D1160="","",N(AD1159)+IF(MATCH(D1160,$D$2:$D$2501,0)=ROW()-1,1,0))</f>
        <v/>
      </c>
    </row>
    <row r="1161">
      <c r="X1161" s="5">
        <f>IF(D1161="","",W1161*IF(AND(ISNUMBER(AB1161),AB1161&gt;0,AB1161&lt;1),AB1161*100,AB1161)/100)</f>
        <v/>
      </c>
      <c r="Y1161" s="5">
        <f>IF(D1161="","",AA1161*Z1161/100)</f>
        <v/>
      </c>
      <c r="Z1161" s="5">
        <f>IF(D1161="","",W1161-X1161)</f>
        <v/>
      </c>
      <c r="AC1161" s="5">
        <f>IF(D1161="","",Z1161-Y1161)</f>
        <v/>
      </c>
      <c r="AD1161">
        <f>IF(D1161="","",N(AD1160)+IF(MATCH(D1161,$D$2:$D$2501,0)=ROW()-1,1,0))</f>
        <v/>
      </c>
    </row>
    <row r="1162">
      <c r="X1162" s="5">
        <f>IF(D1162="","",W1162*IF(AND(ISNUMBER(AB1162),AB1162&gt;0,AB1162&lt;1),AB1162*100,AB1162)/100)</f>
        <v/>
      </c>
      <c r="Y1162" s="5">
        <f>IF(D1162="","",AA1162*Z1162/100)</f>
        <v/>
      </c>
      <c r="Z1162" s="5">
        <f>IF(D1162="","",W1162-X1162)</f>
        <v/>
      </c>
      <c r="AC1162" s="5">
        <f>IF(D1162="","",Z1162-Y1162)</f>
        <v/>
      </c>
      <c r="AD1162">
        <f>IF(D1162="","",N(AD1161)+IF(MATCH(D1162,$D$2:$D$2501,0)=ROW()-1,1,0))</f>
        <v/>
      </c>
    </row>
    <row r="1163">
      <c r="X1163" s="5">
        <f>IF(D1163="","",W1163*IF(AND(ISNUMBER(AB1163),AB1163&gt;0,AB1163&lt;1),AB1163*100,AB1163)/100)</f>
        <v/>
      </c>
      <c r="Y1163" s="5">
        <f>IF(D1163="","",AA1163*Z1163/100)</f>
        <v/>
      </c>
      <c r="Z1163" s="5">
        <f>IF(D1163="","",W1163-X1163)</f>
        <v/>
      </c>
      <c r="AC1163" s="5">
        <f>IF(D1163="","",Z1163-Y1163)</f>
        <v/>
      </c>
      <c r="AD1163">
        <f>IF(D1163="","",N(AD1162)+IF(MATCH(D1163,$D$2:$D$2501,0)=ROW()-1,1,0))</f>
        <v/>
      </c>
    </row>
    <row r="1164">
      <c r="X1164" s="5">
        <f>IF(D1164="","",W1164*IF(AND(ISNUMBER(AB1164),AB1164&gt;0,AB1164&lt;1),AB1164*100,AB1164)/100)</f>
        <v/>
      </c>
      <c r="Y1164" s="5">
        <f>IF(D1164="","",AA1164*Z1164/100)</f>
        <v/>
      </c>
      <c r="Z1164" s="5">
        <f>IF(D1164="","",W1164-X1164)</f>
        <v/>
      </c>
      <c r="AC1164" s="5">
        <f>IF(D1164="","",Z1164-Y1164)</f>
        <v/>
      </c>
      <c r="AD1164">
        <f>IF(D1164="","",N(AD1163)+IF(MATCH(D1164,$D$2:$D$2501,0)=ROW()-1,1,0))</f>
        <v/>
      </c>
    </row>
    <row r="1165">
      <c r="X1165" s="5">
        <f>IF(D1165="","",W1165*IF(AND(ISNUMBER(AB1165),AB1165&gt;0,AB1165&lt;1),AB1165*100,AB1165)/100)</f>
        <v/>
      </c>
      <c r="Y1165" s="5">
        <f>IF(D1165="","",AA1165*Z1165/100)</f>
        <v/>
      </c>
      <c r="Z1165" s="5">
        <f>IF(D1165="","",W1165-X1165)</f>
        <v/>
      </c>
      <c r="AC1165" s="5">
        <f>IF(D1165="","",Z1165-Y1165)</f>
        <v/>
      </c>
      <c r="AD1165">
        <f>IF(D1165="","",N(AD1164)+IF(MATCH(D1165,$D$2:$D$2501,0)=ROW()-1,1,0))</f>
        <v/>
      </c>
    </row>
    <row r="1166">
      <c r="X1166" s="5">
        <f>IF(D1166="","",W1166*IF(AND(ISNUMBER(AB1166),AB1166&gt;0,AB1166&lt;1),AB1166*100,AB1166)/100)</f>
        <v/>
      </c>
      <c r="Y1166" s="5">
        <f>IF(D1166="","",AA1166*Z1166/100)</f>
        <v/>
      </c>
      <c r="Z1166" s="5">
        <f>IF(D1166="","",W1166-X1166)</f>
        <v/>
      </c>
      <c r="AC1166" s="5">
        <f>IF(D1166="","",Z1166-Y1166)</f>
        <v/>
      </c>
      <c r="AD1166">
        <f>IF(D1166="","",N(AD1165)+IF(MATCH(D1166,$D$2:$D$2501,0)=ROW()-1,1,0))</f>
        <v/>
      </c>
    </row>
    <row r="1167">
      <c r="X1167" s="5">
        <f>IF(D1167="","",W1167*IF(AND(ISNUMBER(AB1167),AB1167&gt;0,AB1167&lt;1),AB1167*100,AB1167)/100)</f>
        <v/>
      </c>
      <c r="Y1167" s="5">
        <f>IF(D1167="","",AA1167*Z1167/100)</f>
        <v/>
      </c>
      <c r="Z1167" s="5">
        <f>IF(D1167="","",W1167-X1167)</f>
        <v/>
      </c>
      <c r="AC1167" s="5">
        <f>IF(D1167="","",Z1167-Y1167)</f>
        <v/>
      </c>
      <c r="AD1167">
        <f>IF(D1167="","",N(AD1166)+IF(MATCH(D1167,$D$2:$D$2501,0)=ROW()-1,1,0))</f>
        <v/>
      </c>
    </row>
    <row r="1168">
      <c r="X1168" s="5">
        <f>IF(D1168="","",W1168*IF(AND(ISNUMBER(AB1168),AB1168&gt;0,AB1168&lt;1),AB1168*100,AB1168)/100)</f>
        <v/>
      </c>
      <c r="Y1168" s="5">
        <f>IF(D1168="","",AA1168*Z1168/100)</f>
        <v/>
      </c>
      <c r="Z1168" s="5">
        <f>IF(D1168="","",W1168-X1168)</f>
        <v/>
      </c>
      <c r="AC1168" s="5">
        <f>IF(D1168="","",Z1168-Y1168)</f>
        <v/>
      </c>
      <c r="AD1168">
        <f>IF(D1168="","",N(AD1167)+IF(MATCH(D1168,$D$2:$D$2501,0)=ROW()-1,1,0))</f>
        <v/>
      </c>
    </row>
    <row r="1169">
      <c r="X1169" s="5">
        <f>IF(D1169="","",W1169*IF(AND(ISNUMBER(AB1169),AB1169&gt;0,AB1169&lt;1),AB1169*100,AB1169)/100)</f>
        <v/>
      </c>
      <c r="Y1169" s="5">
        <f>IF(D1169="","",AA1169*Z1169/100)</f>
        <v/>
      </c>
      <c r="Z1169" s="5">
        <f>IF(D1169="","",W1169-X1169)</f>
        <v/>
      </c>
      <c r="AC1169" s="5">
        <f>IF(D1169="","",Z1169-Y1169)</f>
        <v/>
      </c>
      <c r="AD1169">
        <f>IF(D1169="","",N(AD1168)+IF(MATCH(D1169,$D$2:$D$2501,0)=ROW()-1,1,0))</f>
        <v/>
      </c>
    </row>
    <row r="1170">
      <c r="X1170" s="5">
        <f>IF(D1170="","",W1170*IF(AND(ISNUMBER(AB1170),AB1170&gt;0,AB1170&lt;1),AB1170*100,AB1170)/100)</f>
        <v/>
      </c>
      <c r="Y1170" s="5">
        <f>IF(D1170="","",AA1170*Z1170/100)</f>
        <v/>
      </c>
      <c r="Z1170" s="5">
        <f>IF(D1170="","",W1170-X1170)</f>
        <v/>
      </c>
      <c r="AC1170" s="5">
        <f>IF(D1170="","",Z1170-Y1170)</f>
        <v/>
      </c>
      <c r="AD1170">
        <f>IF(D1170="","",N(AD1169)+IF(MATCH(D1170,$D$2:$D$2501,0)=ROW()-1,1,0))</f>
        <v/>
      </c>
    </row>
    <row r="1171">
      <c r="X1171" s="5">
        <f>IF(D1171="","",W1171*IF(AND(ISNUMBER(AB1171),AB1171&gt;0,AB1171&lt;1),AB1171*100,AB1171)/100)</f>
        <v/>
      </c>
      <c r="Y1171" s="5">
        <f>IF(D1171="","",AA1171*Z1171/100)</f>
        <v/>
      </c>
      <c r="Z1171" s="5">
        <f>IF(D1171="","",W1171-X1171)</f>
        <v/>
      </c>
      <c r="AC1171" s="5">
        <f>IF(D1171="","",Z1171-Y1171)</f>
        <v/>
      </c>
      <c r="AD1171">
        <f>IF(D1171="","",N(AD1170)+IF(MATCH(D1171,$D$2:$D$2501,0)=ROW()-1,1,0))</f>
        <v/>
      </c>
    </row>
    <row r="1172">
      <c r="X1172" s="5">
        <f>IF(D1172="","",W1172*IF(AND(ISNUMBER(AB1172),AB1172&gt;0,AB1172&lt;1),AB1172*100,AB1172)/100)</f>
        <v/>
      </c>
      <c r="Y1172" s="5">
        <f>IF(D1172="","",AA1172*Z1172/100)</f>
        <v/>
      </c>
      <c r="Z1172" s="5">
        <f>IF(D1172="","",W1172-X1172)</f>
        <v/>
      </c>
      <c r="AC1172" s="5">
        <f>IF(D1172="","",Z1172-Y1172)</f>
        <v/>
      </c>
      <c r="AD1172">
        <f>IF(D1172="","",N(AD1171)+IF(MATCH(D1172,$D$2:$D$2501,0)=ROW()-1,1,0))</f>
        <v/>
      </c>
    </row>
    <row r="1173">
      <c r="X1173" s="5">
        <f>IF(D1173="","",W1173*IF(AND(ISNUMBER(AB1173),AB1173&gt;0,AB1173&lt;1),AB1173*100,AB1173)/100)</f>
        <v/>
      </c>
      <c r="Y1173" s="5">
        <f>IF(D1173="","",AA1173*Z1173/100)</f>
        <v/>
      </c>
      <c r="Z1173" s="5">
        <f>IF(D1173="","",W1173-X1173)</f>
        <v/>
      </c>
      <c r="AC1173" s="5">
        <f>IF(D1173="","",Z1173-Y1173)</f>
        <v/>
      </c>
      <c r="AD1173">
        <f>IF(D1173="","",N(AD1172)+IF(MATCH(D1173,$D$2:$D$2501,0)=ROW()-1,1,0))</f>
        <v/>
      </c>
    </row>
    <row r="1174">
      <c r="X1174" s="5">
        <f>IF(D1174="","",W1174*IF(AND(ISNUMBER(AB1174),AB1174&gt;0,AB1174&lt;1),AB1174*100,AB1174)/100)</f>
        <v/>
      </c>
      <c r="Y1174" s="5">
        <f>IF(D1174="","",AA1174*Z1174/100)</f>
        <v/>
      </c>
      <c r="Z1174" s="5">
        <f>IF(D1174="","",W1174-X1174)</f>
        <v/>
      </c>
      <c r="AC1174" s="5">
        <f>IF(D1174="","",Z1174-Y1174)</f>
        <v/>
      </c>
      <c r="AD1174">
        <f>IF(D1174="","",N(AD1173)+IF(MATCH(D1174,$D$2:$D$2501,0)=ROW()-1,1,0))</f>
        <v/>
      </c>
    </row>
    <row r="1175">
      <c r="X1175" s="5">
        <f>IF(D1175="","",W1175*IF(AND(ISNUMBER(AB1175),AB1175&gt;0,AB1175&lt;1),AB1175*100,AB1175)/100)</f>
        <v/>
      </c>
      <c r="Y1175" s="5">
        <f>IF(D1175="","",AA1175*Z1175/100)</f>
        <v/>
      </c>
      <c r="Z1175" s="5">
        <f>IF(D1175="","",W1175-X1175)</f>
        <v/>
      </c>
      <c r="AC1175" s="5">
        <f>IF(D1175="","",Z1175-Y1175)</f>
        <v/>
      </c>
      <c r="AD1175">
        <f>IF(D1175="","",N(AD1174)+IF(MATCH(D1175,$D$2:$D$2501,0)=ROW()-1,1,0))</f>
        <v/>
      </c>
    </row>
    <row r="1176">
      <c r="X1176" s="5">
        <f>IF(D1176="","",W1176*IF(AND(ISNUMBER(AB1176),AB1176&gt;0,AB1176&lt;1),AB1176*100,AB1176)/100)</f>
        <v/>
      </c>
      <c r="Y1176" s="5">
        <f>IF(D1176="","",AA1176*Z1176/100)</f>
        <v/>
      </c>
      <c r="Z1176" s="5">
        <f>IF(D1176="","",W1176-X1176)</f>
        <v/>
      </c>
      <c r="AC1176" s="5">
        <f>IF(D1176="","",Z1176-Y1176)</f>
        <v/>
      </c>
      <c r="AD1176">
        <f>IF(D1176="","",N(AD1175)+IF(MATCH(D1176,$D$2:$D$2501,0)=ROW()-1,1,0))</f>
        <v/>
      </c>
    </row>
    <row r="1177">
      <c r="X1177" s="5">
        <f>IF(D1177="","",W1177*IF(AND(ISNUMBER(AB1177),AB1177&gt;0,AB1177&lt;1),AB1177*100,AB1177)/100)</f>
        <v/>
      </c>
      <c r="Y1177" s="5">
        <f>IF(D1177="","",AA1177*Z1177/100)</f>
        <v/>
      </c>
      <c r="Z1177" s="5">
        <f>IF(D1177="","",W1177-X1177)</f>
        <v/>
      </c>
      <c r="AC1177" s="5">
        <f>IF(D1177="","",Z1177-Y1177)</f>
        <v/>
      </c>
      <c r="AD1177">
        <f>IF(D1177="","",N(AD1176)+IF(MATCH(D1177,$D$2:$D$2501,0)=ROW()-1,1,0))</f>
        <v/>
      </c>
    </row>
    <row r="1178">
      <c r="X1178" s="5">
        <f>IF(D1178="","",W1178*IF(AND(ISNUMBER(AB1178),AB1178&gt;0,AB1178&lt;1),AB1178*100,AB1178)/100)</f>
        <v/>
      </c>
      <c r="Y1178" s="5">
        <f>IF(D1178="","",AA1178*Z1178/100)</f>
        <v/>
      </c>
      <c r="Z1178" s="5">
        <f>IF(D1178="","",W1178-X1178)</f>
        <v/>
      </c>
      <c r="AC1178" s="5">
        <f>IF(D1178="","",Z1178-Y1178)</f>
        <v/>
      </c>
      <c r="AD1178">
        <f>IF(D1178="","",N(AD1177)+IF(MATCH(D1178,$D$2:$D$2501,0)=ROW()-1,1,0))</f>
        <v/>
      </c>
    </row>
    <row r="1179">
      <c r="X1179" s="5">
        <f>IF(D1179="","",W1179*IF(AND(ISNUMBER(AB1179),AB1179&gt;0,AB1179&lt;1),AB1179*100,AB1179)/100)</f>
        <v/>
      </c>
      <c r="Y1179" s="5">
        <f>IF(D1179="","",AA1179*Z1179/100)</f>
        <v/>
      </c>
      <c r="Z1179" s="5">
        <f>IF(D1179="","",W1179-X1179)</f>
        <v/>
      </c>
      <c r="AC1179" s="5">
        <f>IF(D1179="","",Z1179-Y1179)</f>
        <v/>
      </c>
      <c r="AD1179">
        <f>IF(D1179="","",N(AD1178)+IF(MATCH(D1179,$D$2:$D$2501,0)=ROW()-1,1,0))</f>
        <v/>
      </c>
    </row>
    <row r="1180">
      <c r="X1180" s="5">
        <f>IF(D1180="","",W1180*IF(AND(ISNUMBER(AB1180),AB1180&gt;0,AB1180&lt;1),AB1180*100,AB1180)/100)</f>
        <v/>
      </c>
      <c r="Y1180" s="5">
        <f>IF(D1180="","",AA1180*Z1180/100)</f>
        <v/>
      </c>
      <c r="Z1180" s="5">
        <f>IF(D1180="","",W1180-X1180)</f>
        <v/>
      </c>
      <c r="AC1180" s="5">
        <f>IF(D1180="","",Z1180-Y1180)</f>
        <v/>
      </c>
      <c r="AD1180">
        <f>IF(D1180="","",N(AD1179)+IF(MATCH(D1180,$D$2:$D$2501,0)=ROW()-1,1,0))</f>
        <v/>
      </c>
    </row>
    <row r="1181">
      <c r="X1181" s="5">
        <f>IF(D1181="","",W1181*IF(AND(ISNUMBER(AB1181),AB1181&gt;0,AB1181&lt;1),AB1181*100,AB1181)/100)</f>
        <v/>
      </c>
      <c r="Y1181" s="5">
        <f>IF(D1181="","",AA1181*Z1181/100)</f>
        <v/>
      </c>
      <c r="Z1181" s="5">
        <f>IF(D1181="","",W1181-X1181)</f>
        <v/>
      </c>
      <c r="AC1181" s="5">
        <f>IF(D1181="","",Z1181-Y1181)</f>
        <v/>
      </c>
      <c r="AD1181">
        <f>IF(D1181="","",N(AD1180)+IF(MATCH(D1181,$D$2:$D$2501,0)=ROW()-1,1,0))</f>
        <v/>
      </c>
    </row>
    <row r="1182">
      <c r="X1182" s="5">
        <f>IF(D1182="","",W1182*IF(AND(ISNUMBER(AB1182),AB1182&gt;0,AB1182&lt;1),AB1182*100,AB1182)/100)</f>
        <v/>
      </c>
      <c r="Y1182" s="5">
        <f>IF(D1182="","",AA1182*Z1182/100)</f>
        <v/>
      </c>
      <c r="Z1182" s="5">
        <f>IF(D1182="","",W1182-X1182)</f>
        <v/>
      </c>
      <c r="AC1182" s="5">
        <f>IF(D1182="","",Z1182-Y1182)</f>
        <v/>
      </c>
      <c r="AD1182">
        <f>IF(D1182="","",N(AD1181)+IF(MATCH(D1182,$D$2:$D$2501,0)=ROW()-1,1,0))</f>
        <v/>
      </c>
    </row>
    <row r="1183">
      <c r="X1183" s="5">
        <f>IF(D1183="","",W1183*IF(AND(ISNUMBER(AB1183),AB1183&gt;0,AB1183&lt;1),AB1183*100,AB1183)/100)</f>
        <v/>
      </c>
      <c r="Y1183" s="5">
        <f>IF(D1183="","",AA1183*Z1183/100)</f>
        <v/>
      </c>
      <c r="Z1183" s="5">
        <f>IF(D1183="","",W1183-X1183)</f>
        <v/>
      </c>
      <c r="AC1183" s="5">
        <f>IF(D1183="","",Z1183-Y1183)</f>
        <v/>
      </c>
      <c r="AD1183">
        <f>IF(D1183="","",N(AD1182)+IF(MATCH(D1183,$D$2:$D$2501,0)=ROW()-1,1,0))</f>
        <v/>
      </c>
    </row>
    <row r="1184">
      <c r="X1184" s="5">
        <f>IF(D1184="","",W1184*IF(AND(ISNUMBER(AB1184),AB1184&gt;0,AB1184&lt;1),AB1184*100,AB1184)/100)</f>
        <v/>
      </c>
      <c r="Y1184" s="5">
        <f>IF(D1184="","",AA1184*Z1184/100)</f>
        <v/>
      </c>
      <c r="Z1184" s="5">
        <f>IF(D1184="","",W1184-X1184)</f>
        <v/>
      </c>
      <c r="AC1184" s="5">
        <f>IF(D1184="","",Z1184-Y1184)</f>
        <v/>
      </c>
      <c r="AD1184">
        <f>IF(D1184="","",N(AD1183)+IF(MATCH(D1184,$D$2:$D$2501,0)=ROW()-1,1,0))</f>
        <v/>
      </c>
    </row>
    <row r="1185">
      <c r="X1185" s="5">
        <f>IF(D1185="","",W1185*IF(AND(ISNUMBER(AB1185),AB1185&gt;0,AB1185&lt;1),AB1185*100,AB1185)/100)</f>
        <v/>
      </c>
      <c r="Y1185" s="5">
        <f>IF(D1185="","",AA1185*Z1185/100)</f>
        <v/>
      </c>
      <c r="Z1185" s="5">
        <f>IF(D1185="","",W1185-X1185)</f>
        <v/>
      </c>
      <c r="AC1185" s="5">
        <f>IF(D1185="","",Z1185-Y1185)</f>
        <v/>
      </c>
      <c r="AD1185">
        <f>IF(D1185="","",N(AD1184)+IF(MATCH(D1185,$D$2:$D$2501,0)=ROW()-1,1,0))</f>
        <v/>
      </c>
    </row>
    <row r="1186">
      <c r="X1186" s="5">
        <f>IF(D1186="","",W1186*IF(AND(ISNUMBER(AB1186),AB1186&gt;0,AB1186&lt;1),AB1186*100,AB1186)/100)</f>
        <v/>
      </c>
      <c r="Y1186" s="5">
        <f>IF(D1186="","",AA1186*Z1186/100)</f>
        <v/>
      </c>
      <c r="Z1186" s="5">
        <f>IF(D1186="","",W1186-X1186)</f>
        <v/>
      </c>
      <c r="AC1186" s="5">
        <f>IF(D1186="","",Z1186-Y1186)</f>
        <v/>
      </c>
      <c r="AD1186">
        <f>IF(D1186="","",N(AD1185)+IF(MATCH(D1186,$D$2:$D$2501,0)=ROW()-1,1,0))</f>
        <v/>
      </c>
    </row>
    <row r="1187">
      <c r="X1187" s="5">
        <f>IF(D1187="","",W1187*IF(AND(ISNUMBER(AB1187),AB1187&gt;0,AB1187&lt;1),AB1187*100,AB1187)/100)</f>
        <v/>
      </c>
      <c r="Y1187" s="5">
        <f>IF(D1187="","",AA1187*Z1187/100)</f>
        <v/>
      </c>
      <c r="Z1187" s="5">
        <f>IF(D1187="","",W1187-X1187)</f>
        <v/>
      </c>
      <c r="AC1187" s="5">
        <f>IF(D1187="","",Z1187-Y1187)</f>
        <v/>
      </c>
      <c r="AD1187">
        <f>IF(D1187="","",N(AD1186)+IF(MATCH(D1187,$D$2:$D$2501,0)=ROW()-1,1,0))</f>
        <v/>
      </c>
    </row>
    <row r="1188">
      <c r="X1188" s="5">
        <f>IF(D1188="","",W1188*IF(AND(ISNUMBER(AB1188),AB1188&gt;0,AB1188&lt;1),AB1188*100,AB1188)/100)</f>
        <v/>
      </c>
      <c r="Y1188" s="5">
        <f>IF(D1188="","",AA1188*Z1188/100)</f>
        <v/>
      </c>
      <c r="Z1188" s="5">
        <f>IF(D1188="","",W1188-X1188)</f>
        <v/>
      </c>
      <c r="AC1188" s="5">
        <f>IF(D1188="","",Z1188-Y1188)</f>
        <v/>
      </c>
      <c r="AD1188">
        <f>IF(D1188="","",N(AD1187)+IF(MATCH(D1188,$D$2:$D$2501,0)=ROW()-1,1,0))</f>
        <v/>
      </c>
    </row>
    <row r="1189">
      <c r="X1189" s="5">
        <f>IF(D1189="","",W1189*IF(AND(ISNUMBER(AB1189),AB1189&gt;0,AB1189&lt;1),AB1189*100,AB1189)/100)</f>
        <v/>
      </c>
      <c r="Y1189" s="5">
        <f>IF(D1189="","",AA1189*Z1189/100)</f>
        <v/>
      </c>
      <c r="Z1189" s="5">
        <f>IF(D1189="","",W1189-X1189)</f>
        <v/>
      </c>
      <c r="AC1189" s="5">
        <f>IF(D1189="","",Z1189-Y1189)</f>
        <v/>
      </c>
      <c r="AD1189">
        <f>IF(D1189="","",N(AD1188)+IF(MATCH(D1189,$D$2:$D$2501,0)=ROW()-1,1,0))</f>
        <v/>
      </c>
    </row>
    <row r="1190">
      <c r="X1190" s="5">
        <f>IF(D1190="","",W1190*IF(AND(ISNUMBER(AB1190),AB1190&gt;0,AB1190&lt;1),AB1190*100,AB1190)/100)</f>
        <v/>
      </c>
      <c r="Y1190" s="5">
        <f>IF(D1190="","",AA1190*Z1190/100)</f>
        <v/>
      </c>
      <c r="Z1190" s="5">
        <f>IF(D1190="","",W1190-X1190)</f>
        <v/>
      </c>
      <c r="AC1190" s="5">
        <f>IF(D1190="","",Z1190-Y1190)</f>
        <v/>
      </c>
      <c r="AD1190">
        <f>IF(D1190="","",N(AD1189)+IF(MATCH(D1190,$D$2:$D$2501,0)=ROW()-1,1,0))</f>
        <v/>
      </c>
    </row>
    <row r="1191">
      <c r="X1191" s="5">
        <f>IF(D1191="","",W1191*IF(AND(ISNUMBER(AB1191),AB1191&gt;0,AB1191&lt;1),AB1191*100,AB1191)/100)</f>
        <v/>
      </c>
      <c r="Y1191" s="5">
        <f>IF(D1191="","",AA1191*Z1191/100)</f>
        <v/>
      </c>
      <c r="Z1191" s="5">
        <f>IF(D1191="","",W1191-X1191)</f>
        <v/>
      </c>
      <c r="AC1191" s="5">
        <f>IF(D1191="","",Z1191-Y1191)</f>
        <v/>
      </c>
      <c r="AD1191">
        <f>IF(D1191="","",N(AD1190)+IF(MATCH(D1191,$D$2:$D$2501,0)=ROW()-1,1,0))</f>
        <v/>
      </c>
    </row>
    <row r="1192">
      <c r="X1192" s="5">
        <f>IF(D1192="","",W1192*IF(AND(ISNUMBER(AB1192),AB1192&gt;0,AB1192&lt;1),AB1192*100,AB1192)/100)</f>
        <v/>
      </c>
      <c r="Y1192" s="5">
        <f>IF(D1192="","",AA1192*Z1192/100)</f>
        <v/>
      </c>
      <c r="Z1192" s="5">
        <f>IF(D1192="","",W1192-X1192)</f>
        <v/>
      </c>
      <c r="AC1192" s="5">
        <f>IF(D1192="","",Z1192-Y1192)</f>
        <v/>
      </c>
      <c r="AD1192">
        <f>IF(D1192="","",N(AD1191)+IF(MATCH(D1192,$D$2:$D$2501,0)=ROW()-1,1,0))</f>
        <v/>
      </c>
    </row>
    <row r="1193">
      <c r="X1193" s="5">
        <f>IF(D1193="","",W1193*IF(AND(ISNUMBER(AB1193),AB1193&gt;0,AB1193&lt;1),AB1193*100,AB1193)/100)</f>
        <v/>
      </c>
      <c r="Y1193" s="5">
        <f>IF(D1193="","",AA1193*Z1193/100)</f>
        <v/>
      </c>
      <c r="Z1193" s="5">
        <f>IF(D1193="","",W1193-X1193)</f>
        <v/>
      </c>
      <c r="AC1193" s="5">
        <f>IF(D1193="","",Z1193-Y1193)</f>
        <v/>
      </c>
      <c r="AD1193">
        <f>IF(D1193="","",N(AD1192)+IF(MATCH(D1193,$D$2:$D$2501,0)=ROW()-1,1,0))</f>
        <v/>
      </c>
    </row>
    <row r="1194">
      <c r="X1194" s="5">
        <f>IF(D1194="","",W1194*IF(AND(ISNUMBER(AB1194),AB1194&gt;0,AB1194&lt;1),AB1194*100,AB1194)/100)</f>
        <v/>
      </c>
      <c r="Y1194" s="5">
        <f>IF(D1194="","",AA1194*Z1194/100)</f>
        <v/>
      </c>
      <c r="Z1194" s="5">
        <f>IF(D1194="","",W1194-X1194)</f>
        <v/>
      </c>
      <c r="AC1194" s="5">
        <f>IF(D1194="","",Z1194-Y1194)</f>
        <v/>
      </c>
      <c r="AD1194">
        <f>IF(D1194="","",N(AD1193)+IF(MATCH(D1194,$D$2:$D$2501,0)=ROW()-1,1,0))</f>
        <v/>
      </c>
    </row>
    <row r="1195">
      <c r="X1195" s="5">
        <f>IF(D1195="","",W1195*IF(AND(ISNUMBER(AB1195),AB1195&gt;0,AB1195&lt;1),AB1195*100,AB1195)/100)</f>
        <v/>
      </c>
      <c r="Y1195" s="5">
        <f>IF(D1195="","",AA1195*Z1195/100)</f>
        <v/>
      </c>
      <c r="Z1195" s="5">
        <f>IF(D1195="","",W1195-X1195)</f>
        <v/>
      </c>
      <c r="AC1195" s="5">
        <f>IF(D1195="","",Z1195-Y1195)</f>
        <v/>
      </c>
      <c r="AD1195">
        <f>IF(D1195="","",N(AD1194)+IF(MATCH(D1195,$D$2:$D$2501,0)=ROW()-1,1,0))</f>
        <v/>
      </c>
    </row>
    <row r="1196">
      <c r="X1196" s="5">
        <f>IF(D1196="","",W1196*IF(AND(ISNUMBER(AB1196),AB1196&gt;0,AB1196&lt;1),AB1196*100,AB1196)/100)</f>
        <v/>
      </c>
      <c r="Y1196" s="5">
        <f>IF(D1196="","",AA1196*Z1196/100)</f>
        <v/>
      </c>
      <c r="Z1196" s="5">
        <f>IF(D1196="","",W1196-X1196)</f>
        <v/>
      </c>
      <c r="AC1196" s="5">
        <f>IF(D1196="","",Z1196-Y1196)</f>
        <v/>
      </c>
      <c r="AD1196">
        <f>IF(D1196="","",N(AD1195)+IF(MATCH(D1196,$D$2:$D$2501,0)=ROW()-1,1,0))</f>
        <v/>
      </c>
    </row>
    <row r="1197">
      <c r="X1197" s="5">
        <f>IF(D1197="","",W1197*IF(AND(ISNUMBER(AB1197),AB1197&gt;0,AB1197&lt;1),AB1197*100,AB1197)/100)</f>
        <v/>
      </c>
      <c r="Y1197" s="5">
        <f>IF(D1197="","",AA1197*Z1197/100)</f>
        <v/>
      </c>
      <c r="Z1197" s="5">
        <f>IF(D1197="","",W1197-X1197)</f>
        <v/>
      </c>
      <c r="AC1197" s="5">
        <f>IF(D1197="","",Z1197-Y1197)</f>
        <v/>
      </c>
      <c r="AD1197">
        <f>IF(D1197="","",N(AD1196)+IF(MATCH(D1197,$D$2:$D$2501,0)=ROW()-1,1,0))</f>
        <v/>
      </c>
    </row>
    <row r="1198">
      <c r="X1198" s="5">
        <f>IF(D1198="","",W1198*IF(AND(ISNUMBER(AB1198),AB1198&gt;0,AB1198&lt;1),AB1198*100,AB1198)/100)</f>
        <v/>
      </c>
      <c r="Y1198" s="5">
        <f>IF(D1198="","",AA1198*Z1198/100)</f>
        <v/>
      </c>
      <c r="Z1198" s="5">
        <f>IF(D1198="","",W1198-X1198)</f>
        <v/>
      </c>
      <c r="AC1198" s="5">
        <f>IF(D1198="","",Z1198-Y1198)</f>
        <v/>
      </c>
      <c r="AD1198">
        <f>IF(D1198="","",N(AD1197)+IF(MATCH(D1198,$D$2:$D$2501,0)=ROW()-1,1,0))</f>
        <v/>
      </c>
    </row>
    <row r="1199">
      <c r="X1199" s="5">
        <f>IF(D1199="","",W1199*IF(AND(ISNUMBER(AB1199),AB1199&gt;0,AB1199&lt;1),AB1199*100,AB1199)/100)</f>
        <v/>
      </c>
      <c r="Y1199" s="5">
        <f>IF(D1199="","",AA1199*Z1199/100)</f>
        <v/>
      </c>
      <c r="Z1199" s="5">
        <f>IF(D1199="","",W1199-X1199)</f>
        <v/>
      </c>
      <c r="AC1199" s="5">
        <f>IF(D1199="","",Z1199-Y1199)</f>
        <v/>
      </c>
      <c r="AD1199">
        <f>IF(D1199="","",N(AD1198)+IF(MATCH(D1199,$D$2:$D$2501,0)=ROW()-1,1,0))</f>
        <v/>
      </c>
    </row>
    <row r="1200">
      <c r="X1200" s="5">
        <f>IF(D1200="","",W1200*IF(AND(ISNUMBER(AB1200),AB1200&gt;0,AB1200&lt;1),AB1200*100,AB1200)/100)</f>
        <v/>
      </c>
      <c r="Y1200" s="5">
        <f>IF(D1200="","",AA1200*Z1200/100)</f>
        <v/>
      </c>
      <c r="Z1200" s="5">
        <f>IF(D1200="","",W1200-X1200)</f>
        <v/>
      </c>
      <c r="AC1200" s="5">
        <f>IF(D1200="","",Z1200-Y1200)</f>
        <v/>
      </c>
      <c r="AD1200">
        <f>IF(D1200="","",N(AD1199)+IF(MATCH(D1200,$D$2:$D$2501,0)=ROW()-1,1,0))</f>
        <v/>
      </c>
    </row>
    <row r="1201">
      <c r="X1201" s="5">
        <f>IF(D1201="","",W1201*IF(AND(ISNUMBER(AB1201),AB1201&gt;0,AB1201&lt;1),AB1201*100,AB1201)/100)</f>
        <v/>
      </c>
      <c r="Y1201" s="5">
        <f>IF(D1201="","",AA1201*Z1201/100)</f>
        <v/>
      </c>
      <c r="Z1201" s="5">
        <f>IF(D1201="","",W1201-X1201)</f>
        <v/>
      </c>
      <c r="AC1201" s="5">
        <f>IF(D1201="","",Z1201-Y1201)</f>
        <v/>
      </c>
      <c r="AD1201">
        <f>IF(D1201="","",N(AD1200)+IF(MATCH(D1201,$D$2:$D$2501,0)=ROW()-1,1,0))</f>
        <v/>
      </c>
    </row>
    <row r="1202">
      <c r="X1202" s="5">
        <f>IF(D1202="","",W1202*IF(AND(ISNUMBER(AB1202),AB1202&gt;0,AB1202&lt;1),AB1202*100,AB1202)/100)</f>
        <v/>
      </c>
      <c r="Y1202" s="5">
        <f>IF(D1202="","",AA1202*Z1202/100)</f>
        <v/>
      </c>
      <c r="Z1202" s="5">
        <f>IF(D1202="","",W1202-X1202)</f>
        <v/>
      </c>
      <c r="AC1202" s="5">
        <f>IF(D1202="","",Z1202-Y1202)</f>
        <v/>
      </c>
      <c r="AD1202">
        <f>IF(D1202="","",N(AD1201)+IF(MATCH(D1202,$D$2:$D$2501,0)=ROW()-1,1,0))</f>
        <v/>
      </c>
    </row>
    <row r="1203">
      <c r="X1203" s="5">
        <f>IF(D1203="","",W1203*IF(AND(ISNUMBER(AB1203),AB1203&gt;0,AB1203&lt;1),AB1203*100,AB1203)/100)</f>
        <v/>
      </c>
      <c r="Y1203" s="5">
        <f>IF(D1203="","",AA1203*Z1203/100)</f>
        <v/>
      </c>
      <c r="Z1203" s="5">
        <f>IF(D1203="","",W1203-X1203)</f>
        <v/>
      </c>
      <c r="AC1203" s="5">
        <f>IF(D1203="","",Z1203-Y1203)</f>
        <v/>
      </c>
      <c r="AD1203">
        <f>IF(D1203="","",N(AD1202)+IF(MATCH(D1203,$D$2:$D$2501,0)=ROW()-1,1,0))</f>
        <v/>
      </c>
    </row>
    <row r="1204">
      <c r="X1204" s="5">
        <f>IF(D1204="","",W1204*IF(AND(ISNUMBER(AB1204),AB1204&gt;0,AB1204&lt;1),AB1204*100,AB1204)/100)</f>
        <v/>
      </c>
      <c r="Y1204" s="5">
        <f>IF(D1204="","",AA1204*Z1204/100)</f>
        <v/>
      </c>
      <c r="Z1204" s="5">
        <f>IF(D1204="","",W1204-X1204)</f>
        <v/>
      </c>
      <c r="AC1204" s="5">
        <f>IF(D1204="","",Z1204-Y1204)</f>
        <v/>
      </c>
      <c r="AD1204">
        <f>IF(D1204="","",N(AD1203)+IF(MATCH(D1204,$D$2:$D$2501,0)=ROW()-1,1,0))</f>
        <v/>
      </c>
    </row>
    <row r="1205">
      <c r="X1205" s="5">
        <f>IF(D1205="","",W1205*IF(AND(ISNUMBER(AB1205),AB1205&gt;0,AB1205&lt;1),AB1205*100,AB1205)/100)</f>
        <v/>
      </c>
      <c r="Y1205" s="5">
        <f>IF(D1205="","",AA1205*Z1205/100)</f>
        <v/>
      </c>
      <c r="Z1205" s="5">
        <f>IF(D1205="","",W1205-X1205)</f>
        <v/>
      </c>
      <c r="AC1205" s="5">
        <f>IF(D1205="","",Z1205-Y1205)</f>
        <v/>
      </c>
      <c r="AD1205">
        <f>IF(D1205="","",N(AD1204)+IF(MATCH(D1205,$D$2:$D$2501,0)=ROW()-1,1,0))</f>
        <v/>
      </c>
    </row>
    <row r="1206">
      <c r="X1206" s="5">
        <f>IF(D1206="","",W1206*IF(AND(ISNUMBER(AB1206),AB1206&gt;0,AB1206&lt;1),AB1206*100,AB1206)/100)</f>
        <v/>
      </c>
      <c r="Y1206" s="5">
        <f>IF(D1206="","",AA1206*Z1206/100)</f>
        <v/>
      </c>
      <c r="Z1206" s="5">
        <f>IF(D1206="","",W1206-X1206)</f>
        <v/>
      </c>
      <c r="AC1206" s="5">
        <f>IF(D1206="","",Z1206-Y1206)</f>
        <v/>
      </c>
      <c r="AD1206">
        <f>IF(D1206="","",N(AD1205)+IF(MATCH(D1206,$D$2:$D$2501,0)=ROW()-1,1,0))</f>
        <v/>
      </c>
    </row>
    <row r="1207">
      <c r="X1207" s="5">
        <f>IF(D1207="","",W1207*IF(AND(ISNUMBER(AB1207),AB1207&gt;0,AB1207&lt;1),AB1207*100,AB1207)/100)</f>
        <v/>
      </c>
      <c r="Y1207" s="5">
        <f>IF(D1207="","",AA1207*Z1207/100)</f>
        <v/>
      </c>
      <c r="Z1207" s="5">
        <f>IF(D1207="","",W1207-X1207)</f>
        <v/>
      </c>
      <c r="AC1207" s="5">
        <f>IF(D1207="","",Z1207-Y1207)</f>
        <v/>
      </c>
      <c r="AD1207">
        <f>IF(D1207="","",N(AD1206)+IF(MATCH(D1207,$D$2:$D$2501,0)=ROW()-1,1,0))</f>
        <v/>
      </c>
    </row>
    <row r="1208">
      <c r="X1208" s="5">
        <f>IF(D1208="","",W1208*IF(AND(ISNUMBER(AB1208),AB1208&gt;0,AB1208&lt;1),AB1208*100,AB1208)/100)</f>
        <v/>
      </c>
      <c r="Y1208" s="5">
        <f>IF(D1208="","",AA1208*Z1208/100)</f>
        <v/>
      </c>
      <c r="Z1208" s="5">
        <f>IF(D1208="","",W1208-X1208)</f>
        <v/>
      </c>
      <c r="AC1208" s="5">
        <f>IF(D1208="","",Z1208-Y1208)</f>
        <v/>
      </c>
      <c r="AD1208">
        <f>IF(D1208="","",N(AD1207)+IF(MATCH(D1208,$D$2:$D$2501,0)=ROW()-1,1,0))</f>
        <v/>
      </c>
    </row>
    <row r="1209">
      <c r="X1209" s="5">
        <f>IF(D1209="","",W1209*IF(AND(ISNUMBER(AB1209),AB1209&gt;0,AB1209&lt;1),AB1209*100,AB1209)/100)</f>
        <v/>
      </c>
      <c r="Y1209" s="5">
        <f>IF(D1209="","",AA1209*Z1209/100)</f>
        <v/>
      </c>
      <c r="Z1209" s="5">
        <f>IF(D1209="","",W1209-X1209)</f>
        <v/>
      </c>
      <c r="AC1209" s="5">
        <f>IF(D1209="","",Z1209-Y1209)</f>
        <v/>
      </c>
      <c r="AD1209">
        <f>IF(D1209="","",N(AD1208)+IF(MATCH(D1209,$D$2:$D$2501,0)=ROW()-1,1,0))</f>
        <v/>
      </c>
    </row>
    <row r="1210">
      <c r="X1210" s="5">
        <f>IF(D1210="","",W1210*IF(AND(ISNUMBER(AB1210),AB1210&gt;0,AB1210&lt;1),AB1210*100,AB1210)/100)</f>
        <v/>
      </c>
      <c r="Y1210" s="5">
        <f>IF(D1210="","",AA1210*Z1210/100)</f>
        <v/>
      </c>
      <c r="Z1210" s="5">
        <f>IF(D1210="","",W1210-X1210)</f>
        <v/>
      </c>
      <c r="AC1210" s="5">
        <f>IF(D1210="","",Z1210-Y1210)</f>
        <v/>
      </c>
      <c r="AD1210">
        <f>IF(D1210="","",N(AD1209)+IF(MATCH(D1210,$D$2:$D$2501,0)=ROW()-1,1,0))</f>
        <v/>
      </c>
    </row>
    <row r="1211">
      <c r="X1211" s="5">
        <f>IF(D1211="","",W1211*IF(AND(ISNUMBER(AB1211),AB1211&gt;0,AB1211&lt;1),AB1211*100,AB1211)/100)</f>
        <v/>
      </c>
      <c r="Y1211" s="5">
        <f>IF(D1211="","",AA1211*Z1211/100)</f>
        <v/>
      </c>
      <c r="Z1211" s="5">
        <f>IF(D1211="","",W1211-X1211)</f>
        <v/>
      </c>
      <c r="AC1211" s="5">
        <f>IF(D1211="","",Z1211-Y1211)</f>
        <v/>
      </c>
      <c r="AD1211">
        <f>IF(D1211="","",N(AD1210)+IF(MATCH(D1211,$D$2:$D$2501,0)=ROW()-1,1,0))</f>
        <v/>
      </c>
    </row>
    <row r="1212">
      <c r="X1212" s="5">
        <f>IF(D1212="","",W1212*IF(AND(ISNUMBER(AB1212),AB1212&gt;0,AB1212&lt;1),AB1212*100,AB1212)/100)</f>
        <v/>
      </c>
      <c r="Y1212" s="5">
        <f>IF(D1212="","",AA1212*Z1212/100)</f>
        <v/>
      </c>
      <c r="Z1212" s="5">
        <f>IF(D1212="","",W1212-X1212)</f>
        <v/>
      </c>
      <c r="AC1212" s="5">
        <f>IF(D1212="","",Z1212-Y1212)</f>
        <v/>
      </c>
      <c r="AD1212">
        <f>IF(D1212="","",N(AD1211)+IF(MATCH(D1212,$D$2:$D$2501,0)=ROW()-1,1,0))</f>
        <v/>
      </c>
    </row>
    <row r="1213">
      <c r="X1213" s="5">
        <f>IF(D1213="","",W1213*IF(AND(ISNUMBER(AB1213),AB1213&gt;0,AB1213&lt;1),AB1213*100,AB1213)/100)</f>
        <v/>
      </c>
      <c r="Y1213" s="5">
        <f>IF(D1213="","",AA1213*Z1213/100)</f>
        <v/>
      </c>
      <c r="Z1213" s="5">
        <f>IF(D1213="","",W1213-X1213)</f>
        <v/>
      </c>
      <c r="AC1213" s="5">
        <f>IF(D1213="","",Z1213-Y1213)</f>
        <v/>
      </c>
      <c r="AD1213">
        <f>IF(D1213="","",N(AD1212)+IF(MATCH(D1213,$D$2:$D$2501,0)=ROW()-1,1,0))</f>
        <v/>
      </c>
    </row>
    <row r="1214">
      <c r="X1214" s="5">
        <f>IF(D1214="","",W1214*IF(AND(ISNUMBER(AB1214),AB1214&gt;0,AB1214&lt;1),AB1214*100,AB1214)/100)</f>
        <v/>
      </c>
      <c r="Y1214" s="5">
        <f>IF(D1214="","",AA1214*Z1214/100)</f>
        <v/>
      </c>
      <c r="Z1214" s="5">
        <f>IF(D1214="","",W1214-X1214)</f>
        <v/>
      </c>
      <c r="AC1214" s="5">
        <f>IF(D1214="","",Z1214-Y1214)</f>
        <v/>
      </c>
      <c r="AD1214">
        <f>IF(D1214="","",N(AD1213)+IF(MATCH(D1214,$D$2:$D$2501,0)=ROW()-1,1,0))</f>
        <v/>
      </c>
    </row>
    <row r="1215">
      <c r="X1215" s="5">
        <f>IF(D1215="","",W1215*IF(AND(ISNUMBER(AB1215),AB1215&gt;0,AB1215&lt;1),AB1215*100,AB1215)/100)</f>
        <v/>
      </c>
      <c r="Y1215" s="5">
        <f>IF(D1215="","",AA1215*Z1215/100)</f>
        <v/>
      </c>
      <c r="Z1215" s="5">
        <f>IF(D1215="","",W1215-X1215)</f>
        <v/>
      </c>
      <c r="AC1215" s="5">
        <f>IF(D1215="","",Z1215-Y1215)</f>
        <v/>
      </c>
      <c r="AD1215">
        <f>IF(D1215="","",N(AD1214)+IF(MATCH(D1215,$D$2:$D$2501,0)=ROW()-1,1,0))</f>
        <v/>
      </c>
    </row>
    <row r="1216">
      <c r="X1216" s="5">
        <f>IF(D1216="","",W1216*IF(AND(ISNUMBER(AB1216),AB1216&gt;0,AB1216&lt;1),AB1216*100,AB1216)/100)</f>
        <v/>
      </c>
      <c r="Y1216" s="5">
        <f>IF(D1216="","",AA1216*Z1216/100)</f>
        <v/>
      </c>
      <c r="Z1216" s="5">
        <f>IF(D1216="","",W1216-X1216)</f>
        <v/>
      </c>
      <c r="AC1216" s="5">
        <f>IF(D1216="","",Z1216-Y1216)</f>
        <v/>
      </c>
      <c r="AD1216">
        <f>IF(D1216="","",N(AD1215)+IF(MATCH(D1216,$D$2:$D$2501,0)=ROW()-1,1,0))</f>
        <v/>
      </c>
    </row>
    <row r="1217">
      <c r="X1217" s="5">
        <f>IF(D1217="","",W1217*IF(AND(ISNUMBER(AB1217),AB1217&gt;0,AB1217&lt;1),AB1217*100,AB1217)/100)</f>
        <v/>
      </c>
      <c r="Y1217" s="5">
        <f>IF(D1217="","",AA1217*Z1217/100)</f>
        <v/>
      </c>
      <c r="Z1217" s="5">
        <f>IF(D1217="","",W1217-X1217)</f>
        <v/>
      </c>
      <c r="AC1217" s="5">
        <f>IF(D1217="","",Z1217-Y1217)</f>
        <v/>
      </c>
      <c r="AD1217">
        <f>IF(D1217="","",N(AD1216)+IF(MATCH(D1217,$D$2:$D$2501,0)=ROW()-1,1,0))</f>
        <v/>
      </c>
    </row>
    <row r="1218">
      <c r="X1218" s="5">
        <f>IF(D1218="","",W1218*IF(AND(ISNUMBER(AB1218),AB1218&gt;0,AB1218&lt;1),AB1218*100,AB1218)/100)</f>
        <v/>
      </c>
      <c r="Y1218" s="5">
        <f>IF(D1218="","",AA1218*Z1218/100)</f>
        <v/>
      </c>
      <c r="Z1218" s="5">
        <f>IF(D1218="","",W1218-X1218)</f>
        <v/>
      </c>
      <c r="AC1218" s="5">
        <f>IF(D1218="","",Z1218-Y1218)</f>
        <v/>
      </c>
      <c r="AD1218">
        <f>IF(D1218="","",N(AD1217)+IF(MATCH(D1218,$D$2:$D$2501,0)=ROW()-1,1,0))</f>
        <v/>
      </c>
    </row>
    <row r="1219">
      <c r="X1219" s="5">
        <f>IF(D1219="","",W1219*IF(AND(ISNUMBER(AB1219),AB1219&gt;0,AB1219&lt;1),AB1219*100,AB1219)/100)</f>
        <v/>
      </c>
      <c r="Y1219" s="5">
        <f>IF(D1219="","",AA1219*Z1219/100)</f>
        <v/>
      </c>
      <c r="Z1219" s="5">
        <f>IF(D1219="","",W1219-X1219)</f>
        <v/>
      </c>
      <c r="AC1219" s="5">
        <f>IF(D1219="","",Z1219-Y1219)</f>
        <v/>
      </c>
      <c r="AD1219">
        <f>IF(D1219="","",N(AD1218)+IF(MATCH(D1219,$D$2:$D$2501,0)=ROW()-1,1,0))</f>
        <v/>
      </c>
    </row>
    <row r="1220">
      <c r="X1220" s="5">
        <f>IF(D1220="","",W1220*IF(AND(ISNUMBER(AB1220),AB1220&gt;0,AB1220&lt;1),AB1220*100,AB1220)/100)</f>
        <v/>
      </c>
      <c r="Y1220" s="5">
        <f>IF(D1220="","",AA1220*Z1220/100)</f>
        <v/>
      </c>
      <c r="Z1220" s="5">
        <f>IF(D1220="","",W1220-X1220)</f>
        <v/>
      </c>
      <c r="AC1220" s="5">
        <f>IF(D1220="","",Z1220-Y1220)</f>
        <v/>
      </c>
      <c r="AD1220">
        <f>IF(D1220="","",N(AD1219)+IF(MATCH(D1220,$D$2:$D$2501,0)=ROW()-1,1,0))</f>
        <v/>
      </c>
    </row>
    <row r="1221">
      <c r="X1221" s="5">
        <f>IF(D1221="","",W1221*IF(AND(ISNUMBER(AB1221),AB1221&gt;0,AB1221&lt;1),AB1221*100,AB1221)/100)</f>
        <v/>
      </c>
      <c r="Y1221" s="5">
        <f>IF(D1221="","",AA1221*Z1221/100)</f>
        <v/>
      </c>
      <c r="Z1221" s="5">
        <f>IF(D1221="","",W1221-X1221)</f>
        <v/>
      </c>
      <c r="AC1221" s="5">
        <f>IF(D1221="","",Z1221-Y1221)</f>
        <v/>
      </c>
      <c r="AD1221">
        <f>IF(D1221="","",N(AD1220)+IF(MATCH(D1221,$D$2:$D$2501,0)=ROW()-1,1,0))</f>
        <v/>
      </c>
    </row>
    <row r="1222">
      <c r="X1222" s="5">
        <f>IF(D1222="","",W1222*IF(AND(ISNUMBER(AB1222),AB1222&gt;0,AB1222&lt;1),AB1222*100,AB1222)/100)</f>
        <v/>
      </c>
      <c r="Y1222" s="5">
        <f>IF(D1222="","",AA1222*Z1222/100)</f>
        <v/>
      </c>
      <c r="Z1222" s="5">
        <f>IF(D1222="","",W1222-X1222)</f>
        <v/>
      </c>
      <c r="AC1222" s="5">
        <f>IF(D1222="","",Z1222-Y1222)</f>
        <v/>
      </c>
      <c r="AD1222">
        <f>IF(D1222="","",N(AD1221)+IF(MATCH(D1222,$D$2:$D$2501,0)=ROW()-1,1,0))</f>
        <v/>
      </c>
    </row>
    <row r="1223">
      <c r="X1223" s="5">
        <f>IF(D1223="","",W1223*IF(AND(ISNUMBER(AB1223),AB1223&gt;0,AB1223&lt;1),AB1223*100,AB1223)/100)</f>
        <v/>
      </c>
      <c r="Y1223" s="5">
        <f>IF(D1223="","",AA1223*Z1223/100)</f>
        <v/>
      </c>
      <c r="Z1223" s="5">
        <f>IF(D1223="","",W1223-X1223)</f>
        <v/>
      </c>
      <c r="AC1223" s="5">
        <f>IF(D1223="","",Z1223-Y1223)</f>
        <v/>
      </c>
      <c r="AD1223">
        <f>IF(D1223="","",N(AD1222)+IF(MATCH(D1223,$D$2:$D$2501,0)=ROW()-1,1,0))</f>
        <v/>
      </c>
    </row>
    <row r="1224">
      <c r="X1224" s="5">
        <f>IF(D1224="","",W1224*IF(AND(ISNUMBER(AB1224),AB1224&gt;0,AB1224&lt;1),AB1224*100,AB1224)/100)</f>
        <v/>
      </c>
      <c r="Y1224" s="5">
        <f>IF(D1224="","",AA1224*Z1224/100)</f>
        <v/>
      </c>
      <c r="Z1224" s="5">
        <f>IF(D1224="","",W1224-X1224)</f>
        <v/>
      </c>
      <c r="AC1224" s="5">
        <f>IF(D1224="","",Z1224-Y1224)</f>
        <v/>
      </c>
      <c r="AD1224">
        <f>IF(D1224="","",N(AD1223)+IF(MATCH(D1224,$D$2:$D$2501,0)=ROW()-1,1,0))</f>
        <v/>
      </c>
    </row>
    <row r="1225">
      <c r="X1225" s="5">
        <f>IF(D1225="","",W1225*IF(AND(ISNUMBER(AB1225),AB1225&gt;0,AB1225&lt;1),AB1225*100,AB1225)/100)</f>
        <v/>
      </c>
      <c r="Y1225" s="5">
        <f>IF(D1225="","",AA1225*Z1225/100)</f>
        <v/>
      </c>
      <c r="Z1225" s="5">
        <f>IF(D1225="","",W1225-X1225)</f>
        <v/>
      </c>
      <c r="AC1225" s="5">
        <f>IF(D1225="","",Z1225-Y1225)</f>
        <v/>
      </c>
      <c r="AD1225">
        <f>IF(D1225="","",N(AD1224)+IF(MATCH(D1225,$D$2:$D$2501,0)=ROW()-1,1,0))</f>
        <v/>
      </c>
    </row>
    <row r="1226">
      <c r="X1226" s="5">
        <f>IF(D1226="","",W1226*IF(AND(ISNUMBER(AB1226),AB1226&gt;0,AB1226&lt;1),AB1226*100,AB1226)/100)</f>
        <v/>
      </c>
      <c r="Y1226" s="5">
        <f>IF(D1226="","",AA1226*Z1226/100)</f>
        <v/>
      </c>
      <c r="Z1226" s="5">
        <f>IF(D1226="","",W1226-X1226)</f>
        <v/>
      </c>
      <c r="AC1226" s="5">
        <f>IF(D1226="","",Z1226-Y1226)</f>
        <v/>
      </c>
      <c r="AD1226">
        <f>IF(D1226="","",N(AD1225)+IF(MATCH(D1226,$D$2:$D$2501,0)=ROW()-1,1,0))</f>
        <v/>
      </c>
    </row>
    <row r="1227">
      <c r="X1227" s="5">
        <f>IF(D1227="","",W1227*IF(AND(ISNUMBER(AB1227),AB1227&gt;0,AB1227&lt;1),AB1227*100,AB1227)/100)</f>
        <v/>
      </c>
      <c r="Y1227" s="5">
        <f>IF(D1227="","",AA1227*Z1227/100)</f>
        <v/>
      </c>
      <c r="Z1227" s="5">
        <f>IF(D1227="","",W1227-X1227)</f>
        <v/>
      </c>
      <c r="AC1227" s="5">
        <f>IF(D1227="","",Z1227-Y1227)</f>
        <v/>
      </c>
      <c r="AD1227">
        <f>IF(D1227="","",N(AD1226)+IF(MATCH(D1227,$D$2:$D$2501,0)=ROW()-1,1,0))</f>
        <v/>
      </c>
    </row>
    <row r="1228">
      <c r="X1228" s="5">
        <f>IF(D1228="","",W1228*IF(AND(ISNUMBER(AB1228),AB1228&gt;0,AB1228&lt;1),AB1228*100,AB1228)/100)</f>
        <v/>
      </c>
      <c r="Y1228" s="5">
        <f>IF(D1228="","",AA1228*Z1228/100)</f>
        <v/>
      </c>
      <c r="Z1228" s="5">
        <f>IF(D1228="","",W1228-X1228)</f>
        <v/>
      </c>
      <c r="AC1228" s="5">
        <f>IF(D1228="","",Z1228-Y1228)</f>
        <v/>
      </c>
      <c r="AD1228">
        <f>IF(D1228="","",N(AD1227)+IF(MATCH(D1228,$D$2:$D$2501,0)=ROW()-1,1,0))</f>
        <v/>
      </c>
    </row>
    <row r="1229">
      <c r="X1229" s="5">
        <f>IF(D1229="","",W1229*IF(AND(ISNUMBER(AB1229),AB1229&gt;0,AB1229&lt;1),AB1229*100,AB1229)/100)</f>
        <v/>
      </c>
      <c r="Y1229" s="5">
        <f>IF(D1229="","",AA1229*Z1229/100)</f>
        <v/>
      </c>
      <c r="Z1229" s="5">
        <f>IF(D1229="","",W1229-X1229)</f>
        <v/>
      </c>
      <c r="AC1229" s="5">
        <f>IF(D1229="","",Z1229-Y1229)</f>
        <v/>
      </c>
      <c r="AD1229">
        <f>IF(D1229="","",N(AD1228)+IF(MATCH(D1229,$D$2:$D$2501,0)=ROW()-1,1,0))</f>
        <v/>
      </c>
    </row>
    <row r="1230">
      <c r="X1230" s="5">
        <f>IF(D1230="","",W1230*IF(AND(ISNUMBER(AB1230),AB1230&gt;0,AB1230&lt;1),AB1230*100,AB1230)/100)</f>
        <v/>
      </c>
      <c r="Y1230" s="5">
        <f>IF(D1230="","",AA1230*Z1230/100)</f>
        <v/>
      </c>
      <c r="Z1230" s="5">
        <f>IF(D1230="","",W1230-X1230)</f>
        <v/>
      </c>
      <c r="AC1230" s="5">
        <f>IF(D1230="","",Z1230-Y1230)</f>
        <v/>
      </c>
      <c r="AD1230">
        <f>IF(D1230="","",N(AD1229)+IF(MATCH(D1230,$D$2:$D$2501,0)=ROW()-1,1,0))</f>
        <v/>
      </c>
    </row>
    <row r="1231">
      <c r="X1231" s="5">
        <f>IF(D1231="","",W1231*IF(AND(ISNUMBER(AB1231),AB1231&gt;0,AB1231&lt;1),AB1231*100,AB1231)/100)</f>
        <v/>
      </c>
      <c r="Y1231" s="5">
        <f>IF(D1231="","",AA1231*Z1231/100)</f>
        <v/>
      </c>
      <c r="Z1231" s="5">
        <f>IF(D1231="","",W1231-X1231)</f>
        <v/>
      </c>
      <c r="AC1231" s="5">
        <f>IF(D1231="","",Z1231-Y1231)</f>
        <v/>
      </c>
      <c r="AD1231">
        <f>IF(D1231="","",N(AD1230)+IF(MATCH(D1231,$D$2:$D$2501,0)=ROW()-1,1,0))</f>
        <v/>
      </c>
    </row>
    <row r="1232">
      <c r="X1232" s="5">
        <f>IF(D1232="","",W1232*IF(AND(ISNUMBER(AB1232),AB1232&gt;0,AB1232&lt;1),AB1232*100,AB1232)/100)</f>
        <v/>
      </c>
      <c r="Y1232" s="5">
        <f>IF(D1232="","",AA1232*Z1232/100)</f>
        <v/>
      </c>
      <c r="Z1232" s="5">
        <f>IF(D1232="","",W1232-X1232)</f>
        <v/>
      </c>
      <c r="AC1232" s="5">
        <f>IF(D1232="","",Z1232-Y1232)</f>
        <v/>
      </c>
      <c r="AD1232">
        <f>IF(D1232="","",N(AD1231)+IF(MATCH(D1232,$D$2:$D$2501,0)=ROW()-1,1,0))</f>
        <v/>
      </c>
    </row>
    <row r="1233">
      <c r="X1233" s="5">
        <f>IF(D1233="","",W1233*IF(AND(ISNUMBER(AB1233),AB1233&gt;0,AB1233&lt;1),AB1233*100,AB1233)/100)</f>
        <v/>
      </c>
      <c r="Y1233" s="5">
        <f>IF(D1233="","",AA1233*Z1233/100)</f>
        <v/>
      </c>
      <c r="Z1233" s="5">
        <f>IF(D1233="","",W1233-X1233)</f>
        <v/>
      </c>
      <c r="AC1233" s="5">
        <f>IF(D1233="","",Z1233-Y1233)</f>
        <v/>
      </c>
      <c r="AD1233">
        <f>IF(D1233="","",N(AD1232)+IF(MATCH(D1233,$D$2:$D$2501,0)=ROW()-1,1,0))</f>
        <v/>
      </c>
    </row>
    <row r="1234">
      <c r="X1234" s="5">
        <f>IF(D1234="","",W1234*IF(AND(ISNUMBER(AB1234),AB1234&gt;0,AB1234&lt;1),AB1234*100,AB1234)/100)</f>
        <v/>
      </c>
      <c r="Y1234" s="5">
        <f>IF(D1234="","",AA1234*Z1234/100)</f>
        <v/>
      </c>
      <c r="Z1234" s="5">
        <f>IF(D1234="","",W1234-X1234)</f>
        <v/>
      </c>
      <c r="AC1234" s="5">
        <f>IF(D1234="","",Z1234-Y1234)</f>
        <v/>
      </c>
      <c r="AD1234">
        <f>IF(D1234="","",N(AD1233)+IF(MATCH(D1234,$D$2:$D$2501,0)=ROW()-1,1,0))</f>
        <v/>
      </c>
    </row>
    <row r="1235">
      <c r="X1235" s="5">
        <f>IF(D1235="","",W1235*IF(AND(ISNUMBER(AB1235),AB1235&gt;0,AB1235&lt;1),AB1235*100,AB1235)/100)</f>
        <v/>
      </c>
      <c r="Y1235" s="5">
        <f>IF(D1235="","",AA1235*Z1235/100)</f>
        <v/>
      </c>
      <c r="Z1235" s="5">
        <f>IF(D1235="","",W1235-X1235)</f>
        <v/>
      </c>
      <c r="AC1235" s="5">
        <f>IF(D1235="","",Z1235-Y1235)</f>
        <v/>
      </c>
      <c r="AD1235">
        <f>IF(D1235="","",N(AD1234)+IF(MATCH(D1235,$D$2:$D$2501,0)=ROW()-1,1,0))</f>
        <v/>
      </c>
    </row>
    <row r="1236">
      <c r="X1236" s="5">
        <f>IF(D1236="","",W1236*IF(AND(ISNUMBER(AB1236),AB1236&gt;0,AB1236&lt;1),AB1236*100,AB1236)/100)</f>
        <v/>
      </c>
      <c r="Y1236" s="5">
        <f>IF(D1236="","",AA1236*Z1236/100)</f>
        <v/>
      </c>
      <c r="Z1236" s="5">
        <f>IF(D1236="","",W1236-X1236)</f>
        <v/>
      </c>
      <c r="AC1236" s="5">
        <f>IF(D1236="","",Z1236-Y1236)</f>
        <v/>
      </c>
      <c r="AD1236">
        <f>IF(D1236="","",N(AD1235)+IF(MATCH(D1236,$D$2:$D$2501,0)=ROW()-1,1,0))</f>
        <v/>
      </c>
    </row>
    <row r="1237">
      <c r="X1237" s="5">
        <f>IF(D1237="","",W1237*IF(AND(ISNUMBER(AB1237),AB1237&gt;0,AB1237&lt;1),AB1237*100,AB1237)/100)</f>
        <v/>
      </c>
      <c r="Y1237" s="5">
        <f>IF(D1237="","",AA1237*Z1237/100)</f>
        <v/>
      </c>
      <c r="Z1237" s="5">
        <f>IF(D1237="","",W1237-X1237)</f>
        <v/>
      </c>
      <c r="AC1237" s="5">
        <f>IF(D1237="","",Z1237-Y1237)</f>
        <v/>
      </c>
      <c r="AD1237">
        <f>IF(D1237="","",N(AD1236)+IF(MATCH(D1237,$D$2:$D$2501,0)=ROW()-1,1,0))</f>
        <v/>
      </c>
    </row>
    <row r="1238">
      <c r="X1238" s="5">
        <f>IF(D1238="","",W1238*IF(AND(ISNUMBER(AB1238),AB1238&gt;0,AB1238&lt;1),AB1238*100,AB1238)/100)</f>
        <v/>
      </c>
      <c r="Y1238" s="5">
        <f>IF(D1238="","",AA1238*Z1238/100)</f>
        <v/>
      </c>
      <c r="Z1238" s="5">
        <f>IF(D1238="","",W1238-X1238)</f>
        <v/>
      </c>
      <c r="AC1238" s="5">
        <f>IF(D1238="","",Z1238-Y1238)</f>
        <v/>
      </c>
      <c r="AD1238">
        <f>IF(D1238="","",N(AD1237)+IF(MATCH(D1238,$D$2:$D$2501,0)=ROW()-1,1,0))</f>
        <v/>
      </c>
    </row>
    <row r="1239">
      <c r="X1239" s="5">
        <f>IF(D1239="","",W1239*IF(AND(ISNUMBER(AB1239),AB1239&gt;0,AB1239&lt;1),AB1239*100,AB1239)/100)</f>
        <v/>
      </c>
      <c r="Y1239" s="5">
        <f>IF(D1239="","",AA1239*Z1239/100)</f>
        <v/>
      </c>
      <c r="Z1239" s="5">
        <f>IF(D1239="","",W1239-X1239)</f>
        <v/>
      </c>
      <c r="AC1239" s="5">
        <f>IF(D1239="","",Z1239-Y1239)</f>
        <v/>
      </c>
      <c r="AD1239">
        <f>IF(D1239="","",N(AD1238)+IF(MATCH(D1239,$D$2:$D$2501,0)=ROW()-1,1,0))</f>
        <v/>
      </c>
    </row>
    <row r="1240">
      <c r="X1240" s="5">
        <f>IF(D1240="","",W1240*IF(AND(ISNUMBER(AB1240),AB1240&gt;0,AB1240&lt;1),AB1240*100,AB1240)/100)</f>
        <v/>
      </c>
      <c r="Y1240" s="5">
        <f>IF(D1240="","",AA1240*Z1240/100)</f>
        <v/>
      </c>
      <c r="Z1240" s="5">
        <f>IF(D1240="","",W1240-X1240)</f>
        <v/>
      </c>
      <c r="AC1240" s="5">
        <f>IF(D1240="","",Z1240-Y1240)</f>
        <v/>
      </c>
      <c r="AD1240">
        <f>IF(D1240="","",N(AD1239)+IF(MATCH(D1240,$D$2:$D$2501,0)=ROW()-1,1,0))</f>
        <v/>
      </c>
    </row>
    <row r="1241">
      <c r="X1241" s="5">
        <f>IF(D1241="","",W1241*IF(AND(ISNUMBER(AB1241),AB1241&gt;0,AB1241&lt;1),AB1241*100,AB1241)/100)</f>
        <v/>
      </c>
      <c r="Y1241" s="5">
        <f>IF(D1241="","",AA1241*Z1241/100)</f>
        <v/>
      </c>
      <c r="Z1241" s="5">
        <f>IF(D1241="","",W1241-X1241)</f>
        <v/>
      </c>
      <c r="AC1241" s="5">
        <f>IF(D1241="","",Z1241-Y1241)</f>
        <v/>
      </c>
      <c r="AD1241">
        <f>IF(D1241="","",N(AD1240)+IF(MATCH(D1241,$D$2:$D$2501,0)=ROW()-1,1,0))</f>
        <v/>
      </c>
    </row>
    <row r="1242">
      <c r="X1242" s="5">
        <f>IF(D1242="","",W1242*IF(AND(ISNUMBER(AB1242),AB1242&gt;0,AB1242&lt;1),AB1242*100,AB1242)/100)</f>
        <v/>
      </c>
      <c r="Y1242" s="5">
        <f>IF(D1242="","",AA1242*Z1242/100)</f>
        <v/>
      </c>
      <c r="Z1242" s="5">
        <f>IF(D1242="","",W1242-X1242)</f>
        <v/>
      </c>
      <c r="AC1242" s="5">
        <f>IF(D1242="","",Z1242-Y1242)</f>
        <v/>
      </c>
      <c r="AD1242">
        <f>IF(D1242="","",N(AD1241)+IF(MATCH(D1242,$D$2:$D$2501,0)=ROW()-1,1,0))</f>
        <v/>
      </c>
    </row>
    <row r="1243">
      <c r="X1243" s="5">
        <f>IF(D1243="","",W1243*IF(AND(ISNUMBER(AB1243),AB1243&gt;0,AB1243&lt;1),AB1243*100,AB1243)/100)</f>
        <v/>
      </c>
      <c r="Y1243" s="5">
        <f>IF(D1243="","",AA1243*Z1243/100)</f>
        <v/>
      </c>
      <c r="Z1243" s="5">
        <f>IF(D1243="","",W1243-X1243)</f>
        <v/>
      </c>
      <c r="AC1243" s="5">
        <f>IF(D1243="","",Z1243-Y1243)</f>
        <v/>
      </c>
      <c r="AD1243">
        <f>IF(D1243="","",N(AD1242)+IF(MATCH(D1243,$D$2:$D$2501,0)=ROW()-1,1,0))</f>
        <v/>
      </c>
    </row>
    <row r="1244">
      <c r="X1244" s="5">
        <f>IF(D1244="","",W1244*IF(AND(ISNUMBER(AB1244),AB1244&gt;0,AB1244&lt;1),AB1244*100,AB1244)/100)</f>
        <v/>
      </c>
      <c r="Y1244" s="5">
        <f>IF(D1244="","",AA1244*Z1244/100)</f>
        <v/>
      </c>
      <c r="Z1244" s="5">
        <f>IF(D1244="","",W1244-X1244)</f>
        <v/>
      </c>
      <c r="AC1244" s="5">
        <f>IF(D1244="","",Z1244-Y1244)</f>
        <v/>
      </c>
      <c r="AD1244">
        <f>IF(D1244="","",N(AD1243)+IF(MATCH(D1244,$D$2:$D$2501,0)=ROW()-1,1,0))</f>
        <v/>
      </c>
    </row>
    <row r="1245">
      <c r="X1245" s="5">
        <f>IF(D1245="","",W1245*IF(AND(ISNUMBER(AB1245),AB1245&gt;0,AB1245&lt;1),AB1245*100,AB1245)/100)</f>
        <v/>
      </c>
      <c r="Y1245" s="5">
        <f>IF(D1245="","",AA1245*Z1245/100)</f>
        <v/>
      </c>
      <c r="Z1245" s="5">
        <f>IF(D1245="","",W1245-X1245)</f>
        <v/>
      </c>
      <c r="AC1245" s="5">
        <f>IF(D1245="","",Z1245-Y1245)</f>
        <v/>
      </c>
      <c r="AD1245">
        <f>IF(D1245="","",N(AD1244)+IF(MATCH(D1245,$D$2:$D$2501,0)=ROW()-1,1,0))</f>
        <v/>
      </c>
    </row>
    <row r="1246">
      <c r="X1246" s="5">
        <f>IF(D1246="","",W1246*IF(AND(ISNUMBER(AB1246),AB1246&gt;0,AB1246&lt;1),AB1246*100,AB1246)/100)</f>
        <v/>
      </c>
      <c r="Y1246" s="5">
        <f>IF(D1246="","",AA1246*Z1246/100)</f>
        <v/>
      </c>
      <c r="Z1246" s="5">
        <f>IF(D1246="","",W1246-X1246)</f>
        <v/>
      </c>
      <c r="AC1246" s="5">
        <f>IF(D1246="","",Z1246-Y1246)</f>
        <v/>
      </c>
      <c r="AD1246">
        <f>IF(D1246="","",N(AD1245)+IF(MATCH(D1246,$D$2:$D$2501,0)=ROW()-1,1,0))</f>
        <v/>
      </c>
    </row>
    <row r="1247">
      <c r="X1247" s="5">
        <f>IF(D1247="","",W1247*IF(AND(ISNUMBER(AB1247),AB1247&gt;0,AB1247&lt;1),AB1247*100,AB1247)/100)</f>
        <v/>
      </c>
      <c r="Y1247" s="5">
        <f>IF(D1247="","",AA1247*Z1247/100)</f>
        <v/>
      </c>
      <c r="Z1247" s="5">
        <f>IF(D1247="","",W1247-X1247)</f>
        <v/>
      </c>
      <c r="AC1247" s="5">
        <f>IF(D1247="","",Z1247-Y1247)</f>
        <v/>
      </c>
      <c r="AD1247">
        <f>IF(D1247="","",N(AD1246)+IF(MATCH(D1247,$D$2:$D$2501,0)=ROW()-1,1,0))</f>
        <v/>
      </c>
    </row>
    <row r="1248">
      <c r="X1248" s="5">
        <f>IF(D1248="","",W1248*IF(AND(ISNUMBER(AB1248),AB1248&gt;0,AB1248&lt;1),AB1248*100,AB1248)/100)</f>
        <v/>
      </c>
      <c r="Y1248" s="5">
        <f>IF(D1248="","",AA1248*Z1248/100)</f>
        <v/>
      </c>
      <c r="Z1248" s="5">
        <f>IF(D1248="","",W1248-X1248)</f>
        <v/>
      </c>
      <c r="AC1248" s="5">
        <f>IF(D1248="","",Z1248-Y1248)</f>
        <v/>
      </c>
      <c r="AD1248">
        <f>IF(D1248="","",N(AD1247)+IF(MATCH(D1248,$D$2:$D$2501,0)=ROW()-1,1,0))</f>
        <v/>
      </c>
    </row>
    <row r="1249">
      <c r="X1249" s="5">
        <f>IF(D1249="","",W1249*IF(AND(ISNUMBER(AB1249),AB1249&gt;0,AB1249&lt;1),AB1249*100,AB1249)/100)</f>
        <v/>
      </c>
      <c r="Y1249" s="5">
        <f>IF(D1249="","",AA1249*Z1249/100)</f>
        <v/>
      </c>
      <c r="Z1249" s="5">
        <f>IF(D1249="","",W1249-X1249)</f>
        <v/>
      </c>
      <c r="AC1249" s="5">
        <f>IF(D1249="","",Z1249-Y1249)</f>
        <v/>
      </c>
      <c r="AD1249">
        <f>IF(D1249="","",N(AD1248)+IF(MATCH(D1249,$D$2:$D$2501,0)=ROW()-1,1,0))</f>
        <v/>
      </c>
    </row>
    <row r="1250">
      <c r="X1250" s="5">
        <f>IF(D1250="","",W1250*IF(AND(ISNUMBER(AB1250),AB1250&gt;0,AB1250&lt;1),AB1250*100,AB1250)/100)</f>
        <v/>
      </c>
      <c r="Y1250" s="5">
        <f>IF(D1250="","",AA1250*Z1250/100)</f>
        <v/>
      </c>
      <c r="Z1250" s="5">
        <f>IF(D1250="","",W1250-X1250)</f>
        <v/>
      </c>
      <c r="AC1250" s="5">
        <f>IF(D1250="","",Z1250-Y1250)</f>
        <v/>
      </c>
      <c r="AD1250">
        <f>IF(D1250="","",N(AD1249)+IF(MATCH(D1250,$D$2:$D$2501,0)=ROW()-1,1,0))</f>
        <v/>
      </c>
    </row>
    <row r="1251">
      <c r="X1251" s="5">
        <f>IF(D1251="","",W1251*IF(AND(ISNUMBER(AB1251),AB1251&gt;0,AB1251&lt;1),AB1251*100,AB1251)/100)</f>
        <v/>
      </c>
      <c r="Y1251" s="5">
        <f>IF(D1251="","",AA1251*Z1251/100)</f>
        <v/>
      </c>
      <c r="Z1251" s="5">
        <f>IF(D1251="","",W1251-X1251)</f>
        <v/>
      </c>
      <c r="AC1251" s="5">
        <f>IF(D1251="","",Z1251-Y1251)</f>
        <v/>
      </c>
      <c r="AD1251">
        <f>IF(D1251="","",N(AD1250)+IF(MATCH(D1251,$D$2:$D$2501,0)=ROW()-1,1,0))</f>
        <v/>
      </c>
    </row>
    <row r="1252">
      <c r="X1252" s="5">
        <f>IF(D1252="","",W1252*IF(AND(ISNUMBER(AB1252),AB1252&gt;0,AB1252&lt;1),AB1252*100,AB1252)/100)</f>
        <v/>
      </c>
      <c r="Y1252" s="5">
        <f>IF(D1252="","",AA1252*Z1252/100)</f>
        <v/>
      </c>
      <c r="Z1252" s="5">
        <f>IF(D1252="","",W1252-X1252)</f>
        <v/>
      </c>
      <c r="AC1252" s="5">
        <f>IF(D1252="","",Z1252-Y1252)</f>
        <v/>
      </c>
      <c r="AD1252">
        <f>IF(D1252="","",N(AD1251)+IF(MATCH(D1252,$D$2:$D$2501,0)=ROW()-1,1,0))</f>
        <v/>
      </c>
    </row>
    <row r="1253">
      <c r="X1253" s="5">
        <f>IF(D1253="","",W1253*IF(AND(ISNUMBER(AB1253),AB1253&gt;0,AB1253&lt;1),AB1253*100,AB1253)/100)</f>
        <v/>
      </c>
      <c r="Y1253" s="5">
        <f>IF(D1253="","",AA1253*Z1253/100)</f>
        <v/>
      </c>
      <c r="Z1253" s="5">
        <f>IF(D1253="","",W1253-X1253)</f>
        <v/>
      </c>
      <c r="AC1253" s="5">
        <f>IF(D1253="","",Z1253-Y1253)</f>
        <v/>
      </c>
      <c r="AD1253">
        <f>IF(D1253="","",N(AD1252)+IF(MATCH(D1253,$D$2:$D$2501,0)=ROW()-1,1,0))</f>
        <v/>
      </c>
    </row>
    <row r="1254">
      <c r="X1254" s="5">
        <f>IF(D1254="","",W1254*IF(AND(ISNUMBER(AB1254),AB1254&gt;0,AB1254&lt;1),AB1254*100,AB1254)/100)</f>
        <v/>
      </c>
      <c r="Y1254" s="5">
        <f>IF(D1254="","",AA1254*Z1254/100)</f>
        <v/>
      </c>
      <c r="Z1254" s="5">
        <f>IF(D1254="","",W1254-X1254)</f>
        <v/>
      </c>
      <c r="AC1254" s="5">
        <f>IF(D1254="","",Z1254-Y1254)</f>
        <v/>
      </c>
      <c r="AD1254">
        <f>IF(D1254="","",N(AD1253)+IF(MATCH(D1254,$D$2:$D$2501,0)=ROW()-1,1,0))</f>
        <v/>
      </c>
    </row>
    <row r="1255">
      <c r="X1255" s="5">
        <f>IF(D1255="","",W1255*IF(AND(ISNUMBER(AB1255),AB1255&gt;0,AB1255&lt;1),AB1255*100,AB1255)/100)</f>
        <v/>
      </c>
      <c r="Y1255" s="5">
        <f>IF(D1255="","",AA1255*Z1255/100)</f>
        <v/>
      </c>
      <c r="Z1255" s="5">
        <f>IF(D1255="","",W1255-X1255)</f>
        <v/>
      </c>
      <c r="AC1255" s="5">
        <f>IF(D1255="","",Z1255-Y1255)</f>
        <v/>
      </c>
      <c r="AD1255">
        <f>IF(D1255="","",N(AD1254)+IF(MATCH(D1255,$D$2:$D$2501,0)=ROW()-1,1,0))</f>
        <v/>
      </c>
    </row>
    <row r="1256">
      <c r="X1256" s="5">
        <f>IF(D1256="","",W1256*IF(AND(ISNUMBER(AB1256),AB1256&gt;0,AB1256&lt;1),AB1256*100,AB1256)/100)</f>
        <v/>
      </c>
      <c r="Y1256" s="5">
        <f>IF(D1256="","",AA1256*Z1256/100)</f>
        <v/>
      </c>
      <c r="Z1256" s="5">
        <f>IF(D1256="","",W1256-X1256)</f>
        <v/>
      </c>
      <c r="AC1256" s="5">
        <f>IF(D1256="","",Z1256-Y1256)</f>
        <v/>
      </c>
      <c r="AD1256">
        <f>IF(D1256="","",N(AD1255)+IF(MATCH(D1256,$D$2:$D$2501,0)=ROW()-1,1,0))</f>
        <v/>
      </c>
    </row>
    <row r="1257">
      <c r="X1257" s="5">
        <f>IF(D1257="","",W1257*IF(AND(ISNUMBER(AB1257),AB1257&gt;0,AB1257&lt;1),AB1257*100,AB1257)/100)</f>
        <v/>
      </c>
      <c r="Y1257" s="5">
        <f>IF(D1257="","",AA1257*Z1257/100)</f>
        <v/>
      </c>
      <c r="Z1257" s="5">
        <f>IF(D1257="","",W1257-X1257)</f>
        <v/>
      </c>
      <c r="AC1257" s="5">
        <f>IF(D1257="","",Z1257-Y1257)</f>
        <v/>
      </c>
      <c r="AD1257">
        <f>IF(D1257="","",N(AD1256)+IF(MATCH(D1257,$D$2:$D$2501,0)=ROW()-1,1,0))</f>
        <v/>
      </c>
    </row>
    <row r="1258">
      <c r="X1258" s="5">
        <f>IF(D1258="","",W1258*IF(AND(ISNUMBER(AB1258),AB1258&gt;0,AB1258&lt;1),AB1258*100,AB1258)/100)</f>
        <v/>
      </c>
      <c r="Y1258" s="5">
        <f>IF(D1258="","",AA1258*Z1258/100)</f>
        <v/>
      </c>
      <c r="Z1258" s="5">
        <f>IF(D1258="","",W1258-X1258)</f>
        <v/>
      </c>
      <c r="AC1258" s="5">
        <f>IF(D1258="","",Z1258-Y1258)</f>
        <v/>
      </c>
      <c r="AD1258">
        <f>IF(D1258="","",N(AD1257)+IF(MATCH(D1258,$D$2:$D$2501,0)=ROW()-1,1,0))</f>
        <v/>
      </c>
    </row>
    <row r="1259">
      <c r="X1259" s="5">
        <f>IF(D1259="","",W1259*IF(AND(ISNUMBER(AB1259),AB1259&gt;0,AB1259&lt;1),AB1259*100,AB1259)/100)</f>
        <v/>
      </c>
      <c r="Y1259" s="5">
        <f>IF(D1259="","",AA1259*Z1259/100)</f>
        <v/>
      </c>
      <c r="Z1259" s="5">
        <f>IF(D1259="","",W1259-X1259)</f>
        <v/>
      </c>
      <c r="AC1259" s="5">
        <f>IF(D1259="","",Z1259-Y1259)</f>
        <v/>
      </c>
      <c r="AD1259">
        <f>IF(D1259="","",N(AD1258)+IF(MATCH(D1259,$D$2:$D$2501,0)=ROW()-1,1,0))</f>
        <v/>
      </c>
    </row>
    <row r="1260">
      <c r="X1260" s="5">
        <f>IF(D1260="","",W1260*IF(AND(ISNUMBER(AB1260),AB1260&gt;0,AB1260&lt;1),AB1260*100,AB1260)/100)</f>
        <v/>
      </c>
      <c r="Y1260" s="5">
        <f>IF(D1260="","",AA1260*Z1260/100)</f>
        <v/>
      </c>
      <c r="Z1260" s="5">
        <f>IF(D1260="","",W1260-X1260)</f>
        <v/>
      </c>
      <c r="AC1260" s="5">
        <f>IF(D1260="","",Z1260-Y1260)</f>
        <v/>
      </c>
      <c r="AD1260">
        <f>IF(D1260="","",N(AD1259)+IF(MATCH(D1260,$D$2:$D$2501,0)=ROW()-1,1,0))</f>
        <v/>
      </c>
    </row>
    <row r="1261">
      <c r="X1261" s="5">
        <f>IF(D1261="","",W1261*IF(AND(ISNUMBER(AB1261),AB1261&gt;0,AB1261&lt;1),AB1261*100,AB1261)/100)</f>
        <v/>
      </c>
      <c r="Y1261" s="5">
        <f>IF(D1261="","",AA1261*Z1261/100)</f>
        <v/>
      </c>
      <c r="Z1261" s="5">
        <f>IF(D1261="","",W1261-X1261)</f>
        <v/>
      </c>
      <c r="AC1261" s="5">
        <f>IF(D1261="","",Z1261-Y1261)</f>
        <v/>
      </c>
      <c r="AD1261">
        <f>IF(D1261="","",N(AD1260)+IF(MATCH(D1261,$D$2:$D$2501,0)=ROW()-1,1,0))</f>
        <v/>
      </c>
    </row>
    <row r="1262">
      <c r="X1262" s="5">
        <f>IF(D1262="","",W1262*IF(AND(ISNUMBER(AB1262),AB1262&gt;0,AB1262&lt;1),AB1262*100,AB1262)/100)</f>
        <v/>
      </c>
      <c r="Y1262" s="5">
        <f>IF(D1262="","",AA1262*Z1262/100)</f>
        <v/>
      </c>
      <c r="Z1262" s="5">
        <f>IF(D1262="","",W1262-X1262)</f>
        <v/>
      </c>
      <c r="AC1262" s="5">
        <f>IF(D1262="","",Z1262-Y1262)</f>
        <v/>
      </c>
      <c r="AD1262">
        <f>IF(D1262="","",N(AD1261)+IF(MATCH(D1262,$D$2:$D$2501,0)=ROW()-1,1,0))</f>
        <v/>
      </c>
    </row>
    <row r="1263">
      <c r="X1263" s="5">
        <f>IF(D1263="","",W1263*IF(AND(ISNUMBER(AB1263),AB1263&gt;0,AB1263&lt;1),AB1263*100,AB1263)/100)</f>
        <v/>
      </c>
      <c r="Y1263" s="5">
        <f>IF(D1263="","",AA1263*Z1263/100)</f>
        <v/>
      </c>
      <c r="Z1263" s="5">
        <f>IF(D1263="","",W1263-X1263)</f>
        <v/>
      </c>
      <c r="AC1263" s="5">
        <f>IF(D1263="","",Z1263-Y1263)</f>
        <v/>
      </c>
      <c r="AD1263">
        <f>IF(D1263="","",N(AD1262)+IF(MATCH(D1263,$D$2:$D$2501,0)=ROW()-1,1,0))</f>
        <v/>
      </c>
    </row>
    <row r="1264">
      <c r="X1264" s="5">
        <f>IF(D1264="","",W1264*IF(AND(ISNUMBER(AB1264),AB1264&gt;0,AB1264&lt;1),AB1264*100,AB1264)/100)</f>
        <v/>
      </c>
      <c r="Y1264" s="5">
        <f>IF(D1264="","",AA1264*Z1264/100)</f>
        <v/>
      </c>
      <c r="Z1264" s="5">
        <f>IF(D1264="","",W1264-X1264)</f>
        <v/>
      </c>
      <c r="AC1264" s="5">
        <f>IF(D1264="","",Z1264-Y1264)</f>
        <v/>
      </c>
      <c r="AD1264">
        <f>IF(D1264="","",N(AD1263)+IF(MATCH(D1264,$D$2:$D$2501,0)=ROW()-1,1,0))</f>
        <v/>
      </c>
    </row>
    <row r="1265">
      <c r="X1265" s="5">
        <f>IF(D1265="","",W1265*IF(AND(ISNUMBER(AB1265),AB1265&gt;0,AB1265&lt;1),AB1265*100,AB1265)/100)</f>
        <v/>
      </c>
      <c r="Y1265" s="5">
        <f>IF(D1265="","",AA1265*Z1265/100)</f>
        <v/>
      </c>
      <c r="Z1265" s="5">
        <f>IF(D1265="","",W1265-X1265)</f>
        <v/>
      </c>
      <c r="AC1265" s="5">
        <f>IF(D1265="","",Z1265-Y1265)</f>
        <v/>
      </c>
      <c r="AD1265">
        <f>IF(D1265="","",N(AD1264)+IF(MATCH(D1265,$D$2:$D$2501,0)=ROW()-1,1,0))</f>
        <v/>
      </c>
    </row>
    <row r="1266">
      <c r="X1266" s="5">
        <f>IF(D1266="","",W1266*IF(AND(ISNUMBER(AB1266),AB1266&gt;0,AB1266&lt;1),AB1266*100,AB1266)/100)</f>
        <v/>
      </c>
      <c r="Y1266" s="5">
        <f>IF(D1266="","",AA1266*Z1266/100)</f>
        <v/>
      </c>
      <c r="Z1266" s="5">
        <f>IF(D1266="","",W1266-X1266)</f>
        <v/>
      </c>
      <c r="AC1266" s="5">
        <f>IF(D1266="","",Z1266-Y1266)</f>
        <v/>
      </c>
      <c r="AD1266">
        <f>IF(D1266="","",N(AD1265)+IF(MATCH(D1266,$D$2:$D$2501,0)=ROW()-1,1,0))</f>
        <v/>
      </c>
    </row>
    <row r="1267">
      <c r="X1267" s="5">
        <f>IF(D1267="","",W1267*IF(AND(ISNUMBER(AB1267),AB1267&gt;0,AB1267&lt;1),AB1267*100,AB1267)/100)</f>
        <v/>
      </c>
      <c r="Y1267" s="5">
        <f>IF(D1267="","",AA1267*Z1267/100)</f>
        <v/>
      </c>
      <c r="Z1267" s="5">
        <f>IF(D1267="","",W1267-X1267)</f>
        <v/>
      </c>
      <c r="AC1267" s="5">
        <f>IF(D1267="","",Z1267-Y1267)</f>
        <v/>
      </c>
      <c r="AD1267">
        <f>IF(D1267="","",N(AD1266)+IF(MATCH(D1267,$D$2:$D$2501,0)=ROW()-1,1,0))</f>
        <v/>
      </c>
    </row>
    <row r="1268">
      <c r="X1268" s="5">
        <f>IF(D1268="","",W1268*IF(AND(ISNUMBER(AB1268),AB1268&gt;0,AB1268&lt;1),AB1268*100,AB1268)/100)</f>
        <v/>
      </c>
      <c r="Y1268" s="5">
        <f>IF(D1268="","",AA1268*Z1268/100)</f>
        <v/>
      </c>
      <c r="Z1268" s="5">
        <f>IF(D1268="","",W1268-X1268)</f>
        <v/>
      </c>
      <c r="AC1268" s="5">
        <f>IF(D1268="","",Z1268-Y1268)</f>
        <v/>
      </c>
      <c r="AD1268">
        <f>IF(D1268="","",N(AD1267)+IF(MATCH(D1268,$D$2:$D$2501,0)=ROW()-1,1,0))</f>
        <v/>
      </c>
    </row>
    <row r="1269">
      <c r="X1269" s="5">
        <f>IF(D1269="","",W1269*IF(AND(ISNUMBER(AB1269),AB1269&gt;0,AB1269&lt;1),AB1269*100,AB1269)/100)</f>
        <v/>
      </c>
      <c r="Y1269" s="5">
        <f>IF(D1269="","",AA1269*Z1269/100)</f>
        <v/>
      </c>
      <c r="Z1269" s="5">
        <f>IF(D1269="","",W1269-X1269)</f>
        <v/>
      </c>
      <c r="AC1269" s="5">
        <f>IF(D1269="","",Z1269-Y1269)</f>
        <v/>
      </c>
      <c r="AD1269">
        <f>IF(D1269="","",N(AD1268)+IF(MATCH(D1269,$D$2:$D$2501,0)=ROW()-1,1,0))</f>
        <v/>
      </c>
    </row>
    <row r="1270">
      <c r="X1270" s="5">
        <f>IF(D1270="","",W1270*IF(AND(ISNUMBER(AB1270),AB1270&gt;0,AB1270&lt;1),AB1270*100,AB1270)/100)</f>
        <v/>
      </c>
      <c r="Y1270" s="5">
        <f>IF(D1270="","",AA1270*Z1270/100)</f>
        <v/>
      </c>
      <c r="Z1270" s="5">
        <f>IF(D1270="","",W1270-X1270)</f>
        <v/>
      </c>
      <c r="AC1270" s="5">
        <f>IF(D1270="","",Z1270-Y1270)</f>
        <v/>
      </c>
      <c r="AD1270">
        <f>IF(D1270="","",N(AD1269)+IF(MATCH(D1270,$D$2:$D$2501,0)=ROW()-1,1,0))</f>
        <v/>
      </c>
    </row>
    <row r="1271">
      <c r="X1271" s="5">
        <f>IF(D1271="","",W1271*IF(AND(ISNUMBER(AB1271),AB1271&gt;0,AB1271&lt;1),AB1271*100,AB1271)/100)</f>
        <v/>
      </c>
      <c r="Y1271" s="5">
        <f>IF(D1271="","",AA1271*Z1271/100)</f>
        <v/>
      </c>
      <c r="Z1271" s="5">
        <f>IF(D1271="","",W1271-X1271)</f>
        <v/>
      </c>
      <c r="AC1271" s="5">
        <f>IF(D1271="","",Z1271-Y1271)</f>
        <v/>
      </c>
      <c r="AD1271">
        <f>IF(D1271="","",N(AD1270)+IF(MATCH(D1271,$D$2:$D$2501,0)=ROW()-1,1,0))</f>
        <v/>
      </c>
    </row>
    <row r="1272">
      <c r="X1272" s="5">
        <f>IF(D1272="","",W1272*IF(AND(ISNUMBER(AB1272),AB1272&gt;0,AB1272&lt;1),AB1272*100,AB1272)/100)</f>
        <v/>
      </c>
      <c r="Y1272" s="5">
        <f>IF(D1272="","",AA1272*Z1272/100)</f>
        <v/>
      </c>
      <c r="Z1272" s="5">
        <f>IF(D1272="","",W1272-X1272)</f>
        <v/>
      </c>
      <c r="AC1272" s="5">
        <f>IF(D1272="","",Z1272-Y1272)</f>
        <v/>
      </c>
      <c r="AD1272">
        <f>IF(D1272="","",N(AD1271)+IF(MATCH(D1272,$D$2:$D$2501,0)=ROW()-1,1,0))</f>
        <v/>
      </c>
    </row>
    <row r="1273">
      <c r="X1273" s="5">
        <f>IF(D1273="","",W1273*IF(AND(ISNUMBER(AB1273),AB1273&gt;0,AB1273&lt;1),AB1273*100,AB1273)/100)</f>
        <v/>
      </c>
      <c r="Y1273" s="5">
        <f>IF(D1273="","",AA1273*Z1273/100)</f>
        <v/>
      </c>
      <c r="Z1273" s="5">
        <f>IF(D1273="","",W1273-X1273)</f>
        <v/>
      </c>
      <c r="AC1273" s="5">
        <f>IF(D1273="","",Z1273-Y1273)</f>
        <v/>
      </c>
      <c r="AD1273">
        <f>IF(D1273="","",N(AD1272)+IF(MATCH(D1273,$D$2:$D$2501,0)=ROW()-1,1,0))</f>
        <v/>
      </c>
    </row>
    <row r="1274">
      <c r="X1274" s="5">
        <f>IF(D1274="","",W1274*IF(AND(ISNUMBER(AB1274),AB1274&gt;0,AB1274&lt;1),AB1274*100,AB1274)/100)</f>
        <v/>
      </c>
      <c r="Y1274" s="5">
        <f>IF(D1274="","",AA1274*Z1274/100)</f>
        <v/>
      </c>
      <c r="Z1274" s="5">
        <f>IF(D1274="","",W1274-X1274)</f>
        <v/>
      </c>
      <c r="AC1274" s="5">
        <f>IF(D1274="","",Z1274-Y1274)</f>
        <v/>
      </c>
      <c r="AD1274">
        <f>IF(D1274="","",N(AD1273)+IF(MATCH(D1274,$D$2:$D$2501,0)=ROW()-1,1,0))</f>
        <v/>
      </c>
    </row>
    <row r="1275">
      <c r="X1275" s="5">
        <f>IF(D1275="","",W1275*IF(AND(ISNUMBER(AB1275),AB1275&gt;0,AB1275&lt;1),AB1275*100,AB1275)/100)</f>
        <v/>
      </c>
      <c r="Y1275" s="5">
        <f>IF(D1275="","",AA1275*Z1275/100)</f>
        <v/>
      </c>
      <c r="Z1275" s="5">
        <f>IF(D1275="","",W1275-X1275)</f>
        <v/>
      </c>
      <c r="AC1275" s="5">
        <f>IF(D1275="","",Z1275-Y1275)</f>
        <v/>
      </c>
      <c r="AD1275">
        <f>IF(D1275="","",N(AD1274)+IF(MATCH(D1275,$D$2:$D$2501,0)=ROW()-1,1,0))</f>
        <v/>
      </c>
    </row>
    <row r="1276">
      <c r="X1276" s="5">
        <f>IF(D1276="","",W1276*IF(AND(ISNUMBER(AB1276),AB1276&gt;0,AB1276&lt;1),AB1276*100,AB1276)/100)</f>
        <v/>
      </c>
      <c r="Y1276" s="5">
        <f>IF(D1276="","",AA1276*Z1276/100)</f>
        <v/>
      </c>
      <c r="Z1276" s="5">
        <f>IF(D1276="","",W1276-X1276)</f>
        <v/>
      </c>
      <c r="AC1276" s="5">
        <f>IF(D1276="","",Z1276-Y1276)</f>
        <v/>
      </c>
      <c r="AD1276">
        <f>IF(D1276="","",N(AD1275)+IF(MATCH(D1276,$D$2:$D$2501,0)=ROW()-1,1,0))</f>
        <v/>
      </c>
    </row>
    <row r="1277">
      <c r="X1277" s="5">
        <f>IF(D1277="","",W1277*IF(AND(ISNUMBER(AB1277),AB1277&gt;0,AB1277&lt;1),AB1277*100,AB1277)/100)</f>
        <v/>
      </c>
      <c r="Y1277" s="5">
        <f>IF(D1277="","",AA1277*Z1277/100)</f>
        <v/>
      </c>
      <c r="Z1277" s="5">
        <f>IF(D1277="","",W1277-X1277)</f>
        <v/>
      </c>
      <c r="AC1277" s="5">
        <f>IF(D1277="","",Z1277-Y1277)</f>
        <v/>
      </c>
      <c r="AD1277">
        <f>IF(D1277="","",N(AD1276)+IF(MATCH(D1277,$D$2:$D$2501,0)=ROW()-1,1,0))</f>
        <v/>
      </c>
    </row>
    <row r="1278">
      <c r="X1278" s="5">
        <f>IF(D1278="","",W1278*IF(AND(ISNUMBER(AB1278),AB1278&gt;0,AB1278&lt;1),AB1278*100,AB1278)/100)</f>
        <v/>
      </c>
      <c r="Y1278" s="5">
        <f>IF(D1278="","",AA1278*Z1278/100)</f>
        <v/>
      </c>
      <c r="Z1278" s="5">
        <f>IF(D1278="","",W1278-X1278)</f>
        <v/>
      </c>
      <c r="AC1278" s="5">
        <f>IF(D1278="","",Z1278-Y1278)</f>
        <v/>
      </c>
      <c r="AD1278">
        <f>IF(D1278="","",N(AD1277)+IF(MATCH(D1278,$D$2:$D$2501,0)=ROW()-1,1,0))</f>
        <v/>
      </c>
    </row>
    <row r="1279">
      <c r="X1279" s="5">
        <f>IF(D1279="","",W1279*IF(AND(ISNUMBER(AB1279),AB1279&gt;0,AB1279&lt;1),AB1279*100,AB1279)/100)</f>
        <v/>
      </c>
      <c r="Y1279" s="5">
        <f>IF(D1279="","",AA1279*Z1279/100)</f>
        <v/>
      </c>
      <c r="Z1279" s="5">
        <f>IF(D1279="","",W1279-X1279)</f>
        <v/>
      </c>
      <c r="AC1279" s="5">
        <f>IF(D1279="","",Z1279-Y1279)</f>
        <v/>
      </c>
      <c r="AD1279">
        <f>IF(D1279="","",N(AD1278)+IF(MATCH(D1279,$D$2:$D$2501,0)=ROW()-1,1,0))</f>
        <v/>
      </c>
    </row>
    <row r="1280">
      <c r="X1280" s="5">
        <f>IF(D1280="","",W1280*IF(AND(ISNUMBER(AB1280),AB1280&gt;0,AB1280&lt;1),AB1280*100,AB1280)/100)</f>
        <v/>
      </c>
      <c r="Y1280" s="5">
        <f>IF(D1280="","",AA1280*Z1280/100)</f>
        <v/>
      </c>
      <c r="Z1280" s="5">
        <f>IF(D1280="","",W1280-X1280)</f>
        <v/>
      </c>
      <c r="AC1280" s="5">
        <f>IF(D1280="","",Z1280-Y1280)</f>
        <v/>
      </c>
      <c r="AD1280">
        <f>IF(D1280="","",N(AD1279)+IF(MATCH(D1280,$D$2:$D$2501,0)=ROW()-1,1,0))</f>
        <v/>
      </c>
    </row>
    <row r="1281">
      <c r="X1281" s="5">
        <f>IF(D1281="","",W1281*IF(AND(ISNUMBER(AB1281),AB1281&gt;0,AB1281&lt;1),AB1281*100,AB1281)/100)</f>
        <v/>
      </c>
      <c r="Y1281" s="5">
        <f>IF(D1281="","",AA1281*Z1281/100)</f>
        <v/>
      </c>
      <c r="Z1281" s="5">
        <f>IF(D1281="","",W1281-X1281)</f>
        <v/>
      </c>
      <c r="AC1281" s="5">
        <f>IF(D1281="","",Z1281-Y1281)</f>
        <v/>
      </c>
      <c r="AD1281">
        <f>IF(D1281="","",N(AD1280)+IF(MATCH(D1281,$D$2:$D$2501,0)=ROW()-1,1,0))</f>
        <v/>
      </c>
    </row>
    <row r="1282">
      <c r="X1282" s="5">
        <f>IF(D1282="","",W1282*IF(AND(ISNUMBER(AB1282),AB1282&gt;0,AB1282&lt;1),AB1282*100,AB1282)/100)</f>
        <v/>
      </c>
      <c r="Y1282" s="5">
        <f>IF(D1282="","",AA1282*Z1282/100)</f>
        <v/>
      </c>
      <c r="Z1282" s="5">
        <f>IF(D1282="","",W1282-X1282)</f>
        <v/>
      </c>
      <c r="AC1282" s="5">
        <f>IF(D1282="","",Z1282-Y1282)</f>
        <v/>
      </c>
      <c r="AD1282">
        <f>IF(D1282="","",N(AD1281)+IF(MATCH(D1282,$D$2:$D$2501,0)=ROW()-1,1,0))</f>
        <v/>
      </c>
    </row>
    <row r="1283">
      <c r="X1283" s="5">
        <f>IF(D1283="","",W1283*IF(AND(ISNUMBER(AB1283),AB1283&gt;0,AB1283&lt;1),AB1283*100,AB1283)/100)</f>
        <v/>
      </c>
      <c r="Y1283" s="5">
        <f>IF(D1283="","",AA1283*Z1283/100)</f>
        <v/>
      </c>
      <c r="Z1283" s="5">
        <f>IF(D1283="","",W1283-X1283)</f>
        <v/>
      </c>
      <c r="AC1283" s="5">
        <f>IF(D1283="","",Z1283-Y1283)</f>
        <v/>
      </c>
      <c r="AD1283">
        <f>IF(D1283="","",N(AD1282)+IF(MATCH(D1283,$D$2:$D$2501,0)=ROW()-1,1,0))</f>
        <v/>
      </c>
    </row>
    <row r="1284">
      <c r="X1284" s="5">
        <f>IF(D1284="","",W1284*IF(AND(ISNUMBER(AB1284),AB1284&gt;0,AB1284&lt;1),AB1284*100,AB1284)/100)</f>
        <v/>
      </c>
      <c r="Y1284" s="5">
        <f>IF(D1284="","",AA1284*Z1284/100)</f>
        <v/>
      </c>
      <c r="Z1284" s="5">
        <f>IF(D1284="","",W1284-X1284)</f>
        <v/>
      </c>
      <c r="AC1284" s="5">
        <f>IF(D1284="","",Z1284-Y1284)</f>
        <v/>
      </c>
      <c r="AD1284">
        <f>IF(D1284="","",N(AD1283)+IF(MATCH(D1284,$D$2:$D$2501,0)=ROW()-1,1,0))</f>
        <v/>
      </c>
    </row>
    <row r="1285">
      <c r="X1285" s="5">
        <f>IF(D1285="","",W1285*IF(AND(ISNUMBER(AB1285),AB1285&gt;0,AB1285&lt;1),AB1285*100,AB1285)/100)</f>
        <v/>
      </c>
      <c r="Y1285" s="5">
        <f>IF(D1285="","",AA1285*Z1285/100)</f>
        <v/>
      </c>
      <c r="Z1285" s="5">
        <f>IF(D1285="","",W1285-X1285)</f>
        <v/>
      </c>
      <c r="AC1285" s="5">
        <f>IF(D1285="","",Z1285-Y1285)</f>
        <v/>
      </c>
      <c r="AD1285">
        <f>IF(D1285="","",N(AD1284)+IF(MATCH(D1285,$D$2:$D$2501,0)=ROW()-1,1,0))</f>
        <v/>
      </c>
    </row>
    <row r="1286">
      <c r="X1286" s="5">
        <f>IF(D1286="","",W1286*IF(AND(ISNUMBER(AB1286),AB1286&gt;0,AB1286&lt;1),AB1286*100,AB1286)/100)</f>
        <v/>
      </c>
      <c r="Y1286" s="5">
        <f>IF(D1286="","",AA1286*Z1286/100)</f>
        <v/>
      </c>
      <c r="Z1286" s="5">
        <f>IF(D1286="","",W1286-X1286)</f>
        <v/>
      </c>
      <c r="AC1286" s="5">
        <f>IF(D1286="","",Z1286-Y1286)</f>
        <v/>
      </c>
      <c r="AD1286">
        <f>IF(D1286="","",N(AD1285)+IF(MATCH(D1286,$D$2:$D$2501,0)=ROW()-1,1,0))</f>
        <v/>
      </c>
    </row>
    <row r="1287">
      <c r="X1287" s="5">
        <f>IF(D1287="","",W1287*IF(AND(ISNUMBER(AB1287),AB1287&gt;0,AB1287&lt;1),AB1287*100,AB1287)/100)</f>
        <v/>
      </c>
      <c r="Y1287" s="5">
        <f>IF(D1287="","",AA1287*Z1287/100)</f>
        <v/>
      </c>
      <c r="Z1287" s="5">
        <f>IF(D1287="","",W1287-X1287)</f>
        <v/>
      </c>
      <c r="AC1287" s="5">
        <f>IF(D1287="","",Z1287-Y1287)</f>
        <v/>
      </c>
      <c r="AD1287">
        <f>IF(D1287="","",N(AD1286)+IF(MATCH(D1287,$D$2:$D$2501,0)=ROW()-1,1,0))</f>
        <v/>
      </c>
    </row>
    <row r="1288">
      <c r="X1288" s="5">
        <f>IF(D1288="","",W1288*IF(AND(ISNUMBER(AB1288),AB1288&gt;0,AB1288&lt;1),AB1288*100,AB1288)/100)</f>
        <v/>
      </c>
      <c r="Y1288" s="5">
        <f>IF(D1288="","",AA1288*Z1288/100)</f>
        <v/>
      </c>
      <c r="Z1288" s="5">
        <f>IF(D1288="","",W1288-X1288)</f>
        <v/>
      </c>
      <c r="AC1288" s="5">
        <f>IF(D1288="","",Z1288-Y1288)</f>
        <v/>
      </c>
      <c r="AD1288">
        <f>IF(D1288="","",N(AD1287)+IF(MATCH(D1288,$D$2:$D$2501,0)=ROW()-1,1,0))</f>
        <v/>
      </c>
    </row>
    <row r="1289">
      <c r="X1289" s="5">
        <f>IF(D1289="","",W1289*IF(AND(ISNUMBER(AB1289),AB1289&gt;0,AB1289&lt;1),AB1289*100,AB1289)/100)</f>
        <v/>
      </c>
      <c r="Y1289" s="5">
        <f>IF(D1289="","",AA1289*Z1289/100)</f>
        <v/>
      </c>
      <c r="Z1289" s="5">
        <f>IF(D1289="","",W1289-X1289)</f>
        <v/>
      </c>
      <c r="AC1289" s="5">
        <f>IF(D1289="","",Z1289-Y1289)</f>
        <v/>
      </c>
      <c r="AD1289">
        <f>IF(D1289="","",N(AD1288)+IF(MATCH(D1289,$D$2:$D$2501,0)=ROW()-1,1,0))</f>
        <v/>
      </c>
    </row>
    <row r="1290">
      <c r="X1290" s="5">
        <f>IF(D1290="","",W1290*IF(AND(ISNUMBER(AB1290),AB1290&gt;0,AB1290&lt;1),AB1290*100,AB1290)/100)</f>
        <v/>
      </c>
      <c r="Y1290" s="5">
        <f>IF(D1290="","",AA1290*Z1290/100)</f>
        <v/>
      </c>
      <c r="Z1290" s="5">
        <f>IF(D1290="","",W1290-X1290)</f>
        <v/>
      </c>
      <c r="AC1290" s="5">
        <f>IF(D1290="","",Z1290-Y1290)</f>
        <v/>
      </c>
      <c r="AD1290">
        <f>IF(D1290="","",N(AD1289)+IF(MATCH(D1290,$D$2:$D$2501,0)=ROW()-1,1,0))</f>
        <v/>
      </c>
    </row>
    <row r="1291">
      <c r="X1291" s="5">
        <f>IF(D1291="","",W1291*IF(AND(ISNUMBER(AB1291),AB1291&gt;0,AB1291&lt;1),AB1291*100,AB1291)/100)</f>
        <v/>
      </c>
      <c r="Y1291" s="5">
        <f>IF(D1291="","",AA1291*Z1291/100)</f>
        <v/>
      </c>
      <c r="Z1291" s="5">
        <f>IF(D1291="","",W1291-X1291)</f>
        <v/>
      </c>
      <c r="AC1291" s="5">
        <f>IF(D1291="","",Z1291-Y1291)</f>
        <v/>
      </c>
      <c r="AD1291">
        <f>IF(D1291="","",N(AD1290)+IF(MATCH(D1291,$D$2:$D$2501,0)=ROW()-1,1,0))</f>
        <v/>
      </c>
    </row>
    <row r="1292">
      <c r="X1292" s="5">
        <f>IF(D1292="","",W1292*IF(AND(ISNUMBER(AB1292),AB1292&gt;0,AB1292&lt;1),AB1292*100,AB1292)/100)</f>
        <v/>
      </c>
      <c r="Y1292" s="5">
        <f>IF(D1292="","",AA1292*Z1292/100)</f>
        <v/>
      </c>
      <c r="Z1292" s="5">
        <f>IF(D1292="","",W1292-X1292)</f>
        <v/>
      </c>
      <c r="AC1292" s="5">
        <f>IF(D1292="","",Z1292-Y1292)</f>
        <v/>
      </c>
      <c r="AD1292">
        <f>IF(D1292="","",N(AD1291)+IF(MATCH(D1292,$D$2:$D$2501,0)=ROW()-1,1,0))</f>
        <v/>
      </c>
    </row>
    <row r="1293">
      <c r="X1293" s="5">
        <f>IF(D1293="","",W1293*IF(AND(ISNUMBER(AB1293),AB1293&gt;0,AB1293&lt;1),AB1293*100,AB1293)/100)</f>
        <v/>
      </c>
      <c r="Y1293" s="5">
        <f>IF(D1293="","",AA1293*Z1293/100)</f>
        <v/>
      </c>
      <c r="Z1293" s="5">
        <f>IF(D1293="","",W1293-X1293)</f>
        <v/>
      </c>
      <c r="AC1293" s="5">
        <f>IF(D1293="","",Z1293-Y1293)</f>
        <v/>
      </c>
      <c r="AD1293">
        <f>IF(D1293="","",N(AD1292)+IF(MATCH(D1293,$D$2:$D$2501,0)=ROW()-1,1,0))</f>
        <v/>
      </c>
    </row>
    <row r="1294">
      <c r="X1294" s="5">
        <f>IF(D1294="","",W1294*IF(AND(ISNUMBER(AB1294),AB1294&gt;0,AB1294&lt;1),AB1294*100,AB1294)/100)</f>
        <v/>
      </c>
      <c r="Y1294" s="5">
        <f>IF(D1294="","",AA1294*Z1294/100)</f>
        <v/>
      </c>
      <c r="Z1294" s="5">
        <f>IF(D1294="","",W1294-X1294)</f>
        <v/>
      </c>
      <c r="AC1294" s="5">
        <f>IF(D1294="","",Z1294-Y1294)</f>
        <v/>
      </c>
      <c r="AD1294">
        <f>IF(D1294="","",N(AD1293)+IF(MATCH(D1294,$D$2:$D$2501,0)=ROW()-1,1,0))</f>
        <v/>
      </c>
    </row>
    <row r="1295">
      <c r="X1295" s="5">
        <f>IF(D1295="","",W1295*IF(AND(ISNUMBER(AB1295),AB1295&gt;0,AB1295&lt;1),AB1295*100,AB1295)/100)</f>
        <v/>
      </c>
      <c r="Y1295" s="5">
        <f>IF(D1295="","",AA1295*Z1295/100)</f>
        <v/>
      </c>
      <c r="Z1295" s="5">
        <f>IF(D1295="","",W1295-X1295)</f>
        <v/>
      </c>
      <c r="AC1295" s="5">
        <f>IF(D1295="","",Z1295-Y1295)</f>
        <v/>
      </c>
      <c r="AD1295">
        <f>IF(D1295="","",N(AD1294)+IF(MATCH(D1295,$D$2:$D$2501,0)=ROW()-1,1,0))</f>
        <v/>
      </c>
    </row>
    <row r="1296">
      <c r="X1296" s="5">
        <f>IF(D1296="","",W1296*IF(AND(ISNUMBER(AB1296),AB1296&gt;0,AB1296&lt;1),AB1296*100,AB1296)/100)</f>
        <v/>
      </c>
      <c r="Y1296" s="5">
        <f>IF(D1296="","",AA1296*Z1296/100)</f>
        <v/>
      </c>
      <c r="Z1296" s="5">
        <f>IF(D1296="","",W1296-X1296)</f>
        <v/>
      </c>
      <c r="AC1296" s="5">
        <f>IF(D1296="","",Z1296-Y1296)</f>
        <v/>
      </c>
      <c r="AD1296">
        <f>IF(D1296="","",N(AD1295)+IF(MATCH(D1296,$D$2:$D$2501,0)=ROW()-1,1,0))</f>
        <v/>
      </c>
    </row>
    <row r="1297">
      <c r="X1297" s="5">
        <f>IF(D1297="","",W1297*IF(AND(ISNUMBER(AB1297),AB1297&gt;0,AB1297&lt;1),AB1297*100,AB1297)/100)</f>
        <v/>
      </c>
      <c r="Y1297" s="5">
        <f>IF(D1297="","",AA1297*Z1297/100)</f>
        <v/>
      </c>
      <c r="Z1297" s="5">
        <f>IF(D1297="","",W1297-X1297)</f>
        <v/>
      </c>
      <c r="AC1297" s="5">
        <f>IF(D1297="","",Z1297-Y1297)</f>
        <v/>
      </c>
      <c r="AD1297">
        <f>IF(D1297="","",N(AD1296)+IF(MATCH(D1297,$D$2:$D$2501,0)=ROW()-1,1,0))</f>
        <v/>
      </c>
    </row>
    <row r="1298">
      <c r="X1298" s="5">
        <f>IF(D1298="","",W1298*IF(AND(ISNUMBER(AB1298),AB1298&gt;0,AB1298&lt;1),AB1298*100,AB1298)/100)</f>
        <v/>
      </c>
      <c r="Y1298" s="5">
        <f>IF(D1298="","",AA1298*Z1298/100)</f>
        <v/>
      </c>
      <c r="Z1298" s="5">
        <f>IF(D1298="","",W1298-X1298)</f>
        <v/>
      </c>
      <c r="AC1298" s="5">
        <f>IF(D1298="","",Z1298-Y1298)</f>
        <v/>
      </c>
      <c r="AD1298">
        <f>IF(D1298="","",N(AD1297)+IF(MATCH(D1298,$D$2:$D$2501,0)=ROW()-1,1,0))</f>
        <v/>
      </c>
    </row>
    <row r="1299">
      <c r="X1299" s="5">
        <f>IF(D1299="","",W1299*IF(AND(ISNUMBER(AB1299),AB1299&gt;0,AB1299&lt;1),AB1299*100,AB1299)/100)</f>
        <v/>
      </c>
      <c r="Y1299" s="5">
        <f>IF(D1299="","",AA1299*Z1299/100)</f>
        <v/>
      </c>
      <c r="Z1299" s="5">
        <f>IF(D1299="","",W1299-X1299)</f>
        <v/>
      </c>
      <c r="AC1299" s="5">
        <f>IF(D1299="","",Z1299-Y1299)</f>
        <v/>
      </c>
      <c r="AD1299">
        <f>IF(D1299="","",N(AD1298)+IF(MATCH(D1299,$D$2:$D$2501,0)=ROW()-1,1,0))</f>
        <v/>
      </c>
    </row>
    <row r="1300">
      <c r="X1300" s="5">
        <f>IF(D1300="","",W1300*IF(AND(ISNUMBER(AB1300),AB1300&gt;0,AB1300&lt;1),AB1300*100,AB1300)/100)</f>
        <v/>
      </c>
      <c r="Y1300" s="5">
        <f>IF(D1300="","",AA1300*Z1300/100)</f>
        <v/>
      </c>
      <c r="Z1300" s="5">
        <f>IF(D1300="","",W1300-X1300)</f>
        <v/>
      </c>
      <c r="AC1300" s="5">
        <f>IF(D1300="","",Z1300-Y1300)</f>
        <v/>
      </c>
      <c r="AD1300">
        <f>IF(D1300="","",N(AD1299)+IF(MATCH(D1300,$D$2:$D$2501,0)=ROW()-1,1,0))</f>
        <v/>
      </c>
    </row>
    <row r="1301">
      <c r="X1301" s="5">
        <f>IF(D1301="","",W1301*IF(AND(ISNUMBER(AB1301),AB1301&gt;0,AB1301&lt;1),AB1301*100,AB1301)/100)</f>
        <v/>
      </c>
      <c r="Y1301" s="5">
        <f>IF(D1301="","",AA1301*Z1301/100)</f>
        <v/>
      </c>
      <c r="Z1301" s="5">
        <f>IF(D1301="","",W1301-X1301)</f>
        <v/>
      </c>
      <c r="AC1301" s="5">
        <f>IF(D1301="","",Z1301-Y1301)</f>
        <v/>
      </c>
      <c r="AD1301">
        <f>IF(D1301="","",N(AD1300)+IF(MATCH(D1301,$D$2:$D$2501,0)=ROW()-1,1,0))</f>
        <v/>
      </c>
    </row>
    <row r="1302">
      <c r="X1302" s="5">
        <f>IF(D1302="","",W1302*IF(AND(ISNUMBER(AB1302),AB1302&gt;0,AB1302&lt;1),AB1302*100,AB1302)/100)</f>
        <v/>
      </c>
      <c r="Y1302" s="5">
        <f>IF(D1302="","",AA1302*Z1302/100)</f>
        <v/>
      </c>
      <c r="Z1302" s="5">
        <f>IF(D1302="","",W1302-X1302)</f>
        <v/>
      </c>
      <c r="AC1302" s="5">
        <f>IF(D1302="","",Z1302-Y1302)</f>
        <v/>
      </c>
      <c r="AD1302">
        <f>IF(D1302="","",N(AD1301)+IF(MATCH(D1302,$D$2:$D$2501,0)=ROW()-1,1,0))</f>
        <v/>
      </c>
    </row>
    <row r="1303">
      <c r="X1303" s="5">
        <f>IF(D1303="","",W1303*IF(AND(ISNUMBER(AB1303),AB1303&gt;0,AB1303&lt;1),AB1303*100,AB1303)/100)</f>
        <v/>
      </c>
      <c r="Y1303" s="5">
        <f>IF(D1303="","",AA1303*Z1303/100)</f>
        <v/>
      </c>
      <c r="Z1303" s="5">
        <f>IF(D1303="","",W1303-X1303)</f>
        <v/>
      </c>
      <c r="AC1303" s="5">
        <f>IF(D1303="","",Z1303-Y1303)</f>
        <v/>
      </c>
      <c r="AD1303">
        <f>IF(D1303="","",N(AD1302)+IF(MATCH(D1303,$D$2:$D$2501,0)=ROW()-1,1,0))</f>
        <v/>
      </c>
    </row>
    <row r="1304">
      <c r="X1304" s="5">
        <f>IF(D1304="","",W1304*IF(AND(ISNUMBER(AB1304),AB1304&gt;0,AB1304&lt;1),AB1304*100,AB1304)/100)</f>
        <v/>
      </c>
      <c r="Y1304" s="5">
        <f>IF(D1304="","",AA1304*Z1304/100)</f>
        <v/>
      </c>
      <c r="Z1304" s="5">
        <f>IF(D1304="","",W1304-X1304)</f>
        <v/>
      </c>
      <c r="AC1304" s="5">
        <f>IF(D1304="","",Z1304-Y1304)</f>
        <v/>
      </c>
      <c r="AD1304">
        <f>IF(D1304="","",N(AD1303)+IF(MATCH(D1304,$D$2:$D$2501,0)=ROW()-1,1,0))</f>
        <v/>
      </c>
    </row>
    <row r="1305">
      <c r="X1305" s="5">
        <f>IF(D1305="","",W1305*IF(AND(ISNUMBER(AB1305),AB1305&gt;0,AB1305&lt;1),AB1305*100,AB1305)/100)</f>
        <v/>
      </c>
      <c r="Y1305" s="5">
        <f>IF(D1305="","",AA1305*Z1305/100)</f>
        <v/>
      </c>
      <c r="Z1305" s="5">
        <f>IF(D1305="","",W1305-X1305)</f>
        <v/>
      </c>
      <c r="AC1305" s="5">
        <f>IF(D1305="","",Z1305-Y1305)</f>
        <v/>
      </c>
      <c r="AD1305">
        <f>IF(D1305="","",N(AD1304)+IF(MATCH(D1305,$D$2:$D$2501,0)=ROW()-1,1,0))</f>
        <v/>
      </c>
    </row>
    <row r="1306">
      <c r="X1306" s="5">
        <f>IF(D1306="","",W1306*IF(AND(ISNUMBER(AB1306),AB1306&gt;0,AB1306&lt;1),AB1306*100,AB1306)/100)</f>
        <v/>
      </c>
      <c r="Y1306" s="5">
        <f>IF(D1306="","",AA1306*Z1306/100)</f>
        <v/>
      </c>
      <c r="Z1306" s="5">
        <f>IF(D1306="","",W1306-X1306)</f>
        <v/>
      </c>
      <c r="AC1306" s="5">
        <f>IF(D1306="","",Z1306-Y1306)</f>
        <v/>
      </c>
      <c r="AD1306">
        <f>IF(D1306="","",N(AD1305)+IF(MATCH(D1306,$D$2:$D$2501,0)=ROW()-1,1,0))</f>
        <v/>
      </c>
    </row>
    <row r="1307">
      <c r="X1307" s="5">
        <f>IF(D1307="","",W1307*IF(AND(ISNUMBER(AB1307),AB1307&gt;0,AB1307&lt;1),AB1307*100,AB1307)/100)</f>
        <v/>
      </c>
      <c r="Y1307" s="5">
        <f>IF(D1307="","",AA1307*Z1307/100)</f>
        <v/>
      </c>
      <c r="Z1307" s="5">
        <f>IF(D1307="","",W1307-X1307)</f>
        <v/>
      </c>
      <c r="AC1307" s="5">
        <f>IF(D1307="","",Z1307-Y1307)</f>
        <v/>
      </c>
      <c r="AD1307">
        <f>IF(D1307="","",N(AD1306)+IF(MATCH(D1307,$D$2:$D$2501,0)=ROW()-1,1,0))</f>
        <v/>
      </c>
    </row>
    <row r="1308">
      <c r="X1308" s="5">
        <f>IF(D1308="","",W1308*IF(AND(ISNUMBER(AB1308),AB1308&gt;0,AB1308&lt;1),AB1308*100,AB1308)/100)</f>
        <v/>
      </c>
      <c r="Y1308" s="5">
        <f>IF(D1308="","",AA1308*Z1308/100)</f>
        <v/>
      </c>
      <c r="Z1308" s="5">
        <f>IF(D1308="","",W1308-X1308)</f>
        <v/>
      </c>
      <c r="AC1308" s="5">
        <f>IF(D1308="","",Z1308-Y1308)</f>
        <v/>
      </c>
      <c r="AD1308">
        <f>IF(D1308="","",N(AD1307)+IF(MATCH(D1308,$D$2:$D$2501,0)=ROW()-1,1,0))</f>
        <v/>
      </c>
    </row>
    <row r="1309">
      <c r="X1309" s="5">
        <f>IF(D1309="","",W1309*IF(AND(ISNUMBER(AB1309),AB1309&gt;0,AB1309&lt;1),AB1309*100,AB1309)/100)</f>
        <v/>
      </c>
      <c r="Y1309" s="5">
        <f>IF(D1309="","",AA1309*Z1309/100)</f>
        <v/>
      </c>
      <c r="Z1309" s="5">
        <f>IF(D1309="","",W1309-X1309)</f>
        <v/>
      </c>
      <c r="AC1309" s="5">
        <f>IF(D1309="","",Z1309-Y1309)</f>
        <v/>
      </c>
      <c r="AD1309">
        <f>IF(D1309="","",N(AD1308)+IF(MATCH(D1309,$D$2:$D$2501,0)=ROW()-1,1,0))</f>
        <v/>
      </c>
    </row>
    <row r="1310">
      <c r="X1310" s="5">
        <f>IF(D1310="","",W1310*IF(AND(ISNUMBER(AB1310),AB1310&gt;0,AB1310&lt;1),AB1310*100,AB1310)/100)</f>
        <v/>
      </c>
      <c r="Y1310" s="5">
        <f>IF(D1310="","",AA1310*Z1310/100)</f>
        <v/>
      </c>
      <c r="Z1310" s="5">
        <f>IF(D1310="","",W1310-X1310)</f>
        <v/>
      </c>
      <c r="AC1310" s="5">
        <f>IF(D1310="","",Z1310-Y1310)</f>
        <v/>
      </c>
      <c r="AD1310">
        <f>IF(D1310="","",N(AD1309)+IF(MATCH(D1310,$D$2:$D$2501,0)=ROW()-1,1,0))</f>
        <v/>
      </c>
    </row>
    <row r="1311">
      <c r="X1311" s="5">
        <f>IF(D1311="","",W1311*IF(AND(ISNUMBER(AB1311),AB1311&gt;0,AB1311&lt;1),AB1311*100,AB1311)/100)</f>
        <v/>
      </c>
      <c r="Y1311" s="5">
        <f>IF(D1311="","",AA1311*Z1311/100)</f>
        <v/>
      </c>
      <c r="Z1311" s="5">
        <f>IF(D1311="","",W1311-X1311)</f>
        <v/>
      </c>
      <c r="AC1311" s="5">
        <f>IF(D1311="","",Z1311-Y1311)</f>
        <v/>
      </c>
      <c r="AD1311">
        <f>IF(D1311="","",N(AD1310)+IF(MATCH(D1311,$D$2:$D$2501,0)=ROW()-1,1,0))</f>
        <v/>
      </c>
    </row>
    <row r="1312">
      <c r="X1312" s="5">
        <f>IF(D1312="","",W1312*IF(AND(ISNUMBER(AB1312),AB1312&gt;0,AB1312&lt;1),AB1312*100,AB1312)/100)</f>
        <v/>
      </c>
      <c r="Y1312" s="5">
        <f>IF(D1312="","",AA1312*Z1312/100)</f>
        <v/>
      </c>
      <c r="Z1312" s="5">
        <f>IF(D1312="","",W1312-X1312)</f>
        <v/>
      </c>
      <c r="AC1312" s="5">
        <f>IF(D1312="","",Z1312-Y1312)</f>
        <v/>
      </c>
      <c r="AD1312">
        <f>IF(D1312="","",N(AD1311)+IF(MATCH(D1312,$D$2:$D$2501,0)=ROW()-1,1,0))</f>
        <v/>
      </c>
    </row>
    <row r="1313">
      <c r="X1313" s="5">
        <f>IF(D1313="","",W1313*IF(AND(ISNUMBER(AB1313),AB1313&gt;0,AB1313&lt;1),AB1313*100,AB1313)/100)</f>
        <v/>
      </c>
      <c r="Y1313" s="5">
        <f>IF(D1313="","",AA1313*Z1313/100)</f>
        <v/>
      </c>
      <c r="Z1313" s="5">
        <f>IF(D1313="","",W1313-X1313)</f>
        <v/>
      </c>
      <c r="AC1313" s="5">
        <f>IF(D1313="","",Z1313-Y1313)</f>
        <v/>
      </c>
      <c r="AD1313">
        <f>IF(D1313="","",N(AD1312)+IF(MATCH(D1313,$D$2:$D$2501,0)=ROW()-1,1,0))</f>
        <v/>
      </c>
    </row>
    <row r="1314">
      <c r="X1314" s="5">
        <f>IF(D1314="","",W1314*IF(AND(ISNUMBER(AB1314),AB1314&gt;0,AB1314&lt;1),AB1314*100,AB1314)/100)</f>
        <v/>
      </c>
      <c r="Y1314" s="5">
        <f>IF(D1314="","",AA1314*Z1314/100)</f>
        <v/>
      </c>
      <c r="Z1314" s="5">
        <f>IF(D1314="","",W1314-X1314)</f>
        <v/>
      </c>
      <c r="AC1314" s="5">
        <f>IF(D1314="","",Z1314-Y1314)</f>
        <v/>
      </c>
      <c r="AD1314">
        <f>IF(D1314="","",N(AD1313)+IF(MATCH(D1314,$D$2:$D$2501,0)=ROW()-1,1,0))</f>
        <v/>
      </c>
    </row>
    <row r="1315">
      <c r="X1315" s="5">
        <f>IF(D1315="","",W1315*IF(AND(ISNUMBER(AB1315),AB1315&gt;0,AB1315&lt;1),AB1315*100,AB1315)/100)</f>
        <v/>
      </c>
      <c r="Y1315" s="5">
        <f>IF(D1315="","",AA1315*Z1315/100)</f>
        <v/>
      </c>
      <c r="Z1315" s="5">
        <f>IF(D1315="","",W1315-X1315)</f>
        <v/>
      </c>
      <c r="AC1315" s="5">
        <f>IF(D1315="","",Z1315-Y1315)</f>
        <v/>
      </c>
      <c r="AD1315">
        <f>IF(D1315="","",N(AD1314)+IF(MATCH(D1315,$D$2:$D$2501,0)=ROW()-1,1,0))</f>
        <v/>
      </c>
    </row>
    <row r="1316">
      <c r="X1316" s="5">
        <f>IF(D1316="","",W1316*IF(AND(ISNUMBER(AB1316),AB1316&gt;0,AB1316&lt;1),AB1316*100,AB1316)/100)</f>
        <v/>
      </c>
      <c r="Y1316" s="5">
        <f>IF(D1316="","",AA1316*Z1316/100)</f>
        <v/>
      </c>
      <c r="Z1316" s="5">
        <f>IF(D1316="","",W1316-X1316)</f>
        <v/>
      </c>
      <c r="AC1316" s="5">
        <f>IF(D1316="","",Z1316-Y1316)</f>
        <v/>
      </c>
      <c r="AD1316">
        <f>IF(D1316="","",N(AD1315)+IF(MATCH(D1316,$D$2:$D$2501,0)=ROW()-1,1,0))</f>
        <v/>
      </c>
    </row>
    <row r="1317">
      <c r="X1317" s="5">
        <f>IF(D1317="","",W1317*IF(AND(ISNUMBER(AB1317),AB1317&gt;0,AB1317&lt;1),AB1317*100,AB1317)/100)</f>
        <v/>
      </c>
      <c r="Y1317" s="5">
        <f>IF(D1317="","",AA1317*Z1317/100)</f>
        <v/>
      </c>
      <c r="Z1317" s="5">
        <f>IF(D1317="","",W1317-X1317)</f>
        <v/>
      </c>
      <c r="AC1317" s="5">
        <f>IF(D1317="","",Z1317-Y1317)</f>
        <v/>
      </c>
      <c r="AD1317">
        <f>IF(D1317="","",N(AD1316)+IF(MATCH(D1317,$D$2:$D$2501,0)=ROW()-1,1,0))</f>
        <v/>
      </c>
    </row>
    <row r="1318">
      <c r="X1318" s="5">
        <f>IF(D1318="","",W1318*IF(AND(ISNUMBER(AB1318),AB1318&gt;0,AB1318&lt;1),AB1318*100,AB1318)/100)</f>
        <v/>
      </c>
      <c r="Y1318" s="5">
        <f>IF(D1318="","",AA1318*Z1318/100)</f>
        <v/>
      </c>
      <c r="Z1318" s="5">
        <f>IF(D1318="","",W1318-X1318)</f>
        <v/>
      </c>
      <c r="AC1318" s="5">
        <f>IF(D1318="","",Z1318-Y1318)</f>
        <v/>
      </c>
      <c r="AD1318">
        <f>IF(D1318="","",N(AD1317)+IF(MATCH(D1318,$D$2:$D$2501,0)=ROW()-1,1,0))</f>
        <v/>
      </c>
    </row>
    <row r="1319">
      <c r="X1319" s="5">
        <f>IF(D1319="","",W1319*IF(AND(ISNUMBER(AB1319),AB1319&gt;0,AB1319&lt;1),AB1319*100,AB1319)/100)</f>
        <v/>
      </c>
      <c r="Y1319" s="5">
        <f>IF(D1319="","",AA1319*Z1319/100)</f>
        <v/>
      </c>
      <c r="Z1319" s="5">
        <f>IF(D1319="","",W1319-X1319)</f>
        <v/>
      </c>
      <c r="AC1319" s="5">
        <f>IF(D1319="","",Z1319-Y1319)</f>
        <v/>
      </c>
      <c r="AD1319">
        <f>IF(D1319="","",N(AD1318)+IF(MATCH(D1319,$D$2:$D$2501,0)=ROW()-1,1,0))</f>
        <v/>
      </c>
    </row>
    <row r="1320">
      <c r="X1320" s="5">
        <f>IF(D1320="","",W1320*IF(AND(ISNUMBER(AB1320),AB1320&gt;0,AB1320&lt;1),AB1320*100,AB1320)/100)</f>
        <v/>
      </c>
      <c r="Y1320" s="5">
        <f>IF(D1320="","",AA1320*Z1320/100)</f>
        <v/>
      </c>
      <c r="Z1320" s="5">
        <f>IF(D1320="","",W1320-X1320)</f>
        <v/>
      </c>
      <c r="AC1320" s="5">
        <f>IF(D1320="","",Z1320-Y1320)</f>
        <v/>
      </c>
      <c r="AD1320">
        <f>IF(D1320="","",N(AD1319)+IF(MATCH(D1320,$D$2:$D$2501,0)=ROW()-1,1,0))</f>
        <v/>
      </c>
    </row>
    <row r="1321">
      <c r="X1321" s="5">
        <f>IF(D1321="","",W1321*IF(AND(ISNUMBER(AB1321),AB1321&gt;0,AB1321&lt;1),AB1321*100,AB1321)/100)</f>
        <v/>
      </c>
      <c r="Y1321" s="5">
        <f>IF(D1321="","",AA1321*Z1321/100)</f>
        <v/>
      </c>
      <c r="Z1321" s="5">
        <f>IF(D1321="","",W1321-X1321)</f>
        <v/>
      </c>
      <c r="AC1321" s="5">
        <f>IF(D1321="","",Z1321-Y1321)</f>
        <v/>
      </c>
      <c r="AD1321">
        <f>IF(D1321="","",N(AD1320)+IF(MATCH(D1321,$D$2:$D$2501,0)=ROW()-1,1,0))</f>
        <v/>
      </c>
    </row>
    <row r="1322">
      <c r="X1322" s="5">
        <f>IF(D1322="","",W1322*IF(AND(ISNUMBER(AB1322),AB1322&gt;0,AB1322&lt;1),AB1322*100,AB1322)/100)</f>
        <v/>
      </c>
      <c r="Y1322" s="5">
        <f>IF(D1322="","",AA1322*Z1322/100)</f>
        <v/>
      </c>
      <c r="Z1322" s="5">
        <f>IF(D1322="","",W1322-X1322)</f>
        <v/>
      </c>
      <c r="AC1322" s="5">
        <f>IF(D1322="","",Z1322-Y1322)</f>
        <v/>
      </c>
      <c r="AD1322">
        <f>IF(D1322="","",N(AD1321)+IF(MATCH(D1322,$D$2:$D$2501,0)=ROW()-1,1,0))</f>
        <v/>
      </c>
    </row>
    <row r="1323">
      <c r="X1323" s="5">
        <f>IF(D1323="","",W1323*IF(AND(ISNUMBER(AB1323),AB1323&gt;0,AB1323&lt;1),AB1323*100,AB1323)/100)</f>
        <v/>
      </c>
      <c r="Y1323" s="5">
        <f>IF(D1323="","",AA1323*Z1323/100)</f>
        <v/>
      </c>
      <c r="Z1323" s="5">
        <f>IF(D1323="","",W1323-X1323)</f>
        <v/>
      </c>
      <c r="AC1323" s="5">
        <f>IF(D1323="","",Z1323-Y1323)</f>
        <v/>
      </c>
      <c r="AD1323">
        <f>IF(D1323="","",N(AD1322)+IF(MATCH(D1323,$D$2:$D$2501,0)=ROW()-1,1,0))</f>
        <v/>
      </c>
    </row>
    <row r="1324">
      <c r="X1324" s="5">
        <f>IF(D1324="","",W1324*IF(AND(ISNUMBER(AB1324),AB1324&gt;0,AB1324&lt;1),AB1324*100,AB1324)/100)</f>
        <v/>
      </c>
      <c r="Y1324" s="5">
        <f>IF(D1324="","",AA1324*Z1324/100)</f>
        <v/>
      </c>
      <c r="Z1324" s="5">
        <f>IF(D1324="","",W1324-X1324)</f>
        <v/>
      </c>
      <c r="AC1324" s="5">
        <f>IF(D1324="","",Z1324-Y1324)</f>
        <v/>
      </c>
      <c r="AD1324">
        <f>IF(D1324="","",N(AD1323)+IF(MATCH(D1324,$D$2:$D$2501,0)=ROW()-1,1,0))</f>
        <v/>
      </c>
    </row>
    <row r="1325">
      <c r="X1325" s="5">
        <f>IF(D1325="","",W1325*IF(AND(ISNUMBER(AB1325),AB1325&gt;0,AB1325&lt;1),AB1325*100,AB1325)/100)</f>
        <v/>
      </c>
      <c r="Y1325" s="5">
        <f>IF(D1325="","",AA1325*Z1325/100)</f>
        <v/>
      </c>
      <c r="Z1325" s="5">
        <f>IF(D1325="","",W1325-X1325)</f>
        <v/>
      </c>
      <c r="AC1325" s="5">
        <f>IF(D1325="","",Z1325-Y1325)</f>
        <v/>
      </c>
      <c r="AD1325">
        <f>IF(D1325="","",N(AD1324)+IF(MATCH(D1325,$D$2:$D$2501,0)=ROW()-1,1,0))</f>
        <v/>
      </c>
    </row>
    <row r="1326">
      <c r="X1326" s="5">
        <f>IF(D1326="","",W1326*IF(AND(ISNUMBER(AB1326),AB1326&gt;0,AB1326&lt;1),AB1326*100,AB1326)/100)</f>
        <v/>
      </c>
      <c r="Y1326" s="5">
        <f>IF(D1326="","",AA1326*Z1326/100)</f>
        <v/>
      </c>
      <c r="Z1326" s="5">
        <f>IF(D1326="","",W1326-X1326)</f>
        <v/>
      </c>
      <c r="AC1326" s="5">
        <f>IF(D1326="","",Z1326-Y1326)</f>
        <v/>
      </c>
      <c r="AD1326">
        <f>IF(D1326="","",N(AD1325)+IF(MATCH(D1326,$D$2:$D$2501,0)=ROW()-1,1,0))</f>
        <v/>
      </c>
    </row>
    <row r="1327">
      <c r="X1327" s="5">
        <f>IF(D1327="","",W1327*IF(AND(ISNUMBER(AB1327),AB1327&gt;0,AB1327&lt;1),AB1327*100,AB1327)/100)</f>
        <v/>
      </c>
      <c r="Y1327" s="5">
        <f>IF(D1327="","",AA1327*Z1327/100)</f>
        <v/>
      </c>
      <c r="Z1327" s="5">
        <f>IF(D1327="","",W1327-X1327)</f>
        <v/>
      </c>
      <c r="AC1327" s="5">
        <f>IF(D1327="","",Z1327-Y1327)</f>
        <v/>
      </c>
      <c r="AD1327">
        <f>IF(D1327="","",N(AD1326)+IF(MATCH(D1327,$D$2:$D$2501,0)=ROW()-1,1,0))</f>
        <v/>
      </c>
    </row>
    <row r="1328">
      <c r="X1328" s="5">
        <f>IF(D1328="","",W1328*IF(AND(ISNUMBER(AB1328),AB1328&gt;0,AB1328&lt;1),AB1328*100,AB1328)/100)</f>
        <v/>
      </c>
      <c r="Y1328" s="5">
        <f>IF(D1328="","",AA1328*Z1328/100)</f>
        <v/>
      </c>
      <c r="Z1328" s="5">
        <f>IF(D1328="","",W1328-X1328)</f>
        <v/>
      </c>
      <c r="AC1328" s="5">
        <f>IF(D1328="","",Z1328-Y1328)</f>
        <v/>
      </c>
      <c r="AD1328">
        <f>IF(D1328="","",N(AD1327)+IF(MATCH(D1328,$D$2:$D$2501,0)=ROW()-1,1,0))</f>
        <v/>
      </c>
    </row>
    <row r="1329">
      <c r="X1329" s="5">
        <f>IF(D1329="","",W1329*IF(AND(ISNUMBER(AB1329),AB1329&gt;0,AB1329&lt;1),AB1329*100,AB1329)/100)</f>
        <v/>
      </c>
      <c r="Y1329" s="5">
        <f>IF(D1329="","",AA1329*Z1329/100)</f>
        <v/>
      </c>
      <c r="Z1329" s="5">
        <f>IF(D1329="","",W1329-X1329)</f>
        <v/>
      </c>
      <c r="AC1329" s="5">
        <f>IF(D1329="","",Z1329-Y1329)</f>
        <v/>
      </c>
      <c r="AD1329">
        <f>IF(D1329="","",N(AD1328)+IF(MATCH(D1329,$D$2:$D$2501,0)=ROW()-1,1,0))</f>
        <v/>
      </c>
    </row>
    <row r="1330">
      <c r="X1330" s="5">
        <f>IF(D1330="","",W1330*IF(AND(ISNUMBER(AB1330),AB1330&gt;0,AB1330&lt;1),AB1330*100,AB1330)/100)</f>
        <v/>
      </c>
      <c r="Y1330" s="5">
        <f>IF(D1330="","",AA1330*Z1330/100)</f>
        <v/>
      </c>
      <c r="Z1330" s="5">
        <f>IF(D1330="","",W1330-X1330)</f>
        <v/>
      </c>
      <c r="AC1330" s="5">
        <f>IF(D1330="","",Z1330-Y1330)</f>
        <v/>
      </c>
      <c r="AD1330">
        <f>IF(D1330="","",N(AD1329)+IF(MATCH(D1330,$D$2:$D$2501,0)=ROW()-1,1,0))</f>
        <v/>
      </c>
    </row>
    <row r="1331">
      <c r="X1331" s="5">
        <f>IF(D1331="","",W1331*IF(AND(ISNUMBER(AB1331),AB1331&gt;0,AB1331&lt;1),AB1331*100,AB1331)/100)</f>
        <v/>
      </c>
      <c r="Y1331" s="5">
        <f>IF(D1331="","",AA1331*Z1331/100)</f>
        <v/>
      </c>
      <c r="Z1331" s="5">
        <f>IF(D1331="","",W1331-X1331)</f>
        <v/>
      </c>
      <c r="AC1331" s="5">
        <f>IF(D1331="","",Z1331-Y1331)</f>
        <v/>
      </c>
      <c r="AD1331">
        <f>IF(D1331="","",N(AD1330)+IF(MATCH(D1331,$D$2:$D$2501,0)=ROW()-1,1,0))</f>
        <v/>
      </c>
    </row>
    <row r="1332">
      <c r="X1332" s="5">
        <f>IF(D1332="","",W1332*IF(AND(ISNUMBER(AB1332),AB1332&gt;0,AB1332&lt;1),AB1332*100,AB1332)/100)</f>
        <v/>
      </c>
      <c r="Y1332" s="5">
        <f>IF(D1332="","",AA1332*Z1332/100)</f>
        <v/>
      </c>
      <c r="Z1332" s="5">
        <f>IF(D1332="","",W1332-X1332)</f>
        <v/>
      </c>
      <c r="AC1332" s="5">
        <f>IF(D1332="","",Z1332-Y1332)</f>
        <v/>
      </c>
      <c r="AD1332">
        <f>IF(D1332="","",N(AD1331)+IF(MATCH(D1332,$D$2:$D$2501,0)=ROW()-1,1,0))</f>
        <v/>
      </c>
    </row>
    <row r="1333">
      <c r="X1333" s="5">
        <f>IF(D1333="","",W1333*IF(AND(ISNUMBER(AB1333),AB1333&gt;0,AB1333&lt;1),AB1333*100,AB1333)/100)</f>
        <v/>
      </c>
      <c r="Y1333" s="5">
        <f>IF(D1333="","",AA1333*Z1333/100)</f>
        <v/>
      </c>
      <c r="Z1333" s="5">
        <f>IF(D1333="","",W1333-X1333)</f>
        <v/>
      </c>
      <c r="AC1333" s="5">
        <f>IF(D1333="","",Z1333-Y1333)</f>
        <v/>
      </c>
      <c r="AD1333">
        <f>IF(D1333="","",N(AD1332)+IF(MATCH(D1333,$D$2:$D$2501,0)=ROW()-1,1,0))</f>
        <v/>
      </c>
    </row>
    <row r="1334">
      <c r="X1334" s="5">
        <f>IF(D1334="","",W1334*IF(AND(ISNUMBER(AB1334),AB1334&gt;0,AB1334&lt;1),AB1334*100,AB1334)/100)</f>
        <v/>
      </c>
      <c r="Y1334" s="5">
        <f>IF(D1334="","",AA1334*Z1334/100)</f>
        <v/>
      </c>
      <c r="Z1334" s="5">
        <f>IF(D1334="","",W1334-X1334)</f>
        <v/>
      </c>
      <c r="AC1334" s="5">
        <f>IF(D1334="","",Z1334-Y1334)</f>
        <v/>
      </c>
      <c r="AD1334">
        <f>IF(D1334="","",N(AD1333)+IF(MATCH(D1334,$D$2:$D$2501,0)=ROW()-1,1,0))</f>
        <v/>
      </c>
    </row>
    <row r="1335">
      <c r="X1335" s="5">
        <f>IF(D1335="","",W1335*IF(AND(ISNUMBER(AB1335),AB1335&gt;0,AB1335&lt;1),AB1335*100,AB1335)/100)</f>
        <v/>
      </c>
      <c r="Y1335" s="5">
        <f>IF(D1335="","",AA1335*Z1335/100)</f>
        <v/>
      </c>
      <c r="Z1335" s="5">
        <f>IF(D1335="","",W1335-X1335)</f>
        <v/>
      </c>
      <c r="AC1335" s="5">
        <f>IF(D1335="","",Z1335-Y1335)</f>
        <v/>
      </c>
      <c r="AD1335">
        <f>IF(D1335="","",N(AD1334)+IF(MATCH(D1335,$D$2:$D$2501,0)=ROW()-1,1,0))</f>
        <v/>
      </c>
    </row>
    <row r="1336">
      <c r="X1336" s="5">
        <f>IF(D1336="","",W1336*IF(AND(ISNUMBER(AB1336),AB1336&gt;0,AB1336&lt;1),AB1336*100,AB1336)/100)</f>
        <v/>
      </c>
      <c r="Y1336" s="5">
        <f>IF(D1336="","",AA1336*Z1336/100)</f>
        <v/>
      </c>
      <c r="Z1336" s="5">
        <f>IF(D1336="","",W1336-X1336)</f>
        <v/>
      </c>
      <c r="AC1336" s="5">
        <f>IF(D1336="","",Z1336-Y1336)</f>
        <v/>
      </c>
      <c r="AD1336">
        <f>IF(D1336="","",N(AD1335)+IF(MATCH(D1336,$D$2:$D$2501,0)=ROW()-1,1,0))</f>
        <v/>
      </c>
    </row>
    <row r="1337">
      <c r="X1337" s="5">
        <f>IF(D1337="","",W1337*IF(AND(ISNUMBER(AB1337),AB1337&gt;0,AB1337&lt;1),AB1337*100,AB1337)/100)</f>
        <v/>
      </c>
      <c r="Y1337" s="5">
        <f>IF(D1337="","",AA1337*Z1337/100)</f>
        <v/>
      </c>
      <c r="Z1337" s="5">
        <f>IF(D1337="","",W1337-X1337)</f>
        <v/>
      </c>
      <c r="AC1337" s="5">
        <f>IF(D1337="","",Z1337-Y1337)</f>
        <v/>
      </c>
      <c r="AD1337">
        <f>IF(D1337="","",N(AD1336)+IF(MATCH(D1337,$D$2:$D$2501,0)=ROW()-1,1,0))</f>
        <v/>
      </c>
    </row>
    <row r="1338">
      <c r="X1338" s="5">
        <f>IF(D1338="","",W1338*IF(AND(ISNUMBER(AB1338),AB1338&gt;0,AB1338&lt;1),AB1338*100,AB1338)/100)</f>
        <v/>
      </c>
      <c r="Y1338" s="5">
        <f>IF(D1338="","",AA1338*Z1338/100)</f>
        <v/>
      </c>
      <c r="Z1338" s="5">
        <f>IF(D1338="","",W1338-X1338)</f>
        <v/>
      </c>
      <c r="AC1338" s="5">
        <f>IF(D1338="","",Z1338-Y1338)</f>
        <v/>
      </c>
      <c r="AD1338">
        <f>IF(D1338="","",N(AD1337)+IF(MATCH(D1338,$D$2:$D$2501,0)=ROW()-1,1,0))</f>
        <v/>
      </c>
    </row>
    <row r="1339">
      <c r="X1339" s="5">
        <f>IF(D1339="","",W1339*IF(AND(ISNUMBER(AB1339),AB1339&gt;0,AB1339&lt;1),AB1339*100,AB1339)/100)</f>
        <v/>
      </c>
      <c r="Y1339" s="5">
        <f>IF(D1339="","",AA1339*Z1339/100)</f>
        <v/>
      </c>
      <c r="Z1339" s="5">
        <f>IF(D1339="","",W1339-X1339)</f>
        <v/>
      </c>
      <c r="AC1339" s="5">
        <f>IF(D1339="","",Z1339-Y1339)</f>
        <v/>
      </c>
      <c r="AD1339">
        <f>IF(D1339="","",N(AD1338)+IF(MATCH(D1339,$D$2:$D$2501,0)=ROW()-1,1,0))</f>
        <v/>
      </c>
    </row>
    <row r="1340">
      <c r="X1340" s="5">
        <f>IF(D1340="","",W1340*IF(AND(ISNUMBER(AB1340),AB1340&gt;0,AB1340&lt;1),AB1340*100,AB1340)/100)</f>
        <v/>
      </c>
      <c r="Y1340" s="5">
        <f>IF(D1340="","",AA1340*Z1340/100)</f>
        <v/>
      </c>
      <c r="Z1340" s="5">
        <f>IF(D1340="","",W1340-X1340)</f>
        <v/>
      </c>
      <c r="AC1340" s="5">
        <f>IF(D1340="","",Z1340-Y1340)</f>
        <v/>
      </c>
      <c r="AD1340">
        <f>IF(D1340="","",N(AD1339)+IF(MATCH(D1340,$D$2:$D$2501,0)=ROW()-1,1,0))</f>
        <v/>
      </c>
    </row>
    <row r="1341">
      <c r="X1341" s="5">
        <f>IF(D1341="","",W1341*IF(AND(ISNUMBER(AB1341),AB1341&gt;0,AB1341&lt;1),AB1341*100,AB1341)/100)</f>
        <v/>
      </c>
      <c r="Y1341" s="5">
        <f>IF(D1341="","",AA1341*Z1341/100)</f>
        <v/>
      </c>
      <c r="Z1341" s="5">
        <f>IF(D1341="","",W1341-X1341)</f>
        <v/>
      </c>
      <c r="AC1341" s="5">
        <f>IF(D1341="","",Z1341-Y1341)</f>
        <v/>
      </c>
      <c r="AD1341">
        <f>IF(D1341="","",N(AD1340)+IF(MATCH(D1341,$D$2:$D$2501,0)=ROW()-1,1,0))</f>
        <v/>
      </c>
    </row>
    <row r="1342">
      <c r="X1342" s="5">
        <f>IF(D1342="","",W1342*IF(AND(ISNUMBER(AB1342),AB1342&gt;0,AB1342&lt;1),AB1342*100,AB1342)/100)</f>
        <v/>
      </c>
      <c r="Y1342" s="5">
        <f>IF(D1342="","",AA1342*Z1342/100)</f>
        <v/>
      </c>
      <c r="Z1342" s="5">
        <f>IF(D1342="","",W1342-X1342)</f>
        <v/>
      </c>
      <c r="AC1342" s="5">
        <f>IF(D1342="","",Z1342-Y1342)</f>
        <v/>
      </c>
      <c r="AD1342">
        <f>IF(D1342="","",N(AD1341)+IF(MATCH(D1342,$D$2:$D$2501,0)=ROW()-1,1,0))</f>
        <v/>
      </c>
    </row>
    <row r="1343">
      <c r="X1343" s="5">
        <f>IF(D1343="","",W1343*IF(AND(ISNUMBER(AB1343),AB1343&gt;0,AB1343&lt;1),AB1343*100,AB1343)/100)</f>
        <v/>
      </c>
      <c r="Y1343" s="5">
        <f>IF(D1343="","",AA1343*Z1343/100)</f>
        <v/>
      </c>
      <c r="Z1343" s="5">
        <f>IF(D1343="","",W1343-X1343)</f>
        <v/>
      </c>
      <c r="AC1343" s="5">
        <f>IF(D1343="","",Z1343-Y1343)</f>
        <v/>
      </c>
      <c r="AD1343">
        <f>IF(D1343="","",N(AD1342)+IF(MATCH(D1343,$D$2:$D$2501,0)=ROW()-1,1,0))</f>
        <v/>
      </c>
    </row>
    <row r="1344">
      <c r="X1344" s="5">
        <f>IF(D1344="","",W1344*IF(AND(ISNUMBER(AB1344),AB1344&gt;0,AB1344&lt;1),AB1344*100,AB1344)/100)</f>
        <v/>
      </c>
      <c r="Y1344" s="5">
        <f>IF(D1344="","",AA1344*Z1344/100)</f>
        <v/>
      </c>
      <c r="Z1344" s="5">
        <f>IF(D1344="","",W1344-X1344)</f>
        <v/>
      </c>
      <c r="AC1344" s="5">
        <f>IF(D1344="","",Z1344-Y1344)</f>
        <v/>
      </c>
      <c r="AD1344">
        <f>IF(D1344="","",N(AD1343)+IF(MATCH(D1344,$D$2:$D$2501,0)=ROW()-1,1,0))</f>
        <v/>
      </c>
    </row>
    <row r="1345">
      <c r="X1345" s="5">
        <f>IF(D1345="","",W1345*IF(AND(ISNUMBER(AB1345),AB1345&gt;0,AB1345&lt;1),AB1345*100,AB1345)/100)</f>
        <v/>
      </c>
      <c r="Y1345" s="5">
        <f>IF(D1345="","",AA1345*Z1345/100)</f>
        <v/>
      </c>
      <c r="Z1345" s="5">
        <f>IF(D1345="","",W1345-X1345)</f>
        <v/>
      </c>
      <c r="AC1345" s="5">
        <f>IF(D1345="","",Z1345-Y1345)</f>
        <v/>
      </c>
      <c r="AD1345">
        <f>IF(D1345="","",N(AD1344)+IF(MATCH(D1345,$D$2:$D$2501,0)=ROW()-1,1,0))</f>
        <v/>
      </c>
    </row>
    <row r="1346">
      <c r="X1346" s="5">
        <f>IF(D1346="","",W1346*IF(AND(ISNUMBER(AB1346),AB1346&gt;0,AB1346&lt;1),AB1346*100,AB1346)/100)</f>
        <v/>
      </c>
      <c r="Y1346" s="5">
        <f>IF(D1346="","",AA1346*Z1346/100)</f>
        <v/>
      </c>
      <c r="Z1346" s="5">
        <f>IF(D1346="","",W1346-X1346)</f>
        <v/>
      </c>
      <c r="AC1346" s="5">
        <f>IF(D1346="","",Z1346-Y1346)</f>
        <v/>
      </c>
      <c r="AD1346">
        <f>IF(D1346="","",N(AD1345)+IF(MATCH(D1346,$D$2:$D$2501,0)=ROW()-1,1,0))</f>
        <v/>
      </c>
    </row>
    <row r="1347">
      <c r="X1347" s="5">
        <f>IF(D1347="","",W1347*IF(AND(ISNUMBER(AB1347),AB1347&gt;0,AB1347&lt;1),AB1347*100,AB1347)/100)</f>
        <v/>
      </c>
      <c r="Y1347" s="5">
        <f>IF(D1347="","",AA1347*Z1347/100)</f>
        <v/>
      </c>
      <c r="Z1347" s="5">
        <f>IF(D1347="","",W1347-X1347)</f>
        <v/>
      </c>
      <c r="AC1347" s="5">
        <f>IF(D1347="","",Z1347-Y1347)</f>
        <v/>
      </c>
      <c r="AD1347">
        <f>IF(D1347="","",N(AD1346)+IF(MATCH(D1347,$D$2:$D$2501,0)=ROW()-1,1,0))</f>
        <v/>
      </c>
    </row>
    <row r="1348">
      <c r="X1348" s="5">
        <f>IF(D1348="","",W1348*IF(AND(ISNUMBER(AB1348),AB1348&gt;0,AB1348&lt;1),AB1348*100,AB1348)/100)</f>
        <v/>
      </c>
      <c r="Y1348" s="5">
        <f>IF(D1348="","",AA1348*Z1348/100)</f>
        <v/>
      </c>
      <c r="Z1348" s="5">
        <f>IF(D1348="","",W1348-X1348)</f>
        <v/>
      </c>
      <c r="AC1348" s="5">
        <f>IF(D1348="","",Z1348-Y1348)</f>
        <v/>
      </c>
      <c r="AD1348">
        <f>IF(D1348="","",N(AD1347)+IF(MATCH(D1348,$D$2:$D$2501,0)=ROW()-1,1,0))</f>
        <v/>
      </c>
    </row>
    <row r="1349">
      <c r="X1349" s="5">
        <f>IF(D1349="","",W1349*IF(AND(ISNUMBER(AB1349),AB1349&gt;0,AB1349&lt;1),AB1349*100,AB1349)/100)</f>
        <v/>
      </c>
      <c r="Y1349" s="5">
        <f>IF(D1349="","",AA1349*Z1349/100)</f>
        <v/>
      </c>
      <c r="Z1349" s="5">
        <f>IF(D1349="","",W1349-X1349)</f>
        <v/>
      </c>
      <c r="AC1349" s="5">
        <f>IF(D1349="","",Z1349-Y1349)</f>
        <v/>
      </c>
      <c r="AD1349">
        <f>IF(D1349="","",N(AD1348)+IF(MATCH(D1349,$D$2:$D$2501,0)=ROW()-1,1,0))</f>
        <v/>
      </c>
    </row>
    <row r="1350">
      <c r="X1350" s="5">
        <f>IF(D1350="","",W1350*IF(AND(ISNUMBER(AB1350),AB1350&gt;0,AB1350&lt;1),AB1350*100,AB1350)/100)</f>
        <v/>
      </c>
      <c r="Y1350" s="5">
        <f>IF(D1350="","",AA1350*Z1350/100)</f>
        <v/>
      </c>
      <c r="Z1350" s="5">
        <f>IF(D1350="","",W1350-X1350)</f>
        <v/>
      </c>
      <c r="AC1350" s="5">
        <f>IF(D1350="","",Z1350-Y1350)</f>
        <v/>
      </c>
      <c r="AD1350">
        <f>IF(D1350="","",N(AD1349)+IF(MATCH(D1350,$D$2:$D$2501,0)=ROW()-1,1,0))</f>
        <v/>
      </c>
    </row>
    <row r="1351">
      <c r="X1351" s="5">
        <f>IF(D1351="","",W1351*IF(AND(ISNUMBER(AB1351),AB1351&gt;0,AB1351&lt;1),AB1351*100,AB1351)/100)</f>
        <v/>
      </c>
      <c r="Y1351" s="5">
        <f>IF(D1351="","",AA1351*Z1351/100)</f>
        <v/>
      </c>
      <c r="Z1351" s="5">
        <f>IF(D1351="","",W1351-X1351)</f>
        <v/>
      </c>
      <c r="AC1351" s="5">
        <f>IF(D1351="","",Z1351-Y1351)</f>
        <v/>
      </c>
      <c r="AD1351">
        <f>IF(D1351="","",N(AD1350)+IF(MATCH(D1351,$D$2:$D$2501,0)=ROW()-1,1,0))</f>
        <v/>
      </c>
    </row>
    <row r="1352">
      <c r="X1352" s="5">
        <f>IF(D1352="","",W1352*IF(AND(ISNUMBER(AB1352),AB1352&gt;0,AB1352&lt;1),AB1352*100,AB1352)/100)</f>
        <v/>
      </c>
      <c r="Y1352" s="5">
        <f>IF(D1352="","",AA1352*Z1352/100)</f>
        <v/>
      </c>
      <c r="Z1352" s="5">
        <f>IF(D1352="","",W1352-X1352)</f>
        <v/>
      </c>
      <c r="AC1352" s="5">
        <f>IF(D1352="","",Z1352-Y1352)</f>
        <v/>
      </c>
      <c r="AD1352">
        <f>IF(D1352="","",N(AD1351)+IF(MATCH(D1352,$D$2:$D$2501,0)=ROW()-1,1,0))</f>
        <v/>
      </c>
    </row>
    <row r="1353">
      <c r="X1353" s="5">
        <f>IF(D1353="","",W1353*IF(AND(ISNUMBER(AB1353),AB1353&gt;0,AB1353&lt;1),AB1353*100,AB1353)/100)</f>
        <v/>
      </c>
      <c r="Y1353" s="5">
        <f>IF(D1353="","",AA1353*Z1353/100)</f>
        <v/>
      </c>
      <c r="Z1353" s="5">
        <f>IF(D1353="","",W1353-X1353)</f>
        <v/>
      </c>
      <c r="AC1353" s="5">
        <f>IF(D1353="","",Z1353-Y1353)</f>
        <v/>
      </c>
      <c r="AD1353">
        <f>IF(D1353="","",N(AD1352)+IF(MATCH(D1353,$D$2:$D$2501,0)=ROW()-1,1,0))</f>
        <v/>
      </c>
    </row>
    <row r="1354">
      <c r="X1354" s="5">
        <f>IF(D1354="","",W1354*IF(AND(ISNUMBER(AB1354),AB1354&gt;0,AB1354&lt;1),AB1354*100,AB1354)/100)</f>
        <v/>
      </c>
      <c r="Y1354" s="5">
        <f>IF(D1354="","",AA1354*Z1354/100)</f>
        <v/>
      </c>
      <c r="Z1354" s="5">
        <f>IF(D1354="","",W1354-X1354)</f>
        <v/>
      </c>
      <c r="AC1354" s="5">
        <f>IF(D1354="","",Z1354-Y1354)</f>
        <v/>
      </c>
      <c r="AD1354">
        <f>IF(D1354="","",N(AD1353)+IF(MATCH(D1354,$D$2:$D$2501,0)=ROW()-1,1,0))</f>
        <v/>
      </c>
    </row>
    <row r="1355">
      <c r="X1355" s="5">
        <f>IF(D1355="","",W1355*IF(AND(ISNUMBER(AB1355),AB1355&gt;0,AB1355&lt;1),AB1355*100,AB1355)/100)</f>
        <v/>
      </c>
      <c r="Y1355" s="5">
        <f>IF(D1355="","",AA1355*Z1355/100)</f>
        <v/>
      </c>
      <c r="Z1355" s="5">
        <f>IF(D1355="","",W1355-X1355)</f>
        <v/>
      </c>
      <c r="AC1355" s="5">
        <f>IF(D1355="","",Z1355-Y1355)</f>
        <v/>
      </c>
      <c r="AD1355">
        <f>IF(D1355="","",N(AD1354)+IF(MATCH(D1355,$D$2:$D$2501,0)=ROW()-1,1,0))</f>
        <v/>
      </c>
    </row>
    <row r="1356">
      <c r="X1356" s="5">
        <f>IF(D1356="","",W1356*IF(AND(ISNUMBER(AB1356),AB1356&gt;0,AB1356&lt;1),AB1356*100,AB1356)/100)</f>
        <v/>
      </c>
      <c r="Y1356" s="5">
        <f>IF(D1356="","",AA1356*Z1356/100)</f>
        <v/>
      </c>
      <c r="Z1356" s="5">
        <f>IF(D1356="","",W1356-X1356)</f>
        <v/>
      </c>
      <c r="AC1356" s="5">
        <f>IF(D1356="","",Z1356-Y1356)</f>
        <v/>
      </c>
      <c r="AD1356">
        <f>IF(D1356="","",N(AD1355)+IF(MATCH(D1356,$D$2:$D$2501,0)=ROW()-1,1,0))</f>
        <v/>
      </c>
    </row>
    <row r="1357">
      <c r="X1357" s="5">
        <f>IF(D1357="","",W1357*IF(AND(ISNUMBER(AB1357),AB1357&gt;0,AB1357&lt;1),AB1357*100,AB1357)/100)</f>
        <v/>
      </c>
      <c r="Y1357" s="5">
        <f>IF(D1357="","",AA1357*Z1357/100)</f>
        <v/>
      </c>
      <c r="Z1357" s="5">
        <f>IF(D1357="","",W1357-X1357)</f>
        <v/>
      </c>
      <c r="AC1357" s="5">
        <f>IF(D1357="","",Z1357-Y1357)</f>
        <v/>
      </c>
      <c r="AD1357">
        <f>IF(D1357="","",N(AD1356)+IF(MATCH(D1357,$D$2:$D$2501,0)=ROW()-1,1,0))</f>
        <v/>
      </c>
    </row>
    <row r="1358">
      <c r="X1358" s="5">
        <f>IF(D1358="","",W1358*IF(AND(ISNUMBER(AB1358),AB1358&gt;0,AB1358&lt;1),AB1358*100,AB1358)/100)</f>
        <v/>
      </c>
      <c r="Y1358" s="5">
        <f>IF(D1358="","",AA1358*Z1358/100)</f>
        <v/>
      </c>
      <c r="Z1358" s="5">
        <f>IF(D1358="","",W1358-X1358)</f>
        <v/>
      </c>
      <c r="AC1358" s="5">
        <f>IF(D1358="","",Z1358-Y1358)</f>
        <v/>
      </c>
      <c r="AD1358">
        <f>IF(D1358="","",N(AD1357)+IF(MATCH(D1358,$D$2:$D$2501,0)=ROW()-1,1,0))</f>
        <v/>
      </c>
    </row>
    <row r="1359">
      <c r="X1359" s="5">
        <f>IF(D1359="","",W1359*IF(AND(ISNUMBER(AB1359),AB1359&gt;0,AB1359&lt;1),AB1359*100,AB1359)/100)</f>
        <v/>
      </c>
      <c r="Y1359" s="5">
        <f>IF(D1359="","",AA1359*Z1359/100)</f>
        <v/>
      </c>
      <c r="Z1359" s="5">
        <f>IF(D1359="","",W1359-X1359)</f>
        <v/>
      </c>
      <c r="AC1359" s="5">
        <f>IF(D1359="","",Z1359-Y1359)</f>
        <v/>
      </c>
      <c r="AD1359">
        <f>IF(D1359="","",N(AD1358)+IF(MATCH(D1359,$D$2:$D$2501,0)=ROW()-1,1,0))</f>
        <v/>
      </c>
    </row>
    <row r="1360">
      <c r="X1360" s="5">
        <f>IF(D1360="","",W1360*IF(AND(ISNUMBER(AB1360),AB1360&gt;0,AB1360&lt;1),AB1360*100,AB1360)/100)</f>
        <v/>
      </c>
      <c r="Y1360" s="5">
        <f>IF(D1360="","",AA1360*Z1360/100)</f>
        <v/>
      </c>
      <c r="Z1360" s="5">
        <f>IF(D1360="","",W1360-X1360)</f>
        <v/>
      </c>
      <c r="AC1360" s="5">
        <f>IF(D1360="","",Z1360-Y1360)</f>
        <v/>
      </c>
      <c r="AD1360">
        <f>IF(D1360="","",N(AD1359)+IF(MATCH(D1360,$D$2:$D$2501,0)=ROW()-1,1,0))</f>
        <v/>
      </c>
    </row>
    <row r="1361">
      <c r="X1361" s="5">
        <f>IF(D1361="","",W1361*IF(AND(ISNUMBER(AB1361),AB1361&gt;0,AB1361&lt;1),AB1361*100,AB1361)/100)</f>
        <v/>
      </c>
      <c r="Y1361" s="5">
        <f>IF(D1361="","",AA1361*Z1361/100)</f>
        <v/>
      </c>
      <c r="Z1361" s="5">
        <f>IF(D1361="","",W1361-X1361)</f>
        <v/>
      </c>
      <c r="AC1361" s="5">
        <f>IF(D1361="","",Z1361-Y1361)</f>
        <v/>
      </c>
      <c r="AD1361">
        <f>IF(D1361="","",N(AD1360)+IF(MATCH(D1361,$D$2:$D$2501,0)=ROW()-1,1,0))</f>
        <v/>
      </c>
    </row>
    <row r="1362">
      <c r="X1362" s="5">
        <f>IF(D1362="","",W1362*IF(AND(ISNUMBER(AB1362),AB1362&gt;0,AB1362&lt;1),AB1362*100,AB1362)/100)</f>
        <v/>
      </c>
      <c r="Y1362" s="5">
        <f>IF(D1362="","",AA1362*Z1362/100)</f>
        <v/>
      </c>
      <c r="Z1362" s="5">
        <f>IF(D1362="","",W1362-X1362)</f>
        <v/>
      </c>
      <c r="AC1362" s="5">
        <f>IF(D1362="","",Z1362-Y1362)</f>
        <v/>
      </c>
      <c r="AD1362">
        <f>IF(D1362="","",N(AD1361)+IF(MATCH(D1362,$D$2:$D$2501,0)=ROW()-1,1,0))</f>
        <v/>
      </c>
    </row>
    <row r="1363">
      <c r="X1363" s="5">
        <f>IF(D1363="","",W1363*IF(AND(ISNUMBER(AB1363),AB1363&gt;0,AB1363&lt;1),AB1363*100,AB1363)/100)</f>
        <v/>
      </c>
      <c r="Y1363" s="5">
        <f>IF(D1363="","",AA1363*Z1363/100)</f>
        <v/>
      </c>
      <c r="Z1363" s="5">
        <f>IF(D1363="","",W1363-X1363)</f>
        <v/>
      </c>
      <c r="AC1363" s="5">
        <f>IF(D1363="","",Z1363-Y1363)</f>
        <v/>
      </c>
      <c r="AD1363">
        <f>IF(D1363="","",N(AD1362)+IF(MATCH(D1363,$D$2:$D$2501,0)=ROW()-1,1,0))</f>
        <v/>
      </c>
    </row>
    <row r="1364">
      <c r="X1364" s="5">
        <f>IF(D1364="","",W1364*IF(AND(ISNUMBER(AB1364),AB1364&gt;0,AB1364&lt;1),AB1364*100,AB1364)/100)</f>
        <v/>
      </c>
      <c r="Y1364" s="5">
        <f>IF(D1364="","",AA1364*Z1364/100)</f>
        <v/>
      </c>
      <c r="Z1364" s="5">
        <f>IF(D1364="","",W1364-X1364)</f>
        <v/>
      </c>
      <c r="AC1364" s="5">
        <f>IF(D1364="","",Z1364-Y1364)</f>
        <v/>
      </c>
      <c r="AD1364">
        <f>IF(D1364="","",N(AD1363)+IF(MATCH(D1364,$D$2:$D$2501,0)=ROW()-1,1,0))</f>
        <v/>
      </c>
    </row>
    <row r="1365">
      <c r="X1365" s="5">
        <f>IF(D1365="","",W1365*IF(AND(ISNUMBER(AB1365),AB1365&gt;0,AB1365&lt;1),AB1365*100,AB1365)/100)</f>
        <v/>
      </c>
      <c r="Y1365" s="5">
        <f>IF(D1365="","",AA1365*Z1365/100)</f>
        <v/>
      </c>
      <c r="Z1365" s="5">
        <f>IF(D1365="","",W1365-X1365)</f>
        <v/>
      </c>
      <c r="AC1365" s="5">
        <f>IF(D1365="","",Z1365-Y1365)</f>
        <v/>
      </c>
      <c r="AD1365">
        <f>IF(D1365="","",N(AD1364)+IF(MATCH(D1365,$D$2:$D$2501,0)=ROW()-1,1,0))</f>
        <v/>
      </c>
    </row>
    <row r="1366">
      <c r="X1366" s="5">
        <f>IF(D1366="","",W1366*IF(AND(ISNUMBER(AB1366),AB1366&gt;0,AB1366&lt;1),AB1366*100,AB1366)/100)</f>
        <v/>
      </c>
      <c r="Y1366" s="5">
        <f>IF(D1366="","",AA1366*Z1366/100)</f>
        <v/>
      </c>
      <c r="Z1366" s="5">
        <f>IF(D1366="","",W1366-X1366)</f>
        <v/>
      </c>
      <c r="AC1366" s="5">
        <f>IF(D1366="","",Z1366-Y1366)</f>
        <v/>
      </c>
      <c r="AD1366">
        <f>IF(D1366="","",N(AD1365)+IF(MATCH(D1366,$D$2:$D$2501,0)=ROW()-1,1,0))</f>
        <v/>
      </c>
    </row>
    <row r="1367">
      <c r="X1367" s="5">
        <f>IF(D1367="","",W1367*IF(AND(ISNUMBER(AB1367),AB1367&gt;0,AB1367&lt;1),AB1367*100,AB1367)/100)</f>
        <v/>
      </c>
      <c r="Y1367" s="5">
        <f>IF(D1367="","",AA1367*Z1367/100)</f>
        <v/>
      </c>
      <c r="Z1367" s="5">
        <f>IF(D1367="","",W1367-X1367)</f>
        <v/>
      </c>
      <c r="AC1367" s="5">
        <f>IF(D1367="","",Z1367-Y1367)</f>
        <v/>
      </c>
      <c r="AD1367">
        <f>IF(D1367="","",N(AD1366)+IF(MATCH(D1367,$D$2:$D$2501,0)=ROW()-1,1,0))</f>
        <v/>
      </c>
    </row>
    <row r="1368">
      <c r="X1368" s="5">
        <f>IF(D1368="","",W1368*IF(AND(ISNUMBER(AB1368),AB1368&gt;0,AB1368&lt;1),AB1368*100,AB1368)/100)</f>
        <v/>
      </c>
      <c r="Y1368" s="5">
        <f>IF(D1368="","",AA1368*Z1368/100)</f>
        <v/>
      </c>
      <c r="Z1368" s="5">
        <f>IF(D1368="","",W1368-X1368)</f>
        <v/>
      </c>
      <c r="AC1368" s="5">
        <f>IF(D1368="","",Z1368-Y1368)</f>
        <v/>
      </c>
      <c r="AD1368">
        <f>IF(D1368="","",N(AD1367)+IF(MATCH(D1368,$D$2:$D$2501,0)=ROW()-1,1,0))</f>
        <v/>
      </c>
    </row>
    <row r="1369">
      <c r="X1369" s="5">
        <f>IF(D1369="","",W1369*IF(AND(ISNUMBER(AB1369),AB1369&gt;0,AB1369&lt;1),AB1369*100,AB1369)/100)</f>
        <v/>
      </c>
      <c r="Y1369" s="5">
        <f>IF(D1369="","",AA1369*Z1369/100)</f>
        <v/>
      </c>
      <c r="Z1369" s="5">
        <f>IF(D1369="","",W1369-X1369)</f>
        <v/>
      </c>
      <c r="AC1369" s="5">
        <f>IF(D1369="","",Z1369-Y1369)</f>
        <v/>
      </c>
      <c r="AD1369">
        <f>IF(D1369="","",N(AD1368)+IF(MATCH(D1369,$D$2:$D$2501,0)=ROW()-1,1,0))</f>
        <v/>
      </c>
    </row>
    <row r="1370">
      <c r="X1370" s="5">
        <f>IF(D1370="","",W1370*IF(AND(ISNUMBER(AB1370),AB1370&gt;0,AB1370&lt;1),AB1370*100,AB1370)/100)</f>
        <v/>
      </c>
      <c r="Y1370" s="5">
        <f>IF(D1370="","",AA1370*Z1370/100)</f>
        <v/>
      </c>
      <c r="Z1370" s="5">
        <f>IF(D1370="","",W1370-X1370)</f>
        <v/>
      </c>
      <c r="AC1370" s="5">
        <f>IF(D1370="","",Z1370-Y1370)</f>
        <v/>
      </c>
      <c r="AD1370">
        <f>IF(D1370="","",N(AD1369)+IF(MATCH(D1370,$D$2:$D$2501,0)=ROW()-1,1,0))</f>
        <v/>
      </c>
    </row>
    <row r="1371">
      <c r="X1371" s="5">
        <f>IF(D1371="","",W1371*IF(AND(ISNUMBER(AB1371),AB1371&gt;0,AB1371&lt;1),AB1371*100,AB1371)/100)</f>
        <v/>
      </c>
      <c r="Y1371" s="5">
        <f>IF(D1371="","",AA1371*Z1371/100)</f>
        <v/>
      </c>
      <c r="Z1371" s="5">
        <f>IF(D1371="","",W1371-X1371)</f>
        <v/>
      </c>
      <c r="AC1371" s="5">
        <f>IF(D1371="","",Z1371-Y1371)</f>
        <v/>
      </c>
      <c r="AD1371">
        <f>IF(D1371="","",N(AD1370)+IF(MATCH(D1371,$D$2:$D$2501,0)=ROW()-1,1,0))</f>
        <v/>
      </c>
    </row>
    <row r="1372">
      <c r="X1372" s="5">
        <f>IF(D1372="","",W1372*IF(AND(ISNUMBER(AB1372),AB1372&gt;0,AB1372&lt;1),AB1372*100,AB1372)/100)</f>
        <v/>
      </c>
      <c r="Y1372" s="5">
        <f>IF(D1372="","",AA1372*Z1372/100)</f>
        <v/>
      </c>
      <c r="Z1372" s="5">
        <f>IF(D1372="","",W1372-X1372)</f>
        <v/>
      </c>
      <c r="AC1372" s="5">
        <f>IF(D1372="","",Z1372-Y1372)</f>
        <v/>
      </c>
      <c r="AD1372">
        <f>IF(D1372="","",N(AD1371)+IF(MATCH(D1372,$D$2:$D$2501,0)=ROW()-1,1,0))</f>
        <v/>
      </c>
    </row>
    <row r="1373">
      <c r="X1373" s="5">
        <f>IF(D1373="","",W1373*IF(AND(ISNUMBER(AB1373),AB1373&gt;0,AB1373&lt;1),AB1373*100,AB1373)/100)</f>
        <v/>
      </c>
      <c r="Y1373" s="5">
        <f>IF(D1373="","",AA1373*Z1373/100)</f>
        <v/>
      </c>
      <c r="Z1373" s="5">
        <f>IF(D1373="","",W1373-X1373)</f>
        <v/>
      </c>
      <c r="AC1373" s="5">
        <f>IF(D1373="","",Z1373-Y1373)</f>
        <v/>
      </c>
      <c r="AD1373">
        <f>IF(D1373="","",N(AD1372)+IF(MATCH(D1373,$D$2:$D$2501,0)=ROW()-1,1,0))</f>
        <v/>
      </c>
    </row>
    <row r="1374">
      <c r="X1374" s="5">
        <f>IF(D1374="","",W1374*IF(AND(ISNUMBER(AB1374),AB1374&gt;0,AB1374&lt;1),AB1374*100,AB1374)/100)</f>
        <v/>
      </c>
      <c r="Y1374" s="5">
        <f>IF(D1374="","",AA1374*Z1374/100)</f>
        <v/>
      </c>
      <c r="Z1374" s="5">
        <f>IF(D1374="","",W1374-X1374)</f>
        <v/>
      </c>
      <c r="AC1374" s="5">
        <f>IF(D1374="","",Z1374-Y1374)</f>
        <v/>
      </c>
      <c r="AD1374">
        <f>IF(D1374="","",N(AD1373)+IF(MATCH(D1374,$D$2:$D$2501,0)=ROW()-1,1,0))</f>
        <v/>
      </c>
    </row>
    <row r="1375">
      <c r="X1375" s="5">
        <f>IF(D1375="","",W1375*IF(AND(ISNUMBER(AB1375),AB1375&gt;0,AB1375&lt;1),AB1375*100,AB1375)/100)</f>
        <v/>
      </c>
      <c r="Y1375" s="5">
        <f>IF(D1375="","",AA1375*Z1375/100)</f>
        <v/>
      </c>
      <c r="Z1375" s="5">
        <f>IF(D1375="","",W1375-X1375)</f>
        <v/>
      </c>
      <c r="AC1375" s="5">
        <f>IF(D1375="","",Z1375-Y1375)</f>
        <v/>
      </c>
      <c r="AD1375">
        <f>IF(D1375="","",N(AD1374)+IF(MATCH(D1375,$D$2:$D$2501,0)=ROW()-1,1,0))</f>
        <v/>
      </c>
    </row>
    <row r="1376">
      <c r="X1376" s="5">
        <f>IF(D1376="","",W1376*IF(AND(ISNUMBER(AB1376),AB1376&gt;0,AB1376&lt;1),AB1376*100,AB1376)/100)</f>
        <v/>
      </c>
      <c r="Y1376" s="5">
        <f>IF(D1376="","",AA1376*Z1376/100)</f>
        <v/>
      </c>
      <c r="Z1376" s="5">
        <f>IF(D1376="","",W1376-X1376)</f>
        <v/>
      </c>
      <c r="AC1376" s="5">
        <f>IF(D1376="","",Z1376-Y1376)</f>
        <v/>
      </c>
      <c r="AD1376">
        <f>IF(D1376="","",N(AD1375)+IF(MATCH(D1376,$D$2:$D$2501,0)=ROW()-1,1,0))</f>
        <v/>
      </c>
    </row>
    <row r="1377">
      <c r="X1377" s="5">
        <f>IF(D1377="","",W1377*IF(AND(ISNUMBER(AB1377),AB1377&gt;0,AB1377&lt;1),AB1377*100,AB1377)/100)</f>
        <v/>
      </c>
      <c r="Y1377" s="5">
        <f>IF(D1377="","",AA1377*Z1377/100)</f>
        <v/>
      </c>
      <c r="Z1377" s="5">
        <f>IF(D1377="","",W1377-X1377)</f>
        <v/>
      </c>
      <c r="AC1377" s="5">
        <f>IF(D1377="","",Z1377-Y1377)</f>
        <v/>
      </c>
      <c r="AD1377">
        <f>IF(D1377="","",N(AD1376)+IF(MATCH(D1377,$D$2:$D$2501,0)=ROW()-1,1,0))</f>
        <v/>
      </c>
    </row>
    <row r="1378">
      <c r="X1378" s="5">
        <f>IF(D1378="","",W1378*IF(AND(ISNUMBER(AB1378),AB1378&gt;0,AB1378&lt;1),AB1378*100,AB1378)/100)</f>
        <v/>
      </c>
      <c r="Y1378" s="5">
        <f>IF(D1378="","",AA1378*Z1378/100)</f>
        <v/>
      </c>
      <c r="Z1378" s="5">
        <f>IF(D1378="","",W1378-X1378)</f>
        <v/>
      </c>
      <c r="AC1378" s="5">
        <f>IF(D1378="","",Z1378-Y1378)</f>
        <v/>
      </c>
      <c r="AD1378">
        <f>IF(D1378="","",N(AD1377)+IF(MATCH(D1378,$D$2:$D$2501,0)=ROW()-1,1,0))</f>
        <v/>
      </c>
    </row>
    <row r="1379">
      <c r="X1379" s="5">
        <f>IF(D1379="","",W1379*IF(AND(ISNUMBER(AB1379),AB1379&gt;0,AB1379&lt;1),AB1379*100,AB1379)/100)</f>
        <v/>
      </c>
      <c r="Y1379" s="5">
        <f>IF(D1379="","",AA1379*Z1379/100)</f>
        <v/>
      </c>
      <c r="Z1379" s="5">
        <f>IF(D1379="","",W1379-X1379)</f>
        <v/>
      </c>
      <c r="AC1379" s="5">
        <f>IF(D1379="","",Z1379-Y1379)</f>
        <v/>
      </c>
      <c r="AD1379">
        <f>IF(D1379="","",N(AD1378)+IF(MATCH(D1379,$D$2:$D$2501,0)=ROW()-1,1,0))</f>
        <v/>
      </c>
    </row>
    <row r="1380">
      <c r="X1380" s="5">
        <f>IF(D1380="","",W1380*IF(AND(ISNUMBER(AB1380),AB1380&gt;0,AB1380&lt;1),AB1380*100,AB1380)/100)</f>
        <v/>
      </c>
      <c r="Y1380" s="5">
        <f>IF(D1380="","",AA1380*Z1380/100)</f>
        <v/>
      </c>
      <c r="Z1380" s="5">
        <f>IF(D1380="","",W1380-X1380)</f>
        <v/>
      </c>
      <c r="AC1380" s="5">
        <f>IF(D1380="","",Z1380-Y1380)</f>
        <v/>
      </c>
      <c r="AD1380">
        <f>IF(D1380="","",N(AD1379)+IF(MATCH(D1380,$D$2:$D$2501,0)=ROW()-1,1,0))</f>
        <v/>
      </c>
    </row>
    <row r="1381">
      <c r="X1381" s="5">
        <f>IF(D1381="","",W1381*IF(AND(ISNUMBER(AB1381),AB1381&gt;0,AB1381&lt;1),AB1381*100,AB1381)/100)</f>
        <v/>
      </c>
      <c r="Y1381" s="5">
        <f>IF(D1381="","",AA1381*Z1381/100)</f>
        <v/>
      </c>
      <c r="Z1381" s="5">
        <f>IF(D1381="","",W1381-X1381)</f>
        <v/>
      </c>
      <c r="AC1381" s="5">
        <f>IF(D1381="","",Z1381-Y1381)</f>
        <v/>
      </c>
      <c r="AD1381">
        <f>IF(D1381="","",N(AD1380)+IF(MATCH(D1381,$D$2:$D$2501,0)=ROW()-1,1,0))</f>
        <v/>
      </c>
    </row>
    <row r="1382">
      <c r="X1382" s="5">
        <f>IF(D1382="","",W1382*IF(AND(ISNUMBER(AB1382),AB1382&gt;0,AB1382&lt;1),AB1382*100,AB1382)/100)</f>
        <v/>
      </c>
      <c r="Y1382" s="5">
        <f>IF(D1382="","",AA1382*Z1382/100)</f>
        <v/>
      </c>
      <c r="Z1382" s="5">
        <f>IF(D1382="","",W1382-X1382)</f>
        <v/>
      </c>
      <c r="AC1382" s="5">
        <f>IF(D1382="","",Z1382-Y1382)</f>
        <v/>
      </c>
      <c r="AD1382">
        <f>IF(D1382="","",N(AD1381)+IF(MATCH(D1382,$D$2:$D$2501,0)=ROW()-1,1,0))</f>
        <v/>
      </c>
    </row>
    <row r="1383">
      <c r="X1383" s="5">
        <f>IF(D1383="","",W1383*IF(AND(ISNUMBER(AB1383),AB1383&gt;0,AB1383&lt;1),AB1383*100,AB1383)/100)</f>
        <v/>
      </c>
      <c r="Y1383" s="5">
        <f>IF(D1383="","",AA1383*Z1383/100)</f>
        <v/>
      </c>
      <c r="Z1383" s="5">
        <f>IF(D1383="","",W1383-X1383)</f>
        <v/>
      </c>
      <c r="AC1383" s="5">
        <f>IF(D1383="","",Z1383-Y1383)</f>
        <v/>
      </c>
      <c r="AD1383">
        <f>IF(D1383="","",N(AD1382)+IF(MATCH(D1383,$D$2:$D$2501,0)=ROW()-1,1,0))</f>
        <v/>
      </c>
    </row>
    <row r="1384">
      <c r="X1384" s="5">
        <f>IF(D1384="","",W1384*IF(AND(ISNUMBER(AB1384),AB1384&gt;0,AB1384&lt;1),AB1384*100,AB1384)/100)</f>
        <v/>
      </c>
      <c r="Y1384" s="5">
        <f>IF(D1384="","",AA1384*Z1384/100)</f>
        <v/>
      </c>
      <c r="Z1384" s="5">
        <f>IF(D1384="","",W1384-X1384)</f>
        <v/>
      </c>
      <c r="AC1384" s="5">
        <f>IF(D1384="","",Z1384-Y1384)</f>
        <v/>
      </c>
      <c r="AD1384">
        <f>IF(D1384="","",N(AD1383)+IF(MATCH(D1384,$D$2:$D$2501,0)=ROW()-1,1,0))</f>
        <v/>
      </c>
    </row>
    <row r="1385">
      <c r="X1385" s="5">
        <f>IF(D1385="","",W1385*IF(AND(ISNUMBER(AB1385),AB1385&gt;0,AB1385&lt;1),AB1385*100,AB1385)/100)</f>
        <v/>
      </c>
      <c r="Y1385" s="5">
        <f>IF(D1385="","",AA1385*Z1385/100)</f>
        <v/>
      </c>
      <c r="Z1385" s="5">
        <f>IF(D1385="","",W1385-X1385)</f>
        <v/>
      </c>
      <c r="AC1385" s="5">
        <f>IF(D1385="","",Z1385-Y1385)</f>
        <v/>
      </c>
      <c r="AD1385">
        <f>IF(D1385="","",N(AD1384)+IF(MATCH(D1385,$D$2:$D$2501,0)=ROW()-1,1,0))</f>
        <v/>
      </c>
    </row>
    <row r="1386">
      <c r="X1386" s="5">
        <f>IF(D1386="","",W1386*IF(AND(ISNUMBER(AB1386),AB1386&gt;0,AB1386&lt;1),AB1386*100,AB1386)/100)</f>
        <v/>
      </c>
      <c r="Y1386" s="5">
        <f>IF(D1386="","",AA1386*Z1386/100)</f>
        <v/>
      </c>
      <c r="Z1386" s="5">
        <f>IF(D1386="","",W1386-X1386)</f>
        <v/>
      </c>
      <c r="AC1386" s="5">
        <f>IF(D1386="","",Z1386-Y1386)</f>
        <v/>
      </c>
      <c r="AD1386">
        <f>IF(D1386="","",N(AD1385)+IF(MATCH(D1386,$D$2:$D$2501,0)=ROW()-1,1,0))</f>
        <v/>
      </c>
    </row>
    <row r="1387">
      <c r="X1387" s="5">
        <f>IF(D1387="","",W1387*IF(AND(ISNUMBER(AB1387),AB1387&gt;0,AB1387&lt;1),AB1387*100,AB1387)/100)</f>
        <v/>
      </c>
      <c r="Y1387" s="5">
        <f>IF(D1387="","",AA1387*Z1387/100)</f>
        <v/>
      </c>
      <c r="Z1387" s="5">
        <f>IF(D1387="","",W1387-X1387)</f>
        <v/>
      </c>
      <c r="AC1387" s="5">
        <f>IF(D1387="","",Z1387-Y1387)</f>
        <v/>
      </c>
      <c r="AD1387">
        <f>IF(D1387="","",N(AD1386)+IF(MATCH(D1387,$D$2:$D$2501,0)=ROW()-1,1,0))</f>
        <v/>
      </c>
    </row>
    <row r="1388">
      <c r="X1388" s="5">
        <f>IF(D1388="","",W1388*IF(AND(ISNUMBER(AB1388),AB1388&gt;0,AB1388&lt;1),AB1388*100,AB1388)/100)</f>
        <v/>
      </c>
      <c r="Y1388" s="5">
        <f>IF(D1388="","",AA1388*Z1388/100)</f>
        <v/>
      </c>
      <c r="Z1388" s="5">
        <f>IF(D1388="","",W1388-X1388)</f>
        <v/>
      </c>
      <c r="AC1388" s="5">
        <f>IF(D1388="","",Z1388-Y1388)</f>
        <v/>
      </c>
      <c r="AD1388">
        <f>IF(D1388="","",N(AD1387)+IF(MATCH(D1388,$D$2:$D$2501,0)=ROW()-1,1,0))</f>
        <v/>
      </c>
    </row>
    <row r="1389">
      <c r="X1389" s="5">
        <f>IF(D1389="","",W1389*IF(AND(ISNUMBER(AB1389),AB1389&gt;0,AB1389&lt;1),AB1389*100,AB1389)/100)</f>
        <v/>
      </c>
      <c r="Y1389" s="5">
        <f>IF(D1389="","",AA1389*Z1389/100)</f>
        <v/>
      </c>
      <c r="Z1389" s="5">
        <f>IF(D1389="","",W1389-X1389)</f>
        <v/>
      </c>
      <c r="AC1389" s="5">
        <f>IF(D1389="","",Z1389-Y1389)</f>
        <v/>
      </c>
      <c r="AD1389">
        <f>IF(D1389="","",N(AD1388)+IF(MATCH(D1389,$D$2:$D$2501,0)=ROW()-1,1,0))</f>
        <v/>
      </c>
    </row>
    <row r="1390">
      <c r="X1390" s="5">
        <f>IF(D1390="","",W1390*IF(AND(ISNUMBER(AB1390),AB1390&gt;0,AB1390&lt;1),AB1390*100,AB1390)/100)</f>
        <v/>
      </c>
      <c r="Y1390" s="5">
        <f>IF(D1390="","",AA1390*Z1390/100)</f>
        <v/>
      </c>
      <c r="Z1390" s="5">
        <f>IF(D1390="","",W1390-X1390)</f>
        <v/>
      </c>
      <c r="AC1390" s="5">
        <f>IF(D1390="","",Z1390-Y1390)</f>
        <v/>
      </c>
      <c r="AD1390">
        <f>IF(D1390="","",N(AD1389)+IF(MATCH(D1390,$D$2:$D$2501,0)=ROW()-1,1,0))</f>
        <v/>
      </c>
    </row>
    <row r="1391">
      <c r="X1391" s="5">
        <f>IF(D1391="","",W1391*IF(AND(ISNUMBER(AB1391),AB1391&gt;0,AB1391&lt;1),AB1391*100,AB1391)/100)</f>
        <v/>
      </c>
      <c r="Y1391" s="5">
        <f>IF(D1391="","",AA1391*Z1391/100)</f>
        <v/>
      </c>
      <c r="Z1391" s="5">
        <f>IF(D1391="","",W1391-X1391)</f>
        <v/>
      </c>
      <c r="AC1391" s="5">
        <f>IF(D1391="","",Z1391-Y1391)</f>
        <v/>
      </c>
      <c r="AD1391">
        <f>IF(D1391="","",N(AD1390)+IF(MATCH(D1391,$D$2:$D$2501,0)=ROW()-1,1,0))</f>
        <v/>
      </c>
    </row>
    <row r="1392">
      <c r="X1392" s="5">
        <f>IF(D1392="","",W1392*IF(AND(ISNUMBER(AB1392),AB1392&gt;0,AB1392&lt;1),AB1392*100,AB1392)/100)</f>
        <v/>
      </c>
      <c r="Y1392" s="5">
        <f>IF(D1392="","",AA1392*Z1392/100)</f>
        <v/>
      </c>
      <c r="Z1392" s="5">
        <f>IF(D1392="","",W1392-X1392)</f>
        <v/>
      </c>
      <c r="AC1392" s="5">
        <f>IF(D1392="","",Z1392-Y1392)</f>
        <v/>
      </c>
      <c r="AD1392">
        <f>IF(D1392="","",N(AD1391)+IF(MATCH(D1392,$D$2:$D$2501,0)=ROW()-1,1,0))</f>
        <v/>
      </c>
    </row>
    <row r="1393">
      <c r="X1393" s="5">
        <f>IF(D1393="","",W1393*IF(AND(ISNUMBER(AB1393),AB1393&gt;0,AB1393&lt;1),AB1393*100,AB1393)/100)</f>
        <v/>
      </c>
      <c r="Y1393" s="5">
        <f>IF(D1393="","",AA1393*Z1393/100)</f>
        <v/>
      </c>
      <c r="Z1393" s="5">
        <f>IF(D1393="","",W1393-X1393)</f>
        <v/>
      </c>
      <c r="AC1393" s="5">
        <f>IF(D1393="","",Z1393-Y1393)</f>
        <v/>
      </c>
      <c r="AD1393">
        <f>IF(D1393="","",N(AD1392)+IF(MATCH(D1393,$D$2:$D$2501,0)=ROW()-1,1,0))</f>
        <v/>
      </c>
    </row>
    <row r="1394">
      <c r="X1394" s="5">
        <f>IF(D1394="","",W1394*IF(AND(ISNUMBER(AB1394),AB1394&gt;0,AB1394&lt;1),AB1394*100,AB1394)/100)</f>
        <v/>
      </c>
      <c r="Y1394" s="5">
        <f>IF(D1394="","",AA1394*Z1394/100)</f>
        <v/>
      </c>
      <c r="Z1394" s="5">
        <f>IF(D1394="","",W1394-X1394)</f>
        <v/>
      </c>
      <c r="AC1394" s="5">
        <f>IF(D1394="","",Z1394-Y1394)</f>
        <v/>
      </c>
      <c r="AD1394">
        <f>IF(D1394="","",N(AD1393)+IF(MATCH(D1394,$D$2:$D$2501,0)=ROW()-1,1,0))</f>
        <v/>
      </c>
    </row>
    <row r="1395">
      <c r="X1395" s="5">
        <f>IF(D1395="","",W1395*IF(AND(ISNUMBER(AB1395),AB1395&gt;0,AB1395&lt;1),AB1395*100,AB1395)/100)</f>
        <v/>
      </c>
      <c r="Y1395" s="5">
        <f>IF(D1395="","",AA1395*Z1395/100)</f>
        <v/>
      </c>
      <c r="Z1395" s="5">
        <f>IF(D1395="","",W1395-X1395)</f>
        <v/>
      </c>
      <c r="AC1395" s="5">
        <f>IF(D1395="","",Z1395-Y1395)</f>
        <v/>
      </c>
      <c r="AD1395">
        <f>IF(D1395="","",N(AD1394)+IF(MATCH(D1395,$D$2:$D$2501,0)=ROW()-1,1,0))</f>
        <v/>
      </c>
    </row>
    <row r="1396">
      <c r="X1396" s="5">
        <f>IF(D1396="","",W1396*IF(AND(ISNUMBER(AB1396),AB1396&gt;0,AB1396&lt;1),AB1396*100,AB1396)/100)</f>
        <v/>
      </c>
      <c r="Y1396" s="5">
        <f>IF(D1396="","",AA1396*Z1396/100)</f>
        <v/>
      </c>
      <c r="Z1396" s="5">
        <f>IF(D1396="","",W1396-X1396)</f>
        <v/>
      </c>
      <c r="AC1396" s="5">
        <f>IF(D1396="","",Z1396-Y1396)</f>
        <v/>
      </c>
      <c r="AD1396">
        <f>IF(D1396="","",N(AD1395)+IF(MATCH(D1396,$D$2:$D$2501,0)=ROW()-1,1,0))</f>
        <v/>
      </c>
    </row>
    <row r="1397">
      <c r="X1397" s="5">
        <f>IF(D1397="","",W1397*IF(AND(ISNUMBER(AB1397),AB1397&gt;0,AB1397&lt;1),AB1397*100,AB1397)/100)</f>
        <v/>
      </c>
      <c r="Y1397" s="5">
        <f>IF(D1397="","",AA1397*Z1397/100)</f>
        <v/>
      </c>
      <c r="Z1397" s="5">
        <f>IF(D1397="","",W1397-X1397)</f>
        <v/>
      </c>
      <c r="AC1397" s="5">
        <f>IF(D1397="","",Z1397-Y1397)</f>
        <v/>
      </c>
      <c r="AD1397">
        <f>IF(D1397="","",N(AD1396)+IF(MATCH(D1397,$D$2:$D$2501,0)=ROW()-1,1,0))</f>
        <v/>
      </c>
    </row>
    <row r="1398">
      <c r="X1398" s="5">
        <f>IF(D1398="","",W1398*IF(AND(ISNUMBER(AB1398),AB1398&gt;0,AB1398&lt;1),AB1398*100,AB1398)/100)</f>
        <v/>
      </c>
      <c r="Y1398" s="5">
        <f>IF(D1398="","",AA1398*Z1398/100)</f>
        <v/>
      </c>
      <c r="Z1398" s="5">
        <f>IF(D1398="","",W1398-X1398)</f>
        <v/>
      </c>
      <c r="AC1398" s="5">
        <f>IF(D1398="","",Z1398-Y1398)</f>
        <v/>
      </c>
      <c r="AD1398">
        <f>IF(D1398="","",N(AD1397)+IF(MATCH(D1398,$D$2:$D$2501,0)=ROW()-1,1,0))</f>
        <v/>
      </c>
    </row>
    <row r="1399">
      <c r="X1399" s="5">
        <f>IF(D1399="","",W1399*IF(AND(ISNUMBER(AB1399),AB1399&gt;0,AB1399&lt;1),AB1399*100,AB1399)/100)</f>
        <v/>
      </c>
      <c r="Y1399" s="5">
        <f>IF(D1399="","",AA1399*Z1399/100)</f>
        <v/>
      </c>
      <c r="Z1399" s="5">
        <f>IF(D1399="","",W1399-X1399)</f>
        <v/>
      </c>
      <c r="AC1399" s="5">
        <f>IF(D1399="","",Z1399-Y1399)</f>
        <v/>
      </c>
      <c r="AD1399">
        <f>IF(D1399="","",N(AD1398)+IF(MATCH(D1399,$D$2:$D$2501,0)=ROW()-1,1,0))</f>
        <v/>
      </c>
    </row>
    <row r="1400">
      <c r="X1400" s="5">
        <f>IF(D1400="","",W1400*IF(AND(ISNUMBER(AB1400),AB1400&gt;0,AB1400&lt;1),AB1400*100,AB1400)/100)</f>
        <v/>
      </c>
      <c r="Y1400" s="5">
        <f>IF(D1400="","",AA1400*Z1400/100)</f>
        <v/>
      </c>
      <c r="Z1400" s="5">
        <f>IF(D1400="","",W1400-X1400)</f>
        <v/>
      </c>
      <c r="AC1400" s="5">
        <f>IF(D1400="","",Z1400-Y1400)</f>
        <v/>
      </c>
      <c r="AD1400">
        <f>IF(D1400="","",N(AD1399)+IF(MATCH(D1400,$D$2:$D$2501,0)=ROW()-1,1,0))</f>
        <v/>
      </c>
    </row>
    <row r="1401">
      <c r="X1401" s="5">
        <f>IF(D1401="","",W1401*IF(AND(ISNUMBER(AB1401),AB1401&gt;0,AB1401&lt;1),AB1401*100,AB1401)/100)</f>
        <v/>
      </c>
      <c r="Y1401" s="5">
        <f>IF(D1401="","",AA1401*Z1401/100)</f>
        <v/>
      </c>
      <c r="Z1401" s="5">
        <f>IF(D1401="","",W1401-X1401)</f>
        <v/>
      </c>
      <c r="AC1401" s="5">
        <f>IF(D1401="","",Z1401-Y1401)</f>
        <v/>
      </c>
      <c r="AD1401">
        <f>IF(D1401="","",N(AD1400)+IF(MATCH(D1401,$D$2:$D$2501,0)=ROW()-1,1,0))</f>
        <v/>
      </c>
    </row>
    <row r="1402">
      <c r="X1402" s="5">
        <f>IF(D1402="","",W1402*IF(AND(ISNUMBER(AB1402),AB1402&gt;0,AB1402&lt;1),AB1402*100,AB1402)/100)</f>
        <v/>
      </c>
      <c r="Y1402" s="5">
        <f>IF(D1402="","",AA1402*Z1402/100)</f>
        <v/>
      </c>
      <c r="Z1402" s="5">
        <f>IF(D1402="","",W1402-X1402)</f>
        <v/>
      </c>
      <c r="AC1402" s="5">
        <f>IF(D1402="","",Z1402-Y1402)</f>
        <v/>
      </c>
      <c r="AD1402">
        <f>IF(D1402="","",N(AD1401)+IF(MATCH(D1402,$D$2:$D$2501,0)=ROW()-1,1,0))</f>
        <v/>
      </c>
    </row>
    <row r="1403">
      <c r="X1403" s="5">
        <f>IF(D1403="","",W1403*IF(AND(ISNUMBER(AB1403),AB1403&gt;0,AB1403&lt;1),AB1403*100,AB1403)/100)</f>
        <v/>
      </c>
      <c r="Y1403" s="5">
        <f>IF(D1403="","",AA1403*Z1403/100)</f>
        <v/>
      </c>
      <c r="Z1403" s="5">
        <f>IF(D1403="","",W1403-X1403)</f>
        <v/>
      </c>
      <c r="AC1403" s="5">
        <f>IF(D1403="","",Z1403-Y1403)</f>
        <v/>
      </c>
      <c r="AD1403">
        <f>IF(D1403="","",N(AD1402)+IF(MATCH(D1403,$D$2:$D$2501,0)=ROW()-1,1,0))</f>
        <v/>
      </c>
    </row>
    <row r="1404">
      <c r="X1404" s="5">
        <f>IF(D1404="","",W1404*IF(AND(ISNUMBER(AB1404),AB1404&gt;0,AB1404&lt;1),AB1404*100,AB1404)/100)</f>
        <v/>
      </c>
      <c r="Y1404" s="5">
        <f>IF(D1404="","",AA1404*Z1404/100)</f>
        <v/>
      </c>
      <c r="Z1404" s="5">
        <f>IF(D1404="","",W1404-X1404)</f>
        <v/>
      </c>
      <c r="AC1404" s="5">
        <f>IF(D1404="","",Z1404-Y1404)</f>
        <v/>
      </c>
      <c r="AD1404">
        <f>IF(D1404="","",N(AD1403)+IF(MATCH(D1404,$D$2:$D$2501,0)=ROW()-1,1,0))</f>
        <v/>
      </c>
    </row>
    <row r="1405">
      <c r="X1405" s="5">
        <f>IF(D1405="","",W1405*IF(AND(ISNUMBER(AB1405),AB1405&gt;0,AB1405&lt;1),AB1405*100,AB1405)/100)</f>
        <v/>
      </c>
      <c r="Y1405" s="5">
        <f>IF(D1405="","",AA1405*Z1405/100)</f>
        <v/>
      </c>
      <c r="Z1405" s="5">
        <f>IF(D1405="","",W1405-X1405)</f>
        <v/>
      </c>
      <c r="AC1405" s="5">
        <f>IF(D1405="","",Z1405-Y1405)</f>
        <v/>
      </c>
      <c r="AD1405">
        <f>IF(D1405="","",N(AD1404)+IF(MATCH(D1405,$D$2:$D$2501,0)=ROW()-1,1,0))</f>
        <v/>
      </c>
    </row>
    <row r="1406">
      <c r="X1406" s="5">
        <f>IF(D1406="","",W1406*IF(AND(ISNUMBER(AB1406),AB1406&gt;0,AB1406&lt;1),AB1406*100,AB1406)/100)</f>
        <v/>
      </c>
      <c r="Y1406" s="5">
        <f>IF(D1406="","",AA1406*Z1406/100)</f>
        <v/>
      </c>
      <c r="Z1406" s="5">
        <f>IF(D1406="","",W1406-X1406)</f>
        <v/>
      </c>
      <c r="AC1406" s="5">
        <f>IF(D1406="","",Z1406-Y1406)</f>
        <v/>
      </c>
      <c r="AD1406">
        <f>IF(D1406="","",N(AD1405)+IF(MATCH(D1406,$D$2:$D$2501,0)=ROW()-1,1,0))</f>
        <v/>
      </c>
    </row>
    <row r="1407">
      <c r="X1407" s="5">
        <f>IF(D1407="","",W1407*IF(AND(ISNUMBER(AB1407),AB1407&gt;0,AB1407&lt;1),AB1407*100,AB1407)/100)</f>
        <v/>
      </c>
      <c r="Y1407" s="5">
        <f>IF(D1407="","",AA1407*Z1407/100)</f>
        <v/>
      </c>
      <c r="Z1407" s="5">
        <f>IF(D1407="","",W1407-X1407)</f>
        <v/>
      </c>
      <c r="AC1407" s="5">
        <f>IF(D1407="","",Z1407-Y1407)</f>
        <v/>
      </c>
      <c r="AD1407">
        <f>IF(D1407="","",N(AD1406)+IF(MATCH(D1407,$D$2:$D$2501,0)=ROW()-1,1,0))</f>
        <v/>
      </c>
    </row>
    <row r="1408">
      <c r="X1408" s="5">
        <f>IF(D1408="","",W1408*IF(AND(ISNUMBER(AB1408),AB1408&gt;0,AB1408&lt;1),AB1408*100,AB1408)/100)</f>
        <v/>
      </c>
      <c r="Y1408" s="5">
        <f>IF(D1408="","",AA1408*Z1408/100)</f>
        <v/>
      </c>
      <c r="Z1408" s="5">
        <f>IF(D1408="","",W1408-X1408)</f>
        <v/>
      </c>
      <c r="AC1408" s="5">
        <f>IF(D1408="","",Z1408-Y1408)</f>
        <v/>
      </c>
      <c r="AD1408">
        <f>IF(D1408="","",N(AD1407)+IF(MATCH(D1408,$D$2:$D$2501,0)=ROW()-1,1,0))</f>
        <v/>
      </c>
    </row>
    <row r="1409">
      <c r="X1409" s="5">
        <f>IF(D1409="","",W1409*IF(AND(ISNUMBER(AB1409),AB1409&gt;0,AB1409&lt;1),AB1409*100,AB1409)/100)</f>
        <v/>
      </c>
      <c r="Y1409" s="5">
        <f>IF(D1409="","",AA1409*Z1409/100)</f>
        <v/>
      </c>
      <c r="Z1409" s="5">
        <f>IF(D1409="","",W1409-X1409)</f>
        <v/>
      </c>
      <c r="AC1409" s="5">
        <f>IF(D1409="","",Z1409-Y1409)</f>
        <v/>
      </c>
      <c r="AD1409">
        <f>IF(D1409="","",N(AD1408)+IF(MATCH(D1409,$D$2:$D$2501,0)=ROW()-1,1,0))</f>
        <v/>
      </c>
    </row>
    <row r="1410">
      <c r="X1410" s="5">
        <f>IF(D1410="","",W1410*IF(AND(ISNUMBER(AB1410),AB1410&gt;0,AB1410&lt;1),AB1410*100,AB1410)/100)</f>
        <v/>
      </c>
      <c r="Y1410" s="5">
        <f>IF(D1410="","",AA1410*Z1410/100)</f>
        <v/>
      </c>
      <c r="Z1410" s="5">
        <f>IF(D1410="","",W1410-X1410)</f>
        <v/>
      </c>
      <c r="AC1410" s="5">
        <f>IF(D1410="","",Z1410-Y1410)</f>
        <v/>
      </c>
      <c r="AD1410">
        <f>IF(D1410="","",N(AD1409)+IF(MATCH(D1410,$D$2:$D$2501,0)=ROW()-1,1,0))</f>
        <v/>
      </c>
    </row>
    <row r="1411">
      <c r="X1411" s="5">
        <f>IF(D1411="","",W1411*IF(AND(ISNUMBER(AB1411),AB1411&gt;0,AB1411&lt;1),AB1411*100,AB1411)/100)</f>
        <v/>
      </c>
      <c r="Y1411" s="5">
        <f>IF(D1411="","",AA1411*Z1411/100)</f>
        <v/>
      </c>
      <c r="Z1411" s="5">
        <f>IF(D1411="","",W1411-X1411)</f>
        <v/>
      </c>
      <c r="AC1411" s="5">
        <f>IF(D1411="","",Z1411-Y1411)</f>
        <v/>
      </c>
      <c r="AD1411">
        <f>IF(D1411="","",N(AD1410)+IF(MATCH(D1411,$D$2:$D$2501,0)=ROW()-1,1,0))</f>
        <v/>
      </c>
    </row>
    <row r="1412">
      <c r="X1412" s="5">
        <f>IF(D1412="","",W1412*IF(AND(ISNUMBER(AB1412),AB1412&gt;0,AB1412&lt;1),AB1412*100,AB1412)/100)</f>
        <v/>
      </c>
      <c r="Y1412" s="5">
        <f>IF(D1412="","",AA1412*Z1412/100)</f>
        <v/>
      </c>
      <c r="Z1412" s="5">
        <f>IF(D1412="","",W1412-X1412)</f>
        <v/>
      </c>
      <c r="AC1412" s="5">
        <f>IF(D1412="","",Z1412-Y1412)</f>
        <v/>
      </c>
      <c r="AD1412">
        <f>IF(D1412="","",N(AD1411)+IF(MATCH(D1412,$D$2:$D$2501,0)=ROW()-1,1,0))</f>
        <v/>
      </c>
    </row>
    <row r="1413">
      <c r="X1413" s="5">
        <f>IF(D1413="","",W1413*IF(AND(ISNUMBER(AB1413),AB1413&gt;0,AB1413&lt;1),AB1413*100,AB1413)/100)</f>
        <v/>
      </c>
      <c r="Y1413" s="5">
        <f>IF(D1413="","",AA1413*Z1413/100)</f>
        <v/>
      </c>
      <c r="Z1413" s="5">
        <f>IF(D1413="","",W1413-X1413)</f>
        <v/>
      </c>
      <c r="AC1413" s="5">
        <f>IF(D1413="","",Z1413-Y1413)</f>
        <v/>
      </c>
      <c r="AD1413">
        <f>IF(D1413="","",N(AD1412)+IF(MATCH(D1413,$D$2:$D$2501,0)=ROW()-1,1,0))</f>
        <v/>
      </c>
    </row>
    <row r="1414">
      <c r="X1414" s="5">
        <f>IF(D1414="","",W1414*IF(AND(ISNUMBER(AB1414),AB1414&gt;0,AB1414&lt;1),AB1414*100,AB1414)/100)</f>
        <v/>
      </c>
      <c r="Y1414" s="5">
        <f>IF(D1414="","",AA1414*Z1414/100)</f>
        <v/>
      </c>
      <c r="Z1414" s="5">
        <f>IF(D1414="","",W1414-X1414)</f>
        <v/>
      </c>
      <c r="AC1414" s="5">
        <f>IF(D1414="","",Z1414-Y1414)</f>
        <v/>
      </c>
      <c r="AD1414">
        <f>IF(D1414="","",N(AD1413)+IF(MATCH(D1414,$D$2:$D$2501,0)=ROW()-1,1,0))</f>
        <v/>
      </c>
    </row>
    <row r="1415">
      <c r="X1415" s="5">
        <f>IF(D1415="","",W1415*IF(AND(ISNUMBER(AB1415),AB1415&gt;0,AB1415&lt;1),AB1415*100,AB1415)/100)</f>
        <v/>
      </c>
      <c r="Y1415" s="5">
        <f>IF(D1415="","",AA1415*Z1415/100)</f>
        <v/>
      </c>
      <c r="Z1415" s="5">
        <f>IF(D1415="","",W1415-X1415)</f>
        <v/>
      </c>
      <c r="AC1415" s="5">
        <f>IF(D1415="","",Z1415-Y1415)</f>
        <v/>
      </c>
      <c r="AD1415">
        <f>IF(D1415="","",N(AD1414)+IF(MATCH(D1415,$D$2:$D$2501,0)=ROW()-1,1,0))</f>
        <v/>
      </c>
    </row>
    <row r="1416">
      <c r="X1416" s="5">
        <f>IF(D1416="","",W1416*IF(AND(ISNUMBER(AB1416),AB1416&gt;0,AB1416&lt;1),AB1416*100,AB1416)/100)</f>
        <v/>
      </c>
      <c r="Y1416" s="5">
        <f>IF(D1416="","",AA1416*Z1416/100)</f>
        <v/>
      </c>
      <c r="Z1416" s="5">
        <f>IF(D1416="","",W1416-X1416)</f>
        <v/>
      </c>
      <c r="AC1416" s="5">
        <f>IF(D1416="","",Z1416-Y1416)</f>
        <v/>
      </c>
      <c r="AD1416">
        <f>IF(D1416="","",N(AD1415)+IF(MATCH(D1416,$D$2:$D$2501,0)=ROW()-1,1,0))</f>
        <v/>
      </c>
    </row>
    <row r="1417">
      <c r="X1417" s="5">
        <f>IF(D1417="","",W1417*IF(AND(ISNUMBER(AB1417),AB1417&gt;0,AB1417&lt;1),AB1417*100,AB1417)/100)</f>
        <v/>
      </c>
      <c r="Y1417" s="5">
        <f>IF(D1417="","",AA1417*Z1417/100)</f>
        <v/>
      </c>
      <c r="Z1417" s="5">
        <f>IF(D1417="","",W1417-X1417)</f>
        <v/>
      </c>
      <c r="AC1417" s="5">
        <f>IF(D1417="","",Z1417-Y1417)</f>
        <v/>
      </c>
      <c r="AD1417">
        <f>IF(D1417="","",N(AD1416)+IF(MATCH(D1417,$D$2:$D$2501,0)=ROW()-1,1,0))</f>
        <v/>
      </c>
    </row>
    <row r="1418">
      <c r="X1418" s="5">
        <f>IF(D1418="","",W1418*IF(AND(ISNUMBER(AB1418),AB1418&gt;0,AB1418&lt;1),AB1418*100,AB1418)/100)</f>
        <v/>
      </c>
      <c r="Y1418" s="5">
        <f>IF(D1418="","",AA1418*Z1418/100)</f>
        <v/>
      </c>
      <c r="Z1418" s="5">
        <f>IF(D1418="","",W1418-X1418)</f>
        <v/>
      </c>
      <c r="AC1418" s="5">
        <f>IF(D1418="","",Z1418-Y1418)</f>
        <v/>
      </c>
      <c r="AD1418">
        <f>IF(D1418="","",N(AD1417)+IF(MATCH(D1418,$D$2:$D$2501,0)=ROW()-1,1,0))</f>
        <v/>
      </c>
    </row>
    <row r="1419">
      <c r="X1419" s="5">
        <f>IF(D1419="","",W1419*IF(AND(ISNUMBER(AB1419),AB1419&gt;0,AB1419&lt;1),AB1419*100,AB1419)/100)</f>
        <v/>
      </c>
      <c r="Y1419" s="5">
        <f>IF(D1419="","",AA1419*Z1419/100)</f>
        <v/>
      </c>
      <c r="Z1419" s="5">
        <f>IF(D1419="","",W1419-X1419)</f>
        <v/>
      </c>
      <c r="AC1419" s="5">
        <f>IF(D1419="","",Z1419-Y1419)</f>
        <v/>
      </c>
      <c r="AD1419">
        <f>IF(D1419="","",N(AD1418)+IF(MATCH(D1419,$D$2:$D$2501,0)=ROW()-1,1,0))</f>
        <v/>
      </c>
    </row>
    <row r="1420">
      <c r="X1420" s="5">
        <f>IF(D1420="","",W1420*IF(AND(ISNUMBER(AB1420),AB1420&gt;0,AB1420&lt;1),AB1420*100,AB1420)/100)</f>
        <v/>
      </c>
      <c r="Y1420" s="5">
        <f>IF(D1420="","",AA1420*Z1420/100)</f>
        <v/>
      </c>
      <c r="Z1420" s="5">
        <f>IF(D1420="","",W1420-X1420)</f>
        <v/>
      </c>
      <c r="AC1420" s="5">
        <f>IF(D1420="","",Z1420-Y1420)</f>
        <v/>
      </c>
      <c r="AD1420">
        <f>IF(D1420="","",N(AD1419)+IF(MATCH(D1420,$D$2:$D$2501,0)=ROW()-1,1,0))</f>
        <v/>
      </c>
    </row>
    <row r="1421">
      <c r="X1421" s="5">
        <f>IF(D1421="","",W1421*IF(AND(ISNUMBER(AB1421),AB1421&gt;0,AB1421&lt;1),AB1421*100,AB1421)/100)</f>
        <v/>
      </c>
      <c r="Y1421" s="5">
        <f>IF(D1421="","",AA1421*Z1421/100)</f>
        <v/>
      </c>
      <c r="Z1421" s="5">
        <f>IF(D1421="","",W1421-X1421)</f>
        <v/>
      </c>
      <c r="AC1421" s="5">
        <f>IF(D1421="","",Z1421-Y1421)</f>
        <v/>
      </c>
      <c r="AD1421">
        <f>IF(D1421="","",N(AD1420)+IF(MATCH(D1421,$D$2:$D$2501,0)=ROW()-1,1,0))</f>
        <v/>
      </c>
    </row>
    <row r="1422">
      <c r="X1422" s="5">
        <f>IF(D1422="","",W1422*IF(AND(ISNUMBER(AB1422),AB1422&gt;0,AB1422&lt;1),AB1422*100,AB1422)/100)</f>
        <v/>
      </c>
      <c r="Y1422" s="5">
        <f>IF(D1422="","",AA1422*Z1422/100)</f>
        <v/>
      </c>
      <c r="Z1422" s="5">
        <f>IF(D1422="","",W1422-X1422)</f>
        <v/>
      </c>
      <c r="AC1422" s="5">
        <f>IF(D1422="","",Z1422-Y1422)</f>
        <v/>
      </c>
      <c r="AD1422">
        <f>IF(D1422="","",N(AD1421)+IF(MATCH(D1422,$D$2:$D$2501,0)=ROW()-1,1,0))</f>
        <v/>
      </c>
    </row>
    <row r="1423">
      <c r="X1423" s="5">
        <f>IF(D1423="","",W1423*IF(AND(ISNUMBER(AB1423),AB1423&gt;0,AB1423&lt;1),AB1423*100,AB1423)/100)</f>
        <v/>
      </c>
      <c r="Y1423" s="5">
        <f>IF(D1423="","",AA1423*Z1423/100)</f>
        <v/>
      </c>
      <c r="Z1423" s="5">
        <f>IF(D1423="","",W1423-X1423)</f>
        <v/>
      </c>
      <c r="AC1423" s="5">
        <f>IF(D1423="","",Z1423-Y1423)</f>
        <v/>
      </c>
      <c r="AD1423">
        <f>IF(D1423="","",N(AD1422)+IF(MATCH(D1423,$D$2:$D$2501,0)=ROW()-1,1,0))</f>
        <v/>
      </c>
    </row>
    <row r="1424">
      <c r="X1424" s="5">
        <f>IF(D1424="","",W1424*IF(AND(ISNUMBER(AB1424),AB1424&gt;0,AB1424&lt;1),AB1424*100,AB1424)/100)</f>
        <v/>
      </c>
      <c r="Y1424" s="5">
        <f>IF(D1424="","",AA1424*Z1424/100)</f>
        <v/>
      </c>
      <c r="Z1424" s="5">
        <f>IF(D1424="","",W1424-X1424)</f>
        <v/>
      </c>
      <c r="AC1424" s="5">
        <f>IF(D1424="","",Z1424-Y1424)</f>
        <v/>
      </c>
      <c r="AD1424">
        <f>IF(D1424="","",N(AD1423)+IF(MATCH(D1424,$D$2:$D$2501,0)=ROW()-1,1,0))</f>
        <v/>
      </c>
    </row>
    <row r="1425">
      <c r="X1425" s="5">
        <f>IF(D1425="","",W1425*IF(AND(ISNUMBER(AB1425),AB1425&gt;0,AB1425&lt;1),AB1425*100,AB1425)/100)</f>
        <v/>
      </c>
      <c r="Y1425" s="5">
        <f>IF(D1425="","",AA1425*Z1425/100)</f>
        <v/>
      </c>
      <c r="Z1425" s="5">
        <f>IF(D1425="","",W1425-X1425)</f>
        <v/>
      </c>
      <c r="AC1425" s="5">
        <f>IF(D1425="","",Z1425-Y1425)</f>
        <v/>
      </c>
      <c r="AD1425">
        <f>IF(D1425="","",N(AD1424)+IF(MATCH(D1425,$D$2:$D$2501,0)=ROW()-1,1,0))</f>
        <v/>
      </c>
    </row>
    <row r="1426">
      <c r="X1426" s="5">
        <f>IF(D1426="","",W1426*IF(AND(ISNUMBER(AB1426),AB1426&gt;0,AB1426&lt;1),AB1426*100,AB1426)/100)</f>
        <v/>
      </c>
      <c r="Y1426" s="5">
        <f>IF(D1426="","",AA1426*Z1426/100)</f>
        <v/>
      </c>
      <c r="Z1426" s="5">
        <f>IF(D1426="","",W1426-X1426)</f>
        <v/>
      </c>
      <c r="AC1426" s="5">
        <f>IF(D1426="","",Z1426-Y1426)</f>
        <v/>
      </c>
      <c r="AD1426">
        <f>IF(D1426="","",N(AD1425)+IF(MATCH(D1426,$D$2:$D$2501,0)=ROW()-1,1,0))</f>
        <v/>
      </c>
    </row>
    <row r="1427">
      <c r="X1427" s="5">
        <f>IF(D1427="","",W1427*IF(AND(ISNUMBER(AB1427),AB1427&gt;0,AB1427&lt;1),AB1427*100,AB1427)/100)</f>
        <v/>
      </c>
      <c r="Y1427" s="5">
        <f>IF(D1427="","",AA1427*Z1427/100)</f>
        <v/>
      </c>
      <c r="Z1427" s="5">
        <f>IF(D1427="","",W1427-X1427)</f>
        <v/>
      </c>
      <c r="AC1427" s="5">
        <f>IF(D1427="","",Z1427-Y1427)</f>
        <v/>
      </c>
      <c r="AD1427">
        <f>IF(D1427="","",N(AD1426)+IF(MATCH(D1427,$D$2:$D$2501,0)=ROW()-1,1,0))</f>
        <v/>
      </c>
    </row>
    <row r="1428">
      <c r="X1428" s="5">
        <f>IF(D1428="","",W1428*IF(AND(ISNUMBER(AB1428),AB1428&gt;0,AB1428&lt;1),AB1428*100,AB1428)/100)</f>
        <v/>
      </c>
      <c r="Y1428" s="5">
        <f>IF(D1428="","",AA1428*Z1428/100)</f>
        <v/>
      </c>
      <c r="Z1428" s="5">
        <f>IF(D1428="","",W1428-X1428)</f>
        <v/>
      </c>
      <c r="AC1428" s="5">
        <f>IF(D1428="","",Z1428-Y1428)</f>
        <v/>
      </c>
      <c r="AD1428">
        <f>IF(D1428="","",N(AD1427)+IF(MATCH(D1428,$D$2:$D$2501,0)=ROW()-1,1,0))</f>
        <v/>
      </c>
    </row>
    <row r="1429">
      <c r="X1429" s="5">
        <f>IF(D1429="","",W1429*IF(AND(ISNUMBER(AB1429),AB1429&gt;0,AB1429&lt;1),AB1429*100,AB1429)/100)</f>
        <v/>
      </c>
      <c r="Y1429" s="5">
        <f>IF(D1429="","",AA1429*Z1429/100)</f>
        <v/>
      </c>
      <c r="Z1429" s="5">
        <f>IF(D1429="","",W1429-X1429)</f>
        <v/>
      </c>
      <c r="AC1429" s="5">
        <f>IF(D1429="","",Z1429-Y1429)</f>
        <v/>
      </c>
      <c r="AD1429">
        <f>IF(D1429="","",N(AD1428)+IF(MATCH(D1429,$D$2:$D$2501,0)=ROW()-1,1,0))</f>
        <v/>
      </c>
    </row>
    <row r="1430">
      <c r="X1430" s="5">
        <f>IF(D1430="","",W1430*IF(AND(ISNUMBER(AB1430),AB1430&gt;0,AB1430&lt;1),AB1430*100,AB1430)/100)</f>
        <v/>
      </c>
      <c r="Y1430" s="5">
        <f>IF(D1430="","",AA1430*Z1430/100)</f>
        <v/>
      </c>
      <c r="Z1430" s="5">
        <f>IF(D1430="","",W1430-X1430)</f>
        <v/>
      </c>
      <c r="AC1430" s="5">
        <f>IF(D1430="","",Z1430-Y1430)</f>
        <v/>
      </c>
      <c r="AD1430">
        <f>IF(D1430="","",N(AD1429)+IF(MATCH(D1430,$D$2:$D$2501,0)=ROW()-1,1,0))</f>
        <v/>
      </c>
    </row>
    <row r="1431">
      <c r="X1431" s="5">
        <f>IF(D1431="","",W1431*IF(AND(ISNUMBER(AB1431),AB1431&gt;0,AB1431&lt;1),AB1431*100,AB1431)/100)</f>
        <v/>
      </c>
      <c r="Y1431" s="5">
        <f>IF(D1431="","",AA1431*Z1431/100)</f>
        <v/>
      </c>
      <c r="Z1431" s="5">
        <f>IF(D1431="","",W1431-X1431)</f>
        <v/>
      </c>
      <c r="AC1431" s="5">
        <f>IF(D1431="","",Z1431-Y1431)</f>
        <v/>
      </c>
      <c r="AD1431">
        <f>IF(D1431="","",N(AD1430)+IF(MATCH(D1431,$D$2:$D$2501,0)=ROW()-1,1,0))</f>
        <v/>
      </c>
    </row>
    <row r="1432">
      <c r="X1432" s="5">
        <f>IF(D1432="","",W1432*IF(AND(ISNUMBER(AB1432),AB1432&gt;0,AB1432&lt;1),AB1432*100,AB1432)/100)</f>
        <v/>
      </c>
      <c r="Y1432" s="5">
        <f>IF(D1432="","",AA1432*Z1432/100)</f>
        <v/>
      </c>
      <c r="Z1432" s="5">
        <f>IF(D1432="","",W1432-X1432)</f>
        <v/>
      </c>
      <c r="AC1432" s="5">
        <f>IF(D1432="","",Z1432-Y1432)</f>
        <v/>
      </c>
      <c r="AD1432">
        <f>IF(D1432="","",N(AD1431)+IF(MATCH(D1432,$D$2:$D$2501,0)=ROW()-1,1,0))</f>
        <v/>
      </c>
    </row>
    <row r="1433">
      <c r="X1433" s="5">
        <f>IF(D1433="","",W1433*IF(AND(ISNUMBER(AB1433),AB1433&gt;0,AB1433&lt;1),AB1433*100,AB1433)/100)</f>
        <v/>
      </c>
      <c r="Y1433" s="5">
        <f>IF(D1433="","",AA1433*Z1433/100)</f>
        <v/>
      </c>
      <c r="Z1433" s="5">
        <f>IF(D1433="","",W1433-X1433)</f>
        <v/>
      </c>
      <c r="AC1433" s="5">
        <f>IF(D1433="","",Z1433-Y1433)</f>
        <v/>
      </c>
      <c r="AD1433">
        <f>IF(D1433="","",N(AD1432)+IF(MATCH(D1433,$D$2:$D$2501,0)=ROW()-1,1,0))</f>
        <v/>
      </c>
    </row>
    <row r="1434">
      <c r="X1434" s="5">
        <f>IF(D1434="","",W1434*IF(AND(ISNUMBER(AB1434),AB1434&gt;0,AB1434&lt;1),AB1434*100,AB1434)/100)</f>
        <v/>
      </c>
      <c r="Y1434" s="5">
        <f>IF(D1434="","",AA1434*Z1434/100)</f>
        <v/>
      </c>
      <c r="Z1434" s="5">
        <f>IF(D1434="","",W1434-X1434)</f>
        <v/>
      </c>
      <c r="AC1434" s="5">
        <f>IF(D1434="","",Z1434-Y1434)</f>
        <v/>
      </c>
      <c r="AD1434">
        <f>IF(D1434="","",N(AD1433)+IF(MATCH(D1434,$D$2:$D$2501,0)=ROW()-1,1,0))</f>
        <v/>
      </c>
    </row>
    <row r="1435">
      <c r="X1435" s="5">
        <f>IF(D1435="","",W1435*IF(AND(ISNUMBER(AB1435),AB1435&gt;0,AB1435&lt;1),AB1435*100,AB1435)/100)</f>
        <v/>
      </c>
      <c r="Y1435" s="5">
        <f>IF(D1435="","",AA1435*Z1435/100)</f>
        <v/>
      </c>
      <c r="Z1435" s="5">
        <f>IF(D1435="","",W1435-X1435)</f>
        <v/>
      </c>
      <c r="AC1435" s="5">
        <f>IF(D1435="","",Z1435-Y1435)</f>
        <v/>
      </c>
      <c r="AD1435">
        <f>IF(D1435="","",N(AD1434)+IF(MATCH(D1435,$D$2:$D$2501,0)=ROW()-1,1,0))</f>
        <v/>
      </c>
    </row>
    <row r="1436">
      <c r="X1436" s="5">
        <f>IF(D1436="","",W1436*IF(AND(ISNUMBER(AB1436),AB1436&gt;0,AB1436&lt;1),AB1436*100,AB1436)/100)</f>
        <v/>
      </c>
      <c r="Y1436" s="5">
        <f>IF(D1436="","",AA1436*Z1436/100)</f>
        <v/>
      </c>
      <c r="Z1436" s="5">
        <f>IF(D1436="","",W1436-X1436)</f>
        <v/>
      </c>
      <c r="AC1436" s="5">
        <f>IF(D1436="","",Z1436-Y1436)</f>
        <v/>
      </c>
      <c r="AD1436">
        <f>IF(D1436="","",N(AD1435)+IF(MATCH(D1436,$D$2:$D$2501,0)=ROW()-1,1,0))</f>
        <v/>
      </c>
    </row>
    <row r="1437">
      <c r="X1437" s="5">
        <f>IF(D1437="","",W1437*IF(AND(ISNUMBER(AB1437),AB1437&gt;0,AB1437&lt;1),AB1437*100,AB1437)/100)</f>
        <v/>
      </c>
      <c r="Y1437" s="5">
        <f>IF(D1437="","",AA1437*Z1437/100)</f>
        <v/>
      </c>
      <c r="Z1437" s="5">
        <f>IF(D1437="","",W1437-X1437)</f>
        <v/>
      </c>
      <c r="AC1437" s="5">
        <f>IF(D1437="","",Z1437-Y1437)</f>
        <v/>
      </c>
      <c r="AD1437">
        <f>IF(D1437="","",N(AD1436)+IF(MATCH(D1437,$D$2:$D$2501,0)=ROW()-1,1,0))</f>
        <v/>
      </c>
    </row>
    <row r="1438">
      <c r="X1438" s="5">
        <f>IF(D1438="","",W1438*IF(AND(ISNUMBER(AB1438),AB1438&gt;0,AB1438&lt;1),AB1438*100,AB1438)/100)</f>
        <v/>
      </c>
      <c r="Y1438" s="5">
        <f>IF(D1438="","",AA1438*Z1438/100)</f>
        <v/>
      </c>
      <c r="Z1438" s="5">
        <f>IF(D1438="","",W1438-X1438)</f>
        <v/>
      </c>
      <c r="AC1438" s="5">
        <f>IF(D1438="","",Z1438-Y1438)</f>
        <v/>
      </c>
      <c r="AD1438">
        <f>IF(D1438="","",N(AD1437)+IF(MATCH(D1438,$D$2:$D$2501,0)=ROW()-1,1,0))</f>
        <v/>
      </c>
    </row>
    <row r="1439">
      <c r="X1439" s="5">
        <f>IF(D1439="","",W1439*IF(AND(ISNUMBER(AB1439),AB1439&gt;0,AB1439&lt;1),AB1439*100,AB1439)/100)</f>
        <v/>
      </c>
      <c r="Y1439" s="5">
        <f>IF(D1439="","",AA1439*Z1439/100)</f>
        <v/>
      </c>
      <c r="Z1439" s="5">
        <f>IF(D1439="","",W1439-X1439)</f>
        <v/>
      </c>
      <c r="AC1439" s="5">
        <f>IF(D1439="","",Z1439-Y1439)</f>
        <v/>
      </c>
      <c r="AD1439">
        <f>IF(D1439="","",N(AD1438)+IF(MATCH(D1439,$D$2:$D$2501,0)=ROW()-1,1,0))</f>
        <v/>
      </c>
    </row>
    <row r="1440">
      <c r="X1440" s="5">
        <f>IF(D1440="","",W1440*IF(AND(ISNUMBER(AB1440),AB1440&gt;0,AB1440&lt;1),AB1440*100,AB1440)/100)</f>
        <v/>
      </c>
      <c r="Y1440" s="5">
        <f>IF(D1440="","",AA1440*Z1440/100)</f>
        <v/>
      </c>
      <c r="Z1440" s="5">
        <f>IF(D1440="","",W1440-X1440)</f>
        <v/>
      </c>
      <c r="AC1440" s="5">
        <f>IF(D1440="","",Z1440-Y1440)</f>
        <v/>
      </c>
      <c r="AD1440">
        <f>IF(D1440="","",N(AD1439)+IF(MATCH(D1440,$D$2:$D$2501,0)=ROW()-1,1,0))</f>
        <v/>
      </c>
    </row>
    <row r="1441">
      <c r="X1441" s="5">
        <f>IF(D1441="","",W1441*IF(AND(ISNUMBER(AB1441),AB1441&gt;0,AB1441&lt;1),AB1441*100,AB1441)/100)</f>
        <v/>
      </c>
      <c r="Y1441" s="5">
        <f>IF(D1441="","",AA1441*Z1441/100)</f>
        <v/>
      </c>
      <c r="Z1441" s="5">
        <f>IF(D1441="","",W1441-X1441)</f>
        <v/>
      </c>
      <c r="AC1441" s="5">
        <f>IF(D1441="","",Z1441-Y1441)</f>
        <v/>
      </c>
      <c r="AD1441">
        <f>IF(D1441="","",N(AD1440)+IF(MATCH(D1441,$D$2:$D$2501,0)=ROW()-1,1,0))</f>
        <v/>
      </c>
    </row>
    <row r="1442">
      <c r="X1442" s="5">
        <f>IF(D1442="","",W1442*IF(AND(ISNUMBER(AB1442),AB1442&gt;0,AB1442&lt;1),AB1442*100,AB1442)/100)</f>
        <v/>
      </c>
      <c r="Y1442" s="5">
        <f>IF(D1442="","",AA1442*Z1442/100)</f>
        <v/>
      </c>
      <c r="Z1442" s="5">
        <f>IF(D1442="","",W1442-X1442)</f>
        <v/>
      </c>
      <c r="AC1442" s="5">
        <f>IF(D1442="","",Z1442-Y1442)</f>
        <v/>
      </c>
      <c r="AD1442">
        <f>IF(D1442="","",N(AD1441)+IF(MATCH(D1442,$D$2:$D$2501,0)=ROW()-1,1,0))</f>
        <v/>
      </c>
    </row>
    <row r="1443">
      <c r="X1443" s="5">
        <f>IF(D1443="","",W1443*IF(AND(ISNUMBER(AB1443),AB1443&gt;0,AB1443&lt;1),AB1443*100,AB1443)/100)</f>
        <v/>
      </c>
      <c r="Y1443" s="5">
        <f>IF(D1443="","",AA1443*Z1443/100)</f>
        <v/>
      </c>
      <c r="Z1443" s="5">
        <f>IF(D1443="","",W1443-X1443)</f>
        <v/>
      </c>
      <c r="AC1443" s="5">
        <f>IF(D1443="","",Z1443-Y1443)</f>
        <v/>
      </c>
      <c r="AD1443">
        <f>IF(D1443="","",N(AD1442)+IF(MATCH(D1443,$D$2:$D$2501,0)=ROW()-1,1,0))</f>
        <v/>
      </c>
    </row>
    <row r="1444">
      <c r="X1444" s="5">
        <f>IF(D1444="","",W1444*IF(AND(ISNUMBER(AB1444),AB1444&gt;0,AB1444&lt;1),AB1444*100,AB1444)/100)</f>
        <v/>
      </c>
      <c r="Y1444" s="5">
        <f>IF(D1444="","",AA1444*Z1444/100)</f>
        <v/>
      </c>
      <c r="Z1444" s="5">
        <f>IF(D1444="","",W1444-X1444)</f>
        <v/>
      </c>
      <c r="AC1444" s="5">
        <f>IF(D1444="","",Z1444-Y1444)</f>
        <v/>
      </c>
      <c r="AD1444">
        <f>IF(D1444="","",N(AD1443)+IF(MATCH(D1444,$D$2:$D$2501,0)=ROW()-1,1,0))</f>
        <v/>
      </c>
    </row>
    <row r="1445">
      <c r="X1445" s="5">
        <f>IF(D1445="","",W1445*IF(AND(ISNUMBER(AB1445),AB1445&gt;0,AB1445&lt;1),AB1445*100,AB1445)/100)</f>
        <v/>
      </c>
      <c r="Y1445" s="5">
        <f>IF(D1445="","",AA1445*Z1445/100)</f>
        <v/>
      </c>
      <c r="Z1445" s="5">
        <f>IF(D1445="","",W1445-X1445)</f>
        <v/>
      </c>
      <c r="AC1445" s="5">
        <f>IF(D1445="","",Z1445-Y1445)</f>
        <v/>
      </c>
      <c r="AD1445">
        <f>IF(D1445="","",N(AD1444)+IF(MATCH(D1445,$D$2:$D$2501,0)=ROW()-1,1,0))</f>
        <v/>
      </c>
    </row>
    <row r="1446">
      <c r="X1446" s="5">
        <f>IF(D1446="","",W1446*IF(AND(ISNUMBER(AB1446),AB1446&gt;0,AB1446&lt;1),AB1446*100,AB1446)/100)</f>
        <v/>
      </c>
      <c r="Y1446" s="5">
        <f>IF(D1446="","",AA1446*Z1446/100)</f>
        <v/>
      </c>
      <c r="Z1446" s="5">
        <f>IF(D1446="","",W1446-X1446)</f>
        <v/>
      </c>
      <c r="AC1446" s="5">
        <f>IF(D1446="","",Z1446-Y1446)</f>
        <v/>
      </c>
      <c r="AD1446">
        <f>IF(D1446="","",N(AD1445)+IF(MATCH(D1446,$D$2:$D$2501,0)=ROW()-1,1,0))</f>
        <v/>
      </c>
    </row>
    <row r="1447">
      <c r="X1447" s="5">
        <f>IF(D1447="","",W1447*IF(AND(ISNUMBER(AB1447),AB1447&gt;0,AB1447&lt;1),AB1447*100,AB1447)/100)</f>
        <v/>
      </c>
      <c r="Y1447" s="5">
        <f>IF(D1447="","",AA1447*Z1447/100)</f>
        <v/>
      </c>
      <c r="Z1447" s="5">
        <f>IF(D1447="","",W1447-X1447)</f>
        <v/>
      </c>
      <c r="AC1447" s="5">
        <f>IF(D1447="","",Z1447-Y1447)</f>
        <v/>
      </c>
      <c r="AD1447">
        <f>IF(D1447="","",N(AD1446)+IF(MATCH(D1447,$D$2:$D$2501,0)=ROW()-1,1,0))</f>
        <v/>
      </c>
    </row>
    <row r="1448">
      <c r="X1448" s="5">
        <f>IF(D1448="","",W1448*IF(AND(ISNUMBER(AB1448),AB1448&gt;0,AB1448&lt;1),AB1448*100,AB1448)/100)</f>
        <v/>
      </c>
      <c r="Y1448" s="5">
        <f>IF(D1448="","",AA1448*Z1448/100)</f>
        <v/>
      </c>
      <c r="Z1448" s="5">
        <f>IF(D1448="","",W1448-X1448)</f>
        <v/>
      </c>
      <c r="AC1448" s="5">
        <f>IF(D1448="","",Z1448-Y1448)</f>
        <v/>
      </c>
      <c r="AD1448">
        <f>IF(D1448="","",N(AD1447)+IF(MATCH(D1448,$D$2:$D$2501,0)=ROW()-1,1,0))</f>
        <v/>
      </c>
    </row>
    <row r="1449">
      <c r="X1449" s="5">
        <f>IF(D1449="","",W1449*IF(AND(ISNUMBER(AB1449),AB1449&gt;0,AB1449&lt;1),AB1449*100,AB1449)/100)</f>
        <v/>
      </c>
      <c r="Y1449" s="5">
        <f>IF(D1449="","",AA1449*Z1449/100)</f>
        <v/>
      </c>
      <c r="Z1449" s="5">
        <f>IF(D1449="","",W1449-X1449)</f>
        <v/>
      </c>
      <c r="AC1449" s="5">
        <f>IF(D1449="","",Z1449-Y1449)</f>
        <v/>
      </c>
      <c r="AD1449">
        <f>IF(D1449="","",N(AD1448)+IF(MATCH(D1449,$D$2:$D$2501,0)=ROW()-1,1,0))</f>
        <v/>
      </c>
    </row>
    <row r="1450">
      <c r="X1450" s="5">
        <f>IF(D1450="","",W1450*IF(AND(ISNUMBER(AB1450),AB1450&gt;0,AB1450&lt;1),AB1450*100,AB1450)/100)</f>
        <v/>
      </c>
      <c r="Y1450" s="5">
        <f>IF(D1450="","",AA1450*Z1450/100)</f>
        <v/>
      </c>
      <c r="Z1450" s="5">
        <f>IF(D1450="","",W1450-X1450)</f>
        <v/>
      </c>
      <c r="AC1450" s="5">
        <f>IF(D1450="","",Z1450-Y1450)</f>
        <v/>
      </c>
      <c r="AD1450">
        <f>IF(D1450="","",N(AD1449)+IF(MATCH(D1450,$D$2:$D$2501,0)=ROW()-1,1,0))</f>
        <v/>
      </c>
    </row>
    <row r="1451">
      <c r="X1451" s="5">
        <f>IF(D1451="","",W1451*IF(AND(ISNUMBER(AB1451),AB1451&gt;0,AB1451&lt;1),AB1451*100,AB1451)/100)</f>
        <v/>
      </c>
      <c r="Y1451" s="5">
        <f>IF(D1451="","",AA1451*Z1451/100)</f>
        <v/>
      </c>
      <c r="Z1451" s="5">
        <f>IF(D1451="","",W1451-X1451)</f>
        <v/>
      </c>
      <c r="AC1451" s="5">
        <f>IF(D1451="","",Z1451-Y1451)</f>
        <v/>
      </c>
      <c r="AD1451">
        <f>IF(D1451="","",N(AD1450)+IF(MATCH(D1451,$D$2:$D$2501,0)=ROW()-1,1,0))</f>
        <v/>
      </c>
    </row>
    <row r="1452">
      <c r="X1452" s="5">
        <f>IF(D1452="","",W1452*IF(AND(ISNUMBER(AB1452),AB1452&gt;0,AB1452&lt;1),AB1452*100,AB1452)/100)</f>
        <v/>
      </c>
      <c r="Y1452" s="5">
        <f>IF(D1452="","",AA1452*Z1452/100)</f>
        <v/>
      </c>
      <c r="Z1452" s="5">
        <f>IF(D1452="","",W1452-X1452)</f>
        <v/>
      </c>
      <c r="AC1452" s="5">
        <f>IF(D1452="","",Z1452-Y1452)</f>
        <v/>
      </c>
      <c r="AD1452">
        <f>IF(D1452="","",N(AD1451)+IF(MATCH(D1452,$D$2:$D$2501,0)=ROW()-1,1,0))</f>
        <v/>
      </c>
    </row>
    <row r="1453">
      <c r="X1453" s="5">
        <f>IF(D1453="","",W1453*IF(AND(ISNUMBER(AB1453),AB1453&gt;0,AB1453&lt;1),AB1453*100,AB1453)/100)</f>
        <v/>
      </c>
      <c r="Y1453" s="5">
        <f>IF(D1453="","",AA1453*Z1453/100)</f>
        <v/>
      </c>
      <c r="Z1453" s="5">
        <f>IF(D1453="","",W1453-X1453)</f>
        <v/>
      </c>
      <c r="AC1453" s="5">
        <f>IF(D1453="","",Z1453-Y1453)</f>
        <v/>
      </c>
      <c r="AD1453">
        <f>IF(D1453="","",N(AD1452)+IF(MATCH(D1453,$D$2:$D$2501,0)=ROW()-1,1,0))</f>
        <v/>
      </c>
    </row>
    <row r="1454">
      <c r="X1454" s="5">
        <f>IF(D1454="","",W1454*IF(AND(ISNUMBER(AB1454),AB1454&gt;0,AB1454&lt;1),AB1454*100,AB1454)/100)</f>
        <v/>
      </c>
      <c r="Y1454" s="5">
        <f>IF(D1454="","",AA1454*Z1454/100)</f>
        <v/>
      </c>
      <c r="Z1454" s="5">
        <f>IF(D1454="","",W1454-X1454)</f>
        <v/>
      </c>
      <c r="AC1454" s="5">
        <f>IF(D1454="","",Z1454-Y1454)</f>
        <v/>
      </c>
      <c r="AD1454">
        <f>IF(D1454="","",N(AD1453)+IF(MATCH(D1454,$D$2:$D$2501,0)=ROW()-1,1,0))</f>
        <v/>
      </c>
    </row>
    <row r="1455">
      <c r="X1455" s="5">
        <f>IF(D1455="","",W1455*IF(AND(ISNUMBER(AB1455),AB1455&gt;0,AB1455&lt;1),AB1455*100,AB1455)/100)</f>
        <v/>
      </c>
      <c r="Y1455" s="5">
        <f>IF(D1455="","",AA1455*Z1455/100)</f>
        <v/>
      </c>
      <c r="Z1455" s="5">
        <f>IF(D1455="","",W1455-X1455)</f>
        <v/>
      </c>
      <c r="AC1455" s="5">
        <f>IF(D1455="","",Z1455-Y1455)</f>
        <v/>
      </c>
      <c r="AD1455">
        <f>IF(D1455="","",N(AD1454)+IF(MATCH(D1455,$D$2:$D$2501,0)=ROW()-1,1,0))</f>
        <v/>
      </c>
    </row>
    <row r="1456">
      <c r="X1456" s="5">
        <f>IF(D1456="","",W1456*IF(AND(ISNUMBER(AB1456),AB1456&gt;0,AB1456&lt;1),AB1456*100,AB1456)/100)</f>
        <v/>
      </c>
      <c r="Y1456" s="5">
        <f>IF(D1456="","",AA1456*Z1456/100)</f>
        <v/>
      </c>
      <c r="Z1456" s="5">
        <f>IF(D1456="","",W1456-X1456)</f>
        <v/>
      </c>
      <c r="AC1456" s="5">
        <f>IF(D1456="","",Z1456-Y1456)</f>
        <v/>
      </c>
      <c r="AD1456">
        <f>IF(D1456="","",N(AD1455)+IF(MATCH(D1456,$D$2:$D$2501,0)=ROW()-1,1,0))</f>
        <v/>
      </c>
    </row>
    <row r="1457">
      <c r="X1457" s="5">
        <f>IF(D1457="","",W1457*IF(AND(ISNUMBER(AB1457),AB1457&gt;0,AB1457&lt;1),AB1457*100,AB1457)/100)</f>
        <v/>
      </c>
      <c r="Y1457" s="5">
        <f>IF(D1457="","",AA1457*Z1457/100)</f>
        <v/>
      </c>
      <c r="Z1457" s="5">
        <f>IF(D1457="","",W1457-X1457)</f>
        <v/>
      </c>
      <c r="AC1457" s="5">
        <f>IF(D1457="","",Z1457-Y1457)</f>
        <v/>
      </c>
      <c r="AD1457">
        <f>IF(D1457="","",N(AD1456)+IF(MATCH(D1457,$D$2:$D$2501,0)=ROW()-1,1,0))</f>
        <v/>
      </c>
    </row>
    <row r="1458">
      <c r="X1458" s="5">
        <f>IF(D1458="","",W1458*IF(AND(ISNUMBER(AB1458),AB1458&gt;0,AB1458&lt;1),AB1458*100,AB1458)/100)</f>
        <v/>
      </c>
      <c r="Y1458" s="5">
        <f>IF(D1458="","",AA1458*Z1458/100)</f>
        <v/>
      </c>
      <c r="Z1458" s="5">
        <f>IF(D1458="","",W1458-X1458)</f>
        <v/>
      </c>
      <c r="AC1458" s="5">
        <f>IF(D1458="","",Z1458-Y1458)</f>
        <v/>
      </c>
      <c r="AD1458">
        <f>IF(D1458="","",N(AD1457)+IF(MATCH(D1458,$D$2:$D$2501,0)=ROW()-1,1,0))</f>
        <v/>
      </c>
    </row>
    <row r="1459">
      <c r="X1459" s="5">
        <f>IF(D1459="","",W1459*IF(AND(ISNUMBER(AB1459),AB1459&gt;0,AB1459&lt;1),AB1459*100,AB1459)/100)</f>
        <v/>
      </c>
      <c r="Y1459" s="5">
        <f>IF(D1459="","",AA1459*Z1459/100)</f>
        <v/>
      </c>
      <c r="Z1459" s="5">
        <f>IF(D1459="","",W1459-X1459)</f>
        <v/>
      </c>
      <c r="AC1459" s="5">
        <f>IF(D1459="","",Z1459-Y1459)</f>
        <v/>
      </c>
      <c r="AD1459">
        <f>IF(D1459="","",N(AD1458)+IF(MATCH(D1459,$D$2:$D$2501,0)=ROW()-1,1,0))</f>
        <v/>
      </c>
    </row>
    <row r="1460">
      <c r="X1460" s="5">
        <f>IF(D1460="","",W1460*IF(AND(ISNUMBER(AB1460),AB1460&gt;0,AB1460&lt;1),AB1460*100,AB1460)/100)</f>
        <v/>
      </c>
      <c r="Y1460" s="5">
        <f>IF(D1460="","",AA1460*Z1460/100)</f>
        <v/>
      </c>
      <c r="Z1460" s="5">
        <f>IF(D1460="","",W1460-X1460)</f>
        <v/>
      </c>
      <c r="AC1460" s="5">
        <f>IF(D1460="","",Z1460-Y1460)</f>
        <v/>
      </c>
      <c r="AD1460">
        <f>IF(D1460="","",N(AD1459)+IF(MATCH(D1460,$D$2:$D$2501,0)=ROW()-1,1,0))</f>
        <v/>
      </c>
    </row>
    <row r="1461">
      <c r="X1461" s="5">
        <f>IF(D1461="","",W1461*IF(AND(ISNUMBER(AB1461),AB1461&gt;0,AB1461&lt;1),AB1461*100,AB1461)/100)</f>
        <v/>
      </c>
      <c r="Y1461" s="5">
        <f>IF(D1461="","",AA1461*Z1461/100)</f>
        <v/>
      </c>
      <c r="Z1461" s="5">
        <f>IF(D1461="","",W1461-X1461)</f>
        <v/>
      </c>
      <c r="AC1461" s="5">
        <f>IF(D1461="","",Z1461-Y1461)</f>
        <v/>
      </c>
      <c r="AD1461">
        <f>IF(D1461="","",N(AD1460)+IF(MATCH(D1461,$D$2:$D$2501,0)=ROW()-1,1,0))</f>
        <v/>
      </c>
    </row>
    <row r="1462">
      <c r="X1462" s="5">
        <f>IF(D1462="","",W1462*IF(AND(ISNUMBER(AB1462),AB1462&gt;0,AB1462&lt;1),AB1462*100,AB1462)/100)</f>
        <v/>
      </c>
      <c r="Y1462" s="5">
        <f>IF(D1462="","",AA1462*Z1462/100)</f>
        <v/>
      </c>
      <c r="Z1462" s="5">
        <f>IF(D1462="","",W1462-X1462)</f>
        <v/>
      </c>
      <c r="AC1462" s="5">
        <f>IF(D1462="","",Z1462-Y1462)</f>
        <v/>
      </c>
      <c r="AD1462">
        <f>IF(D1462="","",N(AD1461)+IF(MATCH(D1462,$D$2:$D$2501,0)=ROW()-1,1,0))</f>
        <v/>
      </c>
    </row>
    <row r="1463">
      <c r="X1463" s="5">
        <f>IF(D1463="","",W1463*IF(AND(ISNUMBER(AB1463),AB1463&gt;0,AB1463&lt;1),AB1463*100,AB1463)/100)</f>
        <v/>
      </c>
      <c r="Y1463" s="5">
        <f>IF(D1463="","",AA1463*Z1463/100)</f>
        <v/>
      </c>
      <c r="Z1463" s="5">
        <f>IF(D1463="","",W1463-X1463)</f>
        <v/>
      </c>
      <c r="AC1463" s="5">
        <f>IF(D1463="","",Z1463-Y1463)</f>
        <v/>
      </c>
      <c r="AD1463">
        <f>IF(D1463="","",N(AD1462)+IF(MATCH(D1463,$D$2:$D$2501,0)=ROW()-1,1,0))</f>
        <v/>
      </c>
    </row>
    <row r="1464">
      <c r="X1464" s="5">
        <f>IF(D1464="","",W1464*IF(AND(ISNUMBER(AB1464),AB1464&gt;0,AB1464&lt;1),AB1464*100,AB1464)/100)</f>
        <v/>
      </c>
      <c r="Y1464" s="5">
        <f>IF(D1464="","",AA1464*Z1464/100)</f>
        <v/>
      </c>
      <c r="Z1464" s="5">
        <f>IF(D1464="","",W1464-X1464)</f>
        <v/>
      </c>
      <c r="AC1464" s="5">
        <f>IF(D1464="","",Z1464-Y1464)</f>
        <v/>
      </c>
      <c r="AD1464">
        <f>IF(D1464="","",N(AD1463)+IF(MATCH(D1464,$D$2:$D$2501,0)=ROW()-1,1,0))</f>
        <v/>
      </c>
    </row>
    <row r="1465">
      <c r="X1465" s="5">
        <f>IF(D1465="","",W1465*IF(AND(ISNUMBER(AB1465),AB1465&gt;0,AB1465&lt;1),AB1465*100,AB1465)/100)</f>
        <v/>
      </c>
      <c r="Y1465" s="5">
        <f>IF(D1465="","",AA1465*Z1465/100)</f>
        <v/>
      </c>
      <c r="Z1465" s="5">
        <f>IF(D1465="","",W1465-X1465)</f>
        <v/>
      </c>
      <c r="AC1465" s="5">
        <f>IF(D1465="","",Z1465-Y1465)</f>
        <v/>
      </c>
      <c r="AD1465">
        <f>IF(D1465="","",N(AD1464)+IF(MATCH(D1465,$D$2:$D$2501,0)=ROW()-1,1,0))</f>
        <v/>
      </c>
    </row>
    <row r="1466">
      <c r="X1466" s="5">
        <f>IF(D1466="","",W1466*IF(AND(ISNUMBER(AB1466),AB1466&gt;0,AB1466&lt;1),AB1466*100,AB1466)/100)</f>
        <v/>
      </c>
      <c r="Y1466" s="5">
        <f>IF(D1466="","",AA1466*Z1466/100)</f>
        <v/>
      </c>
      <c r="Z1466" s="5">
        <f>IF(D1466="","",W1466-X1466)</f>
        <v/>
      </c>
      <c r="AC1466" s="5">
        <f>IF(D1466="","",Z1466-Y1466)</f>
        <v/>
      </c>
      <c r="AD1466">
        <f>IF(D1466="","",N(AD1465)+IF(MATCH(D1466,$D$2:$D$2501,0)=ROW()-1,1,0))</f>
        <v/>
      </c>
    </row>
    <row r="1467">
      <c r="X1467" s="5">
        <f>IF(D1467="","",W1467*IF(AND(ISNUMBER(AB1467),AB1467&gt;0,AB1467&lt;1),AB1467*100,AB1467)/100)</f>
        <v/>
      </c>
      <c r="Y1467" s="5">
        <f>IF(D1467="","",AA1467*Z1467/100)</f>
        <v/>
      </c>
      <c r="Z1467" s="5">
        <f>IF(D1467="","",W1467-X1467)</f>
        <v/>
      </c>
      <c r="AC1467" s="5">
        <f>IF(D1467="","",Z1467-Y1467)</f>
        <v/>
      </c>
      <c r="AD1467">
        <f>IF(D1467="","",N(AD1466)+IF(MATCH(D1467,$D$2:$D$2501,0)=ROW()-1,1,0))</f>
        <v/>
      </c>
    </row>
    <row r="1468">
      <c r="X1468" s="5">
        <f>IF(D1468="","",W1468*IF(AND(ISNUMBER(AB1468),AB1468&gt;0,AB1468&lt;1),AB1468*100,AB1468)/100)</f>
        <v/>
      </c>
      <c r="Y1468" s="5">
        <f>IF(D1468="","",AA1468*Z1468/100)</f>
        <v/>
      </c>
      <c r="Z1468" s="5">
        <f>IF(D1468="","",W1468-X1468)</f>
        <v/>
      </c>
      <c r="AC1468" s="5">
        <f>IF(D1468="","",Z1468-Y1468)</f>
        <v/>
      </c>
      <c r="AD1468">
        <f>IF(D1468="","",N(AD1467)+IF(MATCH(D1468,$D$2:$D$2501,0)=ROW()-1,1,0))</f>
        <v/>
      </c>
    </row>
    <row r="1469">
      <c r="X1469" s="5">
        <f>IF(D1469="","",W1469*IF(AND(ISNUMBER(AB1469),AB1469&gt;0,AB1469&lt;1),AB1469*100,AB1469)/100)</f>
        <v/>
      </c>
      <c r="Y1469" s="5">
        <f>IF(D1469="","",AA1469*Z1469/100)</f>
        <v/>
      </c>
      <c r="Z1469" s="5">
        <f>IF(D1469="","",W1469-X1469)</f>
        <v/>
      </c>
      <c r="AC1469" s="5">
        <f>IF(D1469="","",Z1469-Y1469)</f>
        <v/>
      </c>
      <c r="AD1469">
        <f>IF(D1469="","",N(AD1468)+IF(MATCH(D1469,$D$2:$D$2501,0)=ROW()-1,1,0))</f>
        <v/>
      </c>
    </row>
    <row r="1470">
      <c r="X1470" s="5">
        <f>IF(D1470="","",W1470*IF(AND(ISNUMBER(AB1470),AB1470&gt;0,AB1470&lt;1),AB1470*100,AB1470)/100)</f>
        <v/>
      </c>
      <c r="Y1470" s="5">
        <f>IF(D1470="","",AA1470*Z1470/100)</f>
        <v/>
      </c>
      <c r="Z1470" s="5">
        <f>IF(D1470="","",W1470-X1470)</f>
        <v/>
      </c>
      <c r="AC1470" s="5">
        <f>IF(D1470="","",Z1470-Y1470)</f>
        <v/>
      </c>
      <c r="AD1470">
        <f>IF(D1470="","",N(AD1469)+IF(MATCH(D1470,$D$2:$D$2501,0)=ROW()-1,1,0))</f>
        <v/>
      </c>
    </row>
    <row r="1471">
      <c r="X1471" s="5">
        <f>IF(D1471="","",W1471*IF(AND(ISNUMBER(AB1471),AB1471&gt;0,AB1471&lt;1),AB1471*100,AB1471)/100)</f>
        <v/>
      </c>
      <c r="Y1471" s="5">
        <f>IF(D1471="","",AA1471*Z1471/100)</f>
        <v/>
      </c>
      <c r="Z1471" s="5">
        <f>IF(D1471="","",W1471-X1471)</f>
        <v/>
      </c>
      <c r="AC1471" s="5">
        <f>IF(D1471="","",Z1471-Y1471)</f>
        <v/>
      </c>
      <c r="AD1471">
        <f>IF(D1471="","",N(AD1470)+IF(MATCH(D1471,$D$2:$D$2501,0)=ROW()-1,1,0))</f>
        <v/>
      </c>
    </row>
    <row r="1472">
      <c r="X1472" s="5">
        <f>IF(D1472="","",W1472*IF(AND(ISNUMBER(AB1472),AB1472&gt;0,AB1472&lt;1),AB1472*100,AB1472)/100)</f>
        <v/>
      </c>
      <c r="Y1472" s="5">
        <f>IF(D1472="","",AA1472*Z1472/100)</f>
        <v/>
      </c>
      <c r="Z1472" s="5">
        <f>IF(D1472="","",W1472-X1472)</f>
        <v/>
      </c>
      <c r="AC1472" s="5">
        <f>IF(D1472="","",Z1472-Y1472)</f>
        <v/>
      </c>
      <c r="AD1472">
        <f>IF(D1472="","",N(AD1471)+IF(MATCH(D1472,$D$2:$D$2501,0)=ROW()-1,1,0))</f>
        <v/>
      </c>
    </row>
    <row r="1473">
      <c r="X1473" s="5">
        <f>IF(D1473="","",W1473*IF(AND(ISNUMBER(AB1473),AB1473&gt;0,AB1473&lt;1),AB1473*100,AB1473)/100)</f>
        <v/>
      </c>
      <c r="Y1473" s="5">
        <f>IF(D1473="","",AA1473*Z1473/100)</f>
        <v/>
      </c>
      <c r="Z1473" s="5">
        <f>IF(D1473="","",W1473-X1473)</f>
        <v/>
      </c>
      <c r="AC1473" s="5">
        <f>IF(D1473="","",Z1473-Y1473)</f>
        <v/>
      </c>
      <c r="AD1473">
        <f>IF(D1473="","",N(AD1472)+IF(MATCH(D1473,$D$2:$D$2501,0)=ROW()-1,1,0))</f>
        <v/>
      </c>
    </row>
    <row r="1474">
      <c r="X1474" s="5">
        <f>IF(D1474="","",W1474*IF(AND(ISNUMBER(AB1474),AB1474&gt;0,AB1474&lt;1),AB1474*100,AB1474)/100)</f>
        <v/>
      </c>
      <c r="Y1474" s="5">
        <f>IF(D1474="","",AA1474*Z1474/100)</f>
        <v/>
      </c>
      <c r="Z1474" s="5">
        <f>IF(D1474="","",W1474-X1474)</f>
        <v/>
      </c>
      <c r="AC1474" s="5">
        <f>IF(D1474="","",Z1474-Y1474)</f>
        <v/>
      </c>
      <c r="AD1474">
        <f>IF(D1474="","",N(AD1473)+IF(MATCH(D1474,$D$2:$D$2501,0)=ROW()-1,1,0))</f>
        <v/>
      </c>
    </row>
    <row r="1475">
      <c r="X1475" s="5">
        <f>IF(D1475="","",W1475*IF(AND(ISNUMBER(AB1475),AB1475&gt;0,AB1475&lt;1),AB1475*100,AB1475)/100)</f>
        <v/>
      </c>
      <c r="Y1475" s="5">
        <f>IF(D1475="","",AA1475*Z1475/100)</f>
        <v/>
      </c>
      <c r="Z1475" s="5">
        <f>IF(D1475="","",W1475-X1475)</f>
        <v/>
      </c>
      <c r="AC1475" s="5">
        <f>IF(D1475="","",Z1475-Y1475)</f>
        <v/>
      </c>
      <c r="AD1475">
        <f>IF(D1475="","",N(AD1474)+IF(MATCH(D1475,$D$2:$D$2501,0)=ROW()-1,1,0))</f>
        <v/>
      </c>
    </row>
    <row r="1476">
      <c r="X1476" s="5">
        <f>IF(D1476="","",W1476*IF(AND(ISNUMBER(AB1476),AB1476&gt;0,AB1476&lt;1),AB1476*100,AB1476)/100)</f>
        <v/>
      </c>
      <c r="Y1476" s="5">
        <f>IF(D1476="","",AA1476*Z1476/100)</f>
        <v/>
      </c>
      <c r="Z1476" s="5">
        <f>IF(D1476="","",W1476-X1476)</f>
        <v/>
      </c>
      <c r="AC1476" s="5">
        <f>IF(D1476="","",Z1476-Y1476)</f>
        <v/>
      </c>
      <c r="AD1476">
        <f>IF(D1476="","",N(AD1475)+IF(MATCH(D1476,$D$2:$D$2501,0)=ROW()-1,1,0))</f>
        <v/>
      </c>
    </row>
    <row r="1477">
      <c r="X1477" s="5">
        <f>IF(D1477="","",W1477*IF(AND(ISNUMBER(AB1477),AB1477&gt;0,AB1477&lt;1),AB1477*100,AB1477)/100)</f>
        <v/>
      </c>
      <c r="Y1477" s="5">
        <f>IF(D1477="","",AA1477*Z1477/100)</f>
        <v/>
      </c>
      <c r="Z1477" s="5">
        <f>IF(D1477="","",W1477-X1477)</f>
        <v/>
      </c>
      <c r="AC1477" s="5">
        <f>IF(D1477="","",Z1477-Y1477)</f>
        <v/>
      </c>
      <c r="AD1477">
        <f>IF(D1477="","",N(AD1476)+IF(MATCH(D1477,$D$2:$D$2501,0)=ROW()-1,1,0))</f>
        <v/>
      </c>
    </row>
    <row r="1478">
      <c r="X1478" s="5">
        <f>IF(D1478="","",W1478*IF(AND(ISNUMBER(AB1478),AB1478&gt;0,AB1478&lt;1),AB1478*100,AB1478)/100)</f>
        <v/>
      </c>
      <c r="Y1478" s="5">
        <f>IF(D1478="","",AA1478*Z1478/100)</f>
        <v/>
      </c>
      <c r="Z1478" s="5">
        <f>IF(D1478="","",W1478-X1478)</f>
        <v/>
      </c>
      <c r="AC1478" s="5">
        <f>IF(D1478="","",Z1478-Y1478)</f>
        <v/>
      </c>
      <c r="AD1478">
        <f>IF(D1478="","",N(AD1477)+IF(MATCH(D1478,$D$2:$D$2501,0)=ROW()-1,1,0))</f>
        <v/>
      </c>
    </row>
    <row r="1479">
      <c r="X1479" s="5">
        <f>IF(D1479="","",W1479*IF(AND(ISNUMBER(AB1479),AB1479&gt;0,AB1479&lt;1),AB1479*100,AB1479)/100)</f>
        <v/>
      </c>
      <c r="Y1479" s="5">
        <f>IF(D1479="","",AA1479*Z1479/100)</f>
        <v/>
      </c>
      <c r="Z1479" s="5">
        <f>IF(D1479="","",W1479-X1479)</f>
        <v/>
      </c>
      <c r="AC1479" s="5">
        <f>IF(D1479="","",Z1479-Y1479)</f>
        <v/>
      </c>
      <c r="AD1479">
        <f>IF(D1479="","",N(AD1478)+IF(MATCH(D1479,$D$2:$D$2501,0)=ROW()-1,1,0))</f>
        <v/>
      </c>
    </row>
    <row r="1480">
      <c r="X1480" s="5">
        <f>IF(D1480="","",W1480*IF(AND(ISNUMBER(AB1480),AB1480&gt;0,AB1480&lt;1),AB1480*100,AB1480)/100)</f>
        <v/>
      </c>
      <c r="Y1480" s="5">
        <f>IF(D1480="","",AA1480*Z1480/100)</f>
        <v/>
      </c>
      <c r="Z1480" s="5">
        <f>IF(D1480="","",W1480-X1480)</f>
        <v/>
      </c>
      <c r="AC1480" s="5">
        <f>IF(D1480="","",Z1480-Y1480)</f>
        <v/>
      </c>
      <c r="AD1480">
        <f>IF(D1480="","",N(AD1479)+IF(MATCH(D1480,$D$2:$D$2501,0)=ROW()-1,1,0))</f>
        <v/>
      </c>
    </row>
    <row r="1481">
      <c r="X1481" s="5">
        <f>IF(D1481="","",W1481*IF(AND(ISNUMBER(AB1481),AB1481&gt;0,AB1481&lt;1),AB1481*100,AB1481)/100)</f>
        <v/>
      </c>
      <c r="Y1481" s="5">
        <f>IF(D1481="","",AA1481*Z1481/100)</f>
        <v/>
      </c>
      <c r="Z1481" s="5">
        <f>IF(D1481="","",W1481-X1481)</f>
        <v/>
      </c>
      <c r="AC1481" s="5">
        <f>IF(D1481="","",Z1481-Y1481)</f>
        <v/>
      </c>
      <c r="AD1481">
        <f>IF(D1481="","",N(AD1480)+IF(MATCH(D1481,$D$2:$D$2501,0)=ROW()-1,1,0))</f>
        <v/>
      </c>
    </row>
    <row r="1482">
      <c r="X1482" s="5">
        <f>IF(D1482="","",W1482*IF(AND(ISNUMBER(AB1482),AB1482&gt;0,AB1482&lt;1),AB1482*100,AB1482)/100)</f>
        <v/>
      </c>
      <c r="Y1482" s="5">
        <f>IF(D1482="","",AA1482*Z1482/100)</f>
        <v/>
      </c>
      <c r="Z1482" s="5">
        <f>IF(D1482="","",W1482-X1482)</f>
        <v/>
      </c>
      <c r="AC1482" s="5">
        <f>IF(D1482="","",Z1482-Y1482)</f>
        <v/>
      </c>
      <c r="AD1482">
        <f>IF(D1482="","",N(AD1481)+IF(MATCH(D1482,$D$2:$D$2501,0)=ROW()-1,1,0))</f>
        <v/>
      </c>
    </row>
    <row r="1483">
      <c r="X1483" s="5">
        <f>IF(D1483="","",W1483*IF(AND(ISNUMBER(AB1483),AB1483&gt;0,AB1483&lt;1),AB1483*100,AB1483)/100)</f>
        <v/>
      </c>
      <c r="Y1483" s="5">
        <f>IF(D1483="","",AA1483*Z1483/100)</f>
        <v/>
      </c>
      <c r="Z1483" s="5">
        <f>IF(D1483="","",W1483-X1483)</f>
        <v/>
      </c>
      <c r="AC1483" s="5">
        <f>IF(D1483="","",Z1483-Y1483)</f>
        <v/>
      </c>
      <c r="AD1483">
        <f>IF(D1483="","",N(AD1482)+IF(MATCH(D1483,$D$2:$D$2501,0)=ROW()-1,1,0))</f>
        <v/>
      </c>
    </row>
    <row r="1484">
      <c r="X1484" s="5">
        <f>IF(D1484="","",W1484*IF(AND(ISNUMBER(AB1484),AB1484&gt;0,AB1484&lt;1),AB1484*100,AB1484)/100)</f>
        <v/>
      </c>
      <c r="Y1484" s="5">
        <f>IF(D1484="","",AA1484*Z1484/100)</f>
        <v/>
      </c>
      <c r="Z1484" s="5">
        <f>IF(D1484="","",W1484-X1484)</f>
        <v/>
      </c>
      <c r="AC1484" s="5">
        <f>IF(D1484="","",Z1484-Y1484)</f>
        <v/>
      </c>
      <c r="AD1484">
        <f>IF(D1484="","",N(AD1483)+IF(MATCH(D1484,$D$2:$D$2501,0)=ROW()-1,1,0))</f>
        <v/>
      </c>
    </row>
    <row r="1485">
      <c r="X1485" s="5">
        <f>IF(D1485="","",W1485*IF(AND(ISNUMBER(AB1485),AB1485&gt;0,AB1485&lt;1),AB1485*100,AB1485)/100)</f>
        <v/>
      </c>
      <c r="Y1485" s="5">
        <f>IF(D1485="","",AA1485*Z1485/100)</f>
        <v/>
      </c>
      <c r="Z1485" s="5">
        <f>IF(D1485="","",W1485-X1485)</f>
        <v/>
      </c>
      <c r="AC1485" s="5">
        <f>IF(D1485="","",Z1485-Y1485)</f>
        <v/>
      </c>
      <c r="AD1485">
        <f>IF(D1485="","",N(AD1484)+IF(MATCH(D1485,$D$2:$D$2501,0)=ROW()-1,1,0))</f>
        <v/>
      </c>
    </row>
    <row r="1486">
      <c r="X1486" s="5">
        <f>IF(D1486="","",W1486*IF(AND(ISNUMBER(AB1486),AB1486&gt;0,AB1486&lt;1),AB1486*100,AB1486)/100)</f>
        <v/>
      </c>
      <c r="Y1486" s="5">
        <f>IF(D1486="","",AA1486*Z1486/100)</f>
        <v/>
      </c>
      <c r="Z1486" s="5">
        <f>IF(D1486="","",W1486-X1486)</f>
        <v/>
      </c>
      <c r="AC1486" s="5">
        <f>IF(D1486="","",Z1486-Y1486)</f>
        <v/>
      </c>
      <c r="AD1486">
        <f>IF(D1486="","",N(AD1485)+IF(MATCH(D1486,$D$2:$D$2501,0)=ROW()-1,1,0))</f>
        <v/>
      </c>
    </row>
    <row r="1487">
      <c r="X1487" s="5">
        <f>IF(D1487="","",W1487*IF(AND(ISNUMBER(AB1487),AB1487&gt;0,AB1487&lt;1),AB1487*100,AB1487)/100)</f>
        <v/>
      </c>
      <c r="Y1487" s="5">
        <f>IF(D1487="","",AA1487*Z1487/100)</f>
        <v/>
      </c>
      <c r="Z1487" s="5">
        <f>IF(D1487="","",W1487-X1487)</f>
        <v/>
      </c>
      <c r="AC1487" s="5">
        <f>IF(D1487="","",Z1487-Y1487)</f>
        <v/>
      </c>
      <c r="AD1487">
        <f>IF(D1487="","",N(AD1486)+IF(MATCH(D1487,$D$2:$D$2501,0)=ROW()-1,1,0))</f>
        <v/>
      </c>
    </row>
    <row r="1488">
      <c r="X1488" s="5">
        <f>IF(D1488="","",W1488*IF(AND(ISNUMBER(AB1488),AB1488&gt;0,AB1488&lt;1),AB1488*100,AB1488)/100)</f>
        <v/>
      </c>
      <c r="Y1488" s="5">
        <f>IF(D1488="","",AA1488*Z1488/100)</f>
        <v/>
      </c>
      <c r="Z1488" s="5">
        <f>IF(D1488="","",W1488-X1488)</f>
        <v/>
      </c>
      <c r="AC1488" s="5">
        <f>IF(D1488="","",Z1488-Y1488)</f>
        <v/>
      </c>
      <c r="AD1488">
        <f>IF(D1488="","",N(AD1487)+IF(MATCH(D1488,$D$2:$D$2501,0)=ROW()-1,1,0))</f>
        <v/>
      </c>
    </row>
    <row r="1489">
      <c r="X1489" s="5">
        <f>IF(D1489="","",W1489*IF(AND(ISNUMBER(AB1489),AB1489&gt;0,AB1489&lt;1),AB1489*100,AB1489)/100)</f>
        <v/>
      </c>
      <c r="Y1489" s="5">
        <f>IF(D1489="","",AA1489*Z1489/100)</f>
        <v/>
      </c>
      <c r="Z1489" s="5">
        <f>IF(D1489="","",W1489-X1489)</f>
        <v/>
      </c>
      <c r="AC1489" s="5">
        <f>IF(D1489="","",Z1489-Y1489)</f>
        <v/>
      </c>
      <c r="AD1489">
        <f>IF(D1489="","",N(AD1488)+IF(MATCH(D1489,$D$2:$D$2501,0)=ROW()-1,1,0))</f>
        <v/>
      </c>
    </row>
    <row r="1490">
      <c r="X1490" s="5">
        <f>IF(D1490="","",W1490*IF(AND(ISNUMBER(AB1490),AB1490&gt;0,AB1490&lt;1),AB1490*100,AB1490)/100)</f>
        <v/>
      </c>
      <c r="Y1490" s="5">
        <f>IF(D1490="","",AA1490*Z1490/100)</f>
        <v/>
      </c>
      <c r="Z1490" s="5">
        <f>IF(D1490="","",W1490-X1490)</f>
        <v/>
      </c>
      <c r="AC1490" s="5">
        <f>IF(D1490="","",Z1490-Y1490)</f>
        <v/>
      </c>
      <c r="AD1490">
        <f>IF(D1490="","",N(AD1489)+IF(MATCH(D1490,$D$2:$D$2501,0)=ROW()-1,1,0))</f>
        <v/>
      </c>
    </row>
    <row r="1491">
      <c r="X1491" s="5">
        <f>IF(D1491="","",W1491*IF(AND(ISNUMBER(AB1491),AB1491&gt;0,AB1491&lt;1),AB1491*100,AB1491)/100)</f>
        <v/>
      </c>
      <c r="Y1491" s="5">
        <f>IF(D1491="","",AA1491*Z1491/100)</f>
        <v/>
      </c>
      <c r="Z1491" s="5">
        <f>IF(D1491="","",W1491-X1491)</f>
        <v/>
      </c>
      <c r="AC1491" s="5">
        <f>IF(D1491="","",Z1491-Y1491)</f>
        <v/>
      </c>
      <c r="AD1491">
        <f>IF(D1491="","",N(AD1490)+IF(MATCH(D1491,$D$2:$D$2501,0)=ROW()-1,1,0))</f>
        <v/>
      </c>
    </row>
    <row r="1492">
      <c r="X1492" s="5">
        <f>IF(D1492="","",W1492*IF(AND(ISNUMBER(AB1492),AB1492&gt;0,AB1492&lt;1),AB1492*100,AB1492)/100)</f>
        <v/>
      </c>
      <c r="Y1492" s="5">
        <f>IF(D1492="","",AA1492*Z1492/100)</f>
        <v/>
      </c>
      <c r="Z1492" s="5">
        <f>IF(D1492="","",W1492-X1492)</f>
        <v/>
      </c>
      <c r="AC1492" s="5">
        <f>IF(D1492="","",Z1492-Y1492)</f>
        <v/>
      </c>
      <c r="AD1492">
        <f>IF(D1492="","",N(AD1491)+IF(MATCH(D1492,$D$2:$D$2501,0)=ROW()-1,1,0))</f>
        <v/>
      </c>
    </row>
    <row r="1493">
      <c r="X1493" s="5">
        <f>IF(D1493="","",W1493*IF(AND(ISNUMBER(AB1493),AB1493&gt;0,AB1493&lt;1),AB1493*100,AB1493)/100)</f>
        <v/>
      </c>
      <c r="Y1493" s="5">
        <f>IF(D1493="","",AA1493*Z1493/100)</f>
        <v/>
      </c>
      <c r="Z1493" s="5">
        <f>IF(D1493="","",W1493-X1493)</f>
        <v/>
      </c>
      <c r="AC1493" s="5">
        <f>IF(D1493="","",Z1493-Y1493)</f>
        <v/>
      </c>
      <c r="AD1493">
        <f>IF(D1493="","",N(AD1492)+IF(MATCH(D1493,$D$2:$D$2501,0)=ROW()-1,1,0))</f>
        <v/>
      </c>
    </row>
    <row r="1494">
      <c r="X1494" s="5">
        <f>IF(D1494="","",W1494*IF(AND(ISNUMBER(AB1494),AB1494&gt;0,AB1494&lt;1),AB1494*100,AB1494)/100)</f>
        <v/>
      </c>
      <c r="Y1494" s="5">
        <f>IF(D1494="","",AA1494*Z1494/100)</f>
        <v/>
      </c>
      <c r="Z1494" s="5">
        <f>IF(D1494="","",W1494-X1494)</f>
        <v/>
      </c>
      <c r="AC1494" s="5">
        <f>IF(D1494="","",Z1494-Y1494)</f>
        <v/>
      </c>
      <c r="AD1494">
        <f>IF(D1494="","",N(AD1493)+IF(MATCH(D1494,$D$2:$D$2501,0)=ROW()-1,1,0))</f>
        <v/>
      </c>
    </row>
    <row r="1495">
      <c r="X1495" s="5">
        <f>IF(D1495="","",W1495*IF(AND(ISNUMBER(AB1495),AB1495&gt;0,AB1495&lt;1),AB1495*100,AB1495)/100)</f>
        <v/>
      </c>
      <c r="Y1495" s="5">
        <f>IF(D1495="","",AA1495*Z1495/100)</f>
        <v/>
      </c>
      <c r="Z1495" s="5">
        <f>IF(D1495="","",W1495-X1495)</f>
        <v/>
      </c>
      <c r="AC1495" s="5">
        <f>IF(D1495="","",Z1495-Y1495)</f>
        <v/>
      </c>
      <c r="AD1495">
        <f>IF(D1495="","",N(AD1494)+IF(MATCH(D1495,$D$2:$D$2501,0)=ROW()-1,1,0))</f>
        <v/>
      </c>
    </row>
    <row r="1496">
      <c r="X1496" s="5">
        <f>IF(D1496="","",W1496*IF(AND(ISNUMBER(AB1496),AB1496&gt;0,AB1496&lt;1),AB1496*100,AB1496)/100)</f>
        <v/>
      </c>
      <c r="Y1496" s="5">
        <f>IF(D1496="","",AA1496*Z1496/100)</f>
        <v/>
      </c>
      <c r="Z1496" s="5">
        <f>IF(D1496="","",W1496-X1496)</f>
        <v/>
      </c>
      <c r="AC1496" s="5">
        <f>IF(D1496="","",Z1496-Y1496)</f>
        <v/>
      </c>
      <c r="AD1496">
        <f>IF(D1496="","",N(AD1495)+IF(MATCH(D1496,$D$2:$D$2501,0)=ROW()-1,1,0))</f>
        <v/>
      </c>
    </row>
    <row r="1497">
      <c r="X1497" s="5">
        <f>IF(D1497="","",W1497*IF(AND(ISNUMBER(AB1497),AB1497&gt;0,AB1497&lt;1),AB1497*100,AB1497)/100)</f>
        <v/>
      </c>
      <c r="Y1497" s="5">
        <f>IF(D1497="","",AA1497*Z1497/100)</f>
        <v/>
      </c>
      <c r="Z1497" s="5">
        <f>IF(D1497="","",W1497-X1497)</f>
        <v/>
      </c>
      <c r="AC1497" s="5">
        <f>IF(D1497="","",Z1497-Y1497)</f>
        <v/>
      </c>
      <c r="AD1497">
        <f>IF(D1497="","",N(AD1496)+IF(MATCH(D1497,$D$2:$D$2501,0)=ROW()-1,1,0))</f>
        <v/>
      </c>
    </row>
    <row r="1498">
      <c r="X1498" s="5">
        <f>IF(D1498="","",W1498*IF(AND(ISNUMBER(AB1498),AB1498&gt;0,AB1498&lt;1),AB1498*100,AB1498)/100)</f>
        <v/>
      </c>
      <c r="Y1498" s="5">
        <f>IF(D1498="","",AA1498*Z1498/100)</f>
        <v/>
      </c>
      <c r="Z1498" s="5">
        <f>IF(D1498="","",W1498-X1498)</f>
        <v/>
      </c>
      <c r="AC1498" s="5">
        <f>IF(D1498="","",Z1498-Y1498)</f>
        <v/>
      </c>
      <c r="AD1498">
        <f>IF(D1498="","",N(AD1497)+IF(MATCH(D1498,$D$2:$D$2501,0)=ROW()-1,1,0))</f>
        <v/>
      </c>
    </row>
    <row r="1499">
      <c r="X1499" s="5">
        <f>IF(D1499="","",W1499*IF(AND(ISNUMBER(AB1499),AB1499&gt;0,AB1499&lt;1),AB1499*100,AB1499)/100)</f>
        <v/>
      </c>
      <c r="Y1499" s="5">
        <f>IF(D1499="","",AA1499*Z1499/100)</f>
        <v/>
      </c>
      <c r="Z1499" s="5">
        <f>IF(D1499="","",W1499-X1499)</f>
        <v/>
      </c>
      <c r="AC1499" s="5">
        <f>IF(D1499="","",Z1499-Y1499)</f>
        <v/>
      </c>
      <c r="AD1499">
        <f>IF(D1499="","",N(AD1498)+IF(MATCH(D1499,$D$2:$D$2501,0)=ROW()-1,1,0))</f>
        <v/>
      </c>
    </row>
    <row r="1500">
      <c r="X1500" s="5">
        <f>IF(D1500="","",W1500*IF(AND(ISNUMBER(AB1500),AB1500&gt;0,AB1500&lt;1),AB1500*100,AB1500)/100)</f>
        <v/>
      </c>
      <c r="Y1500" s="5">
        <f>IF(D1500="","",AA1500*Z1500/100)</f>
        <v/>
      </c>
      <c r="Z1500" s="5">
        <f>IF(D1500="","",W1500-X1500)</f>
        <v/>
      </c>
      <c r="AC1500" s="5">
        <f>IF(D1500="","",Z1500-Y1500)</f>
        <v/>
      </c>
      <c r="AD1500">
        <f>IF(D1500="","",N(AD1499)+IF(MATCH(D1500,$D$2:$D$2501,0)=ROW()-1,1,0))</f>
        <v/>
      </c>
    </row>
    <row r="1501">
      <c r="X1501" s="5">
        <f>IF(D1501="","",W1501*IF(AND(ISNUMBER(AB1501),AB1501&gt;0,AB1501&lt;1),AB1501*100,AB1501)/100)</f>
        <v/>
      </c>
      <c r="Y1501" s="5">
        <f>IF(D1501="","",AA1501*Z1501/100)</f>
        <v/>
      </c>
      <c r="Z1501" s="5">
        <f>IF(D1501="","",W1501-X1501)</f>
        <v/>
      </c>
      <c r="AC1501" s="5">
        <f>IF(D1501="","",Z1501-Y1501)</f>
        <v/>
      </c>
      <c r="AD1501">
        <f>IF(D1501="","",N(AD1500)+IF(MATCH(D1501,$D$2:$D$2501,0)=ROW()-1,1,0))</f>
        <v/>
      </c>
    </row>
    <row r="1502">
      <c r="X1502" s="5">
        <f>IF(D1502="","",W1502*IF(AND(ISNUMBER(AB1502),AB1502&gt;0,AB1502&lt;1),AB1502*100,AB1502)/100)</f>
        <v/>
      </c>
      <c r="Y1502" s="5">
        <f>IF(D1502="","",AA1502*Z1502/100)</f>
        <v/>
      </c>
      <c r="Z1502" s="5">
        <f>IF(D1502="","",W1502-X1502)</f>
        <v/>
      </c>
      <c r="AC1502" s="5">
        <f>IF(D1502="","",Z1502-Y1502)</f>
        <v/>
      </c>
      <c r="AD1502">
        <f>IF(D1502="","",N(AD1501)+IF(MATCH(D1502,$D$2:$D$2501,0)=ROW()-1,1,0))</f>
        <v/>
      </c>
    </row>
    <row r="1503">
      <c r="X1503" s="5">
        <f>IF(D1503="","",W1503*IF(AND(ISNUMBER(AB1503),AB1503&gt;0,AB1503&lt;1),AB1503*100,AB1503)/100)</f>
        <v/>
      </c>
      <c r="Y1503" s="5">
        <f>IF(D1503="","",AA1503*Z1503/100)</f>
        <v/>
      </c>
      <c r="Z1503" s="5">
        <f>IF(D1503="","",W1503-X1503)</f>
        <v/>
      </c>
      <c r="AC1503" s="5">
        <f>IF(D1503="","",Z1503-Y1503)</f>
        <v/>
      </c>
      <c r="AD1503">
        <f>IF(D1503="","",N(AD1502)+IF(MATCH(D1503,$D$2:$D$2501,0)=ROW()-1,1,0))</f>
        <v/>
      </c>
    </row>
    <row r="1504">
      <c r="X1504" s="5">
        <f>IF(D1504="","",W1504*IF(AND(ISNUMBER(AB1504),AB1504&gt;0,AB1504&lt;1),AB1504*100,AB1504)/100)</f>
        <v/>
      </c>
      <c r="Y1504" s="5">
        <f>IF(D1504="","",AA1504*Z1504/100)</f>
        <v/>
      </c>
      <c r="Z1504" s="5">
        <f>IF(D1504="","",W1504-X1504)</f>
        <v/>
      </c>
      <c r="AC1504" s="5">
        <f>IF(D1504="","",Z1504-Y1504)</f>
        <v/>
      </c>
      <c r="AD1504">
        <f>IF(D1504="","",N(AD1503)+IF(MATCH(D1504,$D$2:$D$2501,0)=ROW()-1,1,0))</f>
        <v/>
      </c>
    </row>
    <row r="1505">
      <c r="X1505" s="5">
        <f>IF(D1505="","",W1505*IF(AND(ISNUMBER(AB1505),AB1505&gt;0,AB1505&lt;1),AB1505*100,AB1505)/100)</f>
        <v/>
      </c>
      <c r="Y1505" s="5">
        <f>IF(D1505="","",AA1505*Z1505/100)</f>
        <v/>
      </c>
      <c r="Z1505" s="5">
        <f>IF(D1505="","",W1505-X1505)</f>
        <v/>
      </c>
      <c r="AC1505" s="5">
        <f>IF(D1505="","",Z1505-Y1505)</f>
        <v/>
      </c>
      <c r="AD1505">
        <f>IF(D1505="","",N(AD1504)+IF(MATCH(D1505,$D$2:$D$2501,0)=ROW()-1,1,0))</f>
        <v/>
      </c>
    </row>
    <row r="1506">
      <c r="X1506" s="5">
        <f>IF(D1506="","",W1506*IF(AND(ISNUMBER(AB1506),AB1506&gt;0,AB1506&lt;1),AB1506*100,AB1506)/100)</f>
        <v/>
      </c>
      <c r="Y1506" s="5">
        <f>IF(D1506="","",AA1506*Z1506/100)</f>
        <v/>
      </c>
      <c r="Z1506" s="5">
        <f>IF(D1506="","",W1506-X1506)</f>
        <v/>
      </c>
      <c r="AC1506" s="5">
        <f>IF(D1506="","",Z1506-Y1506)</f>
        <v/>
      </c>
      <c r="AD1506">
        <f>IF(D1506="","",N(AD1505)+IF(MATCH(D1506,$D$2:$D$2501,0)=ROW()-1,1,0))</f>
        <v/>
      </c>
    </row>
    <row r="1507">
      <c r="X1507" s="5">
        <f>IF(D1507="","",W1507*IF(AND(ISNUMBER(AB1507),AB1507&gt;0,AB1507&lt;1),AB1507*100,AB1507)/100)</f>
        <v/>
      </c>
      <c r="Y1507" s="5">
        <f>IF(D1507="","",AA1507*Z1507/100)</f>
        <v/>
      </c>
      <c r="Z1507" s="5">
        <f>IF(D1507="","",W1507-X1507)</f>
        <v/>
      </c>
      <c r="AC1507" s="5">
        <f>IF(D1507="","",Z1507-Y1507)</f>
        <v/>
      </c>
      <c r="AD1507">
        <f>IF(D1507="","",N(AD1506)+IF(MATCH(D1507,$D$2:$D$2501,0)=ROW()-1,1,0))</f>
        <v/>
      </c>
    </row>
    <row r="1508">
      <c r="X1508" s="5">
        <f>IF(D1508="","",W1508*IF(AND(ISNUMBER(AB1508),AB1508&gt;0,AB1508&lt;1),AB1508*100,AB1508)/100)</f>
        <v/>
      </c>
      <c r="Y1508" s="5">
        <f>IF(D1508="","",AA1508*Z1508/100)</f>
        <v/>
      </c>
      <c r="Z1508" s="5">
        <f>IF(D1508="","",W1508-X1508)</f>
        <v/>
      </c>
      <c r="AC1508" s="5">
        <f>IF(D1508="","",Z1508-Y1508)</f>
        <v/>
      </c>
      <c r="AD1508">
        <f>IF(D1508="","",N(AD1507)+IF(MATCH(D1508,$D$2:$D$2501,0)=ROW()-1,1,0))</f>
        <v/>
      </c>
    </row>
    <row r="1509">
      <c r="X1509" s="5">
        <f>IF(D1509="","",W1509*IF(AND(ISNUMBER(AB1509),AB1509&gt;0,AB1509&lt;1),AB1509*100,AB1509)/100)</f>
        <v/>
      </c>
      <c r="Y1509" s="5">
        <f>IF(D1509="","",AA1509*Z1509/100)</f>
        <v/>
      </c>
      <c r="Z1509" s="5">
        <f>IF(D1509="","",W1509-X1509)</f>
        <v/>
      </c>
      <c r="AC1509" s="5">
        <f>IF(D1509="","",Z1509-Y1509)</f>
        <v/>
      </c>
      <c r="AD1509">
        <f>IF(D1509="","",N(AD1508)+IF(MATCH(D1509,$D$2:$D$2501,0)=ROW()-1,1,0))</f>
        <v/>
      </c>
    </row>
    <row r="1510">
      <c r="X1510" s="5">
        <f>IF(D1510="","",W1510*IF(AND(ISNUMBER(AB1510),AB1510&gt;0,AB1510&lt;1),AB1510*100,AB1510)/100)</f>
        <v/>
      </c>
      <c r="Y1510" s="5">
        <f>IF(D1510="","",AA1510*Z1510/100)</f>
        <v/>
      </c>
      <c r="Z1510" s="5">
        <f>IF(D1510="","",W1510-X1510)</f>
        <v/>
      </c>
      <c r="AC1510" s="5">
        <f>IF(D1510="","",Z1510-Y1510)</f>
        <v/>
      </c>
      <c r="AD1510">
        <f>IF(D1510="","",N(AD1509)+IF(MATCH(D1510,$D$2:$D$2501,0)=ROW()-1,1,0))</f>
        <v/>
      </c>
    </row>
    <row r="1511">
      <c r="X1511" s="5">
        <f>IF(D1511="","",W1511*IF(AND(ISNUMBER(AB1511),AB1511&gt;0,AB1511&lt;1),AB1511*100,AB1511)/100)</f>
        <v/>
      </c>
      <c r="Y1511" s="5">
        <f>IF(D1511="","",AA1511*Z1511/100)</f>
        <v/>
      </c>
      <c r="Z1511" s="5">
        <f>IF(D1511="","",W1511-X1511)</f>
        <v/>
      </c>
      <c r="AC1511" s="5">
        <f>IF(D1511="","",Z1511-Y1511)</f>
        <v/>
      </c>
      <c r="AD1511">
        <f>IF(D1511="","",N(AD1510)+IF(MATCH(D1511,$D$2:$D$2501,0)=ROW()-1,1,0))</f>
        <v/>
      </c>
    </row>
    <row r="1512">
      <c r="X1512" s="5">
        <f>IF(D1512="","",W1512*IF(AND(ISNUMBER(AB1512),AB1512&gt;0,AB1512&lt;1),AB1512*100,AB1512)/100)</f>
        <v/>
      </c>
      <c r="Y1512" s="5">
        <f>IF(D1512="","",AA1512*Z1512/100)</f>
        <v/>
      </c>
      <c r="Z1512" s="5">
        <f>IF(D1512="","",W1512-X1512)</f>
        <v/>
      </c>
      <c r="AC1512" s="5">
        <f>IF(D1512="","",Z1512-Y1512)</f>
        <v/>
      </c>
      <c r="AD1512">
        <f>IF(D1512="","",N(AD1511)+IF(MATCH(D1512,$D$2:$D$2501,0)=ROW()-1,1,0))</f>
        <v/>
      </c>
    </row>
    <row r="1513">
      <c r="X1513" s="5">
        <f>IF(D1513="","",W1513*IF(AND(ISNUMBER(AB1513),AB1513&gt;0,AB1513&lt;1),AB1513*100,AB1513)/100)</f>
        <v/>
      </c>
      <c r="Y1513" s="5">
        <f>IF(D1513="","",AA1513*Z1513/100)</f>
        <v/>
      </c>
      <c r="Z1513" s="5">
        <f>IF(D1513="","",W1513-X1513)</f>
        <v/>
      </c>
      <c r="AC1513" s="5">
        <f>IF(D1513="","",Z1513-Y1513)</f>
        <v/>
      </c>
      <c r="AD1513">
        <f>IF(D1513="","",N(AD1512)+IF(MATCH(D1513,$D$2:$D$2501,0)=ROW()-1,1,0))</f>
        <v/>
      </c>
    </row>
    <row r="1514">
      <c r="X1514" s="5">
        <f>IF(D1514="","",W1514*IF(AND(ISNUMBER(AB1514),AB1514&gt;0,AB1514&lt;1),AB1514*100,AB1514)/100)</f>
        <v/>
      </c>
      <c r="Y1514" s="5">
        <f>IF(D1514="","",AA1514*Z1514/100)</f>
        <v/>
      </c>
      <c r="Z1514" s="5">
        <f>IF(D1514="","",W1514-X1514)</f>
        <v/>
      </c>
      <c r="AC1514" s="5">
        <f>IF(D1514="","",Z1514-Y1514)</f>
        <v/>
      </c>
      <c r="AD1514">
        <f>IF(D1514="","",N(AD1513)+IF(MATCH(D1514,$D$2:$D$2501,0)=ROW()-1,1,0))</f>
        <v/>
      </c>
    </row>
    <row r="1515">
      <c r="X1515" s="5">
        <f>IF(D1515="","",W1515*IF(AND(ISNUMBER(AB1515),AB1515&gt;0,AB1515&lt;1),AB1515*100,AB1515)/100)</f>
        <v/>
      </c>
      <c r="Y1515" s="5">
        <f>IF(D1515="","",AA1515*Z1515/100)</f>
        <v/>
      </c>
      <c r="Z1515" s="5">
        <f>IF(D1515="","",W1515-X1515)</f>
        <v/>
      </c>
      <c r="AC1515" s="5">
        <f>IF(D1515="","",Z1515-Y1515)</f>
        <v/>
      </c>
      <c r="AD1515">
        <f>IF(D1515="","",N(AD1514)+IF(MATCH(D1515,$D$2:$D$2501,0)=ROW()-1,1,0))</f>
        <v/>
      </c>
    </row>
    <row r="1516">
      <c r="X1516" s="5">
        <f>IF(D1516="","",W1516*IF(AND(ISNUMBER(AB1516),AB1516&gt;0,AB1516&lt;1),AB1516*100,AB1516)/100)</f>
        <v/>
      </c>
      <c r="Y1516" s="5">
        <f>IF(D1516="","",AA1516*Z1516/100)</f>
        <v/>
      </c>
      <c r="Z1516" s="5">
        <f>IF(D1516="","",W1516-X1516)</f>
        <v/>
      </c>
      <c r="AC1516" s="5">
        <f>IF(D1516="","",Z1516-Y1516)</f>
        <v/>
      </c>
      <c r="AD1516">
        <f>IF(D1516="","",N(AD1515)+IF(MATCH(D1516,$D$2:$D$2501,0)=ROW()-1,1,0))</f>
        <v/>
      </c>
    </row>
    <row r="1517">
      <c r="X1517" s="5">
        <f>IF(D1517="","",W1517*IF(AND(ISNUMBER(AB1517),AB1517&gt;0,AB1517&lt;1),AB1517*100,AB1517)/100)</f>
        <v/>
      </c>
      <c r="Y1517" s="5">
        <f>IF(D1517="","",AA1517*Z1517/100)</f>
        <v/>
      </c>
      <c r="Z1517" s="5">
        <f>IF(D1517="","",W1517-X1517)</f>
        <v/>
      </c>
      <c r="AC1517" s="5">
        <f>IF(D1517="","",Z1517-Y1517)</f>
        <v/>
      </c>
      <c r="AD1517">
        <f>IF(D1517="","",N(AD1516)+IF(MATCH(D1517,$D$2:$D$2501,0)=ROW()-1,1,0))</f>
        <v/>
      </c>
    </row>
    <row r="1518">
      <c r="X1518" s="5">
        <f>IF(D1518="","",W1518*IF(AND(ISNUMBER(AB1518),AB1518&gt;0,AB1518&lt;1),AB1518*100,AB1518)/100)</f>
        <v/>
      </c>
      <c r="Y1518" s="5">
        <f>IF(D1518="","",AA1518*Z1518/100)</f>
        <v/>
      </c>
      <c r="Z1518" s="5">
        <f>IF(D1518="","",W1518-X1518)</f>
        <v/>
      </c>
      <c r="AC1518" s="5">
        <f>IF(D1518="","",Z1518-Y1518)</f>
        <v/>
      </c>
      <c r="AD1518">
        <f>IF(D1518="","",N(AD1517)+IF(MATCH(D1518,$D$2:$D$2501,0)=ROW()-1,1,0))</f>
        <v/>
      </c>
    </row>
    <row r="1519">
      <c r="X1519" s="5">
        <f>IF(D1519="","",W1519*IF(AND(ISNUMBER(AB1519),AB1519&gt;0,AB1519&lt;1),AB1519*100,AB1519)/100)</f>
        <v/>
      </c>
      <c r="Y1519" s="5">
        <f>IF(D1519="","",AA1519*Z1519/100)</f>
        <v/>
      </c>
      <c r="Z1519" s="5">
        <f>IF(D1519="","",W1519-X1519)</f>
        <v/>
      </c>
      <c r="AC1519" s="5">
        <f>IF(D1519="","",Z1519-Y1519)</f>
        <v/>
      </c>
      <c r="AD1519">
        <f>IF(D1519="","",N(AD1518)+IF(MATCH(D1519,$D$2:$D$2501,0)=ROW()-1,1,0))</f>
        <v/>
      </c>
    </row>
    <row r="1520">
      <c r="X1520" s="5">
        <f>IF(D1520="","",W1520*IF(AND(ISNUMBER(AB1520),AB1520&gt;0,AB1520&lt;1),AB1520*100,AB1520)/100)</f>
        <v/>
      </c>
      <c r="Y1520" s="5">
        <f>IF(D1520="","",AA1520*Z1520/100)</f>
        <v/>
      </c>
      <c r="Z1520" s="5">
        <f>IF(D1520="","",W1520-X1520)</f>
        <v/>
      </c>
      <c r="AC1520" s="5">
        <f>IF(D1520="","",Z1520-Y1520)</f>
        <v/>
      </c>
      <c r="AD1520">
        <f>IF(D1520="","",N(AD1519)+IF(MATCH(D1520,$D$2:$D$2501,0)=ROW()-1,1,0))</f>
        <v/>
      </c>
    </row>
    <row r="1521">
      <c r="X1521" s="5">
        <f>IF(D1521="","",W1521*IF(AND(ISNUMBER(AB1521),AB1521&gt;0,AB1521&lt;1),AB1521*100,AB1521)/100)</f>
        <v/>
      </c>
      <c r="Y1521" s="5">
        <f>IF(D1521="","",AA1521*Z1521/100)</f>
        <v/>
      </c>
      <c r="Z1521" s="5">
        <f>IF(D1521="","",W1521-X1521)</f>
        <v/>
      </c>
      <c r="AC1521" s="5">
        <f>IF(D1521="","",Z1521-Y1521)</f>
        <v/>
      </c>
      <c r="AD1521">
        <f>IF(D1521="","",N(AD1520)+IF(MATCH(D1521,$D$2:$D$2501,0)=ROW()-1,1,0))</f>
        <v/>
      </c>
    </row>
    <row r="1522">
      <c r="X1522" s="5">
        <f>IF(D1522="","",W1522*IF(AND(ISNUMBER(AB1522),AB1522&gt;0,AB1522&lt;1),AB1522*100,AB1522)/100)</f>
        <v/>
      </c>
      <c r="Y1522" s="5">
        <f>IF(D1522="","",AA1522*Z1522/100)</f>
        <v/>
      </c>
      <c r="Z1522" s="5">
        <f>IF(D1522="","",W1522-X1522)</f>
        <v/>
      </c>
      <c r="AC1522" s="5">
        <f>IF(D1522="","",Z1522-Y1522)</f>
        <v/>
      </c>
      <c r="AD1522">
        <f>IF(D1522="","",N(AD1521)+IF(MATCH(D1522,$D$2:$D$2501,0)=ROW()-1,1,0))</f>
        <v/>
      </c>
    </row>
    <row r="1523">
      <c r="X1523" s="5">
        <f>IF(D1523="","",W1523*IF(AND(ISNUMBER(AB1523),AB1523&gt;0,AB1523&lt;1),AB1523*100,AB1523)/100)</f>
        <v/>
      </c>
      <c r="Y1523" s="5">
        <f>IF(D1523="","",AA1523*Z1523/100)</f>
        <v/>
      </c>
      <c r="Z1523" s="5">
        <f>IF(D1523="","",W1523-X1523)</f>
        <v/>
      </c>
      <c r="AC1523" s="5">
        <f>IF(D1523="","",Z1523-Y1523)</f>
        <v/>
      </c>
      <c r="AD1523">
        <f>IF(D1523="","",N(AD1522)+IF(MATCH(D1523,$D$2:$D$2501,0)=ROW()-1,1,0))</f>
        <v/>
      </c>
    </row>
    <row r="1524">
      <c r="X1524" s="5">
        <f>IF(D1524="","",W1524*IF(AND(ISNUMBER(AB1524),AB1524&gt;0,AB1524&lt;1),AB1524*100,AB1524)/100)</f>
        <v/>
      </c>
      <c r="Y1524" s="5">
        <f>IF(D1524="","",AA1524*Z1524/100)</f>
        <v/>
      </c>
      <c r="Z1524" s="5">
        <f>IF(D1524="","",W1524-X1524)</f>
        <v/>
      </c>
      <c r="AC1524" s="5">
        <f>IF(D1524="","",Z1524-Y1524)</f>
        <v/>
      </c>
      <c r="AD1524">
        <f>IF(D1524="","",N(AD1523)+IF(MATCH(D1524,$D$2:$D$2501,0)=ROW()-1,1,0))</f>
        <v/>
      </c>
    </row>
    <row r="1525">
      <c r="X1525" s="5">
        <f>IF(D1525="","",W1525*IF(AND(ISNUMBER(AB1525),AB1525&gt;0,AB1525&lt;1),AB1525*100,AB1525)/100)</f>
        <v/>
      </c>
      <c r="Y1525" s="5">
        <f>IF(D1525="","",AA1525*Z1525/100)</f>
        <v/>
      </c>
      <c r="Z1525" s="5">
        <f>IF(D1525="","",W1525-X1525)</f>
        <v/>
      </c>
      <c r="AC1525" s="5">
        <f>IF(D1525="","",Z1525-Y1525)</f>
        <v/>
      </c>
      <c r="AD1525">
        <f>IF(D1525="","",N(AD1524)+IF(MATCH(D1525,$D$2:$D$2501,0)=ROW()-1,1,0))</f>
        <v/>
      </c>
    </row>
    <row r="1526">
      <c r="X1526" s="5">
        <f>IF(D1526="","",W1526*IF(AND(ISNUMBER(AB1526),AB1526&gt;0,AB1526&lt;1),AB1526*100,AB1526)/100)</f>
        <v/>
      </c>
      <c r="Y1526" s="5">
        <f>IF(D1526="","",AA1526*Z1526/100)</f>
        <v/>
      </c>
      <c r="Z1526" s="5">
        <f>IF(D1526="","",W1526-X1526)</f>
        <v/>
      </c>
      <c r="AC1526" s="5">
        <f>IF(D1526="","",Z1526-Y1526)</f>
        <v/>
      </c>
      <c r="AD1526">
        <f>IF(D1526="","",N(AD1525)+IF(MATCH(D1526,$D$2:$D$2501,0)=ROW()-1,1,0))</f>
        <v/>
      </c>
    </row>
    <row r="1527">
      <c r="X1527" s="5">
        <f>IF(D1527="","",W1527*IF(AND(ISNUMBER(AB1527),AB1527&gt;0,AB1527&lt;1),AB1527*100,AB1527)/100)</f>
        <v/>
      </c>
      <c r="Y1527" s="5">
        <f>IF(D1527="","",AA1527*Z1527/100)</f>
        <v/>
      </c>
      <c r="Z1527" s="5">
        <f>IF(D1527="","",W1527-X1527)</f>
        <v/>
      </c>
      <c r="AC1527" s="5">
        <f>IF(D1527="","",Z1527-Y1527)</f>
        <v/>
      </c>
      <c r="AD1527">
        <f>IF(D1527="","",N(AD1526)+IF(MATCH(D1527,$D$2:$D$2501,0)=ROW()-1,1,0))</f>
        <v/>
      </c>
    </row>
    <row r="1528">
      <c r="X1528" s="5">
        <f>IF(D1528="","",W1528*IF(AND(ISNUMBER(AB1528),AB1528&gt;0,AB1528&lt;1),AB1528*100,AB1528)/100)</f>
        <v/>
      </c>
      <c r="Y1528" s="5">
        <f>IF(D1528="","",AA1528*Z1528/100)</f>
        <v/>
      </c>
      <c r="Z1528" s="5">
        <f>IF(D1528="","",W1528-X1528)</f>
        <v/>
      </c>
      <c r="AC1528" s="5">
        <f>IF(D1528="","",Z1528-Y1528)</f>
        <v/>
      </c>
      <c r="AD1528">
        <f>IF(D1528="","",N(AD1527)+IF(MATCH(D1528,$D$2:$D$2501,0)=ROW()-1,1,0))</f>
        <v/>
      </c>
    </row>
    <row r="1529">
      <c r="X1529" s="5">
        <f>IF(D1529="","",W1529*IF(AND(ISNUMBER(AB1529),AB1529&gt;0,AB1529&lt;1),AB1529*100,AB1529)/100)</f>
        <v/>
      </c>
      <c r="Y1529" s="5">
        <f>IF(D1529="","",AA1529*Z1529/100)</f>
        <v/>
      </c>
      <c r="Z1529" s="5">
        <f>IF(D1529="","",W1529-X1529)</f>
        <v/>
      </c>
      <c r="AC1529" s="5">
        <f>IF(D1529="","",Z1529-Y1529)</f>
        <v/>
      </c>
      <c r="AD1529">
        <f>IF(D1529="","",N(AD1528)+IF(MATCH(D1529,$D$2:$D$2501,0)=ROW()-1,1,0))</f>
        <v/>
      </c>
    </row>
    <row r="1530">
      <c r="X1530" s="5">
        <f>IF(D1530="","",W1530*IF(AND(ISNUMBER(AB1530),AB1530&gt;0,AB1530&lt;1),AB1530*100,AB1530)/100)</f>
        <v/>
      </c>
      <c r="Y1530" s="5">
        <f>IF(D1530="","",AA1530*Z1530/100)</f>
        <v/>
      </c>
      <c r="Z1530" s="5">
        <f>IF(D1530="","",W1530-X1530)</f>
        <v/>
      </c>
      <c r="AC1530" s="5">
        <f>IF(D1530="","",Z1530-Y1530)</f>
        <v/>
      </c>
      <c r="AD1530">
        <f>IF(D1530="","",N(AD1529)+IF(MATCH(D1530,$D$2:$D$2501,0)=ROW()-1,1,0))</f>
        <v/>
      </c>
    </row>
    <row r="1531">
      <c r="X1531" s="5">
        <f>IF(D1531="","",W1531*IF(AND(ISNUMBER(AB1531),AB1531&gt;0,AB1531&lt;1),AB1531*100,AB1531)/100)</f>
        <v/>
      </c>
      <c r="Y1531" s="5">
        <f>IF(D1531="","",AA1531*Z1531/100)</f>
        <v/>
      </c>
      <c r="Z1531" s="5">
        <f>IF(D1531="","",W1531-X1531)</f>
        <v/>
      </c>
      <c r="AC1531" s="5">
        <f>IF(D1531="","",Z1531-Y1531)</f>
        <v/>
      </c>
      <c r="AD1531">
        <f>IF(D1531="","",N(AD1530)+IF(MATCH(D1531,$D$2:$D$2501,0)=ROW()-1,1,0))</f>
        <v/>
      </c>
    </row>
    <row r="1532">
      <c r="X1532" s="5">
        <f>IF(D1532="","",W1532*IF(AND(ISNUMBER(AB1532),AB1532&gt;0,AB1532&lt;1),AB1532*100,AB1532)/100)</f>
        <v/>
      </c>
      <c r="Y1532" s="5">
        <f>IF(D1532="","",AA1532*Z1532/100)</f>
        <v/>
      </c>
      <c r="Z1532" s="5">
        <f>IF(D1532="","",W1532-X1532)</f>
        <v/>
      </c>
      <c r="AC1532" s="5">
        <f>IF(D1532="","",Z1532-Y1532)</f>
        <v/>
      </c>
      <c r="AD1532">
        <f>IF(D1532="","",N(AD1531)+IF(MATCH(D1532,$D$2:$D$2501,0)=ROW()-1,1,0))</f>
        <v/>
      </c>
    </row>
    <row r="1533">
      <c r="X1533" s="5">
        <f>IF(D1533="","",W1533*IF(AND(ISNUMBER(AB1533),AB1533&gt;0,AB1533&lt;1),AB1533*100,AB1533)/100)</f>
        <v/>
      </c>
      <c r="Y1533" s="5">
        <f>IF(D1533="","",AA1533*Z1533/100)</f>
        <v/>
      </c>
      <c r="Z1533" s="5">
        <f>IF(D1533="","",W1533-X1533)</f>
        <v/>
      </c>
      <c r="AC1533" s="5">
        <f>IF(D1533="","",Z1533-Y1533)</f>
        <v/>
      </c>
      <c r="AD1533">
        <f>IF(D1533="","",N(AD1532)+IF(MATCH(D1533,$D$2:$D$2501,0)=ROW()-1,1,0))</f>
        <v/>
      </c>
    </row>
    <row r="1534">
      <c r="X1534" s="5">
        <f>IF(D1534="","",W1534*IF(AND(ISNUMBER(AB1534),AB1534&gt;0,AB1534&lt;1),AB1534*100,AB1534)/100)</f>
        <v/>
      </c>
      <c r="Y1534" s="5">
        <f>IF(D1534="","",AA1534*Z1534/100)</f>
        <v/>
      </c>
      <c r="Z1534" s="5">
        <f>IF(D1534="","",W1534-X1534)</f>
        <v/>
      </c>
      <c r="AC1534" s="5">
        <f>IF(D1534="","",Z1534-Y1534)</f>
        <v/>
      </c>
      <c r="AD1534">
        <f>IF(D1534="","",N(AD1533)+IF(MATCH(D1534,$D$2:$D$2501,0)=ROW()-1,1,0))</f>
        <v/>
      </c>
    </row>
    <row r="1535">
      <c r="X1535" s="5">
        <f>IF(D1535="","",W1535*IF(AND(ISNUMBER(AB1535),AB1535&gt;0,AB1535&lt;1),AB1535*100,AB1535)/100)</f>
        <v/>
      </c>
      <c r="Y1535" s="5">
        <f>IF(D1535="","",AA1535*Z1535/100)</f>
        <v/>
      </c>
      <c r="Z1535" s="5">
        <f>IF(D1535="","",W1535-X1535)</f>
        <v/>
      </c>
      <c r="AC1535" s="5">
        <f>IF(D1535="","",Z1535-Y1535)</f>
        <v/>
      </c>
      <c r="AD1535">
        <f>IF(D1535="","",N(AD1534)+IF(MATCH(D1535,$D$2:$D$2501,0)=ROW()-1,1,0))</f>
        <v/>
      </c>
    </row>
    <row r="1536">
      <c r="X1536" s="5">
        <f>IF(D1536="","",W1536*IF(AND(ISNUMBER(AB1536),AB1536&gt;0,AB1536&lt;1),AB1536*100,AB1536)/100)</f>
        <v/>
      </c>
      <c r="Y1536" s="5">
        <f>IF(D1536="","",AA1536*Z1536/100)</f>
        <v/>
      </c>
      <c r="Z1536" s="5">
        <f>IF(D1536="","",W1536-X1536)</f>
        <v/>
      </c>
      <c r="AC1536" s="5">
        <f>IF(D1536="","",Z1536-Y1536)</f>
        <v/>
      </c>
      <c r="AD1536">
        <f>IF(D1536="","",N(AD1535)+IF(MATCH(D1536,$D$2:$D$2501,0)=ROW()-1,1,0))</f>
        <v/>
      </c>
    </row>
    <row r="1537">
      <c r="X1537" s="5">
        <f>IF(D1537="","",W1537*IF(AND(ISNUMBER(AB1537),AB1537&gt;0,AB1537&lt;1),AB1537*100,AB1537)/100)</f>
        <v/>
      </c>
      <c r="Y1537" s="5">
        <f>IF(D1537="","",AA1537*Z1537/100)</f>
        <v/>
      </c>
      <c r="Z1537" s="5">
        <f>IF(D1537="","",W1537-X1537)</f>
        <v/>
      </c>
      <c r="AC1537" s="5">
        <f>IF(D1537="","",Z1537-Y1537)</f>
        <v/>
      </c>
      <c r="AD1537">
        <f>IF(D1537="","",N(AD1536)+IF(MATCH(D1537,$D$2:$D$2501,0)=ROW()-1,1,0))</f>
        <v/>
      </c>
    </row>
    <row r="1538">
      <c r="X1538" s="5">
        <f>IF(D1538="","",W1538*IF(AND(ISNUMBER(AB1538),AB1538&gt;0,AB1538&lt;1),AB1538*100,AB1538)/100)</f>
        <v/>
      </c>
      <c r="Y1538" s="5">
        <f>IF(D1538="","",AA1538*Z1538/100)</f>
        <v/>
      </c>
      <c r="Z1538" s="5">
        <f>IF(D1538="","",W1538-X1538)</f>
        <v/>
      </c>
      <c r="AC1538" s="5">
        <f>IF(D1538="","",Z1538-Y1538)</f>
        <v/>
      </c>
      <c r="AD1538">
        <f>IF(D1538="","",N(AD1537)+IF(MATCH(D1538,$D$2:$D$2501,0)=ROW()-1,1,0))</f>
        <v/>
      </c>
    </row>
    <row r="1539">
      <c r="X1539" s="5">
        <f>IF(D1539="","",W1539*IF(AND(ISNUMBER(AB1539),AB1539&gt;0,AB1539&lt;1),AB1539*100,AB1539)/100)</f>
        <v/>
      </c>
      <c r="Y1539" s="5">
        <f>IF(D1539="","",AA1539*Z1539/100)</f>
        <v/>
      </c>
      <c r="Z1539" s="5">
        <f>IF(D1539="","",W1539-X1539)</f>
        <v/>
      </c>
      <c r="AC1539" s="5">
        <f>IF(D1539="","",Z1539-Y1539)</f>
        <v/>
      </c>
      <c r="AD1539">
        <f>IF(D1539="","",N(AD1538)+IF(MATCH(D1539,$D$2:$D$2501,0)=ROW()-1,1,0))</f>
        <v/>
      </c>
    </row>
    <row r="1540">
      <c r="X1540" s="5">
        <f>IF(D1540="","",W1540*IF(AND(ISNUMBER(AB1540),AB1540&gt;0,AB1540&lt;1),AB1540*100,AB1540)/100)</f>
        <v/>
      </c>
      <c r="Y1540" s="5">
        <f>IF(D1540="","",AA1540*Z1540/100)</f>
        <v/>
      </c>
      <c r="Z1540" s="5">
        <f>IF(D1540="","",W1540-X1540)</f>
        <v/>
      </c>
      <c r="AC1540" s="5">
        <f>IF(D1540="","",Z1540-Y1540)</f>
        <v/>
      </c>
      <c r="AD1540">
        <f>IF(D1540="","",N(AD1539)+IF(MATCH(D1540,$D$2:$D$2501,0)=ROW()-1,1,0))</f>
        <v/>
      </c>
    </row>
    <row r="1541">
      <c r="X1541" s="5">
        <f>IF(D1541="","",W1541*IF(AND(ISNUMBER(AB1541),AB1541&gt;0,AB1541&lt;1),AB1541*100,AB1541)/100)</f>
        <v/>
      </c>
      <c r="Y1541" s="5">
        <f>IF(D1541="","",AA1541*Z1541/100)</f>
        <v/>
      </c>
      <c r="Z1541" s="5">
        <f>IF(D1541="","",W1541-X1541)</f>
        <v/>
      </c>
      <c r="AC1541" s="5">
        <f>IF(D1541="","",Z1541-Y1541)</f>
        <v/>
      </c>
      <c r="AD1541">
        <f>IF(D1541="","",N(AD1540)+IF(MATCH(D1541,$D$2:$D$2501,0)=ROW()-1,1,0))</f>
        <v/>
      </c>
    </row>
    <row r="1542">
      <c r="X1542" s="5">
        <f>IF(D1542="","",W1542*IF(AND(ISNUMBER(AB1542),AB1542&gt;0,AB1542&lt;1),AB1542*100,AB1542)/100)</f>
        <v/>
      </c>
      <c r="Y1542" s="5">
        <f>IF(D1542="","",AA1542*Z1542/100)</f>
        <v/>
      </c>
      <c r="Z1542" s="5">
        <f>IF(D1542="","",W1542-X1542)</f>
        <v/>
      </c>
      <c r="AC1542" s="5">
        <f>IF(D1542="","",Z1542-Y1542)</f>
        <v/>
      </c>
      <c r="AD1542">
        <f>IF(D1542="","",N(AD1541)+IF(MATCH(D1542,$D$2:$D$2501,0)=ROW()-1,1,0))</f>
        <v/>
      </c>
    </row>
    <row r="1543">
      <c r="X1543" s="5">
        <f>IF(D1543="","",W1543*IF(AND(ISNUMBER(AB1543),AB1543&gt;0,AB1543&lt;1),AB1543*100,AB1543)/100)</f>
        <v/>
      </c>
      <c r="Y1543" s="5">
        <f>IF(D1543="","",AA1543*Z1543/100)</f>
        <v/>
      </c>
      <c r="Z1543" s="5">
        <f>IF(D1543="","",W1543-X1543)</f>
        <v/>
      </c>
      <c r="AC1543" s="5">
        <f>IF(D1543="","",Z1543-Y1543)</f>
        <v/>
      </c>
      <c r="AD1543">
        <f>IF(D1543="","",N(AD1542)+IF(MATCH(D1543,$D$2:$D$2501,0)=ROW()-1,1,0))</f>
        <v/>
      </c>
    </row>
    <row r="1544">
      <c r="X1544" s="5">
        <f>IF(D1544="","",W1544*IF(AND(ISNUMBER(AB1544),AB1544&gt;0,AB1544&lt;1),AB1544*100,AB1544)/100)</f>
        <v/>
      </c>
      <c r="Y1544" s="5">
        <f>IF(D1544="","",AA1544*Z1544/100)</f>
        <v/>
      </c>
      <c r="Z1544" s="5">
        <f>IF(D1544="","",W1544-X1544)</f>
        <v/>
      </c>
      <c r="AC1544" s="5">
        <f>IF(D1544="","",Z1544-Y1544)</f>
        <v/>
      </c>
      <c r="AD1544">
        <f>IF(D1544="","",N(AD1543)+IF(MATCH(D1544,$D$2:$D$2501,0)=ROW()-1,1,0))</f>
        <v/>
      </c>
    </row>
    <row r="1545">
      <c r="X1545" s="5">
        <f>IF(D1545="","",W1545*IF(AND(ISNUMBER(AB1545),AB1545&gt;0,AB1545&lt;1),AB1545*100,AB1545)/100)</f>
        <v/>
      </c>
      <c r="Y1545" s="5">
        <f>IF(D1545="","",AA1545*Z1545/100)</f>
        <v/>
      </c>
      <c r="Z1545" s="5">
        <f>IF(D1545="","",W1545-X1545)</f>
        <v/>
      </c>
      <c r="AC1545" s="5">
        <f>IF(D1545="","",Z1545-Y1545)</f>
        <v/>
      </c>
      <c r="AD1545">
        <f>IF(D1545="","",N(AD1544)+IF(MATCH(D1545,$D$2:$D$2501,0)=ROW()-1,1,0))</f>
        <v/>
      </c>
    </row>
    <row r="1546">
      <c r="X1546" s="5">
        <f>IF(D1546="","",W1546*IF(AND(ISNUMBER(AB1546),AB1546&gt;0,AB1546&lt;1),AB1546*100,AB1546)/100)</f>
        <v/>
      </c>
      <c r="Y1546" s="5">
        <f>IF(D1546="","",AA1546*Z1546/100)</f>
        <v/>
      </c>
      <c r="Z1546" s="5">
        <f>IF(D1546="","",W1546-X1546)</f>
        <v/>
      </c>
      <c r="AC1546" s="5">
        <f>IF(D1546="","",Z1546-Y1546)</f>
        <v/>
      </c>
      <c r="AD1546">
        <f>IF(D1546="","",N(AD1545)+IF(MATCH(D1546,$D$2:$D$2501,0)=ROW()-1,1,0))</f>
        <v/>
      </c>
    </row>
    <row r="1547">
      <c r="X1547" s="5">
        <f>IF(D1547="","",W1547*IF(AND(ISNUMBER(AB1547),AB1547&gt;0,AB1547&lt;1),AB1547*100,AB1547)/100)</f>
        <v/>
      </c>
      <c r="Y1547" s="5">
        <f>IF(D1547="","",AA1547*Z1547/100)</f>
        <v/>
      </c>
      <c r="Z1547" s="5">
        <f>IF(D1547="","",W1547-X1547)</f>
        <v/>
      </c>
      <c r="AC1547" s="5">
        <f>IF(D1547="","",Z1547-Y1547)</f>
        <v/>
      </c>
      <c r="AD1547">
        <f>IF(D1547="","",N(AD1546)+IF(MATCH(D1547,$D$2:$D$2501,0)=ROW()-1,1,0))</f>
        <v/>
      </c>
    </row>
    <row r="1548">
      <c r="X1548" s="5">
        <f>IF(D1548="","",W1548*IF(AND(ISNUMBER(AB1548),AB1548&gt;0,AB1548&lt;1),AB1548*100,AB1548)/100)</f>
        <v/>
      </c>
      <c r="Y1548" s="5">
        <f>IF(D1548="","",AA1548*Z1548/100)</f>
        <v/>
      </c>
      <c r="Z1548" s="5">
        <f>IF(D1548="","",W1548-X1548)</f>
        <v/>
      </c>
      <c r="AC1548" s="5">
        <f>IF(D1548="","",Z1548-Y1548)</f>
        <v/>
      </c>
      <c r="AD1548">
        <f>IF(D1548="","",N(AD1547)+IF(MATCH(D1548,$D$2:$D$2501,0)=ROW()-1,1,0))</f>
        <v/>
      </c>
    </row>
    <row r="1549">
      <c r="X1549" s="5">
        <f>IF(D1549="","",W1549*IF(AND(ISNUMBER(AB1549),AB1549&gt;0,AB1549&lt;1),AB1549*100,AB1549)/100)</f>
        <v/>
      </c>
      <c r="Y1549" s="5">
        <f>IF(D1549="","",AA1549*Z1549/100)</f>
        <v/>
      </c>
      <c r="Z1549" s="5">
        <f>IF(D1549="","",W1549-X1549)</f>
        <v/>
      </c>
      <c r="AC1549" s="5">
        <f>IF(D1549="","",Z1549-Y1549)</f>
        <v/>
      </c>
      <c r="AD1549">
        <f>IF(D1549="","",N(AD1548)+IF(MATCH(D1549,$D$2:$D$2501,0)=ROW()-1,1,0))</f>
        <v/>
      </c>
    </row>
    <row r="1550">
      <c r="X1550" s="5">
        <f>IF(D1550="","",W1550*IF(AND(ISNUMBER(AB1550),AB1550&gt;0,AB1550&lt;1),AB1550*100,AB1550)/100)</f>
        <v/>
      </c>
      <c r="Y1550" s="5">
        <f>IF(D1550="","",AA1550*Z1550/100)</f>
        <v/>
      </c>
      <c r="Z1550" s="5">
        <f>IF(D1550="","",W1550-X1550)</f>
        <v/>
      </c>
      <c r="AC1550" s="5">
        <f>IF(D1550="","",Z1550-Y1550)</f>
        <v/>
      </c>
      <c r="AD1550">
        <f>IF(D1550="","",N(AD1549)+IF(MATCH(D1550,$D$2:$D$2501,0)=ROW()-1,1,0))</f>
        <v/>
      </c>
    </row>
    <row r="1551">
      <c r="X1551" s="5">
        <f>IF(D1551="","",W1551*IF(AND(ISNUMBER(AB1551),AB1551&gt;0,AB1551&lt;1),AB1551*100,AB1551)/100)</f>
        <v/>
      </c>
      <c r="Y1551" s="5">
        <f>IF(D1551="","",AA1551*Z1551/100)</f>
        <v/>
      </c>
      <c r="Z1551" s="5">
        <f>IF(D1551="","",W1551-X1551)</f>
        <v/>
      </c>
      <c r="AC1551" s="5">
        <f>IF(D1551="","",Z1551-Y1551)</f>
        <v/>
      </c>
      <c r="AD1551">
        <f>IF(D1551="","",N(AD1550)+IF(MATCH(D1551,$D$2:$D$2501,0)=ROW()-1,1,0))</f>
        <v/>
      </c>
    </row>
    <row r="1552">
      <c r="X1552" s="5">
        <f>IF(D1552="","",W1552*IF(AND(ISNUMBER(AB1552),AB1552&gt;0,AB1552&lt;1),AB1552*100,AB1552)/100)</f>
        <v/>
      </c>
      <c r="Y1552" s="5">
        <f>IF(D1552="","",AA1552*Z1552/100)</f>
        <v/>
      </c>
      <c r="Z1552" s="5">
        <f>IF(D1552="","",W1552-X1552)</f>
        <v/>
      </c>
      <c r="AC1552" s="5">
        <f>IF(D1552="","",Z1552-Y1552)</f>
        <v/>
      </c>
      <c r="AD1552">
        <f>IF(D1552="","",N(AD1551)+IF(MATCH(D1552,$D$2:$D$2501,0)=ROW()-1,1,0))</f>
        <v/>
      </c>
    </row>
    <row r="1553">
      <c r="X1553" s="5">
        <f>IF(D1553="","",W1553*IF(AND(ISNUMBER(AB1553),AB1553&gt;0,AB1553&lt;1),AB1553*100,AB1553)/100)</f>
        <v/>
      </c>
      <c r="Y1553" s="5">
        <f>IF(D1553="","",AA1553*Z1553/100)</f>
        <v/>
      </c>
      <c r="Z1553" s="5">
        <f>IF(D1553="","",W1553-X1553)</f>
        <v/>
      </c>
      <c r="AC1553" s="5">
        <f>IF(D1553="","",Z1553-Y1553)</f>
        <v/>
      </c>
      <c r="AD1553">
        <f>IF(D1553="","",N(AD1552)+IF(MATCH(D1553,$D$2:$D$2501,0)=ROW()-1,1,0))</f>
        <v/>
      </c>
    </row>
    <row r="1554">
      <c r="X1554" s="5">
        <f>IF(D1554="","",W1554*IF(AND(ISNUMBER(AB1554),AB1554&gt;0,AB1554&lt;1),AB1554*100,AB1554)/100)</f>
        <v/>
      </c>
      <c r="Y1554" s="5">
        <f>IF(D1554="","",AA1554*Z1554/100)</f>
        <v/>
      </c>
      <c r="Z1554" s="5">
        <f>IF(D1554="","",W1554-X1554)</f>
        <v/>
      </c>
      <c r="AC1554" s="5">
        <f>IF(D1554="","",Z1554-Y1554)</f>
        <v/>
      </c>
      <c r="AD1554">
        <f>IF(D1554="","",N(AD1553)+IF(MATCH(D1554,$D$2:$D$2501,0)=ROW()-1,1,0))</f>
        <v/>
      </c>
    </row>
    <row r="1555">
      <c r="X1555" s="5">
        <f>IF(D1555="","",W1555*IF(AND(ISNUMBER(AB1555),AB1555&gt;0,AB1555&lt;1),AB1555*100,AB1555)/100)</f>
        <v/>
      </c>
      <c r="Y1555" s="5">
        <f>IF(D1555="","",AA1555*Z1555/100)</f>
        <v/>
      </c>
      <c r="Z1555" s="5">
        <f>IF(D1555="","",W1555-X1555)</f>
        <v/>
      </c>
      <c r="AC1555" s="5">
        <f>IF(D1555="","",Z1555-Y1555)</f>
        <v/>
      </c>
      <c r="AD1555">
        <f>IF(D1555="","",N(AD1554)+IF(MATCH(D1555,$D$2:$D$2501,0)=ROW()-1,1,0))</f>
        <v/>
      </c>
    </row>
    <row r="1556">
      <c r="X1556" s="5">
        <f>IF(D1556="","",W1556*IF(AND(ISNUMBER(AB1556),AB1556&gt;0,AB1556&lt;1),AB1556*100,AB1556)/100)</f>
        <v/>
      </c>
      <c r="Y1556" s="5">
        <f>IF(D1556="","",AA1556*Z1556/100)</f>
        <v/>
      </c>
      <c r="Z1556" s="5">
        <f>IF(D1556="","",W1556-X1556)</f>
        <v/>
      </c>
      <c r="AC1556" s="5">
        <f>IF(D1556="","",Z1556-Y1556)</f>
        <v/>
      </c>
      <c r="AD1556">
        <f>IF(D1556="","",N(AD1555)+IF(MATCH(D1556,$D$2:$D$2501,0)=ROW()-1,1,0))</f>
        <v/>
      </c>
    </row>
    <row r="1557">
      <c r="X1557" s="5">
        <f>IF(D1557="","",W1557*IF(AND(ISNUMBER(AB1557),AB1557&gt;0,AB1557&lt;1),AB1557*100,AB1557)/100)</f>
        <v/>
      </c>
      <c r="Y1557" s="5">
        <f>IF(D1557="","",AA1557*Z1557/100)</f>
        <v/>
      </c>
      <c r="Z1557" s="5">
        <f>IF(D1557="","",W1557-X1557)</f>
        <v/>
      </c>
      <c r="AC1557" s="5">
        <f>IF(D1557="","",Z1557-Y1557)</f>
        <v/>
      </c>
      <c r="AD1557">
        <f>IF(D1557="","",N(AD1556)+IF(MATCH(D1557,$D$2:$D$2501,0)=ROW()-1,1,0))</f>
        <v/>
      </c>
    </row>
    <row r="1558">
      <c r="X1558" s="5">
        <f>IF(D1558="","",W1558*IF(AND(ISNUMBER(AB1558),AB1558&gt;0,AB1558&lt;1),AB1558*100,AB1558)/100)</f>
        <v/>
      </c>
      <c r="Y1558" s="5">
        <f>IF(D1558="","",AA1558*Z1558/100)</f>
        <v/>
      </c>
      <c r="Z1558" s="5">
        <f>IF(D1558="","",W1558-X1558)</f>
        <v/>
      </c>
      <c r="AC1558" s="5">
        <f>IF(D1558="","",Z1558-Y1558)</f>
        <v/>
      </c>
      <c r="AD1558">
        <f>IF(D1558="","",N(AD1557)+IF(MATCH(D1558,$D$2:$D$2501,0)=ROW()-1,1,0))</f>
        <v/>
      </c>
    </row>
    <row r="1559">
      <c r="X1559" s="5">
        <f>IF(D1559="","",W1559*IF(AND(ISNUMBER(AB1559),AB1559&gt;0,AB1559&lt;1),AB1559*100,AB1559)/100)</f>
        <v/>
      </c>
      <c r="Y1559" s="5">
        <f>IF(D1559="","",AA1559*Z1559/100)</f>
        <v/>
      </c>
      <c r="Z1559" s="5">
        <f>IF(D1559="","",W1559-X1559)</f>
        <v/>
      </c>
      <c r="AC1559" s="5">
        <f>IF(D1559="","",Z1559-Y1559)</f>
        <v/>
      </c>
      <c r="AD1559">
        <f>IF(D1559="","",N(AD1558)+IF(MATCH(D1559,$D$2:$D$2501,0)=ROW()-1,1,0))</f>
        <v/>
      </c>
    </row>
    <row r="1560">
      <c r="X1560" s="5">
        <f>IF(D1560="","",W1560*IF(AND(ISNUMBER(AB1560),AB1560&gt;0,AB1560&lt;1),AB1560*100,AB1560)/100)</f>
        <v/>
      </c>
      <c r="Y1560" s="5">
        <f>IF(D1560="","",AA1560*Z1560/100)</f>
        <v/>
      </c>
      <c r="Z1560" s="5">
        <f>IF(D1560="","",W1560-X1560)</f>
        <v/>
      </c>
      <c r="AC1560" s="5">
        <f>IF(D1560="","",Z1560-Y1560)</f>
        <v/>
      </c>
      <c r="AD1560">
        <f>IF(D1560="","",N(AD1559)+IF(MATCH(D1560,$D$2:$D$2501,0)=ROW()-1,1,0))</f>
        <v/>
      </c>
    </row>
    <row r="1561">
      <c r="X1561" s="5">
        <f>IF(D1561="","",W1561*IF(AND(ISNUMBER(AB1561),AB1561&gt;0,AB1561&lt;1),AB1561*100,AB1561)/100)</f>
        <v/>
      </c>
      <c r="Y1561" s="5">
        <f>IF(D1561="","",AA1561*Z1561/100)</f>
        <v/>
      </c>
      <c r="Z1561" s="5">
        <f>IF(D1561="","",W1561-X1561)</f>
        <v/>
      </c>
      <c r="AC1561" s="5">
        <f>IF(D1561="","",Z1561-Y1561)</f>
        <v/>
      </c>
      <c r="AD1561">
        <f>IF(D1561="","",N(AD1560)+IF(MATCH(D1561,$D$2:$D$2501,0)=ROW()-1,1,0))</f>
        <v/>
      </c>
    </row>
    <row r="1562">
      <c r="X1562" s="5">
        <f>IF(D1562="","",W1562*IF(AND(ISNUMBER(AB1562),AB1562&gt;0,AB1562&lt;1),AB1562*100,AB1562)/100)</f>
        <v/>
      </c>
      <c r="Y1562" s="5">
        <f>IF(D1562="","",AA1562*Z1562/100)</f>
        <v/>
      </c>
      <c r="Z1562" s="5">
        <f>IF(D1562="","",W1562-X1562)</f>
        <v/>
      </c>
      <c r="AC1562" s="5">
        <f>IF(D1562="","",Z1562-Y1562)</f>
        <v/>
      </c>
      <c r="AD1562">
        <f>IF(D1562="","",N(AD1561)+IF(MATCH(D1562,$D$2:$D$2501,0)=ROW()-1,1,0))</f>
        <v/>
      </c>
    </row>
    <row r="1563">
      <c r="X1563" s="5">
        <f>IF(D1563="","",W1563*IF(AND(ISNUMBER(AB1563),AB1563&gt;0,AB1563&lt;1),AB1563*100,AB1563)/100)</f>
        <v/>
      </c>
      <c r="Y1563" s="5">
        <f>IF(D1563="","",AA1563*Z1563/100)</f>
        <v/>
      </c>
      <c r="Z1563" s="5">
        <f>IF(D1563="","",W1563-X1563)</f>
        <v/>
      </c>
      <c r="AC1563" s="5">
        <f>IF(D1563="","",Z1563-Y1563)</f>
        <v/>
      </c>
      <c r="AD1563">
        <f>IF(D1563="","",N(AD1562)+IF(MATCH(D1563,$D$2:$D$2501,0)=ROW()-1,1,0))</f>
        <v/>
      </c>
    </row>
    <row r="1564">
      <c r="X1564" s="5">
        <f>IF(D1564="","",W1564*IF(AND(ISNUMBER(AB1564),AB1564&gt;0,AB1564&lt;1),AB1564*100,AB1564)/100)</f>
        <v/>
      </c>
      <c r="Y1564" s="5">
        <f>IF(D1564="","",AA1564*Z1564/100)</f>
        <v/>
      </c>
      <c r="Z1564" s="5">
        <f>IF(D1564="","",W1564-X1564)</f>
        <v/>
      </c>
      <c r="AC1564" s="5">
        <f>IF(D1564="","",Z1564-Y1564)</f>
        <v/>
      </c>
      <c r="AD1564">
        <f>IF(D1564="","",N(AD1563)+IF(MATCH(D1564,$D$2:$D$2501,0)=ROW()-1,1,0))</f>
        <v/>
      </c>
    </row>
    <row r="1565">
      <c r="X1565" s="5">
        <f>IF(D1565="","",W1565*IF(AND(ISNUMBER(AB1565),AB1565&gt;0,AB1565&lt;1),AB1565*100,AB1565)/100)</f>
        <v/>
      </c>
      <c r="Y1565" s="5">
        <f>IF(D1565="","",AA1565*Z1565/100)</f>
        <v/>
      </c>
      <c r="Z1565" s="5">
        <f>IF(D1565="","",W1565-X1565)</f>
        <v/>
      </c>
      <c r="AC1565" s="5">
        <f>IF(D1565="","",Z1565-Y1565)</f>
        <v/>
      </c>
      <c r="AD1565">
        <f>IF(D1565="","",N(AD1564)+IF(MATCH(D1565,$D$2:$D$2501,0)=ROW()-1,1,0))</f>
        <v/>
      </c>
    </row>
    <row r="1566">
      <c r="X1566" s="5">
        <f>IF(D1566="","",W1566*IF(AND(ISNUMBER(AB1566),AB1566&gt;0,AB1566&lt;1),AB1566*100,AB1566)/100)</f>
        <v/>
      </c>
      <c r="Y1566" s="5">
        <f>IF(D1566="","",AA1566*Z1566/100)</f>
        <v/>
      </c>
      <c r="Z1566" s="5">
        <f>IF(D1566="","",W1566-X1566)</f>
        <v/>
      </c>
      <c r="AC1566" s="5">
        <f>IF(D1566="","",Z1566-Y1566)</f>
        <v/>
      </c>
      <c r="AD1566">
        <f>IF(D1566="","",N(AD1565)+IF(MATCH(D1566,$D$2:$D$2501,0)=ROW()-1,1,0))</f>
        <v/>
      </c>
    </row>
    <row r="1567">
      <c r="X1567" s="5">
        <f>IF(D1567="","",W1567*IF(AND(ISNUMBER(AB1567),AB1567&gt;0,AB1567&lt;1),AB1567*100,AB1567)/100)</f>
        <v/>
      </c>
      <c r="Y1567" s="5">
        <f>IF(D1567="","",AA1567*Z1567/100)</f>
        <v/>
      </c>
      <c r="Z1567" s="5">
        <f>IF(D1567="","",W1567-X1567)</f>
        <v/>
      </c>
      <c r="AC1567" s="5">
        <f>IF(D1567="","",Z1567-Y1567)</f>
        <v/>
      </c>
      <c r="AD1567">
        <f>IF(D1567="","",N(AD1566)+IF(MATCH(D1567,$D$2:$D$2501,0)=ROW()-1,1,0))</f>
        <v/>
      </c>
    </row>
    <row r="1568">
      <c r="X1568" s="5">
        <f>IF(D1568="","",W1568*IF(AND(ISNUMBER(AB1568),AB1568&gt;0,AB1568&lt;1),AB1568*100,AB1568)/100)</f>
        <v/>
      </c>
      <c r="Y1568" s="5">
        <f>IF(D1568="","",AA1568*Z1568/100)</f>
        <v/>
      </c>
      <c r="Z1568" s="5">
        <f>IF(D1568="","",W1568-X1568)</f>
        <v/>
      </c>
      <c r="AC1568" s="5">
        <f>IF(D1568="","",Z1568-Y1568)</f>
        <v/>
      </c>
      <c r="AD1568">
        <f>IF(D1568="","",N(AD1567)+IF(MATCH(D1568,$D$2:$D$2501,0)=ROW()-1,1,0))</f>
        <v/>
      </c>
    </row>
    <row r="1569">
      <c r="X1569" s="5">
        <f>IF(D1569="","",W1569*IF(AND(ISNUMBER(AB1569),AB1569&gt;0,AB1569&lt;1),AB1569*100,AB1569)/100)</f>
        <v/>
      </c>
      <c r="Y1569" s="5">
        <f>IF(D1569="","",AA1569*Z1569/100)</f>
        <v/>
      </c>
      <c r="Z1569" s="5">
        <f>IF(D1569="","",W1569-X1569)</f>
        <v/>
      </c>
      <c r="AC1569" s="5">
        <f>IF(D1569="","",Z1569-Y1569)</f>
        <v/>
      </c>
      <c r="AD1569">
        <f>IF(D1569="","",N(AD1568)+IF(MATCH(D1569,$D$2:$D$2501,0)=ROW()-1,1,0))</f>
        <v/>
      </c>
    </row>
    <row r="1570">
      <c r="X1570" s="5">
        <f>IF(D1570="","",W1570*IF(AND(ISNUMBER(AB1570),AB1570&gt;0,AB1570&lt;1),AB1570*100,AB1570)/100)</f>
        <v/>
      </c>
      <c r="Y1570" s="5">
        <f>IF(D1570="","",AA1570*Z1570/100)</f>
        <v/>
      </c>
      <c r="Z1570" s="5">
        <f>IF(D1570="","",W1570-X1570)</f>
        <v/>
      </c>
      <c r="AC1570" s="5">
        <f>IF(D1570="","",Z1570-Y1570)</f>
        <v/>
      </c>
      <c r="AD1570">
        <f>IF(D1570="","",N(AD1569)+IF(MATCH(D1570,$D$2:$D$2501,0)=ROW()-1,1,0))</f>
        <v/>
      </c>
    </row>
    <row r="1571">
      <c r="X1571" s="5">
        <f>IF(D1571="","",W1571*IF(AND(ISNUMBER(AB1571),AB1571&gt;0,AB1571&lt;1),AB1571*100,AB1571)/100)</f>
        <v/>
      </c>
      <c r="Y1571" s="5">
        <f>IF(D1571="","",AA1571*Z1571/100)</f>
        <v/>
      </c>
      <c r="Z1571" s="5">
        <f>IF(D1571="","",W1571-X1571)</f>
        <v/>
      </c>
      <c r="AC1571" s="5">
        <f>IF(D1571="","",Z1571-Y1571)</f>
        <v/>
      </c>
      <c r="AD1571">
        <f>IF(D1571="","",N(AD1570)+IF(MATCH(D1571,$D$2:$D$2501,0)=ROW()-1,1,0))</f>
        <v/>
      </c>
    </row>
    <row r="1572">
      <c r="X1572" s="5">
        <f>IF(D1572="","",W1572*IF(AND(ISNUMBER(AB1572),AB1572&gt;0,AB1572&lt;1),AB1572*100,AB1572)/100)</f>
        <v/>
      </c>
      <c r="Y1572" s="5">
        <f>IF(D1572="","",AA1572*Z1572/100)</f>
        <v/>
      </c>
      <c r="Z1572" s="5">
        <f>IF(D1572="","",W1572-X1572)</f>
        <v/>
      </c>
      <c r="AC1572" s="5">
        <f>IF(D1572="","",Z1572-Y1572)</f>
        <v/>
      </c>
      <c r="AD1572">
        <f>IF(D1572="","",N(AD1571)+IF(MATCH(D1572,$D$2:$D$2501,0)=ROW()-1,1,0))</f>
        <v/>
      </c>
    </row>
    <row r="1573">
      <c r="X1573" s="5">
        <f>IF(D1573="","",W1573*IF(AND(ISNUMBER(AB1573),AB1573&gt;0,AB1573&lt;1),AB1573*100,AB1573)/100)</f>
        <v/>
      </c>
      <c r="Y1573" s="5">
        <f>IF(D1573="","",AA1573*Z1573/100)</f>
        <v/>
      </c>
      <c r="Z1573" s="5">
        <f>IF(D1573="","",W1573-X1573)</f>
        <v/>
      </c>
      <c r="AC1573" s="5">
        <f>IF(D1573="","",Z1573-Y1573)</f>
        <v/>
      </c>
      <c r="AD1573">
        <f>IF(D1573="","",N(AD1572)+IF(MATCH(D1573,$D$2:$D$2501,0)=ROW()-1,1,0))</f>
        <v/>
      </c>
    </row>
    <row r="1574">
      <c r="X1574" s="5">
        <f>IF(D1574="","",W1574*IF(AND(ISNUMBER(AB1574),AB1574&gt;0,AB1574&lt;1),AB1574*100,AB1574)/100)</f>
        <v/>
      </c>
      <c r="Y1574" s="5">
        <f>IF(D1574="","",AA1574*Z1574/100)</f>
        <v/>
      </c>
      <c r="Z1574" s="5">
        <f>IF(D1574="","",W1574-X1574)</f>
        <v/>
      </c>
      <c r="AC1574" s="5">
        <f>IF(D1574="","",Z1574-Y1574)</f>
        <v/>
      </c>
      <c r="AD1574">
        <f>IF(D1574="","",N(AD1573)+IF(MATCH(D1574,$D$2:$D$2501,0)=ROW()-1,1,0))</f>
        <v/>
      </c>
    </row>
    <row r="1575">
      <c r="X1575" s="5">
        <f>IF(D1575="","",W1575*IF(AND(ISNUMBER(AB1575),AB1575&gt;0,AB1575&lt;1),AB1575*100,AB1575)/100)</f>
        <v/>
      </c>
      <c r="Y1575" s="5">
        <f>IF(D1575="","",AA1575*Z1575/100)</f>
        <v/>
      </c>
      <c r="Z1575" s="5">
        <f>IF(D1575="","",W1575-X1575)</f>
        <v/>
      </c>
      <c r="AC1575" s="5">
        <f>IF(D1575="","",Z1575-Y1575)</f>
        <v/>
      </c>
      <c r="AD1575">
        <f>IF(D1575="","",N(AD1574)+IF(MATCH(D1575,$D$2:$D$2501,0)=ROW()-1,1,0))</f>
        <v/>
      </c>
    </row>
    <row r="1576">
      <c r="X1576" s="5">
        <f>IF(D1576="","",W1576*IF(AND(ISNUMBER(AB1576),AB1576&gt;0,AB1576&lt;1),AB1576*100,AB1576)/100)</f>
        <v/>
      </c>
      <c r="Y1576" s="5">
        <f>IF(D1576="","",AA1576*Z1576/100)</f>
        <v/>
      </c>
      <c r="Z1576" s="5">
        <f>IF(D1576="","",W1576-X1576)</f>
        <v/>
      </c>
      <c r="AC1576" s="5">
        <f>IF(D1576="","",Z1576-Y1576)</f>
        <v/>
      </c>
      <c r="AD1576">
        <f>IF(D1576="","",N(AD1575)+IF(MATCH(D1576,$D$2:$D$2501,0)=ROW()-1,1,0))</f>
        <v/>
      </c>
    </row>
    <row r="1577">
      <c r="X1577" s="5">
        <f>IF(D1577="","",W1577*IF(AND(ISNUMBER(AB1577),AB1577&gt;0,AB1577&lt;1),AB1577*100,AB1577)/100)</f>
        <v/>
      </c>
      <c r="Y1577" s="5">
        <f>IF(D1577="","",AA1577*Z1577/100)</f>
        <v/>
      </c>
      <c r="Z1577" s="5">
        <f>IF(D1577="","",W1577-X1577)</f>
        <v/>
      </c>
      <c r="AC1577" s="5">
        <f>IF(D1577="","",Z1577-Y1577)</f>
        <v/>
      </c>
      <c r="AD1577">
        <f>IF(D1577="","",N(AD1576)+IF(MATCH(D1577,$D$2:$D$2501,0)=ROW()-1,1,0))</f>
        <v/>
      </c>
    </row>
    <row r="1578">
      <c r="X1578" s="5">
        <f>IF(D1578="","",W1578*IF(AND(ISNUMBER(AB1578),AB1578&gt;0,AB1578&lt;1),AB1578*100,AB1578)/100)</f>
        <v/>
      </c>
      <c r="Y1578" s="5">
        <f>IF(D1578="","",AA1578*Z1578/100)</f>
        <v/>
      </c>
      <c r="Z1578" s="5">
        <f>IF(D1578="","",W1578-X1578)</f>
        <v/>
      </c>
      <c r="AC1578" s="5">
        <f>IF(D1578="","",Z1578-Y1578)</f>
        <v/>
      </c>
      <c r="AD1578">
        <f>IF(D1578="","",N(AD1577)+IF(MATCH(D1578,$D$2:$D$2501,0)=ROW()-1,1,0))</f>
        <v/>
      </c>
    </row>
    <row r="1579">
      <c r="X1579" s="5">
        <f>IF(D1579="","",W1579*IF(AND(ISNUMBER(AB1579),AB1579&gt;0,AB1579&lt;1),AB1579*100,AB1579)/100)</f>
        <v/>
      </c>
      <c r="Y1579" s="5">
        <f>IF(D1579="","",AA1579*Z1579/100)</f>
        <v/>
      </c>
      <c r="Z1579" s="5">
        <f>IF(D1579="","",W1579-X1579)</f>
        <v/>
      </c>
      <c r="AC1579" s="5">
        <f>IF(D1579="","",Z1579-Y1579)</f>
        <v/>
      </c>
      <c r="AD1579">
        <f>IF(D1579="","",N(AD1578)+IF(MATCH(D1579,$D$2:$D$2501,0)=ROW()-1,1,0))</f>
        <v/>
      </c>
    </row>
    <row r="1580">
      <c r="X1580" s="5">
        <f>IF(D1580="","",W1580*IF(AND(ISNUMBER(AB1580),AB1580&gt;0,AB1580&lt;1),AB1580*100,AB1580)/100)</f>
        <v/>
      </c>
      <c r="Y1580" s="5">
        <f>IF(D1580="","",AA1580*Z1580/100)</f>
        <v/>
      </c>
      <c r="Z1580" s="5">
        <f>IF(D1580="","",W1580-X1580)</f>
        <v/>
      </c>
      <c r="AC1580" s="5">
        <f>IF(D1580="","",Z1580-Y1580)</f>
        <v/>
      </c>
      <c r="AD1580">
        <f>IF(D1580="","",N(AD1579)+IF(MATCH(D1580,$D$2:$D$2501,0)=ROW()-1,1,0))</f>
        <v/>
      </c>
    </row>
    <row r="1581">
      <c r="X1581" s="5">
        <f>IF(D1581="","",W1581*IF(AND(ISNUMBER(AB1581),AB1581&gt;0,AB1581&lt;1),AB1581*100,AB1581)/100)</f>
        <v/>
      </c>
      <c r="Y1581" s="5">
        <f>IF(D1581="","",AA1581*Z1581/100)</f>
        <v/>
      </c>
      <c r="Z1581" s="5">
        <f>IF(D1581="","",W1581-X1581)</f>
        <v/>
      </c>
      <c r="AC1581" s="5">
        <f>IF(D1581="","",Z1581-Y1581)</f>
        <v/>
      </c>
      <c r="AD1581">
        <f>IF(D1581="","",N(AD1580)+IF(MATCH(D1581,$D$2:$D$2501,0)=ROW()-1,1,0))</f>
        <v/>
      </c>
    </row>
    <row r="1582">
      <c r="X1582" s="5">
        <f>IF(D1582="","",W1582*IF(AND(ISNUMBER(AB1582),AB1582&gt;0,AB1582&lt;1),AB1582*100,AB1582)/100)</f>
        <v/>
      </c>
      <c r="Y1582" s="5">
        <f>IF(D1582="","",AA1582*Z1582/100)</f>
        <v/>
      </c>
      <c r="Z1582" s="5">
        <f>IF(D1582="","",W1582-X1582)</f>
        <v/>
      </c>
      <c r="AC1582" s="5">
        <f>IF(D1582="","",Z1582-Y1582)</f>
        <v/>
      </c>
      <c r="AD1582">
        <f>IF(D1582="","",N(AD1581)+IF(MATCH(D1582,$D$2:$D$2501,0)=ROW()-1,1,0))</f>
        <v/>
      </c>
    </row>
    <row r="1583">
      <c r="X1583" s="5">
        <f>IF(D1583="","",W1583*IF(AND(ISNUMBER(AB1583),AB1583&gt;0,AB1583&lt;1),AB1583*100,AB1583)/100)</f>
        <v/>
      </c>
      <c r="Y1583" s="5">
        <f>IF(D1583="","",AA1583*Z1583/100)</f>
        <v/>
      </c>
      <c r="Z1583" s="5">
        <f>IF(D1583="","",W1583-X1583)</f>
        <v/>
      </c>
      <c r="AC1583" s="5">
        <f>IF(D1583="","",Z1583-Y1583)</f>
        <v/>
      </c>
      <c r="AD1583">
        <f>IF(D1583="","",N(AD1582)+IF(MATCH(D1583,$D$2:$D$2501,0)=ROW()-1,1,0))</f>
        <v/>
      </c>
    </row>
    <row r="1584">
      <c r="X1584" s="5">
        <f>IF(D1584="","",W1584*IF(AND(ISNUMBER(AB1584),AB1584&gt;0,AB1584&lt;1),AB1584*100,AB1584)/100)</f>
        <v/>
      </c>
      <c r="Y1584" s="5">
        <f>IF(D1584="","",AA1584*Z1584/100)</f>
        <v/>
      </c>
      <c r="Z1584" s="5">
        <f>IF(D1584="","",W1584-X1584)</f>
        <v/>
      </c>
      <c r="AC1584" s="5">
        <f>IF(D1584="","",Z1584-Y1584)</f>
        <v/>
      </c>
      <c r="AD1584">
        <f>IF(D1584="","",N(AD1583)+IF(MATCH(D1584,$D$2:$D$2501,0)=ROW()-1,1,0))</f>
        <v/>
      </c>
    </row>
    <row r="1585">
      <c r="X1585" s="5">
        <f>IF(D1585="","",W1585*IF(AND(ISNUMBER(AB1585),AB1585&gt;0,AB1585&lt;1),AB1585*100,AB1585)/100)</f>
        <v/>
      </c>
      <c r="Y1585" s="5">
        <f>IF(D1585="","",AA1585*Z1585/100)</f>
        <v/>
      </c>
      <c r="Z1585" s="5">
        <f>IF(D1585="","",W1585-X1585)</f>
        <v/>
      </c>
      <c r="AC1585" s="5">
        <f>IF(D1585="","",Z1585-Y1585)</f>
        <v/>
      </c>
      <c r="AD1585">
        <f>IF(D1585="","",N(AD1584)+IF(MATCH(D1585,$D$2:$D$2501,0)=ROW()-1,1,0))</f>
        <v/>
      </c>
    </row>
    <row r="1586">
      <c r="X1586" s="5">
        <f>IF(D1586="","",W1586*IF(AND(ISNUMBER(AB1586),AB1586&gt;0,AB1586&lt;1),AB1586*100,AB1586)/100)</f>
        <v/>
      </c>
      <c r="Y1586" s="5">
        <f>IF(D1586="","",AA1586*Z1586/100)</f>
        <v/>
      </c>
      <c r="Z1586" s="5">
        <f>IF(D1586="","",W1586-X1586)</f>
        <v/>
      </c>
      <c r="AC1586" s="5">
        <f>IF(D1586="","",Z1586-Y1586)</f>
        <v/>
      </c>
      <c r="AD1586">
        <f>IF(D1586="","",N(AD1585)+IF(MATCH(D1586,$D$2:$D$2501,0)=ROW()-1,1,0))</f>
        <v/>
      </c>
    </row>
    <row r="1587">
      <c r="X1587" s="5">
        <f>IF(D1587="","",W1587*IF(AND(ISNUMBER(AB1587),AB1587&gt;0,AB1587&lt;1),AB1587*100,AB1587)/100)</f>
        <v/>
      </c>
      <c r="Y1587" s="5">
        <f>IF(D1587="","",AA1587*Z1587/100)</f>
        <v/>
      </c>
      <c r="Z1587" s="5">
        <f>IF(D1587="","",W1587-X1587)</f>
        <v/>
      </c>
      <c r="AC1587" s="5">
        <f>IF(D1587="","",Z1587-Y1587)</f>
        <v/>
      </c>
      <c r="AD1587">
        <f>IF(D1587="","",N(AD1586)+IF(MATCH(D1587,$D$2:$D$2501,0)=ROW()-1,1,0))</f>
        <v/>
      </c>
    </row>
    <row r="1588">
      <c r="X1588" s="5">
        <f>IF(D1588="","",W1588*IF(AND(ISNUMBER(AB1588),AB1588&gt;0,AB1588&lt;1),AB1588*100,AB1588)/100)</f>
        <v/>
      </c>
      <c r="Y1588" s="5">
        <f>IF(D1588="","",AA1588*Z1588/100)</f>
        <v/>
      </c>
      <c r="Z1588" s="5">
        <f>IF(D1588="","",W1588-X1588)</f>
        <v/>
      </c>
      <c r="AC1588" s="5">
        <f>IF(D1588="","",Z1588-Y1588)</f>
        <v/>
      </c>
      <c r="AD1588">
        <f>IF(D1588="","",N(AD1587)+IF(MATCH(D1588,$D$2:$D$2501,0)=ROW()-1,1,0))</f>
        <v/>
      </c>
    </row>
    <row r="1589">
      <c r="X1589" s="5">
        <f>IF(D1589="","",W1589*IF(AND(ISNUMBER(AB1589),AB1589&gt;0,AB1589&lt;1),AB1589*100,AB1589)/100)</f>
        <v/>
      </c>
      <c r="Y1589" s="5">
        <f>IF(D1589="","",AA1589*Z1589/100)</f>
        <v/>
      </c>
      <c r="Z1589" s="5">
        <f>IF(D1589="","",W1589-X1589)</f>
        <v/>
      </c>
      <c r="AC1589" s="5">
        <f>IF(D1589="","",Z1589-Y1589)</f>
        <v/>
      </c>
      <c r="AD1589">
        <f>IF(D1589="","",N(AD1588)+IF(MATCH(D1589,$D$2:$D$2501,0)=ROW()-1,1,0))</f>
        <v/>
      </c>
    </row>
    <row r="1590">
      <c r="X1590" s="5">
        <f>IF(D1590="","",W1590*IF(AND(ISNUMBER(AB1590),AB1590&gt;0,AB1590&lt;1),AB1590*100,AB1590)/100)</f>
        <v/>
      </c>
      <c r="Y1590" s="5">
        <f>IF(D1590="","",AA1590*Z1590/100)</f>
        <v/>
      </c>
      <c r="Z1590" s="5">
        <f>IF(D1590="","",W1590-X1590)</f>
        <v/>
      </c>
      <c r="AC1590" s="5">
        <f>IF(D1590="","",Z1590-Y1590)</f>
        <v/>
      </c>
      <c r="AD1590">
        <f>IF(D1590="","",N(AD1589)+IF(MATCH(D1590,$D$2:$D$2501,0)=ROW()-1,1,0))</f>
        <v/>
      </c>
    </row>
    <row r="1591">
      <c r="X1591" s="5">
        <f>IF(D1591="","",W1591*IF(AND(ISNUMBER(AB1591),AB1591&gt;0,AB1591&lt;1),AB1591*100,AB1591)/100)</f>
        <v/>
      </c>
      <c r="Y1591" s="5">
        <f>IF(D1591="","",AA1591*Z1591/100)</f>
        <v/>
      </c>
      <c r="Z1591" s="5">
        <f>IF(D1591="","",W1591-X1591)</f>
        <v/>
      </c>
      <c r="AC1591" s="5">
        <f>IF(D1591="","",Z1591-Y1591)</f>
        <v/>
      </c>
      <c r="AD1591">
        <f>IF(D1591="","",N(AD1590)+IF(MATCH(D1591,$D$2:$D$2501,0)=ROW()-1,1,0))</f>
        <v/>
      </c>
    </row>
    <row r="1592">
      <c r="X1592" s="5">
        <f>IF(D1592="","",W1592*IF(AND(ISNUMBER(AB1592),AB1592&gt;0,AB1592&lt;1),AB1592*100,AB1592)/100)</f>
        <v/>
      </c>
      <c r="Y1592" s="5">
        <f>IF(D1592="","",AA1592*Z1592/100)</f>
        <v/>
      </c>
      <c r="Z1592" s="5">
        <f>IF(D1592="","",W1592-X1592)</f>
        <v/>
      </c>
      <c r="AC1592" s="5">
        <f>IF(D1592="","",Z1592-Y1592)</f>
        <v/>
      </c>
      <c r="AD1592">
        <f>IF(D1592="","",N(AD1591)+IF(MATCH(D1592,$D$2:$D$2501,0)=ROW()-1,1,0))</f>
        <v/>
      </c>
    </row>
    <row r="1593">
      <c r="X1593" s="5">
        <f>IF(D1593="","",W1593*IF(AND(ISNUMBER(AB1593),AB1593&gt;0,AB1593&lt;1),AB1593*100,AB1593)/100)</f>
        <v/>
      </c>
      <c r="Y1593" s="5">
        <f>IF(D1593="","",AA1593*Z1593/100)</f>
        <v/>
      </c>
      <c r="Z1593" s="5">
        <f>IF(D1593="","",W1593-X1593)</f>
        <v/>
      </c>
      <c r="AC1593" s="5">
        <f>IF(D1593="","",Z1593-Y1593)</f>
        <v/>
      </c>
      <c r="AD1593">
        <f>IF(D1593="","",N(AD1592)+IF(MATCH(D1593,$D$2:$D$2501,0)=ROW()-1,1,0))</f>
        <v/>
      </c>
    </row>
    <row r="1594">
      <c r="X1594" s="5">
        <f>IF(D1594="","",W1594*IF(AND(ISNUMBER(AB1594),AB1594&gt;0,AB1594&lt;1),AB1594*100,AB1594)/100)</f>
        <v/>
      </c>
      <c r="Y1594" s="5">
        <f>IF(D1594="","",AA1594*Z1594/100)</f>
        <v/>
      </c>
      <c r="Z1594" s="5">
        <f>IF(D1594="","",W1594-X1594)</f>
        <v/>
      </c>
      <c r="AC1594" s="5">
        <f>IF(D1594="","",Z1594-Y1594)</f>
        <v/>
      </c>
      <c r="AD1594">
        <f>IF(D1594="","",N(AD1593)+IF(MATCH(D1594,$D$2:$D$2501,0)=ROW()-1,1,0))</f>
        <v/>
      </c>
    </row>
    <row r="1595">
      <c r="X1595" s="5">
        <f>IF(D1595="","",W1595*IF(AND(ISNUMBER(AB1595),AB1595&gt;0,AB1595&lt;1),AB1595*100,AB1595)/100)</f>
        <v/>
      </c>
      <c r="Y1595" s="5">
        <f>IF(D1595="","",AA1595*Z1595/100)</f>
        <v/>
      </c>
      <c r="Z1595" s="5">
        <f>IF(D1595="","",W1595-X1595)</f>
        <v/>
      </c>
      <c r="AC1595" s="5">
        <f>IF(D1595="","",Z1595-Y1595)</f>
        <v/>
      </c>
      <c r="AD1595">
        <f>IF(D1595="","",N(AD1594)+IF(MATCH(D1595,$D$2:$D$2501,0)=ROW()-1,1,0))</f>
        <v/>
      </c>
    </row>
    <row r="1596">
      <c r="X1596" s="5">
        <f>IF(D1596="","",W1596*IF(AND(ISNUMBER(AB1596),AB1596&gt;0,AB1596&lt;1),AB1596*100,AB1596)/100)</f>
        <v/>
      </c>
      <c r="Y1596" s="5">
        <f>IF(D1596="","",AA1596*Z1596/100)</f>
        <v/>
      </c>
      <c r="Z1596" s="5">
        <f>IF(D1596="","",W1596-X1596)</f>
        <v/>
      </c>
      <c r="AC1596" s="5">
        <f>IF(D1596="","",Z1596-Y1596)</f>
        <v/>
      </c>
      <c r="AD1596">
        <f>IF(D1596="","",N(AD1595)+IF(MATCH(D1596,$D$2:$D$2501,0)=ROW()-1,1,0))</f>
        <v/>
      </c>
    </row>
    <row r="1597">
      <c r="X1597" s="5">
        <f>IF(D1597="","",W1597*IF(AND(ISNUMBER(AB1597),AB1597&gt;0,AB1597&lt;1),AB1597*100,AB1597)/100)</f>
        <v/>
      </c>
      <c r="Y1597" s="5">
        <f>IF(D1597="","",AA1597*Z1597/100)</f>
        <v/>
      </c>
      <c r="Z1597" s="5">
        <f>IF(D1597="","",W1597-X1597)</f>
        <v/>
      </c>
      <c r="AC1597" s="5">
        <f>IF(D1597="","",Z1597-Y1597)</f>
        <v/>
      </c>
      <c r="AD1597">
        <f>IF(D1597="","",N(AD1596)+IF(MATCH(D1597,$D$2:$D$2501,0)=ROW()-1,1,0))</f>
        <v/>
      </c>
    </row>
    <row r="1598">
      <c r="X1598" s="5">
        <f>IF(D1598="","",W1598*IF(AND(ISNUMBER(AB1598),AB1598&gt;0,AB1598&lt;1),AB1598*100,AB1598)/100)</f>
        <v/>
      </c>
      <c r="Y1598" s="5">
        <f>IF(D1598="","",AA1598*Z1598/100)</f>
        <v/>
      </c>
      <c r="Z1598" s="5">
        <f>IF(D1598="","",W1598-X1598)</f>
        <v/>
      </c>
      <c r="AC1598" s="5">
        <f>IF(D1598="","",Z1598-Y1598)</f>
        <v/>
      </c>
      <c r="AD1598">
        <f>IF(D1598="","",N(AD1597)+IF(MATCH(D1598,$D$2:$D$2501,0)=ROW()-1,1,0))</f>
        <v/>
      </c>
    </row>
    <row r="1599">
      <c r="X1599" s="5">
        <f>IF(D1599="","",W1599*IF(AND(ISNUMBER(AB1599),AB1599&gt;0,AB1599&lt;1),AB1599*100,AB1599)/100)</f>
        <v/>
      </c>
      <c r="Y1599" s="5">
        <f>IF(D1599="","",AA1599*Z1599/100)</f>
        <v/>
      </c>
      <c r="Z1599" s="5">
        <f>IF(D1599="","",W1599-X1599)</f>
        <v/>
      </c>
      <c r="AC1599" s="5">
        <f>IF(D1599="","",Z1599-Y1599)</f>
        <v/>
      </c>
      <c r="AD1599">
        <f>IF(D1599="","",N(AD1598)+IF(MATCH(D1599,$D$2:$D$2501,0)=ROW()-1,1,0))</f>
        <v/>
      </c>
    </row>
    <row r="1600">
      <c r="X1600" s="5">
        <f>IF(D1600="","",W1600*IF(AND(ISNUMBER(AB1600),AB1600&gt;0,AB1600&lt;1),AB1600*100,AB1600)/100)</f>
        <v/>
      </c>
      <c r="Y1600" s="5">
        <f>IF(D1600="","",AA1600*Z1600/100)</f>
        <v/>
      </c>
      <c r="Z1600" s="5">
        <f>IF(D1600="","",W1600-X1600)</f>
        <v/>
      </c>
      <c r="AC1600" s="5">
        <f>IF(D1600="","",Z1600-Y1600)</f>
        <v/>
      </c>
      <c r="AD1600">
        <f>IF(D1600="","",N(AD1599)+IF(MATCH(D1600,$D$2:$D$2501,0)=ROW()-1,1,0))</f>
        <v/>
      </c>
    </row>
    <row r="1601">
      <c r="X1601" s="5">
        <f>IF(D1601="","",W1601*IF(AND(ISNUMBER(AB1601),AB1601&gt;0,AB1601&lt;1),AB1601*100,AB1601)/100)</f>
        <v/>
      </c>
      <c r="Y1601" s="5">
        <f>IF(D1601="","",AA1601*Z1601/100)</f>
        <v/>
      </c>
      <c r="Z1601" s="5">
        <f>IF(D1601="","",W1601-X1601)</f>
        <v/>
      </c>
      <c r="AC1601" s="5">
        <f>IF(D1601="","",Z1601-Y1601)</f>
        <v/>
      </c>
      <c r="AD1601">
        <f>IF(D1601="","",N(AD1600)+IF(MATCH(D1601,$D$2:$D$2501,0)=ROW()-1,1,0))</f>
        <v/>
      </c>
    </row>
    <row r="1602">
      <c r="X1602" s="5">
        <f>IF(D1602="","",W1602*IF(AND(ISNUMBER(AB1602),AB1602&gt;0,AB1602&lt;1),AB1602*100,AB1602)/100)</f>
        <v/>
      </c>
      <c r="Y1602" s="5">
        <f>IF(D1602="","",AA1602*Z1602/100)</f>
        <v/>
      </c>
      <c r="Z1602" s="5">
        <f>IF(D1602="","",W1602-X1602)</f>
        <v/>
      </c>
      <c r="AC1602" s="5">
        <f>IF(D1602="","",Z1602-Y1602)</f>
        <v/>
      </c>
      <c r="AD1602">
        <f>IF(D1602="","",N(AD1601)+IF(MATCH(D1602,$D$2:$D$2501,0)=ROW()-1,1,0))</f>
        <v/>
      </c>
    </row>
    <row r="1603">
      <c r="X1603" s="5">
        <f>IF(D1603="","",W1603*IF(AND(ISNUMBER(AB1603),AB1603&gt;0,AB1603&lt;1),AB1603*100,AB1603)/100)</f>
        <v/>
      </c>
      <c r="Y1603" s="5">
        <f>IF(D1603="","",AA1603*Z1603/100)</f>
        <v/>
      </c>
      <c r="Z1603" s="5">
        <f>IF(D1603="","",W1603-X1603)</f>
        <v/>
      </c>
      <c r="AC1603" s="5">
        <f>IF(D1603="","",Z1603-Y1603)</f>
        <v/>
      </c>
      <c r="AD1603">
        <f>IF(D1603="","",N(AD1602)+IF(MATCH(D1603,$D$2:$D$2501,0)=ROW()-1,1,0))</f>
        <v/>
      </c>
    </row>
    <row r="1604">
      <c r="X1604" s="5">
        <f>IF(D1604="","",W1604*IF(AND(ISNUMBER(AB1604),AB1604&gt;0,AB1604&lt;1),AB1604*100,AB1604)/100)</f>
        <v/>
      </c>
      <c r="Y1604" s="5">
        <f>IF(D1604="","",AA1604*Z1604/100)</f>
        <v/>
      </c>
      <c r="Z1604" s="5">
        <f>IF(D1604="","",W1604-X1604)</f>
        <v/>
      </c>
      <c r="AC1604" s="5">
        <f>IF(D1604="","",Z1604-Y1604)</f>
        <v/>
      </c>
      <c r="AD1604">
        <f>IF(D1604="","",N(AD1603)+IF(MATCH(D1604,$D$2:$D$2501,0)=ROW()-1,1,0))</f>
        <v/>
      </c>
    </row>
    <row r="1605">
      <c r="X1605" s="5">
        <f>IF(D1605="","",W1605*IF(AND(ISNUMBER(AB1605),AB1605&gt;0,AB1605&lt;1),AB1605*100,AB1605)/100)</f>
        <v/>
      </c>
      <c r="Y1605" s="5">
        <f>IF(D1605="","",AA1605*Z1605/100)</f>
        <v/>
      </c>
      <c r="Z1605" s="5">
        <f>IF(D1605="","",W1605-X1605)</f>
        <v/>
      </c>
      <c r="AC1605" s="5">
        <f>IF(D1605="","",Z1605-Y1605)</f>
        <v/>
      </c>
      <c r="AD1605">
        <f>IF(D1605="","",N(AD1604)+IF(MATCH(D1605,$D$2:$D$2501,0)=ROW()-1,1,0))</f>
        <v/>
      </c>
    </row>
    <row r="1606">
      <c r="X1606" s="5">
        <f>IF(D1606="","",W1606*IF(AND(ISNUMBER(AB1606),AB1606&gt;0,AB1606&lt;1),AB1606*100,AB1606)/100)</f>
        <v/>
      </c>
      <c r="Y1606" s="5">
        <f>IF(D1606="","",AA1606*Z1606/100)</f>
        <v/>
      </c>
      <c r="Z1606" s="5">
        <f>IF(D1606="","",W1606-X1606)</f>
        <v/>
      </c>
      <c r="AC1606" s="5">
        <f>IF(D1606="","",Z1606-Y1606)</f>
        <v/>
      </c>
      <c r="AD1606">
        <f>IF(D1606="","",N(AD1605)+IF(MATCH(D1606,$D$2:$D$2501,0)=ROW()-1,1,0))</f>
        <v/>
      </c>
    </row>
    <row r="1607">
      <c r="X1607" s="5">
        <f>IF(D1607="","",W1607*IF(AND(ISNUMBER(AB1607),AB1607&gt;0,AB1607&lt;1),AB1607*100,AB1607)/100)</f>
        <v/>
      </c>
      <c r="Y1607" s="5">
        <f>IF(D1607="","",AA1607*Z1607/100)</f>
        <v/>
      </c>
      <c r="Z1607" s="5">
        <f>IF(D1607="","",W1607-X1607)</f>
        <v/>
      </c>
      <c r="AC1607" s="5">
        <f>IF(D1607="","",Z1607-Y1607)</f>
        <v/>
      </c>
      <c r="AD1607">
        <f>IF(D1607="","",N(AD1606)+IF(MATCH(D1607,$D$2:$D$2501,0)=ROW()-1,1,0))</f>
        <v/>
      </c>
    </row>
    <row r="1608">
      <c r="X1608" s="5">
        <f>IF(D1608="","",W1608*IF(AND(ISNUMBER(AB1608),AB1608&gt;0,AB1608&lt;1),AB1608*100,AB1608)/100)</f>
        <v/>
      </c>
      <c r="Y1608" s="5">
        <f>IF(D1608="","",AA1608*Z1608/100)</f>
        <v/>
      </c>
      <c r="Z1608" s="5">
        <f>IF(D1608="","",W1608-X1608)</f>
        <v/>
      </c>
      <c r="AC1608" s="5">
        <f>IF(D1608="","",Z1608-Y1608)</f>
        <v/>
      </c>
      <c r="AD1608">
        <f>IF(D1608="","",N(AD1607)+IF(MATCH(D1608,$D$2:$D$2501,0)=ROW()-1,1,0))</f>
        <v/>
      </c>
    </row>
    <row r="1609">
      <c r="X1609" s="5">
        <f>IF(D1609="","",W1609*IF(AND(ISNUMBER(AB1609),AB1609&gt;0,AB1609&lt;1),AB1609*100,AB1609)/100)</f>
        <v/>
      </c>
      <c r="Y1609" s="5">
        <f>IF(D1609="","",AA1609*Z1609/100)</f>
        <v/>
      </c>
      <c r="Z1609" s="5">
        <f>IF(D1609="","",W1609-X1609)</f>
        <v/>
      </c>
      <c r="AC1609" s="5">
        <f>IF(D1609="","",Z1609-Y1609)</f>
        <v/>
      </c>
      <c r="AD1609">
        <f>IF(D1609="","",N(AD1608)+IF(MATCH(D1609,$D$2:$D$2501,0)=ROW()-1,1,0))</f>
        <v/>
      </c>
    </row>
    <row r="1610">
      <c r="X1610" s="5">
        <f>IF(D1610="","",W1610*IF(AND(ISNUMBER(AB1610),AB1610&gt;0,AB1610&lt;1),AB1610*100,AB1610)/100)</f>
        <v/>
      </c>
      <c r="Y1610" s="5">
        <f>IF(D1610="","",AA1610*Z1610/100)</f>
        <v/>
      </c>
      <c r="Z1610" s="5">
        <f>IF(D1610="","",W1610-X1610)</f>
        <v/>
      </c>
      <c r="AC1610" s="5">
        <f>IF(D1610="","",Z1610-Y1610)</f>
        <v/>
      </c>
      <c r="AD1610">
        <f>IF(D1610="","",N(AD1609)+IF(MATCH(D1610,$D$2:$D$2501,0)=ROW()-1,1,0))</f>
        <v/>
      </c>
    </row>
    <row r="1611">
      <c r="X1611" s="5">
        <f>IF(D1611="","",W1611*IF(AND(ISNUMBER(AB1611),AB1611&gt;0,AB1611&lt;1),AB1611*100,AB1611)/100)</f>
        <v/>
      </c>
      <c r="Y1611" s="5">
        <f>IF(D1611="","",AA1611*Z1611/100)</f>
        <v/>
      </c>
      <c r="Z1611" s="5">
        <f>IF(D1611="","",W1611-X1611)</f>
        <v/>
      </c>
      <c r="AC1611" s="5">
        <f>IF(D1611="","",Z1611-Y1611)</f>
        <v/>
      </c>
      <c r="AD1611">
        <f>IF(D1611="","",N(AD1610)+IF(MATCH(D1611,$D$2:$D$2501,0)=ROW()-1,1,0))</f>
        <v/>
      </c>
    </row>
    <row r="1612">
      <c r="X1612" s="5">
        <f>IF(D1612="","",W1612*IF(AND(ISNUMBER(AB1612),AB1612&gt;0,AB1612&lt;1),AB1612*100,AB1612)/100)</f>
        <v/>
      </c>
      <c r="Y1612" s="5">
        <f>IF(D1612="","",AA1612*Z1612/100)</f>
        <v/>
      </c>
      <c r="Z1612" s="5">
        <f>IF(D1612="","",W1612-X1612)</f>
        <v/>
      </c>
      <c r="AC1612" s="5">
        <f>IF(D1612="","",Z1612-Y1612)</f>
        <v/>
      </c>
      <c r="AD1612">
        <f>IF(D1612="","",N(AD1611)+IF(MATCH(D1612,$D$2:$D$2501,0)=ROW()-1,1,0))</f>
        <v/>
      </c>
    </row>
    <row r="1613">
      <c r="X1613" s="5">
        <f>IF(D1613="","",W1613*IF(AND(ISNUMBER(AB1613),AB1613&gt;0,AB1613&lt;1),AB1613*100,AB1613)/100)</f>
        <v/>
      </c>
      <c r="Y1613" s="5">
        <f>IF(D1613="","",AA1613*Z1613/100)</f>
        <v/>
      </c>
      <c r="Z1613" s="5">
        <f>IF(D1613="","",W1613-X1613)</f>
        <v/>
      </c>
      <c r="AC1613" s="5">
        <f>IF(D1613="","",Z1613-Y1613)</f>
        <v/>
      </c>
      <c r="AD1613">
        <f>IF(D1613="","",N(AD1612)+IF(MATCH(D1613,$D$2:$D$2501,0)=ROW()-1,1,0))</f>
        <v/>
      </c>
    </row>
    <row r="1614">
      <c r="X1614" s="5">
        <f>IF(D1614="","",W1614*IF(AND(ISNUMBER(AB1614),AB1614&gt;0,AB1614&lt;1),AB1614*100,AB1614)/100)</f>
        <v/>
      </c>
      <c r="Y1614" s="5">
        <f>IF(D1614="","",AA1614*Z1614/100)</f>
        <v/>
      </c>
      <c r="Z1614" s="5">
        <f>IF(D1614="","",W1614-X1614)</f>
        <v/>
      </c>
      <c r="AC1614" s="5">
        <f>IF(D1614="","",Z1614-Y1614)</f>
        <v/>
      </c>
      <c r="AD1614">
        <f>IF(D1614="","",N(AD1613)+IF(MATCH(D1614,$D$2:$D$2501,0)=ROW()-1,1,0))</f>
        <v/>
      </c>
    </row>
    <row r="1615">
      <c r="X1615" s="5">
        <f>IF(D1615="","",W1615*IF(AND(ISNUMBER(AB1615),AB1615&gt;0,AB1615&lt;1),AB1615*100,AB1615)/100)</f>
        <v/>
      </c>
      <c r="Y1615" s="5">
        <f>IF(D1615="","",AA1615*Z1615/100)</f>
        <v/>
      </c>
      <c r="Z1615" s="5">
        <f>IF(D1615="","",W1615-X1615)</f>
        <v/>
      </c>
      <c r="AC1615" s="5">
        <f>IF(D1615="","",Z1615-Y1615)</f>
        <v/>
      </c>
      <c r="AD1615">
        <f>IF(D1615="","",N(AD1614)+IF(MATCH(D1615,$D$2:$D$2501,0)=ROW()-1,1,0))</f>
        <v/>
      </c>
    </row>
    <row r="1616">
      <c r="X1616" s="5">
        <f>IF(D1616="","",W1616*IF(AND(ISNUMBER(AB1616),AB1616&gt;0,AB1616&lt;1),AB1616*100,AB1616)/100)</f>
        <v/>
      </c>
      <c r="Y1616" s="5">
        <f>IF(D1616="","",AA1616*Z1616/100)</f>
        <v/>
      </c>
      <c r="Z1616" s="5">
        <f>IF(D1616="","",W1616-X1616)</f>
        <v/>
      </c>
      <c r="AC1616" s="5">
        <f>IF(D1616="","",Z1616-Y1616)</f>
        <v/>
      </c>
      <c r="AD1616">
        <f>IF(D1616="","",N(AD1615)+IF(MATCH(D1616,$D$2:$D$2501,0)=ROW()-1,1,0))</f>
        <v/>
      </c>
    </row>
    <row r="1617">
      <c r="X1617" s="5">
        <f>IF(D1617="","",W1617*IF(AND(ISNUMBER(AB1617),AB1617&gt;0,AB1617&lt;1),AB1617*100,AB1617)/100)</f>
        <v/>
      </c>
      <c r="Y1617" s="5">
        <f>IF(D1617="","",AA1617*Z1617/100)</f>
        <v/>
      </c>
      <c r="Z1617" s="5">
        <f>IF(D1617="","",W1617-X1617)</f>
        <v/>
      </c>
      <c r="AC1617" s="5">
        <f>IF(D1617="","",Z1617-Y1617)</f>
        <v/>
      </c>
      <c r="AD1617">
        <f>IF(D1617="","",N(AD1616)+IF(MATCH(D1617,$D$2:$D$2501,0)=ROW()-1,1,0))</f>
        <v/>
      </c>
    </row>
    <row r="1618">
      <c r="X1618" s="5">
        <f>IF(D1618="","",W1618*IF(AND(ISNUMBER(AB1618),AB1618&gt;0,AB1618&lt;1),AB1618*100,AB1618)/100)</f>
        <v/>
      </c>
      <c r="Y1618" s="5">
        <f>IF(D1618="","",AA1618*Z1618/100)</f>
        <v/>
      </c>
      <c r="Z1618" s="5">
        <f>IF(D1618="","",W1618-X1618)</f>
        <v/>
      </c>
      <c r="AC1618" s="5">
        <f>IF(D1618="","",Z1618-Y1618)</f>
        <v/>
      </c>
      <c r="AD1618">
        <f>IF(D1618="","",N(AD1617)+IF(MATCH(D1618,$D$2:$D$2501,0)=ROW()-1,1,0))</f>
        <v/>
      </c>
    </row>
    <row r="1619">
      <c r="X1619" s="5">
        <f>IF(D1619="","",W1619*IF(AND(ISNUMBER(AB1619),AB1619&gt;0,AB1619&lt;1),AB1619*100,AB1619)/100)</f>
        <v/>
      </c>
      <c r="Y1619" s="5">
        <f>IF(D1619="","",AA1619*Z1619/100)</f>
        <v/>
      </c>
      <c r="Z1619" s="5">
        <f>IF(D1619="","",W1619-X1619)</f>
        <v/>
      </c>
      <c r="AC1619" s="5">
        <f>IF(D1619="","",Z1619-Y1619)</f>
        <v/>
      </c>
      <c r="AD1619">
        <f>IF(D1619="","",N(AD1618)+IF(MATCH(D1619,$D$2:$D$2501,0)=ROW()-1,1,0))</f>
        <v/>
      </c>
    </row>
    <row r="1620">
      <c r="X1620" s="5">
        <f>IF(D1620="","",W1620*IF(AND(ISNUMBER(AB1620),AB1620&gt;0,AB1620&lt;1),AB1620*100,AB1620)/100)</f>
        <v/>
      </c>
      <c r="Y1620" s="5">
        <f>IF(D1620="","",AA1620*Z1620/100)</f>
        <v/>
      </c>
      <c r="Z1620" s="5">
        <f>IF(D1620="","",W1620-X1620)</f>
        <v/>
      </c>
      <c r="AC1620" s="5">
        <f>IF(D1620="","",Z1620-Y1620)</f>
        <v/>
      </c>
      <c r="AD1620">
        <f>IF(D1620="","",N(AD1619)+IF(MATCH(D1620,$D$2:$D$2501,0)=ROW()-1,1,0))</f>
        <v/>
      </c>
    </row>
    <row r="1621">
      <c r="X1621" s="5">
        <f>IF(D1621="","",W1621*IF(AND(ISNUMBER(AB1621),AB1621&gt;0,AB1621&lt;1),AB1621*100,AB1621)/100)</f>
        <v/>
      </c>
      <c r="Y1621" s="5">
        <f>IF(D1621="","",AA1621*Z1621/100)</f>
        <v/>
      </c>
      <c r="Z1621" s="5">
        <f>IF(D1621="","",W1621-X1621)</f>
        <v/>
      </c>
      <c r="AC1621" s="5">
        <f>IF(D1621="","",Z1621-Y1621)</f>
        <v/>
      </c>
      <c r="AD1621">
        <f>IF(D1621="","",N(AD1620)+IF(MATCH(D1621,$D$2:$D$2501,0)=ROW()-1,1,0))</f>
        <v/>
      </c>
    </row>
    <row r="1622">
      <c r="X1622" s="5">
        <f>IF(D1622="","",W1622*IF(AND(ISNUMBER(AB1622),AB1622&gt;0,AB1622&lt;1),AB1622*100,AB1622)/100)</f>
        <v/>
      </c>
      <c r="Y1622" s="5">
        <f>IF(D1622="","",AA1622*Z1622/100)</f>
        <v/>
      </c>
      <c r="Z1622" s="5">
        <f>IF(D1622="","",W1622-X1622)</f>
        <v/>
      </c>
      <c r="AC1622" s="5">
        <f>IF(D1622="","",Z1622-Y1622)</f>
        <v/>
      </c>
      <c r="AD1622">
        <f>IF(D1622="","",N(AD1621)+IF(MATCH(D1622,$D$2:$D$2501,0)=ROW()-1,1,0))</f>
        <v/>
      </c>
    </row>
    <row r="1623">
      <c r="X1623" s="5">
        <f>IF(D1623="","",W1623*IF(AND(ISNUMBER(AB1623),AB1623&gt;0,AB1623&lt;1),AB1623*100,AB1623)/100)</f>
        <v/>
      </c>
      <c r="Y1623" s="5">
        <f>IF(D1623="","",AA1623*Z1623/100)</f>
        <v/>
      </c>
      <c r="Z1623" s="5">
        <f>IF(D1623="","",W1623-X1623)</f>
        <v/>
      </c>
      <c r="AC1623" s="5">
        <f>IF(D1623="","",Z1623-Y1623)</f>
        <v/>
      </c>
      <c r="AD1623">
        <f>IF(D1623="","",N(AD1622)+IF(MATCH(D1623,$D$2:$D$2501,0)=ROW()-1,1,0))</f>
        <v/>
      </c>
    </row>
    <row r="1624">
      <c r="X1624" s="5">
        <f>IF(D1624="","",W1624*IF(AND(ISNUMBER(AB1624),AB1624&gt;0,AB1624&lt;1),AB1624*100,AB1624)/100)</f>
        <v/>
      </c>
      <c r="Y1624" s="5">
        <f>IF(D1624="","",AA1624*Z1624/100)</f>
        <v/>
      </c>
      <c r="Z1624" s="5">
        <f>IF(D1624="","",W1624-X1624)</f>
        <v/>
      </c>
      <c r="AC1624" s="5">
        <f>IF(D1624="","",Z1624-Y1624)</f>
        <v/>
      </c>
      <c r="AD1624">
        <f>IF(D1624="","",N(AD1623)+IF(MATCH(D1624,$D$2:$D$2501,0)=ROW()-1,1,0))</f>
        <v/>
      </c>
    </row>
    <row r="1625">
      <c r="X1625" s="5">
        <f>IF(D1625="","",W1625*IF(AND(ISNUMBER(AB1625),AB1625&gt;0,AB1625&lt;1),AB1625*100,AB1625)/100)</f>
        <v/>
      </c>
      <c r="Y1625" s="5">
        <f>IF(D1625="","",AA1625*Z1625/100)</f>
        <v/>
      </c>
      <c r="Z1625" s="5">
        <f>IF(D1625="","",W1625-X1625)</f>
        <v/>
      </c>
      <c r="AC1625" s="5">
        <f>IF(D1625="","",Z1625-Y1625)</f>
        <v/>
      </c>
      <c r="AD1625">
        <f>IF(D1625="","",N(AD1624)+IF(MATCH(D1625,$D$2:$D$2501,0)=ROW()-1,1,0))</f>
        <v/>
      </c>
    </row>
    <row r="1626">
      <c r="X1626" s="5">
        <f>IF(D1626="","",W1626*IF(AND(ISNUMBER(AB1626),AB1626&gt;0,AB1626&lt;1),AB1626*100,AB1626)/100)</f>
        <v/>
      </c>
      <c r="Y1626" s="5">
        <f>IF(D1626="","",AA1626*Z1626/100)</f>
        <v/>
      </c>
      <c r="Z1626" s="5">
        <f>IF(D1626="","",W1626-X1626)</f>
        <v/>
      </c>
      <c r="AC1626" s="5">
        <f>IF(D1626="","",Z1626-Y1626)</f>
        <v/>
      </c>
      <c r="AD1626">
        <f>IF(D1626="","",N(AD1625)+IF(MATCH(D1626,$D$2:$D$2501,0)=ROW()-1,1,0))</f>
        <v/>
      </c>
    </row>
    <row r="1627">
      <c r="X1627" s="5">
        <f>IF(D1627="","",W1627*IF(AND(ISNUMBER(AB1627),AB1627&gt;0,AB1627&lt;1),AB1627*100,AB1627)/100)</f>
        <v/>
      </c>
      <c r="Y1627" s="5">
        <f>IF(D1627="","",AA1627*Z1627/100)</f>
        <v/>
      </c>
      <c r="Z1627" s="5">
        <f>IF(D1627="","",W1627-X1627)</f>
        <v/>
      </c>
      <c r="AC1627" s="5">
        <f>IF(D1627="","",Z1627-Y1627)</f>
        <v/>
      </c>
      <c r="AD1627">
        <f>IF(D1627="","",N(AD1626)+IF(MATCH(D1627,$D$2:$D$2501,0)=ROW()-1,1,0))</f>
        <v/>
      </c>
    </row>
    <row r="1628">
      <c r="X1628" s="5">
        <f>IF(D1628="","",W1628*IF(AND(ISNUMBER(AB1628),AB1628&gt;0,AB1628&lt;1),AB1628*100,AB1628)/100)</f>
        <v/>
      </c>
      <c r="Y1628" s="5">
        <f>IF(D1628="","",AA1628*Z1628/100)</f>
        <v/>
      </c>
      <c r="Z1628" s="5">
        <f>IF(D1628="","",W1628-X1628)</f>
        <v/>
      </c>
      <c r="AC1628" s="5">
        <f>IF(D1628="","",Z1628-Y1628)</f>
        <v/>
      </c>
      <c r="AD1628">
        <f>IF(D1628="","",N(AD1627)+IF(MATCH(D1628,$D$2:$D$2501,0)=ROW()-1,1,0))</f>
        <v/>
      </c>
    </row>
    <row r="1629">
      <c r="X1629" s="5">
        <f>IF(D1629="","",W1629*IF(AND(ISNUMBER(AB1629),AB1629&gt;0,AB1629&lt;1),AB1629*100,AB1629)/100)</f>
        <v/>
      </c>
      <c r="Y1629" s="5">
        <f>IF(D1629="","",AA1629*Z1629/100)</f>
        <v/>
      </c>
      <c r="Z1629" s="5">
        <f>IF(D1629="","",W1629-X1629)</f>
        <v/>
      </c>
      <c r="AC1629" s="5">
        <f>IF(D1629="","",Z1629-Y1629)</f>
        <v/>
      </c>
      <c r="AD1629">
        <f>IF(D1629="","",N(AD1628)+IF(MATCH(D1629,$D$2:$D$2501,0)=ROW()-1,1,0))</f>
        <v/>
      </c>
    </row>
    <row r="1630">
      <c r="X1630" s="5">
        <f>IF(D1630="","",W1630*IF(AND(ISNUMBER(AB1630),AB1630&gt;0,AB1630&lt;1),AB1630*100,AB1630)/100)</f>
        <v/>
      </c>
      <c r="Y1630" s="5">
        <f>IF(D1630="","",AA1630*Z1630/100)</f>
        <v/>
      </c>
      <c r="Z1630" s="5">
        <f>IF(D1630="","",W1630-X1630)</f>
        <v/>
      </c>
      <c r="AC1630" s="5">
        <f>IF(D1630="","",Z1630-Y1630)</f>
        <v/>
      </c>
      <c r="AD1630">
        <f>IF(D1630="","",N(AD1629)+IF(MATCH(D1630,$D$2:$D$2501,0)=ROW()-1,1,0))</f>
        <v/>
      </c>
    </row>
    <row r="1631">
      <c r="X1631" s="5">
        <f>IF(D1631="","",W1631*IF(AND(ISNUMBER(AB1631),AB1631&gt;0,AB1631&lt;1),AB1631*100,AB1631)/100)</f>
        <v/>
      </c>
      <c r="Y1631" s="5">
        <f>IF(D1631="","",AA1631*Z1631/100)</f>
        <v/>
      </c>
      <c r="Z1631" s="5">
        <f>IF(D1631="","",W1631-X1631)</f>
        <v/>
      </c>
      <c r="AC1631" s="5">
        <f>IF(D1631="","",Z1631-Y1631)</f>
        <v/>
      </c>
      <c r="AD1631">
        <f>IF(D1631="","",N(AD1630)+IF(MATCH(D1631,$D$2:$D$2501,0)=ROW()-1,1,0))</f>
        <v/>
      </c>
    </row>
    <row r="1632">
      <c r="X1632" s="5">
        <f>IF(D1632="","",W1632*IF(AND(ISNUMBER(AB1632),AB1632&gt;0,AB1632&lt;1),AB1632*100,AB1632)/100)</f>
        <v/>
      </c>
      <c r="Y1632" s="5">
        <f>IF(D1632="","",AA1632*Z1632/100)</f>
        <v/>
      </c>
      <c r="Z1632" s="5">
        <f>IF(D1632="","",W1632-X1632)</f>
        <v/>
      </c>
      <c r="AC1632" s="5">
        <f>IF(D1632="","",Z1632-Y1632)</f>
        <v/>
      </c>
      <c r="AD1632">
        <f>IF(D1632="","",N(AD1631)+IF(MATCH(D1632,$D$2:$D$2501,0)=ROW()-1,1,0))</f>
        <v/>
      </c>
    </row>
    <row r="1633">
      <c r="X1633" s="5">
        <f>IF(D1633="","",W1633*IF(AND(ISNUMBER(AB1633),AB1633&gt;0,AB1633&lt;1),AB1633*100,AB1633)/100)</f>
        <v/>
      </c>
      <c r="Y1633" s="5">
        <f>IF(D1633="","",AA1633*Z1633/100)</f>
        <v/>
      </c>
      <c r="Z1633" s="5">
        <f>IF(D1633="","",W1633-X1633)</f>
        <v/>
      </c>
      <c r="AC1633" s="5">
        <f>IF(D1633="","",Z1633-Y1633)</f>
        <v/>
      </c>
      <c r="AD1633">
        <f>IF(D1633="","",N(AD1632)+IF(MATCH(D1633,$D$2:$D$2501,0)=ROW()-1,1,0))</f>
        <v/>
      </c>
    </row>
    <row r="1634">
      <c r="X1634" s="5">
        <f>IF(D1634="","",W1634*IF(AND(ISNUMBER(AB1634),AB1634&gt;0,AB1634&lt;1),AB1634*100,AB1634)/100)</f>
        <v/>
      </c>
      <c r="Y1634" s="5">
        <f>IF(D1634="","",AA1634*Z1634/100)</f>
        <v/>
      </c>
      <c r="Z1634" s="5">
        <f>IF(D1634="","",W1634-X1634)</f>
        <v/>
      </c>
      <c r="AC1634" s="5">
        <f>IF(D1634="","",Z1634-Y1634)</f>
        <v/>
      </c>
      <c r="AD1634">
        <f>IF(D1634="","",N(AD1633)+IF(MATCH(D1634,$D$2:$D$2501,0)=ROW()-1,1,0))</f>
        <v/>
      </c>
    </row>
    <row r="1635">
      <c r="X1635" s="5">
        <f>IF(D1635="","",W1635*IF(AND(ISNUMBER(AB1635),AB1635&gt;0,AB1635&lt;1),AB1635*100,AB1635)/100)</f>
        <v/>
      </c>
      <c r="Y1635" s="5">
        <f>IF(D1635="","",AA1635*Z1635/100)</f>
        <v/>
      </c>
      <c r="Z1635" s="5">
        <f>IF(D1635="","",W1635-X1635)</f>
        <v/>
      </c>
      <c r="AC1635" s="5">
        <f>IF(D1635="","",Z1635-Y1635)</f>
        <v/>
      </c>
      <c r="AD1635">
        <f>IF(D1635="","",N(AD1634)+IF(MATCH(D1635,$D$2:$D$2501,0)=ROW()-1,1,0))</f>
        <v/>
      </c>
    </row>
    <row r="1636">
      <c r="X1636" s="5">
        <f>IF(D1636="","",W1636*IF(AND(ISNUMBER(AB1636),AB1636&gt;0,AB1636&lt;1),AB1636*100,AB1636)/100)</f>
        <v/>
      </c>
      <c r="Y1636" s="5">
        <f>IF(D1636="","",AA1636*Z1636/100)</f>
        <v/>
      </c>
      <c r="Z1636" s="5">
        <f>IF(D1636="","",W1636-X1636)</f>
        <v/>
      </c>
      <c r="AC1636" s="5">
        <f>IF(D1636="","",Z1636-Y1636)</f>
        <v/>
      </c>
      <c r="AD1636">
        <f>IF(D1636="","",N(AD1635)+IF(MATCH(D1636,$D$2:$D$2501,0)=ROW()-1,1,0))</f>
        <v/>
      </c>
    </row>
    <row r="1637">
      <c r="X1637" s="5">
        <f>IF(D1637="","",W1637*IF(AND(ISNUMBER(AB1637),AB1637&gt;0,AB1637&lt;1),AB1637*100,AB1637)/100)</f>
        <v/>
      </c>
      <c r="Y1637" s="5">
        <f>IF(D1637="","",AA1637*Z1637/100)</f>
        <v/>
      </c>
      <c r="Z1637" s="5">
        <f>IF(D1637="","",W1637-X1637)</f>
        <v/>
      </c>
      <c r="AC1637" s="5">
        <f>IF(D1637="","",Z1637-Y1637)</f>
        <v/>
      </c>
      <c r="AD1637">
        <f>IF(D1637="","",N(AD1636)+IF(MATCH(D1637,$D$2:$D$2501,0)=ROW()-1,1,0))</f>
        <v/>
      </c>
    </row>
    <row r="1638">
      <c r="X1638" s="5">
        <f>IF(D1638="","",W1638*IF(AND(ISNUMBER(AB1638),AB1638&gt;0,AB1638&lt;1),AB1638*100,AB1638)/100)</f>
        <v/>
      </c>
      <c r="Y1638" s="5">
        <f>IF(D1638="","",AA1638*Z1638/100)</f>
        <v/>
      </c>
      <c r="Z1638" s="5">
        <f>IF(D1638="","",W1638-X1638)</f>
        <v/>
      </c>
      <c r="AC1638" s="5">
        <f>IF(D1638="","",Z1638-Y1638)</f>
        <v/>
      </c>
      <c r="AD1638">
        <f>IF(D1638="","",N(AD1637)+IF(MATCH(D1638,$D$2:$D$2501,0)=ROW()-1,1,0))</f>
        <v/>
      </c>
    </row>
    <row r="1639">
      <c r="X1639" s="5">
        <f>IF(D1639="","",W1639*IF(AND(ISNUMBER(AB1639),AB1639&gt;0,AB1639&lt;1),AB1639*100,AB1639)/100)</f>
        <v/>
      </c>
      <c r="Y1639" s="5">
        <f>IF(D1639="","",AA1639*Z1639/100)</f>
        <v/>
      </c>
      <c r="Z1639" s="5">
        <f>IF(D1639="","",W1639-X1639)</f>
        <v/>
      </c>
      <c r="AC1639" s="5">
        <f>IF(D1639="","",Z1639-Y1639)</f>
        <v/>
      </c>
      <c r="AD1639">
        <f>IF(D1639="","",N(AD1638)+IF(MATCH(D1639,$D$2:$D$2501,0)=ROW()-1,1,0))</f>
        <v/>
      </c>
    </row>
    <row r="1640">
      <c r="X1640" s="5">
        <f>IF(D1640="","",W1640*IF(AND(ISNUMBER(AB1640),AB1640&gt;0,AB1640&lt;1),AB1640*100,AB1640)/100)</f>
        <v/>
      </c>
      <c r="Y1640" s="5">
        <f>IF(D1640="","",AA1640*Z1640/100)</f>
        <v/>
      </c>
      <c r="Z1640" s="5">
        <f>IF(D1640="","",W1640-X1640)</f>
        <v/>
      </c>
      <c r="AC1640" s="5">
        <f>IF(D1640="","",Z1640-Y1640)</f>
        <v/>
      </c>
      <c r="AD1640">
        <f>IF(D1640="","",N(AD1639)+IF(MATCH(D1640,$D$2:$D$2501,0)=ROW()-1,1,0))</f>
        <v/>
      </c>
    </row>
    <row r="1641">
      <c r="X1641" s="5">
        <f>IF(D1641="","",W1641*IF(AND(ISNUMBER(AB1641),AB1641&gt;0,AB1641&lt;1),AB1641*100,AB1641)/100)</f>
        <v/>
      </c>
      <c r="Y1641" s="5">
        <f>IF(D1641="","",AA1641*Z1641/100)</f>
        <v/>
      </c>
      <c r="Z1641" s="5">
        <f>IF(D1641="","",W1641-X1641)</f>
        <v/>
      </c>
      <c r="AC1641" s="5">
        <f>IF(D1641="","",Z1641-Y1641)</f>
        <v/>
      </c>
      <c r="AD1641">
        <f>IF(D1641="","",N(AD1640)+IF(MATCH(D1641,$D$2:$D$2501,0)=ROW()-1,1,0))</f>
        <v/>
      </c>
    </row>
    <row r="1642">
      <c r="X1642" s="5">
        <f>IF(D1642="","",W1642*IF(AND(ISNUMBER(AB1642),AB1642&gt;0,AB1642&lt;1),AB1642*100,AB1642)/100)</f>
        <v/>
      </c>
      <c r="Y1642" s="5">
        <f>IF(D1642="","",AA1642*Z1642/100)</f>
        <v/>
      </c>
      <c r="Z1642" s="5">
        <f>IF(D1642="","",W1642-X1642)</f>
        <v/>
      </c>
      <c r="AC1642" s="5">
        <f>IF(D1642="","",Z1642-Y1642)</f>
        <v/>
      </c>
      <c r="AD1642">
        <f>IF(D1642="","",N(AD1641)+IF(MATCH(D1642,$D$2:$D$2501,0)=ROW()-1,1,0))</f>
        <v/>
      </c>
    </row>
    <row r="1643">
      <c r="X1643" s="5">
        <f>IF(D1643="","",W1643*IF(AND(ISNUMBER(AB1643),AB1643&gt;0,AB1643&lt;1),AB1643*100,AB1643)/100)</f>
        <v/>
      </c>
      <c r="Y1643" s="5">
        <f>IF(D1643="","",AA1643*Z1643/100)</f>
        <v/>
      </c>
      <c r="Z1643" s="5">
        <f>IF(D1643="","",W1643-X1643)</f>
        <v/>
      </c>
      <c r="AC1643" s="5">
        <f>IF(D1643="","",Z1643-Y1643)</f>
        <v/>
      </c>
      <c r="AD1643">
        <f>IF(D1643="","",N(AD1642)+IF(MATCH(D1643,$D$2:$D$2501,0)=ROW()-1,1,0))</f>
        <v/>
      </c>
    </row>
    <row r="1644">
      <c r="X1644" s="5">
        <f>IF(D1644="","",W1644*IF(AND(ISNUMBER(AB1644),AB1644&gt;0,AB1644&lt;1),AB1644*100,AB1644)/100)</f>
        <v/>
      </c>
      <c r="Y1644" s="5">
        <f>IF(D1644="","",AA1644*Z1644/100)</f>
        <v/>
      </c>
      <c r="Z1644" s="5">
        <f>IF(D1644="","",W1644-X1644)</f>
        <v/>
      </c>
      <c r="AC1644" s="5">
        <f>IF(D1644="","",Z1644-Y1644)</f>
        <v/>
      </c>
      <c r="AD1644">
        <f>IF(D1644="","",N(AD1643)+IF(MATCH(D1644,$D$2:$D$2501,0)=ROW()-1,1,0))</f>
        <v/>
      </c>
    </row>
    <row r="1645">
      <c r="X1645" s="5">
        <f>IF(D1645="","",W1645*IF(AND(ISNUMBER(AB1645),AB1645&gt;0,AB1645&lt;1),AB1645*100,AB1645)/100)</f>
        <v/>
      </c>
      <c r="Y1645" s="5">
        <f>IF(D1645="","",AA1645*Z1645/100)</f>
        <v/>
      </c>
      <c r="Z1645" s="5">
        <f>IF(D1645="","",W1645-X1645)</f>
        <v/>
      </c>
      <c r="AC1645" s="5">
        <f>IF(D1645="","",Z1645-Y1645)</f>
        <v/>
      </c>
      <c r="AD1645">
        <f>IF(D1645="","",N(AD1644)+IF(MATCH(D1645,$D$2:$D$2501,0)=ROW()-1,1,0))</f>
        <v/>
      </c>
    </row>
    <row r="1646">
      <c r="X1646" s="5">
        <f>IF(D1646="","",W1646*IF(AND(ISNUMBER(AB1646),AB1646&gt;0,AB1646&lt;1),AB1646*100,AB1646)/100)</f>
        <v/>
      </c>
      <c r="Y1646" s="5">
        <f>IF(D1646="","",AA1646*Z1646/100)</f>
        <v/>
      </c>
      <c r="Z1646" s="5">
        <f>IF(D1646="","",W1646-X1646)</f>
        <v/>
      </c>
      <c r="AC1646" s="5">
        <f>IF(D1646="","",Z1646-Y1646)</f>
        <v/>
      </c>
      <c r="AD1646">
        <f>IF(D1646="","",N(AD1645)+IF(MATCH(D1646,$D$2:$D$2501,0)=ROW()-1,1,0))</f>
        <v/>
      </c>
    </row>
    <row r="1647">
      <c r="X1647" s="5">
        <f>IF(D1647="","",W1647*IF(AND(ISNUMBER(AB1647),AB1647&gt;0,AB1647&lt;1),AB1647*100,AB1647)/100)</f>
        <v/>
      </c>
      <c r="Y1647" s="5">
        <f>IF(D1647="","",AA1647*Z1647/100)</f>
        <v/>
      </c>
      <c r="Z1647" s="5">
        <f>IF(D1647="","",W1647-X1647)</f>
        <v/>
      </c>
      <c r="AC1647" s="5">
        <f>IF(D1647="","",Z1647-Y1647)</f>
        <v/>
      </c>
      <c r="AD1647">
        <f>IF(D1647="","",N(AD1646)+IF(MATCH(D1647,$D$2:$D$2501,0)=ROW()-1,1,0))</f>
        <v/>
      </c>
    </row>
    <row r="1648">
      <c r="X1648" s="5">
        <f>IF(D1648="","",W1648*IF(AND(ISNUMBER(AB1648),AB1648&gt;0,AB1648&lt;1),AB1648*100,AB1648)/100)</f>
        <v/>
      </c>
      <c r="Y1648" s="5">
        <f>IF(D1648="","",AA1648*Z1648/100)</f>
        <v/>
      </c>
      <c r="Z1648" s="5">
        <f>IF(D1648="","",W1648-X1648)</f>
        <v/>
      </c>
      <c r="AC1648" s="5">
        <f>IF(D1648="","",Z1648-Y1648)</f>
        <v/>
      </c>
      <c r="AD1648">
        <f>IF(D1648="","",N(AD1647)+IF(MATCH(D1648,$D$2:$D$2501,0)=ROW()-1,1,0))</f>
        <v/>
      </c>
    </row>
    <row r="1649">
      <c r="X1649" s="5">
        <f>IF(D1649="","",W1649*IF(AND(ISNUMBER(AB1649),AB1649&gt;0,AB1649&lt;1),AB1649*100,AB1649)/100)</f>
        <v/>
      </c>
      <c r="Y1649" s="5">
        <f>IF(D1649="","",AA1649*Z1649/100)</f>
        <v/>
      </c>
      <c r="Z1649" s="5">
        <f>IF(D1649="","",W1649-X1649)</f>
        <v/>
      </c>
      <c r="AC1649" s="5">
        <f>IF(D1649="","",Z1649-Y1649)</f>
        <v/>
      </c>
      <c r="AD1649">
        <f>IF(D1649="","",N(AD1648)+IF(MATCH(D1649,$D$2:$D$2501,0)=ROW()-1,1,0))</f>
        <v/>
      </c>
    </row>
    <row r="1650">
      <c r="X1650" s="5">
        <f>IF(D1650="","",W1650*IF(AND(ISNUMBER(AB1650),AB1650&gt;0,AB1650&lt;1),AB1650*100,AB1650)/100)</f>
        <v/>
      </c>
      <c r="Y1650" s="5">
        <f>IF(D1650="","",AA1650*Z1650/100)</f>
        <v/>
      </c>
      <c r="Z1650" s="5">
        <f>IF(D1650="","",W1650-X1650)</f>
        <v/>
      </c>
      <c r="AC1650" s="5">
        <f>IF(D1650="","",Z1650-Y1650)</f>
        <v/>
      </c>
      <c r="AD1650">
        <f>IF(D1650="","",N(AD1649)+IF(MATCH(D1650,$D$2:$D$2501,0)=ROW()-1,1,0))</f>
        <v/>
      </c>
    </row>
    <row r="1651">
      <c r="X1651" s="5">
        <f>IF(D1651="","",W1651*IF(AND(ISNUMBER(AB1651),AB1651&gt;0,AB1651&lt;1),AB1651*100,AB1651)/100)</f>
        <v/>
      </c>
      <c r="Y1651" s="5">
        <f>IF(D1651="","",AA1651*Z1651/100)</f>
        <v/>
      </c>
      <c r="Z1651" s="5">
        <f>IF(D1651="","",W1651-X1651)</f>
        <v/>
      </c>
      <c r="AC1651" s="5">
        <f>IF(D1651="","",Z1651-Y1651)</f>
        <v/>
      </c>
      <c r="AD1651">
        <f>IF(D1651="","",N(AD1650)+IF(MATCH(D1651,$D$2:$D$2501,0)=ROW()-1,1,0))</f>
        <v/>
      </c>
    </row>
    <row r="1652">
      <c r="X1652" s="5">
        <f>IF(D1652="","",W1652*IF(AND(ISNUMBER(AB1652),AB1652&gt;0,AB1652&lt;1),AB1652*100,AB1652)/100)</f>
        <v/>
      </c>
      <c r="Y1652" s="5">
        <f>IF(D1652="","",AA1652*Z1652/100)</f>
        <v/>
      </c>
      <c r="Z1652" s="5">
        <f>IF(D1652="","",W1652-X1652)</f>
        <v/>
      </c>
      <c r="AC1652" s="5">
        <f>IF(D1652="","",Z1652-Y1652)</f>
        <v/>
      </c>
      <c r="AD1652">
        <f>IF(D1652="","",N(AD1651)+IF(MATCH(D1652,$D$2:$D$2501,0)=ROW()-1,1,0))</f>
        <v/>
      </c>
    </row>
    <row r="1653">
      <c r="X1653" s="5">
        <f>IF(D1653="","",W1653*IF(AND(ISNUMBER(AB1653),AB1653&gt;0,AB1653&lt;1),AB1653*100,AB1653)/100)</f>
        <v/>
      </c>
      <c r="Y1653" s="5">
        <f>IF(D1653="","",AA1653*Z1653/100)</f>
        <v/>
      </c>
      <c r="Z1653" s="5">
        <f>IF(D1653="","",W1653-X1653)</f>
        <v/>
      </c>
      <c r="AC1653" s="5">
        <f>IF(D1653="","",Z1653-Y1653)</f>
        <v/>
      </c>
      <c r="AD1653">
        <f>IF(D1653="","",N(AD1652)+IF(MATCH(D1653,$D$2:$D$2501,0)=ROW()-1,1,0))</f>
        <v/>
      </c>
    </row>
    <row r="1654">
      <c r="X1654" s="5">
        <f>IF(D1654="","",W1654*IF(AND(ISNUMBER(AB1654),AB1654&gt;0,AB1654&lt;1),AB1654*100,AB1654)/100)</f>
        <v/>
      </c>
      <c r="Y1654" s="5">
        <f>IF(D1654="","",AA1654*Z1654/100)</f>
        <v/>
      </c>
      <c r="Z1654" s="5">
        <f>IF(D1654="","",W1654-X1654)</f>
        <v/>
      </c>
      <c r="AC1654" s="5">
        <f>IF(D1654="","",Z1654-Y1654)</f>
        <v/>
      </c>
      <c r="AD1654">
        <f>IF(D1654="","",N(AD1653)+IF(MATCH(D1654,$D$2:$D$2501,0)=ROW()-1,1,0))</f>
        <v/>
      </c>
    </row>
    <row r="1655">
      <c r="X1655" s="5">
        <f>IF(D1655="","",W1655*IF(AND(ISNUMBER(AB1655),AB1655&gt;0,AB1655&lt;1),AB1655*100,AB1655)/100)</f>
        <v/>
      </c>
      <c r="Y1655" s="5">
        <f>IF(D1655="","",AA1655*Z1655/100)</f>
        <v/>
      </c>
      <c r="Z1655" s="5">
        <f>IF(D1655="","",W1655-X1655)</f>
        <v/>
      </c>
      <c r="AC1655" s="5">
        <f>IF(D1655="","",Z1655-Y1655)</f>
        <v/>
      </c>
      <c r="AD1655">
        <f>IF(D1655="","",N(AD1654)+IF(MATCH(D1655,$D$2:$D$2501,0)=ROW()-1,1,0))</f>
        <v/>
      </c>
    </row>
    <row r="1656">
      <c r="X1656" s="5">
        <f>IF(D1656="","",W1656*IF(AND(ISNUMBER(AB1656),AB1656&gt;0,AB1656&lt;1),AB1656*100,AB1656)/100)</f>
        <v/>
      </c>
      <c r="Y1656" s="5">
        <f>IF(D1656="","",AA1656*Z1656/100)</f>
        <v/>
      </c>
      <c r="Z1656" s="5">
        <f>IF(D1656="","",W1656-X1656)</f>
        <v/>
      </c>
      <c r="AC1656" s="5">
        <f>IF(D1656="","",Z1656-Y1656)</f>
        <v/>
      </c>
      <c r="AD1656">
        <f>IF(D1656="","",N(AD1655)+IF(MATCH(D1656,$D$2:$D$2501,0)=ROW()-1,1,0))</f>
        <v/>
      </c>
    </row>
    <row r="1657">
      <c r="X1657" s="5">
        <f>IF(D1657="","",W1657*IF(AND(ISNUMBER(AB1657),AB1657&gt;0,AB1657&lt;1),AB1657*100,AB1657)/100)</f>
        <v/>
      </c>
      <c r="Y1657" s="5">
        <f>IF(D1657="","",AA1657*Z1657/100)</f>
        <v/>
      </c>
      <c r="Z1657" s="5">
        <f>IF(D1657="","",W1657-X1657)</f>
        <v/>
      </c>
      <c r="AC1657" s="5">
        <f>IF(D1657="","",Z1657-Y1657)</f>
        <v/>
      </c>
      <c r="AD1657">
        <f>IF(D1657="","",N(AD1656)+IF(MATCH(D1657,$D$2:$D$2501,0)=ROW()-1,1,0))</f>
        <v/>
      </c>
    </row>
    <row r="1658">
      <c r="X1658" s="5">
        <f>IF(D1658="","",W1658*IF(AND(ISNUMBER(AB1658),AB1658&gt;0,AB1658&lt;1),AB1658*100,AB1658)/100)</f>
        <v/>
      </c>
      <c r="Y1658" s="5">
        <f>IF(D1658="","",AA1658*Z1658/100)</f>
        <v/>
      </c>
      <c r="Z1658" s="5">
        <f>IF(D1658="","",W1658-X1658)</f>
        <v/>
      </c>
      <c r="AC1658" s="5">
        <f>IF(D1658="","",Z1658-Y1658)</f>
        <v/>
      </c>
      <c r="AD1658">
        <f>IF(D1658="","",N(AD1657)+IF(MATCH(D1658,$D$2:$D$2501,0)=ROW()-1,1,0))</f>
        <v/>
      </c>
    </row>
    <row r="1659">
      <c r="X1659" s="5">
        <f>IF(D1659="","",W1659*IF(AND(ISNUMBER(AB1659),AB1659&gt;0,AB1659&lt;1),AB1659*100,AB1659)/100)</f>
        <v/>
      </c>
      <c r="Y1659" s="5">
        <f>IF(D1659="","",AA1659*Z1659/100)</f>
        <v/>
      </c>
      <c r="Z1659" s="5">
        <f>IF(D1659="","",W1659-X1659)</f>
        <v/>
      </c>
      <c r="AC1659" s="5">
        <f>IF(D1659="","",Z1659-Y1659)</f>
        <v/>
      </c>
      <c r="AD1659">
        <f>IF(D1659="","",N(AD1658)+IF(MATCH(D1659,$D$2:$D$2501,0)=ROW()-1,1,0))</f>
        <v/>
      </c>
    </row>
    <row r="1660">
      <c r="X1660" s="5">
        <f>IF(D1660="","",W1660*IF(AND(ISNUMBER(AB1660),AB1660&gt;0,AB1660&lt;1),AB1660*100,AB1660)/100)</f>
        <v/>
      </c>
      <c r="Y1660" s="5">
        <f>IF(D1660="","",AA1660*Z1660/100)</f>
        <v/>
      </c>
      <c r="Z1660" s="5">
        <f>IF(D1660="","",W1660-X1660)</f>
        <v/>
      </c>
      <c r="AC1660" s="5">
        <f>IF(D1660="","",Z1660-Y1660)</f>
        <v/>
      </c>
      <c r="AD1660">
        <f>IF(D1660="","",N(AD1659)+IF(MATCH(D1660,$D$2:$D$2501,0)=ROW()-1,1,0))</f>
        <v/>
      </c>
    </row>
    <row r="1661">
      <c r="X1661" s="5">
        <f>IF(D1661="","",W1661*IF(AND(ISNUMBER(AB1661),AB1661&gt;0,AB1661&lt;1),AB1661*100,AB1661)/100)</f>
        <v/>
      </c>
      <c r="Y1661" s="5">
        <f>IF(D1661="","",AA1661*Z1661/100)</f>
        <v/>
      </c>
      <c r="Z1661" s="5">
        <f>IF(D1661="","",W1661-X1661)</f>
        <v/>
      </c>
      <c r="AC1661" s="5">
        <f>IF(D1661="","",Z1661-Y1661)</f>
        <v/>
      </c>
      <c r="AD1661">
        <f>IF(D1661="","",N(AD1660)+IF(MATCH(D1661,$D$2:$D$2501,0)=ROW()-1,1,0))</f>
        <v/>
      </c>
    </row>
    <row r="1662">
      <c r="X1662" s="5">
        <f>IF(D1662="","",W1662*IF(AND(ISNUMBER(AB1662),AB1662&gt;0,AB1662&lt;1),AB1662*100,AB1662)/100)</f>
        <v/>
      </c>
      <c r="Y1662" s="5">
        <f>IF(D1662="","",AA1662*Z1662/100)</f>
        <v/>
      </c>
      <c r="Z1662" s="5">
        <f>IF(D1662="","",W1662-X1662)</f>
        <v/>
      </c>
      <c r="AC1662" s="5">
        <f>IF(D1662="","",Z1662-Y1662)</f>
        <v/>
      </c>
      <c r="AD1662">
        <f>IF(D1662="","",N(AD1661)+IF(MATCH(D1662,$D$2:$D$2501,0)=ROW()-1,1,0))</f>
        <v/>
      </c>
    </row>
    <row r="1663">
      <c r="X1663" s="5">
        <f>IF(D1663="","",W1663*IF(AND(ISNUMBER(AB1663),AB1663&gt;0,AB1663&lt;1),AB1663*100,AB1663)/100)</f>
        <v/>
      </c>
      <c r="Y1663" s="5">
        <f>IF(D1663="","",AA1663*Z1663/100)</f>
        <v/>
      </c>
      <c r="Z1663" s="5">
        <f>IF(D1663="","",W1663-X1663)</f>
        <v/>
      </c>
      <c r="AC1663" s="5">
        <f>IF(D1663="","",Z1663-Y1663)</f>
        <v/>
      </c>
      <c r="AD1663">
        <f>IF(D1663="","",N(AD1662)+IF(MATCH(D1663,$D$2:$D$2501,0)=ROW()-1,1,0))</f>
        <v/>
      </c>
    </row>
    <row r="1664">
      <c r="X1664" s="5">
        <f>IF(D1664="","",W1664*IF(AND(ISNUMBER(AB1664),AB1664&gt;0,AB1664&lt;1),AB1664*100,AB1664)/100)</f>
        <v/>
      </c>
      <c r="Y1664" s="5">
        <f>IF(D1664="","",AA1664*Z1664/100)</f>
        <v/>
      </c>
      <c r="Z1664" s="5">
        <f>IF(D1664="","",W1664-X1664)</f>
        <v/>
      </c>
      <c r="AC1664" s="5">
        <f>IF(D1664="","",Z1664-Y1664)</f>
        <v/>
      </c>
      <c r="AD1664">
        <f>IF(D1664="","",N(AD1663)+IF(MATCH(D1664,$D$2:$D$2501,0)=ROW()-1,1,0))</f>
        <v/>
      </c>
    </row>
    <row r="1665">
      <c r="X1665" s="5">
        <f>IF(D1665="","",W1665*IF(AND(ISNUMBER(AB1665),AB1665&gt;0,AB1665&lt;1),AB1665*100,AB1665)/100)</f>
        <v/>
      </c>
      <c r="Y1665" s="5">
        <f>IF(D1665="","",AA1665*Z1665/100)</f>
        <v/>
      </c>
      <c r="Z1665" s="5">
        <f>IF(D1665="","",W1665-X1665)</f>
        <v/>
      </c>
      <c r="AC1665" s="5">
        <f>IF(D1665="","",Z1665-Y1665)</f>
        <v/>
      </c>
      <c r="AD1665">
        <f>IF(D1665="","",N(AD1664)+IF(MATCH(D1665,$D$2:$D$2501,0)=ROW()-1,1,0))</f>
        <v/>
      </c>
    </row>
    <row r="1666">
      <c r="X1666" s="5">
        <f>IF(D1666="","",W1666*IF(AND(ISNUMBER(AB1666),AB1666&gt;0,AB1666&lt;1),AB1666*100,AB1666)/100)</f>
        <v/>
      </c>
      <c r="Y1666" s="5">
        <f>IF(D1666="","",AA1666*Z1666/100)</f>
        <v/>
      </c>
      <c r="Z1666" s="5">
        <f>IF(D1666="","",W1666-X1666)</f>
        <v/>
      </c>
      <c r="AC1666" s="5">
        <f>IF(D1666="","",Z1666-Y1666)</f>
        <v/>
      </c>
      <c r="AD1666">
        <f>IF(D1666="","",N(AD1665)+IF(MATCH(D1666,$D$2:$D$2501,0)=ROW()-1,1,0))</f>
        <v/>
      </c>
    </row>
    <row r="1667">
      <c r="X1667" s="5">
        <f>IF(D1667="","",W1667*IF(AND(ISNUMBER(AB1667),AB1667&gt;0,AB1667&lt;1),AB1667*100,AB1667)/100)</f>
        <v/>
      </c>
      <c r="Y1667" s="5">
        <f>IF(D1667="","",AA1667*Z1667/100)</f>
        <v/>
      </c>
      <c r="Z1667" s="5">
        <f>IF(D1667="","",W1667-X1667)</f>
        <v/>
      </c>
      <c r="AC1667" s="5">
        <f>IF(D1667="","",Z1667-Y1667)</f>
        <v/>
      </c>
      <c r="AD1667">
        <f>IF(D1667="","",N(AD1666)+IF(MATCH(D1667,$D$2:$D$2501,0)=ROW()-1,1,0))</f>
        <v/>
      </c>
    </row>
    <row r="1668">
      <c r="X1668" s="5">
        <f>IF(D1668="","",W1668*IF(AND(ISNUMBER(AB1668),AB1668&gt;0,AB1668&lt;1),AB1668*100,AB1668)/100)</f>
        <v/>
      </c>
      <c r="Y1668" s="5">
        <f>IF(D1668="","",AA1668*Z1668/100)</f>
        <v/>
      </c>
      <c r="Z1668" s="5">
        <f>IF(D1668="","",W1668-X1668)</f>
        <v/>
      </c>
      <c r="AC1668" s="5">
        <f>IF(D1668="","",Z1668-Y1668)</f>
        <v/>
      </c>
      <c r="AD1668">
        <f>IF(D1668="","",N(AD1667)+IF(MATCH(D1668,$D$2:$D$2501,0)=ROW()-1,1,0))</f>
        <v/>
      </c>
    </row>
    <row r="1669">
      <c r="X1669" s="5">
        <f>IF(D1669="","",W1669*IF(AND(ISNUMBER(AB1669),AB1669&gt;0,AB1669&lt;1),AB1669*100,AB1669)/100)</f>
        <v/>
      </c>
      <c r="Y1669" s="5">
        <f>IF(D1669="","",AA1669*Z1669/100)</f>
        <v/>
      </c>
      <c r="Z1669" s="5">
        <f>IF(D1669="","",W1669-X1669)</f>
        <v/>
      </c>
      <c r="AC1669" s="5">
        <f>IF(D1669="","",Z1669-Y1669)</f>
        <v/>
      </c>
      <c r="AD1669">
        <f>IF(D1669="","",N(AD1668)+IF(MATCH(D1669,$D$2:$D$2501,0)=ROW()-1,1,0))</f>
        <v/>
      </c>
    </row>
    <row r="1670">
      <c r="X1670" s="5">
        <f>IF(D1670="","",W1670*IF(AND(ISNUMBER(AB1670),AB1670&gt;0,AB1670&lt;1),AB1670*100,AB1670)/100)</f>
        <v/>
      </c>
      <c r="Y1670" s="5">
        <f>IF(D1670="","",AA1670*Z1670/100)</f>
        <v/>
      </c>
      <c r="Z1670" s="5">
        <f>IF(D1670="","",W1670-X1670)</f>
        <v/>
      </c>
      <c r="AC1670" s="5">
        <f>IF(D1670="","",Z1670-Y1670)</f>
        <v/>
      </c>
      <c r="AD1670">
        <f>IF(D1670="","",N(AD1669)+IF(MATCH(D1670,$D$2:$D$2501,0)=ROW()-1,1,0))</f>
        <v/>
      </c>
    </row>
    <row r="1671">
      <c r="X1671" s="5">
        <f>IF(D1671="","",W1671*IF(AND(ISNUMBER(AB1671),AB1671&gt;0,AB1671&lt;1),AB1671*100,AB1671)/100)</f>
        <v/>
      </c>
      <c r="Y1671" s="5">
        <f>IF(D1671="","",AA1671*Z1671/100)</f>
        <v/>
      </c>
      <c r="Z1671" s="5">
        <f>IF(D1671="","",W1671-X1671)</f>
        <v/>
      </c>
      <c r="AC1671" s="5">
        <f>IF(D1671="","",Z1671-Y1671)</f>
        <v/>
      </c>
      <c r="AD1671">
        <f>IF(D1671="","",N(AD1670)+IF(MATCH(D1671,$D$2:$D$2501,0)=ROW()-1,1,0))</f>
        <v/>
      </c>
    </row>
    <row r="1672">
      <c r="X1672" s="5">
        <f>IF(D1672="","",W1672*IF(AND(ISNUMBER(AB1672),AB1672&gt;0,AB1672&lt;1),AB1672*100,AB1672)/100)</f>
        <v/>
      </c>
      <c r="Y1672" s="5">
        <f>IF(D1672="","",AA1672*Z1672/100)</f>
        <v/>
      </c>
      <c r="Z1672" s="5">
        <f>IF(D1672="","",W1672-X1672)</f>
        <v/>
      </c>
      <c r="AC1672" s="5">
        <f>IF(D1672="","",Z1672-Y1672)</f>
        <v/>
      </c>
      <c r="AD1672">
        <f>IF(D1672="","",N(AD1671)+IF(MATCH(D1672,$D$2:$D$2501,0)=ROW()-1,1,0))</f>
        <v/>
      </c>
    </row>
    <row r="1673">
      <c r="X1673" s="5">
        <f>IF(D1673="","",W1673*IF(AND(ISNUMBER(AB1673),AB1673&gt;0,AB1673&lt;1),AB1673*100,AB1673)/100)</f>
        <v/>
      </c>
      <c r="Y1673" s="5">
        <f>IF(D1673="","",AA1673*Z1673/100)</f>
        <v/>
      </c>
      <c r="Z1673" s="5">
        <f>IF(D1673="","",W1673-X1673)</f>
        <v/>
      </c>
      <c r="AC1673" s="5">
        <f>IF(D1673="","",Z1673-Y1673)</f>
        <v/>
      </c>
      <c r="AD1673">
        <f>IF(D1673="","",N(AD1672)+IF(MATCH(D1673,$D$2:$D$2501,0)=ROW()-1,1,0))</f>
        <v/>
      </c>
    </row>
    <row r="1674">
      <c r="X1674" s="5">
        <f>IF(D1674="","",W1674*IF(AND(ISNUMBER(AB1674),AB1674&gt;0,AB1674&lt;1),AB1674*100,AB1674)/100)</f>
        <v/>
      </c>
      <c r="Y1674" s="5">
        <f>IF(D1674="","",AA1674*Z1674/100)</f>
        <v/>
      </c>
      <c r="Z1674" s="5">
        <f>IF(D1674="","",W1674-X1674)</f>
        <v/>
      </c>
      <c r="AC1674" s="5">
        <f>IF(D1674="","",Z1674-Y1674)</f>
        <v/>
      </c>
      <c r="AD1674">
        <f>IF(D1674="","",N(AD1673)+IF(MATCH(D1674,$D$2:$D$2501,0)=ROW()-1,1,0))</f>
        <v/>
      </c>
    </row>
    <row r="1675">
      <c r="X1675" s="5">
        <f>IF(D1675="","",W1675*IF(AND(ISNUMBER(AB1675),AB1675&gt;0,AB1675&lt;1),AB1675*100,AB1675)/100)</f>
        <v/>
      </c>
      <c r="Y1675" s="5">
        <f>IF(D1675="","",AA1675*Z1675/100)</f>
        <v/>
      </c>
      <c r="Z1675" s="5">
        <f>IF(D1675="","",W1675-X1675)</f>
        <v/>
      </c>
      <c r="AC1675" s="5">
        <f>IF(D1675="","",Z1675-Y1675)</f>
        <v/>
      </c>
      <c r="AD1675">
        <f>IF(D1675="","",N(AD1674)+IF(MATCH(D1675,$D$2:$D$2501,0)=ROW()-1,1,0))</f>
        <v/>
      </c>
    </row>
    <row r="1676">
      <c r="X1676" s="5">
        <f>IF(D1676="","",W1676*IF(AND(ISNUMBER(AB1676),AB1676&gt;0,AB1676&lt;1),AB1676*100,AB1676)/100)</f>
        <v/>
      </c>
      <c r="Y1676" s="5">
        <f>IF(D1676="","",AA1676*Z1676/100)</f>
        <v/>
      </c>
      <c r="Z1676" s="5">
        <f>IF(D1676="","",W1676-X1676)</f>
        <v/>
      </c>
      <c r="AC1676" s="5">
        <f>IF(D1676="","",Z1676-Y1676)</f>
        <v/>
      </c>
      <c r="AD1676">
        <f>IF(D1676="","",N(AD1675)+IF(MATCH(D1676,$D$2:$D$2501,0)=ROW()-1,1,0))</f>
        <v/>
      </c>
    </row>
    <row r="1677">
      <c r="X1677" s="5">
        <f>IF(D1677="","",W1677*IF(AND(ISNUMBER(AB1677),AB1677&gt;0,AB1677&lt;1),AB1677*100,AB1677)/100)</f>
        <v/>
      </c>
      <c r="Y1677" s="5">
        <f>IF(D1677="","",AA1677*Z1677/100)</f>
        <v/>
      </c>
      <c r="Z1677" s="5">
        <f>IF(D1677="","",W1677-X1677)</f>
        <v/>
      </c>
      <c r="AC1677" s="5">
        <f>IF(D1677="","",Z1677-Y1677)</f>
        <v/>
      </c>
      <c r="AD1677">
        <f>IF(D1677="","",N(AD1676)+IF(MATCH(D1677,$D$2:$D$2501,0)=ROW()-1,1,0))</f>
        <v/>
      </c>
    </row>
    <row r="1678">
      <c r="X1678" s="5">
        <f>IF(D1678="","",W1678*IF(AND(ISNUMBER(AB1678),AB1678&gt;0,AB1678&lt;1),AB1678*100,AB1678)/100)</f>
        <v/>
      </c>
      <c r="Y1678" s="5">
        <f>IF(D1678="","",AA1678*Z1678/100)</f>
        <v/>
      </c>
      <c r="Z1678" s="5">
        <f>IF(D1678="","",W1678-X1678)</f>
        <v/>
      </c>
      <c r="AC1678" s="5">
        <f>IF(D1678="","",Z1678-Y1678)</f>
        <v/>
      </c>
      <c r="AD1678">
        <f>IF(D1678="","",N(AD1677)+IF(MATCH(D1678,$D$2:$D$2501,0)=ROW()-1,1,0))</f>
        <v/>
      </c>
    </row>
    <row r="1679">
      <c r="X1679" s="5">
        <f>IF(D1679="","",W1679*IF(AND(ISNUMBER(AB1679),AB1679&gt;0,AB1679&lt;1),AB1679*100,AB1679)/100)</f>
        <v/>
      </c>
      <c r="Y1679" s="5">
        <f>IF(D1679="","",AA1679*Z1679/100)</f>
        <v/>
      </c>
      <c r="Z1679" s="5">
        <f>IF(D1679="","",W1679-X1679)</f>
        <v/>
      </c>
      <c r="AC1679" s="5">
        <f>IF(D1679="","",Z1679-Y1679)</f>
        <v/>
      </c>
      <c r="AD1679">
        <f>IF(D1679="","",N(AD1678)+IF(MATCH(D1679,$D$2:$D$2501,0)=ROW()-1,1,0))</f>
        <v/>
      </c>
    </row>
    <row r="1680">
      <c r="X1680" s="5">
        <f>IF(D1680="","",W1680*IF(AND(ISNUMBER(AB1680),AB1680&gt;0,AB1680&lt;1),AB1680*100,AB1680)/100)</f>
        <v/>
      </c>
      <c r="Y1680" s="5">
        <f>IF(D1680="","",AA1680*Z1680/100)</f>
        <v/>
      </c>
      <c r="Z1680" s="5">
        <f>IF(D1680="","",W1680-X1680)</f>
        <v/>
      </c>
      <c r="AC1680" s="5">
        <f>IF(D1680="","",Z1680-Y1680)</f>
        <v/>
      </c>
      <c r="AD1680">
        <f>IF(D1680="","",N(AD1679)+IF(MATCH(D1680,$D$2:$D$2501,0)=ROW()-1,1,0))</f>
        <v/>
      </c>
    </row>
    <row r="1681">
      <c r="X1681" s="5">
        <f>IF(D1681="","",W1681*IF(AND(ISNUMBER(AB1681),AB1681&gt;0,AB1681&lt;1),AB1681*100,AB1681)/100)</f>
        <v/>
      </c>
      <c r="Y1681" s="5">
        <f>IF(D1681="","",AA1681*Z1681/100)</f>
        <v/>
      </c>
      <c r="Z1681" s="5">
        <f>IF(D1681="","",W1681-X1681)</f>
        <v/>
      </c>
      <c r="AC1681" s="5">
        <f>IF(D1681="","",Z1681-Y1681)</f>
        <v/>
      </c>
      <c r="AD1681">
        <f>IF(D1681="","",N(AD1680)+IF(MATCH(D1681,$D$2:$D$2501,0)=ROW()-1,1,0))</f>
        <v/>
      </c>
    </row>
    <row r="1682">
      <c r="X1682" s="5">
        <f>IF(D1682="","",W1682*IF(AND(ISNUMBER(AB1682),AB1682&gt;0,AB1682&lt;1),AB1682*100,AB1682)/100)</f>
        <v/>
      </c>
      <c r="Y1682" s="5">
        <f>IF(D1682="","",AA1682*Z1682/100)</f>
        <v/>
      </c>
      <c r="Z1682" s="5">
        <f>IF(D1682="","",W1682-X1682)</f>
        <v/>
      </c>
      <c r="AC1682" s="5">
        <f>IF(D1682="","",Z1682-Y1682)</f>
        <v/>
      </c>
      <c r="AD1682">
        <f>IF(D1682="","",N(AD1681)+IF(MATCH(D1682,$D$2:$D$2501,0)=ROW()-1,1,0))</f>
        <v/>
      </c>
    </row>
    <row r="1683">
      <c r="X1683" s="5">
        <f>IF(D1683="","",W1683*IF(AND(ISNUMBER(AB1683),AB1683&gt;0,AB1683&lt;1),AB1683*100,AB1683)/100)</f>
        <v/>
      </c>
      <c r="Y1683" s="5">
        <f>IF(D1683="","",AA1683*Z1683/100)</f>
        <v/>
      </c>
      <c r="Z1683" s="5">
        <f>IF(D1683="","",W1683-X1683)</f>
        <v/>
      </c>
      <c r="AC1683" s="5">
        <f>IF(D1683="","",Z1683-Y1683)</f>
        <v/>
      </c>
      <c r="AD1683">
        <f>IF(D1683="","",N(AD1682)+IF(MATCH(D1683,$D$2:$D$2501,0)=ROW()-1,1,0))</f>
        <v/>
      </c>
    </row>
    <row r="1684">
      <c r="X1684" s="5">
        <f>IF(D1684="","",W1684*IF(AND(ISNUMBER(AB1684),AB1684&gt;0,AB1684&lt;1),AB1684*100,AB1684)/100)</f>
        <v/>
      </c>
      <c r="Y1684" s="5">
        <f>IF(D1684="","",AA1684*Z1684/100)</f>
        <v/>
      </c>
      <c r="Z1684" s="5">
        <f>IF(D1684="","",W1684-X1684)</f>
        <v/>
      </c>
      <c r="AC1684" s="5">
        <f>IF(D1684="","",Z1684-Y1684)</f>
        <v/>
      </c>
      <c r="AD1684">
        <f>IF(D1684="","",N(AD1683)+IF(MATCH(D1684,$D$2:$D$2501,0)=ROW()-1,1,0))</f>
        <v/>
      </c>
    </row>
    <row r="1685">
      <c r="X1685" s="5">
        <f>IF(D1685="","",W1685*IF(AND(ISNUMBER(AB1685),AB1685&gt;0,AB1685&lt;1),AB1685*100,AB1685)/100)</f>
        <v/>
      </c>
      <c r="Y1685" s="5">
        <f>IF(D1685="","",AA1685*Z1685/100)</f>
        <v/>
      </c>
      <c r="Z1685" s="5">
        <f>IF(D1685="","",W1685-X1685)</f>
        <v/>
      </c>
      <c r="AC1685" s="5">
        <f>IF(D1685="","",Z1685-Y1685)</f>
        <v/>
      </c>
      <c r="AD1685">
        <f>IF(D1685="","",N(AD1684)+IF(MATCH(D1685,$D$2:$D$2501,0)=ROW()-1,1,0))</f>
        <v/>
      </c>
    </row>
    <row r="1686">
      <c r="X1686" s="5">
        <f>IF(D1686="","",W1686*IF(AND(ISNUMBER(AB1686),AB1686&gt;0,AB1686&lt;1),AB1686*100,AB1686)/100)</f>
        <v/>
      </c>
      <c r="Y1686" s="5">
        <f>IF(D1686="","",AA1686*Z1686/100)</f>
        <v/>
      </c>
      <c r="Z1686" s="5">
        <f>IF(D1686="","",W1686-X1686)</f>
        <v/>
      </c>
      <c r="AC1686" s="5">
        <f>IF(D1686="","",Z1686-Y1686)</f>
        <v/>
      </c>
      <c r="AD1686">
        <f>IF(D1686="","",N(AD1685)+IF(MATCH(D1686,$D$2:$D$2501,0)=ROW()-1,1,0))</f>
        <v/>
      </c>
    </row>
    <row r="1687">
      <c r="X1687" s="5">
        <f>IF(D1687="","",W1687*IF(AND(ISNUMBER(AB1687),AB1687&gt;0,AB1687&lt;1),AB1687*100,AB1687)/100)</f>
        <v/>
      </c>
      <c r="Y1687" s="5">
        <f>IF(D1687="","",AA1687*Z1687/100)</f>
        <v/>
      </c>
      <c r="Z1687" s="5">
        <f>IF(D1687="","",W1687-X1687)</f>
        <v/>
      </c>
      <c r="AC1687" s="5">
        <f>IF(D1687="","",Z1687-Y1687)</f>
        <v/>
      </c>
      <c r="AD1687">
        <f>IF(D1687="","",N(AD1686)+IF(MATCH(D1687,$D$2:$D$2501,0)=ROW()-1,1,0))</f>
        <v/>
      </c>
    </row>
    <row r="1688">
      <c r="X1688" s="5">
        <f>IF(D1688="","",W1688*IF(AND(ISNUMBER(AB1688),AB1688&gt;0,AB1688&lt;1),AB1688*100,AB1688)/100)</f>
        <v/>
      </c>
      <c r="Y1688" s="5">
        <f>IF(D1688="","",AA1688*Z1688/100)</f>
        <v/>
      </c>
      <c r="Z1688" s="5">
        <f>IF(D1688="","",W1688-X1688)</f>
        <v/>
      </c>
      <c r="AC1688" s="5">
        <f>IF(D1688="","",Z1688-Y1688)</f>
        <v/>
      </c>
      <c r="AD1688">
        <f>IF(D1688="","",N(AD1687)+IF(MATCH(D1688,$D$2:$D$2501,0)=ROW()-1,1,0))</f>
        <v/>
      </c>
    </row>
    <row r="1689">
      <c r="X1689" s="5">
        <f>IF(D1689="","",W1689*IF(AND(ISNUMBER(AB1689),AB1689&gt;0,AB1689&lt;1),AB1689*100,AB1689)/100)</f>
        <v/>
      </c>
      <c r="Y1689" s="5">
        <f>IF(D1689="","",AA1689*Z1689/100)</f>
        <v/>
      </c>
      <c r="Z1689" s="5">
        <f>IF(D1689="","",W1689-X1689)</f>
        <v/>
      </c>
      <c r="AC1689" s="5">
        <f>IF(D1689="","",Z1689-Y1689)</f>
        <v/>
      </c>
      <c r="AD1689">
        <f>IF(D1689="","",N(AD1688)+IF(MATCH(D1689,$D$2:$D$2501,0)=ROW()-1,1,0))</f>
        <v/>
      </c>
    </row>
    <row r="1690">
      <c r="X1690" s="5">
        <f>IF(D1690="","",W1690*IF(AND(ISNUMBER(AB1690),AB1690&gt;0,AB1690&lt;1),AB1690*100,AB1690)/100)</f>
        <v/>
      </c>
      <c r="Y1690" s="5">
        <f>IF(D1690="","",AA1690*Z1690/100)</f>
        <v/>
      </c>
      <c r="Z1690" s="5">
        <f>IF(D1690="","",W1690-X1690)</f>
        <v/>
      </c>
      <c r="AC1690" s="5">
        <f>IF(D1690="","",Z1690-Y1690)</f>
        <v/>
      </c>
      <c r="AD1690">
        <f>IF(D1690="","",N(AD1689)+IF(MATCH(D1690,$D$2:$D$2501,0)=ROW()-1,1,0))</f>
        <v/>
      </c>
    </row>
    <row r="1691">
      <c r="X1691" s="5">
        <f>IF(D1691="","",W1691*IF(AND(ISNUMBER(AB1691),AB1691&gt;0,AB1691&lt;1),AB1691*100,AB1691)/100)</f>
        <v/>
      </c>
      <c r="Y1691" s="5">
        <f>IF(D1691="","",AA1691*Z1691/100)</f>
        <v/>
      </c>
      <c r="Z1691" s="5">
        <f>IF(D1691="","",W1691-X1691)</f>
        <v/>
      </c>
      <c r="AC1691" s="5">
        <f>IF(D1691="","",Z1691-Y1691)</f>
        <v/>
      </c>
      <c r="AD1691">
        <f>IF(D1691="","",N(AD1690)+IF(MATCH(D1691,$D$2:$D$2501,0)=ROW()-1,1,0))</f>
        <v/>
      </c>
    </row>
    <row r="1692">
      <c r="X1692" s="5">
        <f>IF(D1692="","",W1692*IF(AND(ISNUMBER(AB1692),AB1692&gt;0,AB1692&lt;1),AB1692*100,AB1692)/100)</f>
        <v/>
      </c>
      <c r="Y1692" s="5">
        <f>IF(D1692="","",AA1692*Z1692/100)</f>
        <v/>
      </c>
      <c r="Z1692" s="5">
        <f>IF(D1692="","",W1692-X1692)</f>
        <v/>
      </c>
      <c r="AC1692" s="5">
        <f>IF(D1692="","",Z1692-Y1692)</f>
        <v/>
      </c>
      <c r="AD1692">
        <f>IF(D1692="","",N(AD1691)+IF(MATCH(D1692,$D$2:$D$2501,0)=ROW()-1,1,0))</f>
        <v/>
      </c>
    </row>
    <row r="1693">
      <c r="X1693" s="5">
        <f>IF(D1693="","",W1693*IF(AND(ISNUMBER(AB1693),AB1693&gt;0,AB1693&lt;1),AB1693*100,AB1693)/100)</f>
        <v/>
      </c>
      <c r="Y1693" s="5">
        <f>IF(D1693="","",AA1693*Z1693/100)</f>
        <v/>
      </c>
      <c r="Z1693" s="5">
        <f>IF(D1693="","",W1693-X1693)</f>
        <v/>
      </c>
      <c r="AC1693" s="5">
        <f>IF(D1693="","",Z1693-Y1693)</f>
        <v/>
      </c>
      <c r="AD1693">
        <f>IF(D1693="","",N(AD1692)+IF(MATCH(D1693,$D$2:$D$2501,0)=ROW()-1,1,0))</f>
        <v/>
      </c>
    </row>
    <row r="1694">
      <c r="X1694" s="5">
        <f>IF(D1694="","",W1694*IF(AND(ISNUMBER(AB1694),AB1694&gt;0,AB1694&lt;1),AB1694*100,AB1694)/100)</f>
        <v/>
      </c>
      <c r="Y1694" s="5">
        <f>IF(D1694="","",AA1694*Z1694/100)</f>
        <v/>
      </c>
      <c r="Z1694" s="5">
        <f>IF(D1694="","",W1694-X1694)</f>
        <v/>
      </c>
      <c r="AC1694" s="5">
        <f>IF(D1694="","",Z1694-Y1694)</f>
        <v/>
      </c>
      <c r="AD1694">
        <f>IF(D1694="","",N(AD1693)+IF(MATCH(D1694,$D$2:$D$2501,0)=ROW()-1,1,0))</f>
        <v/>
      </c>
    </row>
    <row r="1695">
      <c r="X1695" s="5">
        <f>IF(D1695="","",W1695*IF(AND(ISNUMBER(AB1695),AB1695&gt;0,AB1695&lt;1),AB1695*100,AB1695)/100)</f>
        <v/>
      </c>
      <c r="Y1695" s="5">
        <f>IF(D1695="","",AA1695*Z1695/100)</f>
        <v/>
      </c>
      <c r="Z1695" s="5">
        <f>IF(D1695="","",W1695-X1695)</f>
        <v/>
      </c>
      <c r="AC1695" s="5">
        <f>IF(D1695="","",Z1695-Y1695)</f>
        <v/>
      </c>
      <c r="AD1695">
        <f>IF(D1695="","",N(AD1694)+IF(MATCH(D1695,$D$2:$D$2501,0)=ROW()-1,1,0))</f>
        <v/>
      </c>
    </row>
    <row r="1696">
      <c r="X1696" s="5">
        <f>IF(D1696="","",W1696*IF(AND(ISNUMBER(AB1696),AB1696&gt;0,AB1696&lt;1),AB1696*100,AB1696)/100)</f>
        <v/>
      </c>
      <c r="Y1696" s="5">
        <f>IF(D1696="","",AA1696*Z1696/100)</f>
        <v/>
      </c>
      <c r="Z1696" s="5">
        <f>IF(D1696="","",W1696-X1696)</f>
        <v/>
      </c>
      <c r="AC1696" s="5">
        <f>IF(D1696="","",Z1696-Y1696)</f>
        <v/>
      </c>
      <c r="AD1696">
        <f>IF(D1696="","",N(AD1695)+IF(MATCH(D1696,$D$2:$D$2501,0)=ROW()-1,1,0))</f>
        <v/>
      </c>
    </row>
    <row r="1697">
      <c r="X1697" s="5">
        <f>IF(D1697="","",W1697*IF(AND(ISNUMBER(AB1697),AB1697&gt;0,AB1697&lt;1),AB1697*100,AB1697)/100)</f>
        <v/>
      </c>
      <c r="Y1697" s="5">
        <f>IF(D1697="","",AA1697*Z1697/100)</f>
        <v/>
      </c>
      <c r="Z1697" s="5">
        <f>IF(D1697="","",W1697-X1697)</f>
        <v/>
      </c>
      <c r="AC1697" s="5">
        <f>IF(D1697="","",Z1697-Y1697)</f>
        <v/>
      </c>
      <c r="AD1697">
        <f>IF(D1697="","",N(AD1696)+IF(MATCH(D1697,$D$2:$D$2501,0)=ROW()-1,1,0))</f>
        <v/>
      </c>
    </row>
    <row r="1698">
      <c r="X1698" s="5">
        <f>IF(D1698="","",W1698*IF(AND(ISNUMBER(AB1698),AB1698&gt;0,AB1698&lt;1),AB1698*100,AB1698)/100)</f>
        <v/>
      </c>
      <c r="Y1698" s="5">
        <f>IF(D1698="","",AA1698*Z1698/100)</f>
        <v/>
      </c>
      <c r="Z1698" s="5">
        <f>IF(D1698="","",W1698-X1698)</f>
        <v/>
      </c>
      <c r="AC1698" s="5">
        <f>IF(D1698="","",Z1698-Y1698)</f>
        <v/>
      </c>
      <c r="AD1698">
        <f>IF(D1698="","",N(AD1697)+IF(MATCH(D1698,$D$2:$D$2501,0)=ROW()-1,1,0))</f>
        <v/>
      </c>
    </row>
    <row r="1699">
      <c r="X1699" s="5">
        <f>IF(D1699="","",W1699*IF(AND(ISNUMBER(AB1699),AB1699&gt;0,AB1699&lt;1),AB1699*100,AB1699)/100)</f>
        <v/>
      </c>
      <c r="Y1699" s="5">
        <f>IF(D1699="","",AA1699*Z1699/100)</f>
        <v/>
      </c>
      <c r="Z1699" s="5">
        <f>IF(D1699="","",W1699-X1699)</f>
        <v/>
      </c>
      <c r="AC1699" s="5">
        <f>IF(D1699="","",Z1699-Y1699)</f>
        <v/>
      </c>
      <c r="AD1699">
        <f>IF(D1699="","",N(AD1698)+IF(MATCH(D1699,$D$2:$D$2501,0)=ROW()-1,1,0))</f>
        <v/>
      </c>
    </row>
    <row r="1700">
      <c r="X1700" s="5">
        <f>IF(D1700="","",W1700*IF(AND(ISNUMBER(AB1700),AB1700&gt;0,AB1700&lt;1),AB1700*100,AB1700)/100)</f>
        <v/>
      </c>
      <c r="Y1700" s="5">
        <f>IF(D1700="","",AA1700*Z1700/100)</f>
        <v/>
      </c>
      <c r="Z1700" s="5">
        <f>IF(D1700="","",W1700-X1700)</f>
        <v/>
      </c>
      <c r="AC1700" s="5">
        <f>IF(D1700="","",Z1700-Y1700)</f>
        <v/>
      </c>
      <c r="AD1700">
        <f>IF(D1700="","",N(AD1699)+IF(MATCH(D1700,$D$2:$D$2501,0)=ROW()-1,1,0))</f>
        <v/>
      </c>
    </row>
    <row r="1701">
      <c r="X1701" s="5">
        <f>IF(D1701="","",W1701*IF(AND(ISNUMBER(AB1701),AB1701&gt;0,AB1701&lt;1),AB1701*100,AB1701)/100)</f>
        <v/>
      </c>
      <c r="Y1701" s="5">
        <f>IF(D1701="","",AA1701*Z1701/100)</f>
        <v/>
      </c>
      <c r="Z1701" s="5">
        <f>IF(D1701="","",W1701-X1701)</f>
        <v/>
      </c>
      <c r="AC1701" s="5">
        <f>IF(D1701="","",Z1701-Y1701)</f>
        <v/>
      </c>
      <c r="AD1701">
        <f>IF(D1701="","",N(AD1700)+IF(MATCH(D1701,$D$2:$D$2501,0)=ROW()-1,1,0))</f>
        <v/>
      </c>
    </row>
    <row r="1702">
      <c r="X1702" s="5">
        <f>IF(D1702="","",W1702*IF(AND(ISNUMBER(AB1702),AB1702&gt;0,AB1702&lt;1),AB1702*100,AB1702)/100)</f>
        <v/>
      </c>
      <c r="Y1702" s="5">
        <f>IF(D1702="","",AA1702*Z1702/100)</f>
        <v/>
      </c>
      <c r="Z1702" s="5">
        <f>IF(D1702="","",W1702-X1702)</f>
        <v/>
      </c>
      <c r="AC1702" s="5">
        <f>IF(D1702="","",Z1702-Y1702)</f>
        <v/>
      </c>
      <c r="AD1702">
        <f>IF(D1702="","",N(AD1701)+IF(MATCH(D1702,$D$2:$D$2501,0)=ROW()-1,1,0))</f>
        <v/>
      </c>
    </row>
    <row r="1703">
      <c r="X1703" s="5">
        <f>IF(D1703="","",W1703*IF(AND(ISNUMBER(AB1703),AB1703&gt;0,AB1703&lt;1),AB1703*100,AB1703)/100)</f>
        <v/>
      </c>
      <c r="Y1703" s="5">
        <f>IF(D1703="","",AA1703*Z1703/100)</f>
        <v/>
      </c>
      <c r="Z1703" s="5">
        <f>IF(D1703="","",W1703-X1703)</f>
        <v/>
      </c>
      <c r="AC1703" s="5">
        <f>IF(D1703="","",Z1703-Y1703)</f>
        <v/>
      </c>
      <c r="AD1703">
        <f>IF(D1703="","",N(AD1702)+IF(MATCH(D1703,$D$2:$D$2501,0)=ROW()-1,1,0))</f>
        <v/>
      </c>
    </row>
    <row r="1704">
      <c r="X1704" s="5">
        <f>IF(D1704="","",W1704*IF(AND(ISNUMBER(AB1704),AB1704&gt;0,AB1704&lt;1),AB1704*100,AB1704)/100)</f>
        <v/>
      </c>
      <c r="Y1704" s="5">
        <f>IF(D1704="","",AA1704*Z1704/100)</f>
        <v/>
      </c>
      <c r="Z1704" s="5">
        <f>IF(D1704="","",W1704-X1704)</f>
        <v/>
      </c>
      <c r="AC1704" s="5">
        <f>IF(D1704="","",Z1704-Y1704)</f>
        <v/>
      </c>
      <c r="AD1704">
        <f>IF(D1704="","",N(AD1703)+IF(MATCH(D1704,$D$2:$D$2501,0)=ROW()-1,1,0))</f>
        <v/>
      </c>
    </row>
    <row r="1705">
      <c r="X1705" s="5">
        <f>IF(D1705="","",W1705*IF(AND(ISNUMBER(AB1705),AB1705&gt;0,AB1705&lt;1),AB1705*100,AB1705)/100)</f>
        <v/>
      </c>
      <c r="Y1705" s="5">
        <f>IF(D1705="","",AA1705*Z1705/100)</f>
        <v/>
      </c>
      <c r="Z1705" s="5">
        <f>IF(D1705="","",W1705-X1705)</f>
        <v/>
      </c>
      <c r="AC1705" s="5">
        <f>IF(D1705="","",Z1705-Y1705)</f>
        <v/>
      </c>
      <c r="AD1705">
        <f>IF(D1705="","",N(AD1704)+IF(MATCH(D1705,$D$2:$D$2501,0)=ROW()-1,1,0))</f>
        <v/>
      </c>
    </row>
    <row r="1706">
      <c r="X1706" s="5">
        <f>IF(D1706="","",W1706*IF(AND(ISNUMBER(AB1706),AB1706&gt;0,AB1706&lt;1),AB1706*100,AB1706)/100)</f>
        <v/>
      </c>
      <c r="Y1706" s="5">
        <f>IF(D1706="","",AA1706*Z1706/100)</f>
        <v/>
      </c>
      <c r="Z1706" s="5">
        <f>IF(D1706="","",W1706-X1706)</f>
        <v/>
      </c>
      <c r="AC1706" s="5">
        <f>IF(D1706="","",Z1706-Y1706)</f>
        <v/>
      </c>
      <c r="AD1706">
        <f>IF(D1706="","",N(AD1705)+IF(MATCH(D1706,$D$2:$D$2501,0)=ROW()-1,1,0))</f>
        <v/>
      </c>
    </row>
    <row r="1707">
      <c r="X1707" s="5">
        <f>IF(D1707="","",W1707*IF(AND(ISNUMBER(AB1707),AB1707&gt;0,AB1707&lt;1),AB1707*100,AB1707)/100)</f>
        <v/>
      </c>
      <c r="Y1707" s="5">
        <f>IF(D1707="","",AA1707*Z1707/100)</f>
        <v/>
      </c>
      <c r="Z1707" s="5">
        <f>IF(D1707="","",W1707-X1707)</f>
        <v/>
      </c>
      <c r="AC1707" s="5">
        <f>IF(D1707="","",Z1707-Y1707)</f>
        <v/>
      </c>
      <c r="AD1707">
        <f>IF(D1707="","",N(AD1706)+IF(MATCH(D1707,$D$2:$D$2501,0)=ROW()-1,1,0))</f>
        <v/>
      </c>
    </row>
    <row r="1708">
      <c r="X1708" s="5">
        <f>IF(D1708="","",W1708*IF(AND(ISNUMBER(AB1708),AB1708&gt;0,AB1708&lt;1),AB1708*100,AB1708)/100)</f>
        <v/>
      </c>
      <c r="Y1708" s="5">
        <f>IF(D1708="","",AA1708*Z1708/100)</f>
        <v/>
      </c>
      <c r="Z1708" s="5">
        <f>IF(D1708="","",W1708-X1708)</f>
        <v/>
      </c>
      <c r="AC1708" s="5">
        <f>IF(D1708="","",Z1708-Y1708)</f>
        <v/>
      </c>
      <c r="AD1708">
        <f>IF(D1708="","",N(AD1707)+IF(MATCH(D1708,$D$2:$D$2501,0)=ROW()-1,1,0))</f>
        <v/>
      </c>
    </row>
    <row r="1709">
      <c r="X1709" s="5">
        <f>IF(D1709="","",W1709*IF(AND(ISNUMBER(AB1709),AB1709&gt;0,AB1709&lt;1),AB1709*100,AB1709)/100)</f>
        <v/>
      </c>
      <c r="Y1709" s="5">
        <f>IF(D1709="","",AA1709*Z1709/100)</f>
        <v/>
      </c>
      <c r="Z1709" s="5">
        <f>IF(D1709="","",W1709-X1709)</f>
        <v/>
      </c>
      <c r="AC1709" s="5">
        <f>IF(D1709="","",Z1709-Y1709)</f>
        <v/>
      </c>
      <c r="AD1709">
        <f>IF(D1709="","",N(AD1708)+IF(MATCH(D1709,$D$2:$D$2501,0)=ROW()-1,1,0))</f>
        <v/>
      </c>
    </row>
    <row r="1710">
      <c r="X1710" s="5">
        <f>IF(D1710="","",W1710*IF(AND(ISNUMBER(AB1710),AB1710&gt;0,AB1710&lt;1),AB1710*100,AB1710)/100)</f>
        <v/>
      </c>
      <c r="Y1710" s="5">
        <f>IF(D1710="","",AA1710*Z1710/100)</f>
        <v/>
      </c>
      <c r="Z1710" s="5">
        <f>IF(D1710="","",W1710-X1710)</f>
        <v/>
      </c>
      <c r="AC1710" s="5">
        <f>IF(D1710="","",Z1710-Y1710)</f>
        <v/>
      </c>
      <c r="AD1710">
        <f>IF(D1710="","",N(AD1709)+IF(MATCH(D1710,$D$2:$D$2501,0)=ROW()-1,1,0))</f>
        <v/>
      </c>
    </row>
    <row r="1711">
      <c r="X1711" s="5">
        <f>IF(D1711="","",W1711*IF(AND(ISNUMBER(AB1711),AB1711&gt;0,AB1711&lt;1),AB1711*100,AB1711)/100)</f>
        <v/>
      </c>
      <c r="Y1711" s="5">
        <f>IF(D1711="","",AA1711*Z1711/100)</f>
        <v/>
      </c>
      <c r="Z1711" s="5">
        <f>IF(D1711="","",W1711-X1711)</f>
        <v/>
      </c>
      <c r="AC1711" s="5">
        <f>IF(D1711="","",Z1711-Y1711)</f>
        <v/>
      </c>
      <c r="AD1711">
        <f>IF(D1711="","",N(AD1710)+IF(MATCH(D1711,$D$2:$D$2501,0)=ROW()-1,1,0))</f>
        <v/>
      </c>
    </row>
    <row r="1712">
      <c r="X1712" s="5">
        <f>IF(D1712="","",W1712*IF(AND(ISNUMBER(AB1712),AB1712&gt;0,AB1712&lt;1),AB1712*100,AB1712)/100)</f>
        <v/>
      </c>
      <c r="Y1712" s="5">
        <f>IF(D1712="","",AA1712*Z1712/100)</f>
        <v/>
      </c>
      <c r="Z1712" s="5">
        <f>IF(D1712="","",W1712-X1712)</f>
        <v/>
      </c>
      <c r="AC1712" s="5">
        <f>IF(D1712="","",Z1712-Y1712)</f>
        <v/>
      </c>
      <c r="AD1712">
        <f>IF(D1712="","",N(AD1711)+IF(MATCH(D1712,$D$2:$D$2501,0)=ROW()-1,1,0))</f>
        <v/>
      </c>
    </row>
    <row r="1713">
      <c r="X1713" s="5">
        <f>IF(D1713="","",W1713*IF(AND(ISNUMBER(AB1713),AB1713&gt;0,AB1713&lt;1),AB1713*100,AB1713)/100)</f>
        <v/>
      </c>
      <c r="Y1713" s="5">
        <f>IF(D1713="","",AA1713*Z1713/100)</f>
        <v/>
      </c>
      <c r="Z1713" s="5">
        <f>IF(D1713="","",W1713-X1713)</f>
        <v/>
      </c>
      <c r="AC1713" s="5">
        <f>IF(D1713="","",Z1713-Y1713)</f>
        <v/>
      </c>
      <c r="AD1713">
        <f>IF(D1713="","",N(AD1712)+IF(MATCH(D1713,$D$2:$D$2501,0)=ROW()-1,1,0))</f>
        <v/>
      </c>
    </row>
    <row r="1714">
      <c r="X1714" s="5">
        <f>IF(D1714="","",W1714*IF(AND(ISNUMBER(AB1714),AB1714&gt;0,AB1714&lt;1),AB1714*100,AB1714)/100)</f>
        <v/>
      </c>
      <c r="Y1714" s="5">
        <f>IF(D1714="","",AA1714*Z1714/100)</f>
        <v/>
      </c>
      <c r="Z1714" s="5">
        <f>IF(D1714="","",W1714-X1714)</f>
        <v/>
      </c>
      <c r="AC1714" s="5">
        <f>IF(D1714="","",Z1714-Y1714)</f>
        <v/>
      </c>
      <c r="AD1714">
        <f>IF(D1714="","",N(AD1713)+IF(MATCH(D1714,$D$2:$D$2501,0)=ROW()-1,1,0))</f>
        <v/>
      </c>
    </row>
    <row r="1715">
      <c r="X1715" s="5">
        <f>IF(D1715="","",W1715*IF(AND(ISNUMBER(AB1715),AB1715&gt;0,AB1715&lt;1),AB1715*100,AB1715)/100)</f>
        <v/>
      </c>
      <c r="Y1715" s="5">
        <f>IF(D1715="","",AA1715*Z1715/100)</f>
        <v/>
      </c>
      <c r="Z1715" s="5">
        <f>IF(D1715="","",W1715-X1715)</f>
        <v/>
      </c>
      <c r="AC1715" s="5">
        <f>IF(D1715="","",Z1715-Y1715)</f>
        <v/>
      </c>
      <c r="AD1715">
        <f>IF(D1715="","",N(AD1714)+IF(MATCH(D1715,$D$2:$D$2501,0)=ROW()-1,1,0))</f>
        <v/>
      </c>
    </row>
    <row r="1716">
      <c r="X1716" s="5">
        <f>IF(D1716="","",W1716*IF(AND(ISNUMBER(AB1716),AB1716&gt;0,AB1716&lt;1),AB1716*100,AB1716)/100)</f>
        <v/>
      </c>
      <c r="Y1716" s="5">
        <f>IF(D1716="","",AA1716*Z1716/100)</f>
        <v/>
      </c>
      <c r="Z1716" s="5">
        <f>IF(D1716="","",W1716-X1716)</f>
        <v/>
      </c>
      <c r="AC1716" s="5">
        <f>IF(D1716="","",Z1716-Y1716)</f>
        <v/>
      </c>
      <c r="AD1716">
        <f>IF(D1716="","",N(AD1715)+IF(MATCH(D1716,$D$2:$D$2501,0)=ROW()-1,1,0))</f>
        <v/>
      </c>
    </row>
    <row r="1717">
      <c r="X1717" s="5">
        <f>IF(D1717="","",W1717*IF(AND(ISNUMBER(AB1717),AB1717&gt;0,AB1717&lt;1),AB1717*100,AB1717)/100)</f>
        <v/>
      </c>
      <c r="Y1717" s="5">
        <f>IF(D1717="","",AA1717*Z1717/100)</f>
        <v/>
      </c>
      <c r="Z1717" s="5">
        <f>IF(D1717="","",W1717-X1717)</f>
        <v/>
      </c>
      <c r="AC1717" s="5">
        <f>IF(D1717="","",Z1717-Y1717)</f>
        <v/>
      </c>
      <c r="AD1717">
        <f>IF(D1717="","",N(AD1716)+IF(MATCH(D1717,$D$2:$D$2501,0)=ROW()-1,1,0))</f>
        <v/>
      </c>
    </row>
    <row r="1718">
      <c r="X1718" s="5">
        <f>IF(D1718="","",W1718*IF(AND(ISNUMBER(AB1718),AB1718&gt;0,AB1718&lt;1),AB1718*100,AB1718)/100)</f>
        <v/>
      </c>
      <c r="Y1718" s="5">
        <f>IF(D1718="","",AA1718*Z1718/100)</f>
        <v/>
      </c>
      <c r="Z1718" s="5">
        <f>IF(D1718="","",W1718-X1718)</f>
        <v/>
      </c>
      <c r="AC1718" s="5">
        <f>IF(D1718="","",Z1718-Y1718)</f>
        <v/>
      </c>
      <c r="AD1718">
        <f>IF(D1718="","",N(AD1717)+IF(MATCH(D1718,$D$2:$D$2501,0)=ROW()-1,1,0))</f>
        <v/>
      </c>
    </row>
    <row r="1719">
      <c r="X1719" s="5">
        <f>IF(D1719="","",W1719*IF(AND(ISNUMBER(AB1719),AB1719&gt;0,AB1719&lt;1),AB1719*100,AB1719)/100)</f>
        <v/>
      </c>
      <c r="Y1719" s="5">
        <f>IF(D1719="","",AA1719*Z1719/100)</f>
        <v/>
      </c>
      <c r="Z1719" s="5">
        <f>IF(D1719="","",W1719-X1719)</f>
        <v/>
      </c>
      <c r="AC1719" s="5">
        <f>IF(D1719="","",Z1719-Y1719)</f>
        <v/>
      </c>
      <c r="AD1719">
        <f>IF(D1719="","",N(AD1718)+IF(MATCH(D1719,$D$2:$D$2501,0)=ROW()-1,1,0))</f>
        <v/>
      </c>
    </row>
    <row r="1720">
      <c r="X1720" s="5">
        <f>IF(D1720="","",W1720*IF(AND(ISNUMBER(AB1720),AB1720&gt;0,AB1720&lt;1),AB1720*100,AB1720)/100)</f>
        <v/>
      </c>
      <c r="Y1720" s="5">
        <f>IF(D1720="","",AA1720*Z1720/100)</f>
        <v/>
      </c>
      <c r="Z1720" s="5">
        <f>IF(D1720="","",W1720-X1720)</f>
        <v/>
      </c>
      <c r="AC1720" s="5">
        <f>IF(D1720="","",Z1720-Y1720)</f>
        <v/>
      </c>
      <c r="AD1720">
        <f>IF(D1720="","",N(AD1719)+IF(MATCH(D1720,$D$2:$D$2501,0)=ROW()-1,1,0))</f>
        <v/>
      </c>
    </row>
    <row r="1721">
      <c r="X1721" s="5">
        <f>IF(D1721="","",W1721*IF(AND(ISNUMBER(AB1721),AB1721&gt;0,AB1721&lt;1),AB1721*100,AB1721)/100)</f>
        <v/>
      </c>
      <c r="Y1721" s="5">
        <f>IF(D1721="","",AA1721*Z1721/100)</f>
        <v/>
      </c>
      <c r="Z1721" s="5">
        <f>IF(D1721="","",W1721-X1721)</f>
        <v/>
      </c>
      <c r="AC1721" s="5">
        <f>IF(D1721="","",Z1721-Y1721)</f>
        <v/>
      </c>
      <c r="AD1721">
        <f>IF(D1721="","",N(AD1720)+IF(MATCH(D1721,$D$2:$D$2501,0)=ROW()-1,1,0))</f>
        <v/>
      </c>
    </row>
    <row r="1722">
      <c r="X1722" s="5">
        <f>IF(D1722="","",W1722*IF(AND(ISNUMBER(AB1722),AB1722&gt;0,AB1722&lt;1),AB1722*100,AB1722)/100)</f>
        <v/>
      </c>
      <c r="Y1722" s="5">
        <f>IF(D1722="","",AA1722*Z1722/100)</f>
        <v/>
      </c>
      <c r="Z1722" s="5">
        <f>IF(D1722="","",W1722-X1722)</f>
        <v/>
      </c>
      <c r="AC1722" s="5">
        <f>IF(D1722="","",Z1722-Y1722)</f>
        <v/>
      </c>
      <c r="AD1722">
        <f>IF(D1722="","",N(AD1721)+IF(MATCH(D1722,$D$2:$D$2501,0)=ROW()-1,1,0))</f>
        <v/>
      </c>
    </row>
    <row r="1723">
      <c r="X1723" s="5">
        <f>IF(D1723="","",W1723*IF(AND(ISNUMBER(AB1723),AB1723&gt;0,AB1723&lt;1),AB1723*100,AB1723)/100)</f>
        <v/>
      </c>
      <c r="Y1723" s="5">
        <f>IF(D1723="","",AA1723*Z1723/100)</f>
        <v/>
      </c>
      <c r="Z1723" s="5">
        <f>IF(D1723="","",W1723-X1723)</f>
        <v/>
      </c>
      <c r="AC1723" s="5">
        <f>IF(D1723="","",Z1723-Y1723)</f>
        <v/>
      </c>
      <c r="AD1723">
        <f>IF(D1723="","",N(AD1722)+IF(MATCH(D1723,$D$2:$D$2501,0)=ROW()-1,1,0))</f>
        <v/>
      </c>
    </row>
    <row r="1724">
      <c r="X1724" s="5">
        <f>IF(D1724="","",W1724*IF(AND(ISNUMBER(AB1724),AB1724&gt;0,AB1724&lt;1),AB1724*100,AB1724)/100)</f>
        <v/>
      </c>
      <c r="Y1724" s="5">
        <f>IF(D1724="","",AA1724*Z1724/100)</f>
        <v/>
      </c>
      <c r="Z1724" s="5">
        <f>IF(D1724="","",W1724-X1724)</f>
        <v/>
      </c>
      <c r="AC1724" s="5">
        <f>IF(D1724="","",Z1724-Y1724)</f>
        <v/>
      </c>
      <c r="AD1724">
        <f>IF(D1724="","",N(AD1723)+IF(MATCH(D1724,$D$2:$D$2501,0)=ROW()-1,1,0))</f>
        <v/>
      </c>
    </row>
    <row r="1725">
      <c r="X1725" s="5">
        <f>IF(D1725="","",W1725*IF(AND(ISNUMBER(AB1725),AB1725&gt;0,AB1725&lt;1),AB1725*100,AB1725)/100)</f>
        <v/>
      </c>
      <c r="Y1725" s="5">
        <f>IF(D1725="","",AA1725*Z1725/100)</f>
        <v/>
      </c>
      <c r="Z1725" s="5">
        <f>IF(D1725="","",W1725-X1725)</f>
        <v/>
      </c>
      <c r="AC1725" s="5">
        <f>IF(D1725="","",Z1725-Y1725)</f>
        <v/>
      </c>
      <c r="AD1725">
        <f>IF(D1725="","",N(AD1724)+IF(MATCH(D1725,$D$2:$D$2501,0)=ROW()-1,1,0))</f>
        <v/>
      </c>
    </row>
    <row r="1726">
      <c r="X1726" s="5">
        <f>IF(D1726="","",W1726*IF(AND(ISNUMBER(AB1726),AB1726&gt;0,AB1726&lt;1),AB1726*100,AB1726)/100)</f>
        <v/>
      </c>
      <c r="Y1726" s="5">
        <f>IF(D1726="","",AA1726*Z1726/100)</f>
        <v/>
      </c>
      <c r="Z1726" s="5">
        <f>IF(D1726="","",W1726-X1726)</f>
        <v/>
      </c>
      <c r="AC1726" s="5">
        <f>IF(D1726="","",Z1726-Y1726)</f>
        <v/>
      </c>
      <c r="AD1726">
        <f>IF(D1726="","",N(AD1725)+IF(MATCH(D1726,$D$2:$D$2501,0)=ROW()-1,1,0))</f>
        <v/>
      </c>
    </row>
    <row r="1727">
      <c r="X1727" s="5">
        <f>IF(D1727="","",W1727*IF(AND(ISNUMBER(AB1727),AB1727&gt;0,AB1727&lt;1),AB1727*100,AB1727)/100)</f>
        <v/>
      </c>
      <c r="Y1727" s="5">
        <f>IF(D1727="","",AA1727*Z1727/100)</f>
        <v/>
      </c>
      <c r="Z1727" s="5">
        <f>IF(D1727="","",W1727-X1727)</f>
        <v/>
      </c>
      <c r="AC1727" s="5">
        <f>IF(D1727="","",Z1727-Y1727)</f>
        <v/>
      </c>
      <c r="AD1727">
        <f>IF(D1727="","",N(AD1726)+IF(MATCH(D1727,$D$2:$D$2501,0)=ROW()-1,1,0))</f>
        <v/>
      </c>
    </row>
    <row r="1728">
      <c r="X1728" s="5">
        <f>IF(D1728="","",W1728*IF(AND(ISNUMBER(AB1728),AB1728&gt;0,AB1728&lt;1),AB1728*100,AB1728)/100)</f>
        <v/>
      </c>
      <c r="Y1728" s="5">
        <f>IF(D1728="","",AA1728*Z1728/100)</f>
        <v/>
      </c>
      <c r="Z1728" s="5">
        <f>IF(D1728="","",W1728-X1728)</f>
        <v/>
      </c>
      <c r="AC1728" s="5">
        <f>IF(D1728="","",Z1728-Y1728)</f>
        <v/>
      </c>
      <c r="AD1728">
        <f>IF(D1728="","",N(AD1727)+IF(MATCH(D1728,$D$2:$D$2501,0)=ROW()-1,1,0))</f>
        <v/>
      </c>
    </row>
    <row r="1729">
      <c r="X1729" s="5">
        <f>IF(D1729="","",W1729*IF(AND(ISNUMBER(AB1729),AB1729&gt;0,AB1729&lt;1),AB1729*100,AB1729)/100)</f>
        <v/>
      </c>
      <c r="Y1729" s="5">
        <f>IF(D1729="","",AA1729*Z1729/100)</f>
        <v/>
      </c>
      <c r="Z1729" s="5">
        <f>IF(D1729="","",W1729-X1729)</f>
        <v/>
      </c>
      <c r="AC1729" s="5">
        <f>IF(D1729="","",Z1729-Y1729)</f>
        <v/>
      </c>
      <c r="AD1729">
        <f>IF(D1729="","",N(AD1728)+IF(MATCH(D1729,$D$2:$D$2501,0)=ROW()-1,1,0))</f>
        <v/>
      </c>
    </row>
    <row r="1730">
      <c r="X1730" s="5">
        <f>IF(D1730="","",W1730*IF(AND(ISNUMBER(AB1730),AB1730&gt;0,AB1730&lt;1),AB1730*100,AB1730)/100)</f>
        <v/>
      </c>
      <c r="Y1730" s="5">
        <f>IF(D1730="","",AA1730*Z1730/100)</f>
        <v/>
      </c>
      <c r="Z1730" s="5">
        <f>IF(D1730="","",W1730-X1730)</f>
        <v/>
      </c>
      <c r="AC1730" s="5">
        <f>IF(D1730="","",Z1730-Y1730)</f>
        <v/>
      </c>
      <c r="AD1730">
        <f>IF(D1730="","",N(AD1729)+IF(MATCH(D1730,$D$2:$D$2501,0)=ROW()-1,1,0))</f>
        <v/>
      </c>
    </row>
    <row r="1731">
      <c r="X1731" s="5">
        <f>IF(D1731="","",W1731*IF(AND(ISNUMBER(AB1731),AB1731&gt;0,AB1731&lt;1),AB1731*100,AB1731)/100)</f>
        <v/>
      </c>
      <c r="Y1731" s="5">
        <f>IF(D1731="","",AA1731*Z1731/100)</f>
        <v/>
      </c>
      <c r="Z1731" s="5">
        <f>IF(D1731="","",W1731-X1731)</f>
        <v/>
      </c>
      <c r="AC1731" s="5">
        <f>IF(D1731="","",Z1731-Y1731)</f>
        <v/>
      </c>
      <c r="AD1731">
        <f>IF(D1731="","",N(AD1730)+IF(MATCH(D1731,$D$2:$D$2501,0)=ROW()-1,1,0))</f>
        <v/>
      </c>
    </row>
    <row r="1732">
      <c r="X1732" s="5">
        <f>IF(D1732="","",W1732*IF(AND(ISNUMBER(AB1732),AB1732&gt;0,AB1732&lt;1),AB1732*100,AB1732)/100)</f>
        <v/>
      </c>
      <c r="Y1732" s="5">
        <f>IF(D1732="","",AA1732*Z1732/100)</f>
        <v/>
      </c>
      <c r="Z1732" s="5">
        <f>IF(D1732="","",W1732-X1732)</f>
        <v/>
      </c>
      <c r="AC1732" s="5">
        <f>IF(D1732="","",Z1732-Y1732)</f>
        <v/>
      </c>
      <c r="AD1732">
        <f>IF(D1732="","",N(AD1731)+IF(MATCH(D1732,$D$2:$D$2501,0)=ROW()-1,1,0))</f>
        <v/>
      </c>
    </row>
    <row r="1733">
      <c r="X1733" s="5">
        <f>IF(D1733="","",W1733*IF(AND(ISNUMBER(AB1733),AB1733&gt;0,AB1733&lt;1),AB1733*100,AB1733)/100)</f>
        <v/>
      </c>
      <c r="Y1733" s="5">
        <f>IF(D1733="","",AA1733*Z1733/100)</f>
        <v/>
      </c>
      <c r="Z1733" s="5">
        <f>IF(D1733="","",W1733-X1733)</f>
        <v/>
      </c>
      <c r="AC1733" s="5">
        <f>IF(D1733="","",Z1733-Y1733)</f>
        <v/>
      </c>
      <c r="AD1733">
        <f>IF(D1733="","",N(AD1732)+IF(MATCH(D1733,$D$2:$D$2501,0)=ROW()-1,1,0))</f>
        <v/>
      </c>
    </row>
    <row r="1734">
      <c r="X1734" s="5">
        <f>IF(D1734="","",W1734*IF(AND(ISNUMBER(AB1734),AB1734&gt;0,AB1734&lt;1),AB1734*100,AB1734)/100)</f>
        <v/>
      </c>
      <c r="Y1734" s="5">
        <f>IF(D1734="","",AA1734*Z1734/100)</f>
        <v/>
      </c>
      <c r="Z1734" s="5">
        <f>IF(D1734="","",W1734-X1734)</f>
        <v/>
      </c>
      <c r="AC1734" s="5">
        <f>IF(D1734="","",Z1734-Y1734)</f>
        <v/>
      </c>
      <c r="AD1734">
        <f>IF(D1734="","",N(AD1733)+IF(MATCH(D1734,$D$2:$D$2501,0)=ROW()-1,1,0))</f>
        <v/>
      </c>
    </row>
    <row r="1735">
      <c r="X1735" s="5">
        <f>IF(D1735="","",W1735*IF(AND(ISNUMBER(AB1735),AB1735&gt;0,AB1735&lt;1),AB1735*100,AB1735)/100)</f>
        <v/>
      </c>
      <c r="Y1735" s="5">
        <f>IF(D1735="","",AA1735*Z1735/100)</f>
        <v/>
      </c>
      <c r="Z1735" s="5">
        <f>IF(D1735="","",W1735-X1735)</f>
        <v/>
      </c>
      <c r="AC1735" s="5">
        <f>IF(D1735="","",Z1735-Y1735)</f>
        <v/>
      </c>
      <c r="AD1735">
        <f>IF(D1735="","",N(AD1734)+IF(MATCH(D1735,$D$2:$D$2501,0)=ROW()-1,1,0))</f>
        <v/>
      </c>
    </row>
    <row r="1736">
      <c r="X1736" s="5">
        <f>IF(D1736="","",W1736*IF(AND(ISNUMBER(AB1736),AB1736&gt;0,AB1736&lt;1),AB1736*100,AB1736)/100)</f>
        <v/>
      </c>
      <c r="Y1736" s="5">
        <f>IF(D1736="","",AA1736*Z1736/100)</f>
        <v/>
      </c>
      <c r="Z1736" s="5">
        <f>IF(D1736="","",W1736-X1736)</f>
        <v/>
      </c>
      <c r="AC1736" s="5">
        <f>IF(D1736="","",Z1736-Y1736)</f>
        <v/>
      </c>
      <c r="AD1736">
        <f>IF(D1736="","",N(AD1735)+IF(MATCH(D1736,$D$2:$D$2501,0)=ROW()-1,1,0))</f>
        <v/>
      </c>
    </row>
    <row r="1737">
      <c r="X1737" s="5">
        <f>IF(D1737="","",W1737*IF(AND(ISNUMBER(AB1737),AB1737&gt;0,AB1737&lt;1),AB1737*100,AB1737)/100)</f>
        <v/>
      </c>
      <c r="Y1737" s="5">
        <f>IF(D1737="","",AA1737*Z1737/100)</f>
        <v/>
      </c>
      <c r="Z1737" s="5">
        <f>IF(D1737="","",W1737-X1737)</f>
        <v/>
      </c>
      <c r="AC1737" s="5">
        <f>IF(D1737="","",Z1737-Y1737)</f>
        <v/>
      </c>
      <c r="AD1737">
        <f>IF(D1737="","",N(AD1736)+IF(MATCH(D1737,$D$2:$D$2501,0)=ROW()-1,1,0))</f>
        <v/>
      </c>
    </row>
    <row r="1738">
      <c r="X1738" s="5">
        <f>IF(D1738="","",W1738*IF(AND(ISNUMBER(AB1738),AB1738&gt;0,AB1738&lt;1),AB1738*100,AB1738)/100)</f>
        <v/>
      </c>
      <c r="Y1738" s="5">
        <f>IF(D1738="","",AA1738*Z1738/100)</f>
        <v/>
      </c>
      <c r="Z1738" s="5">
        <f>IF(D1738="","",W1738-X1738)</f>
        <v/>
      </c>
      <c r="AC1738" s="5">
        <f>IF(D1738="","",Z1738-Y1738)</f>
        <v/>
      </c>
      <c r="AD1738">
        <f>IF(D1738="","",N(AD1737)+IF(MATCH(D1738,$D$2:$D$2501,0)=ROW()-1,1,0))</f>
        <v/>
      </c>
    </row>
    <row r="1739">
      <c r="X1739" s="5">
        <f>IF(D1739="","",W1739*IF(AND(ISNUMBER(AB1739),AB1739&gt;0,AB1739&lt;1),AB1739*100,AB1739)/100)</f>
        <v/>
      </c>
      <c r="Y1739" s="5">
        <f>IF(D1739="","",AA1739*Z1739/100)</f>
        <v/>
      </c>
      <c r="Z1739" s="5">
        <f>IF(D1739="","",W1739-X1739)</f>
        <v/>
      </c>
      <c r="AC1739" s="5">
        <f>IF(D1739="","",Z1739-Y1739)</f>
        <v/>
      </c>
      <c r="AD1739">
        <f>IF(D1739="","",N(AD1738)+IF(MATCH(D1739,$D$2:$D$2501,0)=ROW()-1,1,0))</f>
        <v/>
      </c>
    </row>
    <row r="1740">
      <c r="X1740" s="5">
        <f>IF(D1740="","",W1740*IF(AND(ISNUMBER(AB1740),AB1740&gt;0,AB1740&lt;1),AB1740*100,AB1740)/100)</f>
        <v/>
      </c>
      <c r="Y1740" s="5">
        <f>IF(D1740="","",AA1740*Z1740/100)</f>
        <v/>
      </c>
      <c r="Z1740" s="5">
        <f>IF(D1740="","",W1740-X1740)</f>
        <v/>
      </c>
      <c r="AC1740" s="5">
        <f>IF(D1740="","",Z1740-Y1740)</f>
        <v/>
      </c>
      <c r="AD1740">
        <f>IF(D1740="","",N(AD1739)+IF(MATCH(D1740,$D$2:$D$2501,0)=ROW()-1,1,0))</f>
        <v/>
      </c>
    </row>
    <row r="1741">
      <c r="X1741" s="5">
        <f>IF(D1741="","",W1741*IF(AND(ISNUMBER(AB1741),AB1741&gt;0,AB1741&lt;1),AB1741*100,AB1741)/100)</f>
        <v/>
      </c>
      <c r="Y1741" s="5">
        <f>IF(D1741="","",AA1741*Z1741/100)</f>
        <v/>
      </c>
      <c r="Z1741" s="5">
        <f>IF(D1741="","",W1741-X1741)</f>
        <v/>
      </c>
      <c r="AC1741" s="5">
        <f>IF(D1741="","",Z1741-Y1741)</f>
        <v/>
      </c>
      <c r="AD1741">
        <f>IF(D1741="","",N(AD1740)+IF(MATCH(D1741,$D$2:$D$2501,0)=ROW()-1,1,0))</f>
        <v/>
      </c>
    </row>
    <row r="1742">
      <c r="X1742" s="5">
        <f>IF(D1742="","",W1742*IF(AND(ISNUMBER(AB1742),AB1742&gt;0,AB1742&lt;1),AB1742*100,AB1742)/100)</f>
        <v/>
      </c>
      <c r="Y1742" s="5">
        <f>IF(D1742="","",AA1742*Z1742/100)</f>
        <v/>
      </c>
      <c r="Z1742" s="5">
        <f>IF(D1742="","",W1742-X1742)</f>
        <v/>
      </c>
      <c r="AC1742" s="5">
        <f>IF(D1742="","",Z1742-Y1742)</f>
        <v/>
      </c>
      <c r="AD1742">
        <f>IF(D1742="","",N(AD1741)+IF(MATCH(D1742,$D$2:$D$2501,0)=ROW()-1,1,0))</f>
        <v/>
      </c>
    </row>
    <row r="1743">
      <c r="X1743" s="5">
        <f>IF(D1743="","",W1743*IF(AND(ISNUMBER(AB1743),AB1743&gt;0,AB1743&lt;1),AB1743*100,AB1743)/100)</f>
        <v/>
      </c>
      <c r="Y1743" s="5">
        <f>IF(D1743="","",AA1743*Z1743/100)</f>
        <v/>
      </c>
      <c r="Z1743" s="5">
        <f>IF(D1743="","",W1743-X1743)</f>
        <v/>
      </c>
      <c r="AC1743" s="5">
        <f>IF(D1743="","",Z1743-Y1743)</f>
        <v/>
      </c>
      <c r="AD1743">
        <f>IF(D1743="","",N(AD1742)+IF(MATCH(D1743,$D$2:$D$2501,0)=ROW()-1,1,0))</f>
        <v/>
      </c>
    </row>
    <row r="1744">
      <c r="X1744" s="5">
        <f>IF(D1744="","",W1744*IF(AND(ISNUMBER(AB1744),AB1744&gt;0,AB1744&lt;1),AB1744*100,AB1744)/100)</f>
        <v/>
      </c>
      <c r="Y1744" s="5">
        <f>IF(D1744="","",AA1744*Z1744/100)</f>
        <v/>
      </c>
      <c r="Z1744" s="5">
        <f>IF(D1744="","",W1744-X1744)</f>
        <v/>
      </c>
      <c r="AC1744" s="5">
        <f>IF(D1744="","",Z1744-Y1744)</f>
        <v/>
      </c>
      <c r="AD1744">
        <f>IF(D1744="","",N(AD1743)+IF(MATCH(D1744,$D$2:$D$2501,0)=ROW()-1,1,0))</f>
        <v/>
      </c>
    </row>
    <row r="1745">
      <c r="X1745" s="5">
        <f>IF(D1745="","",W1745*IF(AND(ISNUMBER(AB1745),AB1745&gt;0,AB1745&lt;1),AB1745*100,AB1745)/100)</f>
        <v/>
      </c>
      <c r="Y1745" s="5">
        <f>IF(D1745="","",AA1745*Z1745/100)</f>
        <v/>
      </c>
      <c r="Z1745" s="5">
        <f>IF(D1745="","",W1745-X1745)</f>
        <v/>
      </c>
      <c r="AC1745" s="5">
        <f>IF(D1745="","",Z1745-Y1745)</f>
        <v/>
      </c>
      <c r="AD1745">
        <f>IF(D1745="","",N(AD1744)+IF(MATCH(D1745,$D$2:$D$2501,0)=ROW()-1,1,0))</f>
        <v/>
      </c>
    </row>
    <row r="1746">
      <c r="X1746" s="5">
        <f>IF(D1746="","",W1746*IF(AND(ISNUMBER(AB1746),AB1746&gt;0,AB1746&lt;1),AB1746*100,AB1746)/100)</f>
        <v/>
      </c>
      <c r="Y1746" s="5">
        <f>IF(D1746="","",AA1746*Z1746/100)</f>
        <v/>
      </c>
      <c r="Z1746" s="5">
        <f>IF(D1746="","",W1746-X1746)</f>
        <v/>
      </c>
      <c r="AC1746" s="5">
        <f>IF(D1746="","",Z1746-Y1746)</f>
        <v/>
      </c>
      <c r="AD1746">
        <f>IF(D1746="","",N(AD1745)+IF(MATCH(D1746,$D$2:$D$2501,0)=ROW()-1,1,0))</f>
        <v/>
      </c>
    </row>
    <row r="1747">
      <c r="X1747" s="5">
        <f>IF(D1747="","",W1747*IF(AND(ISNUMBER(AB1747),AB1747&gt;0,AB1747&lt;1),AB1747*100,AB1747)/100)</f>
        <v/>
      </c>
      <c r="Y1747" s="5">
        <f>IF(D1747="","",AA1747*Z1747/100)</f>
        <v/>
      </c>
      <c r="Z1747" s="5">
        <f>IF(D1747="","",W1747-X1747)</f>
        <v/>
      </c>
      <c r="AC1747" s="5">
        <f>IF(D1747="","",Z1747-Y1747)</f>
        <v/>
      </c>
      <c r="AD1747">
        <f>IF(D1747="","",N(AD1746)+IF(MATCH(D1747,$D$2:$D$2501,0)=ROW()-1,1,0))</f>
        <v/>
      </c>
    </row>
    <row r="1748">
      <c r="X1748" s="5">
        <f>IF(D1748="","",W1748*IF(AND(ISNUMBER(AB1748),AB1748&gt;0,AB1748&lt;1),AB1748*100,AB1748)/100)</f>
        <v/>
      </c>
      <c r="Y1748" s="5">
        <f>IF(D1748="","",AA1748*Z1748/100)</f>
        <v/>
      </c>
      <c r="Z1748" s="5">
        <f>IF(D1748="","",W1748-X1748)</f>
        <v/>
      </c>
      <c r="AC1748" s="5">
        <f>IF(D1748="","",Z1748-Y1748)</f>
        <v/>
      </c>
      <c r="AD1748">
        <f>IF(D1748="","",N(AD1747)+IF(MATCH(D1748,$D$2:$D$2501,0)=ROW()-1,1,0))</f>
        <v/>
      </c>
    </row>
    <row r="1749">
      <c r="X1749" s="5">
        <f>IF(D1749="","",W1749*IF(AND(ISNUMBER(AB1749),AB1749&gt;0,AB1749&lt;1),AB1749*100,AB1749)/100)</f>
        <v/>
      </c>
      <c r="Y1749" s="5">
        <f>IF(D1749="","",AA1749*Z1749/100)</f>
        <v/>
      </c>
      <c r="Z1749" s="5">
        <f>IF(D1749="","",W1749-X1749)</f>
        <v/>
      </c>
      <c r="AC1749" s="5">
        <f>IF(D1749="","",Z1749-Y1749)</f>
        <v/>
      </c>
      <c r="AD1749">
        <f>IF(D1749="","",N(AD1748)+IF(MATCH(D1749,$D$2:$D$2501,0)=ROW()-1,1,0))</f>
        <v/>
      </c>
    </row>
    <row r="1750">
      <c r="X1750" s="5">
        <f>IF(D1750="","",W1750*IF(AND(ISNUMBER(AB1750),AB1750&gt;0,AB1750&lt;1),AB1750*100,AB1750)/100)</f>
        <v/>
      </c>
      <c r="Y1750" s="5">
        <f>IF(D1750="","",AA1750*Z1750/100)</f>
        <v/>
      </c>
      <c r="Z1750" s="5">
        <f>IF(D1750="","",W1750-X1750)</f>
        <v/>
      </c>
      <c r="AC1750" s="5">
        <f>IF(D1750="","",Z1750-Y1750)</f>
        <v/>
      </c>
      <c r="AD1750">
        <f>IF(D1750="","",N(AD1749)+IF(MATCH(D1750,$D$2:$D$2501,0)=ROW()-1,1,0))</f>
        <v/>
      </c>
    </row>
    <row r="1751">
      <c r="X1751" s="5">
        <f>IF(D1751="","",W1751*IF(AND(ISNUMBER(AB1751),AB1751&gt;0,AB1751&lt;1),AB1751*100,AB1751)/100)</f>
        <v/>
      </c>
      <c r="Y1751" s="5">
        <f>IF(D1751="","",AA1751*Z1751/100)</f>
        <v/>
      </c>
      <c r="Z1751" s="5">
        <f>IF(D1751="","",W1751-X1751)</f>
        <v/>
      </c>
      <c r="AC1751" s="5">
        <f>IF(D1751="","",Z1751-Y1751)</f>
        <v/>
      </c>
      <c r="AD1751">
        <f>IF(D1751="","",N(AD1750)+IF(MATCH(D1751,$D$2:$D$2501,0)=ROW()-1,1,0))</f>
        <v/>
      </c>
    </row>
    <row r="1752">
      <c r="X1752" s="5">
        <f>IF(D1752="","",W1752*IF(AND(ISNUMBER(AB1752),AB1752&gt;0,AB1752&lt;1),AB1752*100,AB1752)/100)</f>
        <v/>
      </c>
      <c r="Y1752" s="5">
        <f>IF(D1752="","",AA1752*Z1752/100)</f>
        <v/>
      </c>
      <c r="Z1752" s="5">
        <f>IF(D1752="","",W1752-X1752)</f>
        <v/>
      </c>
      <c r="AC1752" s="5">
        <f>IF(D1752="","",Z1752-Y1752)</f>
        <v/>
      </c>
      <c r="AD1752">
        <f>IF(D1752="","",N(AD1751)+IF(MATCH(D1752,$D$2:$D$2501,0)=ROW()-1,1,0))</f>
        <v/>
      </c>
    </row>
    <row r="1753">
      <c r="X1753" s="5">
        <f>IF(D1753="","",W1753*IF(AND(ISNUMBER(AB1753),AB1753&gt;0,AB1753&lt;1),AB1753*100,AB1753)/100)</f>
        <v/>
      </c>
      <c r="Y1753" s="5">
        <f>IF(D1753="","",AA1753*Z1753/100)</f>
        <v/>
      </c>
      <c r="Z1753" s="5">
        <f>IF(D1753="","",W1753-X1753)</f>
        <v/>
      </c>
      <c r="AC1753" s="5">
        <f>IF(D1753="","",Z1753-Y1753)</f>
        <v/>
      </c>
      <c r="AD1753">
        <f>IF(D1753="","",N(AD1752)+IF(MATCH(D1753,$D$2:$D$2501,0)=ROW()-1,1,0))</f>
        <v/>
      </c>
    </row>
    <row r="1754">
      <c r="X1754" s="5">
        <f>IF(D1754="","",W1754*IF(AND(ISNUMBER(AB1754),AB1754&gt;0,AB1754&lt;1),AB1754*100,AB1754)/100)</f>
        <v/>
      </c>
      <c r="Y1754" s="5">
        <f>IF(D1754="","",AA1754*Z1754/100)</f>
        <v/>
      </c>
      <c r="Z1754" s="5">
        <f>IF(D1754="","",W1754-X1754)</f>
        <v/>
      </c>
      <c r="AC1754" s="5">
        <f>IF(D1754="","",Z1754-Y1754)</f>
        <v/>
      </c>
      <c r="AD1754">
        <f>IF(D1754="","",N(AD1753)+IF(MATCH(D1754,$D$2:$D$2501,0)=ROW()-1,1,0))</f>
        <v/>
      </c>
    </row>
    <row r="1755">
      <c r="X1755" s="5">
        <f>IF(D1755="","",W1755*IF(AND(ISNUMBER(AB1755),AB1755&gt;0,AB1755&lt;1),AB1755*100,AB1755)/100)</f>
        <v/>
      </c>
      <c r="Y1755" s="5">
        <f>IF(D1755="","",AA1755*Z1755/100)</f>
        <v/>
      </c>
      <c r="Z1755" s="5">
        <f>IF(D1755="","",W1755-X1755)</f>
        <v/>
      </c>
      <c r="AC1755" s="5">
        <f>IF(D1755="","",Z1755-Y1755)</f>
        <v/>
      </c>
      <c r="AD1755">
        <f>IF(D1755="","",N(AD1754)+IF(MATCH(D1755,$D$2:$D$2501,0)=ROW()-1,1,0))</f>
        <v/>
      </c>
    </row>
    <row r="1756">
      <c r="X1756" s="5">
        <f>IF(D1756="","",W1756*IF(AND(ISNUMBER(AB1756),AB1756&gt;0,AB1756&lt;1),AB1756*100,AB1756)/100)</f>
        <v/>
      </c>
      <c r="Y1756" s="5">
        <f>IF(D1756="","",AA1756*Z1756/100)</f>
        <v/>
      </c>
      <c r="Z1756" s="5">
        <f>IF(D1756="","",W1756-X1756)</f>
        <v/>
      </c>
      <c r="AC1756" s="5">
        <f>IF(D1756="","",Z1756-Y1756)</f>
        <v/>
      </c>
      <c r="AD1756">
        <f>IF(D1756="","",N(AD1755)+IF(MATCH(D1756,$D$2:$D$2501,0)=ROW()-1,1,0))</f>
        <v/>
      </c>
    </row>
    <row r="1757">
      <c r="X1757" s="5">
        <f>IF(D1757="","",W1757*IF(AND(ISNUMBER(AB1757),AB1757&gt;0,AB1757&lt;1),AB1757*100,AB1757)/100)</f>
        <v/>
      </c>
      <c r="Y1757" s="5">
        <f>IF(D1757="","",AA1757*Z1757/100)</f>
        <v/>
      </c>
      <c r="Z1757" s="5">
        <f>IF(D1757="","",W1757-X1757)</f>
        <v/>
      </c>
      <c r="AC1757" s="5">
        <f>IF(D1757="","",Z1757-Y1757)</f>
        <v/>
      </c>
      <c r="AD1757">
        <f>IF(D1757="","",N(AD1756)+IF(MATCH(D1757,$D$2:$D$2501,0)=ROW()-1,1,0))</f>
        <v/>
      </c>
    </row>
    <row r="1758">
      <c r="X1758" s="5">
        <f>IF(D1758="","",W1758*IF(AND(ISNUMBER(AB1758),AB1758&gt;0,AB1758&lt;1),AB1758*100,AB1758)/100)</f>
        <v/>
      </c>
      <c r="Y1758" s="5">
        <f>IF(D1758="","",AA1758*Z1758/100)</f>
        <v/>
      </c>
      <c r="Z1758" s="5">
        <f>IF(D1758="","",W1758-X1758)</f>
        <v/>
      </c>
      <c r="AC1758" s="5">
        <f>IF(D1758="","",Z1758-Y1758)</f>
        <v/>
      </c>
      <c r="AD1758">
        <f>IF(D1758="","",N(AD1757)+IF(MATCH(D1758,$D$2:$D$2501,0)=ROW()-1,1,0))</f>
        <v/>
      </c>
    </row>
    <row r="1759">
      <c r="X1759" s="5">
        <f>IF(D1759="","",W1759*IF(AND(ISNUMBER(AB1759),AB1759&gt;0,AB1759&lt;1),AB1759*100,AB1759)/100)</f>
        <v/>
      </c>
      <c r="Y1759" s="5">
        <f>IF(D1759="","",AA1759*Z1759/100)</f>
        <v/>
      </c>
      <c r="Z1759" s="5">
        <f>IF(D1759="","",W1759-X1759)</f>
        <v/>
      </c>
      <c r="AC1759" s="5">
        <f>IF(D1759="","",Z1759-Y1759)</f>
        <v/>
      </c>
      <c r="AD1759">
        <f>IF(D1759="","",N(AD1758)+IF(MATCH(D1759,$D$2:$D$2501,0)=ROW()-1,1,0))</f>
        <v/>
      </c>
    </row>
    <row r="1760">
      <c r="X1760" s="5">
        <f>IF(D1760="","",W1760*IF(AND(ISNUMBER(AB1760),AB1760&gt;0,AB1760&lt;1),AB1760*100,AB1760)/100)</f>
        <v/>
      </c>
      <c r="Y1760" s="5">
        <f>IF(D1760="","",AA1760*Z1760/100)</f>
        <v/>
      </c>
      <c r="Z1760" s="5">
        <f>IF(D1760="","",W1760-X1760)</f>
        <v/>
      </c>
      <c r="AC1760" s="5">
        <f>IF(D1760="","",Z1760-Y1760)</f>
        <v/>
      </c>
      <c r="AD1760">
        <f>IF(D1760="","",N(AD1759)+IF(MATCH(D1760,$D$2:$D$2501,0)=ROW()-1,1,0))</f>
        <v/>
      </c>
    </row>
    <row r="1761">
      <c r="X1761" s="5">
        <f>IF(D1761="","",W1761*IF(AND(ISNUMBER(AB1761),AB1761&gt;0,AB1761&lt;1),AB1761*100,AB1761)/100)</f>
        <v/>
      </c>
      <c r="Y1761" s="5">
        <f>IF(D1761="","",AA1761*Z1761/100)</f>
        <v/>
      </c>
      <c r="Z1761" s="5">
        <f>IF(D1761="","",W1761-X1761)</f>
        <v/>
      </c>
      <c r="AC1761" s="5">
        <f>IF(D1761="","",Z1761-Y1761)</f>
        <v/>
      </c>
      <c r="AD1761">
        <f>IF(D1761="","",N(AD1760)+IF(MATCH(D1761,$D$2:$D$2501,0)=ROW()-1,1,0))</f>
        <v/>
      </c>
    </row>
    <row r="1762">
      <c r="X1762" s="5">
        <f>IF(D1762="","",W1762*IF(AND(ISNUMBER(AB1762),AB1762&gt;0,AB1762&lt;1),AB1762*100,AB1762)/100)</f>
        <v/>
      </c>
      <c r="Y1762" s="5">
        <f>IF(D1762="","",AA1762*Z1762/100)</f>
        <v/>
      </c>
      <c r="Z1762" s="5">
        <f>IF(D1762="","",W1762-X1762)</f>
        <v/>
      </c>
      <c r="AC1762" s="5">
        <f>IF(D1762="","",Z1762-Y1762)</f>
        <v/>
      </c>
      <c r="AD1762">
        <f>IF(D1762="","",N(AD1761)+IF(MATCH(D1762,$D$2:$D$2501,0)=ROW()-1,1,0))</f>
        <v/>
      </c>
    </row>
    <row r="1763">
      <c r="X1763" s="5">
        <f>IF(D1763="","",W1763*IF(AND(ISNUMBER(AB1763),AB1763&gt;0,AB1763&lt;1),AB1763*100,AB1763)/100)</f>
        <v/>
      </c>
      <c r="Y1763" s="5">
        <f>IF(D1763="","",AA1763*Z1763/100)</f>
        <v/>
      </c>
      <c r="Z1763" s="5">
        <f>IF(D1763="","",W1763-X1763)</f>
        <v/>
      </c>
      <c r="AC1763" s="5">
        <f>IF(D1763="","",Z1763-Y1763)</f>
        <v/>
      </c>
      <c r="AD1763">
        <f>IF(D1763="","",N(AD1762)+IF(MATCH(D1763,$D$2:$D$2501,0)=ROW()-1,1,0))</f>
        <v/>
      </c>
    </row>
    <row r="1764">
      <c r="X1764" s="5">
        <f>IF(D1764="","",W1764*IF(AND(ISNUMBER(AB1764),AB1764&gt;0,AB1764&lt;1),AB1764*100,AB1764)/100)</f>
        <v/>
      </c>
      <c r="Y1764" s="5">
        <f>IF(D1764="","",AA1764*Z1764/100)</f>
        <v/>
      </c>
      <c r="Z1764" s="5">
        <f>IF(D1764="","",W1764-X1764)</f>
        <v/>
      </c>
      <c r="AC1764" s="5">
        <f>IF(D1764="","",Z1764-Y1764)</f>
        <v/>
      </c>
      <c r="AD1764">
        <f>IF(D1764="","",N(AD1763)+IF(MATCH(D1764,$D$2:$D$2501,0)=ROW()-1,1,0))</f>
        <v/>
      </c>
    </row>
    <row r="1765">
      <c r="X1765" s="5">
        <f>IF(D1765="","",W1765*IF(AND(ISNUMBER(AB1765),AB1765&gt;0,AB1765&lt;1),AB1765*100,AB1765)/100)</f>
        <v/>
      </c>
      <c r="Y1765" s="5">
        <f>IF(D1765="","",AA1765*Z1765/100)</f>
        <v/>
      </c>
      <c r="Z1765" s="5">
        <f>IF(D1765="","",W1765-X1765)</f>
        <v/>
      </c>
      <c r="AC1765" s="5">
        <f>IF(D1765="","",Z1765-Y1765)</f>
        <v/>
      </c>
      <c r="AD1765">
        <f>IF(D1765="","",N(AD1764)+IF(MATCH(D1765,$D$2:$D$2501,0)=ROW()-1,1,0))</f>
        <v/>
      </c>
    </row>
    <row r="1766">
      <c r="X1766" s="5">
        <f>IF(D1766="","",W1766*IF(AND(ISNUMBER(AB1766),AB1766&gt;0,AB1766&lt;1),AB1766*100,AB1766)/100)</f>
        <v/>
      </c>
      <c r="Y1766" s="5">
        <f>IF(D1766="","",AA1766*Z1766/100)</f>
        <v/>
      </c>
      <c r="Z1766" s="5">
        <f>IF(D1766="","",W1766-X1766)</f>
        <v/>
      </c>
      <c r="AC1766" s="5">
        <f>IF(D1766="","",Z1766-Y1766)</f>
        <v/>
      </c>
      <c r="AD1766">
        <f>IF(D1766="","",N(AD1765)+IF(MATCH(D1766,$D$2:$D$2501,0)=ROW()-1,1,0))</f>
        <v/>
      </c>
    </row>
    <row r="1767">
      <c r="X1767" s="5">
        <f>IF(D1767="","",W1767*IF(AND(ISNUMBER(AB1767),AB1767&gt;0,AB1767&lt;1),AB1767*100,AB1767)/100)</f>
        <v/>
      </c>
      <c r="Y1767" s="5">
        <f>IF(D1767="","",AA1767*Z1767/100)</f>
        <v/>
      </c>
      <c r="Z1767" s="5">
        <f>IF(D1767="","",W1767-X1767)</f>
        <v/>
      </c>
      <c r="AC1767" s="5">
        <f>IF(D1767="","",Z1767-Y1767)</f>
        <v/>
      </c>
      <c r="AD1767">
        <f>IF(D1767="","",N(AD1766)+IF(MATCH(D1767,$D$2:$D$2501,0)=ROW()-1,1,0))</f>
        <v/>
      </c>
    </row>
    <row r="1768">
      <c r="X1768" s="5">
        <f>IF(D1768="","",W1768*IF(AND(ISNUMBER(AB1768),AB1768&gt;0,AB1768&lt;1),AB1768*100,AB1768)/100)</f>
        <v/>
      </c>
      <c r="Y1768" s="5">
        <f>IF(D1768="","",AA1768*Z1768/100)</f>
        <v/>
      </c>
      <c r="Z1768" s="5">
        <f>IF(D1768="","",W1768-X1768)</f>
        <v/>
      </c>
      <c r="AC1768" s="5">
        <f>IF(D1768="","",Z1768-Y1768)</f>
        <v/>
      </c>
      <c r="AD1768">
        <f>IF(D1768="","",N(AD1767)+IF(MATCH(D1768,$D$2:$D$2501,0)=ROW()-1,1,0))</f>
        <v/>
      </c>
    </row>
    <row r="1769">
      <c r="X1769" s="5">
        <f>IF(D1769="","",W1769*IF(AND(ISNUMBER(AB1769),AB1769&gt;0,AB1769&lt;1),AB1769*100,AB1769)/100)</f>
        <v/>
      </c>
      <c r="Y1769" s="5">
        <f>IF(D1769="","",AA1769*Z1769/100)</f>
        <v/>
      </c>
      <c r="Z1769" s="5">
        <f>IF(D1769="","",W1769-X1769)</f>
        <v/>
      </c>
      <c r="AC1769" s="5">
        <f>IF(D1769="","",Z1769-Y1769)</f>
        <v/>
      </c>
      <c r="AD1769">
        <f>IF(D1769="","",N(AD1768)+IF(MATCH(D1769,$D$2:$D$2501,0)=ROW()-1,1,0))</f>
        <v/>
      </c>
    </row>
    <row r="1770">
      <c r="X1770" s="5">
        <f>IF(D1770="","",W1770*IF(AND(ISNUMBER(AB1770),AB1770&gt;0,AB1770&lt;1),AB1770*100,AB1770)/100)</f>
        <v/>
      </c>
      <c r="Y1770" s="5">
        <f>IF(D1770="","",AA1770*Z1770/100)</f>
        <v/>
      </c>
      <c r="Z1770" s="5">
        <f>IF(D1770="","",W1770-X1770)</f>
        <v/>
      </c>
      <c r="AC1770" s="5">
        <f>IF(D1770="","",Z1770-Y1770)</f>
        <v/>
      </c>
      <c r="AD1770">
        <f>IF(D1770="","",N(AD1769)+IF(MATCH(D1770,$D$2:$D$2501,0)=ROW()-1,1,0))</f>
        <v/>
      </c>
    </row>
    <row r="1771">
      <c r="X1771" s="5">
        <f>IF(D1771="","",W1771*IF(AND(ISNUMBER(AB1771),AB1771&gt;0,AB1771&lt;1),AB1771*100,AB1771)/100)</f>
        <v/>
      </c>
      <c r="Y1771" s="5">
        <f>IF(D1771="","",AA1771*Z1771/100)</f>
        <v/>
      </c>
      <c r="Z1771" s="5">
        <f>IF(D1771="","",W1771-X1771)</f>
        <v/>
      </c>
      <c r="AC1771" s="5">
        <f>IF(D1771="","",Z1771-Y1771)</f>
        <v/>
      </c>
      <c r="AD1771">
        <f>IF(D1771="","",N(AD1770)+IF(MATCH(D1771,$D$2:$D$2501,0)=ROW()-1,1,0))</f>
        <v/>
      </c>
    </row>
    <row r="1772">
      <c r="X1772" s="5">
        <f>IF(D1772="","",W1772*IF(AND(ISNUMBER(AB1772),AB1772&gt;0,AB1772&lt;1),AB1772*100,AB1772)/100)</f>
        <v/>
      </c>
      <c r="Y1772" s="5">
        <f>IF(D1772="","",AA1772*Z1772/100)</f>
        <v/>
      </c>
      <c r="Z1772" s="5">
        <f>IF(D1772="","",W1772-X1772)</f>
        <v/>
      </c>
      <c r="AC1772" s="5">
        <f>IF(D1772="","",Z1772-Y1772)</f>
        <v/>
      </c>
      <c r="AD1772">
        <f>IF(D1772="","",N(AD1771)+IF(MATCH(D1772,$D$2:$D$2501,0)=ROW()-1,1,0))</f>
        <v/>
      </c>
    </row>
    <row r="1773">
      <c r="X1773" s="5">
        <f>IF(D1773="","",W1773*IF(AND(ISNUMBER(AB1773),AB1773&gt;0,AB1773&lt;1),AB1773*100,AB1773)/100)</f>
        <v/>
      </c>
      <c r="Y1773" s="5">
        <f>IF(D1773="","",AA1773*Z1773/100)</f>
        <v/>
      </c>
      <c r="Z1773" s="5">
        <f>IF(D1773="","",W1773-X1773)</f>
        <v/>
      </c>
      <c r="AC1773" s="5">
        <f>IF(D1773="","",Z1773-Y1773)</f>
        <v/>
      </c>
      <c r="AD1773">
        <f>IF(D1773="","",N(AD1772)+IF(MATCH(D1773,$D$2:$D$2501,0)=ROW()-1,1,0))</f>
        <v/>
      </c>
    </row>
    <row r="1774">
      <c r="X1774" s="5">
        <f>IF(D1774="","",W1774*IF(AND(ISNUMBER(AB1774),AB1774&gt;0,AB1774&lt;1),AB1774*100,AB1774)/100)</f>
        <v/>
      </c>
      <c r="Y1774" s="5">
        <f>IF(D1774="","",AA1774*Z1774/100)</f>
        <v/>
      </c>
      <c r="Z1774" s="5">
        <f>IF(D1774="","",W1774-X1774)</f>
        <v/>
      </c>
      <c r="AC1774" s="5">
        <f>IF(D1774="","",Z1774-Y1774)</f>
        <v/>
      </c>
      <c r="AD1774">
        <f>IF(D1774="","",N(AD1773)+IF(MATCH(D1774,$D$2:$D$2501,0)=ROW()-1,1,0))</f>
        <v/>
      </c>
    </row>
    <row r="1775">
      <c r="X1775" s="5">
        <f>IF(D1775="","",W1775*IF(AND(ISNUMBER(AB1775),AB1775&gt;0,AB1775&lt;1),AB1775*100,AB1775)/100)</f>
        <v/>
      </c>
      <c r="Y1775" s="5">
        <f>IF(D1775="","",AA1775*Z1775/100)</f>
        <v/>
      </c>
      <c r="Z1775" s="5">
        <f>IF(D1775="","",W1775-X1775)</f>
        <v/>
      </c>
      <c r="AC1775" s="5">
        <f>IF(D1775="","",Z1775-Y1775)</f>
        <v/>
      </c>
      <c r="AD1775">
        <f>IF(D1775="","",N(AD1774)+IF(MATCH(D1775,$D$2:$D$2501,0)=ROW()-1,1,0))</f>
        <v/>
      </c>
    </row>
    <row r="1776">
      <c r="X1776" s="5">
        <f>IF(D1776="","",W1776*IF(AND(ISNUMBER(AB1776),AB1776&gt;0,AB1776&lt;1),AB1776*100,AB1776)/100)</f>
        <v/>
      </c>
      <c r="Y1776" s="5">
        <f>IF(D1776="","",AA1776*Z1776/100)</f>
        <v/>
      </c>
      <c r="Z1776" s="5">
        <f>IF(D1776="","",W1776-X1776)</f>
        <v/>
      </c>
      <c r="AC1776" s="5">
        <f>IF(D1776="","",Z1776-Y1776)</f>
        <v/>
      </c>
      <c r="AD1776">
        <f>IF(D1776="","",N(AD1775)+IF(MATCH(D1776,$D$2:$D$2501,0)=ROW()-1,1,0))</f>
        <v/>
      </c>
    </row>
    <row r="1777">
      <c r="X1777" s="5">
        <f>IF(D1777="","",W1777*IF(AND(ISNUMBER(AB1777),AB1777&gt;0,AB1777&lt;1),AB1777*100,AB1777)/100)</f>
        <v/>
      </c>
      <c r="Y1777" s="5">
        <f>IF(D1777="","",AA1777*Z1777/100)</f>
        <v/>
      </c>
      <c r="Z1777" s="5">
        <f>IF(D1777="","",W1777-X1777)</f>
        <v/>
      </c>
      <c r="AC1777" s="5">
        <f>IF(D1777="","",Z1777-Y1777)</f>
        <v/>
      </c>
      <c r="AD1777">
        <f>IF(D1777="","",N(AD1776)+IF(MATCH(D1777,$D$2:$D$2501,0)=ROW()-1,1,0))</f>
        <v/>
      </c>
    </row>
    <row r="1778">
      <c r="X1778" s="5">
        <f>IF(D1778="","",W1778*IF(AND(ISNUMBER(AB1778),AB1778&gt;0,AB1778&lt;1),AB1778*100,AB1778)/100)</f>
        <v/>
      </c>
      <c r="Y1778" s="5">
        <f>IF(D1778="","",AA1778*Z1778/100)</f>
        <v/>
      </c>
      <c r="Z1778" s="5">
        <f>IF(D1778="","",W1778-X1778)</f>
        <v/>
      </c>
      <c r="AC1778" s="5">
        <f>IF(D1778="","",Z1778-Y1778)</f>
        <v/>
      </c>
      <c r="AD1778">
        <f>IF(D1778="","",N(AD1777)+IF(MATCH(D1778,$D$2:$D$2501,0)=ROW()-1,1,0))</f>
        <v/>
      </c>
    </row>
    <row r="1779">
      <c r="X1779" s="5">
        <f>IF(D1779="","",W1779*IF(AND(ISNUMBER(AB1779),AB1779&gt;0,AB1779&lt;1),AB1779*100,AB1779)/100)</f>
        <v/>
      </c>
      <c r="Y1779" s="5">
        <f>IF(D1779="","",AA1779*Z1779/100)</f>
        <v/>
      </c>
      <c r="Z1779" s="5">
        <f>IF(D1779="","",W1779-X1779)</f>
        <v/>
      </c>
      <c r="AC1779" s="5">
        <f>IF(D1779="","",Z1779-Y1779)</f>
        <v/>
      </c>
      <c r="AD1779">
        <f>IF(D1779="","",N(AD1778)+IF(MATCH(D1779,$D$2:$D$2501,0)=ROW()-1,1,0))</f>
        <v/>
      </c>
    </row>
    <row r="1780">
      <c r="X1780" s="5">
        <f>IF(D1780="","",W1780*IF(AND(ISNUMBER(AB1780),AB1780&gt;0,AB1780&lt;1),AB1780*100,AB1780)/100)</f>
        <v/>
      </c>
      <c r="Y1780" s="5">
        <f>IF(D1780="","",AA1780*Z1780/100)</f>
        <v/>
      </c>
      <c r="Z1780" s="5">
        <f>IF(D1780="","",W1780-X1780)</f>
        <v/>
      </c>
      <c r="AC1780" s="5">
        <f>IF(D1780="","",Z1780-Y1780)</f>
        <v/>
      </c>
      <c r="AD1780">
        <f>IF(D1780="","",N(AD1779)+IF(MATCH(D1780,$D$2:$D$2501,0)=ROW()-1,1,0))</f>
        <v/>
      </c>
    </row>
    <row r="1781">
      <c r="X1781" s="5">
        <f>IF(D1781="","",W1781*IF(AND(ISNUMBER(AB1781),AB1781&gt;0,AB1781&lt;1),AB1781*100,AB1781)/100)</f>
        <v/>
      </c>
      <c r="Y1781" s="5">
        <f>IF(D1781="","",AA1781*Z1781/100)</f>
        <v/>
      </c>
      <c r="Z1781" s="5">
        <f>IF(D1781="","",W1781-X1781)</f>
        <v/>
      </c>
      <c r="AC1781" s="5">
        <f>IF(D1781="","",Z1781-Y1781)</f>
        <v/>
      </c>
      <c r="AD1781">
        <f>IF(D1781="","",N(AD1780)+IF(MATCH(D1781,$D$2:$D$2501,0)=ROW()-1,1,0))</f>
        <v/>
      </c>
    </row>
    <row r="1782">
      <c r="X1782" s="5">
        <f>IF(D1782="","",W1782*IF(AND(ISNUMBER(AB1782),AB1782&gt;0,AB1782&lt;1),AB1782*100,AB1782)/100)</f>
        <v/>
      </c>
      <c r="Y1782" s="5">
        <f>IF(D1782="","",AA1782*Z1782/100)</f>
        <v/>
      </c>
      <c r="Z1782" s="5">
        <f>IF(D1782="","",W1782-X1782)</f>
        <v/>
      </c>
      <c r="AC1782" s="5">
        <f>IF(D1782="","",Z1782-Y1782)</f>
        <v/>
      </c>
      <c r="AD1782">
        <f>IF(D1782="","",N(AD1781)+IF(MATCH(D1782,$D$2:$D$2501,0)=ROW()-1,1,0))</f>
        <v/>
      </c>
    </row>
    <row r="1783">
      <c r="X1783" s="5">
        <f>IF(D1783="","",W1783*IF(AND(ISNUMBER(AB1783),AB1783&gt;0,AB1783&lt;1),AB1783*100,AB1783)/100)</f>
        <v/>
      </c>
      <c r="Y1783" s="5">
        <f>IF(D1783="","",AA1783*Z1783/100)</f>
        <v/>
      </c>
      <c r="Z1783" s="5">
        <f>IF(D1783="","",W1783-X1783)</f>
        <v/>
      </c>
      <c r="AC1783" s="5">
        <f>IF(D1783="","",Z1783-Y1783)</f>
        <v/>
      </c>
      <c r="AD1783">
        <f>IF(D1783="","",N(AD1782)+IF(MATCH(D1783,$D$2:$D$2501,0)=ROW()-1,1,0))</f>
        <v/>
      </c>
    </row>
    <row r="1784">
      <c r="X1784" s="5">
        <f>IF(D1784="","",W1784*IF(AND(ISNUMBER(AB1784),AB1784&gt;0,AB1784&lt;1),AB1784*100,AB1784)/100)</f>
        <v/>
      </c>
      <c r="Y1784" s="5">
        <f>IF(D1784="","",AA1784*Z1784/100)</f>
        <v/>
      </c>
      <c r="Z1784" s="5">
        <f>IF(D1784="","",W1784-X1784)</f>
        <v/>
      </c>
      <c r="AC1784" s="5">
        <f>IF(D1784="","",Z1784-Y1784)</f>
        <v/>
      </c>
      <c r="AD1784">
        <f>IF(D1784="","",N(AD1783)+IF(MATCH(D1784,$D$2:$D$2501,0)=ROW()-1,1,0))</f>
        <v/>
      </c>
    </row>
    <row r="1785">
      <c r="X1785" s="5">
        <f>IF(D1785="","",W1785*IF(AND(ISNUMBER(AB1785),AB1785&gt;0,AB1785&lt;1),AB1785*100,AB1785)/100)</f>
        <v/>
      </c>
      <c r="Y1785" s="5">
        <f>IF(D1785="","",AA1785*Z1785/100)</f>
        <v/>
      </c>
      <c r="Z1785" s="5">
        <f>IF(D1785="","",W1785-X1785)</f>
        <v/>
      </c>
      <c r="AC1785" s="5">
        <f>IF(D1785="","",Z1785-Y1785)</f>
        <v/>
      </c>
      <c r="AD1785">
        <f>IF(D1785="","",N(AD1784)+IF(MATCH(D1785,$D$2:$D$2501,0)=ROW()-1,1,0))</f>
        <v/>
      </c>
    </row>
    <row r="1786">
      <c r="X1786" s="5">
        <f>IF(D1786="","",W1786*IF(AND(ISNUMBER(AB1786),AB1786&gt;0,AB1786&lt;1),AB1786*100,AB1786)/100)</f>
        <v/>
      </c>
      <c r="Y1786" s="5">
        <f>IF(D1786="","",AA1786*Z1786/100)</f>
        <v/>
      </c>
      <c r="Z1786" s="5">
        <f>IF(D1786="","",W1786-X1786)</f>
        <v/>
      </c>
      <c r="AC1786" s="5">
        <f>IF(D1786="","",Z1786-Y1786)</f>
        <v/>
      </c>
      <c r="AD1786">
        <f>IF(D1786="","",N(AD1785)+IF(MATCH(D1786,$D$2:$D$2501,0)=ROW()-1,1,0))</f>
        <v/>
      </c>
    </row>
    <row r="1787">
      <c r="X1787" s="5">
        <f>IF(D1787="","",W1787*IF(AND(ISNUMBER(AB1787),AB1787&gt;0,AB1787&lt;1),AB1787*100,AB1787)/100)</f>
        <v/>
      </c>
      <c r="Y1787" s="5">
        <f>IF(D1787="","",AA1787*Z1787/100)</f>
        <v/>
      </c>
      <c r="Z1787" s="5">
        <f>IF(D1787="","",W1787-X1787)</f>
        <v/>
      </c>
      <c r="AC1787" s="5">
        <f>IF(D1787="","",Z1787-Y1787)</f>
        <v/>
      </c>
      <c r="AD1787">
        <f>IF(D1787="","",N(AD1786)+IF(MATCH(D1787,$D$2:$D$2501,0)=ROW()-1,1,0))</f>
        <v/>
      </c>
    </row>
    <row r="1788">
      <c r="X1788" s="5">
        <f>IF(D1788="","",W1788*IF(AND(ISNUMBER(AB1788),AB1788&gt;0,AB1788&lt;1),AB1788*100,AB1788)/100)</f>
        <v/>
      </c>
      <c r="Y1788" s="5">
        <f>IF(D1788="","",AA1788*Z1788/100)</f>
        <v/>
      </c>
      <c r="Z1788" s="5">
        <f>IF(D1788="","",W1788-X1788)</f>
        <v/>
      </c>
      <c r="AC1788" s="5">
        <f>IF(D1788="","",Z1788-Y1788)</f>
        <v/>
      </c>
      <c r="AD1788">
        <f>IF(D1788="","",N(AD1787)+IF(MATCH(D1788,$D$2:$D$2501,0)=ROW()-1,1,0))</f>
        <v/>
      </c>
    </row>
    <row r="1789">
      <c r="X1789" s="5">
        <f>IF(D1789="","",W1789*IF(AND(ISNUMBER(AB1789),AB1789&gt;0,AB1789&lt;1),AB1789*100,AB1789)/100)</f>
        <v/>
      </c>
      <c r="Y1789" s="5">
        <f>IF(D1789="","",AA1789*Z1789/100)</f>
        <v/>
      </c>
      <c r="Z1789" s="5">
        <f>IF(D1789="","",W1789-X1789)</f>
        <v/>
      </c>
      <c r="AC1789" s="5">
        <f>IF(D1789="","",Z1789-Y1789)</f>
        <v/>
      </c>
      <c r="AD1789">
        <f>IF(D1789="","",N(AD1788)+IF(MATCH(D1789,$D$2:$D$2501,0)=ROW()-1,1,0))</f>
        <v/>
      </c>
    </row>
    <row r="1790">
      <c r="X1790" s="5">
        <f>IF(D1790="","",W1790*IF(AND(ISNUMBER(AB1790),AB1790&gt;0,AB1790&lt;1),AB1790*100,AB1790)/100)</f>
        <v/>
      </c>
      <c r="Y1790" s="5">
        <f>IF(D1790="","",AA1790*Z1790/100)</f>
        <v/>
      </c>
      <c r="Z1790" s="5">
        <f>IF(D1790="","",W1790-X1790)</f>
        <v/>
      </c>
      <c r="AC1790" s="5">
        <f>IF(D1790="","",Z1790-Y1790)</f>
        <v/>
      </c>
      <c r="AD1790">
        <f>IF(D1790="","",N(AD1789)+IF(MATCH(D1790,$D$2:$D$2501,0)=ROW()-1,1,0))</f>
        <v/>
      </c>
    </row>
    <row r="1791">
      <c r="X1791" s="5">
        <f>IF(D1791="","",W1791*IF(AND(ISNUMBER(AB1791),AB1791&gt;0,AB1791&lt;1),AB1791*100,AB1791)/100)</f>
        <v/>
      </c>
      <c r="Y1791" s="5">
        <f>IF(D1791="","",AA1791*Z1791/100)</f>
        <v/>
      </c>
      <c r="Z1791" s="5">
        <f>IF(D1791="","",W1791-X1791)</f>
        <v/>
      </c>
      <c r="AC1791" s="5">
        <f>IF(D1791="","",Z1791-Y1791)</f>
        <v/>
      </c>
      <c r="AD1791">
        <f>IF(D1791="","",N(AD1790)+IF(MATCH(D1791,$D$2:$D$2501,0)=ROW()-1,1,0))</f>
        <v/>
      </c>
    </row>
    <row r="1792">
      <c r="X1792" s="5">
        <f>IF(D1792="","",W1792*IF(AND(ISNUMBER(AB1792),AB1792&gt;0,AB1792&lt;1),AB1792*100,AB1792)/100)</f>
        <v/>
      </c>
      <c r="Y1792" s="5">
        <f>IF(D1792="","",AA1792*Z1792/100)</f>
        <v/>
      </c>
      <c r="Z1792" s="5">
        <f>IF(D1792="","",W1792-X1792)</f>
        <v/>
      </c>
      <c r="AC1792" s="5">
        <f>IF(D1792="","",Z1792-Y1792)</f>
        <v/>
      </c>
      <c r="AD1792">
        <f>IF(D1792="","",N(AD1791)+IF(MATCH(D1792,$D$2:$D$2501,0)=ROW()-1,1,0))</f>
        <v/>
      </c>
    </row>
    <row r="1793">
      <c r="X1793" s="5">
        <f>IF(D1793="","",W1793*IF(AND(ISNUMBER(AB1793),AB1793&gt;0,AB1793&lt;1),AB1793*100,AB1793)/100)</f>
        <v/>
      </c>
      <c r="Y1793" s="5">
        <f>IF(D1793="","",AA1793*Z1793/100)</f>
        <v/>
      </c>
      <c r="Z1793" s="5">
        <f>IF(D1793="","",W1793-X1793)</f>
        <v/>
      </c>
      <c r="AC1793" s="5">
        <f>IF(D1793="","",Z1793-Y1793)</f>
        <v/>
      </c>
      <c r="AD1793">
        <f>IF(D1793="","",N(AD1792)+IF(MATCH(D1793,$D$2:$D$2501,0)=ROW()-1,1,0))</f>
        <v/>
      </c>
    </row>
    <row r="1794">
      <c r="X1794" s="5">
        <f>IF(D1794="","",W1794*IF(AND(ISNUMBER(AB1794),AB1794&gt;0,AB1794&lt;1),AB1794*100,AB1794)/100)</f>
        <v/>
      </c>
      <c r="Y1794" s="5">
        <f>IF(D1794="","",AA1794*Z1794/100)</f>
        <v/>
      </c>
      <c r="Z1794" s="5">
        <f>IF(D1794="","",W1794-X1794)</f>
        <v/>
      </c>
      <c r="AC1794" s="5">
        <f>IF(D1794="","",Z1794-Y1794)</f>
        <v/>
      </c>
      <c r="AD1794">
        <f>IF(D1794="","",N(AD1793)+IF(MATCH(D1794,$D$2:$D$2501,0)=ROW()-1,1,0))</f>
        <v/>
      </c>
    </row>
    <row r="1795">
      <c r="X1795" s="5">
        <f>IF(D1795="","",W1795*IF(AND(ISNUMBER(AB1795),AB1795&gt;0,AB1795&lt;1),AB1795*100,AB1795)/100)</f>
        <v/>
      </c>
      <c r="Y1795" s="5">
        <f>IF(D1795="","",AA1795*Z1795/100)</f>
        <v/>
      </c>
      <c r="Z1795" s="5">
        <f>IF(D1795="","",W1795-X1795)</f>
        <v/>
      </c>
      <c r="AC1795" s="5">
        <f>IF(D1795="","",Z1795-Y1795)</f>
        <v/>
      </c>
      <c r="AD1795">
        <f>IF(D1795="","",N(AD1794)+IF(MATCH(D1795,$D$2:$D$2501,0)=ROW()-1,1,0))</f>
        <v/>
      </c>
    </row>
    <row r="1796">
      <c r="X1796" s="5">
        <f>IF(D1796="","",W1796*IF(AND(ISNUMBER(AB1796),AB1796&gt;0,AB1796&lt;1),AB1796*100,AB1796)/100)</f>
        <v/>
      </c>
      <c r="Y1796" s="5">
        <f>IF(D1796="","",AA1796*Z1796/100)</f>
        <v/>
      </c>
      <c r="Z1796" s="5">
        <f>IF(D1796="","",W1796-X1796)</f>
        <v/>
      </c>
      <c r="AC1796" s="5">
        <f>IF(D1796="","",Z1796-Y1796)</f>
        <v/>
      </c>
      <c r="AD1796">
        <f>IF(D1796="","",N(AD1795)+IF(MATCH(D1796,$D$2:$D$2501,0)=ROW()-1,1,0))</f>
        <v/>
      </c>
    </row>
    <row r="1797">
      <c r="X1797" s="5">
        <f>IF(D1797="","",W1797*IF(AND(ISNUMBER(AB1797),AB1797&gt;0,AB1797&lt;1),AB1797*100,AB1797)/100)</f>
        <v/>
      </c>
      <c r="Y1797" s="5">
        <f>IF(D1797="","",AA1797*Z1797/100)</f>
        <v/>
      </c>
      <c r="Z1797" s="5">
        <f>IF(D1797="","",W1797-X1797)</f>
        <v/>
      </c>
      <c r="AC1797" s="5">
        <f>IF(D1797="","",Z1797-Y1797)</f>
        <v/>
      </c>
      <c r="AD1797">
        <f>IF(D1797="","",N(AD1796)+IF(MATCH(D1797,$D$2:$D$2501,0)=ROW()-1,1,0))</f>
        <v/>
      </c>
    </row>
    <row r="1798">
      <c r="X1798" s="5">
        <f>IF(D1798="","",W1798*IF(AND(ISNUMBER(AB1798),AB1798&gt;0,AB1798&lt;1),AB1798*100,AB1798)/100)</f>
        <v/>
      </c>
      <c r="Y1798" s="5">
        <f>IF(D1798="","",AA1798*Z1798/100)</f>
        <v/>
      </c>
      <c r="Z1798" s="5">
        <f>IF(D1798="","",W1798-X1798)</f>
        <v/>
      </c>
      <c r="AC1798" s="5">
        <f>IF(D1798="","",Z1798-Y1798)</f>
        <v/>
      </c>
      <c r="AD1798">
        <f>IF(D1798="","",N(AD1797)+IF(MATCH(D1798,$D$2:$D$2501,0)=ROW()-1,1,0))</f>
        <v/>
      </c>
    </row>
    <row r="1799">
      <c r="X1799" s="5">
        <f>IF(D1799="","",W1799*IF(AND(ISNUMBER(AB1799),AB1799&gt;0,AB1799&lt;1),AB1799*100,AB1799)/100)</f>
        <v/>
      </c>
      <c r="Y1799" s="5">
        <f>IF(D1799="","",AA1799*Z1799/100)</f>
        <v/>
      </c>
      <c r="Z1799" s="5">
        <f>IF(D1799="","",W1799-X1799)</f>
        <v/>
      </c>
      <c r="AC1799" s="5">
        <f>IF(D1799="","",Z1799-Y1799)</f>
        <v/>
      </c>
      <c r="AD1799">
        <f>IF(D1799="","",N(AD1798)+IF(MATCH(D1799,$D$2:$D$2501,0)=ROW()-1,1,0))</f>
        <v/>
      </c>
    </row>
    <row r="1800">
      <c r="X1800" s="5">
        <f>IF(D1800="","",W1800*IF(AND(ISNUMBER(AB1800),AB1800&gt;0,AB1800&lt;1),AB1800*100,AB1800)/100)</f>
        <v/>
      </c>
      <c r="Y1800" s="5">
        <f>IF(D1800="","",AA1800*Z1800/100)</f>
        <v/>
      </c>
      <c r="Z1800" s="5">
        <f>IF(D1800="","",W1800-X1800)</f>
        <v/>
      </c>
      <c r="AC1800" s="5">
        <f>IF(D1800="","",Z1800-Y1800)</f>
        <v/>
      </c>
      <c r="AD1800">
        <f>IF(D1800="","",N(AD1799)+IF(MATCH(D1800,$D$2:$D$2501,0)=ROW()-1,1,0))</f>
        <v/>
      </c>
    </row>
    <row r="1801">
      <c r="X1801" s="5">
        <f>IF(D1801="","",W1801*IF(AND(ISNUMBER(AB1801),AB1801&gt;0,AB1801&lt;1),AB1801*100,AB1801)/100)</f>
        <v/>
      </c>
      <c r="Y1801" s="5">
        <f>IF(D1801="","",AA1801*Z1801/100)</f>
        <v/>
      </c>
      <c r="Z1801" s="5">
        <f>IF(D1801="","",W1801-X1801)</f>
        <v/>
      </c>
      <c r="AC1801" s="5">
        <f>IF(D1801="","",Z1801-Y1801)</f>
        <v/>
      </c>
      <c r="AD1801">
        <f>IF(D1801="","",N(AD1800)+IF(MATCH(D1801,$D$2:$D$2501,0)=ROW()-1,1,0))</f>
        <v/>
      </c>
    </row>
    <row r="1802">
      <c r="X1802" s="5">
        <f>IF(D1802="","",W1802*IF(AND(ISNUMBER(AB1802),AB1802&gt;0,AB1802&lt;1),AB1802*100,AB1802)/100)</f>
        <v/>
      </c>
      <c r="Y1802" s="5">
        <f>IF(D1802="","",AA1802*Z1802/100)</f>
        <v/>
      </c>
      <c r="Z1802" s="5">
        <f>IF(D1802="","",W1802-X1802)</f>
        <v/>
      </c>
      <c r="AC1802" s="5">
        <f>IF(D1802="","",Z1802-Y1802)</f>
        <v/>
      </c>
      <c r="AD1802">
        <f>IF(D1802="","",N(AD1801)+IF(MATCH(D1802,$D$2:$D$2501,0)=ROW()-1,1,0))</f>
        <v/>
      </c>
    </row>
    <row r="1803">
      <c r="X1803" s="5">
        <f>IF(D1803="","",W1803*IF(AND(ISNUMBER(AB1803),AB1803&gt;0,AB1803&lt;1),AB1803*100,AB1803)/100)</f>
        <v/>
      </c>
      <c r="Y1803" s="5">
        <f>IF(D1803="","",AA1803*Z1803/100)</f>
        <v/>
      </c>
      <c r="Z1803" s="5">
        <f>IF(D1803="","",W1803-X1803)</f>
        <v/>
      </c>
      <c r="AC1803" s="5">
        <f>IF(D1803="","",Z1803-Y1803)</f>
        <v/>
      </c>
      <c r="AD1803">
        <f>IF(D1803="","",N(AD1802)+IF(MATCH(D1803,$D$2:$D$2501,0)=ROW()-1,1,0))</f>
        <v/>
      </c>
    </row>
    <row r="1804">
      <c r="X1804" s="5">
        <f>IF(D1804="","",W1804*IF(AND(ISNUMBER(AB1804),AB1804&gt;0,AB1804&lt;1),AB1804*100,AB1804)/100)</f>
        <v/>
      </c>
      <c r="Y1804" s="5">
        <f>IF(D1804="","",AA1804*Z1804/100)</f>
        <v/>
      </c>
      <c r="Z1804" s="5">
        <f>IF(D1804="","",W1804-X1804)</f>
        <v/>
      </c>
      <c r="AC1804" s="5">
        <f>IF(D1804="","",Z1804-Y1804)</f>
        <v/>
      </c>
      <c r="AD1804">
        <f>IF(D1804="","",N(AD1803)+IF(MATCH(D1804,$D$2:$D$2501,0)=ROW()-1,1,0))</f>
        <v/>
      </c>
    </row>
    <row r="1805">
      <c r="X1805" s="5">
        <f>IF(D1805="","",W1805*IF(AND(ISNUMBER(AB1805),AB1805&gt;0,AB1805&lt;1),AB1805*100,AB1805)/100)</f>
        <v/>
      </c>
      <c r="Y1805" s="5">
        <f>IF(D1805="","",AA1805*Z1805/100)</f>
        <v/>
      </c>
      <c r="Z1805" s="5">
        <f>IF(D1805="","",W1805-X1805)</f>
        <v/>
      </c>
      <c r="AC1805" s="5">
        <f>IF(D1805="","",Z1805-Y1805)</f>
        <v/>
      </c>
      <c r="AD1805">
        <f>IF(D1805="","",N(AD1804)+IF(MATCH(D1805,$D$2:$D$2501,0)=ROW()-1,1,0))</f>
        <v/>
      </c>
    </row>
    <row r="1806">
      <c r="X1806" s="5">
        <f>IF(D1806="","",W1806*IF(AND(ISNUMBER(AB1806),AB1806&gt;0,AB1806&lt;1),AB1806*100,AB1806)/100)</f>
        <v/>
      </c>
      <c r="Y1806" s="5">
        <f>IF(D1806="","",AA1806*Z1806/100)</f>
        <v/>
      </c>
      <c r="Z1806" s="5">
        <f>IF(D1806="","",W1806-X1806)</f>
        <v/>
      </c>
      <c r="AC1806" s="5">
        <f>IF(D1806="","",Z1806-Y1806)</f>
        <v/>
      </c>
      <c r="AD1806">
        <f>IF(D1806="","",N(AD1805)+IF(MATCH(D1806,$D$2:$D$2501,0)=ROW()-1,1,0))</f>
        <v/>
      </c>
    </row>
    <row r="1807">
      <c r="X1807" s="5">
        <f>IF(D1807="","",W1807*IF(AND(ISNUMBER(AB1807),AB1807&gt;0,AB1807&lt;1),AB1807*100,AB1807)/100)</f>
        <v/>
      </c>
      <c r="Y1807" s="5">
        <f>IF(D1807="","",AA1807*Z1807/100)</f>
        <v/>
      </c>
      <c r="Z1807" s="5">
        <f>IF(D1807="","",W1807-X1807)</f>
        <v/>
      </c>
      <c r="AC1807" s="5">
        <f>IF(D1807="","",Z1807-Y1807)</f>
        <v/>
      </c>
      <c r="AD1807">
        <f>IF(D1807="","",N(AD1806)+IF(MATCH(D1807,$D$2:$D$2501,0)=ROW()-1,1,0))</f>
        <v/>
      </c>
    </row>
    <row r="1808">
      <c r="X1808" s="5">
        <f>IF(D1808="","",W1808*IF(AND(ISNUMBER(AB1808),AB1808&gt;0,AB1808&lt;1),AB1808*100,AB1808)/100)</f>
        <v/>
      </c>
      <c r="Y1808" s="5">
        <f>IF(D1808="","",AA1808*Z1808/100)</f>
        <v/>
      </c>
      <c r="Z1808" s="5">
        <f>IF(D1808="","",W1808-X1808)</f>
        <v/>
      </c>
      <c r="AC1808" s="5">
        <f>IF(D1808="","",Z1808-Y1808)</f>
        <v/>
      </c>
      <c r="AD1808">
        <f>IF(D1808="","",N(AD1807)+IF(MATCH(D1808,$D$2:$D$2501,0)=ROW()-1,1,0))</f>
        <v/>
      </c>
    </row>
    <row r="1809">
      <c r="X1809" s="5">
        <f>IF(D1809="","",W1809*IF(AND(ISNUMBER(AB1809),AB1809&gt;0,AB1809&lt;1),AB1809*100,AB1809)/100)</f>
        <v/>
      </c>
      <c r="Y1809" s="5">
        <f>IF(D1809="","",AA1809*Z1809/100)</f>
        <v/>
      </c>
      <c r="Z1809" s="5">
        <f>IF(D1809="","",W1809-X1809)</f>
        <v/>
      </c>
      <c r="AC1809" s="5">
        <f>IF(D1809="","",Z1809-Y1809)</f>
        <v/>
      </c>
      <c r="AD1809">
        <f>IF(D1809="","",N(AD1808)+IF(MATCH(D1809,$D$2:$D$2501,0)=ROW()-1,1,0))</f>
        <v/>
      </c>
    </row>
    <row r="1810">
      <c r="X1810" s="5">
        <f>IF(D1810="","",W1810*IF(AND(ISNUMBER(AB1810),AB1810&gt;0,AB1810&lt;1),AB1810*100,AB1810)/100)</f>
        <v/>
      </c>
      <c r="Y1810" s="5">
        <f>IF(D1810="","",AA1810*Z1810/100)</f>
        <v/>
      </c>
      <c r="Z1810" s="5">
        <f>IF(D1810="","",W1810-X1810)</f>
        <v/>
      </c>
      <c r="AC1810" s="5">
        <f>IF(D1810="","",Z1810-Y1810)</f>
        <v/>
      </c>
      <c r="AD1810">
        <f>IF(D1810="","",N(AD1809)+IF(MATCH(D1810,$D$2:$D$2501,0)=ROW()-1,1,0))</f>
        <v/>
      </c>
    </row>
    <row r="1811">
      <c r="X1811" s="5">
        <f>IF(D1811="","",W1811*IF(AND(ISNUMBER(AB1811),AB1811&gt;0,AB1811&lt;1),AB1811*100,AB1811)/100)</f>
        <v/>
      </c>
      <c r="Y1811" s="5">
        <f>IF(D1811="","",AA1811*Z1811/100)</f>
        <v/>
      </c>
      <c r="Z1811" s="5">
        <f>IF(D1811="","",W1811-X1811)</f>
        <v/>
      </c>
      <c r="AC1811" s="5">
        <f>IF(D1811="","",Z1811-Y1811)</f>
        <v/>
      </c>
      <c r="AD1811">
        <f>IF(D1811="","",N(AD1810)+IF(MATCH(D1811,$D$2:$D$2501,0)=ROW()-1,1,0))</f>
        <v/>
      </c>
    </row>
    <row r="1812">
      <c r="X1812" s="5">
        <f>IF(D1812="","",W1812*IF(AND(ISNUMBER(AB1812),AB1812&gt;0,AB1812&lt;1),AB1812*100,AB1812)/100)</f>
        <v/>
      </c>
      <c r="Y1812" s="5">
        <f>IF(D1812="","",AA1812*Z1812/100)</f>
        <v/>
      </c>
      <c r="Z1812" s="5">
        <f>IF(D1812="","",W1812-X1812)</f>
        <v/>
      </c>
      <c r="AC1812" s="5">
        <f>IF(D1812="","",Z1812-Y1812)</f>
        <v/>
      </c>
      <c r="AD1812">
        <f>IF(D1812="","",N(AD1811)+IF(MATCH(D1812,$D$2:$D$2501,0)=ROW()-1,1,0))</f>
        <v/>
      </c>
    </row>
    <row r="1813">
      <c r="X1813" s="5">
        <f>IF(D1813="","",W1813*IF(AND(ISNUMBER(AB1813),AB1813&gt;0,AB1813&lt;1),AB1813*100,AB1813)/100)</f>
        <v/>
      </c>
      <c r="Y1813" s="5">
        <f>IF(D1813="","",AA1813*Z1813/100)</f>
        <v/>
      </c>
      <c r="Z1813" s="5">
        <f>IF(D1813="","",W1813-X1813)</f>
        <v/>
      </c>
      <c r="AC1813" s="5">
        <f>IF(D1813="","",Z1813-Y1813)</f>
        <v/>
      </c>
      <c r="AD1813">
        <f>IF(D1813="","",N(AD1812)+IF(MATCH(D1813,$D$2:$D$2501,0)=ROW()-1,1,0))</f>
        <v/>
      </c>
    </row>
    <row r="1814">
      <c r="X1814" s="5">
        <f>IF(D1814="","",W1814*IF(AND(ISNUMBER(AB1814),AB1814&gt;0,AB1814&lt;1),AB1814*100,AB1814)/100)</f>
        <v/>
      </c>
      <c r="Y1814" s="5">
        <f>IF(D1814="","",AA1814*Z1814/100)</f>
        <v/>
      </c>
      <c r="Z1814" s="5">
        <f>IF(D1814="","",W1814-X1814)</f>
        <v/>
      </c>
      <c r="AC1814" s="5">
        <f>IF(D1814="","",Z1814-Y1814)</f>
        <v/>
      </c>
      <c r="AD1814">
        <f>IF(D1814="","",N(AD1813)+IF(MATCH(D1814,$D$2:$D$2501,0)=ROW()-1,1,0))</f>
        <v/>
      </c>
    </row>
    <row r="1815">
      <c r="X1815" s="5">
        <f>IF(D1815="","",W1815*IF(AND(ISNUMBER(AB1815),AB1815&gt;0,AB1815&lt;1),AB1815*100,AB1815)/100)</f>
        <v/>
      </c>
      <c r="Y1815" s="5">
        <f>IF(D1815="","",AA1815*Z1815/100)</f>
        <v/>
      </c>
      <c r="Z1815" s="5">
        <f>IF(D1815="","",W1815-X1815)</f>
        <v/>
      </c>
      <c r="AC1815" s="5">
        <f>IF(D1815="","",Z1815-Y1815)</f>
        <v/>
      </c>
      <c r="AD1815">
        <f>IF(D1815="","",N(AD1814)+IF(MATCH(D1815,$D$2:$D$2501,0)=ROW()-1,1,0))</f>
        <v/>
      </c>
    </row>
    <row r="1816">
      <c r="X1816" s="5">
        <f>IF(D1816="","",W1816*IF(AND(ISNUMBER(AB1816),AB1816&gt;0,AB1816&lt;1),AB1816*100,AB1816)/100)</f>
        <v/>
      </c>
      <c r="Y1816" s="5">
        <f>IF(D1816="","",AA1816*Z1816/100)</f>
        <v/>
      </c>
      <c r="Z1816" s="5">
        <f>IF(D1816="","",W1816-X1816)</f>
        <v/>
      </c>
      <c r="AC1816" s="5">
        <f>IF(D1816="","",Z1816-Y1816)</f>
        <v/>
      </c>
      <c r="AD1816">
        <f>IF(D1816="","",N(AD1815)+IF(MATCH(D1816,$D$2:$D$2501,0)=ROW()-1,1,0))</f>
        <v/>
      </c>
    </row>
    <row r="1817">
      <c r="X1817" s="5">
        <f>IF(D1817="","",W1817*IF(AND(ISNUMBER(AB1817),AB1817&gt;0,AB1817&lt;1),AB1817*100,AB1817)/100)</f>
        <v/>
      </c>
      <c r="Y1817" s="5">
        <f>IF(D1817="","",AA1817*Z1817/100)</f>
        <v/>
      </c>
      <c r="Z1817" s="5">
        <f>IF(D1817="","",W1817-X1817)</f>
        <v/>
      </c>
      <c r="AC1817" s="5">
        <f>IF(D1817="","",Z1817-Y1817)</f>
        <v/>
      </c>
      <c r="AD1817">
        <f>IF(D1817="","",N(AD1816)+IF(MATCH(D1817,$D$2:$D$2501,0)=ROW()-1,1,0))</f>
        <v/>
      </c>
    </row>
    <row r="1818">
      <c r="X1818" s="5">
        <f>IF(D1818="","",W1818*IF(AND(ISNUMBER(AB1818),AB1818&gt;0,AB1818&lt;1),AB1818*100,AB1818)/100)</f>
        <v/>
      </c>
      <c r="Y1818" s="5">
        <f>IF(D1818="","",AA1818*Z1818/100)</f>
        <v/>
      </c>
      <c r="Z1818" s="5">
        <f>IF(D1818="","",W1818-X1818)</f>
        <v/>
      </c>
      <c r="AC1818" s="5">
        <f>IF(D1818="","",Z1818-Y1818)</f>
        <v/>
      </c>
      <c r="AD1818">
        <f>IF(D1818="","",N(AD1817)+IF(MATCH(D1818,$D$2:$D$2501,0)=ROW()-1,1,0))</f>
        <v/>
      </c>
    </row>
    <row r="1819">
      <c r="X1819" s="5">
        <f>IF(D1819="","",W1819*IF(AND(ISNUMBER(AB1819),AB1819&gt;0,AB1819&lt;1),AB1819*100,AB1819)/100)</f>
        <v/>
      </c>
      <c r="Y1819" s="5">
        <f>IF(D1819="","",AA1819*Z1819/100)</f>
        <v/>
      </c>
      <c r="Z1819" s="5">
        <f>IF(D1819="","",W1819-X1819)</f>
        <v/>
      </c>
      <c r="AC1819" s="5">
        <f>IF(D1819="","",Z1819-Y1819)</f>
        <v/>
      </c>
      <c r="AD1819">
        <f>IF(D1819="","",N(AD1818)+IF(MATCH(D1819,$D$2:$D$2501,0)=ROW()-1,1,0))</f>
        <v/>
      </c>
    </row>
    <row r="1820">
      <c r="X1820" s="5">
        <f>IF(D1820="","",W1820*IF(AND(ISNUMBER(AB1820),AB1820&gt;0,AB1820&lt;1),AB1820*100,AB1820)/100)</f>
        <v/>
      </c>
      <c r="Y1820" s="5">
        <f>IF(D1820="","",AA1820*Z1820/100)</f>
        <v/>
      </c>
      <c r="Z1820" s="5">
        <f>IF(D1820="","",W1820-X1820)</f>
        <v/>
      </c>
      <c r="AC1820" s="5">
        <f>IF(D1820="","",Z1820-Y1820)</f>
        <v/>
      </c>
      <c r="AD1820">
        <f>IF(D1820="","",N(AD1819)+IF(MATCH(D1820,$D$2:$D$2501,0)=ROW()-1,1,0))</f>
        <v/>
      </c>
    </row>
    <row r="1821">
      <c r="X1821" s="5">
        <f>IF(D1821="","",W1821*IF(AND(ISNUMBER(AB1821),AB1821&gt;0,AB1821&lt;1),AB1821*100,AB1821)/100)</f>
        <v/>
      </c>
      <c r="Y1821" s="5">
        <f>IF(D1821="","",AA1821*Z1821/100)</f>
        <v/>
      </c>
      <c r="Z1821" s="5">
        <f>IF(D1821="","",W1821-X1821)</f>
        <v/>
      </c>
      <c r="AC1821" s="5">
        <f>IF(D1821="","",Z1821-Y1821)</f>
        <v/>
      </c>
      <c r="AD1821">
        <f>IF(D1821="","",N(AD1820)+IF(MATCH(D1821,$D$2:$D$2501,0)=ROW()-1,1,0))</f>
        <v/>
      </c>
    </row>
    <row r="1822">
      <c r="X1822" s="5">
        <f>IF(D1822="","",W1822*IF(AND(ISNUMBER(AB1822),AB1822&gt;0,AB1822&lt;1),AB1822*100,AB1822)/100)</f>
        <v/>
      </c>
      <c r="Y1822" s="5">
        <f>IF(D1822="","",AA1822*Z1822/100)</f>
        <v/>
      </c>
      <c r="Z1822" s="5">
        <f>IF(D1822="","",W1822-X1822)</f>
        <v/>
      </c>
      <c r="AC1822" s="5">
        <f>IF(D1822="","",Z1822-Y1822)</f>
        <v/>
      </c>
      <c r="AD1822">
        <f>IF(D1822="","",N(AD1821)+IF(MATCH(D1822,$D$2:$D$2501,0)=ROW()-1,1,0))</f>
        <v/>
      </c>
    </row>
    <row r="1823">
      <c r="X1823" s="5">
        <f>IF(D1823="","",W1823*IF(AND(ISNUMBER(AB1823),AB1823&gt;0,AB1823&lt;1),AB1823*100,AB1823)/100)</f>
        <v/>
      </c>
      <c r="Y1823" s="5">
        <f>IF(D1823="","",AA1823*Z1823/100)</f>
        <v/>
      </c>
      <c r="Z1823" s="5">
        <f>IF(D1823="","",W1823-X1823)</f>
        <v/>
      </c>
      <c r="AC1823" s="5">
        <f>IF(D1823="","",Z1823-Y1823)</f>
        <v/>
      </c>
      <c r="AD1823">
        <f>IF(D1823="","",N(AD1822)+IF(MATCH(D1823,$D$2:$D$2501,0)=ROW()-1,1,0))</f>
        <v/>
      </c>
    </row>
    <row r="1824">
      <c r="X1824" s="5">
        <f>IF(D1824="","",W1824*IF(AND(ISNUMBER(AB1824),AB1824&gt;0,AB1824&lt;1),AB1824*100,AB1824)/100)</f>
        <v/>
      </c>
      <c r="Y1824" s="5">
        <f>IF(D1824="","",AA1824*Z1824/100)</f>
        <v/>
      </c>
      <c r="Z1824" s="5">
        <f>IF(D1824="","",W1824-X1824)</f>
        <v/>
      </c>
      <c r="AC1824" s="5">
        <f>IF(D1824="","",Z1824-Y1824)</f>
        <v/>
      </c>
      <c r="AD1824">
        <f>IF(D1824="","",N(AD1823)+IF(MATCH(D1824,$D$2:$D$2501,0)=ROW()-1,1,0))</f>
        <v/>
      </c>
    </row>
    <row r="1825">
      <c r="X1825" s="5">
        <f>IF(D1825="","",W1825*IF(AND(ISNUMBER(AB1825),AB1825&gt;0,AB1825&lt;1),AB1825*100,AB1825)/100)</f>
        <v/>
      </c>
      <c r="Y1825" s="5">
        <f>IF(D1825="","",AA1825*Z1825/100)</f>
        <v/>
      </c>
      <c r="Z1825" s="5">
        <f>IF(D1825="","",W1825-X1825)</f>
        <v/>
      </c>
      <c r="AC1825" s="5">
        <f>IF(D1825="","",Z1825-Y1825)</f>
        <v/>
      </c>
      <c r="AD1825">
        <f>IF(D1825="","",N(AD1824)+IF(MATCH(D1825,$D$2:$D$2501,0)=ROW()-1,1,0))</f>
        <v/>
      </c>
    </row>
    <row r="1826">
      <c r="X1826" s="5">
        <f>IF(D1826="","",W1826*IF(AND(ISNUMBER(AB1826),AB1826&gt;0,AB1826&lt;1),AB1826*100,AB1826)/100)</f>
        <v/>
      </c>
      <c r="Y1826" s="5">
        <f>IF(D1826="","",AA1826*Z1826/100)</f>
        <v/>
      </c>
      <c r="Z1826" s="5">
        <f>IF(D1826="","",W1826-X1826)</f>
        <v/>
      </c>
      <c r="AC1826" s="5">
        <f>IF(D1826="","",Z1826-Y1826)</f>
        <v/>
      </c>
      <c r="AD1826">
        <f>IF(D1826="","",N(AD1825)+IF(MATCH(D1826,$D$2:$D$2501,0)=ROW()-1,1,0))</f>
        <v/>
      </c>
    </row>
    <row r="1827">
      <c r="X1827" s="5">
        <f>IF(D1827="","",W1827*IF(AND(ISNUMBER(AB1827),AB1827&gt;0,AB1827&lt;1),AB1827*100,AB1827)/100)</f>
        <v/>
      </c>
      <c r="Y1827" s="5">
        <f>IF(D1827="","",AA1827*Z1827/100)</f>
        <v/>
      </c>
      <c r="Z1827" s="5">
        <f>IF(D1827="","",W1827-X1827)</f>
        <v/>
      </c>
      <c r="AC1827" s="5">
        <f>IF(D1827="","",Z1827-Y1827)</f>
        <v/>
      </c>
      <c r="AD1827">
        <f>IF(D1827="","",N(AD1826)+IF(MATCH(D1827,$D$2:$D$2501,0)=ROW()-1,1,0))</f>
        <v/>
      </c>
    </row>
    <row r="1828">
      <c r="X1828" s="5">
        <f>IF(D1828="","",W1828*IF(AND(ISNUMBER(AB1828),AB1828&gt;0,AB1828&lt;1),AB1828*100,AB1828)/100)</f>
        <v/>
      </c>
      <c r="Y1828" s="5">
        <f>IF(D1828="","",AA1828*Z1828/100)</f>
        <v/>
      </c>
      <c r="Z1828" s="5">
        <f>IF(D1828="","",W1828-X1828)</f>
        <v/>
      </c>
      <c r="AC1828" s="5">
        <f>IF(D1828="","",Z1828-Y1828)</f>
        <v/>
      </c>
      <c r="AD1828">
        <f>IF(D1828="","",N(AD1827)+IF(MATCH(D1828,$D$2:$D$2501,0)=ROW()-1,1,0))</f>
        <v/>
      </c>
    </row>
    <row r="1829">
      <c r="X1829" s="5">
        <f>IF(D1829="","",W1829*IF(AND(ISNUMBER(AB1829),AB1829&gt;0,AB1829&lt;1),AB1829*100,AB1829)/100)</f>
        <v/>
      </c>
      <c r="Y1829" s="5">
        <f>IF(D1829="","",AA1829*Z1829/100)</f>
        <v/>
      </c>
      <c r="Z1829" s="5">
        <f>IF(D1829="","",W1829-X1829)</f>
        <v/>
      </c>
      <c r="AC1829" s="5">
        <f>IF(D1829="","",Z1829-Y1829)</f>
        <v/>
      </c>
      <c r="AD1829">
        <f>IF(D1829="","",N(AD1828)+IF(MATCH(D1829,$D$2:$D$2501,0)=ROW()-1,1,0))</f>
        <v/>
      </c>
    </row>
    <row r="1830">
      <c r="X1830" s="5">
        <f>IF(D1830="","",W1830*IF(AND(ISNUMBER(AB1830),AB1830&gt;0,AB1830&lt;1),AB1830*100,AB1830)/100)</f>
        <v/>
      </c>
      <c r="Y1830" s="5">
        <f>IF(D1830="","",AA1830*Z1830/100)</f>
        <v/>
      </c>
      <c r="Z1830" s="5">
        <f>IF(D1830="","",W1830-X1830)</f>
        <v/>
      </c>
      <c r="AC1830" s="5">
        <f>IF(D1830="","",Z1830-Y1830)</f>
        <v/>
      </c>
      <c r="AD1830">
        <f>IF(D1830="","",N(AD1829)+IF(MATCH(D1830,$D$2:$D$2501,0)=ROW()-1,1,0))</f>
        <v/>
      </c>
    </row>
    <row r="1831">
      <c r="X1831" s="5">
        <f>IF(D1831="","",W1831*IF(AND(ISNUMBER(AB1831),AB1831&gt;0,AB1831&lt;1),AB1831*100,AB1831)/100)</f>
        <v/>
      </c>
      <c r="Y1831" s="5">
        <f>IF(D1831="","",AA1831*Z1831/100)</f>
        <v/>
      </c>
      <c r="Z1831" s="5">
        <f>IF(D1831="","",W1831-X1831)</f>
        <v/>
      </c>
      <c r="AC1831" s="5">
        <f>IF(D1831="","",Z1831-Y1831)</f>
        <v/>
      </c>
      <c r="AD1831">
        <f>IF(D1831="","",N(AD1830)+IF(MATCH(D1831,$D$2:$D$2501,0)=ROW()-1,1,0))</f>
        <v/>
      </c>
    </row>
    <row r="1832">
      <c r="X1832" s="5">
        <f>IF(D1832="","",W1832*IF(AND(ISNUMBER(AB1832),AB1832&gt;0,AB1832&lt;1),AB1832*100,AB1832)/100)</f>
        <v/>
      </c>
      <c r="Y1832" s="5">
        <f>IF(D1832="","",AA1832*Z1832/100)</f>
        <v/>
      </c>
      <c r="Z1832" s="5">
        <f>IF(D1832="","",W1832-X1832)</f>
        <v/>
      </c>
      <c r="AC1832" s="5">
        <f>IF(D1832="","",Z1832-Y1832)</f>
        <v/>
      </c>
      <c r="AD1832">
        <f>IF(D1832="","",N(AD1831)+IF(MATCH(D1832,$D$2:$D$2501,0)=ROW()-1,1,0))</f>
        <v/>
      </c>
    </row>
    <row r="1833">
      <c r="X1833" s="5">
        <f>IF(D1833="","",W1833*IF(AND(ISNUMBER(AB1833),AB1833&gt;0,AB1833&lt;1),AB1833*100,AB1833)/100)</f>
        <v/>
      </c>
      <c r="Y1833" s="5">
        <f>IF(D1833="","",AA1833*Z1833/100)</f>
        <v/>
      </c>
      <c r="Z1833" s="5">
        <f>IF(D1833="","",W1833-X1833)</f>
        <v/>
      </c>
      <c r="AC1833" s="5">
        <f>IF(D1833="","",Z1833-Y1833)</f>
        <v/>
      </c>
      <c r="AD1833">
        <f>IF(D1833="","",N(AD1832)+IF(MATCH(D1833,$D$2:$D$2501,0)=ROW()-1,1,0))</f>
        <v/>
      </c>
    </row>
    <row r="1834">
      <c r="X1834" s="5">
        <f>IF(D1834="","",W1834*IF(AND(ISNUMBER(AB1834),AB1834&gt;0,AB1834&lt;1),AB1834*100,AB1834)/100)</f>
        <v/>
      </c>
      <c r="Y1834" s="5">
        <f>IF(D1834="","",AA1834*Z1834/100)</f>
        <v/>
      </c>
      <c r="Z1834" s="5">
        <f>IF(D1834="","",W1834-X1834)</f>
        <v/>
      </c>
      <c r="AC1834" s="5">
        <f>IF(D1834="","",Z1834-Y1834)</f>
        <v/>
      </c>
      <c r="AD1834">
        <f>IF(D1834="","",N(AD1833)+IF(MATCH(D1834,$D$2:$D$2501,0)=ROW()-1,1,0))</f>
        <v/>
      </c>
    </row>
    <row r="1835">
      <c r="X1835" s="5">
        <f>IF(D1835="","",W1835*IF(AND(ISNUMBER(AB1835),AB1835&gt;0,AB1835&lt;1),AB1835*100,AB1835)/100)</f>
        <v/>
      </c>
      <c r="Y1835" s="5">
        <f>IF(D1835="","",AA1835*Z1835/100)</f>
        <v/>
      </c>
      <c r="Z1835" s="5">
        <f>IF(D1835="","",W1835-X1835)</f>
        <v/>
      </c>
      <c r="AC1835" s="5">
        <f>IF(D1835="","",Z1835-Y1835)</f>
        <v/>
      </c>
      <c r="AD1835">
        <f>IF(D1835="","",N(AD1834)+IF(MATCH(D1835,$D$2:$D$2501,0)=ROW()-1,1,0))</f>
        <v/>
      </c>
    </row>
    <row r="1836">
      <c r="X1836" s="5">
        <f>IF(D1836="","",W1836*IF(AND(ISNUMBER(AB1836),AB1836&gt;0,AB1836&lt;1),AB1836*100,AB1836)/100)</f>
        <v/>
      </c>
      <c r="Y1836" s="5">
        <f>IF(D1836="","",AA1836*Z1836/100)</f>
        <v/>
      </c>
      <c r="Z1836" s="5">
        <f>IF(D1836="","",W1836-X1836)</f>
        <v/>
      </c>
      <c r="AC1836" s="5">
        <f>IF(D1836="","",Z1836-Y1836)</f>
        <v/>
      </c>
      <c r="AD1836">
        <f>IF(D1836="","",N(AD1835)+IF(MATCH(D1836,$D$2:$D$2501,0)=ROW()-1,1,0))</f>
        <v/>
      </c>
    </row>
    <row r="1837">
      <c r="X1837" s="5">
        <f>IF(D1837="","",W1837*IF(AND(ISNUMBER(AB1837),AB1837&gt;0,AB1837&lt;1),AB1837*100,AB1837)/100)</f>
        <v/>
      </c>
      <c r="Y1837" s="5">
        <f>IF(D1837="","",AA1837*Z1837/100)</f>
        <v/>
      </c>
      <c r="Z1837" s="5">
        <f>IF(D1837="","",W1837-X1837)</f>
        <v/>
      </c>
      <c r="AC1837" s="5">
        <f>IF(D1837="","",Z1837-Y1837)</f>
        <v/>
      </c>
      <c r="AD1837">
        <f>IF(D1837="","",N(AD1836)+IF(MATCH(D1837,$D$2:$D$2501,0)=ROW()-1,1,0))</f>
        <v/>
      </c>
    </row>
    <row r="1838">
      <c r="X1838" s="5">
        <f>IF(D1838="","",W1838*IF(AND(ISNUMBER(AB1838),AB1838&gt;0,AB1838&lt;1),AB1838*100,AB1838)/100)</f>
        <v/>
      </c>
      <c r="Y1838" s="5">
        <f>IF(D1838="","",AA1838*Z1838/100)</f>
        <v/>
      </c>
      <c r="Z1838" s="5">
        <f>IF(D1838="","",W1838-X1838)</f>
        <v/>
      </c>
      <c r="AC1838" s="5">
        <f>IF(D1838="","",Z1838-Y1838)</f>
        <v/>
      </c>
      <c r="AD1838">
        <f>IF(D1838="","",N(AD1837)+IF(MATCH(D1838,$D$2:$D$2501,0)=ROW()-1,1,0))</f>
        <v/>
      </c>
    </row>
    <row r="1839">
      <c r="X1839" s="5">
        <f>IF(D1839="","",W1839*IF(AND(ISNUMBER(AB1839),AB1839&gt;0,AB1839&lt;1),AB1839*100,AB1839)/100)</f>
        <v/>
      </c>
      <c r="Y1839" s="5">
        <f>IF(D1839="","",AA1839*Z1839/100)</f>
        <v/>
      </c>
      <c r="Z1839" s="5">
        <f>IF(D1839="","",W1839-X1839)</f>
        <v/>
      </c>
      <c r="AC1839" s="5">
        <f>IF(D1839="","",Z1839-Y1839)</f>
        <v/>
      </c>
      <c r="AD1839">
        <f>IF(D1839="","",N(AD1838)+IF(MATCH(D1839,$D$2:$D$2501,0)=ROW()-1,1,0))</f>
        <v/>
      </c>
    </row>
    <row r="1840">
      <c r="X1840" s="5">
        <f>IF(D1840="","",W1840*IF(AND(ISNUMBER(AB1840),AB1840&gt;0,AB1840&lt;1),AB1840*100,AB1840)/100)</f>
        <v/>
      </c>
      <c r="Y1840" s="5">
        <f>IF(D1840="","",AA1840*Z1840/100)</f>
        <v/>
      </c>
      <c r="Z1840" s="5">
        <f>IF(D1840="","",W1840-X1840)</f>
        <v/>
      </c>
      <c r="AC1840" s="5">
        <f>IF(D1840="","",Z1840-Y1840)</f>
        <v/>
      </c>
      <c r="AD1840">
        <f>IF(D1840="","",N(AD1839)+IF(MATCH(D1840,$D$2:$D$2501,0)=ROW()-1,1,0))</f>
        <v/>
      </c>
    </row>
    <row r="1841">
      <c r="X1841" s="5">
        <f>IF(D1841="","",W1841*IF(AND(ISNUMBER(AB1841),AB1841&gt;0,AB1841&lt;1),AB1841*100,AB1841)/100)</f>
        <v/>
      </c>
      <c r="Y1841" s="5">
        <f>IF(D1841="","",AA1841*Z1841/100)</f>
        <v/>
      </c>
      <c r="Z1841" s="5">
        <f>IF(D1841="","",W1841-X1841)</f>
        <v/>
      </c>
      <c r="AC1841" s="5">
        <f>IF(D1841="","",Z1841-Y1841)</f>
        <v/>
      </c>
      <c r="AD1841">
        <f>IF(D1841="","",N(AD1840)+IF(MATCH(D1841,$D$2:$D$2501,0)=ROW()-1,1,0))</f>
        <v/>
      </c>
    </row>
    <row r="1842">
      <c r="X1842" s="5">
        <f>IF(D1842="","",W1842*IF(AND(ISNUMBER(AB1842),AB1842&gt;0,AB1842&lt;1),AB1842*100,AB1842)/100)</f>
        <v/>
      </c>
      <c r="Y1842" s="5">
        <f>IF(D1842="","",AA1842*Z1842/100)</f>
        <v/>
      </c>
      <c r="Z1842" s="5">
        <f>IF(D1842="","",W1842-X1842)</f>
        <v/>
      </c>
      <c r="AC1842" s="5">
        <f>IF(D1842="","",Z1842-Y1842)</f>
        <v/>
      </c>
      <c r="AD1842">
        <f>IF(D1842="","",N(AD1841)+IF(MATCH(D1842,$D$2:$D$2501,0)=ROW()-1,1,0))</f>
        <v/>
      </c>
    </row>
    <row r="1843">
      <c r="X1843" s="5">
        <f>IF(D1843="","",W1843*IF(AND(ISNUMBER(AB1843),AB1843&gt;0,AB1843&lt;1),AB1843*100,AB1843)/100)</f>
        <v/>
      </c>
      <c r="Y1843" s="5">
        <f>IF(D1843="","",AA1843*Z1843/100)</f>
        <v/>
      </c>
      <c r="Z1843" s="5">
        <f>IF(D1843="","",W1843-X1843)</f>
        <v/>
      </c>
      <c r="AC1843" s="5">
        <f>IF(D1843="","",Z1843-Y1843)</f>
        <v/>
      </c>
      <c r="AD1843">
        <f>IF(D1843="","",N(AD1842)+IF(MATCH(D1843,$D$2:$D$2501,0)=ROW()-1,1,0))</f>
        <v/>
      </c>
    </row>
    <row r="1844">
      <c r="X1844" s="5">
        <f>IF(D1844="","",W1844*IF(AND(ISNUMBER(AB1844),AB1844&gt;0,AB1844&lt;1),AB1844*100,AB1844)/100)</f>
        <v/>
      </c>
      <c r="Y1844" s="5">
        <f>IF(D1844="","",AA1844*Z1844/100)</f>
        <v/>
      </c>
      <c r="Z1844" s="5">
        <f>IF(D1844="","",W1844-X1844)</f>
        <v/>
      </c>
      <c r="AC1844" s="5">
        <f>IF(D1844="","",Z1844-Y1844)</f>
        <v/>
      </c>
      <c r="AD1844">
        <f>IF(D1844="","",N(AD1843)+IF(MATCH(D1844,$D$2:$D$2501,0)=ROW()-1,1,0))</f>
        <v/>
      </c>
    </row>
    <row r="1845">
      <c r="X1845" s="5">
        <f>IF(D1845="","",W1845*IF(AND(ISNUMBER(AB1845),AB1845&gt;0,AB1845&lt;1),AB1845*100,AB1845)/100)</f>
        <v/>
      </c>
      <c r="Y1845" s="5">
        <f>IF(D1845="","",AA1845*Z1845/100)</f>
        <v/>
      </c>
      <c r="Z1845" s="5">
        <f>IF(D1845="","",W1845-X1845)</f>
        <v/>
      </c>
      <c r="AC1845" s="5">
        <f>IF(D1845="","",Z1845-Y1845)</f>
        <v/>
      </c>
      <c r="AD1845">
        <f>IF(D1845="","",N(AD1844)+IF(MATCH(D1845,$D$2:$D$2501,0)=ROW()-1,1,0))</f>
        <v/>
      </c>
    </row>
    <row r="1846">
      <c r="X1846" s="5">
        <f>IF(D1846="","",W1846*IF(AND(ISNUMBER(AB1846),AB1846&gt;0,AB1846&lt;1),AB1846*100,AB1846)/100)</f>
        <v/>
      </c>
      <c r="Y1846" s="5">
        <f>IF(D1846="","",AA1846*Z1846/100)</f>
        <v/>
      </c>
      <c r="Z1846" s="5">
        <f>IF(D1846="","",W1846-X1846)</f>
        <v/>
      </c>
      <c r="AC1846" s="5">
        <f>IF(D1846="","",Z1846-Y1846)</f>
        <v/>
      </c>
      <c r="AD1846">
        <f>IF(D1846="","",N(AD1845)+IF(MATCH(D1846,$D$2:$D$2501,0)=ROW()-1,1,0))</f>
        <v/>
      </c>
    </row>
    <row r="1847">
      <c r="X1847" s="5">
        <f>IF(D1847="","",W1847*IF(AND(ISNUMBER(AB1847),AB1847&gt;0,AB1847&lt;1),AB1847*100,AB1847)/100)</f>
        <v/>
      </c>
      <c r="Y1847" s="5">
        <f>IF(D1847="","",AA1847*Z1847/100)</f>
        <v/>
      </c>
      <c r="Z1847" s="5">
        <f>IF(D1847="","",W1847-X1847)</f>
        <v/>
      </c>
      <c r="AC1847" s="5">
        <f>IF(D1847="","",Z1847-Y1847)</f>
        <v/>
      </c>
      <c r="AD1847">
        <f>IF(D1847="","",N(AD1846)+IF(MATCH(D1847,$D$2:$D$2501,0)=ROW()-1,1,0))</f>
        <v/>
      </c>
    </row>
    <row r="1848">
      <c r="X1848" s="5">
        <f>IF(D1848="","",W1848*IF(AND(ISNUMBER(AB1848),AB1848&gt;0,AB1848&lt;1),AB1848*100,AB1848)/100)</f>
        <v/>
      </c>
      <c r="Y1848" s="5">
        <f>IF(D1848="","",AA1848*Z1848/100)</f>
        <v/>
      </c>
      <c r="Z1848" s="5">
        <f>IF(D1848="","",W1848-X1848)</f>
        <v/>
      </c>
      <c r="AC1848" s="5">
        <f>IF(D1848="","",Z1848-Y1848)</f>
        <v/>
      </c>
      <c r="AD1848">
        <f>IF(D1848="","",N(AD1847)+IF(MATCH(D1848,$D$2:$D$2501,0)=ROW()-1,1,0))</f>
        <v/>
      </c>
    </row>
    <row r="1849">
      <c r="X1849" s="5">
        <f>IF(D1849="","",W1849*IF(AND(ISNUMBER(AB1849),AB1849&gt;0,AB1849&lt;1),AB1849*100,AB1849)/100)</f>
        <v/>
      </c>
      <c r="Y1849" s="5">
        <f>IF(D1849="","",AA1849*Z1849/100)</f>
        <v/>
      </c>
      <c r="Z1849" s="5">
        <f>IF(D1849="","",W1849-X1849)</f>
        <v/>
      </c>
      <c r="AC1849" s="5">
        <f>IF(D1849="","",Z1849-Y1849)</f>
        <v/>
      </c>
      <c r="AD1849">
        <f>IF(D1849="","",N(AD1848)+IF(MATCH(D1849,$D$2:$D$2501,0)=ROW()-1,1,0))</f>
        <v/>
      </c>
    </row>
    <row r="1850">
      <c r="X1850" s="5">
        <f>IF(D1850="","",W1850*IF(AND(ISNUMBER(AB1850),AB1850&gt;0,AB1850&lt;1),AB1850*100,AB1850)/100)</f>
        <v/>
      </c>
      <c r="Y1850" s="5">
        <f>IF(D1850="","",AA1850*Z1850/100)</f>
        <v/>
      </c>
      <c r="Z1850" s="5">
        <f>IF(D1850="","",W1850-X1850)</f>
        <v/>
      </c>
      <c r="AC1850" s="5">
        <f>IF(D1850="","",Z1850-Y1850)</f>
        <v/>
      </c>
      <c r="AD1850">
        <f>IF(D1850="","",N(AD1849)+IF(MATCH(D1850,$D$2:$D$2501,0)=ROW()-1,1,0))</f>
        <v/>
      </c>
    </row>
    <row r="1851">
      <c r="X1851" s="5">
        <f>IF(D1851="","",W1851*IF(AND(ISNUMBER(AB1851),AB1851&gt;0,AB1851&lt;1),AB1851*100,AB1851)/100)</f>
        <v/>
      </c>
      <c r="Y1851" s="5">
        <f>IF(D1851="","",AA1851*Z1851/100)</f>
        <v/>
      </c>
      <c r="Z1851" s="5">
        <f>IF(D1851="","",W1851-X1851)</f>
        <v/>
      </c>
      <c r="AC1851" s="5">
        <f>IF(D1851="","",Z1851-Y1851)</f>
        <v/>
      </c>
      <c r="AD1851">
        <f>IF(D1851="","",N(AD1850)+IF(MATCH(D1851,$D$2:$D$2501,0)=ROW()-1,1,0))</f>
        <v/>
      </c>
    </row>
    <row r="1852">
      <c r="X1852" s="5">
        <f>IF(D1852="","",W1852*IF(AND(ISNUMBER(AB1852),AB1852&gt;0,AB1852&lt;1),AB1852*100,AB1852)/100)</f>
        <v/>
      </c>
      <c r="Y1852" s="5">
        <f>IF(D1852="","",AA1852*Z1852/100)</f>
        <v/>
      </c>
      <c r="Z1852" s="5">
        <f>IF(D1852="","",W1852-X1852)</f>
        <v/>
      </c>
      <c r="AC1852" s="5">
        <f>IF(D1852="","",Z1852-Y1852)</f>
        <v/>
      </c>
      <c r="AD1852">
        <f>IF(D1852="","",N(AD1851)+IF(MATCH(D1852,$D$2:$D$2501,0)=ROW()-1,1,0))</f>
        <v/>
      </c>
    </row>
    <row r="1853">
      <c r="X1853" s="5">
        <f>IF(D1853="","",W1853*IF(AND(ISNUMBER(AB1853),AB1853&gt;0,AB1853&lt;1),AB1853*100,AB1853)/100)</f>
        <v/>
      </c>
      <c r="Y1853" s="5">
        <f>IF(D1853="","",AA1853*Z1853/100)</f>
        <v/>
      </c>
      <c r="Z1853" s="5">
        <f>IF(D1853="","",W1853-X1853)</f>
        <v/>
      </c>
      <c r="AC1853" s="5">
        <f>IF(D1853="","",Z1853-Y1853)</f>
        <v/>
      </c>
      <c r="AD1853">
        <f>IF(D1853="","",N(AD1852)+IF(MATCH(D1853,$D$2:$D$2501,0)=ROW()-1,1,0))</f>
        <v/>
      </c>
    </row>
    <row r="1854">
      <c r="X1854" s="5">
        <f>IF(D1854="","",W1854*IF(AND(ISNUMBER(AB1854),AB1854&gt;0,AB1854&lt;1),AB1854*100,AB1854)/100)</f>
        <v/>
      </c>
      <c r="Y1854" s="5">
        <f>IF(D1854="","",AA1854*Z1854/100)</f>
        <v/>
      </c>
      <c r="Z1854" s="5">
        <f>IF(D1854="","",W1854-X1854)</f>
        <v/>
      </c>
      <c r="AC1854" s="5">
        <f>IF(D1854="","",Z1854-Y1854)</f>
        <v/>
      </c>
      <c r="AD1854">
        <f>IF(D1854="","",N(AD1853)+IF(MATCH(D1854,$D$2:$D$2501,0)=ROW()-1,1,0))</f>
        <v/>
      </c>
    </row>
    <row r="1855">
      <c r="X1855" s="5">
        <f>IF(D1855="","",W1855*IF(AND(ISNUMBER(AB1855),AB1855&gt;0,AB1855&lt;1),AB1855*100,AB1855)/100)</f>
        <v/>
      </c>
      <c r="Y1855" s="5">
        <f>IF(D1855="","",AA1855*Z1855/100)</f>
        <v/>
      </c>
      <c r="Z1855" s="5">
        <f>IF(D1855="","",W1855-X1855)</f>
        <v/>
      </c>
      <c r="AC1855" s="5">
        <f>IF(D1855="","",Z1855-Y1855)</f>
        <v/>
      </c>
      <c r="AD1855">
        <f>IF(D1855="","",N(AD1854)+IF(MATCH(D1855,$D$2:$D$2501,0)=ROW()-1,1,0))</f>
        <v/>
      </c>
    </row>
    <row r="1856">
      <c r="X1856" s="5">
        <f>IF(D1856="","",W1856*IF(AND(ISNUMBER(AB1856),AB1856&gt;0,AB1856&lt;1),AB1856*100,AB1856)/100)</f>
        <v/>
      </c>
      <c r="Y1856" s="5">
        <f>IF(D1856="","",AA1856*Z1856/100)</f>
        <v/>
      </c>
      <c r="Z1856" s="5">
        <f>IF(D1856="","",W1856-X1856)</f>
        <v/>
      </c>
      <c r="AC1856" s="5">
        <f>IF(D1856="","",Z1856-Y1856)</f>
        <v/>
      </c>
      <c r="AD1856">
        <f>IF(D1856="","",N(AD1855)+IF(MATCH(D1856,$D$2:$D$2501,0)=ROW()-1,1,0))</f>
        <v/>
      </c>
    </row>
    <row r="1857">
      <c r="X1857" s="5">
        <f>IF(D1857="","",W1857*IF(AND(ISNUMBER(AB1857),AB1857&gt;0,AB1857&lt;1),AB1857*100,AB1857)/100)</f>
        <v/>
      </c>
      <c r="Y1857" s="5">
        <f>IF(D1857="","",AA1857*Z1857/100)</f>
        <v/>
      </c>
      <c r="Z1857" s="5">
        <f>IF(D1857="","",W1857-X1857)</f>
        <v/>
      </c>
      <c r="AC1857" s="5">
        <f>IF(D1857="","",Z1857-Y1857)</f>
        <v/>
      </c>
      <c r="AD1857">
        <f>IF(D1857="","",N(AD1856)+IF(MATCH(D1857,$D$2:$D$2501,0)=ROW()-1,1,0))</f>
        <v/>
      </c>
    </row>
    <row r="1858">
      <c r="X1858" s="5">
        <f>IF(D1858="","",W1858*IF(AND(ISNUMBER(AB1858),AB1858&gt;0,AB1858&lt;1),AB1858*100,AB1858)/100)</f>
        <v/>
      </c>
      <c r="Y1858" s="5">
        <f>IF(D1858="","",AA1858*Z1858/100)</f>
        <v/>
      </c>
      <c r="Z1858" s="5">
        <f>IF(D1858="","",W1858-X1858)</f>
        <v/>
      </c>
      <c r="AC1858" s="5">
        <f>IF(D1858="","",Z1858-Y1858)</f>
        <v/>
      </c>
      <c r="AD1858">
        <f>IF(D1858="","",N(AD1857)+IF(MATCH(D1858,$D$2:$D$2501,0)=ROW()-1,1,0))</f>
        <v/>
      </c>
    </row>
    <row r="1859">
      <c r="X1859" s="5">
        <f>IF(D1859="","",W1859*IF(AND(ISNUMBER(AB1859),AB1859&gt;0,AB1859&lt;1),AB1859*100,AB1859)/100)</f>
        <v/>
      </c>
      <c r="Y1859" s="5">
        <f>IF(D1859="","",AA1859*Z1859/100)</f>
        <v/>
      </c>
      <c r="Z1859" s="5">
        <f>IF(D1859="","",W1859-X1859)</f>
        <v/>
      </c>
      <c r="AC1859" s="5">
        <f>IF(D1859="","",Z1859-Y1859)</f>
        <v/>
      </c>
      <c r="AD1859">
        <f>IF(D1859="","",N(AD1858)+IF(MATCH(D1859,$D$2:$D$2501,0)=ROW()-1,1,0))</f>
        <v/>
      </c>
    </row>
    <row r="1860">
      <c r="X1860" s="5">
        <f>IF(D1860="","",W1860*IF(AND(ISNUMBER(AB1860),AB1860&gt;0,AB1860&lt;1),AB1860*100,AB1860)/100)</f>
        <v/>
      </c>
      <c r="Y1860" s="5">
        <f>IF(D1860="","",AA1860*Z1860/100)</f>
        <v/>
      </c>
      <c r="Z1860" s="5">
        <f>IF(D1860="","",W1860-X1860)</f>
        <v/>
      </c>
      <c r="AC1860" s="5">
        <f>IF(D1860="","",Z1860-Y1860)</f>
        <v/>
      </c>
      <c r="AD1860">
        <f>IF(D1860="","",N(AD1859)+IF(MATCH(D1860,$D$2:$D$2501,0)=ROW()-1,1,0))</f>
        <v/>
      </c>
    </row>
    <row r="1861">
      <c r="X1861" s="5">
        <f>IF(D1861="","",W1861*IF(AND(ISNUMBER(AB1861),AB1861&gt;0,AB1861&lt;1),AB1861*100,AB1861)/100)</f>
        <v/>
      </c>
      <c r="Y1861" s="5">
        <f>IF(D1861="","",AA1861*Z1861/100)</f>
        <v/>
      </c>
      <c r="Z1861" s="5">
        <f>IF(D1861="","",W1861-X1861)</f>
        <v/>
      </c>
      <c r="AC1861" s="5">
        <f>IF(D1861="","",Z1861-Y1861)</f>
        <v/>
      </c>
      <c r="AD1861">
        <f>IF(D1861="","",N(AD1860)+IF(MATCH(D1861,$D$2:$D$2501,0)=ROW()-1,1,0))</f>
        <v/>
      </c>
    </row>
    <row r="1862">
      <c r="X1862" s="5">
        <f>IF(D1862="","",W1862*IF(AND(ISNUMBER(AB1862),AB1862&gt;0,AB1862&lt;1),AB1862*100,AB1862)/100)</f>
        <v/>
      </c>
      <c r="Y1862" s="5">
        <f>IF(D1862="","",AA1862*Z1862/100)</f>
        <v/>
      </c>
      <c r="Z1862" s="5">
        <f>IF(D1862="","",W1862-X1862)</f>
        <v/>
      </c>
      <c r="AC1862" s="5">
        <f>IF(D1862="","",Z1862-Y1862)</f>
        <v/>
      </c>
      <c r="AD1862">
        <f>IF(D1862="","",N(AD1861)+IF(MATCH(D1862,$D$2:$D$2501,0)=ROW()-1,1,0))</f>
        <v/>
      </c>
    </row>
    <row r="1863">
      <c r="X1863" s="5">
        <f>IF(D1863="","",W1863*IF(AND(ISNUMBER(AB1863),AB1863&gt;0,AB1863&lt;1),AB1863*100,AB1863)/100)</f>
        <v/>
      </c>
      <c r="Y1863" s="5">
        <f>IF(D1863="","",AA1863*Z1863/100)</f>
        <v/>
      </c>
      <c r="Z1863" s="5">
        <f>IF(D1863="","",W1863-X1863)</f>
        <v/>
      </c>
      <c r="AC1863" s="5">
        <f>IF(D1863="","",Z1863-Y1863)</f>
        <v/>
      </c>
      <c r="AD1863">
        <f>IF(D1863="","",N(AD1862)+IF(MATCH(D1863,$D$2:$D$2501,0)=ROW()-1,1,0))</f>
        <v/>
      </c>
    </row>
    <row r="1864">
      <c r="X1864" s="5">
        <f>IF(D1864="","",W1864*IF(AND(ISNUMBER(AB1864),AB1864&gt;0,AB1864&lt;1),AB1864*100,AB1864)/100)</f>
        <v/>
      </c>
      <c r="Y1864" s="5">
        <f>IF(D1864="","",AA1864*Z1864/100)</f>
        <v/>
      </c>
      <c r="Z1864" s="5">
        <f>IF(D1864="","",W1864-X1864)</f>
        <v/>
      </c>
      <c r="AC1864" s="5">
        <f>IF(D1864="","",Z1864-Y1864)</f>
        <v/>
      </c>
      <c r="AD1864">
        <f>IF(D1864="","",N(AD1863)+IF(MATCH(D1864,$D$2:$D$2501,0)=ROW()-1,1,0))</f>
        <v/>
      </c>
    </row>
    <row r="1865">
      <c r="X1865" s="5">
        <f>IF(D1865="","",W1865*IF(AND(ISNUMBER(AB1865),AB1865&gt;0,AB1865&lt;1),AB1865*100,AB1865)/100)</f>
        <v/>
      </c>
      <c r="Y1865" s="5">
        <f>IF(D1865="","",AA1865*Z1865/100)</f>
        <v/>
      </c>
      <c r="Z1865" s="5">
        <f>IF(D1865="","",W1865-X1865)</f>
        <v/>
      </c>
      <c r="AC1865" s="5">
        <f>IF(D1865="","",Z1865-Y1865)</f>
        <v/>
      </c>
      <c r="AD1865">
        <f>IF(D1865="","",N(AD1864)+IF(MATCH(D1865,$D$2:$D$2501,0)=ROW()-1,1,0))</f>
        <v/>
      </c>
    </row>
    <row r="1866">
      <c r="X1866" s="5">
        <f>IF(D1866="","",W1866*IF(AND(ISNUMBER(AB1866),AB1866&gt;0,AB1866&lt;1),AB1866*100,AB1866)/100)</f>
        <v/>
      </c>
      <c r="Y1866" s="5">
        <f>IF(D1866="","",AA1866*Z1866/100)</f>
        <v/>
      </c>
      <c r="Z1866" s="5">
        <f>IF(D1866="","",W1866-X1866)</f>
        <v/>
      </c>
      <c r="AC1866" s="5">
        <f>IF(D1866="","",Z1866-Y1866)</f>
        <v/>
      </c>
      <c r="AD1866">
        <f>IF(D1866="","",N(AD1865)+IF(MATCH(D1866,$D$2:$D$2501,0)=ROW()-1,1,0))</f>
        <v/>
      </c>
    </row>
    <row r="1867">
      <c r="X1867" s="5">
        <f>IF(D1867="","",W1867*IF(AND(ISNUMBER(AB1867),AB1867&gt;0,AB1867&lt;1),AB1867*100,AB1867)/100)</f>
        <v/>
      </c>
      <c r="Y1867" s="5">
        <f>IF(D1867="","",AA1867*Z1867/100)</f>
        <v/>
      </c>
      <c r="Z1867" s="5">
        <f>IF(D1867="","",W1867-X1867)</f>
        <v/>
      </c>
      <c r="AC1867" s="5">
        <f>IF(D1867="","",Z1867-Y1867)</f>
        <v/>
      </c>
      <c r="AD1867">
        <f>IF(D1867="","",N(AD1866)+IF(MATCH(D1867,$D$2:$D$2501,0)=ROW()-1,1,0))</f>
        <v/>
      </c>
    </row>
    <row r="1868">
      <c r="X1868" s="5">
        <f>IF(D1868="","",W1868*IF(AND(ISNUMBER(AB1868),AB1868&gt;0,AB1868&lt;1),AB1868*100,AB1868)/100)</f>
        <v/>
      </c>
      <c r="Y1868" s="5">
        <f>IF(D1868="","",AA1868*Z1868/100)</f>
        <v/>
      </c>
      <c r="Z1868" s="5">
        <f>IF(D1868="","",W1868-X1868)</f>
        <v/>
      </c>
      <c r="AC1868" s="5">
        <f>IF(D1868="","",Z1868-Y1868)</f>
        <v/>
      </c>
      <c r="AD1868">
        <f>IF(D1868="","",N(AD1867)+IF(MATCH(D1868,$D$2:$D$2501,0)=ROW()-1,1,0))</f>
        <v/>
      </c>
    </row>
    <row r="1869">
      <c r="X1869" s="5">
        <f>IF(D1869="","",W1869*IF(AND(ISNUMBER(AB1869),AB1869&gt;0,AB1869&lt;1),AB1869*100,AB1869)/100)</f>
        <v/>
      </c>
      <c r="Y1869" s="5">
        <f>IF(D1869="","",AA1869*Z1869/100)</f>
        <v/>
      </c>
      <c r="Z1869" s="5">
        <f>IF(D1869="","",W1869-X1869)</f>
        <v/>
      </c>
      <c r="AC1869" s="5">
        <f>IF(D1869="","",Z1869-Y1869)</f>
        <v/>
      </c>
      <c r="AD1869">
        <f>IF(D1869="","",N(AD1868)+IF(MATCH(D1869,$D$2:$D$2501,0)=ROW()-1,1,0))</f>
        <v/>
      </c>
    </row>
    <row r="1870">
      <c r="X1870" s="5">
        <f>IF(D1870="","",W1870*IF(AND(ISNUMBER(AB1870),AB1870&gt;0,AB1870&lt;1),AB1870*100,AB1870)/100)</f>
        <v/>
      </c>
      <c r="Y1870" s="5">
        <f>IF(D1870="","",AA1870*Z1870/100)</f>
        <v/>
      </c>
      <c r="Z1870" s="5">
        <f>IF(D1870="","",W1870-X1870)</f>
        <v/>
      </c>
      <c r="AC1870" s="5">
        <f>IF(D1870="","",Z1870-Y1870)</f>
        <v/>
      </c>
      <c r="AD1870">
        <f>IF(D1870="","",N(AD1869)+IF(MATCH(D1870,$D$2:$D$2501,0)=ROW()-1,1,0))</f>
        <v/>
      </c>
    </row>
    <row r="1871">
      <c r="X1871" s="5">
        <f>IF(D1871="","",W1871*IF(AND(ISNUMBER(AB1871),AB1871&gt;0,AB1871&lt;1),AB1871*100,AB1871)/100)</f>
        <v/>
      </c>
      <c r="Y1871" s="5">
        <f>IF(D1871="","",AA1871*Z1871/100)</f>
        <v/>
      </c>
      <c r="Z1871" s="5">
        <f>IF(D1871="","",W1871-X1871)</f>
        <v/>
      </c>
      <c r="AC1871" s="5">
        <f>IF(D1871="","",Z1871-Y1871)</f>
        <v/>
      </c>
      <c r="AD1871">
        <f>IF(D1871="","",N(AD1870)+IF(MATCH(D1871,$D$2:$D$2501,0)=ROW()-1,1,0))</f>
        <v/>
      </c>
    </row>
    <row r="1872">
      <c r="X1872" s="5">
        <f>IF(D1872="","",W1872*IF(AND(ISNUMBER(AB1872),AB1872&gt;0,AB1872&lt;1),AB1872*100,AB1872)/100)</f>
        <v/>
      </c>
      <c r="Y1872" s="5">
        <f>IF(D1872="","",AA1872*Z1872/100)</f>
        <v/>
      </c>
      <c r="Z1872" s="5">
        <f>IF(D1872="","",W1872-X1872)</f>
        <v/>
      </c>
      <c r="AC1872" s="5">
        <f>IF(D1872="","",Z1872-Y1872)</f>
        <v/>
      </c>
      <c r="AD1872">
        <f>IF(D1872="","",N(AD1871)+IF(MATCH(D1872,$D$2:$D$2501,0)=ROW()-1,1,0))</f>
        <v/>
      </c>
    </row>
    <row r="1873">
      <c r="X1873" s="5">
        <f>IF(D1873="","",W1873*IF(AND(ISNUMBER(AB1873),AB1873&gt;0,AB1873&lt;1),AB1873*100,AB1873)/100)</f>
        <v/>
      </c>
      <c r="Y1873" s="5">
        <f>IF(D1873="","",AA1873*Z1873/100)</f>
        <v/>
      </c>
      <c r="Z1873" s="5">
        <f>IF(D1873="","",W1873-X1873)</f>
        <v/>
      </c>
      <c r="AC1873" s="5">
        <f>IF(D1873="","",Z1873-Y1873)</f>
        <v/>
      </c>
      <c r="AD1873">
        <f>IF(D1873="","",N(AD1872)+IF(MATCH(D1873,$D$2:$D$2501,0)=ROW()-1,1,0))</f>
        <v/>
      </c>
    </row>
    <row r="1874">
      <c r="X1874" s="5">
        <f>IF(D1874="","",W1874*IF(AND(ISNUMBER(AB1874),AB1874&gt;0,AB1874&lt;1),AB1874*100,AB1874)/100)</f>
        <v/>
      </c>
      <c r="Y1874" s="5">
        <f>IF(D1874="","",AA1874*Z1874/100)</f>
        <v/>
      </c>
      <c r="Z1874" s="5">
        <f>IF(D1874="","",W1874-X1874)</f>
        <v/>
      </c>
      <c r="AC1874" s="5">
        <f>IF(D1874="","",Z1874-Y1874)</f>
        <v/>
      </c>
      <c r="AD1874">
        <f>IF(D1874="","",N(AD1873)+IF(MATCH(D1874,$D$2:$D$2501,0)=ROW()-1,1,0))</f>
        <v/>
      </c>
    </row>
    <row r="1875">
      <c r="X1875" s="5">
        <f>IF(D1875="","",W1875*IF(AND(ISNUMBER(AB1875),AB1875&gt;0,AB1875&lt;1),AB1875*100,AB1875)/100)</f>
        <v/>
      </c>
      <c r="Y1875" s="5">
        <f>IF(D1875="","",AA1875*Z1875/100)</f>
        <v/>
      </c>
      <c r="Z1875" s="5">
        <f>IF(D1875="","",W1875-X1875)</f>
        <v/>
      </c>
      <c r="AC1875" s="5">
        <f>IF(D1875="","",Z1875-Y1875)</f>
        <v/>
      </c>
      <c r="AD1875">
        <f>IF(D1875="","",N(AD1874)+IF(MATCH(D1875,$D$2:$D$2501,0)=ROW()-1,1,0))</f>
        <v/>
      </c>
    </row>
    <row r="1876">
      <c r="X1876" s="5">
        <f>IF(D1876="","",W1876*IF(AND(ISNUMBER(AB1876),AB1876&gt;0,AB1876&lt;1),AB1876*100,AB1876)/100)</f>
        <v/>
      </c>
      <c r="Y1876" s="5">
        <f>IF(D1876="","",AA1876*Z1876/100)</f>
        <v/>
      </c>
      <c r="Z1876" s="5">
        <f>IF(D1876="","",W1876-X1876)</f>
        <v/>
      </c>
      <c r="AC1876" s="5">
        <f>IF(D1876="","",Z1876-Y1876)</f>
        <v/>
      </c>
      <c r="AD1876">
        <f>IF(D1876="","",N(AD1875)+IF(MATCH(D1876,$D$2:$D$2501,0)=ROW()-1,1,0))</f>
        <v/>
      </c>
    </row>
    <row r="1877">
      <c r="X1877" s="5">
        <f>IF(D1877="","",W1877*IF(AND(ISNUMBER(AB1877),AB1877&gt;0,AB1877&lt;1),AB1877*100,AB1877)/100)</f>
        <v/>
      </c>
      <c r="Y1877" s="5">
        <f>IF(D1877="","",AA1877*Z1877/100)</f>
        <v/>
      </c>
      <c r="Z1877" s="5">
        <f>IF(D1877="","",W1877-X1877)</f>
        <v/>
      </c>
      <c r="AC1877" s="5">
        <f>IF(D1877="","",Z1877-Y1877)</f>
        <v/>
      </c>
      <c r="AD1877">
        <f>IF(D1877="","",N(AD1876)+IF(MATCH(D1877,$D$2:$D$2501,0)=ROW()-1,1,0))</f>
        <v/>
      </c>
    </row>
    <row r="1878">
      <c r="X1878" s="5">
        <f>IF(D1878="","",W1878*IF(AND(ISNUMBER(AB1878),AB1878&gt;0,AB1878&lt;1),AB1878*100,AB1878)/100)</f>
        <v/>
      </c>
      <c r="Y1878" s="5">
        <f>IF(D1878="","",AA1878*Z1878/100)</f>
        <v/>
      </c>
      <c r="Z1878" s="5">
        <f>IF(D1878="","",W1878-X1878)</f>
        <v/>
      </c>
      <c r="AC1878" s="5">
        <f>IF(D1878="","",Z1878-Y1878)</f>
        <v/>
      </c>
      <c r="AD1878">
        <f>IF(D1878="","",N(AD1877)+IF(MATCH(D1878,$D$2:$D$2501,0)=ROW()-1,1,0))</f>
        <v/>
      </c>
    </row>
    <row r="1879">
      <c r="X1879" s="5">
        <f>IF(D1879="","",W1879*IF(AND(ISNUMBER(AB1879),AB1879&gt;0,AB1879&lt;1),AB1879*100,AB1879)/100)</f>
        <v/>
      </c>
      <c r="Y1879" s="5">
        <f>IF(D1879="","",AA1879*Z1879/100)</f>
        <v/>
      </c>
      <c r="Z1879" s="5">
        <f>IF(D1879="","",W1879-X1879)</f>
        <v/>
      </c>
      <c r="AC1879" s="5">
        <f>IF(D1879="","",Z1879-Y1879)</f>
        <v/>
      </c>
      <c r="AD1879">
        <f>IF(D1879="","",N(AD1878)+IF(MATCH(D1879,$D$2:$D$2501,0)=ROW()-1,1,0))</f>
        <v/>
      </c>
    </row>
    <row r="1880">
      <c r="X1880" s="5">
        <f>IF(D1880="","",W1880*IF(AND(ISNUMBER(AB1880),AB1880&gt;0,AB1880&lt;1),AB1880*100,AB1880)/100)</f>
        <v/>
      </c>
      <c r="Y1880" s="5">
        <f>IF(D1880="","",AA1880*Z1880/100)</f>
        <v/>
      </c>
      <c r="Z1880" s="5">
        <f>IF(D1880="","",W1880-X1880)</f>
        <v/>
      </c>
      <c r="AC1880" s="5">
        <f>IF(D1880="","",Z1880-Y1880)</f>
        <v/>
      </c>
      <c r="AD1880">
        <f>IF(D1880="","",N(AD1879)+IF(MATCH(D1880,$D$2:$D$2501,0)=ROW()-1,1,0))</f>
        <v/>
      </c>
    </row>
    <row r="1881">
      <c r="X1881" s="5">
        <f>IF(D1881="","",W1881*IF(AND(ISNUMBER(AB1881),AB1881&gt;0,AB1881&lt;1),AB1881*100,AB1881)/100)</f>
        <v/>
      </c>
      <c r="Y1881" s="5">
        <f>IF(D1881="","",AA1881*Z1881/100)</f>
        <v/>
      </c>
      <c r="Z1881" s="5">
        <f>IF(D1881="","",W1881-X1881)</f>
        <v/>
      </c>
      <c r="AC1881" s="5">
        <f>IF(D1881="","",Z1881-Y1881)</f>
        <v/>
      </c>
      <c r="AD1881">
        <f>IF(D1881="","",N(AD1880)+IF(MATCH(D1881,$D$2:$D$2501,0)=ROW()-1,1,0))</f>
        <v/>
      </c>
    </row>
    <row r="1882">
      <c r="X1882" s="5">
        <f>IF(D1882="","",W1882*IF(AND(ISNUMBER(AB1882),AB1882&gt;0,AB1882&lt;1),AB1882*100,AB1882)/100)</f>
        <v/>
      </c>
      <c r="Y1882" s="5">
        <f>IF(D1882="","",AA1882*Z1882/100)</f>
        <v/>
      </c>
      <c r="Z1882" s="5">
        <f>IF(D1882="","",W1882-X1882)</f>
        <v/>
      </c>
      <c r="AC1882" s="5">
        <f>IF(D1882="","",Z1882-Y1882)</f>
        <v/>
      </c>
      <c r="AD1882">
        <f>IF(D1882="","",N(AD1881)+IF(MATCH(D1882,$D$2:$D$2501,0)=ROW()-1,1,0))</f>
        <v/>
      </c>
    </row>
    <row r="1883">
      <c r="X1883" s="5">
        <f>IF(D1883="","",W1883*IF(AND(ISNUMBER(AB1883),AB1883&gt;0,AB1883&lt;1),AB1883*100,AB1883)/100)</f>
        <v/>
      </c>
      <c r="Y1883" s="5">
        <f>IF(D1883="","",AA1883*Z1883/100)</f>
        <v/>
      </c>
      <c r="Z1883" s="5">
        <f>IF(D1883="","",W1883-X1883)</f>
        <v/>
      </c>
      <c r="AC1883" s="5">
        <f>IF(D1883="","",Z1883-Y1883)</f>
        <v/>
      </c>
      <c r="AD1883">
        <f>IF(D1883="","",N(AD1882)+IF(MATCH(D1883,$D$2:$D$2501,0)=ROW()-1,1,0))</f>
        <v/>
      </c>
    </row>
    <row r="1884">
      <c r="X1884" s="5">
        <f>IF(D1884="","",W1884*IF(AND(ISNUMBER(AB1884),AB1884&gt;0,AB1884&lt;1),AB1884*100,AB1884)/100)</f>
        <v/>
      </c>
      <c r="Y1884" s="5">
        <f>IF(D1884="","",AA1884*Z1884/100)</f>
        <v/>
      </c>
      <c r="Z1884" s="5">
        <f>IF(D1884="","",W1884-X1884)</f>
        <v/>
      </c>
      <c r="AC1884" s="5">
        <f>IF(D1884="","",Z1884-Y1884)</f>
        <v/>
      </c>
      <c r="AD1884">
        <f>IF(D1884="","",N(AD1883)+IF(MATCH(D1884,$D$2:$D$2501,0)=ROW()-1,1,0))</f>
        <v/>
      </c>
    </row>
    <row r="1885">
      <c r="X1885" s="5">
        <f>IF(D1885="","",W1885*IF(AND(ISNUMBER(AB1885),AB1885&gt;0,AB1885&lt;1),AB1885*100,AB1885)/100)</f>
        <v/>
      </c>
      <c r="Y1885" s="5">
        <f>IF(D1885="","",AA1885*Z1885/100)</f>
        <v/>
      </c>
      <c r="Z1885" s="5">
        <f>IF(D1885="","",W1885-X1885)</f>
        <v/>
      </c>
      <c r="AC1885" s="5">
        <f>IF(D1885="","",Z1885-Y1885)</f>
        <v/>
      </c>
      <c r="AD1885">
        <f>IF(D1885="","",N(AD1884)+IF(MATCH(D1885,$D$2:$D$2501,0)=ROW()-1,1,0))</f>
        <v/>
      </c>
    </row>
    <row r="1886">
      <c r="X1886" s="5">
        <f>IF(D1886="","",W1886*IF(AND(ISNUMBER(AB1886),AB1886&gt;0,AB1886&lt;1),AB1886*100,AB1886)/100)</f>
        <v/>
      </c>
      <c r="Y1886" s="5">
        <f>IF(D1886="","",AA1886*Z1886/100)</f>
        <v/>
      </c>
      <c r="Z1886" s="5">
        <f>IF(D1886="","",W1886-X1886)</f>
        <v/>
      </c>
      <c r="AC1886" s="5">
        <f>IF(D1886="","",Z1886-Y1886)</f>
        <v/>
      </c>
      <c r="AD1886">
        <f>IF(D1886="","",N(AD1885)+IF(MATCH(D1886,$D$2:$D$2501,0)=ROW()-1,1,0))</f>
        <v/>
      </c>
    </row>
    <row r="1887">
      <c r="X1887" s="5">
        <f>IF(D1887="","",W1887*IF(AND(ISNUMBER(AB1887),AB1887&gt;0,AB1887&lt;1),AB1887*100,AB1887)/100)</f>
        <v/>
      </c>
      <c r="Y1887" s="5">
        <f>IF(D1887="","",AA1887*Z1887/100)</f>
        <v/>
      </c>
      <c r="Z1887" s="5">
        <f>IF(D1887="","",W1887-X1887)</f>
        <v/>
      </c>
      <c r="AC1887" s="5">
        <f>IF(D1887="","",Z1887-Y1887)</f>
        <v/>
      </c>
      <c r="AD1887">
        <f>IF(D1887="","",N(AD1886)+IF(MATCH(D1887,$D$2:$D$2501,0)=ROW()-1,1,0))</f>
        <v/>
      </c>
    </row>
    <row r="1888">
      <c r="X1888" s="5">
        <f>IF(D1888="","",W1888*IF(AND(ISNUMBER(AB1888),AB1888&gt;0,AB1888&lt;1),AB1888*100,AB1888)/100)</f>
        <v/>
      </c>
      <c r="Y1888" s="5">
        <f>IF(D1888="","",AA1888*Z1888/100)</f>
        <v/>
      </c>
      <c r="Z1888" s="5">
        <f>IF(D1888="","",W1888-X1888)</f>
        <v/>
      </c>
      <c r="AC1888" s="5">
        <f>IF(D1888="","",Z1888-Y1888)</f>
        <v/>
      </c>
      <c r="AD1888">
        <f>IF(D1888="","",N(AD1887)+IF(MATCH(D1888,$D$2:$D$2501,0)=ROW()-1,1,0))</f>
        <v/>
      </c>
    </row>
    <row r="1889">
      <c r="X1889" s="5">
        <f>IF(D1889="","",W1889*IF(AND(ISNUMBER(AB1889),AB1889&gt;0,AB1889&lt;1),AB1889*100,AB1889)/100)</f>
        <v/>
      </c>
      <c r="Y1889" s="5">
        <f>IF(D1889="","",AA1889*Z1889/100)</f>
        <v/>
      </c>
      <c r="Z1889" s="5">
        <f>IF(D1889="","",W1889-X1889)</f>
        <v/>
      </c>
      <c r="AC1889" s="5">
        <f>IF(D1889="","",Z1889-Y1889)</f>
        <v/>
      </c>
      <c r="AD1889">
        <f>IF(D1889="","",N(AD1888)+IF(MATCH(D1889,$D$2:$D$2501,0)=ROW()-1,1,0))</f>
        <v/>
      </c>
    </row>
    <row r="1890">
      <c r="X1890" s="5">
        <f>IF(D1890="","",W1890*IF(AND(ISNUMBER(AB1890),AB1890&gt;0,AB1890&lt;1),AB1890*100,AB1890)/100)</f>
        <v/>
      </c>
      <c r="Y1890" s="5">
        <f>IF(D1890="","",AA1890*Z1890/100)</f>
        <v/>
      </c>
      <c r="Z1890" s="5">
        <f>IF(D1890="","",W1890-X1890)</f>
        <v/>
      </c>
      <c r="AC1890" s="5">
        <f>IF(D1890="","",Z1890-Y1890)</f>
        <v/>
      </c>
      <c r="AD1890">
        <f>IF(D1890="","",N(AD1889)+IF(MATCH(D1890,$D$2:$D$2501,0)=ROW()-1,1,0))</f>
        <v/>
      </c>
    </row>
    <row r="1891">
      <c r="X1891" s="5">
        <f>IF(D1891="","",W1891*IF(AND(ISNUMBER(AB1891),AB1891&gt;0,AB1891&lt;1),AB1891*100,AB1891)/100)</f>
        <v/>
      </c>
      <c r="Y1891" s="5">
        <f>IF(D1891="","",AA1891*Z1891/100)</f>
        <v/>
      </c>
      <c r="Z1891" s="5">
        <f>IF(D1891="","",W1891-X1891)</f>
        <v/>
      </c>
      <c r="AC1891" s="5">
        <f>IF(D1891="","",Z1891-Y1891)</f>
        <v/>
      </c>
      <c r="AD1891">
        <f>IF(D1891="","",N(AD1890)+IF(MATCH(D1891,$D$2:$D$2501,0)=ROW()-1,1,0))</f>
        <v/>
      </c>
    </row>
    <row r="1892">
      <c r="X1892" s="5">
        <f>IF(D1892="","",W1892*IF(AND(ISNUMBER(AB1892),AB1892&gt;0,AB1892&lt;1),AB1892*100,AB1892)/100)</f>
        <v/>
      </c>
      <c r="Y1892" s="5">
        <f>IF(D1892="","",AA1892*Z1892/100)</f>
        <v/>
      </c>
      <c r="Z1892" s="5">
        <f>IF(D1892="","",W1892-X1892)</f>
        <v/>
      </c>
      <c r="AC1892" s="5">
        <f>IF(D1892="","",Z1892-Y1892)</f>
        <v/>
      </c>
      <c r="AD1892">
        <f>IF(D1892="","",N(AD1891)+IF(MATCH(D1892,$D$2:$D$2501,0)=ROW()-1,1,0))</f>
        <v/>
      </c>
    </row>
    <row r="1893">
      <c r="X1893" s="5">
        <f>IF(D1893="","",W1893*IF(AND(ISNUMBER(AB1893),AB1893&gt;0,AB1893&lt;1),AB1893*100,AB1893)/100)</f>
        <v/>
      </c>
      <c r="Y1893" s="5">
        <f>IF(D1893="","",AA1893*Z1893/100)</f>
        <v/>
      </c>
      <c r="Z1893" s="5">
        <f>IF(D1893="","",W1893-X1893)</f>
        <v/>
      </c>
      <c r="AC1893" s="5">
        <f>IF(D1893="","",Z1893-Y1893)</f>
        <v/>
      </c>
      <c r="AD1893">
        <f>IF(D1893="","",N(AD1892)+IF(MATCH(D1893,$D$2:$D$2501,0)=ROW()-1,1,0))</f>
        <v/>
      </c>
    </row>
    <row r="1894">
      <c r="X1894" s="5">
        <f>IF(D1894="","",W1894*IF(AND(ISNUMBER(AB1894),AB1894&gt;0,AB1894&lt;1),AB1894*100,AB1894)/100)</f>
        <v/>
      </c>
      <c r="Y1894" s="5">
        <f>IF(D1894="","",AA1894*Z1894/100)</f>
        <v/>
      </c>
      <c r="Z1894" s="5">
        <f>IF(D1894="","",W1894-X1894)</f>
        <v/>
      </c>
      <c r="AC1894" s="5">
        <f>IF(D1894="","",Z1894-Y1894)</f>
        <v/>
      </c>
      <c r="AD1894">
        <f>IF(D1894="","",N(AD1893)+IF(MATCH(D1894,$D$2:$D$2501,0)=ROW()-1,1,0))</f>
        <v/>
      </c>
    </row>
    <row r="1895">
      <c r="X1895" s="5">
        <f>IF(D1895="","",W1895*IF(AND(ISNUMBER(AB1895),AB1895&gt;0,AB1895&lt;1),AB1895*100,AB1895)/100)</f>
        <v/>
      </c>
      <c r="Y1895" s="5">
        <f>IF(D1895="","",AA1895*Z1895/100)</f>
        <v/>
      </c>
      <c r="Z1895" s="5">
        <f>IF(D1895="","",W1895-X1895)</f>
        <v/>
      </c>
      <c r="AC1895" s="5">
        <f>IF(D1895="","",Z1895-Y1895)</f>
        <v/>
      </c>
      <c r="AD1895">
        <f>IF(D1895="","",N(AD1894)+IF(MATCH(D1895,$D$2:$D$2501,0)=ROW()-1,1,0))</f>
        <v/>
      </c>
    </row>
    <row r="1896">
      <c r="X1896" s="5">
        <f>IF(D1896="","",W1896*IF(AND(ISNUMBER(AB1896),AB1896&gt;0,AB1896&lt;1),AB1896*100,AB1896)/100)</f>
        <v/>
      </c>
      <c r="Y1896" s="5">
        <f>IF(D1896="","",AA1896*Z1896/100)</f>
        <v/>
      </c>
      <c r="Z1896" s="5">
        <f>IF(D1896="","",W1896-X1896)</f>
        <v/>
      </c>
      <c r="AC1896" s="5">
        <f>IF(D1896="","",Z1896-Y1896)</f>
        <v/>
      </c>
      <c r="AD1896">
        <f>IF(D1896="","",N(AD1895)+IF(MATCH(D1896,$D$2:$D$2501,0)=ROW()-1,1,0))</f>
        <v/>
      </c>
    </row>
    <row r="1897">
      <c r="X1897" s="5">
        <f>IF(D1897="","",W1897*IF(AND(ISNUMBER(AB1897),AB1897&gt;0,AB1897&lt;1),AB1897*100,AB1897)/100)</f>
        <v/>
      </c>
      <c r="Y1897" s="5">
        <f>IF(D1897="","",AA1897*Z1897/100)</f>
        <v/>
      </c>
      <c r="Z1897" s="5">
        <f>IF(D1897="","",W1897-X1897)</f>
        <v/>
      </c>
      <c r="AC1897" s="5">
        <f>IF(D1897="","",Z1897-Y1897)</f>
        <v/>
      </c>
      <c r="AD1897">
        <f>IF(D1897="","",N(AD1896)+IF(MATCH(D1897,$D$2:$D$2501,0)=ROW()-1,1,0))</f>
        <v/>
      </c>
    </row>
    <row r="1898">
      <c r="X1898" s="5">
        <f>IF(D1898="","",W1898*IF(AND(ISNUMBER(AB1898),AB1898&gt;0,AB1898&lt;1),AB1898*100,AB1898)/100)</f>
        <v/>
      </c>
      <c r="Y1898" s="5">
        <f>IF(D1898="","",AA1898*Z1898/100)</f>
        <v/>
      </c>
      <c r="Z1898" s="5">
        <f>IF(D1898="","",W1898-X1898)</f>
        <v/>
      </c>
      <c r="AC1898" s="5">
        <f>IF(D1898="","",Z1898-Y1898)</f>
        <v/>
      </c>
      <c r="AD1898">
        <f>IF(D1898="","",N(AD1897)+IF(MATCH(D1898,$D$2:$D$2501,0)=ROW()-1,1,0))</f>
        <v/>
      </c>
    </row>
    <row r="1899">
      <c r="X1899" s="5">
        <f>IF(D1899="","",W1899*IF(AND(ISNUMBER(AB1899),AB1899&gt;0,AB1899&lt;1),AB1899*100,AB1899)/100)</f>
        <v/>
      </c>
      <c r="Y1899" s="5">
        <f>IF(D1899="","",AA1899*Z1899/100)</f>
        <v/>
      </c>
      <c r="Z1899" s="5">
        <f>IF(D1899="","",W1899-X1899)</f>
        <v/>
      </c>
      <c r="AC1899" s="5">
        <f>IF(D1899="","",Z1899-Y1899)</f>
        <v/>
      </c>
      <c r="AD1899">
        <f>IF(D1899="","",N(AD1898)+IF(MATCH(D1899,$D$2:$D$2501,0)=ROW()-1,1,0))</f>
        <v/>
      </c>
    </row>
    <row r="1900">
      <c r="X1900" s="5">
        <f>IF(D1900="","",W1900*IF(AND(ISNUMBER(AB1900),AB1900&gt;0,AB1900&lt;1),AB1900*100,AB1900)/100)</f>
        <v/>
      </c>
      <c r="Y1900" s="5">
        <f>IF(D1900="","",AA1900*Z1900/100)</f>
        <v/>
      </c>
      <c r="Z1900" s="5">
        <f>IF(D1900="","",W1900-X1900)</f>
        <v/>
      </c>
      <c r="AC1900" s="5">
        <f>IF(D1900="","",Z1900-Y1900)</f>
        <v/>
      </c>
      <c r="AD1900">
        <f>IF(D1900="","",N(AD1899)+IF(MATCH(D1900,$D$2:$D$2501,0)=ROW()-1,1,0))</f>
        <v/>
      </c>
    </row>
    <row r="1901">
      <c r="X1901" s="5">
        <f>IF(D1901="","",W1901*IF(AND(ISNUMBER(AB1901),AB1901&gt;0,AB1901&lt;1),AB1901*100,AB1901)/100)</f>
        <v/>
      </c>
      <c r="Y1901" s="5">
        <f>IF(D1901="","",AA1901*Z1901/100)</f>
        <v/>
      </c>
      <c r="Z1901" s="5">
        <f>IF(D1901="","",W1901-X1901)</f>
        <v/>
      </c>
      <c r="AC1901" s="5">
        <f>IF(D1901="","",Z1901-Y1901)</f>
        <v/>
      </c>
      <c r="AD1901">
        <f>IF(D1901="","",N(AD1900)+IF(MATCH(D1901,$D$2:$D$2501,0)=ROW()-1,1,0))</f>
        <v/>
      </c>
    </row>
    <row r="1902">
      <c r="X1902" s="5">
        <f>IF(D1902="","",W1902*IF(AND(ISNUMBER(AB1902),AB1902&gt;0,AB1902&lt;1),AB1902*100,AB1902)/100)</f>
        <v/>
      </c>
      <c r="Y1902" s="5">
        <f>IF(D1902="","",AA1902*Z1902/100)</f>
        <v/>
      </c>
      <c r="Z1902" s="5">
        <f>IF(D1902="","",W1902-X1902)</f>
        <v/>
      </c>
      <c r="AC1902" s="5">
        <f>IF(D1902="","",Z1902-Y1902)</f>
        <v/>
      </c>
      <c r="AD1902">
        <f>IF(D1902="","",N(AD1901)+IF(MATCH(D1902,$D$2:$D$2501,0)=ROW()-1,1,0))</f>
        <v/>
      </c>
    </row>
    <row r="1903">
      <c r="X1903" s="5">
        <f>IF(D1903="","",W1903*IF(AND(ISNUMBER(AB1903),AB1903&gt;0,AB1903&lt;1),AB1903*100,AB1903)/100)</f>
        <v/>
      </c>
      <c r="Y1903" s="5">
        <f>IF(D1903="","",AA1903*Z1903/100)</f>
        <v/>
      </c>
      <c r="Z1903" s="5">
        <f>IF(D1903="","",W1903-X1903)</f>
        <v/>
      </c>
      <c r="AC1903" s="5">
        <f>IF(D1903="","",Z1903-Y1903)</f>
        <v/>
      </c>
      <c r="AD1903">
        <f>IF(D1903="","",N(AD1902)+IF(MATCH(D1903,$D$2:$D$2501,0)=ROW()-1,1,0))</f>
        <v/>
      </c>
    </row>
    <row r="1904">
      <c r="X1904" s="5">
        <f>IF(D1904="","",W1904*IF(AND(ISNUMBER(AB1904),AB1904&gt;0,AB1904&lt;1),AB1904*100,AB1904)/100)</f>
        <v/>
      </c>
      <c r="Y1904" s="5">
        <f>IF(D1904="","",AA1904*Z1904/100)</f>
        <v/>
      </c>
      <c r="Z1904" s="5">
        <f>IF(D1904="","",W1904-X1904)</f>
        <v/>
      </c>
      <c r="AC1904" s="5">
        <f>IF(D1904="","",Z1904-Y1904)</f>
        <v/>
      </c>
      <c r="AD1904">
        <f>IF(D1904="","",N(AD1903)+IF(MATCH(D1904,$D$2:$D$2501,0)=ROW()-1,1,0))</f>
        <v/>
      </c>
    </row>
    <row r="1905">
      <c r="X1905" s="5">
        <f>IF(D1905="","",W1905*IF(AND(ISNUMBER(AB1905),AB1905&gt;0,AB1905&lt;1),AB1905*100,AB1905)/100)</f>
        <v/>
      </c>
      <c r="Y1905" s="5">
        <f>IF(D1905="","",AA1905*Z1905/100)</f>
        <v/>
      </c>
      <c r="Z1905" s="5">
        <f>IF(D1905="","",W1905-X1905)</f>
        <v/>
      </c>
      <c r="AC1905" s="5">
        <f>IF(D1905="","",Z1905-Y1905)</f>
        <v/>
      </c>
      <c r="AD1905">
        <f>IF(D1905="","",N(AD1904)+IF(MATCH(D1905,$D$2:$D$2501,0)=ROW()-1,1,0))</f>
        <v/>
      </c>
    </row>
    <row r="1906">
      <c r="X1906" s="5">
        <f>IF(D1906="","",W1906*IF(AND(ISNUMBER(AB1906),AB1906&gt;0,AB1906&lt;1),AB1906*100,AB1906)/100)</f>
        <v/>
      </c>
      <c r="Y1906" s="5">
        <f>IF(D1906="","",AA1906*Z1906/100)</f>
        <v/>
      </c>
      <c r="Z1906" s="5">
        <f>IF(D1906="","",W1906-X1906)</f>
        <v/>
      </c>
      <c r="AC1906" s="5">
        <f>IF(D1906="","",Z1906-Y1906)</f>
        <v/>
      </c>
      <c r="AD1906">
        <f>IF(D1906="","",N(AD1905)+IF(MATCH(D1906,$D$2:$D$2501,0)=ROW()-1,1,0))</f>
        <v/>
      </c>
    </row>
    <row r="1907">
      <c r="X1907" s="5">
        <f>IF(D1907="","",W1907*IF(AND(ISNUMBER(AB1907),AB1907&gt;0,AB1907&lt;1),AB1907*100,AB1907)/100)</f>
        <v/>
      </c>
      <c r="Y1907" s="5">
        <f>IF(D1907="","",AA1907*Z1907/100)</f>
        <v/>
      </c>
      <c r="Z1907" s="5">
        <f>IF(D1907="","",W1907-X1907)</f>
        <v/>
      </c>
      <c r="AC1907" s="5">
        <f>IF(D1907="","",Z1907-Y1907)</f>
        <v/>
      </c>
      <c r="AD1907">
        <f>IF(D1907="","",N(AD1906)+IF(MATCH(D1907,$D$2:$D$2501,0)=ROW()-1,1,0))</f>
        <v/>
      </c>
    </row>
    <row r="1908">
      <c r="X1908" s="5">
        <f>IF(D1908="","",W1908*IF(AND(ISNUMBER(AB1908),AB1908&gt;0,AB1908&lt;1),AB1908*100,AB1908)/100)</f>
        <v/>
      </c>
      <c r="Y1908" s="5">
        <f>IF(D1908="","",AA1908*Z1908/100)</f>
        <v/>
      </c>
      <c r="Z1908" s="5">
        <f>IF(D1908="","",W1908-X1908)</f>
        <v/>
      </c>
      <c r="AC1908" s="5">
        <f>IF(D1908="","",Z1908-Y1908)</f>
        <v/>
      </c>
      <c r="AD1908">
        <f>IF(D1908="","",N(AD1907)+IF(MATCH(D1908,$D$2:$D$2501,0)=ROW()-1,1,0))</f>
        <v/>
      </c>
    </row>
    <row r="1909">
      <c r="X1909" s="5">
        <f>IF(D1909="","",W1909*IF(AND(ISNUMBER(AB1909),AB1909&gt;0,AB1909&lt;1),AB1909*100,AB1909)/100)</f>
        <v/>
      </c>
      <c r="Y1909" s="5">
        <f>IF(D1909="","",AA1909*Z1909/100)</f>
        <v/>
      </c>
      <c r="Z1909" s="5">
        <f>IF(D1909="","",W1909-X1909)</f>
        <v/>
      </c>
      <c r="AC1909" s="5">
        <f>IF(D1909="","",Z1909-Y1909)</f>
        <v/>
      </c>
      <c r="AD1909">
        <f>IF(D1909="","",N(AD1908)+IF(MATCH(D1909,$D$2:$D$2501,0)=ROW()-1,1,0))</f>
        <v/>
      </c>
    </row>
    <row r="1910">
      <c r="X1910" s="5">
        <f>IF(D1910="","",W1910*IF(AND(ISNUMBER(AB1910),AB1910&gt;0,AB1910&lt;1),AB1910*100,AB1910)/100)</f>
        <v/>
      </c>
      <c r="Y1910" s="5">
        <f>IF(D1910="","",AA1910*Z1910/100)</f>
        <v/>
      </c>
      <c r="Z1910" s="5">
        <f>IF(D1910="","",W1910-X1910)</f>
        <v/>
      </c>
      <c r="AC1910" s="5">
        <f>IF(D1910="","",Z1910-Y1910)</f>
        <v/>
      </c>
      <c r="AD1910">
        <f>IF(D1910="","",N(AD1909)+IF(MATCH(D1910,$D$2:$D$2501,0)=ROW()-1,1,0))</f>
        <v/>
      </c>
    </row>
    <row r="1911">
      <c r="X1911" s="5">
        <f>IF(D1911="","",W1911*IF(AND(ISNUMBER(AB1911),AB1911&gt;0,AB1911&lt;1),AB1911*100,AB1911)/100)</f>
        <v/>
      </c>
      <c r="Y1911" s="5">
        <f>IF(D1911="","",AA1911*Z1911/100)</f>
        <v/>
      </c>
      <c r="Z1911" s="5">
        <f>IF(D1911="","",W1911-X1911)</f>
        <v/>
      </c>
      <c r="AC1911" s="5">
        <f>IF(D1911="","",Z1911-Y1911)</f>
        <v/>
      </c>
      <c r="AD1911">
        <f>IF(D1911="","",N(AD1910)+IF(MATCH(D1911,$D$2:$D$2501,0)=ROW()-1,1,0))</f>
        <v/>
      </c>
    </row>
    <row r="1912">
      <c r="X1912" s="5">
        <f>IF(D1912="","",W1912*IF(AND(ISNUMBER(AB1912),AB1912&gt;0,AB1912&lt;1),AB1912*100,AB1912)/100)</f>
        <v/>
      </c>
      <c r="Y1912" s="5">
        <f>IF(D1912="","",AA1912*Z1912/100)</f>
        <v/>
      </c>
      <c r="Z1912" s="5">
        <f>IF(D1912="","",W1912-X1912)</f>
        <v/>
      </c>
      <c r="AC1912" s="5">
        <f>IF(D1912="","",Z1912-Y1912)</f>
        <v/>
      </c>
      <c r="AD1912">
        <f>IF(D1912="","",N(AD1911)+IF(MATCH(D1912,$D$2:$D$2501,0)=ROW()-1,1,0))</f>
        <v/>
      </c>
    </row>
    <row r="1913">
      <c r="X1913" s="5">
        <f>IF(D1913="","",W1913*IF(AND(ISNUMBER(AB1913),AB1913&gt;0,AB1913&lt;1),AB1913*100,AB1913)/100)</f>
        <v/>
      </c>
      <c r="Y1913" s="5">
        <f>IF(D1913="","",AA1913*Z1913/100)</f>
        <v/>
      </c>
      <c r="Z1913" s="5">
        <f>IF(D1913="","",W1913-X1913)</f>
        <v/>
      </c>
      <c r="AC1913" s="5">
        <f>IF(D1913="","",Z1913-Y1913)</f>
        <v/>
      </c>
      <c r="AD1913">
        <f>IF(D1913="","",N(AD1912)+IF(MATCH(D1913,$D$2:$D$2501,0)=ROW()-1,1,0))</f>
        <v/>
      </c>
    </row>
    <row r="1914">
      <c r="X1914" s="5">
        <f>IF(D1914="","",W1914*IF(AND(ISNUMBER(AB1914),AB1914&gt;0,AB1914&lt;1),AB1914*100,AB1914)/100)</f>
        <v/>
      </c>
      <c r="Y1914" s="5">
        <f>IF(D1914="","",AA1914*Z1914/100)</f>
        <v/>
      </c>
      <c r="Z1914" s="5">
        <f>IF(D1914="","",W1914-X1914)</f>
        <v/>
      </c>
      <c r="AC1914" s="5">
        <f>IF(D1914="","",Z1914-Y1914)</f>
        <v/>
      </c>
      <c r="AD1914">
        <f>IF(D1914="","",N(AD1913)+IF(MATCH(D1914,$D$2:$D$2501,0)=ROW()-1,1,0))</f>
        <v/>
      </c>
    </row>
    <row r="1915">
      <c r="X1915" s="5">
        <f>IF(D1915="","",W1915*IF(AND(ISNUMBER(AB1915),AB1915&gt;0,AB1915&lt;1),AB1915*100,AB1915)/100)</f>
        <v/>
      </c>
      <c r="Y1915" s="5">
        <f>IF(D1915="","",AA1915*Z1915/100)</f>
        <v/>
      </c>
      <c r="Z1915" s="5">
        <f>IF(D1915="","",W1915-X1915)</f>
        <v/>
      </c>
      <c r="AC1915" s="5">
        <f>IF(D1915="","",Z1915-Y1915)</f>
        <v/>
      </c>
      <c r="AD1915">
        <f>IF(D1915="","",N(AD1914)+IF(MATCH(D1915,$D$2:$D$2501,0)=ROW()-1,1,0))</f>
        <v/>
      </c>
    </row>
    <row r="1916">
      <c r="X1916" s="5">
        <f>IF(D1916="","",W1916*IF(AND(ISNUMBER(AB1916),AB1916&gt;0,AB1916&lt;1),AB1916*100,AB1916)/100)</f>
        <v/>
      </c>
      <c r="Y1916" s="5">
        <f>IF(D1916="","",AA1916*Z1916/100)</f>
        <v/>
      </c>
      <c r="Z1916" s="5">
        <f>IF(D1916="","",W1916-X1916)</f>
        <v/>
      </c>
      <c r="AC1916" s="5">
        <f>IF(D1916="","",Z1916-Y1916)</f>
        <v/>
      </c>
      <c r="AD1916">
        <f>IF(D1916="","",N(AD1915)+IF(MATCH(D1916,$D$2:$D$2501,0)=ROW()-1,1,0))</f>
        <v/>
      </c>
    </row>
    <row r="1917">
      <c r="X1917" s="5">
        <f>IF(D1917="","",W1917*IF(AND(ISNUMBER(AB1917),AB1917&gt;0,AB1917&lt;1),AB1917*100,AB1917)/100)</f>
        <v/>
      </c>
      <c r="Y1917" s="5">
        <f>IF(D1917="","",AA1917*Z1917/100)</f>
        <v/>
      </c>
      <c r="Z1917" s="5">
        <f>IF(D1917="","",W1917-X1917)</f>
        <v/>
      </c>
      <c r="AC1917" s="5">
        <f>IF(D1917="","",Z1917-Y1917)</f>
        <v/>
      </c>
      <c r="AD1917">
        <f>IF(D1917="","",N(AD1916)+IF(MATCH(D1917,$D$2:$D$2501,0)=ROW()-1,1,0))</f>
        <v/>
      </c>
    </row>
    <row r="1918">
      <c r="X1918" s="5">
        <f>IF(D1918="","",W1918*IF(AND(ISNUMBER(AB1918),AB1918&gt;0,AB1918&lt;1),AB1918*100,AB1918)/100)</f>
        <v/>
      </c>
      <c r="Y1918" s="5">
        <f>IF(D1918="","",AA1918*Z1918/100)</f>
        <v/>
      </c>
      <c r="Z1918" s="5">
        <f>IF(D1918="","",W1918-X1918)</f>
        <v/>
      </c>
      <c r="AC1918" s="5">
        <f>IF(D1918="","",Z1918-Y1918)</f>
        <v/>
      </c>
      <c r="AD1918">
        <f>IF(D1918="","",N(AD1917)+IF(MATCH(D1918,$D$2:$D$2501,0)=ROW()-1,1,0))</f>
        <v/>
      </c>
    </row>
    <row r="1919">
      <c r="X1919" s="5">
        <f>IF(D1919="","",W1919*IF(AND(ISNUMBER(AB1919),AB1919&gt;0,AB1919&lt;1),AB1919*100,AB1919)/100)</f>
        <v/>
      </c>
      <c r="Y1919" s="5">
        <f>IF(D1919="","",AA1919*Z1919/100)</f>
        <v/>
      </c>
      <c r="Z1919" s="5">
        <f>IF(D1919="","",W1919-X1919)</f>
        <v/>
      </c>
      <c r="AC1919" s="5">
        <f>IF(D1919="","",Z1919-Y1919)</f>
        <v/>
      </c>
      <c r="AD1919">
        <f>IF(D1919="","",N(AD1918)+IF(MATCH(D1919,$D$2:$D$2501,0)=ROW()-1,1,0))</f>
        <v/>
      </c>
    </row>
    <row r="1920">
      <c r="X1920" s="5">
        <f>IF(D1920="","",W1920*IF(AND(ISNUMBER(AB1920),AB1920&gt;0,AB1920&lt;1),AB1920*100,AB1920)/100)</f>
        <v/>
      </c>
      <c r="Y1920" s="5">
        <f>IF(D1920="","",AA1920*Z1920/100)</f>
        <v/>
      </c>
      <c r="Z1920" s="5">
        <f>IF(D1920="","",W1920-X1920)</f>
        <v/>
      </c>
      <c r="AC1920" s="5">
        <f>IF(D1920="","",Z1920-Y1920)</f>
        <v/>
      </c>
      <c r="AD1920">
        <f>IF(D1920="","",N(AD1919)+IF(MATCH(D1920,$D$2:$D$2501,0)=ROW()-1,1,0))</f>
        <v/>
      </c>
    </row>
    <row r="1921">
      <c r="X1921" s="5">
        <f>IF(D1921="","",W1921*IF(AND(ISNUMBER(AB1921),AB1921&gt;0,AB1921&lt;1),AB1921*100,AB1921)/100)</f>
        <v/>
      </c>
      <c r="Y1921" s="5">
        <f>IF(D1921="","",AA1921*Z1921/100)</f>
        <v/>
      </c>
      <c r="Z1921" s="5">
        <f>IF(D1921="","",W1921-X1921)</f>
        <v/>
      </c>
      <c r="AC1921" s="5">
        <f>IF(D1921="","",Z1921-Y1921)</f>
        <v/>
      </c>
      <c r="AD1921">
        <f>IF(D1921="","",N(AD1920)+IF(MATCH(D1921,$D$2:$D$2501,0)=ROW()-1,1,0))</f>
        <v/>
      </c>
    </row>
    <row r="1922">
      <c r="X1922" s="5">
        <f>IF(D1922="","",W1922*IF(AND(ISNUMBER(AB1922),AB1922&gt;0,AB1922&lt;1),AB1922*100,AB1922)/100)</f>
        <v/>
      </c>
      <c r="Y1922" s="5">
        <f>IF(D1922="","",AA1922*Z1922/100)</f>
        <v/>
      </c>
      <c r="Z1922" s="5">
        <f>IF(D1922="","",W1922-X1922)</f>
        <v/>
      </c>
      <c r="AC1922" s="5">
        <f>IF(D1922="","",Z1922-Y1922)</f>
        <v/>
      </c>
      <c r="AD1922">
        <f>IF(D1922="","",N(AD1921)+IF(MATCH(D1922,$D$2:$D$2501,0)=ROW()-1,1,0))</f>
        <v/>
      </c>
    </row>
    <row r="1923">
      <c r="X1923" s="5">
        <f>IF(D1923="","",W1923*IF(AND(ISNUMBER(AB1923),AB1923&gt;0,AB1923&lt;1),AB1923*100,AB1923)/100)</f>
        <v/>
      </c>
      <c r="Y1923" s="5">
        <f>IF(D1923="","",AA1923*Z1923/100)</f>
        <v/>
      </c>
      <c r="Z1923" s="5">
        <f>IF(D1923="","",W1923-X1923)</f>
        <v/>
      </c>
      <c r="AC1923" s="5">
        <f>IF(D1923="","",Z1923-Y1923)</f>
        <v/>
      </c>
      <c r="AD1923">
        <f>IF(D1923="","",N(AD1922)+IF(MATCH(D1923,$D$2:$D$2501,0)=ROW()-1,1,0))</f>
        <v/>
      </c>
    </row>
    <row r="1924">
      <c r="X1924" s="5">
        <f>IF(D1924="","",W1924*IF(AND(ISNUMBER(AB1924),AB1924&gt;0,AB1924&lt;1),AB1924*100,AB1924)/100)</f>
        <v/>
      </c>
      <c r="Y1924" s="5">
        <f>IF(D1924="","",AA1924*Z1924/100)</f>
        <v/>
      </c>
      <c r="Z1924" s="5">
        <f>IF(D1924="","",W1924-X1924)</f>
        <v/>
      </c>
      <c r="AC1924" s="5">
        <f>IF(D1924="","",Z1924-Y1924)</f>
        <v/>
      </c>
      <c r="AD1924">
        <f>IF(D1924="","",N(AD1923)+IF(MATCH(D1924,$D$2:$D$2501,0)=ROW()-1,1,0))</f>
        <v/>
      </c>
    </row>
    <row r="1925">
      <c r="X1925" s="5">
        <f>IF(D1925="","",W1925*IF(AND(ISNUMBER(AB1925),AB1925&gt;0,AB1925&lt;1),AB1925*100,AB1925)/100)</f>
        <v/>
      </c>
      <c r="Y1925" s="5">
        <f>IF(D1925="","",AA1925*Z1925/100)</f>
        <v/>
      </c>
      <c r="Z1925" s="5">
        <f>IF(D1925="","",W1925-X1925)</f>
        <v/>
      </c>
      <c r="AC1925" s="5">
        <f>IF(D1925="","",Z1925-Y1925)</f>
        <v/>
      </c>
      <c r="AD1925">
        <f>IF(D1925="","",N(AD1924)+IF(MATCH(D1925,$D$2:$D$2501,0)=ROW()-1,1,0))</f>
        <v/>
      </c>
    </row>
    <row r="1926">
      <c r="X1926" s="5">
        <f>IF(D1926="","",W1926*IF(AND(ISNUMBER(AB1926),AB1926&gt;0,AB1926&lt;1),AB1926*100,AB1926)/100)</f>
        <v/>
      </c>
      <c r="Y1926" s="5">
        <f>IF(D1926="","",AA1926*Z1926/100)</f>
        <v/>
      </c>
      <c r="Z1926" s="5">
        <f>IF(D1926="","",W1926-X1926)</f>
        <v/>
      </c>
      <c r="AC1926" s="5">
        <f>IF(D1926="","",Z1926-Y1926)</f>
        <v/>
      </c>
      <c r="AD1926">
        <f>IF(D1926="","",N(AD1925)+IF(MATCH(D1926,$D$2:$D$2501,0)=ROW()-1,1,0))</f>
        <v/>
      </c>
    </row>
    <row r="1927">
      <c r="X1927" s="5">
        <f>IF(D1927="","",W1927*IF(AND(ISNUMBER(AB1927),AB1927&gt;0,AB1927&lt;1),AB1927*100,AB1927)/100)</f>
        <v/>
      </c>
      <c r="Y1927" s="5">
        <f>IF(D1927="","",AA1927*Z1927/100)</f>
        <v/>
      </c>
      <c r="Z1927" s="5">
        <f>IF(D1927="","",W1927-X1927)</f>
        <v/>
      </c>
      <c r="AC1927" s="5">
        <f>IF(D1927="","",Z1927-Y1927)</f>
        <v/>
      </c>
      <c r="AD1927">
        <f>IF(D1927="","",N(AD1926)+IF(MATCH(D1927,$D$2:$D$2501,0)=ROW()-1,1,0))</f>
        <v/>
      </c>
    </row>
    <row r="1928">
      <c r="X1928" s="5">
        <f>IF(D1928="","",W1928*IF(AND(ISNUMBER(AB1928),AB1928&gt;0,AB1928&lt;1),AB1928*100,AB1928)/100)</f>
        <v/>
      </c>
      <c r="Y1928" s="5">
        <f>IF(D1928="","",AA1928*Z1928/100)</f>
        <v/>
      </c>
      <c r="Z1928" s="5">
        <f>IF(D1928="","",W1928-X1928)</f>
        <v/>
      </c>
      <c r="AC1928" s="5">
        <f>IF(D1928="","",Z1928-Y1928)</f>
        <v/>
      </c>
      <c r="AD1928">
        <f>IF(D1928="","",N(AD1927)+IF(MATCH(D1928,$D$2:$D$2501,0)=ROW()-1,1,0))</f>
        <v/>
      </c>
    </row>
    <row r="1929">
      <c r="X1929" s="5">
        <f>IF(D1929="","",W1929*IF(AND(ISNUMBER(AB1929),AB1929&gt;0,AB1929&lt;1),AB1929*100,AB1929)/100)</f>
        <v/>
      </c>
      <c r="Y1929" s="5">
        <f>IF(D1929="","",AA1929*Z1929/100)</f>
        <v/>
      </c>
      <c r="Z1929" s="5">
        <f>IF(D1929="","",W1929-X1929)</f>
        <v/>
      </c>
      <c r="AC1929" s="5">
        <f>IF(D1929="","",Z1929-Y1929)</f>
        <v/>
      </c>
      <c r="AD1929">
        <f>IF(D1929="","",N(AD1928)+IF(MATCH(D1929,$D$2:$D$2501,0)=ROW()-1,1,0))</f>
        <v/>
      </c>
    </row>
    <row r="1930">
      <c r="X1930" s="5">
        <f>IF(D1930="","",W1930*IF(AND(ISNUMBER(AB1930),AB1930&gt;0,AB1930&lt;1),AB1930*100,AB1930)/100)</f>
        <v/>
      </c>
      <c r="Y1930" s="5">
        <f>IF(D1930="","",AA1930*Z1930/100)</f>
        <v/>
      </c>
      <c r="Z1930" s="5">
        <f>IF(D1930="","",W1930-X1930)</f>
        <v/>
      </c>
      <c r="AC1930" s="5">
        <f>IF(D1930="","",Z1930-Y1930)</f>
        <v/>
      </c>
      <c r="AD1930">
        <f>IF(D1930="","",N(AD1929)+IF(MATCH(D1930,$D$2:$D$2501,0)=ROW()-1,1,0))</f>
        <v/>
      </c>
    </row>
    <row r="1931">
      <c r="X1931" s="5">
        <f>IF(D1931="","",W1931*IF(AND(ISNUMBER(AB1931),AB1931&gt;0,AB1931&lt;1),AB1931*100,AB1931)/100)</f>
        <v/>
      </c>
      <c r="Y1931" s="5">
        <f>IF(D1931="","",AA1931*Z1931/100)</f>
        <v/>
      </c>
      <c r="Z1931" s="5">
        <f>IF(D1931="","",W1931-X1931)</f>
        <v/>
      </c>
      <c r="AC1931" s="5">
        <f>IF(D1931="","",Z1931-Y1931)</f>
        <v/>
      </c>
      <c r="AD1931">
        <f>IF(D1931="","",N(AD1930)+IF(MATCH(D1931,$D$2:$D$2501,0)=ROW()-1,1,0))</f>
        <v/>
      </c>
    </row>
    <row r="1932">
      <c r="X1932" s="5">
        <f>IF(D1932="","",W1932*IF(AND(ISNUMBER(AB1932),AB1932&gt;0,AB1932&lt;1),AB1932*100,AB1932)/100)</f>
        <v/>
      </c>
      <c r="Y1932" s="5">
        <f>IF(D1932="","",AA1932*Z1932/100)</f>
        <v/>
      </c>
      <c r="Z1932" s="5">
        <f>IF(D1932="","",W1932-X1932)</f>
        <v/>
      </c>
      <c r="AC1932" s="5">
        <f>IF(D1932="","",Z1932-Y1932)</f>
        <v/>
      </c>
      <c r="AD1932">
        <f>IF(D1932="","",N(AD1931)+IF(MATCH(D1932,$D$2:$D$2501,0)=ROW()-1,1,0))</f>
        <v/>
      </c>
    </row>
    <row r="1933">
      <c r="X1933" s="5">
        <f>IF(D1933="","",W1933*IF(AND(ISNUMBER(AB1933),AB1933&gt;0,AB1933&lt;1),AB1933*100,AB1933)/100)</f>
        <v/>
      </c>
      <c r="Y1933" s="5">
        <f>IF(D1933="","",AA1933*Z1933/100)</f>
        <v/>
      </c>
      <c r="Z1933" s="5">
        <f>IF(D1933="","",W1933-X1933)</f>
        <v/>
      </c>
      <c r="AC1933" s="5">
        <f>IF(D1933="","",Z1933-Y1933)</f>
        <v/>
      </c>
      <c r="AD1933">
        <f>IF(D1933="","",N(AD1932)+IF(MATCH(D1933,$D$2:$D$2501,0)=ROW()-1,1,0))</f>
        <v/>
      </c>
    </row>
    <row r="1934">
      <c r="X1934" s="5">
        <f>IF(D1934="","",W1934*IF(AND(ISNUMBER(AB1934),AB1934&gt;0,AB1934&lt;1),AB1934*100,AB1934)/100)</f>
        <v/>
      </c>
      <c r="Y1934" s="5">
        <f>IF(D1934="","",AA1934*Z1934/100)</f>
        <v/>
      </c>
      <c r="Z1934" s="5">
        <f>IF(D1934="","",W1934-X1934)</f>
        <v/>
      </c>
      <c r="AC1934" s="5">
        <f>IF(D1934="","",Z1934-Y1934)</f>
        <v/>
      </c>
      <c r="AD1934">
        <f>IF(D1934="","",N(AD1933)+IF(MATCH(D1934,$D$2:$D$2501,0)=ROW()-1,1,0))</f>
        <v/>
      </c>
    </row>
    <row r="1935">
      <c r="X1935" s="5">
        <f>IF(D1935="","",W1935*IF(AND(ISNUMBER(AB1935),AB1935&gt;0,AB1935&lt;1),AB1935*100,AB1935)/100)</f>
        <v/>
      </c>
      <c r="Y1935" s="5">
        <f>IF(D1935="","",AA1935*Z1935/100)</f>
        <v/>
      </c>
      <c r="Z1935" s="5">
        <f>IF(D1935="","",W1935-X1935)</f>
        <v/>
      </c>
      <c r="AC1935" s="5">
        <f>IF(D1935="","",Z1935-Y1935)</f>
        <v/>
      </c>
      <c r="AD1935">
        <f>IF(D1935="","",N(AD1934)+IF(MATCH(D1935,$D$2:$D$2501,0)=ROW()-1,1,0))</f>
        <v/>
      </c>
    </row>
    <row r="1936">
      <c r="X1936" s="5">
        <f>IF(D1936="","",W1936*IF(AND(ISNUMBER(AB1936),AB1936&gt;0,AB1936&lt;1),AB1936*100,AB1936)/100)</f>
        <v/>
      </c>
      <c r="Y1936" s="5">
        <f>IF(D1936="","",AA1936*Z1936/100)</f>
        <v/>
      </c>
      <c r="Z1936" s="5">
        <f>IF(D1936="","",W1936-X1936)</f>
        <v/>
      </c>
      <c r="AC1936" s="5">
        <f>IF(D1936="","",Z1936-Y1936)</f>
        <v/>
      </c>
      <c r="AD1936">
        <f>IF(D1936="","",N(AD1935)+IF(MATCH(D1936,$D$2:$D$2501,0)=ROW()-1,1,0))</f>
        <v/>
      </c>
    </row>
    <row r="1937">
      <c r="X1937" s="5">
        <f>IF(D1937="","",W1937*IF(AND(ISNUMBER(AB1937),AB1937&gt;0,AB1937&lt;1),AB1937*100,AB1937)/100)</f>
        <v/>
      </c>
      <c r="Y1937" s="5">
        <f>IF(D1937="","",AA1937*Z1937/100)</f>
        <v/>
      </c>
      <c r="Z1937" s="5">
        <f>IF(D1937="","",W1937-X1937)</f>
        <v/>
      </c>
      <c r="AC1937" s="5">
        <f>IF(D1937="","",Z1937-Y1937)</f>
        <v/>
      </c>
      <c r="AD1937">
        <f>IF(D1937="","",N(AD1936)+IF(MATCH(D1937,$D$2:$D$2501,0)=ROW()-1,1,0))</f>
        <v/>
      </c>
    </row>
    <row r="1938">
      <c r="X1938" s="5">
        <f>IF(D1938="","",W1938*IF(AND(ISNUMBER(AB1938),AB1938&gt;0,AB1938&lt;1),AB1938*100,AB1938)/100)</f>
        <v/>
      </c>
      <c r="Y1938" s="5">
        <f>IF(D1938="","",AA1938*Z1938/100)</f>
        <v/>
      </c>
      <c r="Z1938" s="5">
        <f>IF(D1938="","",W1938-X1938)</f>
        <v/>
      </c>
      <c r="AC1938" s="5">
        <f>IF(D1938="","",Z1938-Y1938)</f>
        <v/>
      </c>
      <c r="AD1938">
        <f>IF(D1938="","",N(AD1937)+IF(MATCH(D1938,$D$2:$D$2501,0)=ROW()-1,1,0))</f>
        <v/>
      </c>
    </row>
    <row r="1939">
      <c r="X1939" s="5">
        <f>IF(D1939="","",W1939*IF(AND(ISNUMBER(AB1939),AB1939&gt;0,AB1939&lt;1),AB1939*100,AB1939)/100)</f>
        <v/>
      </c>
      <c r="Y1939" s="5">
        <f>IF(D1939="","",AA1939*Z1939/100)</f>
        <v/>
      </c>
      <c r="Z1939" s="5">
        <f>IF(D1939="","",W1939-X1939)</f>
        <v/>
      </c>
      <c r="AC1939" s="5">
        <f>IF(D1939="","",Z1939-Y1939)</f>
        <v/>
      </c>
      <c r="AD1939">
        <f>IF(D1939="","",N(AD1938)+IF(MATCH(D1939,$D$2:$D$2501,0)=ROW()-1,1,0))</f>
        <v/>
      </c>
    </row>
    <row r="1940">
      <c r="X1940" s="5">
        <f>IF(D1940="","",W1940*IF(AND(ISNUMBER(AB1940),AB1940&gt;0,AB1940&lt;1),AB1940*100,AB1940)/100)</f>
        <v/>
      </c>
      <c r="Y1940" s="5">
        <f>IF(D1940="","",AA1940*Z1940/100)</f>
        <v/>
      </c>
      <c r="Z1940" s="5">
        <f>IF(D1940="","",W1940-X1940)</f>
        <v/>
      </c>
      <c r="AC1940" s="5">
        <f>IF(D1940="","",Z1940-Y1940)</f>
        <v/>
      </c>
      <c r="AD1940">
        <f>IF(D1940="","",N(AD1939)+IF(MATCH(D1940,$D$2:$D$2501,0)=ROW()-1,1,0))</f>
        <v/>
      </c>
    </row>
    <row r="1941">
      <c r="X1941" s="5">
        <f>IF(D1941="","",W1941*IF(AND(ISNUMBER(AB1941),AB1941&gt;0,AB1941&lt;1),AB1941*100,AB1941)/100)</f>
        <v/>
      </c>
      <c r="Y1941" s="5">
        <f>IF(D1941="","",AA1941*Z1941/100)</f>
        <v/>
      </c>
      <c r="Z1941" s="5">
        <f>IF(D1941="","",W1941-X1941)</f>
        <v/>
      </c>
      <c r="AC1941" s="5">
        <f>IF(D1941="","",Z1941-Y1941)</f>
        <v/>
      </c>
      <c r="AD1941">
        <f>IF(D1941="","",N(AD1940)+IF(MATCH(D1941,$D$2:$D$2501,0)=ROW()-1,1,0))</f>
        <v/>
      </c>
    </row>
    <row r="1942">
      <c r="X1942" s="5">
        <f>IF(D1942="","",W1942*IF(AND(ISNUMBER(AB1942),AB1942&gt;0,AB1942&lt;1),AB1942*100,AB1942)/100)</f>
        <v/>
      </c>
      <c r="Y1942" s="5">
        <f>IF(D1942="","",AA1942*Z1942/100)</f>
        <v/>
      </c>
      <c r="Z1942" s="5">
        <f>IF(D1942="","",W1942-X1942)</f>
        <v/>
      </c>
      <c r="AC1942" s="5">
        <f>IF(D1942="","",Z1942-Y1942)</f>
        <v/>
      </c>
      <c r="AD1942">
        <f>IF(D1942="","",N(AD1941)+IF(MATCH(D1942,$D$2:$D$2501,0)=ROW()-1,1,0))</f>
        <v/>
      </c>
    </row>
    <row r="1943">
      <c r="X1943" s="5">
        <f>IF(D1943="","",W1943*IF(AND(ISNUMBER(AB1943),AB1943&gt;0,AB1943&lt;1),AB1943*100,AB1943)/100)</f>
        <v/>
      </c>
      <c r="Y1943" s="5">
        <f>IF(D1943="","",AA1943*Z1943/100)</f>
        <v/>
      </c>
      <c r="Z1943" s="5">
        <f>IF(D1943="","",W1943-X1943)</f>
        <v/>
      </c>
      <c r="AC1943" s="5">
        <f>IF(D1943="","",Z1943-Y1943)</f>
        <v/>
      </c>
      <c r="AD1943">
        <f>IF(D1943="","",N(AD1942)+IF(MATCH(D1943,$D$2:$D$2501,0)=ROW()-1,1,0))</f>
        <v/>
      </c>
    </row>
    <row r="1944">
      <c r="X1944" s="5">
        <f>IF(D1944="","",W1944*IF(AND(ISNUMBER(AB1944),AB1944&gt;0,AB1944&lt;1),AB1944*100,AB1944)/100)</f>
        <v/>
      </c>
      <c r="Y1944" s="5">
        <f>IF(D1944="","",AA1944*Z1944/100)</f>
        <v/>
      </c>
      <c r="Z1944" s="5">
        <f>IF(D1944="","",W1944-X1944)</f>
        <v/>
      </c>
      <c r="AC1944" s="5">
        <f>IF(D1944="","",Z1944-Y1944)</f>
        <v/>
      </c>
      <c r="AD1944">
        <f>IF(D1944="","",N(AD1943)+IF(MATCH(D1944,$D$2:$D$2501,0)=ROW()-1,1,0))</f>
        <v/>
      </c>
    </row>
    <row r="1945">
      <c r="X1945" s="5">
        <f>IF(D1945="","",W1945*IF(AND(ISNUMBER(AB1945),AB1945&gt;0,AB1945&lt;1),AB1945*100,AB1945)/100)</f>
        <v/>
      </c>
      <c r="Y1945" s="5">
        <f>IF(D1945="","",AA1945*Z1945/100)</f>
        <v/>
      </c>
      <c r="Z1945" s="5">
        <f>IF(D1945="","",W1945-X1945)</f>
        <v/>
      </c>
      <c r="AC1945" s="5">
        <f>IF(D1945="","",Z1945-Y1945)</f>
        <v/>
      </c>
      <c r="AD1945">
        <f>IF(D1945="","",N(AD1944)+IF(MATCH(D1945,$D$2:$D$2501,0)=ROW()-1,1,0))</f>
        <v/>
      </c>
    </row>
    <row r="1946">
      <c r="X1946" s="5">
        <f>IF(D1946="","",W1946*IF(AND(ISNUMBER(AB1946),AB1946&gt;0,AB1946&lt;1),AB1946*100,AB1946)/100)</f>
        <v/>
      </c>
      <c r="Y1946" s="5">
        <f>IF(D1946="","",AA1946*Z1946/100)</f>
        <v/>
      </c>
      <c r="Z1946" s="5">
        <f>IF(D1946="","",W1946-X1946)</f>
        <v/>
      </c>
      <c r="AC1946" s="5">
        <f>IF(D1946="","",Z1946-Y1946)</f>
        <v/>
      </c>
      <c r="AD1946">
        <f>IF(D1946="","",N(AD1945)+IF(MATCH(D1946,$D$2:$D$2501,0)=ROW()-1,1,0))</f>
        <v/>
      </c>
    </row>
    <row r="1947">
      <c r="X1947" s="5">
        <f>IF(D1947="","",W1947*IF(AND(ISNUMBER(AB1947),AB1947&gt;0,AB1947&lt;1),AB1947*100,AB1947)/100)</f>
        <v/>
      </c>
      <c r="Y1947" s="5">
        <f>IF(D1947="","",AA1947*Z1947/100)</f>
        <v/>
      </c>
      <c r="Z1947" s="5">
        <f>IF(D1947="","",W1947-X1947)</f>
        <v/>
      </c>
      <c r="AC1947" s="5">
        <f>IF(D1947="","",Z1947-Y1947)</f>
        <v/>
      </c>
      <c r="AD1947">
        <f>IF(D1947="","",N(AD1946)+IF(MATCH(D1947,$D$2:$D$2501,0)=ROW()-1,1,0))</f>
        <v/>
      </c>
    </row>
    <row r="1948">
      <c r="X1948" s="5">
        <f>IF(D1948="","",W1948*IF(AND(ISNUMBER(AB1948),AB1948&gt;0,AB1948&lt;1),AB1948*100,AB1948)/100)</f>
        <v/>
      </c>
      <c r="Y1948" s="5">
        <f>IF(D1948="","",AA1948*Z1948/100)</f>
        <v/>
      </c>
      <c r="Z1948" s="5">
        <f>IF(D1948="","",W1948-X1948)</f>
        <v/>
      </c>
      <c r="AC1948" s="5">
        <f>IF(D1948="","",Z1948-Y1948)</f>
        <v/>
      </c>
      <c r="AD1948">
        <f>IF(D1948="","",N(AD1947)+IF(MATCH(D1948,$D$2:$D$2501,0)=ROW()-1,1,0))</f>
        <v/>
      </c>
    </row>
    <row r="1949">
      <c r="X1949" s="5">
        <f>IF(D1949="","",W1949*IF(AND(ISNUMBER(AB1949),AB1949&gt;0,AB1949&lt;1),AB1949*100,AB1949)/100)</f>
        <v/>
      </c>
      <c r="Y1949" s="5">
        <f>IF(D1949="","",AA1949*Z1949/100)</f>
        <v/>
      </c>
      <c r="Z1949" s="5">
        <f>IF(D1949="","",W1949-X1949)</f>
        <v/>
      </c>
      <c r="AC1949" s="5">
        <f>IF(D1949="","",Z1949-Y1949)</f>
        <v/>
      </c>
      <c r="AD1949">
        <f>IF(D1949="","",N(AD1948)+IF(MATCH(D1949,$D$2:$D$2501,0)=ROW()-1,1,0))</f>
        <v/>
      </c>
    </row>
    <row r="1950">
      <c r="X1950" s="5">
        <f>IF(D1950="","",W1950*IF(AND(ISNUMBER(AB1950),AB1950&gt;0,AB1950&lt;1),AB1950*100,AB1950)/100)</f>
        <v/>
      </c>
      <c r="Y1950" s="5">
        <f>IF(D1950="","",AA1950*Z1950/100)</f>
        <v/>
      </c>
      <c r="Z1950" s="5">
        <f>IF(D1950="","",W1950-X1950)</f>
        <v/>
      </c>
      <c r="AC1950" s="5">
        <f>IF(D1950="","",Z1950-Y1950)</f>
        <v/>
      </c>
      <c r="AD1950">
        <f>IF(D1950="","",N(AD1949)+IF(MATCH(D1950,$D$2:$D$2501,0)=ROW()-1,1,0))</f>
        <v/>
      </c>
    </row>
    <row r="1951">
      <c r="X1951" s="5">
        <f>IF(D1951="","",W1951*IF(AND(ISNUMBER(AB1951),AB1951&gt;0,AB1951&lt;1),AB1951*100,AB1951)/100)</f>
        <v/>
      </c>
      <c r="Y1951" s="5">
        <f>IF(D1951="","",AA1951*Z1951/100)</f>
        <v/>
      </c>
      <c r="Z1951" s="5">
        <f>IF(D1951="","",W1951-X1951)</f>
        <v/>
      </c>
      <c r="AC1951" s="5">
        <f>IF(D1951="","",Z1951-Y1951)</f>
        <v/>
      </c>
      <c r="AD1951">
        <f>IF(D1951="","",N(AD1950)+IF(MATCH(D1951,$D$2:$D$2501,0)=ROW()-1,1,0))</f>
        <v/>
      </c>
    </row>
    <row r="1952">
      <c r="X1952" s="5">
        <f>IF(D1952="","",W1952*IF(AND(ISNUMBER(AB1952),AB1952&gt;0,AB1952&lt;1),AB1952*100,AB1952)/100)</f>
        <v/>
      </c>
      <c r="Y1952" s="5">
        <f>IF(D1952="","",AA1952*Z1952/100)</f>
        <v/>
      </c>
      <c r="Z1952" s="5">
        <f>IF(D1952="","",W1952-X1952)</f>
        <v/>
      </c>
      <c r="AC1952" s="5">
        <f>IF(D1952="","",Z1952-Y1952)</f>
        <v/>
      </c>
      <c r="AD1952">
        <f>IF(D1952="","",N(AD1951)+IF(MATCH(D1952,$D$2:$D$2501,0)=ROW()-1,1,0))</f>
        <v/>
      </c>
    </row>
    <row r="1953">
      <c r="X1953" s="5">
        <f>IF(D1953="","",W1953*IF(AND(ISNUMBER(AB1953),AB1953&gt;0,AB1953&lt;1),AB1953*100,AB1953)/100)</f>
        <v/>
      </c>
      <c r="Y1953" s="5">
        <f>IF(D1953="","",AA1953*Z1953/100)</f>
        <v/>
      </c>
      <c r="Z1953" s="5">
        <f>IF(D1953="","",W1953-X1953)</f>
        <v/>
      </c>
      <c r="AC1953" s="5">
        <f>IF(D1953="","",Z1953-Y1953)</f>
        <v/>
      </c>
      <c r="AD1953">
        <f>IF(D1953="","",N(AD1952)+IF(MATCH(D1953,$D$2:$D$2501,0)=ROW()-1,1,0))</f>
        <v/>
      </c>
    </row>
    <row r="1954">
      <c r="X1954" s="5">
        <f>IF(D1954="","",W1954*IF(AND(ISNUMBER(AB1954),AB1954&gt;0,AB1954&lt;1),AB1954*100,AB1954)/100)</f>
        <v/>
      </c>
      <c r="Y1954" s="5">
        <f>IF(D1954="","",AA1954*Z1954/100)</f>
        <v/>
      </c>
      <c r="Z1954" s="5">
        <f>IF(D1954="","",W1954-X1954)</f>
        <v/>
      </c>
      <c r="AC1954" s="5">
        <f>IF(D1954="","",Z1954-Y1954)</f>
        <v/>
      </c>
      <c r="AD1954">
        <f>IF(D1954="","",N(AD1953)+IF(MATCH(D1954,$D$2:$D$2501,0)=ROW()-1,1,0))</f>
        <v/>
      </c>
    </row>
    <row r="1955">
      <c r="X1955" s="5">
        <f>IF(D1955="","",W1955*IF(AND(ISNUMBER(AB1955),AB1955&gt;0,AB1955&lt;1),AB1955*100,AB1955)/100)</f>
        <v/>
      </c>
      <c r="Y1955" s="5">
        <f>IF(D1955="","",AA1955*Z1955/100)</f>
        <v/>
      </c>
      <c r="Z1955" s="5">
        <f>IF(D1955="","",W1955-X1955)</f>
        <v/>
      </c>
      <c r="AC1955" s="5">
        <f>IF(D1955="","",Z1955-Y1955)</f>
        <v/>
      </c>
      <c r="AD1955">
        <f>IF(D1955="","",N(AD1954)+IF(MATCH(D1955,$D$2:$D$2501,0)=ROW()-1,1,0))</f>
        <v/>
      </c>
    </row>
    <row r="1956">
      <c r="X1956" s="5">
        <f>IF(D1956="","",W1956*IF(AND(ISNUMBER(AB1956),AB1956&gt;0,AB1956&lt;1),AB1956*100,AB1956)/100)</f>
        <v/>
      </c>
      <c r="Y1956" s="5">
        <f>IF(D1956="","",AA1956*Z1956/100)</f>
        <v/>
      </c>
      <c r="Z1956" s="5">
        <f>IF(D1956="","",W1956-X1956)</f>
        <v/>
      </c>
      <c r="AC1956" s="5">
        <f>IF(D1956="","",Z1956-Y1956)</f>
        <v/>
      </c>
      <c r="AD1956">
        <f>IF(D1956="","",N(AD1955)+IF(MATCH(D1956,$D$2:$D$2501,0)=ROW()-1,1,0))</f>
        <v/>
      </c>
    </row>
    <row r="1957">
      <c r="X1957" s="5">
        <f>IF(D1957="","",W1957*IF(AND(ISNUMBER(AB1957),AB1957&gt;0,AB1957&lt;1),AB1957*100,AB1957)/100)</f>
        <v/>
      </c>
      <c r="Y1957" s="5">
        <f>IF(D1957="","",AA1957*Z1957/100)</f>
        <v/>
      </c>
      <c r="Z1957" s="5">
        <f>IF(D1957="","",W1957-X1957)</f>
        <v/>
      </c>
      <c r="AC1957" s="5">
        <f>IF(D1957="","",Z1957-Y1957)</f>
        <v/>
      </c>
      <c r="AD1957">
        <f>IF(D1957="","",N(AD1956)+IF(MATCH(D1957,$D$2:$D$2501,0)=ROW()-1,1,0))</f>
        <v/>
      </c>
    </row>
    <row r="1958">
      <c r="X1958" s="5">
        <f>IF(D1958="","",W1958*IF(AND(ISNUMBER(AB1958),AB1958&gt;0,AB1958&lt;1),AB1958*100,AB1958)/100)</f>
        <v/>
      </c>
      <c r="Y1958" s="5">
        <f>IF(D1958="","",AA1958*Z1958/100)</f>
        <v/>
      </c>
      <c r="Z1958" s="5">
        <f>IF(D1958="","",W1958-X1958)</f>
        <v/>
      </c>
      <c r="AC1958" s="5">
        <f>IF(D1958="","",Z1958-Y1958)</f>
        <v/>
      </c>
      <c r="AD1958">
        <f>IF(D1958="","",N(AD1957)+IF(MATCH(D1958,$D$2:$D$2501,0)=ROW()-1,1,0))</f>
        <v/>
      </c>
    </row>
    <row r="1959">
      <c r="X1959" s="5">
        <f>IF(D1959="","",W1959*IF(AND(ISNUMBER(AB1959),AB1959&gt;0,AB1959&lt;1),AB1959*100,AB1959)/100)</f>
        <v/>
      </c>
      <c r="Y1959" s="5">
        <f>IF(D1959="","",AA1959*Z1959/100)</f>
        <v/>
      </c>
      <c r="Z1959" s="5">
        <f>IF(D1959="","",W1959-X1959)</f>
        <v/>
      </c>
      <c r="AC1959" s="5">
        <f>IF(D1959="","",Z1959-Y1959)</f>
        <v/>
      </c>
      <c r="AD1959">
        <f>IF(D1959="","",N(AD1958)+IF(MATCH(D1959,$D$2:$D$2501,0)=ROW()-1,1,0))</f>
        <v/>
      </c>
    </row>
    <row r="1960">
      <c r="X1960" s="5">
        <f>IF(D1960="","",W1960*IF(AND(ISNUMBER(AB1960),AB1960&gt;0,AB1960&lt;1),AB1960*100,AB1960)/100)</f>
        <v/>
      </c>
      <c r="Y1960" s="5">
        <f>IF(D1960="","",AA1960*Z1960/100)</f>
        <v/>
      </c>
      <c r="Z1960" s="5">
        <f>IF(D1960="","",W1960-X1960)</f>
        <v/>
      </c>
      <c r="AC1960" s="5">
        <f>IF(D1960="","",Z1960-Y1960)</f>
        <v/>
      </c>
      <c r="AD1960">
        <f>IF(D1960="","",N(AD1959)+IF(MATCH(D1960,$D$2:$D$2501,0)=ROW()-1,1,0))</f>
        <v/>
      </c>
    </row>
    <row r="1961">
      <c r="X1961" s="5">
        <f>IF(D1961="","",W1961*IF(AND(ISNUMBER(AB1961),AB1961&gt;0,AB1961&lt;1),AB1961*100,AB1961)/100)</f>
        <v/>
      </c>
      <c r="Y1961" s="5">
        <f>IF(D1961="","",AA1961*Z1961/100)</f>
        <v/>
      </c>
      <c r="Z1961" s="5">
        <f>IF(D1961="","",W1961-X1961)</f>
        <v/>
      </c>
      <c r="AC1961" s="5">
        <f>IF(D1961="","",Z1961-Y1961)</f>
        <v/>
      </c>
      <c r="AD1961">
        <f>IF(D1961="","",N(AD1960)+IF(MATCH(D1961,$D$2:$D$2501,0)=ROW()-1,1,0))</f>
        <v/>
      </c>
    </row>
    <row r="1962">
      <c r="X1962" s="5">
        <f>IF(D1962="","",W1962*IF(AND(ISNUMBER(AB1962),AB1962&gt;0,AB1962&lt;1),AB1962*100,AB1962)/100)</f>
        <v/>
      </c>
      <c r="Y1962" s="5">
        <f>IF(D1962="","",AA1962*Z1962/100)</f>
        <v/>
      </c>
      <c r="Z1962" s="5">
        <f>IF(D1962="","",W1962-X1962)</f>
        <v/>
      </c>
      <c r="AC1962" s="5">
        <f>IF(D1962="","",Z1962-Y1962)</f>
        <v/>
      </c>
      <c r="AD1962">
        <f>IF(D1962="","",N(AD1961)+IF(MATCH(D1962,$D$2:$D$2501,0)=ROW()-1,1,0))</f>
        <v/>
      </c>
    </row>
    <row r="1963">
      <c r="X1963" s="5">
        <f>IF(D1963="","",W1963*IF(AND(ISNUMBER(AB1963),AB1963&gt;0,AB1963&lt;1),AB1963*100,AB1963)/100)</f>
        <v/>
      </c>
      <c r="Y1963" s="5">
        <f>IF(D1963="","",AA1963*Z1963/100)</f>
        <v/>
      </c>
      <c r="Z1963" s="5">
        <f>IF(D1963="","",W1963-X1963)</f>
        <v/>
      </c>
      <c r="AC1963" s="5">
        <f>IF(D1963="","",Z1963-Y1963)</f>
        <v/>
      </c>
      <c r="AD1963">
        <f>IF(D1963="","",N(AD1962)+IF(MATCH(D1963,$D$2:$D$2501,0)=ROW()-1,1,0))</f>
        <v/>
      </c>
    </row>
    <row r="1964">
      <c r="X1964" s="5">
        <f>IF(D1964="","",W1964*IF(AND(ISNUMBER(AB1964),AB1964&gt;0,AB1964&lt;1),AB1964*100,AB1964)/100)</f>
        <v/>
      </c>
      <c r="Y1964" s="5">
        <f>IF(D1964="","",AA1964*Z1964/100)</f>
        <v/>
      </c>
      <c r="Z1964" s="5">
        <f>IF(D1964="","",W1964-X1964)</f>
        <v/>
      </c>
      <c r="AC1964" s="5">
        <f>IF(D1964="","",Z1964-Y1964)</f>
        <v/>
      </c>
      <c r="AD1964">
        <f>IF(D1964="","",N(AD1963)+IF(MATCH(D1964,$D$2:$D$2501,0)=ROW()-1,1,0))</f>
        <v/>
      </c>
    </row>
    <row r="1965">
      <c r="X1965" s="5">
        <f>IF(D1965="","",W1965*IF(AND(ISNUMBER(AB1965),AB1965&gt;0,AB1965&lt;1),AB1965*100,AB1965)/100)</f>
        <v/>
      </c>
      <c r="Y1965" s="5">
        <f>IF(D1965="","",AA1965*Z1965/100)</f>
        <v/>
      </c>
      <c r="Z1965" s="5">
        <f>IF(D1965="","",W1965-X1965)</f>
        <v/>
      </c>
      <c r="AC1965" s="5">
        <f>IF(D1965="","",Z1965-Y1965)</f>
        <v/>
      </c>
      <c r="AD1965">
        <f>IF(D1965="","",N(AD1964)+IF(MATCH(D1965,$D$2:$D$2501,0)=ROW()-1,1,0))</f>
        <v/>
      </c>
    </row>
    <row r="1966">
      <c r="X1966" s="5">
        <f>IF(D1966="","",W1966*IF(AND(ISNUMBER(AB1966),AB1966&gt;0,AB1966&lt;1),AB1966*100,AB1966)/100)</f>
        <v/>
      </c>
      <c r="Y1966" s="5">
        <f>IF(D1966="","",AA1966*Z1966/100)</f>
        <v/>
      </c>
      <c r="Z1966" s="5">
        <f>IF(D1966="","",W1966-X1966)</f>
        <v/>
      </c>
      <c r="AC1966" s="5">
        <f>IF(D1966="","",Z1966-Y1966)</f>
        <v/>
      </c>
      <c r="AD1966">
        <f>IF(D1966="","",N(AD1965)+IF(MATCH(D1966,$D$2:$D$2501,0)=ROW()-1,1,0))</f>
        <v/>
      </c>
    </row>
    <row r="1967">
      <c r="X1967" s="5">
        <f>IF(D1967="","",W1967*IF(AND(ISNUMBER(AB1967),AB1967&gt;0,AB1967&lt;1),AB1967*100,AB1967)/100)</f>
        <v/>
      </c>
      <c r="Y1967" s="5">
        <f>IF(D1967="","",AA1967*Z1967/100)</f>
        <v/>
      </c>
      <c r="Z1967" s="5">
        <f>IF(D1967="","",W1967-X1967)</f>
        <v/>
      </c>
      <c r="AC1967" s="5">
        <f>IF(D1967="","",Z1967-Y1967)</f>
        <v/>
      </c>
      <c r="AD1967">
        <f>IF(D1967="","",N(AD1966)+IF(MATCH(D1967,$D$2:$D$2501,0)=ROW()-1,1,0))</f>
        <v/>
      </c>
    </row>
    <row r="1968">
      <c r="X1968" s="5">
        <f>IF(D1968="","",W1968*IF(AND(ISNUMBER(AB1968),AB1968&gt;0,AB1968&lt;1),AB1968*100,AB1968)/100)</f>
        <v/>
      </c>
      <c r="Y1968" s="5">
        <f>IF(D1968="","",AA1968*Z1968/100)</f>
        <v/>
      </c>
      <c r="Z1968" s="5">
        <f>IF(D1968="","",W1968-X1968)</f>
        <v/>
      </c>
      <c r="AC1968" s="5">
        <f>IF(D1968="","",Z1968-Y1968)</f>
        <v/>
      </c>
      <c r="AD1968">
        <f>IF(D1968="","",N(AD1967)+IF(MATCH(D1968,$D$2:$D$2501,0)=ROW()-1,1,0))</f>
        <v/>
      </c>
    </row>
    <row r="1969">
      <c r="X1969" s="5">
        <f>IF(D1969="","",W1969*IF(AND(ISNUMBER(AB1969),AB1969&gt;0,AB1969&lt;1),AB1969*100,AB1969)/100)</f>
        <v/>
      </c>
      <c r="Y1969" s="5">
        <f>IF(D1969="","",AA1969*Z1969/100)</f>
        <v/>
      </c>
      <c r="Z1969" s="5">
        <f>IF(D1969="","",W1969-X1969)</f>
        <v/>
      </c>
      <c r="AC1969" s="5">
        <f>IF(D1969="","",Z1969-Y1969)</f>
        <v/>
      </c>
      <c r="AD1969">
        <f>IF(D1969="","",N(AD1968)+IF(MATCH(D1969,$D$2:$D$2501,0)=ROW()-1,1,0))</f>
        <v/>
      </c>
    </row>
    <row r="1970">
      <c r="X1970" s="5">
        <f>IF(D1970="","",W1970*IF(AND(ISNUMBER(AB1970),AB1970&gt;0,AB1970&lt;1),AB1970*100,AB1970)/100)</f>
        <v/>
      </c>
      <c r="Y1970" s="5">
        <f>IF(D1970="","",AA1970*Z1970/100)</f>
        <v/>
      </c>
      <c r="Z1970" s="5">
        <f>IF(D1970="","",W1970-X1970)</f>
        <v/>
      </c>
      <c r="AC1970" s="5">
        <f>IF(D1970="","",Z1970-Y1970)</f>
        <v/>
      </c>
      <c r="AD1970">
        <f>IF(D1970="","",N(AD1969)+IF(MATCH(D1970,$D$2:$D$2501,0)=ROW()-1,1,0))</f>
        <v/>
      </c>
    </row>
    <row r="1971">
      <c r="X1971" s="5">
        <f>IF(D1971="","",W1971*IF(AND(ISNUMBER(AB1971),AB1971&gt;0,AB1971&lt;1),AB1971*100,AB1971)/100)</f>
        <v/>
      </c>
      <c r="Y1971" s="5">
        <f>IF(D1971="","",AA1971*Z1971/100)</f>
        <v/>
      </c>
      <c r="Z1971" s="5">
        <f>IF(D1971="","",W1971-X1971)</f>
        <v/>
      </c>
      <c r="AC1971" s="5">
        <f>IF(D1971="","",Z1971-Y1971)</f>
        <v/>
      </c>
      <c r="AD1971">
        <f>IF(D1971="","",N(AD1970)+IF(MATCH(D1971,$D$2:$D$2501,0)=ROW()-1,1,0))</f>
        <v/>
      </c>
    </row>
    <row r="1972">
      <c r="X1972" s="5">
        <f>IF(D1972="","",W1972*IF(AND(ISNUMBER(AB1972),AB1972&gt;0,AB1972&lt;1),AB1972*100,AB1972)/100)</f>
        <v/>
      </c>
      <c r="Y1972" s="5">
        <f>IF(D1972="","",AA1972*Z1972/100)</f>
        <v/>
      </c>
      <c r="Z1972" s="5">
        <f>IF(D1972="","",W1972-X1972)</f>
        <v/>
      </c>
      <c r="AC1972" s="5">
        <f>IF(D1972="","",Z1972-Y1972)</f>
        <v/>
      </c>
      <c r="AD1972">
        <f>IF(D1972="","",N(AD1971)+IF(MATCH(D1972,$D$2:$D$2501,0)=ROW()-1,1,0))</f>
        <v/>
      </c>
    </row>
    <row r="1973">
      <c r="X1973" s="5">
        <f>IF(D1973="","",W1973*IF(AND(ISNUMBER(AB1973),AB1973&gt;0,AB1973&lt;1),AB1973*100,AB1973)/100)</f>
        <v/>
      </c>
      <c r="Y1973" s="5">
        <f>IF(D1973="","",AA1973*Z1973/100)</f>
        <v/>
      </c>
      <c r="Z1973" s="5">
        <f>IF(D1973="","",W1973-X1973)</f>
        <v/>
      </c>
      <c r="AC1973" s="5">
        <f>IF(D1973="","",Z1973-Y1973)</f>
        <v/>
      </c>
      <c r="AD1973">
        <f>IF(D1973="","",N(AD1972)+IF(MATCH(D1973,$D$2:$D$2501,0)=ROW()-1,1,0))</f>
        <v/>
      </c>
    </row>
    <row r="1974">
      <c r="X1974" s="5">
        <f>IF(D1974="","",W1974*IF(AND(ISNUMBER(AB1974),AB1974&gt;0,AB1974&lt;1),AB1974*100,AB1974)/100)</f>
        <v/>
      </c>
      <c r="Y1974" s="5">
        <f>IF(D1974="","",AA1974*Z1974/100)</f>
        <v/>
      </c>
      <c r="Z1974" s="5">
        <f>IF(D1974="","",W1974-X1974)</f>
        <v/>
      </c>
      <c r="AC1974" s="5">
        <f>IF(D1974="","",Z1974-Y1974)</f>
        <v/>
      </c>
      <c r="AD1974">
        <f>IF(D1974="","",N(AD1973)+IF(MATCH(D1974,$D$2:$D$2501,0)=ROW()-1,1,0))</f>
        <v/>
      </c>
    </row>
    <row r="1975">
      <c r="X1975" s="5">
        <f>IF(D1975="","",W1975*IF(AND(ISNUMBER(AB1975),AB1975&gt;0,AB1975&lt;1),AB1975*100,AB1975)/100)</f>
        <v/>
      </c>
      <c r="Y1975" s="5">
        <f>IF(D1975="","",AA1975*Z1975/100)</f>
        <v/>
      </c>
      <c r="Z1975" s="5">
        <f>IF(D1975="","",W1975-X1975)</f>
        <v/>
      </c>
      <c r="AC1975" s="5">
        <f>IF(D1975="","",Z1975-Y1975)</f>
        <v/>
      </c>
      <c r="AD1975">
        <f>IF(D1975="","",N(AD1974)+IF(MATCH(D1975,$D$2:$D$2501,0)=ROW()-1,1,0))</f>
        <v/>
      </c>
    </row>
    <row r="1976">
      <c r="X1976" s="5">
        <f>IF(D1976="","",W1976*IF(AND(ISNUMBER(AB1976),AB1976&gt;0,AB1976&lt;1),AB1976*100,AB1976)/100)</f>
        <v/>
      </c>
      <c r="Y1976" s="5">
        <f>IF(D1976="","",AA1976*Z1976/100)</f>
        <v/>
      </c>
      <c r="Z1976" s="5">
        <f>IF(D1976="","",W1976-X1976)</f>
        <v/>
      </c>
      <c r="AC1976" s="5">
        <f>IF(D1976="","",Z1976-Y1976)</f>
        <v/>
      </c>
      <c r="AD1976">
        <f>IF(D1976="","",N(AD1975)+IF(MATCH(D1976,$D$2:$D$2501,0)=ROW()-1,1,0))</f>
        <v/>
      </c>
    </row>
    <row r="1977">
      <c r="X1977" s="5">
        <f>IF(D1977="","",W1977*IF(AND(ISNUMBER(AB1977),AB1977&gt;0,AB1977&lt;1),AB1977*100,AB1977)/100)</f>
        <v/>
      </c>
      <c r="Y1977" s="5">
        <f>IF(D1977="","",AA1977*Z1977/100)</f>
        <v/>
      </c>
      <c r="Z1977" s="5">
        <f>IF(D1977="","",W1977-X1977)</f>
        <v/>
      </c>
      <c r="AC1977" s="5">
        <f>IF(D1977="","",Z1977-Y1977)</f>
        <v/>
      </c>
      <c r="AD1977">
        <f>IF(D1977="","",N(AD1976)+IF(MATCH(D1977,$D$2:$D$2501,0)=ROW()-1,1,0))</f>
        <v/>
      </c>
    </row>
    <row r="1978">
      <c r="X1978" s="5">
        <f>IF(D1978="","",W1978*IF(AND(ISNUMBER(AB1978),AB1978&gt;0,AB1978&lt;1),AB1978*100,AB1978)/100)</f>
        <v/>
      </c>
      <c r="Y1978" s="5">
        <f>IF(D1978="","",AA1978*Z1978/100)</f>
        <v/>
      </c>
      <c r="Z1978" s="5">
        <f>IF(D1978="","",W1978-X1978)</f>
        <v/>
      </c>
      <c r="AC1978" s="5">
        <f>IF(D1978="","",Z1978-Y1978)</f>
        <v/>
      </c>
      <c r="AD1978">
        <f>IF(D1978="","",N(AD1977)+IF(MATCH(D1978,$D$2:$D$2501,0)=ROW()-1,1,0))</f>
        <v/>
      </c>
    </row>
    <row r="1979">
      <c r="X1979" s="5">
        <f>IF(D1979="","",W1979*IF(AND(ISNUMBER(AB1979),AB1979&gt;0,AB1979&lt;1),AB1979*100,AB1979)/100)</f>
        <v/>
      </c>
      <c r="Y1979" s="5">
        <f>IF(D1979="","",AA1979*Z1979/100)</f>
        <v/>
      </c>
      <c r="Z1979" s="5">
        <f>IF(D1979="","",W1979-X1979)</f>
        <v/>
      </c>
      <c r="AC1979" s="5">
        <f>IF(D1979="","",Z1979-Y1979)</f>
        <v/>
      </c>
      <c r="AD1979">
        <f>IF(D1979="","",N(AD1978)+IF(MATCH(D1979,$D$2:$D$2501,0)=ROW()-1,1,0))</f>
        <v/>
      </c>
    </row>
    <row r="1980">
      <c r="X1980" s="5">
        <f>IF(D1980="","",W1980*IF(AND(ISNUMBER(AB1980),AB1980&gt;0,AB1980&lt;1),AB1980*100,AB1980)/100)</f>
        <v/>
      </c>
      <c r="Y1980" s="5">
        <f>IF(D1980="","",AA1980*Z1980/100)</f>
        <v/>
      </c>
      <c r="Z1980" s="5">
        <f>IF(D1980="","",W1980-X1980)</f>
        <v/>
      </c>
      <c r="AC1980" s="5">
        <f>IF(D1980="","",Z1980-Y1980)</f>
        <v/>
      </c>
      <c r="AD1980">
        <f>IF(D1980="","",N(AD1979)+IF(MATCH(D1980,$D$2:$D$2501,0)=ROW()-1,1,0))</f>
        <v/>
      </c>
    </row>
    <row r="1981">
      <c r="X1981" s="5">
        <f>IF(D1981="","",W1981*IF(AND(ISNUMBER(AB1981),AB1981&gt;0,AB1981&lt;1),AB1981*100,AB1981)/100)</f>
        <v/>
      </c>
      <c r="Y1981" s="5">
        <f>IF(D1981="","",AA1981*Z1981/100)</f>
        <v/>
      </c>
      <c r="Z1981" s="5">
        <f>IF(D1981="","",W1981-X1981)</f>
        <v/>
      </c>
      <c r="AC1981" s="5">
        <f>IF(D1981="","",Z1981-Y1981)</f>
        <v/>
      </c>
      <c r="AD1981">
        <f>IF(D1981="","",N(AD1980)+IF(MATCH(D1981,$D$2:$D$2501,0)=ROW()-1,1,0))</f>
        <v/>
      </c>
    </row>
    <row r="1982">
      <c r="X1982" s="5">
        <f>IF(D1982="","",W1982*IF(AND(ISNUMBER(AB1982),AB1982&gt;0,AB1982&lt;1),AB1982*100,AB1982)/100)</f>
        <v/>
      </c>
      <c r="Y1982" s="5">
        <f>IF(D1982="","",AA1982*Z1982/100)</f>
        <v/>
      </c>
      <c r="Z1982" s="5">
        <f>IF(D1982="","",W1982-X1982)</f>
        <v/>
      </c>
      <c r="AC1982" s="5">
        <f>IF(D1982="","",Z1982-Y1982)</f>
        <v/>
      </c>
      <c r="AD1982">
        <f>IF(D1982="","",N(AD1981)+IF(MATCH(D1982,$D$2:$D$2501,0)=ROW()-1,1,0))</f>
        <v/>
      </c>
    </row>
    <row r="1983">
      <c r="X1983" s="5">
        <f>IF(D1983="","",W1983*IF(AND(ISNUMBER(AB1983),AB1983&gt;0,AB1983&lt;1),AB1983*100,AB1983)/100)</f>
        <v/>
      </c>
      <c r="Y1983" s="5">
        <f>IF(D1983="","",AA1983*Z1983/100)</f>
        <v/>
      </c>
      <c r="Z1983" s="5">
        <f>IF(D1983="","",W1983-X1983)</f>
        <v/>
      </c>
      <c r="AC1983" s="5">
        <f>IF(D1983="","",Z1983-Y1983)</f>
        <v/>
      </c>
      <c r="AD1983">
        <f>IF(D1983="","",N(AD1982)+IF(MATCH(D1983,$D$2:$D$2501,0)=ROW()-1,1,0))</f>
        <v/>
      </c>
    </row>
    <row r="1984">
      <c r="X1984" s="5">
        <f>IF(D1984="","",W1984*IF(AND(ISNUMBER(AB1984),AB1984&gt;0,AB1984&lt;1),AB1984*100,AB1984)/100)</f>
        <v/>
      </c>
      <c r="Y1984" s="5">
        <f>IF(D1984="","",AA1984*Z1984/100)</f>
        <v/>
      </c>
      <c r="Z1984" s="5">
        <f>IF(D1984="","",W1984-X1984)</f>
        <v/>
      </c>
      <c r="AC1984" s="5">
        <f>IF(D1984="","",Z1984-Y1984)</f>
        <v/>
      </c>
      <c r="AD1984">
        <f>IF(D1984="","",N(AD1983)+IF(MATCH(D1984,$D$2:$D$2501,0)=ROW()-1,1,0))</f>
        <v/>
      </c>
    </row>
    <row r="1985">
      <c r="X1985" s="5">
        <f>IF(D1985="","",W1985*IF(AND(ISNUMBER(AB1985),AB1985&gt;0,AB1985&lt;1),AB1985*100,AB1985)/100)</f>
        <v/>
      </c>
      <c r="Y1985" s="5">
        <f>IF(D1985="","",AA1985*Z1985/100)</f>
        <v/>
      </c>
      <c r="Z1985" s="5">
        <f>IF(D1985="","",W1985-X1985)</f>
        <v/>
      </c>
      <c r="AC1985" s="5">
        <f>IF(D1985="","",Z1985-Y1985)</f>
        <v/>
      </c>
      <c r="AD1985">
        <f>IF(D1985="","",N(AD1984)+IF(MATCH(D1985,$D$2:$D$2501,0)=ROW()-1,1,0))</f>
        <v/>
      </c>
    </row>
    <row r="1986">
      <c r="X1986" s="5">
        <f>IF(D1986="","",W1986*IF(AND(ISNUMBER(AB1986),AB1986&gt;0,AB1986&lt;1),AB1986*100,AB1986)/100)</f>
        <v/>
      </c>
      <c r="Y1986" s="5">
        <f>IF(D1986="","",AA1986*Z1986/100)</f>
        <v/>
      </c>
      <c r="Z1986" s="5">
        <f>IF(D1986="","",W1986-X1986)</f>
        <v/>
      </c>
      <c r="AC1986" s="5">
        <f>IF(D1986="","",Z1986-Y1986)</f>
        <v/>
      </c>
      <c r="AD1986">
        <f>IF(D1986="","",N(AD1985)+IF(MATCH(D1986,$D$2:$D$2501,0)=ROW()-1,1,0))</f>
        <v/>
      </c>
    </row>
    <row r="1987">
      <c r="X1987" s="5">
        <f>IF(D1987="","",W1987*IF(AND(ISNUMBER(AB1987),AB1987&gt;0,AB1987&lt;1),AB1987*100,AB1987)/100)</f>
        <v/>
      </c>
      <c r="Y1987" s="5">
        <f>IF(D1987="","",AA1987*Z1987/100)</f>
        <v/>
      </c>
      <c r="Z1987" s="5">
        <f>IF(D1987="","",W1987-X1987)</f>
        <v/>
      </c>
      <c r="AC1987" s="5">
        <f>IF(D1987="","",Z1987-Y1987)</f>
        <v/>
      </c>
      <c r="AD1987">
        <f>IF(D1987="","",N(AD1986)+IF(MATCH(D1987,$D$2:$D$2501,0)=ROW()-1,1,0))</f>
        <v/>
      </c>
    </row>
    <row r="1988">
      <c r="X1988" s="5">
        <f>IF(D1988="","",W1988*IF(AND(ISNUMBER(AB1988),AB1988&gt;0,AB1988&lt;1),AB1988*100,AB1988)/100)</f>
        <v/>
      </c>
      <c r="Y1988" s="5">
        <f>IF(D1988="","",AA1988*Z1988/100)</f>
        <v/>
      </c>
      <c r="Z1988" s="5">
        <f>IF(D1988="","",W1988-X1988)</f>
        <v/>
      </c>
      <c r="AC1988" s="5">
        <f>IF(D1988="","",Z1988-Y1988)</f>
        <v/>
      </c>
      <c r="AD1988">
        <f>IF(D1988="","",N(AD1987)+IF(MATCH(D1988,$D$2:$D$2501,0)=ROW()-1,1,0))</f>
        <v/>
      </c>
    </row>
    <row r="1989">
      <c r="X1989" s="5">
        <f>IF(D1989="","",W1989*IF(AND(ISNUMBER(AB1989),AB1989&gt;0,AB1989&lt;1),AB1989*100,AB1989)/100)</f>
        <v/>
      </c>
      <c r="Y1989" s="5">
        <f>IF(D1989="","",AA1989*Z1989/100)</f>
        <v/>
      </c>
      <c r="Z1989" s="5">
        <f>IF(D1989="","",W1989-X1989)</f>
        <v/>
      </c>
      <c r="AC1989" s="5">
        <f>IF(D1989="","",Z1989-Y1989)</f>
        <v/>
      </c>
      <c r="AD1989">
        <f>IF(D1989="","",N(AD1988)+IF(MATCH(D1989,$D$2:$D$2501,0)=ROW()-1,1,0))</f>
        <v/>
      </c>
    </row>
    <row r="1990">
      <c r="X1990" s="5">
        <f>IF(D1990="","",W1990*IF(AND(ISNUMBER(AB1990),AB1990&gt;0,AB1990&lt;1),AB1990*100,AB1990)/100)</f>
        <v/>
      </c>
      <c r="Y1990" s="5">
        <f>IF(D1990="","",AA1990*Z1990/100)</f>
        <v/>
      </c>
      <c r="Z1990" s="5">
        <f>IF(D1990="","",W1990-X1990)</f>
        <v/>
      </c>
      <c r="AC1990" s="5">
        <f>IF(D1990="","",Z1990-Y1990)</f>
        <v/>
      </c>
      <c r="AD1990">
        <f>IF(D1990="","",N(AD1989)+IF(MATCH(D1990,$D$2:$D$2501,0)=ROW()-1,1,0))</f>
        <v/>
      </c>
    </row>
    <row r="1991">
      <c r="X1991" s="5">
        <f>IF(D1991="","",W1991*IF(AND(ISNUMBER(AB1991),AB1991&gt;0,AB1991&lt;1),AB1991*100,AB1991)/100)</f>
        <v/>
      </c>
      <c r="Y1991" s="5">
        <f>IF(D1991="","",AA1991*Z1991/100)</f>
        <v/>
      </c>
      <c r="Z1991" s="5">
        <f>IF(D1991="","",W1991-X1991)</f>
        <v/>
      </c>
      <c r="AC1991" s="5">
        <f>IF(D1991="","",Z1991-Y1991)</f>
        <v/>
      </c>
      <c r="AD1991">
        <f>IF(D1991="","",N(AD1990)+IF(MATCH(D1991,$D$2:$D$2501,0)=ROW()-1,1,0))</f>
        <v/>
      </c>
    </row>
    <row r="1992">
      <c r="X1992" s="5">
        <f>IF(D1992="","",W1992*IF(AND(ISNUMBER(AB1992),AB1992&gt;0,AB1992&lt;1),AB1992*100,AB1992)/100)</f>
        <v/>
      </c>
      <c r="Y1992" s="5">
        <f>IF(D1992="","",AA1992*Z1992/100)</f>
        <v/>
      </c>
      <c r="Z1992" s="5">
        <f>IF(D1992="","",W1992-X1992)</f>
        <v/>
      </c>
      <c r="AC1992" s="5">
        <f>IF(D1992="","",Z1992-Y1992)</f>
        <v/>
      </c>
      <c r="AD1992">
        <f>IF(D1992="","",N(AD1991)+IF(MATCH(D1992,$D$2:$D$2501,0)=ROW()-1,1,0))</f>
        <v/>
      </c>
    </row>
    <row r="1993">
      <c r="X1993" s="5">
        <f>IF(D1993="","",W1993*IF(AND(ISNUMBER(AB1993),AB1993&gt;0,AB1993&lt;1),AB1993*100,AB1993)/100)</f>
        <v/>
      </c>
      <c r="Y1993" s="5">
        <f>IF(D1993="","",AA1993*Z1993/100)</f>
        <v/>
      </c>
      <c r="Z1993" s="5">
        <f>IF(D1993="","",W1993-X1993)</f>
        <v/>
      </c>
      <c r="AC1993" s="5">
        <f>IF(D1993="","",Z1993-Y1993)</f>
        <v/>
      </c>
      <c r="AD1993">
        <f>IF(D1993="","",N(AD1992)+IF(MATCH(D1993,$D$2:$D$2501,0)=ROW()-1,1,0))</f>
        <v/>
      </c>
    </row>
    <row r="1994">
      <c r="X1994" s="5">
        <f>IF(D1994="","",W1994*IF(AND(ISNUMBER(AB1994),AB1994&gt;0,AB1994&lt;1),AB1994*100,AB1994)/100)</f>
        <v/>
      </c>
      <c r="Y1994" s="5">
        <f>IF(D1994="","",AA1994*Z1994/100)</f>
        <v/>
      </c>
      <c r="Z1994" s="5">
        <f>IF(D1994="","",W1994-X1994)</f>
        <v/>
      </c>
      <c r="AC1994" s="5">
        <f>IF(D1994="","",Z1994-Y1994)</f>
        <v/>
      </c>
      <c r="AD1994">
        <f>IF(D1994="","",N(AD1993)+IF(MATCH(D1994,$D$2:$D$2501,0)=ROW()-1,1,0))</f>
        <v/>
      </c>
    </row>
    <row r="1995">
      <c r="X1995" s="5">
        <f>IF(D1995="","",W1995*IF(AND(ISNUMBER(AB1995),AB1995&gt;0,AB1995&lt;1),AB1995*100,AB1995)/100)</f>
        <v/>
      </c>
      <c r="Y1995" s="5">
        <f>IF(D1995="","",AA1995*Z1995/100)</f>
        <v/>
      </c>
      <c r="Z1995" s="5">
        <f>IF(D1995="","",W1995-X1995)</f>
        <v/>
      </c>
      <c r="AC1995" s="5">
        <f>IF(D1995="","",Z1995-Y1995)</f>
        <v/>
      </c>
      <c r="AD1995">
        <f>IF(D1995="","",N(AD1994)+IF(MATCH(D1995,$D$2:$D$2501,0)=ROW()-1,1,0))</f>
        <v/>
      </c>
    </row>
    <row r="1996">
      <c r="X1996" s="5">
        <f>IF(D1996="","",W1996*IF(AND(ISNUMBER(AB1996),AB1996&gt;0,AB1996&lt;1),AB1996*100,AB1996)/100)</f>
        <v/>
      </c>
      <c r="Y1996" s="5">
        <f>IF(D1996="","",AA1996*Z1996/100)</f>
        <v/>
      </c>
      <c r="Z1996" s="5">
        <f>IF(D1996="","",W1996-X1996)</f>
        <v/>
      </c>
      <c r="AC1996" s="5">
        <f>IF(D1996="","",Z1996-Y1996)</f>
        <v/>
      </c>
      <c r="AD1996">
        <f>IF(D1996="","",N(AD1995)+IF(MATCH(D1996,$D$2:$D$2501,0)=ROW()-1,1,0))</f>
        <v/>
      </c>
    </row>
    <row r="1997">
      <c r="X1997" s="5">
        <f>IF(D1997="","",W1997*IF(AND(ISNUMBER(AB1997),AB1997&gt;0,AB1997&lt;1),AB1997*100,AB1997)/100)</f>
        <v/>
      </c>
      <c r="Y1997" s="5">
        <f>IF(D1997="","",AA1997*Z1997/100)</f>
        <v/>
      </c>
      <c r="Z1997" s="5">
        <f>IF(D1997="","",W1997-X1997)</f>
        <v/>
      </c>
      <c r="AC1997" s="5">
        <f>IF(D1997="","",Z1997-Y1997)</f>
        <v/>
      </c>
      <c r="AD1997">
        <f>IF(D1997="","",N(AD1996)+IF(MATCH(D1997,$D$2:$D$2501,0)=ROW()-1,1,0))</f>
        <v/>
      </c>
    </row>
    <row r="1998">
      <c r="X1998" s="5">
        <f>IF(D1998="","",W1998*IF(AND(ISNUMBER(AB1998),AB1998&gt;0,AB1998&lt;1),AB1998*100,AB1998)/100)</f>
        <v/>
      </c>
      <c r="Y1998" s="5">
        <f>IF(D1998="","",AA1998*Z1998/100)</f>
        <v/>
      </c>
      <c r="Z1998" s="5">
        <f>IF(D1998="","",W1998-X1998)</f>
        <v/>
      </c>
      <c r="AC1998" s="5">
        <f>IF(D1998="","",Z1998-Y1998)</f>
        <v/>
      </c>
      <c r="AD1998">
        <f>IF(D1998="","",N(AD1997)+IF(MATCH(D1998,$D$2:$D$2501,0)=ROW()-1,1,0))</f>
        <v/>
      </c>
    </row>
    <row r="1999">
      <c r="X1999" s="5">
        <f>IF(D1999="","",W1999*IF(AND(ISNUMBER(AB1999),AB1999&gt;0,AB1999&lt;1),AB1999*100,AB1999)/100)</f>
        <v/>
      </c>
      <c r="Y1999" s="5">
        <f>IF(D1999="","",AA1999*Z1999/100)</f>
        <v/>
      </c>
      <c r="Z1999" s="5">
        <f>IF(D1999="","",W1999-X1999)</f>
        <v/>
      </c>
      <c r="AC1999" s="5">
        <f>IF(D1999="","",Z1999-Y1999)</f>
        <v/>
      </c>
      <c r="AD1999">
        <f>IF(D1999="","",N(AD1998)+IF(MATCH(D1999,$D$2:$D$2501,0)=ROW()-1,1,0))</f>
        <v/>
      </c>
    </row>
    <row r="2000">
      <c r="X2000" s="5">
        <f>IF(D2000="","",W2000*IF(AND(ISNUMBER(AB2000),AB2000&gt;0,AB2000&lt;1),AB2000*100,AB2000)/100)</f>
        <v/>
      </c>
      <c r="Y2000" s="5">
        <f>IF(D2000="","",AA2000*Z2000/100)</f>
        <v/>
      </c>
      <c r="Z2000" s="5">
        <f>IF(D2000="","",W2000-X2000)</f>
        <v/>
      </c>
      <c r="AC2000" s="5">
        <f>IF(D2000="","",Z2000-Y2000)</f>
        <v/>
      </c>
      <c r="AD2000">
        <f>IF(D2000="","",N(AD1999)+IF(MATCH(D2000,$D$2:$D$2501,0)=ROW()-1,1,0))</f>
        <v/>
      </c>
    </row>
    <row r="2001">
      <c r="X2001" s="5">
        <f>IF(D2001="","",W2001*IF(AND(ISNUMBER(AB2001),AB2001&gt;0,AB2001&lt;1),AB2001*100,AB2001)/100)</f>
        <v/>
      </c>
      <c r="Y2001" s="5">
        <f>IF(D2001="","",AA2001*Z2001/100)</f>
        <v/>
      </c>
      <c r="Z2001" s="5">
        <f>IF(D2001="","",W2001-X2001)</f>
        <v/>
      </c>
      <c r="AC2001" s="5">
        <f>IF(D2001="","",Z2001-Y2001)</f>
        <v/>
      </c>
      <c r="AD2001">
        <f>IF(D2001="","",N(AD2000)+IF(MATCH(D2001,$D$2:$D$2501,0)=ROW()-1,1,0))</f>
        <v/>
      </c>
    </row>
    <row r="2002">
      <c r="X2002" s="5">
        <f>IF(D2002="","",W2002*IF(AND(ISNUMBER(AB2002),AB2002&gt;0,AB2002&lt;1),AB2002*100,AB2002)/100)</f>
        <v/>
      </c>
      <c r="Y2002" s="5">
        <f>IF(D2002="","",AA2002*Z2002/100)</f>
        <v/>
      </c>
      <c r="Z2002" s="5">
        <f>IF(D2002="","",W2002-X2002)</f>
        <v/>
      </c>
      <c r="AC2002" s="5">
        <f>IF(D2002="","",Z2002-Y2002)</f>
        <v/>
      </c>
      <c r="AD2002">
        <f>IF(D2002="","",N(AD2001)+IF(MATCH(D2002,$D$2:$D$2501,0)=ROW()-1,1,0))</f>
        <v/>
      </c>
    </row>
    <row r="2003">
      <c r="X2003" s="5">
        <f>IF(D2003="","",W2003*IF(AND(ISNUMBER(AB2003),AB2003&gt;0,AB2003&lt;1),AB2003*100,AB2003)/100)</f>
        <v/>
      </c>
      <c r="Y2003" s="5">
        <f>IF(D2003="","",AA2003*Z2003/100)</f>
        <v/>
      </c>
      <c r="Z2003" s="5">
        <f>IF(D2003="","",W2003-X2003)</f>
        <v/>
      </c>
      <c r="AC2003" s="5">
        <f>IF(D2003="","",Z2003-Y2003)</f>
        <v/>
      </c>
      <c r="AD2003">
        <f>IF(D2003="","",N(AD2002)+IF(MATCH(D2003,$D$2:$D$2501,0)=ROW()-1,1,0))</f>
        <v/>
      </c>
    </row>
    <row r="2004">
      <c r="X2004" s="5">
        <f>IF(D2004="","",W2004*IF(AND(ISNUMBER(AB2004),AB2004&gt;0,AB2004&lt;1),AB2004*100,AB2004)/100)</f>
        <v/>
      </c>
      <c r="Y2004" s="5">
        <f>IF(D2004="","",AA2004*Z2004/100)</f>
        <v/>
      </c>
      <c r="Z2004" s="5">
        <f>IF(D2004="","",W2004-X2004)</f>
        <v/>
      </c>
      <c r="AC2004" s="5">
        <f>IF(D2004="","",Z2004-Y2004)</f>
        <v/>
      </c>
      <c r="AD2004">
        <f>IF(D2004="","",N(AD2003)+IF(MATCH(D2004,$D$2:$D$2501,0)=ROW()-1,1,0))</f>
        <v/>
      </c>
    </row>
    <row r="2005">
      <c r="X2005" s="5">
        <f>IF(D2005="","",W2005*IF(AND(ISNUMBER(AB2005),AB2005&gt;0,AB2005&lt;1),AB2005*100,AB2005)/100)</f>
        <v/>
      </c>
      <c r="Y2005" s="5">
        <f>IF(D2005="","",AA2005*Z2005/100)</f>
        <v/>
      </c>
      <c r="Z2005" s="5">
        <f>IF(D2005="","",W2005-X2005)</f>
        <v/>
      </c>
      <c r="AC2005" s="5">
        <f>IF(D2005="","",Z2005-Y2005)</f>
        <v/>
      </c>
      <c r="AD2005">
        <f>IF(D2005="","",N(AD2004)+IF(MATCH(D2005,$D$2:$D$2501,0)=ROW()-1,1,0))</f>
        <v/>
      </c>
    </row>
    <row r="2006">
      <c r="X2006" s="5">
        <f>IF(D2006="","",W2006*IF(AND(ISNUMBER(AB2006),AB2006&gt;0,AB2006&lt;1),AB2006*100,AB2006)/100)</f>
        <v/>
      </c>
      <c r="Y2006" s="5">
        <f>IF(D2006="","",AA2006*Z2006/100)</f>
        <v/>
      </c>
      <c r="Z2006" s="5">
        <f>IF(D2006="","",W2006-X2006)</f>
        <v/>
      </c>
      <c r="AC2006" s="5">
        <f>IF(D2006="","",Z2006-Y2006)</f>
        <v/>
      </c>
      <c r="AD2006">
        <f>IF(D2006="","",N(AD2005)+IF(MATCH(D2006,$D$2:$D$2501,0)=ROW()-1,1,0))</f>
        <v/>
      </c>
    </row>
    <row r="2007">
      <c r="X2007" s="5">
        <f>IF(D2007="","",W2007*IF(AND(ISNUMBER(AB2007),AB2007&gt;0,AB2007&lt;1),AB2007*100,AB2007)/100)</f>
        <v/>
      </c>
      <c r="Y2007" s="5">
        <f>IF(D2007="","",AA2007*Z2007/100)</f>
        <v/>
      </c>
      <c r="Z2007" s="5">
        <f>IF(D2007="","",W2007-X2007)</f>
        <v/>
      </c>
      <c r="AC2007" s="5">
        <f>IF(D2007="","",Z2007-Y2007)</f>
        <v/>
      </c>
      <c r="AD2007">
        <f>IF(D2007="","",N(AD2006)+IF(MATCH(D2007,$D$2:$D$2501,0)=ROW()-1,1,0))</f>
        <v/>
      </c>
    </row>
    <row r="2008">
      <c r="X2008" s="5">
        <f>IF(D2008="","",W2008*IF(AND(ISNUMBER(AB2008),AB2008&gt;0,AB2008&lt;1),AB2008*100,AB2008)/100)</f>
        <v/>
      </c>
      <c r="Y2008" s="5">
        <f>IF(D2008="","",AA2008*Z2008/100)</f>
        <v/>
      </c>
      <c r="Z2008" s="5">
        <f>IF(D2008="","",W2008-X2008)</f>
        <v/>
      </c>
      <c r="AC2008" s="5">
        <f>IF(D2008="","",Z2008-Y2008)</f>
        <v/>
      </c>
      <c r="AD2008">
        <f>IF(D2008="","",N(AD2007)+IF(MATCH(D2008,$D$2:$D$2501,0)=ROW()-1,1,0))</f>
        <v/>
      </c>
    </row>
    <row r="2009">
      <c r="X2009" s="5">
        <f>IF(D2009="","",W2009*IF(AND(ISNUMBER(AB2009),AB2009&gt;0,AB2009&lt;1),AB2009*100,AB2009)/100)</f>
        <v/>
      </c>
      <c r="Y2009" s="5">
        <f>IF(D2009="","",AA2009*Z2009/100)</f>
        <v/>
      </c>
      <c r="Z2009" s="5">
        <f>IF(D2009="","",W2009-X2009)</f>
        <v/>
      </c>
      <c r="AC2009" s="5">
        <f>IF(D2009="","",Z2009-Y2009)</f>
        <v/>
      </c>
      <c r="AD2009">
        <f>IF(D2009="","",N(AD2008)+IF(MATCH(D2009,$D$2:$D$2501,0)=ROW()-1,1,0))</f>
        <v/>
      </c>
    </row>
    <row r="2010">
      <c r="X2010" s="5">
        <f>IF(D2010="","",W2010*IF(AND(ISNUMBER(AB2010),AB2010&gt;0,AB2010&lt;1),AB2010*100,AB2010)/100)</f>
        <v/>
      </c>
      <c r="Y2010" s="5">
        <f>IF(D2010="","",AA2010*Z2010/100)</f>
        <v/>
      </c>
      <c r="Z2010" s="5">
        <f>IF(D2010="","",W2010-X2010)</f>
        <v/>
      </c>
      <c r="AC2010" s="5">
        <f>IF(D2010="","",Z2010-Y2010)</f>
        <v/>
      </c>
      <c r="AD2010">
        <f>IF(D2010="","",N(AD2009)+IF(MATCH(D2010,$D$2:$D$2501,0)=ROW()-1,1,0))</f>
        <v/>
      </c>
    </row>
    <row r="2011">
      <c r="X2011" s="5">
        <f>IF(D2011="","",W2011*IF(AND(ISNUMBER(AB2011),AB2011&gt;0,AB2011&lt;1),AB2011*100,AB2011)/100)</f>
        <v/>
      </c>
      <c r="Y2011" s="5">
        <f>IF(D2011="","",AA2011*Z2011/100)</f>
        <v/>
      </c>
      <c r="Z2011" s="5">
        <f>IF(D2011="","",W2011-X2011)</f>
        <v/>
      </c>
      <c r="AC2011" s="5">
        <f>IF(D2011="","",Z2011-Y2011)</f>
        <v/>
      </c>
      <c r="AD2011">
        <f>IF(D2011="","",N(AD2010)+IF(MATCH(D2011,$D$2:$D$2501,0)=ROW()-1,1,0))</f>
        <v/>
      </c>
    </row>
    <row r="2012">
      <c r="X2012" s="5">
        <f>IF(D2012="","",W2012*IF(AND(ISNUMBER(AB2012),AB2012&gt;0,AB2012&lt;1),AB2012*100,AB2012)/100)</f>
        <v/>
      </c>
      <c r="Y2012" s="5">
        <f>IF(D2012="","",AA2012*Z2012/100)</f>
        <v/>
      </c>
      <c r="Z2012" s="5">
        <f>IF(D2012="","",W2012-X2012)</f>
        <v/>
      </c>
      <c r="AC2012" s="5">
        <f>IF(D2012="","",Z2012-Y2012)</f>
        <v/>
      </c>
      <c r="AD2012">
        <f>IF(D2012="","",N(AD2011)+IF(MATCH(D2012,$D$2:$D$2501,0)=ROW()-1,1,0))</f>
        <v/>
      </c>
    </row>
    <row r="2013">
      <c r="X2013" s="5">
        <f>IF(D2013="","",W2013*IF(AND(ISNUMBER(AB2013),AB2013&gt;0,AB2013&lt;1),AB2013*100,AB2013)/100)</f>
        <v/>
      </c>
      <c r="Y2013" s="5">
        <f>IF(D2013="","",AA2013*Z2013/100)</f>
        <v/>
      </c>
      <c r="Z2013" s="5">
        <f>IF(D2013="","",W2013-X2013)</f>
        <v/>
      </c>
      <c r="AC2013" s="5">
        <f>IF(D2013="","",Z2013-Y2013)</f>
        <v/>
      </c>
      <c r="AD2013">
        <f>IF(D2013="","",N(AD2012)+IF(MATCH(D2013,$D$2:$D$2501,0)=ROW()-1,1,0))</f>
        <v/>
      </c>
    </row>
    <row r="2014">
      <c r="X2014" s="5">
        <f>IF(D2014="","",W2014*IF(AND(ISNUMBER(AB2014),AB2014&gt;0,AB2014&lt;1),AB2014*100,AB2014)/100)</f>
        <v/>
      </c>
      <c r="Y2014" s="5">
        <f>IF(D2014="","",AA2014*Z2014/100)</f>
        <v/>
      </c>
      <c r="Z2014" s="5">
        <f>IF(D2014="","",W2014-X2014)</f>
        <v/>
      </c>
      <c r="AC2014" s="5">
        <f>IF(D2014="","",Z2014-Y2014)</f>
        <v/>
      </c>
      <c r="AD2014">
        <f>IF(D2014="","",N(AD2013)+IF(MATCH(D2014,$D$2:$D$2501,0)=ROW()-1,1,0))</f>
        <v/>
      </c>
    </row>
    <row r="2015">
      <c r="X2015" s="5">
        <f>IF(D2015="","",W2015*IF(AND(ISNUMBER(AB2015),AB2015&gt;0,AB2015&lt;1),AB2015*100,AB2015)/100)</f>
        <v/>
      </c>
      <c r="Y2015" s="5">
        <f>IF(D2015="","",AA2015*Z2015/100)</f>
        <v/>
      </c>
      <c r="Z2015" s="5">
        <f>IF(D2015="","",W2015-X2015)</f>
        <v/>
      </c>
      <c r="AC2015" s="5">
        <f>IF(D2015="","",Z2015-Y2015)</f>
        <v/>
      </c>
      <c r="AD2015">
        <f>IF(D2015="","",N(AD2014)+IF(MATCH(D2015,$D$2:$D$2501,0)=ROW()-1,1,0))</f>
        <v/>
      </c>
    </row>
    <row r="2016">
      <c r="X2016" s="5">
        <f>IF(D2016="","",W2016*IF(AND(ISNUMBER(AB2016),AB2016&gt;0,AB2016&lt;1),AB2016*100,AB2016)/100)</f>
        <v/>
      </c>
      <c r="Y2016" s="5">
        <f>IF(D2016="","",AA2016*Z2016/100)</f>
        <v/>
      </c>
      <c r="Z2016" s="5">
        <f>IF(D2016="","",W2016-X2016)</f>
        <v/>
      </c>
      <c r="AC2016" s="5">
        <f>IF(D2016="","",Z2016-Y2016)</f>
        <v/>
      </c>
      <c r="AD2016">
        <f>IF(D2016="","",N(AD2015)+IF(MATCH(D2016,$D$2:$D$2501,0)=ROW()-1,1,0))</f>
        <v/>
      </c>
    </row>
    <row r="2017">
      <c r="X2017" s="5">
        <f>IF(D2017="","",W2017*IF(AND(ISNUMBER(AB2017),AB2017&gt;0,AB2017&lt;1),AB2017*100,AB2017)/100)</f>
        <v/>
      </c>
      <c r="Y2017" s="5">
        <f>IF(D2017="","",AA2017*Z2017/100)</f>
        <v/>
      </c>
      <c r="Z2017" s="5">
        <f>IF(D2017="","",W2017-X2017)</f>
        <v/>
      </c>
      <c r="AC2017" s="5">
        <f>IF(D2017="","",Z2017-Y2017)</f>
        <v/>
      </c>
      <c r="AD2017">
        <f>IF(D2017="","",N(AD2016)+IF(MATCH(D2017,$D$2:$D$2501,0)=ROW()-1,1,0))</f>
        <v/>
      </c>
    </row>
    <row r="2018">
      <c r="X2018" s="5">
        <f>IF(D2018="","",W2018*IF(AND(ISNUMBER(AB2018),AB2018&gt;0,AB2018&lt;1),AB2018*100,AB2018)/100)</f>
        <v/>
      </c>
      <c r="Y2018" s="5">
        <f>IF(D2018="","",AA2018*Z2018/100)</f>
        <v/>
      </c>
      <c r="Z2018" s="5">
        <f>IF(D2018="","",W2018-X2018)</f>
        <v/>
      </c>
      <c r="AC2018" s="5">
        <f>IF(D2018="","",Z2018-Y2018)</f>
        <v/>
      </c>
      <c r="AD2018">
        <f>IF(D2018="","",N(AD2017)+IF(MATCH(D2018,$D$2:$D$2501,0)=ROW()-1,1,0))</f>
        <v/>
      </c>
    </row>
    <row r="2019">
      <c r="X2019" s="5">
        <f>IF(D2019="","",W2019*IF(AND(ISNUMBER(AB2019),AB2019&gt;0,AB2019&lt;1),AB2019*100,AB2019)/100)</f>
        <v/>
      </c>
      <c r="Y2019" s="5">
        <f>IF(D2019="","",AA2019*Z2019/100)</f>
        <v/>
      </c>
      <c r="Z2019" s="5">
        <f>IF(D2019="","",W2019-X2019)</f>
        <v/>
      </c>
      <c r="AC2019" s="5">
        <f>IF(D2019="","",Z2019-Y2019)</f>
        <v/>
      </c>
      <c r="AD2019">
        <f>IF(D2019="","",N(AD2018)+IF(MATCH(D2019,$D$2:$D$2501,0)=ROW()-1,1,0))</f>
        <v/>
      </c>
    </row>
    <row r="2020">
      <c r="X2020" s="5">
        <f>IF(D2020="","",W2020*IF(AND(ISNUMBER(AB2020),AB2020&gt;0,AB2020&lt;1),AB2020*100,AB2020)/100)</f>
        <v/>
      </c>
      <c r="Y2020" s="5">
        <f>IF(D2020="","",AA2020*Z2020/100)</f>
        <v/>
      </c>
      <c r="Z2020" s="5">
        <f>IF(D2020="","",W2020-X2020)</f>
        <v/>
      </c>
      <c r="AC2020" s="5">
        <f>IF(D2020="","",Z2020-Y2020)</f>
        <v/>
      </c>
      <c r="AD2020">
        <f>IF(D2020="","",N(AD2019)+IF(MATCH(D2020,$D$2:$D$2501,0)=ROW()-1,1,0))</f>
        <v/>
      </c>
    </row>
    <row r="2021">
      <c r="X2021" s="5">
        <f>IF(D2021="","",W2021*IF(AND(ISNUMBER(AB2021),AB2021&gt;0,AB2021&lt;1),AB2021*100,AB2021)/100)</f>
        <v/>
      </c>
      <c r="Y2021" s="5">
        <f>IF(D2021="","",AA2021*Z2021/100)</f>
        <v/>
      </c>
      <c r="Z2021" s="5">
        <f>IF(D2021="","",W2021-X2021)</f>
        <v/>
      </c>
      <c r="AC2021" s="5">
        <f>IF(D2021="","",Z2021-Y2021)</f>
        <v/>
      </c>
      <c r="AD2021">
        <f>IF(D2021="","",N(AD2020)+IF(MATCH(D2021,$D$2:$D$2501,0)=ROW()-1,1,0))</f>
        <v/>
      </c>
    </row>
    <row r="2022">
      <c r="X2022" s="5">
        <f>IF(D2022="","",W2022*IF(AND(ISNUMBER(AB2022),AB2022&gt;0,AB2022&lt;1),AB2022*100,AB2022)/100)</f>
        <v/>
      </c>
      <c r="Y2022" s="5">
        <f>IF(D2022="","",AA2022*Z2022/100)</f>
        <v/>
      </c>
      <c r="Z2022" s="5">
        <f>IF(D2022="","",W2022-X2022)</f>
        <v/>
      </c>
      <c r="AC2022" s="5">
        <f>IF(D2022="","",Z2022-Y2022)</f>
        <v/>
      </c>
      <c r="AD2022">
        <f>IF(D2022="","",N(AD2021)+IF(MATCH(D2022,$D$2:$D$2501,0)=ROW()-1,1,0))</f>
        <v/>
      </c>
    </row>
    <row r="2023">
      <c r="X2023" s="5">
        <f>IF(D2023="","",W2023*IF(AND(ISNUMBER(AB2023),AB2023&gt;0,AB2023&lt;1),AB2023*100,AB2023)/100)</f>
        <v/>
      </c>
      <c r="Y2023" s="5">
        <f>IF(D2023="","",AA2023*Z2023/100)</f>
        <v/>
      </c>
      <c r="Z2023" s="5">
        <f>IF(D2023="","",W2023-X2023)</f>
        <v/>
      </c>
      <c r="AC2023" s="5">
        <f>IF(D2023="","",Z2023-Y2023)</f>
        <v/>
      </c>
      <c r="AD2023">
        <f>IF(D2023="","",N(AD2022)+IF(MATCH(D2023,$D$2:$D$2501,0)=ROW()-1,1,0))</f>
        <v/>
      </c>
    </row>
    <row r="2024">
      <c r="X2024" s="5">
        <f>IF(D2024="","",W2024*IF(AND(ISNUMBER(AB2024),AB2024&gt;0,AB2024&lt;1),AB2024*100,AB2024)/100)</f>
        <v/>
      </c>
      <c r="Y2024" s="5">
        <f>IF(D2024="","",AA2024*Z2024/100)</f>
        <v/>
      </c>
      <c r="Z2024" s="5">
        <f>IF(D2024="","",W2024-X2024)</f>
        <v/>
      </c>
      <c r="AC2024" s="5">
        <f>IF(D2024="","",Z2024-Y2024)</f>
        <v/>
      </c>
      <c r="AD2024">
        <f>IF(D2024="","",N(AD2023)+IF(MATCH(D2024,$D$2:$D$2501,0)=ROW()-1,1,0))</f>
        <v/>
      </c>
    </row>
    <row r="2025">
      <c r="X2025" s="5">
        <f>IF(D2025="","",W2025*IF(AND(ISNUMBER(AB2025),AB2025&gt;0,AB2025&lt;1),AB2025*100,AB2025)/100)</f>
        <v/>
      </c>
      <c r="Y2025" s="5">
        <f>IF(D2025="","",AA2025*Z2025/100)</f>
        <v/>
      </c>
      <c r="Z2025" s="5">
        <f>IF(D2025="","",W2025-X2025)</f>
        <v/>
      </c>
      <c r="AC2025" s="5">
        <f>IF(D2025="","",Z2025-Y2025)</f>
        <v/>
      </c>
      <c r="AD2025">
        <f>IF(D2025="","",N(AD2024)+IF(MATCH(D2025,$D$2:$D$2501,0)=ROW()-1,1,0))</f>
        <v/>
      </c>
    </row>
    <row r="2026">
      <c r="X2026" s="5">
        <f>IF(D2026="","",W2026*IF(AND(ISNUMBER(AB2026),AB2026&gt;0,AB2026&lt;1),AB2026*100,AB2026)/100)</f>
        <v/>
      </c>
      <c r="Y2026" s="5">
        <f>IF(D2026="","",AA2026*Z2026/100)</f>
        <v/>
      </c>
      <c r="Z2026" s="5">
        <f>IF(D2026="","",W2026-X2026)</f>
        <v/>
      </c>
      <c r="AC2026" s="5">
        <f>IF(D2026="","",Z2026-Y2026)</f>
        <v/>
      </c>
      <c r="AD2026">
        <f>IF(D2026="","",N(AD2025)+IF(MATCH(D2026,$D$2:$D$2501,0)=ROW()-1,1,0))</f>
        <v/>
      </c>
    </row>
    <row r="2027">
      <c r="X2027" s="5">
        <f>IF(D2027="","",W2027*IF(AND(ISNUMBER(AB2027),AB2027&gt;0,AB2027&lt;1),AB2027*100,AB2027)/100)</f>
        <v/>
      </c>
      <c r="Y2027" s="5">
        <f>IF(D2027="","",AA2027*Z2027/100)</f>
        <v/>
      </c>
      <c r="Z2027" s="5">
        <f>IF(D2027="","",W2027-X2027)</f>
        <v/>
      </c>
      <c r="AC2027" s="5">
        <f>IF(D2027="","",Z2027-Y2027)</f>
        <v/>
      </c>
      <c r="AD2027">
        <f>IF(D2027="","",N(AD2026)+IF(MATCH(D2027,$D$2:$D$2501,0)=ROW()-1,1,0))</f>
        <v/>
      </c>
    </row>
    <row r="2028">
      <c r="X2028" s="5">
        <f>IF(D2028="","",W2028*IF(AND(ISNUMBER(AB2028),AB2028&gt;0,AB2028&lt;1),AB2028*100,AB2028)/100)</f>
        <v/>
      </c>
      <c r="Y2028" s="5">
        <f>IF(D2028="","",AA2028*Z2028/100)</f>
        <v/>
      </c>
      <c r="Z2028" s="5">
        <f>IF(D2028="","",W2028-X2028)</f>
        <v/>
      </c>
      <c r="AC2028" s="5">
        <f>IF(D2028="","",Z2028-Y2028)</f>
        <v/>
      </c>
      <c r="AD2028">
        <f>IF(D2028="","",N(AD2027)+IF(MATCH(D2028,$D$2:$D$2501,0)=ROW()-1,1,0))</f>
        <v/>
      </c>
    </row>
    <row r="2029">
      <c r="X2029" s="5">
        <f>IF(D2029="","",W2029*IF(AND(ISNUMBER(AB2029),AB2029&gt;0,AB2029&lt;1),AB2029*100,AB2029)/100)</f>
        <v/>
      </c>
      <c r="Y2029" s="5">
        <f>IF(D2029="","",AA2029*Z2029/100)</f>
        <v/>
      </c>
      <c r="Z2029" s="5">
        <f>IF(D2029="","",W2029-X2029)</f>
        <v/>
      </c>
      <c r="AC2029" s="5">
        <f>IF(D2029="","",Z2029-Y2029)</f>
        <v/>
      </c>
      <c r="AD2029">
        <f>IF(D2029="","",N(AD2028)+IF(MATCH(D2029,$D$2:$D$2501,0)=ROW()-1,1,0))</f>
        <v/>
      </c>
    </row>
    <row r="2030">
      <c r="X2030" s="5">
        <f>IF(D2030="","",W2030*IF(AND(ISNUMBER(AB2030),AB2030&gt;0,AB2030&lt;1),AB2030*100,AB2030)/100)</f>
        <v/>
      </c>
      <c r="Y2030" s="5">
        <f>IF(D2030="","",AA2030*Z2030/100)</f>
        <v/>
      </c>
      <c r="Z2030" s="5">
        <f>IF(D2030="","",W2030-X2030)</f>
        <v/>
      </c>
      <c r="AC2030" s="5">
        <f>IF(D2030="","",Z2030-Y2030)</f>
        <v/>
      </c>
      <c r="AD2030">
        <f>IF(D2030="","",N(AD2029)+IF(MATCH(D2030,$D$2:$D$2501,0)=ROW()-1,1,0))</f>
        <v/>
      </c>
    </row>
    <row r="2031">
      <c r="X2031" s="5">
        <f>IF(D2031="","",W2031*IF(AND(ISNUMBER(AB2031),AB2031&gt;0,AB2031&lt;1),AB2031*100,AB2031)/100)</f>
        <v/>
      </c>
      <c r="Y2031" s="5">
        <f>IF(D2031="","",AA2031*Z2031/100)</f>
        <v/>
      </c>
      <c r="Z2031" s="5">
        <f>IF(D2031="","",W2031-X2031)</f>
        <v/>
      </c>
      <c r="AC2031" s="5">
        <f>IF(D2031="","",Z2031-Y2031)</f>
        <v/>
      </c>
      <c r="AD2031">
        <f>IF(D2031="","",N(AD2030)+IF(MATCH(D2031,$D$2:$D$2501,0)=ROW()-1,1,0))</f>
        <v/>
      </c>
    </row>
    <row r="2032">
      <c r="X2032" s="5">
        <f>IF(D2032="","",W2032*IF(AND(ISNUMBER(AB2032),AB2032&gt;0,AB2032&lt;1),AB2032*100,AB2032)/100)</f>
        <v/>
      </c>
      <c r="Y2032" s="5">
        <f>IF(D2032="","",AA2032*Z2032/100)</f>
        <v/>
      </c>
      <c r="Z2032" s="5">
        <f>IF(D2032="","",W2032-X2032)</f>
        <v/>
      </c>
      <c r="AC2032" s="5">
        <f>IF(D2032="","",Z2032-Y2032)</f>
        <v/>
      </c>
      <c r="AD2032">
        <f>IF(D2032="","",N(AD2031)+IF(MATCH(D2032,$D$2:$D$2501,0)=ROW()-1,1,0))</f>
        <v/>
      </c>
    </row>
    <row r="2033">
      <c r="X2033" s="5">
        <f>IF(D2033="","",W2033*IF(AND(ISNUMBER(AB2033),AB2033&gt;0,AB2033&lt;1),AB2033*100,AB2033)/100)</f>
        <v/>
      </c>
      <c r="Y2033" s="5">
        <f>IF(D2033="","",AA2033*Z2033/100)</f>
        <v/>
      </c>
      <c r="Z2033" s="5">
        <f>IF(D2033="","",W2033-X2033)</f>
        <v/>
      </c>
      <c r="AC2033" s="5">
        <f>IF(D2033="","",Z2033-Y2033)</f>
        <v/>
      </c>
      <c r="AD2033">
        <f>IF(D2033="","",N(AD2032)+IF(MATCH(D2033,$D$2:$D$2501,0)=ROW()-1,1,0))</f>
        <v/>
      </c>
    </row>
    <row r="2034">
      <c r="X2034" s="5">
        <f>IF(D2034="","",W2034*IF(AND(ISNUMBER(AB2034),AB2034&gt;0,AB2034&lt;1),AB2034*100,AB2034)/100)</f>
        <v/>
      </c>
      <c r="Y2034" s="5">
        <f>IF(D2034="","",AA2034*Z2034/100)</f>
        <v/>
      </c>
      <c r="Z2034" s="5">
        <f>IF(D2034="","",W2034-X2034)</f>
        <v/>
      </c>
      <c r="AC2034" s="5">
        <f>IF(D2034="","",Z2034-Y2034)</f>
        <v/>
      </c>
      <c r="AD2034">
        <f>IF(D2034="","",N(AD2033)+IF(MATCH(D2034,$D$2:$D$2501,0)=ROW()-1,1,0))</f>
        <v/>
      </c>
    </row>
    <row r="2035">
      <c r="X2035" s="5">
        <f>IF(D2035="","",W2035*IF(AND(ISNUMBER(AB2035),AB2035&gt;0,AB2035&lt;1),AB2035*100,AB2035)/100)</f>
        <v/>
      </c>
      <c r="Y2035" s="5">
        <f>IF(D2035="","",AA2035*Z2035/100)</f>
        <v/>
      </c>
      <c r="Z2035" s="5">
        <f>IF(D2035="","",W2035-X2035)</f>
        <v/>
      </c>
      <c r="AC2035" s="5">
        <f>IF(D2035="","",Z2035-Y2035)</f>
        <v/>
      </c>
      <c r="AD2035">
        <f>IF(D2035="","",N(AD2034)+IF(MATCH(D2035,$D$2:$D$2501,0)=ROW()-1,1,0))</f>
        <v/>
      </c>
    </row>
    <row r="2036">
      <c r="X2036" s="5">
        <f>IF(D2036="","",W2036*IF(AND(ISNUMBER(AB2036),AB2036&gt;0,AB2036&lt;1),AB2036*100,AB2036)/100)</f>
        <v/>
      </c>
      <c r="Y2036" s="5">
        <f>IF(D2036="","",AA2036*Z2036/100)</f>
        <v/>
      </c>
      <c r="Z2036" s="5">
        <f>IF(D2036="","",W2036-X2036)</f>
        <v/>
      </c>
      <c r="AC2036" s="5">
        <f>IF(D2036="","",Z2036-Y2036)</f>
        <v/>
      </c>
      <c r="AD2036">
        <f>IF(D2036="","",N(AD2035)+IF(MATCH(D2036,$D$2:$D$2501,0)=ROW()-1,1,0))</f>
        <v/>
      </c>
    </row>
    <row r="2037">
      <c r="X2037" s="5">
        <f>IF(D2037="","",W2037*IF(AND(ISNUMBER(AB2037),AB2037&gt;0,AB2037&lt;1),AB2037*100,AB2037)/100)</f>
        <v/>
      </c>
      <c r="Y2037" s="5">
        <f>IF(D2037="","",AA2037*Z2037/100)</f>
        <v/>
      </c>
      <c r="Z2037" s="5">
        <f>IF(D2037="","",W2037-X2037)</f>
        <v/>
      </c>
      <c r="AC2037" s="5">
        <f>IF(D2037="","",Z2037-Y2037)</f>
        <v/>
      </c>
      <c r="AD2037">
        <f>IF(D2037="","",N(AD2036)+IF(MATCH(D2037,$D$2:$D$2501,0)=ROW()-1,1,0))</f>
        <v/>
      </c>
    </row>
    <row r="2038">
      <c r="X2038" s="5">
        <f>IF(D2038="","",W2038*IF(AND(ISNUMBER(AB2038),AB2038&gt;0,AB2038&lt;1),AB2038*100,AB2038)/100)</f>
        <v/>
      </c>
      <c r="Y2038" s="5">
        <f>IF(D2038="","",AA2038*Z2038/100)</f>
        <v/>
      </c>
      <c r="Z2038" s="5">
        <f>IF(D2038="","",W2038-X2038)</f>
        <v/>
      </c>
      <c r="AC2038" s="5">
        <f>IF(D2038="","",Z2038-Y2038)</f>
        <v/>
      </c>
      <c r="AD2038">
        <f>IF(D2038="","",N(AD2037)+IF(MATCH(D2038,$D$2:$D$2501,0)=ROW()-1,1,0))</f>
        <v/>
      </c>
    </row>
    <row r="2039">
      <c r="X2039" s="5">
        <f>IF(D2039="","",W2039*IF(AND(ISNUMBER(AB2039),AB2039&gt;0,AB2039&lt;1),AB2039*100,AB2039)/100)</f>
        <v/>
      </c>
      <c r="Y2039" s="5">
        <f>IF(D2039="","",AA2039*Z2039/100)</f>
        <v/>
      </c>
      <c r="Z2039" s="5">
        <f>IF(D2039="","",W2039-X2039)</f>
        <v/>
      </c>
      <c r="AC2039" s="5">
        <f>IF(D2039="","",Z2039-Y2039)</f>
        <v/>
      </c>
      <c r="AD2039">
        <f>IF(D2039="","",N(AD2038)+IF(MATCH(D2039,$D$2:$D$2501,0)=ROW()-1,1,0))</f>
        <v/>
      </c>
    </row>
    <row r="2040">
      <c r="X2040" s="5">
        <f>IF(D2040="","",W2040*IF(AND(ISNUMBER(AB2040),AB2040&gt;0,AB2040&lt;1),AB2040*100,AB2040)/100)</f>
        <v/>
      </c>
      <c r="Y2040" s="5">
        <f>IF(D2040="","",AA2040*Z2040/100)</f>
        <v/>
      </c>
      <c r="Z2040" s="5">
        <f>IF(D2040="","",W2040-X2040)</f>
        <v/>
      </c>
      <c r="AC2040" s="5">
        <f>IF(D2040="","",Z2040-Y2040)</f>
        <v/>
      </c>
      <c r="AD2040">
        <f>IF(D2040="","",N(AD2039)+IF(MATCH(D2040,$D$2:$D$2501,0)=ROW()-1,1,0))</f>
        <v/>
      </c>
    </row>
    <row r="2041">
      <c r="X2041" s="5">
        <f>IF(D2041="","",W2041*IF(AND(ISNUMBER(AB2041),AB2041&gt;0,AB2041&lt;1),AB2041*100,AB2041)/100)</f>
        <v/>
      </c>
      <c r="Y2041" s="5">
        <f>IF(D2041="","",AA2041*Z2041/100)</f>
        <v/>
      </c>
      <c r="Z2041" s="5">
        <f>IF(D2041="","",W2041-X2041)</f>
        <v/>
      </c>
      <c r="AC2041" s="5">
        <f>IF(D2041="","",Z2041-Y2041)</f>
        <v/>
      </c>
      <c r="AD2041">
        <f>IF(D2041="","",N(AD2040)+IF(MATCH(D2041,$D$2:$D$2501,0)=ROW()-1,1,0))</f>
        <v/>
      </c>
    </row>
    <row r="2042">
      <c r="X2042" s="5">
        <f>IF(D2042="","",W2042*IF(AND(ISNUMBER(AB2042),AB2042&gt;0,AB2042&lt;1),AB2042*100,AB2042)/100)</f>
        <v/>
      </c>
      <c r="Y2042" s="5">
        <f>IF(D2042="","",AA2042*Z2042/100)</f>
        <v/>
      </c>
      <c r="Z2042" s="5">
        <f>IF(D2042="","",W2042-X2042)</f>
        <v/>
      </c>
      <c r="AC2042" s="5">
        <f>IF(D2042="","",Z2042-Y2042)</f>
        <v/>
      </c>
      <c r="AD2042">
        <f>IF(D2042="","",N(AD2041)+IF(MATCH(D2042,$D$2:$D$2501,0)=ROW()-1,1,0))</f>
        <v/>
      </c>
    </row>
    <row r="2043">
      <c r="X2043" s="5">
        <f>IF(D2043="","",W2043*IF(AND(ISNUMBER(AB2043),AB2043&gt;0,AB2043&lt;1),AB2043*100,AB2043)/100)</f>
        <v/>
      </c>
      <c r="Y2043" s="5">
        <f>IF(D2043="","",AA2043*Z2043/100)</f>
        <v/>
      </c>
      <c r="Z2043" s="5">
        <f>IF(D2043="","",W2043-X2043)</f>
        <v/>
      </c>
      <c r="AC2043" s="5">
        <f>IF(D2043="","",Z2043-Y2043)</f>
        <v/>
      </c>
      <c r="AD2043">
        <f>IF(D2043="","",N(AD2042)+IF(MATCH(D2043,$D$2:$D$2501,0)=ROW()-1,1,0))</f>
        <v/>
      </c>
    </row>
    <row r="2044">
      <c r="X2044" s="5">
        <f>IF(D2044="","",W2044*IF(AND(ISNUMBER(AB2044),AB2044&gt;0,AB2044&lt;1),AB2044*100,AB2044)/100)</f>
        <v/>
      </c>
      <c r="Y2044" s="5">
        <f>IF(D2044="","",AA2044*Z2044/100)</f>
        <v/>
      </c>
      <c r="Z2044" s="5">
        <f>IF(D2044="","",W2044-X2044)</f>
        <v/>
      </c>
      <c r="AC2044" s="5">
        <f>IF(D2044="","",Z2044-Y2044)</f>
        <v/>
      </c>
      <c r="AD2044">
        <f>IF(D2044="","",N(AD2043)+IF(MATCH(D2044,$D$2:$D$2501,0)=ROW()-1,1,0))</f>
        <v/>
      </c>
    </row>
    <row r="2045">
      <c r="X2045" s="5">
        <f>IF(D2045="","",W2045*IF(AND(ISNUMBER(AB2045),AB2045&gt;0,AB2045&lt;1),AB2045*100,AB2045)/100)</f>
        <v/>
      </c>
      <c r="Y2045" s="5">
        <f>IF(D2045="","",AA2045*Z2045/100)</f>
        <v/>
      </c>
      <c r="Z2045" s="5">
        <f>IF(D2045="","",W2045-X2045)</f>
        <v/>
      </c>
      <c r="AC2045" s="5">
        <f>IF(D2045="","",Z2045-Y2045)</f>
        <v/>
      </c>
      <c r="AD2045">
        <f>IF(D2045="","",N(AD2044)+IF(MATCH(D2045,$D$2:$D$2501,0)=ROW()-1,1,0))</f>
        <v/>
      </c>
    </row>
    <row r="2046">
      <c r="X2046" s="5">
        <f>IF(D2046="","",W2046*IF(AND(ISNUMBER(AB2046),AB2046&gt;0,AB2046&lt;1),AB2046*100,AB2046)/100)</f>
        <v/>
      </c>
      <c r="Y2046" s="5">
        <f>IF(D2046="","",AA2046*Z2046/100)</f>
        <v/>
      </c>
      <c r="Z2046" s="5">
        <f>IF(D2046="","",W2046-X2046)</f>
        <v/>
      </c>
      <c r="AC2046" s="5">
        <f>IF(D2046="","",Z2046-Y2046)</f>
        <v/>
      </c>
      <c r="AD2046">
        <f>IF(D2046="","",N(AD2045)+IF(MATCH(D2046,$D$2:$D$2501,0)=ROW()-1,1,0))</f>
        <v/>
      </c>
    </row>
    <row r="2047">
      <c r="X2047" s="5">
        <f>IF(D2047="","",W2047*IF(AND(ISNUMBER(AB2047),AB2047&gt;0,AB2047&lt;1),AB2047*100,AB2047)/100)</f>
        <v/>
      </c>
      <c r="Y2047" s="5">
        <f>IF(D2047="","",AA2047*Z2047/100)</f>
        <v/>
      </c>
      <c r="Z2047" s="5">
        <f>IF(D2047="","",W2047-X2047)</f>
        <v/>
      </c>
      <c r="AC2047" s="5">
        <f>IF(D2047="","",Z2047-Y2047)</f>
        <v/>
      </c>
      <c r="AD2047">
        <f>IF(D2047="","",N(AD2046)+IF(MATCH(D2047,$D$2:$D$2501,0)=ROW()-1,1,0))</f>
        <v/>
      </c>
    </row>
    <row r="2048">
      <c r="X2048" s="5">
        <f>IF(D2048="","",W2048*IF(AND(ISNUMBER(AB2048),AB2048&gt;0,AB2048&lt;1),AB2048*100,AB2048)/100)</f>
        <v/>
      </c>
      <c r="Y2048" s="5">
        <f>IF(D2048="","",AA2048*Z2048/100)</f>
        <v/>
      </c>
      <c r="Z2048" s="5">
        <f>IF(D2048="","",W2048-X2048)</f>
        <v/>
      </c>
      <c r="AC2048" s="5">
        <f>IF(D2048="","",Z2048-Y2048)</f>
        <v/>
      </c>
      <c r="AD2048">
        <f>IF(D2048="","",N(AD2047)+IF(MATCH(D2048,$D$2:$D$2501,0)=ROW()-1,1,0))</f>
        <v/>
      </c>
    </row>
    <row r="2049">
      <c r="X2049" s="5">
        <f>IF(D2049="","",W2049*IF(AND(ISNUMBER(AB2049),AB2049&gt;0,AB2049&lt;1),AB2049*100,AB2049)/100)</f>
        <v/>
      </c>
      <c r="Y2049" s="5">
        <f>IF(D2049="","",AA2049*Z2049/100)</f>
        <v/>
      </c>
      <c r="Z2049" s="5">
        <f>IF(D2049="","",W2049-X2049)</f>
        <v/>
      </c>
      <c r="AC2049" s="5">
        <f>IF(D2049="","",Z2049-Y2049)</f>
        <v/>
      </c>
      <c r="AD2049">
        <f>IF(D2049="","",N(AD2048)+IF(MATCH(D2049,$D$2:$D$2501,0)=ROW()-1,1,0))</f>
        <v/>
      </c>
    </row>
    <row r="2050">
      <c r="X2050" s="5">
        <f>IF(D2050="","",W2050*IF(AND(ISNUMBER(AB2050),AB2050&gt;0,AB2050&lt;1),AB2050*100,AB2050)/100)</f>
        <v/>
      </c>
      <c r="Y2050" s="5">
        <f>IF(D2050="","",AA2050*Z2050/100)</f>
        <v/>
      </c>
      <c r="Z2050" s="5">
        <f>IF(D2050="","",W2050-X2050)</f>
        <v/>
      </c>
      <c r="AC2050" s="5">
        <f>IF(D2050="","",Z2050-Y2050)</f>
        <v/>
      </c>
      <c r="AD2050">
        <f>IF(D2050="","",N(AD2049)+IF(MATCH(D2050,$D$2:$D$2501,0)=ROW()-1,1,0))</f>
        <v/>
      </c>
    </row>
    <row r="2051">
      <c r="X2051" s="5">
        <f>IF(D2051="","",W2051*IF(AND(ISNUMBER(AB2051),AB2051&gt;0,AB2051&lt;1),AB2051*100,AB2051)/100)</f>
        <v/>
      </c>
      <c r="Y2051" s="5">
        <f>IF(D2051="","",AA2051*Z2051/100)</f>
        <v/>
      </c>
      <c r="Z2051" s="5">
        <f>IF(D2051="","",W2051-X2051)</f>
        <v/>
      </c>
      <c r="AC2051" s="5">
        <f>IF(D2051="","",Z2051-Y2051)</f>
        <v/>
      </c>
      <c r="AD2051">
        <f>IF(D2051="","",N(AD2050)+IF(MATCH(D2051,$D$2:$D$2501,0)=ROW()-1,1,0))</f>
        <v/>
      </c>
    </row>
    <row r="2052">
      <c r="X2052" s="5">
        <f>IF(D2052="","",W2052*IF(AND(ISNUMBER(AB2052),AB2052&gt;0,AB2052&lt;1),AB2052*100,AB2052)/100)</f>
        <v/>
      </c>
      <c r="Y2052" s="5">
        <f>IF(D2052="","",AA2052*Z2052/100)</f>
        <v/>
      </c>
      <c r="Z2052" s="5">
        <f>IF(D2052="","",W2052-X2052)</f>
        <v/>
      </c>
      <c r="AC2052" s="5">
        <f>IF(D2052="","",Z2052-Y2052)</f>
        <v/>
      </c>
      <c r="AD2052">
        <f>IF(D2052="","",N(AD2051)+IF(MATCH(D2052,$D$2:$D$2501,0)=ROW()-1,1,0))</f>
        <v/>
      </c>
    </row>
    <row r="2053">
      <c r="X2053" s="5">
        <f>IF(D2053="","",W2053*IF(AND(ISNUMBER(AB2053),AB2053&gt;0,AB2053&lt;1),AB2053*100,AB2053)/100)</f>
        <v/>
      </c>
      <c r="Y2053" s="5">
        <f>IF(D2053="","",AA2053*Z2053/100)</f>
        <v/>
      </c>
      <c r="Z2053" s="5">
        <f>IF(D2053="","",W2053-X2053)</f>
        <v/>
      </c>
      <c r="AC2053" s="5">
        <f>IF(D2053="","",Z2053-Y2053)</f>
        <v/>
      </c>
      <c r="AD2053">
        <f>IF(D2053="","",N(AD2052)+IF(MATCH(D2053,$D$2:$D$2501,0)=ROW()-1,1,0))</f>
        <v/>
      </c>
    </row>
    <row r="2054">
      <c r="X2054" s="5">
        <f>IF(D2054="","",W2054*IF(AND(ISNUMBER(AB2054),AB2054&gt;0,AB2054&lt;1),AB2054*100,AB2054)/100)</f>
        <v/>
      </c>
      <c r="Y2054" s="5">
        <f>IF(D2054="","",AA2054*Z2054/100)</f>
        <v/>
      </c>
      <c r="Z2054" s="5">
        <f>IF(D2054="","",W2054-X2054)</f>
        <v/>
      </c>
      <c r="AC2054" s="5">
        <f>IF(D2054="","",Z2054-Y2054)</f>
        <v/>
      </c>
      <c r="AD2054">
        <f>IF(D2054="","",N(AD2053)+IF(MATCH(D2054,$D$2:$D$2501,0)=ROW()-1,1,0))</f>
        <v/>
      </c>
    </row>
    <row r="2055">
      <c r="X2055" s="5">
        <f>IF(D2055="","",W2055*IF(AND(ISNUMBER(AB2055),AB2055&gt;0,AB2055&lt;1),AB2055*100,AB2055)/100)</f>
        <v/>
      </c>
      <c r="Y2055" s="5">
        <f>IF(D2055="","",AA2055*Z2055/100)</f>
        <v/>
      </c>
      <c r="Z2055" s="5">
        <f>IF(D2055="","",W2055-X2055)</f>
        <v/>
      </c>
      <c r="AC2055" s="5">
        <f>IF(D2055="","",Z2055-Y2055)</f>
        <v/>
      </c>
      <c r="AD2055">
        <f>IF(D2055="","",N(AD2054)+IF(MATCH(D2055,$D$2:$D$2501,0)=ROW()-1,1,0))</f>
        <v/>
      </c>
    </row>
    <row r="2056">
      <c r="X2056" s="5">
        <f>IF(D2056="","",W2056*IF(AND(ISNUMBER(AB2056),AB2056&gt;0,AB2056&lt;1),AB2056*100,AB2056)/100)</f>
        <v/>
      </c>
      <c r="Y2056" s="5">
        <f>IF(D2056="","",AA2056*Z2056/100)</f>
        <v/>
      </c>
      <c r="Z2056" s="5">
        <f>IF(D2056="","",W2056-X2056)</f>
        <v/>
      </c>
      <c r="AC2056" s="5">
        <f>IF(D2056="","",Z2056-Y2056)</f>
        <v/>
      </c>
      <c r="AD2056">
        <f>IF(D2056="","",N(AD2055)+IF(MATCH(D2056,$D$2:$D$2501,0)=ROW()-1,1,0))</f>
        <v/>
      </c>
    </row>
    <row r="2057">
      <c r="X2057" s="5">
        <f>IF(D2057="","",W2057*IF(AND(ISNUMBER(AB2057),AB2057&gt;0,AB2057&lt;1),AB2057*100,AB2057)/100)</f>
        <v/>
      </c>
      <c r="Y2057" s="5">
        <f>IF(D2057="","",AA2057*Z2057/100)</f>
        <v/>
      </c>
      <c r="Z2057" s="5">
        <f>IF(D2057="","",W2057-X2057)</f>
        <v/>
      </c>
      <c r="AC2057" s="5">
        <f>IF(D2057="","",Z2057-Y2057)</f>
        <v/>
      </c>
      <c r="AD2057">
        <f>IF(D2057="","",N(AD2056)+IF(MATCH(D2057,$D$2:$D$2501,0)=ROW()-1,1,0))</f>
        <v/>
      </c>
    </row>
    <row r="2058">
      <c r="X2058" s="5">
        <f>IF(D2058="","",W2058*IF(AND(ISNUMBER(AB2058),AB2058&gt;0,AB2058&lt;1),AB2058*100,AB2058)/100)</f>
        <v/>
      </c>
      <c r="Y2058" s="5">
        <f>IF(D2058="","",AA2058*Z2058/100)</f>
        <v/>
      </c>
      <c r="Z2058" s="5">
        <f>IF(D2058="","",W2058-X2058)</f>
        <v/>
      </c>
      <c r="AC2058" s="5">
        <f>IF(D2058="","",Z2058-Y2058)</f>
        <v/>
      </c>
      <c r="AD2058">
        <f>IF(D2058="","",N(AD2057)+IF(MATCH(D2058,$D$2:$D$2501,0)=ROW()-1,1,0))</f>
        <v/>
      </c>
    </row>
    <row r="2059">
      <c r="X2059" s="5">
        <f>IF(D2059="","",W2059*IF(AND(ISNUMBER(AB2059),AB2059&gt;0,AB2059&lt;1),AB2059*100,AB2059)/100)</f>
        <v/>
      </c>
      <c r="Y2059" s="5">
        <f>IF(D2059="","",AA2059*Z2059/100)</f>
        <v/>
      </c>
      <c r="Z2059" s="5">
        <f>IF(D2059="","",W2059-X2059)</f>
        <v/>
      </c>
      <c r="AC2059" s="5">
        <f>IF(D2059="","",Z2059-Y2059)</f>
        <v/>
      </c>
      <c r="AD2059">
        <f>IF(D2059="","",N(AD2058)+IF(MATCH(D2059,$D$2:$D$2501,0)=ROW()-1,1,0))</f>
        <v/>
      </c>
    </row>
    <row r="2060">
      <c r="X2060" s="5">
        <f>IF(D2060="","",W2060*IF(AND(ISNUMBER(AB2060),AB2060&gt;0,AB2060&lt;1),AB2060*100,AB2060)/100)</f>
        <v/>
      </c>
      <c r="Y2060" s="5">
        <f>IF(D2060="","",AA2060*Z2060/100)</f>
        <v/>
      </c>
      <c r="Z2060" s="5">
        <f>IF(D2060="","",W2060-X2060)</f>
        <v/>
      </c>
      <c r="AC2060" s="5">
        <f>IF(D2060="","",Z2060-Y2060)</f>
        <v/>
      </c>
      <c r="AD2060">
        <f>IF(D2060="","",N(AD2059)+IF(MATCH(D2060,$D$2:$D$2501,0)=ROW()-1,1,0))</f>
        <v/>
      </c>
    </row>
    <row r="2061">
      <c r="X2061" s="5">
        <f>IF(D2061="","",W2061*IF(AND(ISNUMBER(AB2061),AB2061&gt;0,AB2061&lt;1),AB2061*100,AB2061)/100)</f>
        <v/>
      </c>
      <c r="Y2061" s="5">
        <f>IF(D2061="","",AA2061*Z2061/100)</f>
        <v/>
      </c>
      <c r="Z2061" s="5">
        <f>IF(D2061="","",W2061-X2061)</f>
        <v/>
      </c>
      <c r="AC2061" s="5">
        <f>IF(D2061="","",Z2061-Y2061)</f>
        <v/>
      </c>
      <c r="AD2061">
        <f>IF(D2061="","",N(AD2060)+IF(MATCH(D2061,$D$2:$D$2501,0)=ROW()-1,1,0))</f>
        <v/>
      </c>
    </row>
    <row r="2062">
      <c r="X2062" s="5">
        <f>IF(D2062="","",W2062*IF(AND(ISNUMBER(AB2062),AB2062&gt;0,AB2062&lt;1),AB2062*100,AB2062)/100)</f>
        <v/>
      </c>
      <c r="Y2062" s="5">
        <f>IF(D2062="","",AA2062*Z2062/100)</f>
        <v/>
      </c>
      <c r="Z2062" s="5">
        <f>IF(D2062="","",W2062-X2062)</f>
        <v/>
      </c>
      <c r="AC2062" s="5">
        <f>IF(D2062="","",Z2062-Y2062)</f>
        <v/>
      </c>
      <c r="AD2062">
        <f>IF(D2062="","",N(AD2061)+IF(MATCH(D2062,$D$2:$D$2501,0)=ROW()-1,1,0))</f>
        <v/>
      </c>
    </row>
    <row r="2063">
      <c r="X2063" s="5">
        <f>IF(D2063="","",W2063*IF(AND(ISNUMBER(AB2063),AB2063&gt;0,AB2063&lt;1),AB2063*100,AB2063)/100)</f>
        <v/>
      </c>
      <c r="Y2063" s="5">
        <f>IF(D2063="","",AA2063*Z2063/100)</f>
        <v/>
      </c>
      <c r="Z2063" s="5">
        <f>IF(D2063="","",W2063-X2063)</f>
        <v/>
      </c>
      <c r="AC2063" s="5">
        <f>IF(D2063="","",Z2063-Y2063)</f>
        <v/>
      </c>
      <c r="AD2063">
        <f>IF(D2063="","",N(AD2062)+IF(MATCH(D2063,$D$2:$D$2501,0)=ROW()-1,1,0))</f>
        <v/>
      </c>
    </row>
    <row r="2064">
      <c r="X2064" s="5">
        <f>IF(D2064="","",W2064*IF(AND(ISNUMBER(AB2064),AB2064&gt;0,AB2064&lt;1),AB2064*100,AB2064)/100)</f>
        <v/>
      </c>
      <c r="Y2064" s="5">
        <f>IF(D2064="","",AA2064*Z2064/100)</f>
        <v/>
      </c>
      <c r="Z2064" s="5">
        <f>IF(D2064="","",W2064-X2064)</f>
        <v/>
      </c>
      <c r="AC2064" s="5">
        <f>IF(D2064="","",Z2064-Y2064)</f>
        <v/>
      </c>
      <c r="AD2064">
        <f>IF(D2064="","",N(AD2063)+IF(MATCH(D2064,$D$2:$D$2501,0)=ROW()-1,1,0))</f>
        <v/>
      </c>
    </row>
    <row r="2065">
      <c r="X2065" s="5">
        <f>IF(D2065="","",W2065*IF(AND(ISNUMBER(AB2065),AB2065&gt;0,AB2065&lt;1),AB2065*100,AB2065)/100)</f>
        <v/>
      </c>
      <c r="Y2065" s="5">
        <f>IF(D2065="","",AA2065*Z2065/100)</f>
        <v/>
      </c>
      <c r="Z2065" s="5">
        <f>IF(D2065="","",W2065-X2065)</f>
        <v/>
      </c>
      <c r="AC2065" s="5">
        <f>IF(D2065="","",Z2065-Y2065)</f>
        <v/>
      </c>
      <c r="AD2065">
        <f>IF(D2065="","",N(AD2064)+IF(MATCH(D2065,$D$2:$D$2501,0)=ROW()-1,1,0))</f>
        <v/>
      </c>
    </row>
    <row r="2066">
      <c r="X2066" s="5">
        <f>IF(D2066="","",W2066*IF(AND(ISNUMBER(AB2066),AB2066&gt;0,AB2066&lt;1),AB2066*100,AB2066)/100)</f>
        <v/>
      </c>
      <c r="Y2066" s="5">
        <f>IF(D2066="","",AA2066*Z2066/100)</f>
        <v/>
      </c>
      <c r="Z2066" s="5">
        <f>IF(D2066="","",W2066-X2066)</f>
        <v/>
      </c>
      <c r="AC2066" s="5">
        <f>IF(D2066="","",Z2066-Y2066)</f>
        <v/>
      </c>
      <c r="AD2066">
        <f>IF(D2066="","",N(AD2065)+IF(MATCH(D2066,$D$2:$D$2501,0)=ROW()-1,1,0))</f>
        <v/>
      </c>
    </row>
    <row r="2067">
      <c r="X2067" s="5">
        <f>IF(D2067="","",W2067*IF(AND(ISNUMBER(AB2067),AB2067&gt;0,AB2067&lt;1),AB2067*100,AB2067)/100)</f>
        <v/>
      </c>
      <c r="Y2067" s="5">
        <f>IF(D2067="","",AA2067*Z2067/100)</f>
        <v/>
      </c>
      <c r="Z2067" s="5">
        <f>IF(D2067="","",W2067-X2067)</f>
        <v/>
      </c>
      <c r="AC2067" s="5">
        <f>IF(D2067="","",Z2067-Y2067)</f>
        <v/>
      </c>
      <c r="AD2067">
        <f>IF(D2067="","",N(AD2066)+IF(MATCH(D2067,$D$2:$D$2501,0)=ROW()-1,1,0))</f>
        <v/>
      </c>
    </row>
    <row r="2068">
      <c r="X2068" s="5">
        <f>IF(D2068="","",W2068*IF(AND(ISNUMBER(AB2068),AB2068&gt;0,AB2068&lt;1),AB2068*100,AB2068)/100)</f>
        <v/>
      </c>
      <c r="Y2068" s="5">
        <f>IF(D2068="","",AA2068*Z2068/100)</f>
        <v/>
      </c>
      <c r="Z2068" s="5">
        <f>IF(D2068="","",W2068-X2068)</f>
        <v/>
      </c>
      <c r="AC2068" s="5">
        <f>IF(D2068="","",Z2068-Y2068)</f>
        <v/>
      </c>
      <c r="AD2068">
        <f>IF(D2068="","",N(AD2067)+IF(MATCH(D2068,$D$2:$D$2501,0)=ROW()-1,1,0))</f>
        <v/>
      </c>
    </row>
    <row r="2069">
      <c r="X2069" s="5">
        <f>IF(D2069="","",W2069*IF(AND(ISNUMBER(AB2069),AB2069&gt;0,AB2069&lt;1),AB2069*100,AB2069)/100)</f>
        <v/>
      </c>
      <c r="Y2069" s="5">
        <f>IF(D2069="","",AA2069*Z2069/100)</f>
        <v/>
      </c>
      <c r="Z2069" s="5">
        <f>IF(D2069="","",W2069-X2069)</f>
        <v/>
      </c>
      <c r="AC2069" s="5">
        <f>IF(D2069="","",Z2069-Y2069)</f>
        <v/>
      </c>
      <c r="AD2069">
        <f>IF(D2069="","",N(AD2068)+IF(MATCH(D2069,$D$2:$D$2501,0)=ROW()-1,1,0))</f>
        <v/>
      </c>
    </row>
    <row r="2070">
      <c r="X2070" s="5">
        <f>IF(D2070="","",W2070*IF(AND(ISNUMBER(AB2070),AB2070&gt;0,AB2070&lt;1),AB2070*100,AB2070)/100)</f>
        <v/>
      </c>
      <c r="Y2070" s="5">
        <f>IF(D2070="","",AA2070*Z2070/100)</f>
        <v/>
      </c>
      <c r="Z2070" s="5">
        <f>IF(D2070="","",W2070-X2070)</f>
        <v/>
      </c>
      <c r="AC2070" s="5">
        <f>IF(D2070="","",Z2070-Y2070)</f>
        <v/>
      </c>
      <c r="AD2070">
        <f>IF(D2070="","",N(AD2069)+IF(MATCH(D2070,$D$2:$D$2501,0)=ROW()-1,1,0))</f>
        <v/>
      </c>
    </row>
    <row r="2071">
      <c r="X2071" s="5">
        <f>IF(D2071="","",W2071*IF(AND(ISNUMBER(AB2071),AB2071&gt;0,AB2071&lt;1),AB2071*100,AB2071)/100)</f>
        <v/>
      </c>
      <c r="Y2071" s="5">
        <f>IF(D2071="","",AA2071*Z2071/100)</f>
        <v/>
      </c>
      <c r="Z2071" s="5">
        <f>IF(D2071="","",W2071-X2071)</f>
        <v/>
      </c>
      <c r="AC2071" s="5">
        <f>IF(D2071="","",Z2071-Y2071)</f>
        <v/>
      </c>
      <c r="AD2071">
        <f>IF(D2071="","",N(AD2070)+IF(MATCH(D2071,$D$2:$D$2501,0)=ROW()-1,1,0))</f>
        <v/>
      </c>
    </row>
    <row r="2072">
      <c r="X2072" s="5">
        <f>IF(D2072="","",W2072*IF(AND(ISNUMBER(AB2072),AB2072&gt;0,AB2072&lt;1),AB2072*100,AB2072)/100)</f>
        <v/>
      </c>
      <c r="Y2072" s="5">
        <f>IF(D2072="","",AA2072*Z2072/100)</f>
        <v/>
      </c>
      <c r="Z2072" s="5">
        <f>IF(D2072="","",W2072-X2072)</f>
        <v/>
      </c>
      <c r="AC2072" s="5">
        <f>IF(D2072="","",Z2072-Y2072)</f>
        <v/>
      </c>
      <c r="AD2072">
        <f>IF(D2072="","",N(AD2071)+IF(MATCH(D2072,$D$2:$D$2501,0)=ROW()-1,1,0))</f>
        <v/>
      </c>
    </row>
    <row r="2073">
      <c r="X2073" s="5">
        <f>IF(D2073="","",W2073*IF(AND(ISNUMBER(AB2073),AB2073&gt;0,AB2073&lt;1),AB2073*100,AB2073)/100)</f>
        <v/>
      </c>
      <c r="Y2073" s="5">
        <f>IF(D2073="","",AA2073*Z2073/100)</f>
        <v/>
      </c>
      <c r="Z2073" s="5">
        <f>IF(D2073="","",W2073-X2073)</f>
        <v/>
      </c>
      <c r="AC2073" s="5">
        <f>IF(D2073="","",Z2073-Y2073)</f>
        <v/>
      </c>
      <c r="AD2073">
        <f>IF(D2073="","",N(AD2072)+IF(MATCH(D2073,$D$2:$D$2501,0)=ROW()-1,1,0))</f>
        <v/>
      </c>
    </row>
    <row r="2074">
      <c r="X2074" s="5">
        <f>IF(D2074="","",W2074*IF(AND(ISNUMBER(AB2074),AB2074&gt;0,AB2074&lt;1),AB2074*100,AB2074)/100)</f>
        <v/>
      </c>
      <c r="Y2074" s="5">
        <f>IF(D2074="","",AA2074*Z2074/100)</f>
        <v/>
      </c>
      <c r="Z2074" s="5">
        <f>IF(D2074="","",W2074-X2074)</f>
        <v/>
      </c>
      <c r="AC2074" s="5">
        <f>IF(D2074="","",Z2074-Y2074)</f>
        <v/>
      </c>
      <c r="AD2074">
        <f>IF(D2074="","",N(AD2073)+IF(MATCH(D2074,$D$2:$D$2501,0)=ROW()-1,1,0))</f>
        <v/>
      </c>
    </row>
    <row r="2075">
      <c r="X2075" s="5">
        <f>IF(D2075="","",W2075*IF(AND(ISNUMBER(AB2075),AB2075&gt;0,AB2075&lt;1),AB2075*100,AB2075)/100)</f>
        <v/>
      </c>
      <c r="Y2075" s="5">
        <f>IF(D2075="","",AA2075*Z2075/100)</f>
        <v/>
      </c>
      <c r="Z2075" s="5">
        <f>IF(D2075="","",W2075-X2075)</f>
        <v/>
      </c>
      <c r="AC2075" s="5">
        <f>IF(D2075="","",Z2075-Y2075)</f>
        <v/>
      </c>
      <c r="AD2075">
        <f>IF(D2075="","",N(AD2074)+IF(MATCH(D2075,$D$2:$D$2501,0)=ROW()-1,1,0))</f>
        <v/>
      </c>
    </row>
    <row r="2076">
      <c r="X2076" s="5">
        <f>IF(D2076="","",W2076*IF(AND(ISNUMBER(AB2076),AB2076&gt;0,AB2076&lt;1),AB2076*100,AB2076)/100)</f>
        <v/>
      </c>
      <c r="Y2076" s="5">
        <f>IF(D2076="","",AA2076*Z2076/100)</f>
        <v/>
      </c>
      <c r="Z2076" s="5">
        <f>IF(D2076="","",W2076-X2076)</f>
        <v/>
      </c>
      <c r="AC2076" s="5">
        <f>IF(D2076="","",Z2076-Y2076)</f>
        <v/>
      </c>
      <c r="AD2076">
        <f>IF(D2076="","",N(AD2075)+IF(MATCH(D2076,$D$2:$D$2501,0)=ROW()-1,1,0))</f>
        <v/>
      </c>
    </row>
    <row r="2077">
      <c r="X2077" s="5">
        <f>IF(D2077="","",W2077*IF(AND(ISNUMBER(AB2077),AB2077&gt;0,AB2077&lt;1),AB2077*100,AB2077)/100)</f>
        <v/>
      </c>
      <c r="Y2077" s="5">
        <f>IF(D2077="","",AA2077*Z2077/100)</f>
        <v/>
      </c>
      <c r="Z2077" s="5">
        <f>IF(D2077="","",W2077-X2077)</f>
        <v/>
      </c>
      <c r="AC2077" s="5">
        <f>IF(D2077="","",Z2077-Y2077)</f>
        <v/>
      </c>
      <c r="AD2077">
        <f>IF(D2077="","",N(AD2076)+IF(MATCH(D2077,$D$2:$D$2501,0)=ROW()-1,1,0))</f>
        <v/>
      </c>
    </row>
    <row r="2078">
      <c r="X2078" s="5">
        <f>IF(D2078="","",W2078*IF(AND(ISNUMBER(AB2078),AB2078&gt;0,AB2078&lt;1),AB2078*100,AB2078)/100)</f>
        <v/>
      </c>
      <c r="Y2078" s="5">
        <f>IF(D2078="","",AA2078*Z2078/100)</f>
        <v/>
      </c>
      <c r="Z2078" s="5">
        <f>IF(D2078="","",W2078-X2078)</f>
        <v/>
      </c>
      <c r="AC2078" s="5">
        <f>IF(D2078="","",Z2078-Y2078)</f>
        <v/>
      </c>
      <c r="AD2078">
        <f>IF(D2078="","",N(AD2077)+IF(MATCH(D2078,$D$2:$D$2501,0)=ROW()-1,1,0))</f>
        <v/>
      </c>
    </row>
    <row r="2079">
      <c r="X2079" s="5">
        <f>IF(D2079="","",W2079*IF(AND(ISNUMBER(AB2079),AB2079&gt;0,AB2079&lt;1),AB2079*100,AB2079)/100)</f>
        <v/>
      </c>
      <c r="Y2079" s="5">
        <f>IF(D2079="","",AA2079*Z2079/100)</f>
        <v/>
      </c>
      <c r="Z2079" s="5">
        <f>IF(D2079="","",W2079-X2079)</f>
        <v/>
      </c>
      <c r="AC2079" s="5">
        <f>IF(D2079="","",Z2079-Y2079)</f>
        <v/>
      </c>
      <c r="AD2079">
        <f>IF(D2079="","",N(AD2078)+IF(MATCH(D2079,$D$2:$D$2501,0)=ROW()-1,1,0))</f>
        <v/>
      </c>
    </row>
    <row r="2080">
      <c r="X2080" s="5">
        <f>IF(D2080="","",W2080*IF(AND(ISNUMBER(AB2080),AB2080&gt;0,AB2080&lt;1),AB2080*100,AB2080)/100)</f>
        <v/>
      </c>
      <c r="Y2080" s="5">
        <f>IF(D2080="","",AA2080*Z2080/100)</f>
        <v/>
      </c>
      <c r="Z2080" s="5">
        <f>IF(D2080="","",W2080-X2080)</f>
        <v/>
      </c>
      <c r="AC2080" s="5">
        <f>IF(D2080="","",Z2080-Y2080)</f>
        <v/>
      </c>
      <c r="AD2080">
        <f>IF(D2080="","",N(AD2079)+IF(MATCH(D2080,$D$2:$D$2501,0)=ROW()-1,1,0))</f>
        <v/>
      </c>
    </row>
    <row r="2081">
      <c r="X2081" s="5">
        <f>IF(D2081="","",W2081*IF(AND(ISNUMBER(AB2081),AB2081&gt;0,AB2081&lt;1),AB2081*100,AB2081)/100)</f>
        <v/>
      </c>
      <c r="Y2081" s="5">
        <f>IF(D2081="","",AA2081*Z2081/100)</f>
        <v/>
      </c>
      <c r="Z2081" s="5">
        <f>IF(D2081="","",W2081-X2081)</f>
        <v/>
      </c>
      <c r="AC2081" s="5">
        <f>IF(D2081="","",Z2081-Y2081)</f>
        <v/>
      </c>
      <c r="AD2081">
        <f>IF(D2081="","",N(AD2080)+IF(MATCH(D2081,$D$2:$D$2501,0)=ROW()-1,1,0))</f>
        <v/>
      </c>
    </row>
    <row r="2082">
      <c r="X2082" s="5">
        <f>IF(D2082="","",W2082*IF(AND(ISNUMBER(AB2082),AB2082&gt;0,AB2082&lt;1),AB2082*100,AB2082)/100)</f>
        <v/>
      </c>
      <c r="Y2082" s="5">
        <f>IF(D2082="","",AA2082*Z2082/100)</f>
        <v/>
      </c>
      <c r="Z2082" s="5">
        <f>IF(D2082="","",W2082-X2082)</f>
        <v/>
      </c>
      <c r="AC2082" s="5">
        <f>IF(D2082="","",Z2082-Y2082)</f>
        <v/>
      </c>
      <c r="AD2082">
        <f>IF(D2082="","",N(AD2081)+IF(MATCH(D2082,$D$2:$D$2501,0)=ROW()-1,1,0))</f>
        <v/>
      </c>
    </row>
    <row r="2083">
      <c r="X2083" s="5">
        <f>IF(D2083="","",W2083*IF(AND(ISNUMBER(AB2083),AB2083&gt;0,AB2083&lt;1),AB2083*100,AB2083)/100)</f>
        <v/>
      </c>
      <c r="Y2083" s="5">
        <f>IF(D2083="","",AA2083*Z2083/100)</f>
        <v/>
      </c>
      <c r="Z2083" s="5">
        <f>IF(D2083="","",W2083-X2083)</f>
        <v/>
      </c>
      <c r="AC2083" s="5">
        <f>IF(D2083="","",Z2083-Y2083)</f>
        <v/>
      </c>
      <c r="AD2083">
        <f>IF(D2083="","",N(AD2082)+IF(MATCH(D2083,$D$2:$D$2501,0)=ROW()-1,1,0))</f>
        <v/>
      </c>
    </row>
    <row r="2084">
      <c r="X2084" s="5">
        <f>IF(D2084="","",W2084*IF(AND(ISNUMBER(AB2084),AB2084&gt;0,AB2084&lt;1),AB2084*100,AB2084)/100)</f>
        <v/>
      </c>
      <c r="Y2084" s="5">
        <f>IF(D2084="","",AA2084*Z2084/100)</f>
        <v/>
      </c>
      <c r="Z2084" s="5">
        <f>IF(D2084="","",W2084-X2084)</f>
        <v/>
      </c>
      <c r="AC2084" s="5">
        <f>IF(D2084="","",Z2084-Y2084)</f>
        <v/>
      </c>
      <c r="AD2084">
        <f>IF(D2084="","",N(AD2083)+IF(MATCH(D2084,$D$2:$D$2501,0)=ROW()-1,1,0))</f>
        <v/>
      </c>
    </row>
    <row r="2085">
      <c r="X2085" s="5">
        <f>IF(D2085="","",W2085*IF(AND(ISNUMBER(AB2085),AB2085&gt;0,AB2085&lt;1),AB2085*100,AB2085)/100)</f>
        <v/>
      </c>
      <c r="Y2085" s="5">
        <f>IF(D2085="","",AA2085*Z2085/100)</f>
        <v/>
      </c>
      <c r="Z2085" s="5">
        <f>IF(D2085="","",W2085-X2085)</f>
        <v/>
      </c>
      <c r="AC2085" s="5">
        <f>IF(D2085="","",Z2085-Y2085)</f>
        <v/>
      </c>
      <c r="AD2085">
        <f>IF(D2085="","",N(AD2084)+IF(MATCH(D2085,$D$2:$D$2501,0)=ROW()-1,1,0))</f>
        <v/>
      </c>
    </row>
    <row r="2086">
      <c r="X2086" s="5">
        <f>IF(D2086="","",W2086*IF(AND(ISNUMBER(AB2086),AB2086&gt;0,AB2086&lt;1),AB2086*100,AB2086)/100)</f>
        <v/>
      </c>
      <c r="Y2086" s="5">
        <f>IF(D2086="","",AA2086*Z2086/100)</f>
        <v/>
      </c>
      <c r="Z2086" s="5">
        <f>IF(D2086="","",W2086-X2086)</f>
        <v/>
      </c>
      <c r="AC2086" s="5">
        <f>IF(D2086="","",Z2086-Y2086)</f>
        <v/>
      </c>
      <c r="AD2086">
        <f>IF(D2086="","",N(AD2085)+IF(MATCH(D2086,$D$2:$D$2501,0)=ROW()-1,1,0))</f>
        <v/>
      </c>
    </row>
    <row r="2087">
      <c r="X2087" s="5">
        <f>IF(D2087="","",W2087*IF(AND(ISNUMBER(AB2087),AB2087&gt;0,AB2087&lt;1),AB2087*100,AB2087)/100)</f>
        <v/>
      </c>
      <c r="Y2087" s="5">
        <f>IF(D2087="","",AA2087*Z2087/100)</f>
        <v/>
      </c>
      <c r="Z2087" s="5">
        <f>IF(D2087="","",W2087-X2087)</f>
        <v/>
      </c>
      <c r="AC2087" s="5">
        <f>IF(D2087="","",Z2087-Y2087)</f>
        <v/>
      </c>
      <c r="AD2087">
        <f>IF(D2087="","",N(AD2086)+IF(MATCH(D2087,$D$2:$D$2501,0)=ROW()-1,1,0))</f>
        <v/>
      </c>
    </row>
    <row r="2088">
      <c r="X2088" s="5">
        <f>IF(D2088="","",W2088*IF(AND(ISNUMBER(AB2088),AB2088&gt;0,AB2088&lt;1),AB2088*100,AB2088)/100)</f>
        <v/>
      </c>
      <c r="Y2088" s="5">
        <f>IF(D2088="","",AA2088*Z2088/100)</f>
        <v/>
      </c>
      <c r="Z2088" s="5">
        <f>IF(D2088="","",W2088-X2088)</f>
        <v/>
      </c>
      <c r="AC2088" s="5">
        <f>IF(D2088="","",Z2088-Y2088)</f>
        <v/>
      </c>
      <c r="AD2088">
        <f>IF(D2088="","",N(AD2087)+IF(MATCH(D2088,$D$2:$D$2501,0)=ROW()-1,1,0))</f>
        <v/>
      </c>
    </row>
    <row r="2089">
      <c r="X2089" s="5">
        <f>IF(D2089="","",W2089*IF(AND(ISNUMBER(AB2089),AB2089&gt;0,AB2089&lt;1),AB2089*100,AB2089)/100)</f>
        <v/>
      </c>
      <c r="Y2089" s="5">
        <f>IF(D2089="","",AA2089*Z2089/100)</f>
        <v/>
      </c>
      <c r="Z2089" s="5">
        <f>IF(D2089="","",W2089-X2089)</f>
        <v/>
      </c>
      <c r="AC2089" s="5">
        <f>IF(D2089="","",Z2089-Y2089)</f>
        <v/>
      </c>
      <c r="AD2089">
        <f>IF(D2089="","",N(AD2088)+IF(MATCH(D2089,$D$2:$D$2501,0)=ROW()-1,1,0))</f>
        <v/>
      </c>
    </row>
    <row r="2090">
      <c r="X2090" s="5">
        <f>IF(D2090="","",W2090*IF(AND(ISNUMBER(AB2090),AB2090&gt;0,AB2090&lt;1),AB2090*100,AB2090)/100)</f>
        <v/>
      </c>
      <c r="Y2090" s="5">
        <f>IF(D2090="","",AA2090*Z2090/100)</f>
        <v/>
      </c>
      <c r="Z2090" s="5">
        <f>IF(D2090="","",W2090-X2090)</f>
        <v/>
      </c>
      <c r="AC2090" s="5">
        <f>IF(D2090="","",Z2090-Y2090)</f>
        <v/>
      </c>
      <c r="AD2090">
        <f>IF(D2090="","",N(AD2089)+IF(MATCH(D2090,$D$2:$D$2501,0)=ROW()-1,1,0))</f>
        <v/>
      </c>
    </row>
    <row r="2091">
      <c r="X2091" s="5">
        <f>IF(D2091="","",W2091*IF(AND(ISNUMBER(AB2091),AB2091&gt;0,AB2091&lt;1),AB2091*100,AB2091)/100)</f>
        <v/>
      </c>
      <c r="Y2091" s="5">
        <f>IF(D2091="","",AA2091*Z2091/100)</f>
        <v/>
      </c>
      <c r="Z2091" s="5">
        <f>IF(D2091="","",W2091-X2091)</f>
        <v/>
      </c>
      <c r="AC2091" s="5">
        <f>IF(D2091="","",Z2091-Y2091)</f>
        <v/>
      </c>
      <c r="AD2091">
        <f>IF(D2091="","",N(AD2090)+IF(MATCH(D2091,$D$2:$D$2501,0)=ROW()-1,1,0))</f>
        <v/>
      </c>
    </row>
    <row r="2092">
      <c r="X2092" s="5">
        <f>IF(D2092="","",W2092*IF(AND(ISNUMBER(AB2092),AB2092&gt;0,AB2092&lt;1),AB2092*100,AB2092)/100)</f>
        <v/>
      </c>
      <c r="Y2092" s="5">
        <f>IF(D2092="","",AA2092*Z2092/100)</f>
        <v/>
      </c>
      <c r="Z2092" s="5">
        <f>IF(D2092="","",W2092-X2092)</f>
        <v/>
      </c>
      <c r="AC2092" s="5">
        <f>IF(D2092="","",Z2092-Y2092)</f>
        <v/>
      </c>
      <c r="AD2092">
        <f>IF(D2092="","",N(AD2091)+IF(MATCH(D2092,$D$2:$D$2501,0)=ROW()-1,1,0))</f>
        <v/>
      </c>
    </row>
    <row r="2093">
      <c r="X2093" s="5">
        <f>IF(D2093="","",W2093*IF(AND(ISNUMBER(AB2093),AB2093&gt;0,AB2093&lt;1),AB2093*100,AB2093)/100)</f>
        <v/>
      </c>
      <c r="Y2093" s="5">
        <f>IF(D2093="","",AA2093*Z2093/100)</f>
        <v/>
      </c>
      <c r="Z2093" s="5">
        <f>IF(D2093="","",W2093-X2093)</f>
        <v/>
      </c>
      <c r="AC2093" s="5">
        <f>IF(D2093="","",Z2093-Y2093)</f>
        <v/>
      </c>
      <c r="AD2093">
        <f>IF(D2093="","",N(AD2092)+IF(MATCH(D2093,$D$2:$D$2501,0)=ROW()-1,1,0))</f>
        <v/>
      </c>
    </row>
    <row r="2094">
      <c r="X2094" s="5">
        <f>IF(D2094="","",W2094*IF(AND(ISNUMBER(AB2094),AB2094&gt;0,AB2094&lt;1),AB2094*100,AB2094)/100)</f>
        <v/>
      </c>
      <c r="Y2094" s="5">
        <f>IF(D2094="","",AA2094*Z2094/100)</f>
        <v/>
      </c>
      <c r="Z2094" s="5">
        <f>IF(D2094="","",W2094-X2094)</f>
        <v/>
      </c>
      <c r="AC2094" s="5">
        <f>IF(D2094="","",Z2094-Y2094)</f>
        <v/>
      </c>
      <c r="AD2094">
        <f>IF(D2094="","",N(AD2093)+IF(MATCH(D2094,$D$2:$D$2501,0)=ROW()-1,1,0))</f>
        <v/>
      </c>
    </row>
    <row r="2095">
      <c r="X2095" s="5">
        <f>IF(D2095="","",W2095*IF(AND(ISNUMBER(AB2095),AB2095&gt;0,AB2095&lt;1),AB2095*100,AB2095)/100)</f>
        <v/>
      </c>
      <c r="Y2095" s="5">
        <f>IF(D2095="","",AA2095*Z2095/100)</f>
        <v/>
      </c>
      <c r="Z2095" s="5">
        <f>IF(D2095="","",W2095-X2095)</f>
        <v/>
      </c>
      <c r="AC2095" s="5">
        <f>IF(D2095="","",Z2095-Y2095)</f>
        <v/>
      </c>
      <c r="AD2095">
        <f>IF(D2095="","",N(AD2094)+IF(MATCH(D2095,$D$2:$D$2501,0)=ROW()-1,1,0))</f>
        <v/>
      </c>
    </row>
    <row r="2096">
      <c r="X2096" s="5">
        <f>IF(D2096="","",W2096*IF(AND(ISNUMBER(AB2096),AB2096&gt;0,AB2096&lt;1),AB2096*100,AB2096)/100)</f>
        <v/>
      </c>
      <c r="Y2096" s="5">
        <f>IF(D2096="","",AA2096*Z2096/100)</f>
        <v/>
      </c>
      <c r="Z2096" s="5">
        <f>IF(D2096="","",W2096-X2096)</f>
        <v/>
      </c>
      <c r="AC2096" s="5">
        <f>IF(D2096="","",Z2096-Y2096)</f>
        <v/>
      </c>
      <c r="AD2096">
        <f>IF(D2096="","",N(AD2095)+IF(MATCH(D2096,$D$2:$D$2501,0)=ROW()-1,1,0))</f>
        <v/>
      </c>
    </row>
    <row r="2097">
      <c r="X2097" s="5">
        <f>IF(D2097="","",W2097*IF(AND(ISNUMBER(AB2097),AB2097&gt;0,AB2097&lt;1),AB2097*100,AB2097)/100)</f>
        <v/>
      </c>
      <c r="Y2097" s="5">
        <f>IF(D2097="","",AA2097*Z2097/100)</f>
        <v/>
      </c>
      <c r="Z2097" s="5">
        <f>IF(D2097="","",W2097-X2097)</f>
        <v/>
      </c>
      <c r="AC2097" s="5">
        <f>IF(D2097="","",Z2097-Y2097)</f>
        <v/>
      </c>
      <c r="AD2097">
        <f>IF(D2097="","",N(AD2096)+IF(MATCH(D2097,$D$2:$D$2501,0)=ROW()-1,1,0))</f>
        <v/>
      </c>
    </row>
    <row r="2098">
      <c r="X2098" s="5">
        <f>IF(D2098="","",W2098*IF(AND(ISNUMBER(AB2098),AB2098&gt;0,AB2098&lt;1),AB2098*100,AB2098)/100)</f>
        <v/>
      </c>
      <c r="Y2098" s="5">
        <f>IF(D2098="","",AA2098*Z2098/100)</f>
        <v/>
      </c>
      <c r="Z2098" s="5">
        <f>IF(D2098="","",W2098-X2098)</f>
        <v/>
      </c>
      <c r="AC2098" s="5">
        <f>IF(D2098="","",Z2098-Y2098)</f>
        <v/>
      </c>
      <c r="AD2098">
        <f>IF(D2098="","",N(AD2097)+IF(MATCH(D2098,$D$2:$D$2501,0)=ROW()-1,1,0))</f>
        <v/>
      </c>
    </row>
    <row r="2099">
      <c r="X2099" s="5">
        <f>IF(D2099="","",W2099*IF(AND(ISNUMBER(AB2099),AB2099&gt;0,AB2099&lt;1),AB2099*100,AB2099)/100)</f>
        <v/>
      </c>
      <c r="Y2099" s="5">
        <f>IF(D2099="","",AA2099*Z2099/100)</f>
        <v/>
      </c>
      <c r="Z2099" s="5">
        <f>IF(D2099="","",W2099-X2099)</f>
        <v/>
      </c>
      <c r="AC2099" s="5">
        <f>IF(D2099="","",Z2099-Y2099)</f>
        <v/>
      </c>
      <c r="AD2099">
        <f>IF(D2099="","",N(AD2098)+IF(MATCH(D2099,$D$2:$D$2501,0)=ROW()-1,1,0))</f>
        <v/>
      </c>
    </row>
    <row r="2100">
      <c r="X2100" s="5">
        <f>IF(D2100="","",W2100*IF(AND(ISNUMBER(AB2100),AB2100&gt;0,AB2100&lt;1),AB2100*100,AB2100)/100)</f>
        <v/>
      </c>
      <c r="Y2100" s="5">
        <f>IF(D2100="","",AA2100*Z2100/100)</f>
        <v/>
      </c>
      <c r="Z2100" s="5">
        <f>IF(D2100="","",W2100-X2100)</f>
        <v/>
      </c>
      <c r="AC2100" s="5">
        <f>IF(D2100="","",Z2100-Y2100)</f>
        <v/>
      </c>
      <c r="AD2100">
        <f>IF(D2100="","",N(AD2099)+IF(MATCH(D2100,$D$2:$D$2501,0)=ROW()-1,1,0))</f>
        <v/>
      </c>
    </row>
    <row r="2101">
      <c r="X2101" s="5">
        <f>IF(D2101="","",W2101*IF(AND(ISNUMBER(AB2101),AB2101&gt;0,AB2101&lt;1),AB2101*100,AB2101)/100)</f>
        <v/>
      </c>
      <c r="Y2101" s="5">
        <f>IF(D2101="","",AA2101*Z2101/100)</f>
        <v/>
      </c>
      <c r="Z2101" s="5">
        <f>IF(D2101="","",W2101-X2101)</f>
        <v/>
      </c>
      <c r="AC2101" s="5">
        <f>IF(D2101="","",Z2101-Y2101)</f>
        <v/>
      </c>
      <c r="AD2101">
        <f>IF(D2101="","",N(AD2100)+IF(MATCH(D2101,$D$2:$D$2501,0)=ROW()-1,1,0))</f>
        <v/>
      </c>
    </row>
    <row r="2102">
      <c r="X2102" s="5">
        <f>IF(D2102="","",W2102*IF(AND(ISNUMBER(AB2102),AB2102&gt;0,AB2102&lt;1),AB2102*100,AB2102)/100)</f>
        <v/>
      </c>
      <c r="Y2102" s="5">
        <f>IF(D2102="","",AA2102*Z2102/100)</f>
        <v/>
      </c>
      <c r="Z2102" s="5">
        <f>IF(D2102="","",W2102-X2102)</f>
        <v/>
      </c>
      <c r="AC2102" s="5">
        <f>IF(D2102="","",Z2102-Y2102)</f>
        <v/>
      </c>
      <c r="AD2102">
        <f>IF(D2102="","",N(AD2101)+IF(MATCH(D2102,$D$2:$D$2501,0)=ROW()-1,1,0))</f>
        <v/>
      </c>
    </row>
    <row r="2103">
      <c r="X2103" s="5">
        <f>IF(D2103="","",W2103*IF(AND(ISNUMBER(AB2103),AB2103&gt;0,AB2103&lt;1),AB2103*100,AB2103)/100)</f>
        <v/>
      </c>
      <c r="Y2103" s="5">
        <f>IF(D2103="","",AA2103*Z2103/100)</f>
        <v/>
      </c>
      <c r="Z2103" s="5">
        <f>IF(D2103="","",W2103-X2103)</f>
        <v/>
      </c>
      <c r="AC2103" s="5">
        <f>IF(D2103="","",Z2103-Y2103)</f>
        <v/>
      </c>
      <c r="AD2103">
        <f>IF(D2103="","",N(AD2102)+IF(MATCH(D2103,$D$2:$D$2501,0)=ROW()-1,1,0))</f>
        <v/>
      </c>
    </row>
    <row r="2104">
      <c r="X2104" s="5">
        <f>IF(D2104="","",W2104*IF(AND(ISNUMBER(AB2104),AB2104&gt;0,AB2104&lt;1),AB2104*100,AB2104)/100)</f>
        <v/>
      </c>
      <c r="Y2104" s="5">
        <f>IF(D2104="","",AA2104*Z2104/100)</f>
        <v/>
      </c>
      <c r="Z2104" s="5">
        <f>IF(D2104="","",W2104-X2104)</f>
        <v/>
      </c>
      <c r="AC2104" s="5">
        <f>IF(D2104="","",Z2104-Y2104)</f>
        <v/>
      </c>
      <c r="AD2104">
        <f>IF(D2104="","",N(AD2103)+IF(MATCH(D2104,$D$2:$D$2501,0)=ROW()-1,1,0))</f>
        <v/>
      </c>
    </row>
    <row r="2105">
      <c r="X2105" s="5">
        <f>IF(D2105="","",W2105*IF(AND(ISNUMBER(AB2105),AB2105&gt;0,AB2105&lt;1),AB2105*100,AB2105)/100)</f>
        <v/>
      </c>
      <c r="Y2105" s="5">
        <f>IF(D2105="","",AA2105*Z2105/100)</f>
        <v/>
      </c>
      <c r="Z2105" s="5">
        <f>IF(D2105="","",W2105-X2105)</f>
        <v/>
      </c>
      <c r="AC2105" s="5">
        <f>IF(D2105="","",Z2105-Y2105)</f>
        <v/>
      </c>
      <c r="AD2105">
        <f>IF(D2105="","",N(AD2104)+IF(MATCH(D2105,$D$2:$D$2501,0)=ROW()-1,1,0))</f>
        <v/>
      </c>
    </row>
    <row r="2106">
      <c r="X2106" s="5">
        <f>IF(D2106="","",W2106*IF(AND(ISNUMBER(AB2106),AB2106&gt;0,AB2106&lt;1),AB2106*100,AB2106)/100)</f>
        <v/>
      </c>
      <c r="Y2106" s="5">
        <f>IF(D2106="","",AA2106*Z2106/100)</f>
        <v/>
      </c>
      <c r="Z2106" s="5">
        <f>IF(D2106="","",W2106-X2106)</f>
        <v/>
      </c>
      <c r="AC2106" s="5">
        <f>IF(D2106="","",Z2106-Y2106)</f>
        <v/>
      </c>
      <c r="AD2106">
        <f>IF(D2106="","",N(AD2105)+IF(MATCH(D2106,$D$2:$D$2501,0)=ROW()-1,1,0))</f>
        <v/>
      </c>
    </row>
    <row r="2107">
      <c r="X2107" s="5">
        <f>IF(D2107="","",W2107*IF(AND(ISNUMBER(AB2107),AB2107&gt;0,AB2107&lt;1),AB2107*100,AB2107)/100)</f>
        <v/>
      </c>
      <c r="Y2107" s="5">
        <f>IF(D2107="","",AA2107*Z2107/100)</f>
        <v/>
      </c>
      <c r="Z2107" s="5">
        <f>IF(D2107="","",W2107-X2107)</f>
        <v/>
      </c>
      <c r="AC2107" s="5">
        <f>IF(D2107="","",Z2107-Y2107)</f>
        <v/>
      </c>
      <c r="AD2107">
        <f>IF(D2107="","",N(AD2106)+IF(MATCH(D2107,$D$2:$D$2501,0)=ROW()-1,1,0))</f>
        <v/>
      </c>
    </row>
    <row r="2108">
      <c r="X2108" s="5">
        <f>IF(D2108="","",W2108*IF(AND(ISNUMBER(AB2108),AB2108&gt;0,AB2108&lt;1),AB2108*100,AB2108)/100)</f>
        <v/>
      </c>
      <c r="Y2108" s="5">
        <f>IF(D2108="","",AA2108*Z2108/100)</f>
        <v/>
      </c>
      <c r="Z2108" s="5">
        <f>IF(D2108="","",W2108-X2108)</f>
        <v/>
      </c>
      <c r="AC2108" s="5">
        <f>IF(D2108="","",Z2108-Y2108)</f>
        <v/>
      </c>
      <c r="AD2108">
        <f>IF(D2108="","",N(AD2107)+IF(MATCH(D2108,$D$2:$D$2501,0)=ROW()-1,1,0))</f>
        <v/>
      </c>
    </row>
    <row r="2109">
      <c r="X2109" s="5">
        <f>IF(D2109="","",W2109*IF(AND(ISNUMBER(AB2109),AB2109&gt;0,AB2109&lt;1),AB2109*100,AB2109)/100)</f>
        <v/>
      </c>
      <c r="Y2109" s="5">
        <f>IF(D2109="","",AA2109*Z2109/100)</f>
        <v/>
      </c>
      <c r="Z2109" s="5">
        <f>IF(D2109="","",W2109-X2109)</f>
        <v/>
      </c>
      <c r="AC2109" s="5">
        <f>IF(D2109="","",Z2109-Y2109)</f>
        <v/>
      </c>
      <c r="AD2109">
        <f>IF(D2109="","",N(AD2108)+IF(MATCH(D2109,$D$2:$D$2501,0)=ROW()-1,1,0))</f>
        <v/>
      </c>
    </row>
    <row r="2110">
      <c r="X2110" s="5">
        <f>IF(D2110="","",W2110*IF(AND(ISNUMBER(AB2110),AB2110&gt;0,AB2110&lt;1),AB2110*100,AB2110)/100)</f>
        <v/>
      </c>
      <c r="Y2110" s="5">
        <f>IF(D2110="","",AA2110*Z2110/100)</f>
        <v/>
      </c>
      <c r="Z2110" s="5">
        <f>IF(D2110="","",W2110-X2110)</f>
        <v/>
      </c>
      <c r="AC2110" s="5">
        <f>IF(D2110="","",Z2110-Y2110)</f>
        <v/>
      </c>
      <c r="AD2110">
        <f>IF(D2110="","",N(AD2109)+IF(MATCH(D2110,$D$2:$D$2501,0)=ROW()-1,1,0))</f>
        <v/>
      </c>
    </row>
    <row r="2111">
      <c r="X2111" s="5">
        <f>IF(D2111="","",W2111*IF(AND(ISNUMBER(AB2111),AB2111&gt;0,AB2111&lt;1),AB2111*100,AB2111)/100)</f>
        <v/>
      </c>
      <c r="Y2111" s="5">
        <f>IF(D2111="","",AA2111*Z2111/100)</f>
        <v/>
      </c>
      <c r="Z2111" s="5">
        <f>IF(D2111="","",W2111-X2111)</f>
        <v/>
      </c>
      <c r="AC2111" s="5">
        <f>IF(D2111="","",Z2111-Y2111)</f>
        <v/>
      </c>
      <c r="AD2111">
        <f>IF(D2111="","",N(AD2110)+IF(MATCH(D2111,$D$2:$D$2501,0)=ROW()-1,1,0))</f>
        <v/>
      </c>
    </row>
    <row r="2112">
      <c r="X2112" s="5">
        <f>IF(D2112="","",W2112*IF(AND(ISNUMBER(AB2112),AB2112&gt;0,AB2112&lt;1),AB2112*100,AB2112)/100)</f>
        <v/>
      </c>
      <c r="Y2112" s="5">
        <f>IF(D2112="","",AA2112*Z2112/100)</f>
        <v/>
      </c>
      <c r="Z2112" s="5">
        <f>IF(D2112="","",W2112-X2112)</f>
        <v/>
      </c>
      <c r="AC2112" s="5">
        <f>IF(D2112="","",Z2112-Y2112)</f>
        <v/>
      </c>
      <c r="AD2112">
        <f>IF(D2112="","",N(AD2111)+IF(MATCH(D2112,$D$2:$D$2501,0)=ROW()-1,1,0))</f>
        <v/>
      </c>
    </row>
    <row r="2113">
      <c r="X2113" s="5">
        <f>IF(D2113="","",W2113*IF(AND(ISNUMBER(AB2113),AB2113&gt;0,AB2113&lt;1),AB2113*100,AB2113)/100)</f>
        <v/>
      </c>
      <c r="Y2113" s="5">
        <f>IF(D2113="","",AA2113*Z2113/100)</f>
        <v/>
      </c>
      <c r="Z2113" s="5">
        <f>IF(D2113="","",W2113-X2113)</f>
        <v/>
      </c>
      <c r="AC2113" s="5">
        <f>IF(D2113="","",Z2113-Y2113)</f>
        <v/>
      </c>
      <c r="AD2113">
        <f>IF(D2113="","",N(AD2112)+IF(MATCH(D2113,$D$2:$D$2501,0)=ROW()-1,1,0))</f>
        <v/>
      </c>
    </row>
    <row r="2114">
      <c r="X2114" s="5">
        <f>IF(D2114="","",W2114*IF(AND(ISNUMBER(AB2114),AB2114&gt;0,AB2114&lt;1),AB2114*100,AB2114)/100)</f>
        <v/>
      </c>
      <c r="Y2114" s="5">
        <f>IF(D2114="","",AA2114*Z2114/100)</f>
        <v/>
      </c>
      <c r="Z2114" s="5">
        <f>IF(D2114="","",W2114-X2114)</f>
        <v/>
      </c>
      <c r="AC2114" s="5">
        <f>IF(D2114="","",Z2114-Y2114)</f>
        <v/>
      </c>
      <c r="AD2114">
        <f>IF(D2114="","",N(AD2113)+IF(MATCH(D2114,$D$2:$D$2501,0)=ROW()-1,1,0))</f>
        <v/>
      </c>
    </row>
    <row r="2115">
      <c r="X2115" s="5">
        <f>IF(D2115="","",W2115*IF(AND(ISNUMBER(AB2115),AB2115&gt;0,AB2115&lt;1),AB2115*100,AB2115)/100)</f>
        <v/>
      </c>
      <c r="Y2115" s="5">
        <f>IF(D2115="","",AA2115*Z2115/100)</f>
        <v/>
      </c>
      <c r="Z2115" s="5">
        <f>IF(D2115="","",W2115-X2115)</f>
        <v/>
      </c>
      <c r="AC2115" s="5">
        <f>IF(D2115="","",Z2115-Y2115)</f>
        <v/>
      </c>
      <c r="AD2115">
        <f>IF(D2115="","",N(AD2114)+IF(MATCH(D2115,$D$2:$D$2501,0)=ROW()-1,1,0))</f>
        <v/>
      </c>
    </row>
    <row r="2116">
      <c r="X2116" s="5">
        <f>IF(D2116="","",W2116*IF(AND(ISNUMBER(AB2116),AB2116&gt;0,AB2116&lt;1),AB2116*100,AB2116)/100)</f>
        <v/>
      </c>
      <c r="Y2116" s="5">
        <f>IF(D2116="","",AA2116*Z2116/100)</f>
        <v/>
      </c>
      <c r="Z2116" s="5">
        <f>IF(D2116="","",W2116-X2116)</f>
        <v/>
      </c>
      <c r="AC2116" s="5">
        <f>IF(D2116="","",Z2116-Y2116)</f>
        <v/>
      </c>
      <c r="AD2116">
        <f>IF(D2116="","",N(AD2115)+IF(MATCH(D2116,$D$2:$D$2501,0)=ROW()-1,1,0))</f>
        <v/>
      </c>
    </row>
    <row r="2117">
      <c r="X2117" s="5">
        <f>IF(D2117="","",W2117*IF(AND(ISNUMBER(AB2117),AB2117&gt;0,AB2117&lt;1),AB2117*100,AB2117)/100)</f>
        <v/>
      </c>
      <c r="Y2117" s="5">
        <f>IF(D2117="","",AA2117*Z2117/100)</f>
        <v/>
      </c>
      <c r="Z2117" s="5">
        <f>IF(D2117="","",W2117-X2117)</f>
        <v/>
      </c>
      <c r="AC2117" s="5">
        <f>IF(D2117="","",Z2117-Y2117)</f>
        <v/>
      </c>
      <c r="AD2117">
        <f>IF(D2117="","",N(AD2116)+IF(MATCH(D2117,$D$2:$D$2501,0)=ROW()-1,1,0))</f>
        <v/>
      </c>
    </row>
    <row r="2118">
      <c r="X2118" s="5">
        <f>IF(D2118="","",W2118*IF(AND(ISNUMBER(AB2118),AB2118&gt;0,AB2118&lt;1),AB2118*100,AB2118)/100)</f>
        <v/>
      </c>
      <c r="Y2118" s="5">
        <f>IF(D2118="","",AA2118*Z2118/100)</f>
        <v/>
      </c>
      <c r="Z2118" s="5">
        <f>IF(D2118="","",W2118-X2118)</f>
        <v/>
      </c>
      <c r="AC2118" s="5">
        <f>IF(D2118="","",Z2118-Y2118)</f>
        <v/>
      </c>
      <c r="AD2118">
        <f>IF(D2118="","",N(AD2117)+IF(MATCH(D2118,$D$2:$D$2501,0)=ROW()-1,1,0))</f>
        <v/>
      </c>
    </row>
    <row r="2119">
      <c r="X2119" s="5">
        <f>IF(D2119="","",W2119*IF(AND(ISNUMBER(AB2119),AB2119&gt;0,AB2119&lt;1),AB2119*100,AB2119)/100)</f>
        <v/>
      </c>
      <c r="Y2119" s="5">
        <f>IF(D2119="","",AA2119*Z2119/100)</f>
        <v/>
      </c>
      <c r="Z2119" s="5">
        <f>IF(D2119="","",W2119-X2119)</f>
        <v/>
      </c>
      <c r="AC2119" s="5">
        <f>IF(D2119="","",Z2119-Y2119)</f>
        <v/>
      </c>
      <c r="AD2119">
        <f>IF(D2119="","",N(AD2118)+IF(MATCH(D2119,$D$2:$D$2501,0)=ROW()-1,1,0))</f>
        <v/>
      </c>
    </row>
    <row r="2120">
      <c r="X2120" s="5">
        <f>IF(D2120="","",W2120*IF(AND(ISNUMBER(AB2120),AB2120&gt;0,AB2120&lt;1),AB2120*100,AB2120)/100)</f>
        <v/>
      </c>
      <c r="Y2120" s="5">
        <f>IF(D2120="","",AA2120*Z2120/100)</f>
        <v/>
      </c>
      <c r="Z2120" s="5">
        <f>IF(D2120="","",W2120-X2120)</f>
        <v/>
      </c>
      <c r="AC2120" s="5">
        <f>IF(D2120="","",Z2120-Y2120)</f>
        <v/>
      </c>
      <c r="AD2120">
        <f>IF(D2120="","",N(AD2119)+IF(MATCH(D2120,$D$2:$D$2501,0)=ROW()-1,1,0))</f>
        <v/>
      </c>
    </row>
    <row r="2121">
      <c r="X2121" s="5">
        <f>IF(D2121="","",W2121*IF(AND(ISNUMBER(AB2121),AB2121&gt;0,AB2121&lt;1),AB2121*100,AB2121)/100)</f>
        <v/>
      </c>
      <c r="Y2121" s="5">
        <f>IF(D2121="","",AA2121*Z2121/100)</f>
        <v/>
      </c>
      <c r="Z2121" s="5">
        <f>IF(D2121="","",W2121-X2121)</f>
        <v/>
      </c>
      <c r="AC2121" s="5">
        <f>IF(D2121="","",Z2121-Y2121)</f>
        <v/>
      </c>
      <c r="AD2121">
        <f>IF(D2121="","",N(AD2120)+IF(MATCH(D2121,$D$2:$D$2501,0)=ROW()-1,1,0))</f>
        <v/>
      </c>
    </row>
    <row r="2122">
      <c r="X2122" s="5">
        <f>IF(D2122="","",W2122*IF(AND(ISNUMBER(AB2122),AB2122&gt;0,AB2122&lt;1),AB2122*100,AB2122)/100)</f>
        <v/>
      </c>
      <c r="Y2122" s="5">
        <f>IF(D2122="","",AA2122*Z2122/100)</f>
        <v/>
      </c>
      <c r="Z2122" s="5">
        <f>IF(D2122="","",W2122-X2122)</f>
        <v/>
      </c>
      <c r="AC2122" s="5">
        <f>IF(D2122="","",Z2122-Y2122)</f>
        <v/>
      </c>
      <c r="AD2122">
        <f>IF(D2122="","",N(AD2121)+IF(MATCH(D2122,$D$2:$D$2501,0)=ROW()-1,1,0))</f>
        <v/>
      </c>
    </row>
    <row r="2123">
      <c r="X2123" s="5">
        <f>IF(D2123="","",W2123*IF(AND(ISNUMBER(AB2123),AB2123&gt;0,AB2123&lt;1),AB2123*100,AB2123)/100)</f>
        <v/>
      </c>
      <c r="Y2123" s="5">
        <f>IF(D2123="","",AA2123*Z2123/100)</f>
        <v/>
      </c>
      <c r="Z2123" s="5">
        <f>IF(D2123="","",W2123-X2123)</f>
        <v/>
      </c>
      <c r="AC2123" s="5">
        <f>IF(D2123="","",Z2123-Y2123)</f>
        <v/>
      </c>
      <c r="AD2123">
        <f>IF(D2123="","",N(AD2122)+IF(MATCH(D2123,$D$2:$D$2501,0)=ROW()-1,1,0))</f>
        <v/>
      </c>
    </row>
    <row r="2124">
      <c r="X2124" s="5">
        <f>IF(D2124="","",W2124*IF(AND(ISNUMBER(AB2124),AB2124&gt;0,AB2124&lt;1),AB2124*100,AB2124)/100)</f>
        <v/>
      </c>
      <c r="Y2124" s="5">
        <f>IF(D2124="","",AA2124*Z2124/100)</f>
        <v/>
      </c>
      <c r="Z2124" s="5">
        <f>IF(D2124="","",W2124-X2124)</f>
        <v/>
      </c>
      <c r="AC2124" s="5">
        <f>IF(D2124="","",Z2124-Y2124)</f>
        <v/>
      </c>
      <c r="AD2124">
        <f>IF(D2124="","",N(AD2123)+IF(MATCH(D2124,$D$2:$D$2501,0)=ROW()-1,1,0))</f>
        <v/>
      </c>
    </row>
    <row r="2125">
      <c r="X2125" s="5">
        <f>IF(D2125="","",W2125*IF(AND(ISNUMBER(AB2125),AB2125&gt;0,AB2125&lt;1),AB2125*100,AB2125)/100)</f>
        <v/>
      </c>
      <c r="Y2125" s="5">
        <f>IF(D2125="","",AA2125*Z2125/100)</f>
        <v/>
      </c>
      <c r="Z2125" s="5">
        <f>IF(D2125="","",W2125-X2125)</f>
        <v/>
      </c>
      <c r="AC2125" s="5">
        <f>IF(D2125="","",Z2125-Y2125)</f>
        <v/>
      </c>
      <c r="AD2125">
        <f>IF(D2125="","",N(AD2124)+IF(MATCH(D2125,$D$2:$D$2501,0)=ROW()-1,1,0))</f>
        <v/>
      </c>
    </row>
    <row r="2126">
      <c r="X2126" s="5">
        <f>IF(D2126="","",W2126*IF(AND(ISNUMBER(AB2126),AB2126&gt;0,AB2126&lt;1),AB2126*100,AB2126)/100)</f>
        <v/>
      </c>
      <c r="Y2126" s="5">
        <f>IF(D2126="","",AA2126*Z2126/100)</f>
        <v/>
      </c>
      <c r="Z2126" s="5">
        <f>IF(D2126="","",W2126-X2126)</f>
        <v/>
      </c>
      <c r="AC2126" s="5">
        <f>IF(D2126="","",Z2126-Y2126)</f>
        <v/>
      </c>
      <c r="AD2126">
        <f>IF(D2126="","",N(AD2125)+IF(MATCH(D2126,$D$2:$D$2501,0)=ROW()-1,1,0))</f>
        <v/>
      </c>
    </row>
    <row r="2127">
      <c r="X2127" s="5">
        <f>IF(D2127="","",W2127*IF(AND(ISNUMBER(AB2127),AB2127&gt;0,AB2127&lt;1),AB2127*100,AB2127)/100)</f>
        <v/>
      </c>
      <c r="Y2127" s="5">
        <f>IF(D2127="","",AA2127*Z2127/100)</f>
        <v/>
      </c>
      <c r="Z2127" s="5">
        <f>IF(D2127="","",W2127-X2127)</f>
        <v/>
      </c>
      <c r="AC2127" s="5">
        <f>IF(D2127="","",Z2127-Y2127)</f>
        <v/>
      </c>
      <c r="AD2127">
        <f>IF(D2127="","",N(AD2126)+IF(MATCH(D2127,$D$2:$D$2501,0)=ROW()-1,1,0))</f>
        <v/>
      </c>
    </row>
    <row r="2128">
      <c r="X2128" s="5">
        <f>IF(D2128="","",W2128*IF(AND(ISNUMBER(AB2128),AB2128&gt;0,AB2128&lt;1),AB2128*100,AB2128)/100)</f>
        <v/>
      </c>
      <c r="Y2128" s="5">
        <f>IF(D2128="","",AA2128*Z2128/100)</f>
        <v/>
      </c>
      <c r="Z2128" s="5">
        <f>IF(D2128="","",W2128-X2128)</f>
        <v/>
      </c>
      <c r="AC2128" s="5">
        <f>IF(D2128="","",Z2128-Y2128)</f>
        <v/>
      </c>
      <c r="AD2128">
        <f>IF(D2128="","",N(AD2127)+IF(MATCH(D2128,$D$2:$D$2501,0)=ROW()-1,1,0))</f>
        <v/>
      </c>
    </row>
    <row r="2129">
      <c r="X2129" s="5">
        <f>IF(D2129="","",W2129*IF(AND(ISNUMBER(AB2129),AB2129&gt;0,AB2129&lt;1),AB2129*100,AB2129)/100)</f>
        <v/>
      </c>
      <c r="Y2129" s="5">
        <f>IF(D2129="","",AA2129*Z2129/100)</f>
        <v/>
      </c>
      <c r="Z2129" s="5">
        <f>IF(D2129="","",W2129-X2129)</f>
        <v/>
      </c>
      <c r="AC2129" s="5">
        <f>IF(D2129="","",Z2129-Y2129)</f>
        <v/>
      </c>
      <c r="AD2129">
        <f>IF(D2129="","",N(AD2128)+IF(MATCH(D2129,$D$2:$D$2501,0)=ROW()-1,1,0))</f>
        <v/>
      </c>
    </row>
    <row r="2130">
      <c r="X2130" s="5">
        <f>IF(D2130="","",W2130*IF(AND(ISNUMBER(AB2130),AB2130&gt;0,AB2130&lt;1),AB2130*100,AB2130)/100)</f>
        <v/>
      </c>
      <c r="Y2130" s="5">
        <f>IF(D2130="","",AA2130*Z2130/100)</f>
        <v/>
      </c>
      <c r="Z2130" s="5">
        <f>IF(D2130="","",W2130-X2130)</f>
        <v/>
      </c>
      <c r="AC2130" s="5">
        <f>IF(D2130="","",Z2130-Y2130)</f>
        <v/>
      </c>
      <c r="AD2130">
        <f>IF(D2130="","",N(AD2129)+IF(MATCH(D2130,$D$2:$D$2501,0)=ROW()-1,1,0))</f>
        <v/>
      </c>
    </row>
    <row r="2131">
      <c r="X2131" s="5">
        <f>IF(D2131="","",W2131*IF(AND(ISNUMBER(AB2131),AB2131&gt;0,AB2131&lt;1),AB2131*100,AB2131)/100)</f>
        <v/>
      </c>
      <c r="Y2131" s="5">
        <f>IF(D2131="","",AA2131*Z2131/100)</f>
        <v/>
      </c>
      <c r="Z2131" s="5">
        <f>IF(D2131="","",W2131-X2131)</f>
        <v/>
      </c>
      <c r="AC2131" s="5">
        <f>IF(D2131="","",Z2131-Y2131)</f>
        <v/>
      </c>
      <c r="AD2131">
        <f>IF(D2131="","",N(AD2130)+IF(MATCH(D2131,$D$2:$D$2501,0)=ROW()-1,1,0))</f>
        <v/>
      </c>
    </row>
    <row r="2132">
      <c r="X2132" s="5">
        <f>IF(D2132="","",W2132*IF(AND(ISNUMBER(AB2132),AB2132&gt;0,AB2132&lt;1),AB2132*100,AB2132)/100)</f>
        <v/>
      </c>
      <c r="Y2132" s="5">
        <f>IF(D2132="","",AA2132*Z2132/100)</f>
        <v/>
      </c>
      <c r="Z2132" s="5">
        <f>IF(D2132="","",W2132-X2132)</f>
        <v/>
      </c>
      <c r="AC2132" s="5">
        <f>IF(D2132="","",Z2132-Y2132)</f>
        <v/>
      </c>
      <c r="AD2132">
        <f>IF(D2132="","",N(AD2131)+IF(MATCH(D2132,$D$2:$D$2501,0)=ROW()-1,1,0))</f>
        <v/>
      </c>
    </row>
    <row r="2133">
      <c r="X2133" s="5">
        <f>IF(D2133="","",W2133*IF(AND(ISNUMBER(AB2133),AB2133&gt;0,AB2133&lt;1),AB2133*100,AB2133)/100)</f>
        <v/>
      </c>
      <c r="Y2133" s="5">
        <f>IF(D2133="","",AA2133*Z2133/100)</f>
        <v/>
      </c>
      <c r="Z2133" s="5">
        <f>IF(D2133="","",W2133-X2133)</f>
        <v/>
      </c>
      <c r="AC2133" s="5">
        <f>IF(D2133="","",Z2133-Y2133)</f>
        <v/>
      </c>
      <c r="AD2133">
        <f>IF(D2133="","",N(AD2132)+IF(MATCH(D2133,$D$2:$D$2501,0)=ROW()-1,1,0))</f>
        <v/>
      </c>
    </row>
    <row r="2134">
      <c r="X2134" s="5">
        <f>IF(D2134="","",W2134*IF(AND(ISNUMBER(AB2134),AB2134&gt;0,AB2134&lt;1),AB2134*100,AB2134)/100)</f>
        <v/>
      </c>
      <c r="Y2134" s="5">
        <f>IF(D2134="","",AA2134*Z2134/100)</f>
        <v/>
      </c>
      <c r="Z2134" s="5">
        <f>IF(D2134="","",W2134-X2134)</f>
        <v/>
      </c>
      <c r="AC2134" s="5">
        <f>IF(D2134="","",Z2134-Y2134)</f>
        <v/>
      </c>
      <c r="AD2134">
        <f>IF(D2134="","",N(AD2133)+IF(MATCH(D2134,$D$2:$D$2501,0)=ROW()-1,1,0))</f>
        <v/>
      </c>
    </row>
    <row r="2135">
      <c r="X2135" s="5">
        <f>IF(D2135="","",W2135*IF(AND(ISNUMBER(AB2135),AB2135&gt;0,AB2135&lt;1),AB2135*100,AB2135)/100)</f>
        <v/>
      </c>
      <c r="Y2135" s="5">
        <f>IF(D2135="","",AA2135*Z2135/100)</f>
        <v/>
      </c>
      <c r="Z2135" s="5">
        <f>IF(D2135="","",W2135-X2135)</f>
        <v/>
      </c>
      <c r="AC2135" s="5">
        <f>IF(D2135="","",Z2135-Y2135)</f>
        <v/>
      </c>
      <c r="AD2135">
        <f>IF(D2135="","",N(AD2134)+IF(MATCH(D2135,$D$2:$D$2501,0)=ROW()-1,1,0))</f>
        <v/>
      </c>
    </row>
    <row r="2136">
      <c r="X2136" s="5">
        <f>IF(D2136="","",W2136*IF(AND(ISNUMBER(AB2136),AB2136&gt;0,AB2136&lt;1),AB2136*100,AB2136)/100)</f>
        <v/>
      </c>
      <c r="Y2136" s="5">
        <f>IF(D2136="","",AA2136*Z2136/100)</f>
        <v/>
      </c>
      <c r="Z2136" s="5">
        <f>IF(D2136="","",W2136-X2136)</f>
        <v/>
      </c>
      <c r="AC2136" s="5">
        <f>IF(D2136="","",Z2136-Y2136)</f>
        <v/>
      </c>
      <c r="AD2136">
        <f>IF(D2136="","",N(AD2135)+IF(MATCH(D2136,$D$2:$D$2501,0)=ROW()-1,1,0))</f>
        <v/>
      </c>
    </row>
    <row r="2137">
      <c r="X2137" s="5">
        <f>IF(D2137="","",W2137*IF(AND(ISNUMBER(AB2137),AB2137&gt;0,AB2137&lt;1),AB2137*100,AB2137)/100)</f>
        <v/>
      </c>
      <c r="Y2137" s="5">
        <f>IF(D2137="","",AA2137*Z2137/100)</f>
        <v/>
      </c>
      <c r="Z2137" s="5">
        <f>IF(D2137="","",W2137-X2137)</f>
        <v/>
      </c>
      <c r="AC2137" s="5">
        <f>IF(D2137="","",Z2137-Y2137)</f>
        <v/>
      </c>
      <c r="AD2137">
        <f>IF(D2137="","",N(AD2136)+IF(MATCH(D2137,$D$2:$D$2501,0)=ROW()-1,1,0))</f>
        <v/>
      </c>
    </row>
    <row r="2138">
      <c r="X2138" s="5">
        <f>IF(D2138="","",W2138*IF(AND(ISNUMBER(AB2138),AB2138&gt;0,AB2138&lt;1),AB2138*100,AB2138)/100)</f>
        <v/>
      </c>
      <c r="Y2138" s="5">
        <f>IF(D2138="","",AA2138*Z2138/100)</f>
        <v/>
      </c>
      <c r="Z2138" s="5">
        <f>IF(D2138="","",W2138-X2138)</f>
        <v/>
      </c>
      <c r="AC2138" s="5">
        <f>IF(D2138="","",Z2138-Y2138)</f>
        <v/>
      </c>
      <c r="AD2138">
        <f>IF(D2138="","",N(AD2137)+IF(MATCH(D2138,$D$2:$D$2501,0)=ROW()-1,1,0))</f>
        <v/>
      </c>
    </row>
    <row r="2139">
      <c r="X2139" s="5">
        <f>IF(D2139="","",W2139*IF(AND(ISNUMBER(AB2139),AB2139&gt;0,AB2139&lt;1),AB2139*100,AB2139)/100)</f>
        <v/>
      </c>
      <c r="Y2139" s="5">
        <f>IF(D2139="","",AA2139*Z2139/100)</f>
        <v/>
      </c>
      <c r="Z2139" s="5">
        <f>IF(D2139="","",W2139-X2139)</f>
        <v/>
      </c>
      <c r="AC2139" s="5">
        <f>IF(D2139="","",Z2139-Y2139)</f>
        <v/>
      </c>
      <c r="AD2139">
        <f>IF(D2139="","",N(AD2138)+IF(MATCH(D2139,$D$2:$D$2501,0)=ROW()-1,1,0))</f>
        <v/>
      </c>
    </row>
    <row r="2140">
      <c r="X2140" s="5">
        <f>IF(D2140="","",W2140*IF(AND(ISNUMBER(AB2140),AB2140&gt;0,AB2140&lt;1),AB2140*100,AB2140)/100)</f>
        <v/>
      </c>
      <c r="Y2140" s="5">
        <f>IF(D2140="","",AA2140*Z2140/100)</f>
        <v/>
      </c>
      <c r="Z2140" s="5">
        <f>IF(D2140="","",W2140-X2140)</f>
        <v/>
      </c>
      <c r="AC2140" s="5">
        <f>IF(D2140="","",Z2140-Y2140)</f>
        <v/>
      </c>
      <c r="AD2140">
        <f>IF(D2140="","",N(AD2139)+IF(MATCH(D2140,$D$2:$D$2501,0)=ROW()-1,1,0))</f>
        <v/>
      </c>
    </row>
    <row r="2141">
      <c r="X2141" s="5">
        <f>IF(D2141="","",W2141*IF(AND(ISNUMBER(AB2141),AB2141&gt;0,AB2141&lt;1),AB2141*100,AB2141)/100)</f>
        <v/>
      </c>
      <c r="Y2141" s="5">
        <f>IF(D2141="","",AA2141*Z2141/100)</f>
        <v/>
      </c>
      <c r="Z2141" s="5">
        <f>IF(D2141="","",W2141-X2141)</f>
        <v/>
      </c>
      <c r="AC2141" s="5">
        <f>IF(D2141="","",Z2141-Y2141)</f>
        <v/>
      </c>
      <c r="AD2141">
        <f>IF(D2141="","",N(AD2140)+IF(MATCH(D2141,$D$2:$D$2501,0)=ROW()-1,1,0))</f>
        <v/>
      </c>
    </row>
    <row r="2142">
      <c r="X2142" s="5">
        <f>IF(D2142="","",W2142*IF(AND(ISNUMBER(AB2142),AB2142&gt;0,AB2142&lt;1),AB2142*100,AB2142)/100)</f>
        <v/>
      </c>
      <c r="Y2142" s="5">
        <f>IF(D2142="","",AA2142*Z2142/100)</f>
        <v/>
      </c>
      <c r="Z2142" s="5">
        <f>IF(D2142="","",W2142-X2142)</f>
        <v/>
      </c>
      <c r="AC2142" s="5">
        <f>IF(D2142="","",Z2142-Y2142)</f>
        <v/>
      </c>
      <c r="AD2142">
        <f>IF(D2142="","",N(AD2141)+IF(MATCH(D2142,$D$2:$D$2501,0)=ROW()-1,1,0))</f>
        <v/>
      </c>
    </row>
    <row r="2143">
      <c r="X2143" s="5">
        <f>IF(D2143="","",W2143*IF(AND(ISNUMBER(AB2143),AB2143&gt;0,AB2143&lt;1),AB2143*100,AB2143)/100)</f>
        <v/>
      </c>
      <c r="Y2143" s="5">
        <f>IF(D2143="","",AA2143*Z2143/100)</f>
        <v/>
      </c>
      <c r="Z2143" s="5">
        <f>IF(D2143="","",W2143-X2143)</f>
        <v/>
      </c>
      <c r="AC2143" s="5">
        <f>IF(D2143="","",Z2143-Y2143)</f>
        <v/>
      </c>
      <c r="AD2143">
        <f>IF(D2143="","",N(AD2142)+IF(MATCH(D2143,$D$2:$D$2501,0)=ROW()-1,1,0))</f>
        <v/>
      </c>
    </row>
    <row r="2144">
      <c r="X2144" s="5">
        <f>IF(D2144="","",W2144*IF(AND(ISNUMBER(AB2144),AB2144&gt;0,AB2144&lt;1),AB2144*100,AB2144)/100)</f>
        <v/>
      </c>
      <c r="Y2144" s="5">
        <f>IF(D2144="","",AA2144*Z2144/100)</f>
        <v/>
      </c>
      <c r="Z2144" s="5">
        <f>IF(D2144="","",W2144-X2144)</f>
        <v/>
      </c>
      <c r="AC2144" s="5">
        <f>IF(D2144="","",Z2144-Y2144)</f>
        <v/>
      </c>
      <c r="AD2144">
        <f>IF(D2144="","",N(AD2143)+IF(MATCH(D2144,$D$2:$D$2501,0)=ROW()-1,1,0))</f>
        <v/>
      </c>
    </row>
    <row r="2145">
      <c r="X2145" s="5">
        <f>IF(D2145="","",W2145*IF(AND(ISNUMBER(AB2145),AB2145&gt;0,AB2145&lt;1),AB2145*100,AB2145)/100)</f>
        <v/>
      </c>
      <c r="Y2145" s="5">
        <f>IF(D2145="","",AA2145*Z2145/100)</f>
        <v/>
      </c>
      <c r="Z2145" s="5">
        <f>IF(D2145="","",W2145-X2145)</f>
        <v/>
      </c>
      <c r="AC2145" s="5">
        <f>IF(D2145="","",Z2145-Y2145)</f>
        <v/>
      </c>
      <c r="AD2145">
        <f>IF(D2145="","",N(AD2144)+IF(MATCH(D2145,$D$2:$D$2501,0)=ROW()-1,1,0))</f>
        <v/>
      </c>
    </row>
    <row r="2146">
      <c r="X2146" s="5">
        <f>IF(D2146="","",W2146*IF(AND(ISNUMBER(AB2146),AB2146&gt;0,AB2146&lt;1),AB2146*100,AB2146)/100)</f>
        <v/>
      </c>
      <c r="Y2146" s="5">
        <f>IF(D2146="","",AA2146*Z2146/100)</f>
        <v/>
      </c>
      <c r="Z2146" s="5">
        <f>IF(D2146="","",W2146-X2146)</f>
        <v/>
      </c>
      <c r="AC2146" s="5">
        <f>IF(D2146="","",Z2146-Y2146)</f>
        <v/>
      </c>
      <c r="AD2146">
        <f>IF(D2146="","",N(AD2145)+IF(MATCH(D2146,$D$2:$D$2501,0)=ROW()-1,1,0))</f>
        <v/>
      </c>
    </row>
    <row r="2147">
      <c r="X2147" s="5">
        <f>IF(D2147="","",W2147*IF(AND(ISNUMBER(AB2147),AB2147&gt;0,AB2147&lt;1),AB2147*100,AB2147)/100)</f>
        <v/>
      </c>
      <c r="Y2147" s="5">
        <f>IF(D2147="","",AA2147*Z2147/100)</f>
        <v/>
      </c>
      <c r="Z2147" s="5">
        <f>IF(D2147="","",W2147-X2147)</f>
        <v/>
      </c>
      <c r="AC2147" s="5">
        <f>IF(D2147="","",Z2147-Y2147)</f>
        <v/>
      </c>
      <c r="AD2147">
        <f>IF(D2147="","",N(AD2146)+IF(MATCH(D2147,$D$2:$D$2501,0)=ROW()-1,1,0))</f>
        <v/>
      </c>
    </row>
    <row r="2148">
      <c r="X2148" s="5">
        <f>IF(D2148="","",W2148*IF(AND(ISNUMBER(AB2148),AB2148&gt;0,AB2148&lt;1),AB2148*100,AB2148)/100)</f>
        <v/>
      </c>
      <c r="Y2148" s="5">
        <f>IF(D2148="","",AA2148*Z2148/100)</f>
        <v/>
      </c>
      <c r="Z2148" s="5">
        <f>IF(D2148="","",W2148-X2148)</f>
        <v/>
      </c>
      <c r="AC2148" s="5">
        <f>IF(D2148="","",Z2148-Y2148)</f>
        <v/>
      </c>
      <c r="AD2148">
        <f>IF(D2148="","",N(AD2147)+IF(MATCH(D2148,$D$2:$D$2501,0)=ROW()-1,1,0))</f>
        <v/>
      </c>
    </row>
    <row r="2149">
      <c r="X2149" s="5">
        <f>IF(D2149="","",W2149*IF(AND(ISNUMBER(AB2149),AB2149&gt;0,AB2149&lt;1),AB2149*100,AB2149)/100)</f>
        <v/>
      </c>
      <c r="Y2149" s="5">
        <f>IF(D2149="","",AA2149*Z2149/100)</f>
        <v/>
      </c>
      <c r="Z2149" s="5">
        <f>IF(D2149="","",W2149-X2149)</f>
        <v/>
      </c>
      <c r="AC2149" s="5">
        <f>IF(D2149="","",Z2149-Y2149)</f>
        <v/>
      </c>
      <c r="AD2149">
        <f>IF(D2149="","",N(AD2148)+IF(MATCH(D2149,$D$2:$D$2501,0)=ROW()-1,1,0))</f>
        <v/>
      </c>
    </row>
    <row r="2150">
      <c r="X2150" s="5">
        <f>IF(D2150="","",W2150*IF(AND(ISNUMBER(AB2150),AB2150&gt;0,AB2150&lt;1),AB2150*100,AB2150)/100)</f>
        <v/>
      </c>
      <c r="Y2150" s="5">
        <f>IF(D2150="","",AA2150*Z2150/100)</f>
        <v/>
      </c>
      <c r="Z2150" s="5">
        <f>IF(D2150="","",W2150-X2150)</f>
        <v/>
      </c>
      <c r="AC2150" s="5">
        <f>IF(D2150="","",Z2150-Y2150)</f>
        <v/>
      </c>
      <c r="AD2150">
        <f>IF(D2150="","",N(AD2149)+IF(MATCH(D2150,$D$2:$D$2501,0)=ROW()-1,1,0))</f>
        <v/>
      </c>
    </row>
    <row r="2151">
      <c r="X2151" s="5">
        <f>IF(D2151="","",W2151*IF(AND(ISNUMBER(AB2151),AB2151&gt;0,AB2151&lt;1),AB2151*100,AB2151)/100)</f>
        <v/>
      </c>
      <c r="Y2151" s="5">
        <f>IF(D2151="","",AA2151*Z2151/100)</f>
        <v/>
      </c>
      <c r="Z2151" s="5">
        <f>IF(D2151="","",W2151-X2151)</f>
        <v/>
      </c>
      <c r="AC2151" s="5">
        <f>IF(D2151="","",Z2151-Y2151)</f>
        <v/>
      </c>
      <c r="AD2151">
        <f>IF(D2151="","",N(AD2150)+IF(MATCH(D2151,$D$2:$D$2501,0)=ROW()-1,1,0))</f>
        <v/>
      </c>
    </row>
    <row r="2152">
      <c r="X2152" s="5">
        <f>IF(D2152="","",W2152*IF(AND(ISNUMBER(AB2152),AB2152&gt;0,AB2152&lt;1),AB2152*100,AB2152)/100)</f>
        <v/>
      </c>
      <c r="Y2152" s="5">
        <f>IF(D2152="","",AA2152*Z2152/100)</f>
        <v/>
      </c>
      <c r="Z2152" s="5">
        <f>IF(D2152="","",W2152-X2152)</f>
        <v/>
      </c>
      <c r="AC2152" s="5">
        <f>IF(D2152="","",Z2152-Y2152)</f>
        <v/>
      </c>
      <c r="AD2152">
        <f>IF(D2152="","",N(AD2151)+IF(MATCH(D2152,$D$2:$D$2501,0)=ROW()-1,1,0))</f>
        <v/>
      </c>
    </row>
    <row r="2153">
      <c r="X2153" s="5">
        <f>IF(D2153="","",W2153*IF(AND(ISNUMBER(AB2153),AB2153&gt;0,AB2153&lt;1),AB2153*100,AB2153)/100)</f>
        <v/>
      </c>
      <c r="Y2153" s="5">
        <f>IF(D2153="","",AA2153*Z2153/100)</f>
        <v/>
      </c>
      <c r="Z2153" s="5">
        <f>IF(D2153="","",W2153-X2153)</f>
        <v/>
      </c>
      <c r="AC2153" s="5">
        <f>IF(D2153="","",Z2153-Y2153)</f>
        <v/>
      </c>
      <c r="AD2153">
        <f>IF(D2153="","",N(AD2152)+IF(MATCH(D2153,$D$2:$D$2501,0)=ROW()-1,1,0))</f>
        <v/>
      </c>
    </row>
    <row r="2154">
      <c r="X2154" s="5">
        <f>IF(D2154="","",W2154*IF(AND(ISNUMBER(AB2154),AB2154&gt;0,AB2154&lt;1),AB2154*100,AB2154)/100)</f>
        <v/>
      </c>
      <c r="Y2154" s="5">
        <f>IF(D2154="","",AA2154*Z2154/100)</f>
        <v/>
      </c>
      <c r="Z2154" s="5">
        <f>IF(D2154="","",W2154-X2154)</f>
        <v/>
      </c>
      <c r="AC2154" s="5">
        <f>IF(D2154="","",Z2154-Y2154)</f>
        <v/>
      </c>
      <c r="AD2154">
        <f>IF(D2154="","",N(AD2153)+IF(MATCH(D2154,$D$2:$D$2501,0)=ROW()-1,1,0))</f>
        <v/>
      </c>
    </row>
    <row r="2155">
      <c r="X2155" s="5">
        <f>IF(D2155="","",W2155*IF(AND(ISNUMBER(AB2155),AB2155&gt;0,AB2155&lt;1),AB2155*100,AB2155)/100)</f>
        <v/>
      </c>
      <c r="Y2155" s="5">
        <f>IF(D2155="","",AA2155*Z2155/100)</f>
        <v/>
      </c>
      <c r="Z2155" s="5">
        <f>IF(D2155="","",W2155-X2155)</f>
        <v/>
      </c>
      <c r="AC2155" s="5">
        <f>IF(D2155="","",Z2155-Y2155)</f>
        <v/>
      </c>
      <c r="AD2155">
        <f>IF(D2155="","",N(AD2154)+IF(MATCH(D2155,$D$2:$D$2501,0)=ROW()-1,1,0))</f>
        <v/>
      </c>
    </row>
    <row r="2156">
      <c r="X2156" s="5">
        <f>IF(D2156="","",W2156*IF(AND(ISNUMBER(AB2156),AB2156&gt;0,AB2156&lt;1),AB2156*100,AB2156)/100)</f>
        <v/>
      </c>
      <c r="Y2156" s="5">
        <f>IF(D2156="","",AA2156*Z2156/100)</f>
        <v/>
      </c>
      <c r="Z2156" s="5">
        <f>IF(D2156="","",W2156-X2156)</f>
        <v/>
      </c>
      <c r="AC2156" s="5">
        <f>IF(D2156="","",Z2156-Y2156)</f>
        <v/>
      </c>
      <c r="AD2156">
        <f>IF(D2156="","",N(AD2155)+IF(MATCH(D2156,$D$2:$D$2501,0)=ROW()-1,1,0))</f>
        <v/>
      </c>
    </row>
    <row r="2157">
      <c r="X2157" s="5">
        <f>IF(D2157="","",W2157*IF(AND(ISNUMBER(AB2157),AB2157&gt;0,AB2157&lt;1),AB2157*100,AB2157)/100)</f>
        <v/>
      </c>
      <c r="Y2157" s="5">
        <f>IF(D2157="","",AA2157*Z2157/100)</f>
        <v/>
      </c>
      <c r="Z2157" s="5">
        <f>IF(D2157="","",W2157-X2157)</f>
        <v/>
      </c>
      <c r="AC2157" s="5">
        <f>IF(D2157="","",Z2157-Y2157)</f>
        <v/>
      </c>
      <c r="AD2157">
        <f>IF(D2157="","",N(AD2156)+IF(MATCH(D2157,$D$2:$D$2501,0)=ROW()-1,1,0))</f>
        <v/>
      </c>
    </row>
    <row r="2158">
      <c r="X2158" s="5">
        <f>IF(D2158="","",W2158*IF(AND(ISNUMBER(AB2158),AB2158&gt;0,AB2158&lt;1),AB2158*100,AB2158)/100)</f>
        <v/>
      </c>
      <c r="Y2158" s="5">
        <f>IF(D2158="","",AA2158*Z2158/100)</f>
        <v/>
      </c>
      <c r="Z2158" s="5">
        <f>IF(D2158="","",W2158-X2158)</f>
        <v/>
      </c>
      <c r="AC2158" s="5">
        <f>IF(D2158="","",Z2158-Y2158)</f>
        <v/>
      </c>
      <c r="AD2158">
        <f>IF(D2158="","",N(AD2157)+IF(MATCH(D2158,$D$2:$D$2501,0)=ROW()-1,1,0))</f>
        <v/>
      </c>
    </row>
    <row r="2159">
      <c r="X2159" s="5">
        <f>IF(D2159="","",W2159*IF(AND(ISNUMBER(AB2159),AB2159&gt;0,AB2159&lt;1),AB2159*100,AB2159)/100)</f>
        <v/>
      </c>
      <c r="Y2159" s="5">
        <f>IF(D2159="","",AA2159*Z2159/100)</f>
        <v/>
      </c>
      <c r="Z2159" s="5">
        <f>IF(D2159="","",W2159-X2159)</f>
        <v/>
      </c>
      <c r="AC2159" s="5">
        <f>IF(D2159="","",Z2159-Y2159)</f>
        <v/>
      </c>
      <c r="AD2159">
        <f>IF(D2159="","",N(AD2158)+IF(MATCH(D2159,$D$2:$D$2501,0)=ROW()-1,1,0))</f>
        <v/>
      </c>
    </row>
    <row r="2160">
      <c r="X2160" s="5">
        <f>IF(D2160="","",W2160*IF(AND(ISNUMBER(AB2160),AB2160&gt;0,AB2160&lt;1),AB2160*100,AB2160)/100)</f>
        <v/>
      </c>
      <c r="Y2160" s="5">
        <f>IF(D2160="","",AA2160*Z2160/100)</f>
        <v/>
      </c>
      <c r="Z2160" s="5">
        <f>IF(D2160="","",W2160-X2160)</f>
        <v/>
      </c>
      <c r="AC2160" s="5">
        <f>IF(D2160="","",Z2160-Y2160)</f>
        <v/>
      </c>
      <c r="AD2160">
        <f>IF(D2160="","",N(AD2159)+IF(MATCH(D2160,$D$2:$D$2501,0)=ROW()-1,1,0))</f>
        <v/>
      </c>
    </row>
    <row r="2161">
      <c r="X2161" s="5">
        <f>IF(D2161="","",W2161*IF(AND(ISNUMBER(AB2161),AB2161&gt;0,AB2161&lt;1),AB2161*100,AB2161)/100)</f>
        <v/>
      </c>
      <c r="Y2161" s="5">
        <f>IF(D2161="","",AA2161*Z2161/100)</f>
        <v/>
      </c>
      <c r="Z2161" s="5">
        <f>IF(D2161="","",W2161-X2161)</f>
        <v/>
      </c>
      <c r="AC2161" s="5">
        <f>IF(D2161="","",Z2161-Y2161)</f>
        <v/>
      </c>
      <c r="AD2161">
        <f>IF(D2161="","",N(AD2160)+IF(MATCH(D2161,$D$2:$D$2501,0)=ROW()-1,1,0))</f>
        <v/>
      </c>
    </row>
    <row r="2162">
      <c r="X2162" s="5">
        <f>IF(D2162="","",W2162*IF(AND(ISNUMBER(AB2162),AB2162&gt;0,AB2162&lt;1),AB2162*100,AB2162)/100)</f>
        <v/>
      </c>
      <c r="Y2162" s="5">
        <f>IF(D2162="","",AA2162*Z2162/100)</f>
        <v/>
      </c>
      <c r="Z2162" s="5">
        <f>IF(D2162="","",W2162-X2162)</f>
        <v/>
      </c>
      <c r="AC2162" s="5">
        <f>IF(D2162="","",Z2162-Y2162)</f>
        <v/>
      </c>
      <c r="AD2162">
        <f>IF(D2162="","",N(AD2161)+IF(MATCH(D2162,$D$2:$D$2501,0)=ROW()-1,1,0))</f>
        <v/>
      </c>
    </row>
    <row r="2163">
      <c r="X2163" s="5">
        <f>IF(D2163="","",W2163*IF(AND(ISNUMBER(AB2163),AB2163&gt;0,AB2163&lt;1),AB2163*100,AB2163)/100)</f>
        <v/>
      </c>
      <c r="Y2163" s="5">
        <f>IF(D2163="","",AA2163*Z2163/100)</f>
        <v/>
      </c>
      <c r="Z2163" s="5">
        <f>IF(D2163="","",W2163-X2163)</f>
        <v/>
      </c>
      <c r="AC2163" s="5">
        <f>IF(D2163="","",Z2163-Y2163)</f>
        <v/>
      </c>
      <c r="AD2163">
        <f>IF(D2163="","",N(AD2162)+IF(MATCH(D2163,$D$2:$D$2501,0)=ROW()-1,1,0))</f>
        <v/>
      </c>
    </row>
    <row r="2164">
      <c r="X2164" s="5">
        <f>IF(D2164="","",W2164*IF(AND(ISNUMBER(AB2164),AB2164&gt;0,AB2164&lt;1),AB2164*100,AB2164)/100)</f>
        <v/>
      </c>
      <c r="Y2164" s="5">
        <f>IF(D2164="","",AA2164*Z2164/100)</f>
        <v/>
      </c>
      <c r="Z2164" s="5">
        <f>IF(D2164="","",W2164-X2164)</f>
        <v/>
      </c>
      <c r="AC2164" s="5">
        <f>IF(D2164="","",Z2164-Y2164)</f>
        <v/>
      </c>
      <c r="AD2164">
        <f>IF(D2164="","",N(AD2163)+IF(MATCH(D2164,$D$2:$D$2501,0)=ROW()-1,1,0))</f>
        <v/>
      </c>
    </row>
    <row r="2165">
      <c r="X2165" s="5">
        <f>IF(D2165="","",W2165*IF(AND(ISNUMBER(AB2165),AB2165&gt;0,AB2165&lt;1),AB2165*100,AB2165)/100)</f>
        <v/>
      </c>
      <c r="Y2165" s="5">
        <f>IF(D2165="","",AA2165*Z2165/100)</f>
        <v/>
      </c>
      <c r="Z2165" s="5">
        <f>IF(D2165="","",W2165-X2165)</f>
        <v/>
      </c>
      <c r="AC2165" s="5">
        <f>IF(D2165="","",Z2165-Y2165)</f>
        <v/>
      </c>
      <c r="AD2165">
        <f>IF(D2165="","",N(AD2164)+IF(MATCH(D2165,$D$2:$D$2501,0)=ROW()-1,1,0))</f>
        <v/>
      </c>
    </row>
    <row r="2166">
      <c r="X2166" s="5">
        <f>IF(D2166="","",W2166*IF(AND(ISNUMBER(AB2166),AB2166&gt;0,AB2166&lt;1),AB2166*100,AB2166)/100)</f>
        <v/>
      </c>
      <c r="Y2166" s="5">
        <f>IF(D2166="","",AA2166*Z2166/100)</f>
        <v/>
      </c>
      <c r="Z2166" s="5">
        <f>IF(D2166="","",W2166-X2166)</f>
        <v/>
      </c>
      <c r="AC2166" s="5">
        <f>IF(D2166="","",Z2166-Y2166)</f>
        <v/>
      </c>
      <c r="AD2166">
        <f>IF(D2166="","",N(AD2165)+IF(MATCH(D2166,$D$2:$D$2501,0)=ROW()-1,1,0))</f>
        <v/>
      </c>
    </row>
    <row r="2167">
      <c r="X2167" s="5">
        <f>IF(D2167="","",W2167*IF(AND(ISNUMBER(AB2167),AB2167&gt;0,AB2167&lt;1),AB2167*100,AB2167)/100)</f>
        <v/>
      </c>
      <c r="Y2167" s="5">
        <f>IF(D2167="","",AA2167*Z2167/100)</f>
        <v/>
      </c>
      <c r="Z2167" s="5">
        <f>IF(D2167="","",W2167-X2167)</f>
        <v/>
      </c>
      <c r="AC2167" s="5">
        <f>IF(D2167="","",Z2167-Y2167)</f>
        <v/>
      </c>
      <c r="AD2167">
        <f>IF(D2167="","",N(AD2166)+IF(MATCH(D2167,$D$2:$D$2501,0)=ROW()-1,1,0))</f>
        <v/>
      </c>
    </row>
    <row r="2168">
      <c r="X2168" s="5">
        <f>IF(D2168="","",W2168*IF(AND(ISNUMBER(AB2168),AB2168&gt;0,AB2168&lt;1),AB2168*100,AB2168)/100)</f>
        <v/>
      </c>
      <c r="Y2168" s="5">
        <f>IF(D2168="","",AA2168*Z2168/100)</f>
        <v/>
      </c>
      <c r="Z2168" s="5">
        <f>IF(D2168="","",W2168-X2168)</f>
        <v/>
      </c>
      <c r="AC2168" s="5">
        <f>IF(D2168="","",Z2168-Y2168)</f>
        <v/>
      </c>
      <c r="AD2168">
        <f>IF(D2168="","",N(AD2167)+IF(MATCH(D2168,$D$2:$D$2501,0)=ROW()-1,1,0))</f>
        <v/>
      </c>
    </row>
    <row r="2169">
      <c r="X2169" s="5">
        <f>IF(D2169="","",W2169*IF(AND(ISNUMBER(AB2169),AB2169&gt;0,AB2169&lt;1),AB2169*100,AB2169)/100)</f>
        <v/>
      </c>
      <c r="Y2169" s="5">
        <f>IF(D2169="","",AA2169*Z2169/100)</f>
        <v/>
      </c>
      <c r="Z2169" s="5">
        <f>IF(D2169="","",W2169-X2169)</f>
        <v/>
      </c>
      <c r="AC2169" s="5">
        <f>IF(D2169="","",Z2169-Y2169)</f>
        <v/>
      </c>
      <c r="AD2169">
        <f>IF(D2169="","",N(AD2168)+IF(MATCH(D2169,$D$2:$D$2501,0)=ROW()-1,1,0))</f>
        <v/>
      </c>
    </row>
    <row r="2170">
      <c r="X2170" s="5">
        <f>IF(D2170="","",W2170*IF(AND(ISNUMBER(AB2170),AB2170&gt;0,AB2170&lt;1),AB2170*100,AB2170)/100)</f>
        <v/>
      </c>
      <c r="Y2170" s="5">
        <f>IF(D2170="","",AA2170*Z2170/100)</f>
        <v/>
      </c>
      <c r="Z2170" s="5">
        <f>IF(D2170="","",W2170-X2170)</f>
        <v/>
      </c>
      <c r="AC2170" s="5">
        <f>IF(D2170="","",Z2170-Y2170)</f>
        <v/>
      </c>
      <c r="AD2170">
        <f>IF(D2170="","",N(AD2169)+IF(MATCH(D2170,$D$2:$D$2501,0)=ROW()-1,1,0))</f>
        <v/>
      </c>
    </row>
    <row r="2171">
      <c r="X2171" s="5">
        <f>IF(D2171="","",W2171*IF(AND(ISNUMBER(AB2171),AB2171&gt;0,AB2171&lt;1),AB2171*100,AB2171)/100)</f>
        <v/>
      </c>
      <c r="Y2171" s="5">
        <f>IF(D2171="","",AA2171*Z2171/100)</f>
        <v/>
      </c>
      <c r="Z2171" s="5">
        <f>IF(D2171="","",W2171-X2171)</f>
        <v/>
      </c>
      <c r="AC2171" s="5">
        <f>IF(D2171="","",Z2171-Y2171)</f>
        <v/>
      </c>
      <c r="AD2171">
        <f>IF(D2171="","",N(AD2170)+IF(MATCH(D2171,$D$2:$D$2501,0)=ROW()-1,1,0))</f>
        <v/>
      </c>
    </row>
    <row r="2172">
      <c r="X2172" s="5">
        <f>IF(D2172="","",W2172*IF(AND(ISNUMBER(AB2172),AB2172&gt;0,AB2172&lt;1),AB2172*100,AB2172)/100)</f>
        <v/>
      </c>
      <c r="Y2172" s="5">
        <f>IF(D2172="","",AA2172*Z2172/100)</f>
        <v/>
      </c>
      <c r="Z2172" s="5">
        <f>IF(D2172="","",W2172-X2172)</f>
        <v/>
      </c>
      <c r="AC2172" s="5">
        <f>IF(D2172="","",Z2172-Y2172)</f>
        <v/>
      </c>
      <c r="AD2172">
        <f>IF(D2172="","",N(AD2171)+IF(MATCH(D2172,$D$2:$D$2501,0)=ROW()-1,1,0))</f>
        <v/>
      </c>
    </row>
    <row r="2173">
      <c r="X2173" s="5">
        <f>IF(D2173="","",W2173*IF(AND(ISNUMBER(AB2173),AB2173&gt;0,AB2173&lt;1),AB2173*100,AB2173)/100)</f>
        <v/>
      </c>
      <c r="Y2173" s="5">
        <f>IF(D2173="","",AA2173*Z2173/100)</f>
        <v/>
      </c>
      <c r="Z2173" s="5">
        <f>IF(D2173="","",W2173-X2173)</f>
        <v/>
      </c>
      <c r="AC2173" s="5">
        <f>IF(D2173="","",Z2173-Y2173)</f>
        <v/>
      </c>
      <c r="AD2173">
        <f>IF(D2173="","",N(AD2172)+IF(MATCH(D2173,$D$2:$D$2501,0)=ROW()-1,1,0))</f>
        <v/>
      </c>
    </row>
    <row r="2174">
      <c r="X2174" s="5">
        <f>IF(D2174="","",W2174*IF(AND(ISNUMBER(AB2174),AB2174&gt;0,AB2174&lt;1),AB2174*100,AB2174)/100)</f>
        <v/>
      </c>
      <c r="Y2174" s="5">
        <f>IF(D2174="","",AA2174*Z2174/100)</f>
        <v/>
      </c>
      <c r="Z2174" s="5">
        <f>IF(D2174="","",W2174-X2174)</f>
        <v/>
      </c>
      <c r="AC2174" s="5">
        <f>IF(D2174="","",Z2174-Y2174)</f>
        <v/>
      </c>
      <c r="AD2174">
        <f>IF(D2174="","",N(AD2173)+IF(MATCH(D2174,$D$2:$D$2501,0)=ROW()-1,1,0))</f>
        <v/>
      </c>
    </row>
    <row r="2175">
      <c r="X2175" s="5">
        <f>IF(D2175="","",W2175*IF(AND(ISNUMBER(AB2175),AB2175&gt;0,AB2175&lt;1),AB2175*100,AB2175)/100)</f>
        <v/>
      </c>
      <c r="Y2175" s="5">
        <f>IF(D2175="","",AA2175*Z2175/100)</f>
        <v/>
      </c>
      <c r="Z2175" s="5">
        <f>IF(D2175="","",W2175-X2175)</f>
        <v/>
      </c>
      <c r="AC2175" s="5">
        <f>IF(D2175="","",Z2175-Y2175)</f>
        <v/>
      </c>
      <c r="AD2175">
        <f>IF(D2175="","",N(AD2174)+IF(MATCH(D2175,$D$2:$D$2501,0)=ROW()-1,1,0))</f>
        <v/>
      </c>
    </row>
    <row r="2176">
      <c r="X2176" s="5">
        <f>IF(D2176="","",W2176*IF(AND(ISNUMBER(AB2176),AB2176&gt;0,AB2176&lt;1),AB2176*100,AB2176)/100)</f>
        <v/>
      </c>
      <c r="Y2176" s="5">
        <f>IF(D2176="","",AA2176*Z2176/100)</f>
        <v/>
      </c>
      <c r="Z2176" s="5">
        <f>IF(D2176="","",W2176-X2176)</f>
        <v/>
      </c>
      <c r="AC2176" s="5">
        <f>IF(D2176="","",Z2176-Y2176)</f>
        <v/>
      </c>
      <c r="AD2176">
        <f>IF(D2176="","",N(AD2175)+IF(MATCH(D2176,$D$2:$D$2501,0)=ROW()-1,1,0))</f>
        <v/>
      </c>
    </row>
    <row r="2177">
      <c r="X2177" s="5">
        <f>IF(D2177="","",W2177*IF(AND(ISNUMBER(AB2177),AB2177&gt;0,AB2177&lt;1),AB2177*100,AB2177)/100)</f>
        <v/>
      </c>
      <c r="Y2177" s="5">
        <f>IF(D2177="","",AA2177*Z2177/100)</f>
        <v/>
      </c>
      <c r="Z2177" s="5">
        <f>IF(D2177="","",W2177-X2177)</f>
        <v/>
      </c>
      <c r="AC2177" s="5">
        <f>IF(D2177="","",Z2177-Y2177)</f>
        <v/>
      </c>
      <c r="AD2177">
        <f>IF(D2177="","",N(AD2176)+IF(MATCH(D2177,$D$2:$D$2501,0)=ROW()-1,1,0))</f>
        <v/>
      </c>
    </row>
    <row r="2178">
      <c r="X2178" s="5">
        <f>IF(D2178="","",W2178*IF(AND(ISNUMBER(AB2178),AB2178&gt;0,AB2178&lt;1),AB2178*100,AB2178)/100)</f>
        <v/>
      </c>
      <c r="Y2178" s="5">
        <f>IF(D2178="","",AA2178*Z2178/100)</f>
        <v/>
      </c>
      <c r="Z2178" s="5">
        <f>IF(D2178="","",W2178-X2178)</f>
        <v/>
      </c>
      <c r="AC2178" s="5">
        <f>IF(D2178="","",Z2178-Y2178)</f>
        <v/>
      </c>
      <c r="AD2178">
        <f>IF(D2178="","",N(AD2177)+IF(MATCH(D2178,$D$2:$D$2501,0)=ROW()-1,1,0))</f>
        <v/>
      </c>
    </row>
    <row r="2179">
      <c r="X2179" s="5">
        <f>IF(D2179="","",W2179*IF(AND(ISNUMBER(AB2179),AB2179&gt;0,AB2179&lt;1),AB2179*100,AB2179)/100)</f>
        <v/>
      </c>
      <c r="Y2179" s="5">
        <f>IF(D2179="","",AA2179*Z2179/100)</f>
        <v/>
      </c>
      <c r="Z2179" s="5">
        <f>IF(D2179="","",W2179-X2179)</f>
        <v/>
      </c>
      <c r="AC2179" s="5">
        <f>IF(D2179="","",Z2179-Y2179)</f>
        <v/>
      </c>
      <c r="AD2179">
        <f>IF(D2179="","",N(AD2178)+IF(MATCH(D2179,$D$2:$D$2501,0)=ROW()-1,1,0))</f>
        <v/>
      </c>
    </row>
    <row r="2180">
      <c r="X2180" s="5">
        <f>IF(D2180="","",W2180*IF(AND(ISNUMBER(AB2180),AB2180&gt;0,AB2180&lt;1),AB2180*100,AB2180)/100)</f>
        <v/>
      </c>
      <c r="Y2180" s="5">
        <f>IF(D2180="","",AA2180*Z2180/100)</f>
        <v/>
      </c>
      <c r="Z2180" s="5">
        <f>IF(D2180="","",W2180-X2180)</f>
        <v/>
      </c>
      <c r="AC2180" s="5">
        <f>IF(D2180="","",Z2180-Y2180)</f>
        <v/>
      </c>
      <c r="AD2180">
        <f>IF(D2180="","",N(AD2179)+IF(MATCH(D2180,$D$2:$D$2501,0)=ROW()-1,1,0))</f>
        <v/>
      </c>
    </row>
    <row r="2181">
      <c r="X2181" s="5">
        <f>IF(D2181="","",W2181*IF(AND(ISNUMBER(AB2181),AB2181&gt;0,AB2181&lt;1),AB2181*100,AB2181)/100)</f>
        <v/>
      </c>
      <c r="Y2181" s="5">
        <f>IF(D2181="","",AA2181*Z2181/100)</f>
        <v/>
      </c>
      <c r="Z2181" s="5">
        <f>IF(D2181="","",W2181-X2181)</f>
        <v/>
      </c>
      <c r="AC2181" s="5">
        <f>IF(D2181="","",Z2181-Y2181)</f>
        <v/>
      </c>
      <c r="AD2181">
        <f>IF(D2181="","",N(AD2180)+IF(MATCH(D2181,$D$2:$D$2501,0)=ROW()-1,1,0))</f>
        <v/>
      </c>
    </row>
    <row r="2182">
      <c r="X2182" s="5">
        <f>IF(D2182="","",W2182*IF(AND(ISNUMBER(AB2182),AB2182&gt;0,AB2182&lt;1),AB2182*100,AB2182)/100)</f>
        <v/>
      </c>
      <c r="Y2182" s="5">
        <f>IF(D2182="","",AA2182*Z2182/100)</f>
        <v/>
      </c>
      <c r="Z2182" s="5">
        <f>IF(D2182="","",W2182-X2182)</f>
        <v/>
      </c>
      <c r="AC2182" s="5">
        <f>IF(D2182="","",Z2182-Y2182)</f>
        <v/>
      </c>
      <c r="AD2182">
        <f>IF(D2182="","",N(AD2181)+IF(MATCH(D2182,$D$2:$D$2501,0)=ROW()-1,1,0))</f>
        <v/>
      </c>
    </row>
    <row r="2183">
      <c r="X2183" s="5">
        <f>IF(D2183="","",W2183*IF(AND(ISNUMBER(AB2183),AB2183&gt;0,AB2183&lt;1),AB2183*100,AB2183)/100)</f>
        <v/>
      </c>
      <c r="Y2183" s="5">
        <f>IF(D2183="","",AA2183*Z2183/100)</f>
        <v/>
      </c>
      <c r="Z2183" s="5">
        <f>IF(D2183="","",W2183-X2183)</f>
        <v/>
      </c>
      <c r="AC2183" s="5">
        <f>IF(D2183="","",Z2183-Y2183)</f>
        <v/>
      </c>
      <c r="AD2183">
        <f>IF(D2183="","",N(AD2182)+IF(MATCH(D2183,$D$2:$D$2501,0)=ROW()-1,1,0))</f>
        <v/>
      </c>
    </row>
    <row r="2184">
      <c r="X2184" s="5">
        <f>IF(D2184="","",W2184*IF(AND(ISNUMBER(AB2184),AB2184&gt;0,AB2184&lt;1),AB2184*100,AB2184)/100)</f>
        <v/>
      </c>
      <c r="Y2184" s="5">
        <f>IF(D2184="","",AA2184*Z2184/100)</f>
        <v/>
      </c>
      <c r="Z2184" s="5">
        <f>IF(D2184="","",W2184-X2184)</f>
        <v/>
      </c>
      <c r="AC2184" s="5">
        <f>IF(D2184="","",Z2184-Y2184)</f>
        <v/>
      </c>
      <c r="AD2184">
        <f>IF(D2184="","",N(AD2183)+IF(MATCH(D2184,$D$2:$D$2501,0)=ROW()-1,1,0))</f>
        <v/>
      </c>
    </row>
    <row r="2185">
      <c r="X2185" s="5">
        <f>IF(D2185="","",W2185*IF(AND(ISNUMBER(AB2185),AB2185&gt;0,AB2185&lt;1),AB2185*100,AB2185)/100)</f>
        <v/>
      </c>
      <c r="Y2185" s="5">
        <f>IF(D2185="","",AA2185*Z2185/100)</f>
        <v/>
      </c>
      <c r="Z2185" s="5">
        <f>IF(D2185="","",W2185-X2185)</f>
        <v/>
      </c>
      <c r="AC2185" s="5">
        <f>IF(D2185="","",Z2185-Y2185)</f>
        <v/>
      </c>
      <c r="AD2185">
        <f>IF(D2185="","",N(AD2184)+IF(MATCH(D2185,$D$2:$D$2501,0)=ROW()-1,1,0))</f>
        <v/>
      </c>
    </row>
    <row r="2186">
      <c r="X2186" s="5">
        <f>IF(D2186="","",W2186*IF(AND(ISNUMBER(AB2186),AB2186&gt;0,AB2186&lt;1),AB2186*100,AB2186)/100)</f>
        <v/>
      </c>
      <c r="Y2186" s="5">
        <f>IF(D2186="","",AA2186*Z2186/100)</f>
        <v/>
      </c>
      <c r="Z2186" s="5">
        <f>IF(D2186="","",W2186-X2186)</f>
        <v/>
      </c>
      <c r="AC2186" s="5">
        <f>IF(D2186="","",Z2186-Y2186)</f>
        <v/>
      </c>
      <c r="AD2186">
        <f>IF(D2186="","",N(AD2185)+IF(MATCH(D2186,$D$2:$D$2501,0)=ROW()-1,1,0))</f>
        <v/>
      </c>
    </row>
    <row r="2187">
      <c r="X2187" s="5">
        <f>IF(D2187="","",W2187*IF(AND(ISNUMBER(AB2187),AB2187&gt;0,AB2187&lt;1),AB2187*100,AB2187)/100)</f>
        <v/>
      </c>
      <c r="Y2187" s="5">
        <f>IF(D2187="","",AA2187*Z2187/100)</f>
        <v/>
      </c>
      <c r="Z2187" s="5">
        <f>IF(D2187="","",W2187-X2187)</f>
        <v/>
      </c>
      <c r="AC2187" s="5">
        <f>IF(D2187="","",Z2187-Y2187)</f>
        <v/>
      </c>
      <c r="AD2187">
        <f>IF(D2187="","",N(AD2186)+IF(MATCH(D2187,$D$2:$D$2501,0)=ROW()-1,1,0))</f>
        <v/>
      </c>
    </row>
    <row r="2188">
      <c r="X2188" s="5">
        <f>IF(D2188="","",W2188*IF(AND(ISNUMBER(AB2188),AB2188&gt;0,AB2188&lt;1),AB2188*100,AB2188)/100)</f>
        <v/>
      </c>
      <c r="Y2188" s="5">
        <f>IF(D2188="","",AA2188*Z2188/100)</f>
        <v/>
      </c>
      <c r="Z2188" s="5">
        <f>IF(D2188="","",W2188-X2188)</f>
        <v/>
      </c>
      <c r="AC2188" s="5">
        <f>IF(D2188="","",Z2188-Y2188)</f>
        <v/>
      </c>
      <c r="AD2188">
        <f>IF(D2188="","",N(AD2187)+IF(MATCH(D2188,$D$2:$D$2501,0)=ROW()-1,1,0))</f>
        <v/>
      </c>
    </row>
    <row r="2189">
      <c r="X2189" s="5">
        <f>IF(D2189="","",W2189*IF(AND(ISNUMBER(AB2189),AB2189&gt;0,AB2189&lt;1),AB2189*100,AB2189)/100)</f>
        <v/>
      </c>
      <c r="Y2189" s="5">
        <f>IF(D2189="","",AA2189*Z2189/100)</f>
        <v/>
      </c>
      <c r="Z2189" s="5">
        <f>IF(D2189="","",W2189-X2189)</f>
        <v/>
      </c>
      <c r="AC2189" s="5">
        <f>IF(D2189="","",Z2189-Y2189)</f>
        <v/>
      </c>
      <c r="AD2189">
        <f>IF(D2189="","",N(AD2188)+IF(MATCH(D2189,$D$2:$D$2501,0)=ROW()-1,1,0))</f>
        <v/>
      </c>
    </row>
    <row r="2190">
      <c r="X2190" s="5">
        <f>IF(D2190="","",W2190*IF(AND(ISNUMBER(AB2190),AB2190&gt;0,AB2190&lt;1),AB2190*100,AB2190)/100)</f>
        <v/>
      </c>
      <c r="Y2190" s="5">
        <f>IF(D2190="","",AA2190*Z2190/100)</f>
        <v/>
      </c>
      <c r="Z2190" s="5">
        <f>IF(D2190="","",W2190-X2190)</f>
        <v/>
      </c>
      <c r="AC2190" s="5">
        <f>IF(D2190="","",Z2190-Y2190)</f>
        <v/>
      </c>
      <c r="AD2190">
        <f>IF(D2190="","",N(AD2189)+IF(MATCH(D2190,$D$2:$D$2501,0)=ROW()-1,1,0))</f>
        <v/>
      </c>
    </row>
    <row r="2191">
      <c r="X2191" s="5">
        <f>IF(D2191="","",W2191*IF(AND(ISNUMBER(AB2191),AB2191&gt;0,AB2191&lt;1),AB2191*100,AB2191)/100)</f>
        <v/>
      </c>
      <c r="Y2191" s="5">
        <f>IF(D2191="","",AA2191*Z2191/100)</f>
        <v/>
      </c>
      <c r="Z2191" s="5">
        <f>IF(D2191="","",W2191-X2191)</f>
        <v/>
      </c>
      <c r="AC2191" s="5">
        <f>IF(D2191="","",Z2191-Y2191)</f>
        <v/>
      </c>
      <c r="AD2191">
        <f>IF(D2191="","",N(AD2190)+IF(MATCH(D2191,$D$2:$D$2501,0)=ROW()-1,1,0))</f>
        <v/>
      </c>
    </row>
    <row r="2192">
      <c r="X2192" s="5">
        <f>IF(D2192="","",W2192*IF(AND(ISNUMBER(AB2192),AB2192&gt;0,AB2192&lt;1),AB2192*100,AB2192)/100)</f>
        <v/>
      </c>
      <c r="Y2192" s="5">
        <f>IF(D2192="","",AA2192*Z2192/100)</f>
        <v/>
      </c>
      <c r="Z2192" s="5">
        <f>IF(D2192="","",W2192-X2192)</f>
        <v/>
      </c>
      <c r="AC2192" s="5">
        <f>IF(D2192="","",Z2192-Y2192)</f>
        <v/>
      </c>
      <c r="AD2192">
        <f>IF(D2192="","",N(AD2191)+IF(MATCH(D2192,$D$2:$D$2501,0)=ROW()-1,1,0))</f>
        <v/>
      </c>
    </row>
    <row r="2193">
      <c r="X2193" s="5">
        <f>IF(D2193="","",W2193*IF(AND(ISNUMBER(AB2193),AB2193&gt;0,AB2193&lt;1),AB2193*100,AB2193)/100)</f>
        <v/>
      </c>
      <c r="Y2193" s="5">
        <f>IF(D2193="","",AA2193*Z2193/100)</f>
        <v/>
      </c>
      <c r="Z2193" s="5">
        <f>IF(D2193="","",W2193-X2193)</f>
        <v/>
      </c>
      <c r="AC2193" s="5">
        <f>IF(D2193="","",Z2193-Y2193)</f>
        <v/>
      </c>
      <c r="AD2193">
        <f>IF(D2193="","",N(AD2192)+IF(MATCH(D2193,$D$2:$D$2501,0)=ROW()-1,1,0))</f>
        <v/>
      </c>
    </row>
    <row r="2194">
      <c r="X2194" s="5">
        <f>IF(D2194="","",W2194*IF(AND(ISNUMBER(AB2194),AB2194&gt;0,AB2194&lt;1),AB2194*100,AB2194)/100)</f>
        <v/>
      </c>
      <c r="Y2194" s="5">
        <f>IF(D2194="","",AA2194*Z2194/100)</f>
        <v/>
      </c>
      <c r="Z2194" s="5">
        <f>IF(D2194="","",W2194-X2194)</f>
        <v/>
      </c>
      <c r="AC2194" s="5">
        <f>IF(D2194="","",Z2194-Y2194)</f>
        <v/>
      </c>
      <c r="AD2194">
        <f>IF(D2194="","",N(AD2193)+IF(MATCH(D2194,$D$2:$D$2501,0)=ROW()-1,1,0))</f>
        <v/>
      </c>
    </row>
    <row r="2195">
      <c r="X2195" s="5">
        <f>IF(D2195="","",W2195*IF(AND(ISNUMBER(AB2195),AB2195&gt;0,AB2195&lt;1),AB2195*100,AB2195)/100)</f>
        <v/>
      </c>
      <c r="Y2195" s="5">
        <f>IF(D2195="","",AA2195*Z2195/100)</f>
        <v/>
      </c>
      <c r="Z2195" s="5">
        <f>IF(D2195="","",W2195-X2195)</f>
        <v/>
      </c>
      <c r="AC2195" s="5">
        <f>IF(D2195="","",Z2195-Y2195)</f>
        <v/>
      </c>
      <c r="AD2195">
        <f>IF(D2195="","",N(AD2194)+IF(MATCH(D2195,$D$2:$D$2501,0)=ROW()-1,1,0))</f>
        <v/>
      </c>
    </row>
    <row r="2196">
      <c r="X2196" s="5">
        <f>IF(D2196="","",W2196*IF(AND(ISNUMBER(AB2196),AB2196&gt;0,AB2196&lt;1),AB2196*100,AB2196)/100)</f>
        <v/>
      </c>
      <c r="Y2196" s="5">
        <f>IF(D2196="","",AA2196*Z2196/100)</f>
        <v/>
      </c>
      <c r="Z2196" s="5">
        <f>IF(D2196="","",W2196-X2196)</f>
        <v/>
      </c>
      <c r="AC2196" s="5">
        <f>IF(D2196="","",Z2196-Y2196)</f>
        <v/>
      </c>
      <c r="AD2196">
        <f>IF(D2196="","",N(AD2195)+IF(MATCH(D2196,$D$2:$D$2501,0)=ROW()-1,1,0))</f>
        <v/>
      </c>
    </row>
    <row r="2197">
      <c r="X2197" s="5">
        <f>IF(D2197="","",W2197*IF(AND(ISNUMBER(AB2197),AB2197&gt;0,AB2197&lt;1),AB2197*100,AB2197)/100)</f>
        <v/>
      </c>
      <c r="Y2197" s="5">
        <f>IF(D2197="","",AA2197*Z2197/100)</f>
        <v/>
      </c>
      <c r="Z2197" s="5">
        <f>IF(D2197="","",W2197-X2197)</f>
        <v/>
      </c>
      <c r="AC2197" s="5">
        <f>IF(D2197="","",Z2197-Y2197)</f>
        <v/>
      </c>
      <c r="AD2197">
        <f>IF(D2197="","",N(AD2196)+IF(MATCH(D2197,$D$2:$D$2501,0)=ROW()-1,1,0))</f>
        <v/>
      </c>
    </row>
    <row r="2198">
      <c r="X2198" s="5">
        <f>IF(D2198="","",W2198*IF(AND(ISNUMBER(AB2198),AB2198&gt;0,AB2198&lt;1),AB2198*100,AB2198)/100)</f>
        <v/>
      </c>
      <c r="Y2198" s="5">
        <f>IF(D2198="","",AA2198*Z2198/100)</f>
        <v/>
      </c>
      <c r="Z2198" s="5">
        <f>IF(D2198="","",W2198-X2198)</f>
        <v/>
      </c>
      <c r="AC2198" s="5">
        <f>IF(D2198="","",Z2198-Y2198)</f>
        <v/>
      </c>
      <c r="AD2198">
        <f>IF(D2198="","",N(AD2197)+IF(MATCH(D2198,$D$2:$D$2501,0)=ROW()-1,1,0))</f>
        <v/>
      </c>
    </row>
    <row r="2199">
      <c r="X2199" s="5">
        <f>IF(D2199="","",W2199*IF(AND(ISNUMBER(AB2199),AB2199&gt;0,AB2199&lt;1),AB2199*100,AB2199)/100)</f>
        <v/>
      </c>
      <c r="Y2199" s="5">
        <f>IF(D2199="","",AA2199*Z2199/100)</f>
        <v/>
      </c>
      <c r="Z2199" s="5">
        <f>IF(D2199="","",W2199-X2199)</f>
        <v/>
      </c>
      <c r="AC2199" s="5">
        <f>IF(D2199="","",Z2199-Y2199)</f>
        <v/>
      </c>
      <c r="AD2199">
        <f>IF(D2199="","",N(AD2198)+IF(MATCH(D2199,$D$2:$D$2501,0)=ROW()-1,1,0))</f>
        <v/>
      </c>
    </row>
    <row r="2200">
      <c r="X2200" s="5">
        <f>IF(D2200="","",W2200*IF(AND(ISNUMBER(AB2200),AB2200&gt;0,AB2200&lt;1),AB2200*100,AB2200)/100)</f>
        <v/>
      </c>
      <c r="Y2200" s="5">
        <f>IF(D2200="","",AA2200*Z2200/100)</f>
        <v/>
      </c>
      <c r="Z2200" s="5">
        <f>IF(D2200="","",W2200-X2200)</f>
        <v/>
      </c>
      <c r="AC2200" s="5">
        <f>IF(D2200="","",Z2200-Y2200)</f>
        <v/>
      </c>
      <c r="AD2200">
        <f>IF(D2200="","",N(AD2199)+IF(MATCH(D2200,$D$2:$D$2501,0)=ROW()-1,1,0))</f>
        <v/>
      </c>
    </row>
    <row r="2201">
      <c r="X2201" s="5">
        <f>IF(D2201="","",W2201*IF(AND(ISNUMBER(AB2201),AB2201&gt;0,AB2201&lt;1),AB2201*100,AB2201)/100)</f>
        <v/>
      </c>
      <c r="Y2201" s="5">
        <f>IF(D2201="","",AA2201*Z2201/100)</f>
        <v/>
      </c>
      <c r="Z2201" s="5">
        <f>IF(D2201="","",W2201-X2201)</f>
        <v/>
      </c>
      <c r="AC2201" s="5">
        <f>IF(D2201="","",Z2201-Y2201)</f>
        <v/>
      </c>
      <c r="AD2201">
        <f>IF(D2201="","",N(AD2200)+IF(MATCH(D2201,$D$2:$D$2501,0)=ROW()-1,1,0))</f>
        <v/>
      </c>
    </row>
    <row r="2202">
      <c r="X2202" s="5">
        <f>IF(D2202="","",W2202*IF(AND(ISNUMBER(AB2202),AB2202&gt;0,AB2202&lt;1),AB2202*100,AB2202)/100)</f>
        <v/>
      </c>
      <c r="Y2202" s="5">
        <f>IF(D2202="","",AA2202*Z2202/100)</f>
        <v/>
      </c>
      <c r="Z2202" s="5">
        <f>IF(D2202="","",W2202-X2202)</f>
        <v/>
      </c>
      <c r="AC2202" s="5">
        <f>IF(D2202="","",Z2202-Y2202)</f>
        <v/>
      </c>
      <c r="AD2202">
        <f>IF(D2202="","",N(AD2201)+IF(MATCH(D2202,$D$2:$D$2501,0)=ROW()-1,1,0))</f>
        <v/>
      </c>
    </row>
    <row r="2203">
      <c r="X2203" s="5">
        <f>IF(D2203="","",W2203*IF(AND(ISNUMBER(AB2203),AB2203&gt;0,AB2203&lt;1),AB2203*100,AB2203)/100)</f>
        <v/>
      </c>
      <c r="Y2203" s="5">
        <f>IF(D2203="","",AA2203*Z2203/100)</f>
        <v/>
      </c>
      <c r="Z2203" s="5">
        <f>IF(D2203="","",W2203-X2203)</f>
        <v/>
      </c>
      <c r="AC2203" s="5">
        <f>IF(D2203="","",Z2203-Y2203)</f>
        <v/>
      </c>
      <c r="AD2203">
        <f>IF(D2203="","",N(AD2202)+IF(MATCH(D2203,$D$2:$D$2501,0)=ROW()-1,1,0))</f>
        <v/>
      </c>
    </row>
    <row r="2204">
      <c r="X2204" s="5">
        <f>IF(D2204="","",W2204*IF(AND(ISNUMBER(AB2204),AB2204&gt;0,AB2204&lt;1),AB2204*100,AB2204)/100)</f>
        <v/>
      </c>
      <c r="Y2204" s="5">
        <f>IF(D2204="","",AA2204*Z2204/100)</f>
        <v/>
      </c>
      <c r="Z2204" s="5">
        <f>IF(D2204="","",W2204-X2204)</f>
        <v/>
      </c>
      <c r="AC2204" s="5">
        <f>IF(D2204="","",Z2204-Y2204)</f>
        <v/>
      </c>
      <c r="AD2204">
        <f>IF(D2204="","",N(AD2203)+IF(MATCH(D2204,$D$2:$D$2501,0)=ROW()-1,1,0))</f>
        <v/>
      </c>
    </row>
    <row r="2205">
      <c r="X2205" s="5">
        <f>IF(D2205="","",W2205*IF(AND(ISNUMBER(AB2205),AB2205&gt;0,AB2205&lt;1),AB2205*100,AB2205)/100)</f>
        <v/>
      </c>
      <c r="Y2205" s="5">
        <f>IF(D2205="","",AA2205*Z2205/100)</f>
        <v/>
      </c>
      <c r="Z2205" s="5">
        <f>IF(D2205="","",W2205-X2205)</f>
        <v/>
      </c>
      <c r="AC2205" s="5">
        <f>IF(D2205="","",Z2205-Y2205)</f>
        <v/>
      </c>
      <c r="AD2205">
        <f>IF(D2205="","",N(AD2204)+IF(MATCH(D2205,$D$2:$D$2501,0)=ROW()-1,1,0))</f>
        <v/>
      </c>
    </row>
    <row r="2206">
      <c r="X2206" s="5">
        <f>IF(D2206="","",W2206*IF(AND(ISNUMBER(AB2206),AB2206&gt;0,AB2206&lt;1),AB2206*100,AB2206)/100)</f>
        <v/>
      </c>
      <c r="Y2206" s="5">
        <f>IF(D2206="","",AA2206*Z2206/100)</f>
        <v/>
      </c>
      <c r="Z2206" s="5">
        <f>IF(D2206="","",W2206-X2206)</f>
        <v/>
      </c>
      <c r="AC2206" s="5">
        <f>IF(D2206="","",Z2206-Y2206)</f>
        <v/>
      </c>
      <c r="AD2206">
        <f>IF(D2206="","",N(AD2205)+IF(MATCH(D2206,$D$2:$D$2501,0)=ROW()-1,1,0))</f>
        <v/>
      </c>
    </row>
    <row r="2207">
      <c r="X2207" s="5">
        <f>IF(D2207="","",W2207*IF(AND(ISNUMBER(AB2207),AB2207&gt;0,AB2207&lt;1),AB2207*100,AB2207)/100)</f>
        <v/>
      </c>
      <c r="Y2207" s="5">
        <f>IF(D2207="","",AA2207*Z2207/100)</f>
        <v/>
      </c>
      <c r="Z2207" s="5">
        <f>IF(D2207="","",W2207-X2207)</f>
        <v/>
      </c>
      <c r="AC2207" s="5">
        <f>IF(D2207="","",Z2207-Y2207)</f>
        <v/>
      </c>
      <c r="AD2207">
        <f>IF(D2207="","",N(AD2206)+IF(MATCH(D2207,$D$2:$D$2501,0)=ROW()-1,1,0))</f>
        <v/>
      </c>
    </row>
    <row r="2208">
      <c r="X2208" s="5">
        <f>IF(D2208="","",W2208*IF(AND(ISNUMBER(AB2208),AB2208&gt;0,AB2208&lt;1),AB2208*100,AB2208)/100)</f>
        <v/>
      </c>
      <c r="Y2208" s="5">
        <f>IF(D2208="","",AA2208*Z2208/100)</f>
        <v/>
      </c>
      <c r="Z2208" s="5">
        <f>IF(D2208="","",W2208-X2208)</f>
        <v/>
      </c>
      <c r="AC2208" s="5">
        <f>IF(D2208="","",Z2208-Y2208)</f>
        <v/>
      </c>
      <c r="AD2208">
        <f>IF(D2208="","",N(AD2207)+IF(MATCH(D2208,$D$2:$D$2501,0)=ROW()-1,1,0))</f>
        <v/>
      </c>
    </row>
    <row r="2209">
      <c r="X2209" s="5">
        <f>IF(D2209="","",W2209*IF(AND(ISNUMBER(AB2209),AB2209&gt;0,AB2209&lt;1),AB2209*100,AB2209)/100)</f>
        <v/>
      </c>
      <c r="Y2209" s="5">
        <f>IF(D2209="","",AA2209*Z2209/100)</f>
        <v/>
      </c>
      <c r="Z2209" s="5">
        <f>IF(D2209="","",W2209-X2209)</f>
        <v/>
      </c>
      <c r="AC2209" s="5">
        <f>IF(D2209="","",Z2209-Y2209)</f>
        <v/>
      </c>
      <c r="AD2209">
        <f>IF(D2209="","",N(AD2208)+IF(MATCH(D2209,$D$2:$D$2501,0)=ROW()-1,1,0))</f>
        <v/>
      </c>
    </row>
    <row r="2210">
      <c r="X2210" s="5">
        <f>IF(D2210="","",W2210*IF(AND(ISNUMBER(AB2210),AB2210&gt;0,AB2210&lt;1),AB2210*100,AB2210)/100)</f>
        <v/>
      </c>
      <c r="Y2210" s="5">
        <f>IF(D2210="","",AA2210*Z2210/100)</f>
        <v/>
      </c>
      <c r="Z2210" s="5">
        <f>IF(D2210="","",W2210-X2210)</f>
        <v/>
      </c>
      <c r="AC2210" s="5">
        <f>IF(D2210="","",Z2210-Y2210)</f>
        <v/>
      </c>
      <c r="AD2210">
        <f>IF(D2210="","",N(AD2209)+IF(MATCH(D2210,$D$2:$D$2501,0)=ROW()-1,1,0))</f>
        <v/>
      </c>
    </row>
    <row r="2211">
      <c r="X2211" s="5">
        <f>IF(D2211="","",W2211*IF(AND(ISNUMBER(AB2211),AB2211&gt;0,AB2211&lt;1),AB2211*100,AB2211)/100)</f>
        <v/>
      </c>
      <c r="Y2211" s="5">
        <f>IF(D2211="","",AA2211*Z2211/100)</f>
        <v/>
      </c>
      <c r="Z2211" s="5">
        <f>IF(D2211="","",W2211-X2211)</f>
        <v/>
      </c>
      <c r="AC2211" s="5">
        <f>IF(D2211="","",Z2211-Y2211)</f>
        <v/>
      </c>
      <c r="AD2211">
        <f>IF(D2211="","",N(AD2210)+IF(MATCH(D2211,$D$2:$D$2501,0)=ROW()-1,1,0))</f>
        <v/>
      </c>
    </row>
    <row r="2212">
      <c r="X2212" s="5">
        <f>IF(D2212="","",W2212*IF(AND(ISNUMBER(AB2212),AB2212&gt;0,AB2212&lt;1),AB2212*100,AB2212)/100)</f>
        <v/>
      </c>
      <c r="Y2212" s="5">
        <f>IF(D2212="","",AA2212*Z2212/100)</f>
        <v/>
      </c>
      <c r="Z2212" s="5">
        <f>IF(D2212="","",W2212-X2212)</f>
        <v/>
      </c>
      <c r="AC2212" s="5">
        <f>IF(D2212="","",Z2212-Y2212)</f>
        <v/>
      </c>
      <c r="AD2212">
        <f>IF(D2212="","",N(AD2211)+IF(MATCH(D2212,$D$2:$D$2501,0)=ROW()-1,1,0))</f>
        <v/>
      </c>
    </row>
    <row r="2213">
      <c r="X2213" s="5">
        <f>IF(D2213="","",W2213*IF(AND(ISNUMBER(AB2213),AB2213&gt;0,AB2213&lt;1),AB2213*100,AB2213)/100)</f>
        <v/>
      </c>
      <c r="Y2213" s="5">
        <f>IF(D2213="","",AA2213*Z2213/100)</f>
        <v/>
      </c>
      <c r="Z2213" s="5">
        <f>IF(D2213="","",W2213-X2213)</f>
        <v/>
      </c>
      <c r="AC2213" s="5">
        <f>IF(D2213="","",Z2213-Y2213)</f>
        <v/>
      </c>
      <c r="AD2213">
        <f>IF(D2213="","",N(AD2212)+IF(MATCH(D2213,$D$2:$D$2501,0)=ROW()-1,1,0))</f>
        <v/>
      </c>
    </row>
    <row r="2214">
      <c r="X2214" s="5">
        <f>IF(D2214="","",W2214*IF(AND(ISNUMBER(AB2214),AB2214&gt;0,AB2214&lt;1),AB2214*100,AB2214)/100)</f>
        <v/>
      </c>
      <c r="Y2214" s="5">
        <f>IF(D2214="","",AA2214*Z2214/100)</f>
        <v/>
      </c>
      <c r="Z2214" s="5">
        <f>IF(D2214="","",W2214-X2214)</f>
        <v/>
      </c>
      <c r="AC2214" s="5">
        <f>IF(D2214="","",Z2214-Y2214)</f>
        <v/>
      </c>
      <c r="AD2214">
        <f>IF(D2214="","",N(AD2213)+IF(MATCH(D2214,$D$2:$D$2501,0)=ROW()-1,1,0))</f>
        <v/>
      </c>
    </row>
    <row r="2215">
      <c r="X2215" s="5">
        <f>IF(D2215="","",W2215*IF(AND(ISNUMBER(AB2215),AB2215&gt;0,AB2215&lt;1),AB2215*100,AB2215)/100)</f>
        <v/>
      </c>
      <c r="Y2215" s="5">
        <f>IF(D2215="","",AA2215*Z2215/100)</f>
        <v/>
      </c>
      <c r="Z2215" s="5">
        <f>IF(D2215="","",W2215-X2215)</f>
        <v/>
      </c>
      <c r="AC2215" s="5">
        <f>IF(D2215="","",Z2215-Y2215)</f>
        <v/>
      </c>
      <c r="AD2215">
        <f>IF(D2215="","",N(AD2214)+IF(MATCH(D2215,$D$2:$D$2501,0)=ROW()-1,1,0))</f>
        <v/>
      </c>
    </row>
    <row r="2216">
      <c r="X2216" s="5">
        <f>IF(D2216="","",W2216*IF(AND(ISNUMBER(AB2216),AB2216&gt;0,AB2216&lt;1),AB2216*100,AB2216)/100)</f>
        <v/>
      </c>
      <c r="Y2216" s="5">
        <f>IF(D2216="","",AA2216*Z2216/100)</f>
        <v/>
      </c>
      <c r="Z2216" s="5">
        <f>IF(D2216="","",W2216-X2216)</f>
        <v/>
      </c>
      <c r="AC2216" s="5">
        <f>IF(D2216="","",Z2216-Y2216)</f>
        <v/>
      </c>
      <c r="AD2216">
        <f>IF(D2216="","",N(AD2215)+IF(MATCH(D2216,$D$2:$D$2501,0)=ROW()-1,1,0))</f>
        <v/>
      </c>
    </row>
    <row r="2217">
      <c r="X2217" s="5">
        <f>IF(D2217="","",W2217*IF(AND(ISNUMBER(AB2217),AB2217&gt;0,AB2217&lt;1),AB2217*100,AB2217)/100)</f>
        <v/>
      </c>
      <c r="Y2217" s="5">
        <f>IF(D2217="","",AA2217*Z2217/100)</f>
        <v/>
      </c>
      <c r="Z2217" s="5">
        <f>IF(D2217="","",W2217-X2217)</f>
        <v/>
      </c>
      <c r="AC2217" s="5">
        <f>IF(D2217="","",Z2217-Y2217)</f>
        <v/>
      </c>
      <c r="AD2217">
        <f>IF(D2217="","",N(AD2216)+IF(MATCH(D2217,$D$2:$D$2501,0)=ROW()-1,1,0))</f>
        <v/>
      </c>
    </row>
    <row r="2218">
      <c r="X2218" s="5">
        <f>IF(D2218="","",W2218*IF(AND(ISNUMBER(AB2218),AB2218&gt;0,AB2218&lt;1),AB2218*100,AB2218)/100)</f>
        <v/>
      </c>
      <c r="Y2218" s="5">
        <f>IF(D2218="","",AA2218*Z2218/100)</f>
        <v/>
      </c>
      <c r="Z2218" s="5">
        <f>IF(D2218="","",W2218-X2218)</f>
        <v/>
      </c>
      <c r="AC2218" s="5">
        <f>IF(D2218="","",Z2218-Y2218)</f>
        <v/>
      </c>
      <c r="AD2218">
        <f>IF(D2218="","",N(AD2217)+IF(MATCH(D2218,$D$2:$D$2501,0)=ROW()-1,1,0))</f>
        <v/>
      </c>
    </row>
    <row r="2219">
      <c r="X2219" s="5">
        <f>IF(D2219="","",W2219*IF(AND(ISNUMBER(AB2219),AB2219&gt;0,AB2219&lt;1),AB2219*100,AB2219)/100)</f>
        <v/>
      </c>
      <c r="Y2219" s="5">
        <f>IF(D2219="","",AA2219*Z2219/100)</f>
        <v/>
      </c>
      <c r="Z2219" s="5">
        <f>IF(D2219="","",W2219-X2219)</f>
        <v/>
      </c>
      <c r="AC2219" s="5">
        <f>IF(D2219="","",Z2219-Y2219)</f>
        <v/>
      </c>
      <c r="AD2219">
        <f>IF(D2219="","",N(AD2218)+IF(MATCH(D2219,$D$2:$D$2501,0)=ROW()-1,1,0))</f>
        <v/>
      </c>
    </row>
    <row r="2220">
      <c r="X2220" s="5">
        <f>IF(D2220="","",W2220*IF(AND(ISNUMBER(AB2220),AB2220&gt;0,AB2220&lt;1),AB2220*100,AB2220)/100)</f>
        <v/>
      </c>
      <c r="Y2220" s="5">
        <f>IF(D2220="","",AA2220*Z2220/100)</f>
        <v/>
      </c>
      <c r="Z2220" s="5">
        <f>IF(D2220="","",W2220-X2220)</f>
        <v/>
      </c>
      <c r="AC2220" s="5">
        <f>IF(D2220="","",Z2220-Y2220)</f>
        <v/>
      </c>
      <c r="AD2220">
        <f>IF(D2220="","",N(AD2219)+IF(MATCH(D2220,$D$2:$D$2501,0)=ROW()-1,1,0))</f>
        <v/>
      </c>
    </row>
    <row r="2221">
      <c r="X2221" s="5">
        <f>IF(D2221="","",W2221*IF(AND(ISNUMBER(AB2221),AB2221&gt;0,AB2221&lt;1),AB2221*100,AB2221)/100)</f>
        <v/>
      </c>
      <c r="Y2221" s="5">
        <f>IF(D2221="","",AA2221*Z2221/100)</f>
        <v/>
      </c>
      <c r="Z2221" s="5">
        <f>IF(D2221="","",W2221-X2221)</f>
        <v/>
      </c>
      <c r="AC2221" s="5">
        <f>IF(D2221="","",Z2221-Y2221)</f>
        <v/>
      </c>
      <c r="AD2221">
        <f>IF(D2221="","",N(AD2220)+IF(MATCH(D2221,$D$2:$D$2501,0)=ROW()-1,1,0))</f>
        <v/>
      </c>
    </row>
    <row r="2222">
      <c r="X2222" s="5">
        <f>IF(D2222="","",W2222*IF(AND(ISNUMBER(AB2222),AB2222&gt;0,AB2222&lt;1),AB2222*100,AB2222)/100)</f>
        <v/>
      </c>
      <c r="Y2222" s="5">
        <f>IF(D2222="","",AA2222*Z2222/100)</f>
        <v/>
      </c>
      <c r="Z2222" s="5">
        <f>IF(D2222="","",W2222-X2222)</f>
        <v/>
      </c>
      <c r="AC2222" s="5">
        <f>IF(D2222="","",Z2222-Y2222)</f>
        <v/>
      </c>
      <c r="AD2222">
        <f>IF(D2222="","",N(AD2221)+IF(MATCH(D2222,$D$2:$D$2501,0)=ROW()-1,1,0))</f>
        <v/>
      </c>
    </row>
    <row r="2223">
      <c r="X2223" s="5">
        <f>IF(D2223="","",W2223*IF(AND(ISNUMBER(AB2223),AB2223&gt;0,AB2223&lt;1),AB2223*100,AB2223)/100)</f>
        <v/>
      </c>
      <c r="Y2223" s="5">
        <f>IF(D2223="","",AA2223*Z2223/100)</f>
        <v/>
      </c>
      <c r="Z2223" s="5">
        <f>IF(D2223="","",W2223-X2223)</f>
        <v/>
      </c>
      <c r="AC2223" s="5">
        <f>IF(D2223="","",Z2223-Y2223)</f>
        <v/>
      </c>
      <c r="AD2223">
        <f>IF(D2223="","",N(AD2222)+IF(MATCH(D2223,$D$2:$D$2501,0)=ROW()-1,1,0))</f>
        <v/>
      </c>
    </row>
    <row r="2224">
      <c r="X2224" s="5">
        <f>IF(D2224="","",W2224*IF(AND(ISNUMBER(AB2224),AB2224&gt;0,AB2224&lt;1),AB2224*100,AB2224)/100)</f>
        <v/>
      </c>
      <c r="Y2224" s="5">
        <f>IF(D2224="","",AA2224*Z2224/100)</f>
        <v/>
      </c>
      <c r="Z2224" s="5">
        <f>IF(D2224="","",W2224-X2224)</f>
        <v/>
      </c>
      <c r="AC2224" s="5">
        <f>IF(D2224="","",Z2224-Y2224)</f>
        <v/>
      </c>
      <c r="AD2224">
        <f>IF(D2224="","",N(AD2223)+IF(MATCH(D2224,$D$2:$D$2501,0)=ROW()-1,1,0))</f>
        <v/>
      </c>
    </row>
    <row r="2225">
      <c r="X2225" s="5">
        <f>IF(D2225="","",W2225*IF(AND(ISNUMBER(AB2225),AB2225&gt;0,AB2225&lt;1),AB2225*100,AB2225)/100)</f>
        <v/>
      </c>
      <c r="Y2225" s="5">
        <f>IF(D2225="","",AA2225*Z2225/100)</f>
        <v/>
      </c>
      <c r="Z2225" s="5">
        <f>IF(D2225="","",W2225-X2225)</f>
        <v/>
      </c>
      <c r="AC2225" s="5">
        <f>IF(D2225="","",Z2225-Y2225)</f>
        <v/>
      </c>
      <c r="AD2225">
        <f>IF(D2225="","",N(AD2224)+IF(MATCH(D2225,$D$2:$D$2501,0)=ROW()-1,1,0))</f>
        <v/>
      </c>
    </row>
    <row r="2226">
      <c r="X2226" s="5">
        <f>IF(D2226="","",W2226*IF(AND(ISNUMBER(AB2226),AB2226&gt;0,AB2226&lt;1),AB2226*100,AB2226)/100)</f>
        <v/>
      </c>
      <c r="Y2226" s="5">
        <f>IF(D2226="","",AA2226*Z2226/100)</f>
        <v/>
      </c>
      <c r="Z2226" s="5">
        <f>IF(D2226="","",W2226-X2226)</f>
        <v/>
      </c>
      <c r="AC2226" s="5">
        <f>IF(D2226="","",Z2226-Y2226)</f>
        <v/>
      </c>
      <c r="AD2226">
        <f>IF(D2226="","",N(AD2225)+IF(MATCH(D2226,$D$2:$D$2501,0)=ROW()-1,1,0))</f>
        <v/>
      </c>
    </row>
    <row r="2227">
      <c r="X2227" s="5">
        <f>IF(D2227="","",W2227*IF(AND(ISNUMBER(AB2227),AB2227&gt;0,AB2227&lt;1),AB2227*100,AB2227)/100)</f>
        <v/>
      </c>
      <c r="Y2227" s="5">
        <f>IF(D2227="","",AA2227*Z2227/100)</f>
        <v/>
      </c>
      <c r="Z2227" s="5">
        <f>IF(D2227="","",W2227-X2227)</f>
        <v/>
      </c>
      <c r="AC2227" s="5">
        <f>IF(D2227="","",Z2227-Y2227)</f>
        <v/>
      </c>
      <c r="AD2227">
        <f>IF(D2227="","",N(AD2226)+IF(MATCH(D2227,$D$2:$D$2501,0)=ROW()-1,1,0))</f>
        <v/>
      </c>
    </row>
    <row r="2228">
      <c r="X2228" s="5">
        <f>IF(D2228="","",W2228*IF(AND(ISNUMBER(AB2228),AB2228&gt;0,AB2228&lt;1),AB2228*100,AB2228)/100)</f>
        <v/>
      </c>
      <c r="Y2228" s="5">
        <f>IF(D2228="","",AA2228*Z2228/100)</f>
        <v/>
      </c>
      <c r="Z2228" s="5">
        <f>IF(D2228="","",W2228-X2228)</f>
        <v/>
      </c>
      <c r="AC2228" s="5">
        <f>IF(D2228="","",Z2228-Y2228)</f>
        <v/>
      </c>
      <c r="AD2228">
        <f>IF(D2228="","",N(AD2227)+IF(MATCH(D2228,$D$2:$D$2501,0)=ROW()-1,1,0))</f>
        <v/>
      </c>
    </row>
    <row r="2229">
      <c r="X2229" s="5">
        <f>IF(D2229="","",W2229*IF(AND(ISNUMBER(AB2229),AB2229&gt;0,AB2229&lt;1),AB2229*100,AB2229)/100)</f>
        <v/>
      </c>
      <c r="Y2229" s="5">
        <f>IF(D2229="","",AA2229*Z2229/100)</f>
        <v/>
      </c>
      <c r="Z2229" s="5">
        <f>IF(D2229="","",W2229-X2229)</f>
        <v/>
      </c>
      <c r="AC2229" s="5">
        <f>IF(D2229="","",Z2229-Y2229)</f>
        <v/>
      </c>
      <c r="AD2229">
        <f>IF(D2229="","",N(AD2228)+IF(MATCH(D2229,$D$2:$D$2501,0)=ROW()-1,1,0))</f>
        <v/>
      </c>
    </row>
    <row r="2230">
      <c r="X2230" s="5">
        <f>IF(D2230="","",W2230*IF(AND(ISNUMBER(AB2230),AB2230&gt;0,AB2230&lt;1),AB2230*100,AB2230)/100)</f>
        <v/>
      </c>
      <c r="Y2230" s="5">
        <f>IF(D2230="","",AA2230*Z2230/100)</f>
        <v/>
      </c>
      <c r="Z2230" s="5">
        <f>IF(D2230="","",W2230-X2230)</f>
        <v/>
      </c>
      <c r="AC2230" s="5">
        <f>IF(D2230="","",Z2230-Y2230)</f>
        <v/>
      </c>
      <c r="AD2230">
        <f>IF(D2230="","",N(AD2229)+IF(MATCH(D2230,$D$2:$D$2501,0)=ROW()-1,1,0))</f>
        <v/>
      </c>
    </row>
    <row r="2231">
      <c r="X2231" s="5">
        <f>IF(D2231="","",W2231*IF(AND(ISNUMBER(AB2231),AB2231&gt;0,AB2231&lt;1),AB2231*100,AB2231)/100)</f>
        <v/>
      </c>
      <c r="Y2231" s="5">
        <f>IF(D2231="","",AA2231*Z2231/100)</f>
        <v/>
      </c>
      <c r="Z2231" s="5">
        <f>IF(D2231="","",W2231-X2231)</f>
        <v/>
      </c>
      <c r="AC2231" s="5">
        <f>IF(D2231="","",Z2231-Y2231)</f>
        <v/>
      </c>
      <c r="AD2231">
        <f>IF(D2231="","",N(AD2230)+IF(MATCH(D2231,$D$2:$D$2501,0)=ROW()-1,1,0))</f>
        <v/>
      </c>
    </row>
    <row r="2232">
      <c r="X2232" s="5">
        <f>IF(D2232="","",W2232*IF(AND(ISNUMBER(AB2232),AB2232&gt;0,AB2232&lt;1),AB2232*100,AB2232)/100)</f>
        <v/>
      </c>
      <c r="Y2232" s="5">
        <f>IF(D2232="","",AA2232*Z2232/100)</f>
        <v/>
      </c>
      <c r="Z2232" s="5">
        <f>IF(D2232="","",W2232-X2232)</f>
        <v/>
      </c>
      <c r="AC2232" s="5">
        <f>IF(D2232="","",Z2232-Y2232)</f>
        <v/>
      </c>
      <c r="AD2232">
        <f>IF(D2232="","",N(AD2231)+IF(MATCH(D2232,$D$2:$D$2501,0)=ROW()-1,1,0))</f>
        <v/>
      </c>
    </row>
    <row r="2233">
      <c r="X2233" s="5">
        <f>IF(D2233="","",W2233*IF(AND(ISNUMBER(AB2233),AB2233&gt;0,AB2233&lt;1),AB2233*100,AB2233)/100)</f>
        <v/>
      </c>
      <c r="Y2233" s="5">
        <f>IF(D2233="","",AA2233*Z2233/100)</f>
        <v/>
      </c>
      <c r="Z2233" s="5">
        <f>IF(D2233="","",W2233-X2233)</f>
        <v/>
      </c>
      <c r="AC2233" s="5">
        <f>IF(D2233="","",Z2233-Y2233)</f>
        <v/>
      </c>
      <c r="AD2233">
        <f>IF(D2233="","",N(AD2232)+IF(MATCH(D2233,$D$2:$D$2501,0)=ROW()-1,1,0))</f>
        <v/>
      </c>
    </row>
    <row r="2234">
      <c r="X2234" s="5">
        <f>IF(D2234="","",W2234*IF(AND(ISNUMBER(AB2234),AB2234&gt;0,AB2234&lt;1),AB2234*100,AB2234)/100)</f>
        <v/>
      </c>
      <c r="Y2234" s="5">
        <f>IF(D2234="","",AA2234*Z2234/100)</f>
        <v/>
      </c>
      <c r="Z2234" s="5">
        <f>IF(D2234="","",W2234-X2234)</f>
        <v/>
      </c>
      <c r="AC2234" s="5">
        <f>IF(D2234="","",Z2234-Y2234)</f>
        <v/>
      </c>
      <c r="AD2234">
        <f>IF(D2234="","",N(AD2233)+IF(MATCH(D2234,$D$2:$D$2501,0)=ROW()-1,1,0))</f>
        <v/>
      </c>
    </row>
    <row r="2235">
      <c r="X2235" s="5">
        <f>IF(D2235="","",W2235*IF(AND(ISNUMBER(AB2235),AB2235&gt;0,AB2235&lt;1),AB2235*100,AB2235)/100)</f>
        <v/>
      </c>
      <c r="Y2235" s="5">
        <f>IF(D2235="","",AA2235*Z2235/100)</f>
        <v/>
      </c>
      <c r="Z2235" s="5">
        <f>IF(D2235="","",W2235-X2235)</f>
        <v/>
      </c>
      <c r="AC2235" s="5">
        <f>IF(D2235="","",Z2235-Y2235)</f>
        <v/>
      </c>
      <c r="AD2235">
        <f>IF(D2235="","",N(AD2234)+IF(MATCH(D2235,$D$2:$D$2501,0)=ROW()-1,1,0))</f>
        <v/>
      </c>
    </row>
    <row r="2236">
      <c r="X2236" s="5">
        <f>IF(D2236="","",W2236*IF(AND(ISNUMBER(AB2236),AB2236&gt;0,AB2236&lt;1),AB2236*100,AB2236)/100)</f>
        <v/>
      </c>
      <c r="Y2236" s="5">
        <f>IF(D2236="","",AA2236*Z2236/100)</f>
        <v/>
      </c>
      <c r="Z2236" s="5">
        <f>IF(D2236="","",W2236-X2236)</f>
        <v/>
      </c>
      <c r="AC2236" s="5">
        <f>IF(D2236="","",Z2236-Y2236)</f>
        <v/>
      </c>
      <c r="AD2236">
        <f>IF(D2236="","",N(AD2235)+IF(MATCH(D2236,$D$2:$D$2501,0)=ROW()-1,1,0))</f>
        <v/>
      </c>
    </row>
    <row r="2237">
      <c r="X2237" s="5">
        <f>IF(D2237="","",W2237*IF(AND(ISNUMBER(AB2237),AB2237&gt;0,AB2237&lt;1),AB2237*100,AB2237)/100)</f>
        <v/>
      </c>
      <c r="Y2237" s="5">
        <f>IF(D2237="","",AA2237*Z2237/100)</f>
        <v/>
      </c>
      <c r="Z2237" s="5">
        <f>IF(D2237="","",W2237-X2237)</f>
        <v/>
      </c>
      <c r="AC2237" s="5">
        <f>IF(D2237="","",Z2237-Y2237)</f>
        <v/>
      </c>
      <c r="AD2237">
        <f>IF(D2237="","",N(AD2236)+IF(MATCH(D2237,$D$2:$D$2501,0)=ROW()-1,1,0))</f>
        <v/>
      </c>
    </row>
    <row r="2238">
      <c r="X2238" s="5">
        <f>IF(D2238="","",W2238*IF(AND(ISNUMBER(AB2238),AB2238&gt;0,AB2238&lt;1),AB2238*100,AB2238)/100)</f>
        <v/>
      </c>
      <c r="Y2238" s="5">
        <f>IF(D2238="","",AA2238*Z2238/100)</f>
        <v/>
      </c>
      <c r="Z2238" s="5">
        <f>IF(D2238="","",W2238-X2238)</f>
        <v/>
      </c>
      <c r="AC2238" s="5">
        <f>IF(D2238="","",Z2238-Y2238)</f>
        <v/>
      </c>
      <c r="AD2238">
        <f>IF(D2238="","",N(AD2237)+IF(MATCH(D2238,$D$2:$D$2501,0)=ROW()-1,1,0))</f>
        <v/>
      </c>
    </row>
    <row r="2239">
      <c r="X2239" s="5">
        <f>IF(D2239="","",W2239*IF(AND(ISNUMBER(AB2239),AB2239&gt;0,AB2239&lt;1),AB2239*100,AB2239)/100)</f>
        <v/>
      </c>
      <c r="Y2239" s="5">
        <f>IF(D2239="","",AA2239*Z2239/100)</f>
        <v/>
      </c>
      <c r="Z2239" s="5">
        <f>IF(D2239="","",W2239-X2239)</f>
        <v/>
      </c>
      <c r="AC2239" s="5">
        <f>IF(D2239="","",Z2239-Y2239)</f>
        <v/>
      </c>
      <c r="AD2239">
        <f>IF(D2239="","",N(AD2238)+IF(MATCH(D2239,$D$2:$D$2501,0)=ROW()-1,1,0))</f>
        <v/>
      </c>
    </row>
    <row r="2240">
      <c r="X2240" s="5">
        <f>IF(D2240="","",W2240*IF(AND(ISNUMBER(AB2240),AB2240&gt;0,AB2240&lt;1),AB2240*100,AB2240)/100)</f>
        <v/>
      </c>
      <c r="Y2240" s="5">
        <f>IF(D2240="","",AA2240*Z2240/100)</f>
        <v/>
      </c>
      <c r="Z2240" s="5">
        <f>IF(D2240="","",W2240-X2240)</f>
        <v/>
      </c>
      <c r="AC2240" s="5">
        <f>IF(D2240="","",Z2240-Y2240)</f>
        <v/>
      </c>
      <c r="AD2240">
        <f>IF(D2240="","",N(AD2239)+IF(MATCH(D2240,$D$2:$D$2501,0)=ROW()-1,1,0))</f>
        <v/>
      </c>
    </row>
    <row r="2241">
      <c r="X2241" s="5">
        <f>IF(D2241="","",W2241*IF(AND(ISNUMBER(AB2241),AB2241&gt;0,AB2241&lt;1),AB2241*100,AB2241)/100)</f>
        <v/>
      </c>
      <c r="Y2241" s="5">
        <f>IF(D2241="","",AA2241*Z2241/100)</f>
        <v/>
      </c>
      <c r="Z2241" s="5">
        <f>IF(D2241="","",W2241-X2241)</f>
        <v/>
      </c>
      <c r="AC2241" s="5">
        <f>IF(D2241="","",Z2241-Y2241)</f>
        <v/>
      </c>
      <c r="AD2241">
        <f>IF(D2241="","",N(AD2240)+IF(MATCH(D2241,$D$2:$D$2501,0)=ROW()-1,1,0))</f>
        <v/>
      </c>
    </row>
    <row r="2242">
      <c r="X2242" s="5">
        <f>IF(D2242="","",W2242*IF(AND(ISNUMBER(AB2242),AB2242&gt;0,AB2242&lt;1),AB2242*100,AB2242)/100)</f>
        <v/>
      </c>
      <c r="Y2242" s="5">
        <f>IF(D2242="","",AA2242*Z2242/100)</f>
        <v/>
      </c>
      <c r="Z2242" s="5">
        <f>IF(D2242="","",W2242-X2242)</f>
        <v/>
      </c>
      <c r="AC2242" s="5">
        <f>IF(D2242="","",Z2242-Y2242)</f>
        <v/>
      </c>
      <c r="AD2242">
        <f>IF(D2242="","",N(AD2241)+IF(MATCH(D2242,$D$2:$D$2501,0)=ROW()-1,1,0))</f>
        <v/>
      </c>
    </row>
    <row r="2243">
      <c r="X2243" s="5">
        <f>IF(D2243="","",W2243*IF(AND(ISNUMBER(AB2243),AB2243&gt;0,AB2243&lt;1),AB2243*100,AB2243)/100)</f>
        <v/>
      </c>
      <c r="Y2243" s="5">
        <f>IF(D2243="","",AA2243*Z2243/100)</f>
        <v/>
      </c>
      <c r="Z2243" s="5">
        <f>IF(D2243="","",W2243-X2243)</f>
        <v/>
      </c>
      <c r="AC2243" s="5">
        <f>IF(D2243="","",Z2243-Y2243)</f>
        <v/>
      </c>
      <c r="AD2243">
        <f>IF(D2243="","",N(AD2242)+IF(MATCH(D2243,$D$2:$D$2501,0)=ROW()-1,1,0))</f>
        <v/>
      </c>
    </row>
    <row r="2244">
      <c r="X2244" s="5">
        <f>IF(D2244="","",W2244*IF(AND(ISNUMBER(AB2244),AB2244&gt;0,AB2244&lt;1),AB2244*100,AB2244)/100)</f>
        <v/>
      </c>
      <c r="Y2244" s="5">
        <f>IF(D2244="","",AA2244*Z2244/100)</f>
        <v/>
      </c>
      <c r="Z2244" s="5">
        <f>IF(D2244="","",W2244-X2244)</f>
        <v/>
      </c>
      <c r="AC2244" s="5">
        <f>IF(D2244="","",Z2244-Y2244)</f>
        <v/>
      </c>
      <c r="AD2244">
        <f>IF(D2244="","",N(AD2243)+IF(MATCH(D2244,$D$2:$D$2501,0)=ROW()-1,1,0))</f>
        <v/>
      </c>
    </row>
    <row r="2245">
      <c r="X2245" s="5">
        <f>IF(D2245="","",W2245*IF(AND(ISNUMBER(AB2245),AB2245&gt;0,AB2245&lt;1),AB2245*100,AB2245)/100)</f>
        <v/>
      </c>
      <c r="Y2245" s="5">
        <f>IF(D2245="","",AA2245*Z2245/100)</f>
        <v/>
      </c>
      <c r="Z2245" s="5">
        <f>IF(D2245="","",W2245-X2245)</f>
        <v/>
      </c>
      <c r="AC2245" s="5">
        <f>IF(D2245="","",Z2245-Y2245)</f>
        <v/>
      </c>
      <c r="AD2245">
        <f>IF(D2245="","",N(AD2244)+IF(MATCH(D2245,$D$2:$D$2501,0)=ROW()-1,1,0))</f>
        <v/>
      </c>
    </row>
    <row r="2246">
      <c r="X2246" s="5">
        <f>IF(D2246="","",W2246*IF(AND(ISNUMBER(AB2246),AB2246&gt;0,AB2246&lt;1),AB2246*100,AB2246)/100)</f>
        <v/>
      </c>
      <c r="Y2246" s="5">
        <f>IF(D2246="","",AA2246*Z2246/100)</f>
        <v/>
      </c>
      <c r="Z2246" s="5">
        <f>IF(D2246="","",W2246-X2246)</f>
        <v/>
      </c>
      <c r="AC2246" s="5">
        <f>IF(D2246="","",Z2246-Y2246)</f>
        <v/>
      </c>
      <c r="AD2246">
        <f>IF(D2246="","",N(AD2245)+IF(MATCH(D2246,$D$2:$D$2501,0)=ROW()-1,1,0))</f>
        <v/>
      </c>
    </row>
    <row r="2247">
      <c r="X2247" s="5">
        <f>IF(D2247="","",W2247*IF(AND(ISNUMBER(AB2247),AB2247&gt;0,AB2247&lt;1),AB2247*100,AB2247)/100)</f>
        <v/>
      </c>
      <c r="Y2247" s="5">
        <f>IF(D2247="","",AA2247*Z2247/100)</f>
        <v/>
      </c>
      <c r="Z2247" s="5">
        <f>IF(D2247="","",W2247-X2247)</f>
        <v/>
      </c>
      <c r="AC2247" s="5">
        <f>IF(D2247="","",Z2247-Y2247)</f>
        <v/>
      </c>
      <c r="AD2247">
        <f>IF(D2247="","",N(AD2246)+IF(MATCH(D2247,$D$2:$D$2501,0)=ROW()-1,1,0))</f>
        <v/>
      </c>
    </row>
    <row r="2248">
      <c r="X2248" s="5">
        <f>IF(D2248="","",W2248*IF(AND(ISNUMBER(AB2248),AB2248&gt;0,AB2248&lt;1),AB2248*100,AB2248)/100)</f>
        <v/>
      </c>
      <c r="Y2248" s="5">
        <f>IF(D2248="","",AA2248*Z2248/100)</f>
        <v/>
      </c>
      <c r="Z2248" s="5">
        <f>IF(D2248="","",W2248-X2248)</f>
        <v/>
      </c>
      <c r="AC2248" s="5">
        <f>IF(D2248="","",Z2248-Y2248)</f>
        <v/>
      </c>
      <c r="AD2248">
        <f>IF(D2248="","",N(AD2247)+IF(MATCH(D2248,$D$2:$D$2501,0)=ROW()-1,1,0))</f>
        <v/>
      </c>
    </row>
    <row r="2249">
      <c r="X2249" s="5">
        <f>IF(D2249="","",W2249*IF(AND(ISNUMBER(AB2249),AB2249&gt;0,AB2249&lt;1),AB2249*100,AB2249)/100)</f>
        <v/>
      </c>
      <c r="Y2249" s="5">
        <f>IF(D2249="","",AA2249*Z2249/100)</f>
        <v/>
      </c>
      <c r="Z2249" s="5">
        <f>IF(D2249="","",W2249-X2249)</f>
        <v/>
      </c>
      <c r="AC2249" s="5">
        <f>IF(D2249="","",Z2249-Y2249)</f>
        <v/>
      </c>
      <c r="AD2249">
        <f>IF(D2249="","",N(AD2248)+IF(MATCH(D2249,$D$2:$D$2501,0)=ROW()-1,1,0))</f>
        <v/>
      </c>
    </row>
    <row r="2250">
      <c r="X2250" s="5">
        <f>IF(D2250="","",W2250*IF(AND(ISNUMBER(AB2250),AB2250&gt;0,AB2250&lt;1),AB2250*100,AB2250)/100)</f>
        <v/>
      </c>
      <c r="Y2250" s="5">
        <f>IF(D2250="","",AA2250*Z2250/100)</f>
        <v/>
      </c>
      <c r="Z2250" s="5">
        <f>IF(D2250="","",W2250-X2250)</f>
        <v/>
      </c>
      <c r="AC2250" s="5">
        <f>IF(D2250="","",Z2250-Y2250)</f>
        <v/>
      </c>
      <c r="AD2250">
        <f>IF(D2250="","",N(AD2249)+IF(MATCH(D2250,$D$2:$D$2501,0)=ROW()-1,1,0))</f>
        <v/>
      </c>
    </row>
    <row r="2251">
      <c r="X2251" s="5">
        <f>IF(D2251="","",W2251*IF(AND(ISNUMBER(AB2251),AB2251&gt;0,AB2251&lt;1),AB2251*100,AB2251)/100)</f>
        <v/>
      </c>
      <c r="Y2251" s="5">
        <f>IF(D2251="","",AA2251*Z2251/100)</f>
        <v/>
      </c>
      <c r="Z2251" s="5">
        <f>IF(D2251="","",W2251-X2251)</f>
        <v/>
      </c>
      <c r="AC2251" s="5">
        <f>IF(D2251="","",Z2251-Y2251)</f>
        <v/>
      </c>
      <c r="AD2251">
        <f>IF(D2251="","",N(AD2250)+IF(MATCH(D2251,$D$2:$D$2501,0)=ROW()-1,1,0))</f>
        <v/>
      </c>
    </row>
    <row r="2252">
      <c r="X2252" s="5">
        <f>IF(D2252="","",W2252*IF(AND(ISNUMBER(AB2252),AB2252&gt;0,AB2252&lt;1),AB2252*100,AB2252)/100)</f>
        <v/>
      </c>
      <c r="Y2252" s="5">
        <f>IF(D2252="","",AA2252*Z2252/100)</f>
        <v/>
      </c>
      <c r="Z2252" s="5">
        <f>IF(D2252="","",W2252-X2252)</f>
        <v/>
      </c>
      <c r="AC2252" s="5">
        <f>IF(D2252="","",Z2252-Y2252)</f>
        <v/>
      </c>
      <c r="AD2252">
        <f>IF(D2252="","",N(AD2251)+IF(MATCH(D2252,$D$2:$D$2501,0)=ROW()-1,1,0))</f>
        <v/>
      </c>
    </row>
    <row r="2253">
      <c r="X2253" s="5">
        <f>IF(D2253="","",W2253*IF(AND(ISNUMBER(AB2253),AB2253&gt;0,AB2253&lt;1),AB2253*100,AB2253)/100)</f>
        <v/>
      </c>
      <c r="Y2253" s="5">
        <f>IF(D2253="","",AA2253*Z2253/100)</f>
        <v/>
      </c>
      <c r="Z2253" s="5">
        <f>IF(D2253="","",W2253-X2253)</f>
        <v/>
      </c>
      <c r="AC2253" s="5">
        <f>IF(D2253="","",Z2253-Y2253)</f>
        <v/>
      </c>
      <c r="AD2253">
        <f>IF(D2253="","",N(AD2252)+IF(MATCH(D2253,$D$2:$D$2501,0)=ROW()-1,1,0))</f>
        <v/>
      </c>
    </row>
    <row r="2254">
      <c r="X2254" s="5">
        <f>IF(D2254="","",W2254*IF(AND(ISNUMBER(AB2254),AB2254&gt;0,AB2254&lt;1),AB2254*100,AB2254)/100)</f>
        <v/>
      </c>
      <c r="Y2254" s="5">
        <f>IF(D2254="","",AA2254*Z2254/100)</f>
        <v/>
      </c>
      <c r="Z2254" s="5">
        <f>IF(D2254="","",W2254-X2254)</f>
        <v/>
      </c>
      <c r="AC2254" s="5">
        <f>IF(D2254="","",Z2254-Y2254)</f>
        <v/>
      </c>
      <c r="AD2254">
        <f>IF(D2254="","",N(AD2253)+IF(MATCH(D2254,$D$2:$D$2501,0)=ROW()-1,1,0))</f>
        <v/>
      </c>
    </row>
    <row r="2255">
      <c r="X2255" s="5">
        <f>IF(D2255="","",W2255*IF(AND(ISNUMBER(AB2255),AB2255&gt;0,AB2255&lt;1),AB2255*100,AB2255)/100)</f>
        <v/>
      </c>
      <c r="Y2255" s="5">
        <f>IF(D2255="","",AA2255*Z2255/100)</f>
        <v/>
      </c>
      <c r="Z2255" s="5">
        <f>IF(D2255="","",W2255-X2255)</f>
        <v/>
      </c>
      <c r="AC2255" s="5">
        <f>IF(D2255="","",Z2255-Y2255)</f>
        <v/>
      </c>
      <c r="AD2255">
        <f>IF(D2255="","",N(AD2254)+IF(MATCH(D2255,$D$2:$D$2501,0)=ROW()-1,1,0))</f>
        <v/>
      </c>
    </row>
    <row r="2256">
      <c r="X2256" s="5">
        <f>IF(D2256="","",W2256*IF(AND(ISNUMBER(AB2256),AB2256&gt;0,AB2256&lt;1),AB2256*100,AB2256)/100)</f>
        <v/>
      </c>
      <c r="Y2256" s="5">
        <f>IF(D2256="","",AA2256*Z2256/100)</f>
        <v/>
      </c>
      <c r="Z2256" s="5">
        <f>IF(D2256="","",W2256-X2256)</f>
        <v/>
      </c>
      <c r="AC2256" s="5">
        <f>IF(D2256="","",Z2256-Y2256)</f>
        <v/>
      </c>
      <c r="AD2256">
        <f>IF(D2256="","",N(AD2255)+IF(MATCH(D2256,$D$2:$D$2501,0)=ROW()-1,1,0))</f>
        <v/>
      </c>
    </row>
    <row r="2257">
      <c r="X2257" s="5">
        <f>IF(D2257="","",W2257*IF(AND(ISNUMBER(AB2257),AB2257&gt;0,AB2257&lt;1),AB2257*100,AB2257)/100)</f>
        <v/>
      </c>
      <c r="Y2257" s="5">
        <f>IF(D2257="","",AA2257*Z2257/100)</f>
        <v/>
      </c>
      <c r="Z2257" s="5">
        <f>IF(D2257="","",W2257-X2257)</f>
        <v/>
      </c>
      <c r="AC2257" s="5">
        <f>IF(D2257="","",Z2257-Y2257)</f>
        <v/>
      </c>
      <c r="AD2257">
        <f>IF(D2257="","",N(AD2256)+IF(MATCH(D2257,$D$2:$D$2501,0)=ROW()-1,1,0))</f>
        <v/>
      </c>
    </row>
    <row r="2258">
      <c r="X2258" s="5">
        <f>IF(D2258="","",W2258*IF(AND(ISNUMBER(AB2258),AB2258&gt;0,AB2258&lt;1),AB2258*100,AB2258)/100)</f>
        <v/>
      </c>
      <c r="Y2258" s="5">
        <f>IF(D2258="","",AA2258*Z2258/100)</f>
        <v/>
      </c>
      <c r="Z2258" s="5">
        <f>IF(D2258="","",W2258-X2258)</f>
        <v/>
      </c>
      <c r="AC2258" s="5">
        <f>IF(D2258="","",Z2258-Y2258)</f>
        <v/>
      </c>
      <c r="AD2258">
        <f>IF(D2258="","",N(AD2257)+IF(MATCH(D2258,$D$2:$D$2501,0)=ROW()-1,1,0))</f>
        <v/>
      </c>
    </row>
    <row r="2259">
      <c r="X2259" s="5">
        <f>IF(D2259="","",W2259*IF(AND(ISNUMBER(AB2259),AB2259&gt;0,AB2259&lt;1),AB2259*100,AB2259)/100)</f>
        <v/>
      </c>
      <c r="Y2259" s="5">
        <f>IF(D2259="","",AA2259*Z2259/100)</f>
        <v/>
      </c>
      <c r="Z2259" s="5">
        <f>IF(D2259="","",W2259-X2259)</f>
        <v/>
      </c>
      <c r="AC2259" s="5">
        <f>IF(D2259="","",Z2259-Y2259)</f>
        <v/>
      </c>
      <c r="AD2259">
        <f>IF(D2259="","",N(AD2258)+IF(MATCH(D2259,$D$2:$D$2501,0)=ROW()-1,1,0))</f>
        <v/>
      </c>
    </row>
    <row r="2260">
      <c r="X2260" s="5">
        <f>IF(D2260="","",W2260*IF(AND(ISNUMBER(AB2260),AB2260&gt;0,AB2260&lt;1),AB2260*100,AB2260)/100)</f>
        <v/>
      </c>
      <c r="Y2260" s="5">
        <f>IF(D2260="","",AA2260*Z2260/100)</f>
        <v/>
      </c>
      <c r="Z2260" s="5">
        <f>IF(D2260="","",W2260-X2260)</f>
        <v/>
      </c>
      <c r="AC2260" s="5">
        <f>IF(D2260="","",Z2260-Y2260)</f>
        <v/>
      </c>
      <c r="AD2260">
        <f>IF(D2260="","",N(AD2259)+IF(MATCH(D2260,$D$2:$D$2501,0)=ROW()-1,1,0))</f>
        <v/>
      </c>
    </row>
    <row r="2261">
      <c r="X2261" s="5">
        <f>IF(D2261="","",W2261*IF(AND(ISNUMBER(AB2261),AB2261&gt;0,AB2261&lt;1),AB2261*100,AB2261)/100)</f>
        <v/>
      </c>
      <c r="Y2261" s="5">
        <f>IF(D2261="","",AA2261*Z2261/100)</f>
        <v/>
      </c>
      <c r="Z2261" s="5">
        <f>IF(D2261="","",W2261-X2261)</f>
        <v/>
      </c>
      <c r="AC2261" s="5">
        <f>IF(D2261="","",Z2261-Y2261)</f>
        <v/>
      </c>
      <c r="AD2261">
        <f>IF(D2261="","",N(AD2260)+IF(MATCH(D2261,$D$2:$D$2501,0)=ROW()-1,1,0))</f>
        <v/>
      </c>
    </row>
    <row r="2262">
      <c r="X2262" s="5">
        <f>IF(D2262="","",W2262*IF(AND(ISNUMBER(AB2262),AB2262&gt;0,AB2262&lt;1),AB2262*100,AB2262)/100)</f>
        <v/>
      </c>
      <c r="Y2262" s="5">
        <f>IF(D2262="","",AA2262*Z2262/100)</f>
        <v/>
      </c>
      <c r="Z2262" s="5">
        <f>IF(D2262="","",W2262-X2262)</f>
        <v/>
      </c>
      <c r="AC2262" s="5">
        <f>IF(D2262="","",Z2262-Y2262)</f>
        <v/>
      </c>
      <c r="AD2262">
        <f>IF(D2262="","",N(AD2261)+IF(MATCH(D2262,$D$2:$D$2501,0)=ROW()-1,1,0))</f>
        <v/>
      </c>
    </row>
    <row r="2263">
      <c r="X2263" s="5">
        <f>IF(D2263="","",W2263*IF(AND(ISNUMBER(AB2263),AB2263&gt;0,AB2263&lt;1),AB2263*100,AB2263)/100)</f>
        <v/>
      </c>
      <c r="Y2263" s="5">
        <f>IF(D2263="","",AA2263*Z2263/100)</f>
        <v/>
      </c>
      <c r="Z2263" s="5">
        <f>IF(D2263="","",W2263-X2263)</f>
        <v/>
      </c>
      <c r="AC2263" s="5">
        <f>IF(D2263="","",Z2263-Y2263)</f>
        <v/>
      </c>
      <c r="AD2263">
        <f>IF(D2263="","",N(AD2262)+IF(MATCH(D2263,$D$2:$D$2501,0)=ROW()-1,1,0))</f>
        <v/>
      </c>
    </row>
    <row r="2264">
      <c r="X2264" s="5">
        <f>IF(D2264="","",W2264*IF(AND(ISNUMBER(AB2264),AB2264&gt;0,AB2264&lt;1),AB2264*100,AB2264)/100)</f>
        <v/>
      </c>
      <c r="Y2264" s="5">
        <f>IF(D2264="","",AA2264*Z2264/100)</f>
        <v/>
      </c>
      <c r="Z2264" s="5">
        <f>IF(D2264="","",W2264-X2264)</f>
        <v/>
      </c>
      <c r="AC2264" s="5">
        <f>IF(D2264="","",Z2264-Y2264)</f>
        <v/>
      </c>
      <c r="AD2264">
        <f>IF(D2264="","",N(AD2263)+IF(MATCH(D2264,$D$2:$D$2501,0)=ROW()-1,1,0))</f>
        <v/>
      </c>
    </row>
    <row r="2265">
      <c r="X2265" s="5">
        <f>IF(D2265="","",W2265*IF(AND(ISNUMBER(AB2265),AB2265&gt;0,AB2265&lt;1),AB2265*100,AB2265)/100)</f>
        <v/>
      </c>
      <c r="Y2265" s="5">
        <f>IF(D2265="","",AA2265*Z2265/100)</f>
        <v/>
      </c>
      <c r="Z2265" s="5">
        <f>IF(D2265="","",W2265-X2265)</f>
        <v/>
      </c>
      <c r="AC2265" s="5">
        <f>IF(D2265="","",Z2265-Y2265)</f>
        <v/>
      </c>
      <c r="AD2265">
        <f>IF(D2265="","",N(AD2264)+IF(MATCH(D2265,$D$2:$D$2501,0)=ROW()-1,1,0))</f>
        <v/>
      </c>
    </row>
    <row r="2266">
      <c r="X2266" s="5">
        <f>IF(D2266="","",W2266*IF(AND(ISNUMBER(AB2266),AB2266&gt;0,AB2266&lt;1),AB2266*100,AB2266)/100)</f>
        <v/>
      </c>
      <c r="Y2266" s="5">
        <f>IF(D2266="","",AA2266*Z2266/100)</f>
        <v/>
      </c>
      <c r="Z2266" s="5">
        <f>IF(D2266="","",W2266-X2266)</f>
        <v/>
      </c>
      <c r="AC2266" s="5">
        <f>IF(D2266="","",Z2266-Y2266)</f>
        <v/>
      </c>
      <c r="AD2266">
        <f>IF(D2266="","",N(AD2265)+IF(MATCH(D2266,$D$2:$D$2501,0)=ROW()-1,1,0))</f>
        <v/>
      </c>
    </row>
    <row r="2267">
      <c r="X2267" s="5">
        <f>IF(D2267="","",W2267*IF(AND(ISNUMBER(AB2267),AB2267&gt;0,AB2267&lt;1),AB2267*100,AB2267)/100)</f>
        <v/>
      </c>
      <c r="Y2267" s="5">
        <f>IF(D2267="","",AA2267*Z2267/100)</f>
        <v/>
      </c>
      <c r="Z2267" s="5">
        <f>IF(D2267="","",W2267-X2267)</f>
        <v/>
      </c>
      <c r="AC2267" s="5">
        <f>IF(D2267="","",Z2267-Y2267)</f>
        <v/>
      </c>
      <c r="AD2267">
        <f>IF(D2267="","",N(AD2266)+IF(MATCH(D2267,$D$2:$D$2501,0)=ROW()-1,1,0))</f>
        <v/>
      </c>
    </row>
    <row r="2268">
      <c r="X2268" s="5">
        <f>IF(D2268="","",W2268*IF(AND(ISNUMBER(AB2268),AB2268&gt;0,AB2268&lt;1),AB2268*100,AB2268)/100)</f>
        <v/>
      </c>
      <c r="Y2268" s="5">
        <f>IF(D2268="","",AA2268*Z2268/100)</f>
        <v/>
      </c>
      <c r="Z2268" s="5">
        <f>IF(D2268="","",W2268-X2268)</f>
        <v/>
      </c>
      <c r="AC2268" s="5">
        <f>IF(D2268="","",Z2268-Y2268)</f>
        <v/>
      </c>
      <c r="AD2268">
        <f>IF(D2268="","",N(AD2267)+IF(MATCH(D2268,$D$2:$D$2501,0)=ROW()-1,1,0))</f>
        <v/>
      </c>
    </row>
    <row r="2269">
      <c r="X2269" s="5">
        <f>IF(D2269="","",W2269*IF(AND(ISNUMBER(AB2269),AB2269&gt;0,AB2269&lt;1),AB2269*100,AB2269)/100)</f>
        <v/>
      </c>
      <c r="Y2269" s="5">
        <f>IF(D2269="","",AA2269*Z2269/100)</f>
        <v/>
      </c>
      <c r="Z2269" s="5">
        <f>IF(D2269="","",W2269-X2269)</f>
        <v/>
      </c>
      <c r="AC2269" s="5">
        <f>IF(D2269="","",Z2269-Y2269)</f>
        <v/>
      </c>
      <c r="AD2269">
        <f>IF(D2269="","",N(AD2268)+IF(MATCH(D2269,$D$2:$D$2501,0)=ROW()-1,1,0))</f>
        <v/>
      </c>
    </row>
    <row r="2270">
      <c r="X2270" s="5">
        <f>IF(D2270="","",W2270*IF(AND(ISNUMBER(AB2270),AB2270&gt;0,AB2270&lt;1),AB2270*100,AB2270)/100)</f>
        <v/>
      </c>
      <c r="Y2270" s="5">
        <f>IF(D2270="","",AA2270*Z2270/100)</f>
        <v/>
      </c>
      <c r="Z2270" s="5">
        <f>IF(D2270="","",W2270-X2270)</f>
        <v/>
      </c>
      <c r="AC2270" s="5">
        <f>IF(D2270="","",Z2270-Y2270)</f>
        <v/>
      </c>
      <c r="AD2270">
        <f>IF(D2270="","",N(AD2269)+IF(MATCH(D2270,$D$2:$D$2501,0)=ROW()-1,1,0))</f>
        <v/>
      </c>
    </row>
    <row r="2271">
      <c r="X2271" s="5">
        <f>IF(D2271="","",W2271*IF(AND(ISNUMBER(AB2271),AB2271&gt;0,AB2271&lt;1),AB2271*100,AB2271)/100)</f>
        <v/>
      </c>
      <c r="Y2271" s="5">
        <f>IF(D2271="","",AA2271*Z2271/100)</f>
        <v/>
      </c>
      <c r="Z2271" s="5">
        <f>IF(D2271="","",W2271-X2271)</f>
        <v/>
      </c>
      <c r="AC2271" s="5">
        <f>IF(D2271="","",Z2271-Y2271)</f>
        <v/>
      </c>
      <c r="AD2271">
        <f>IF(D2271="","",N(AD2270)+IF(MATCH(D2271,$D$2:$D$2501,0)=ROW()-1,1,0))</f>
        <v/>
      </c>
    </row>
    <row r="2272">
      <c r="X2272" s="5">
        <f>IF(D2272="","",W2272*IF(AND(ISNUMBER(AB2272),AB2272&gt;0,AB2272&lt;1),AB2272*100,AB2272)/100)</f>
        <v/>
      </c>
      <c r="Y2272" s="5">
        <f>IF(D2272="","",AA2272*Z2272/100)</f>
        <v/>
      </c>
      <c r="Z2272" s="5">
        <f>IF(D2272="","",W2272-X2272)</f>
        <v/>
      </c>
      <c r="AC2272" s="5">
        <f>IF(D2272="","",Z2272-Y2272)</f>
        <v/>
      </c>
      <c r="AD2272">
        <f>IF(D2272="","",N(AD2271)+IF(MATCH(D2272,$D$2:$D$2501,0)=ROW()-1,1,0))</f>
        <v/>
      </c>
    </row>
    <row r="2273">
      <c r="X2273" s="5">
        <f>IF(D2273="","",W2273*IF(AND(ISNUMBER(AB2273),AB2273&gt;0,AB2273&lt;1),AB2273*100,AB2273)/100)</f>
        <v/>
      </c>
      <c r="Y2273" s="5">
        <f>IF(D2273="","",AA2273*Z2273/100)</f>
        <v/>
      </c>
      <c r="Z2273" s="5">
        <f>IF(D2273="","",W2273-X2273)</f>
        <v/>
      </c>
      <c r="AC2273" s="5">
        <f>IF(D2273="","",Z2273-Y2273)</f>
        <v/>
      </c>
      <c r="AD2273">
        <f>IF(D2273="","",N(AD2272)+IF(MATCH(D2273,$D$2:$D$2501,0)=ROW()-1,1,0))</f>
        <v/>
      </c>
    </row>
    <row r="2274">
      <c r="X2274" s="5">
        <f>IF(D2274="","",W2274*IF(AND(ISNUMBER(AB2274),AB2274&gt;0,AB2274&lt;1),AB2274*100,AB2274)/100)</f>
        <v/>
      </c>
      <c r="Y2274" s="5">
        <f>IF(D2274="","",AA2274*Z2274/100)</f>
        <v/>
      </c>
      <c r="Z2274" s="5">
        <f>IF(D2274="","",W2274-X2274)</f>
        <v/>
      </c>
      <c r="AC2274" s="5">
        <f>IF(D2274="","",Z2274-Y2274)</f>
        <v/>
      </c>
      <c r="AD2274">
        <f>IF(D2274="","",N(AD2273)+IF(MATCH(D2274,$D$2:$D$2501,0)=ROW()-1,1,0))</f>
        <v/>
      </c>
    </row>
    <row r="2275">
      <c r="X2275" s="5">
        <f>IF(D2275="","",W2275*IF(AND(ISNUMBER(AB2275),AB2275&gt;0,AB2275&lt;1),AB2275*100,AB2275)/100)</f>
        <v/>
      </c>
      <c r="Y2275" s="5">
        <f>IF(D2275="","",AA2275*Z2275/100)</f>
        <v/>
      </c>
      <c r="Z2275" s="5">
        <f>IF(D2275="","",W2275-X2275)</f>
        <v/>
      </c>
      <c r="AC2275" s="5">
        <f>IF(D2275="","",Z2275-Y2275)</f>
        <v/>
      </c>
      <c r="AD2275">
        <f>IF(D2275="","",N(AD2274)+IF(MATCH(D2275,$D$2:$D$2501,0)=ROW()-1,1,0))</f>
        <v/>
      </c>
    </row>
    <row r="2276">
      <c r="X2276" s="5">
        <f>IF(D2276="","",W2276*IF(AND(ISNUMBER(AB2276),AB2276&gt;0,AB2276&lt;1),AB2276*100,AB2276)/100)</f>
        <v/>
      </c>
      <c r="Y2276" s="5">
        <f>IF(D2276="","",AA2276*Z2276/100)</f>
        <v/>
      </c>
      <c r="Z2276" s="5">
        <f>IF(D2276="","",W2276-X2276)</f>
        <v/>
      </c>
      <c r="AC2276" s="5">
        <f>IF(D2276="","",Z2276-Y2276)</f>
        <v/>
      </c>
      <c r="AD2276">
        <f>IF(D2276="","",N(AD2275)+IF(MATCH(D2276,$D$2:$D$2501,0)=ROW()-1,1,0))</f>
        <v/>
      </c>
    </row>
    <row r="2277">
      <c r="X2277" s="5">
        <f>IF(D2277="","",W2277*IF(AND(ISNUMBER(AB2277),AB2277&gt;0,AB2277&lt;1),AB2277*100,AB2277)/100)</f>
        <v/>
      </c>
      <c r="Y2277" s="5">
        <f>IF(D2277="","",AA2277*Z2277/100)</f>
        <v/>
      </c>
      <c r="Z2277" s="5">
        <f>IF(D2277="","",W2277-X2277)</f>
        <v/>
      </c>
      <c r="AC2277" s="5">
        <f>IF(D2277="","",Z2277-Y2277)</f>
        <v/>
      </c>
      <c r="AD2277">
        <f>IF(D2277="","",N(AD2276)+IF(MATCH(D2277,$D$2:$D$2501,0)=ROW()-1,1,0))</f>
        <v/>
      </c>
    </row>
    <row r="2278">
      <c r="X2278" s="5">
        <f>IF(D2278="","",W2278*IF(AND(ISNUMBER(AB2278),AB2278&gt;0,AB2278&lt;1),AB2278*100,AB2278)/100)</f>
        <v/>
      </c>
      <c r="Y2278" s="5">
        <f>IF(D2278="","",AA2278*Z2278/100)</f>
        <v/>
      </c>
      <c r="Z2278" s="5">
        <f>IF(D2278="","",W2278-X2278)</f>
        <v/>
      </c>
      <c r="AC2278" s="5">
        <f>IF(D2278="","",Z2278-Y2278)</f>
        <v/>
      </c>
      <c r="AD2278">
        <f>IF(D2278="","",N(AD2277)+IF(MATCH(D2278,$D$2:$D$2501,0)=ROW()-1,1,0))</f>
        <v/>
      </c>
    </row>
    <row r="2279">
      <c r="X2279" s="5">
        <f>IF(D2279="","",W2279*IF(AND(ISNUMBER(AB2279),AB2279&gt;0,AB2279&lt;1),AB2279*100,AB2279)/100)</f>
        <v/>
      </c>
      <c r="Y2279" s="5">
        <f>IF(D2279="","",AA2279*Z2279/100)</f>
        <v/>
      </c>
      <c r="Z2279" s="5">
        <f>IF(D2279="","",W2279-X2279)</f>
        <v/>
      </c>
      <c r="AC2279" s="5">
        <f>IF(D2279="","",Z2279-Y2279)</f>
        <v/>
      </c>
      <c r="AD2279">
        <f>IF(D2279="","",N(AD2278)+IF(MATCH(D2279,$D$2:$D$2501,0)=ROW()-1,1,0))</f>
        <v/>
      </c>
    </row>
    <row r="2280">
      <c r="X2280" s="5">
        <f>IF(D2280="","",W2280*IF(AND(ISNUMBER(AB2280),AB2280&gt;0,AB2280&lt;1),AB2280*100,AB2280)/100)</f>
        <v/>
      </c>
      <c r="Y2280" s="5">
        <f>IF(D2280="","",AA2280*Z2280/100)</f>
        <v/>
      </c>
      <c r="Z2280" s="5">
        <f>IF(D2280="","",W2280-X2280)</f>
        <v/>
      </c>
      <c r="AC2280" s="5">
        <f>IF(D2280="","",Z2280-Y2280)</f>
        <v/>
      </c>
      <c r="AD2280">
        <f>IF(D2280="","",N(AD2279)+IF(MATCH(D2280,$D$2:$D$2501,0)=ROW()-1,1,0))</f>
        <v/>
      </c>
    </row>
    <row r="2281">
      <c r="X2281" s="5">
        <f>IF(D2281="","",W2281*IF(AND(ISNUMBER(AB2281),AB2281&gt;0,AB2281&lt;1),AB2281*100,AB2281)/100)</f>
        <v/>
      </c>
      <c r="Y2281" s="5">
        <f>IF(D2281="","",AA2281*Z2281/100)</f>
        <v/>
      </c>
      <c r="Z2281" s="5">
        <f>IF(D2281="","",W2281-X2281)</f>
        <v/>
      </c>
      <c r="AC2281" s="5">
        <f>IF(D2281="","",Z2281-Y2281)</f>
        <v/>
      </c>
      <c r="AD2281">
        <f>IF(D2281="","",N(AD2280)+IF(MATCH(D2281,$D$2:$D$2501,0)=ROW()-1,1,0))</f>
        <v/>
      </c>
    </row>
    <row r="2282">
      <c r="X2282" s="5">
        <f>IF(D2282="","",W2282*IF(AND(ISNUMBER(AB2282),AB2282&gt;0,AB2282&lt;1),AB2282*100,AB2282)/100)</f>
        <v/>
      </c>
      <c r="Y2282" s="5">
        <f>IF(D2282="","",AA2282*Z2282/100)</f>
        <v/>
      </c>
      <c r="Z2282" s="5">
        <f>IF(D2282="","",W2282-X2282)</f>
        <v/>
      </c>
      <c r="AC2282" s="5">
        <f>IF(D2282="","",Z2282-Y2282)</f>
        <v/>
      </c>
      <c r="AD2282">
        <f>IF(D2282="","",N(AD2281)+IF(MATCH(D2282,$D$2:$D$2501,0)=ROW()-1,1,0))</f>
        <v/>
      </c>
    </row>
    <row r="2283">
      <c r="X2283" s="5">
        <f>IF(D2283="","",W2283*IF(AND(ISNUMBER(AB2283),AB2283&gt;0,AB2283&lt;1),AB2283*100,AB2283)/100)</f>
        <v/>
      </c>
      <c r="Y2283" s="5">
        <f>IF(D2283="","",AA2283*Z2283/100)</f>
        <v/>
      </c>
      <c r="Z2283" s="5">
        <f>IF(D2283="","",W2283-X2283)</f>
        <v/>
      </c>
      <c r="AC2283" s="5">
        <f>IF(D2283="","",Z2283-Y2283)</f>
        <v/>
      </c>
      <c r="AD2283">
        <f>IF(D2283="","",N(AD2282)+IF(MATCH(D2283,$D$2:$D$2501,0)=ROW()-1,1,0))</f>
        <v/>
      </c>
    </row>
    <row r="2284">
      <c r="X2284" s="5">
        <f>IF(D2284="","",W2284*IF(AND(ISNUMBER(AB2284),AB2284&gt;0,AB2284&lt;1),AB2284*100,AB2284)/100)</f>
        <v/>
      </c>
      <c r="Y2284" s="5">
        <f>IF(D2284="","",AA2284*Z2284/100)</f>
        <v/>
      </c>
      <c r="Z2284" s="5">
        <f>IF(D2284="","",W2284-X2284)</f>
        <v/>
      </c>
      <c r="AC2284" s="5">
        <f>IF(D2284="","",Z2284-Y2284)</f>
        <v/>
      </c>
      <c r="AD2284">
        <f>IF(D2284="","",N(AD2283)+IF(MATCH(D2284,$D$2:$D$2501,0)=ROW()-1,1,0))</f>
        <v/>
      </c>
    </row>
    <row r="2285">
      <c r="X2285" s="5">
        <f>IF(D2285="","",W2285*IF(AND(ISNUMBER(AB2285),AB2285&gt;0,AB2285&lt;1),AB2285*100,AB2285)/100)</f>
        <v/>
      </c>
      <c r="Y2285" s="5">
        <f>IF(D2285="","",AA2285*Z2285/100)</f>
        <v/>
      </c>
      <c r="Z2285" s="5">
        <f>IF(D2285="","",W2285-X2285)</f>
        <v/>
      </c>
      <c r="AC2285" s="5">
        <f>IF(D2285="","",Z2285-Y2285)</f>
        <v/>
      </c>
      <c r="AD2285">
        <f>IF(D2285="","",N(AD2284)+IF(MATCH(D2285,$D$2:$D$2501,0)=ROW()-1,1,0))</f>
        <v/>
      </c>
    </row>
    <row r="2286">
      <c r="X2286" s="5">
        <f>IF(D2286="","",W2286*IF(AND(ISNUMBER(AB2286),AB2286&gt;0,AB2286&lt;1),AB2286*100,AB2286)/100)</f>
        <v/>
      </c>
      <c r="Y2286" s="5">
        <f>IF(D2286="","",AA2286*Z2286/100)</f>
        <v/>
      </c>
      <c r="Z2286" s="5">
        <f>IF(D2286="","",W2286-X2286)</f>
        <v/>
      </c>
      <c r="AC2286" s="5">
        <f>IF(D2286="","",Z2286-Y2286)</f>
        <v/>
      </c>
      <c r="AD2286">
        <f>IF(D2286="","",N(AD2285)+IF(MATCH(D2286,$D$2:$D$2501,0)=ROW()-1,1,0))</f>
        <v/>
      </c>
    </row>
    <row r="2287">
      <c r="X2287" s="5">
        <f>IF(D2287="","",W2287*IF(AND(ISNUMBER(AB2287),AB2287&gt;0,AB2287&lt;1),AB2287*100,AB2287)/100)</f>
        <v/>
      </c>
      <c r="Y2287" s="5">
        <f>IF(D2287="","",AA2287*Z2287/100)</f>
        <v/>
      </c>
      <c r="Z2287" s="5">
        <f>IF(D2287="","",W2287-X2287)</f>
        <v/>
      </c>
      <c r="AC2287" s="5">
        <f>IF(D2287="","",Z2287-Y2287)</f>
        <v/>
      </c>
      <c r="AD2287">
        <f>IF(D2287="","",N(AD2286)+IF(MATCH(D2287,$D$2:$D$2501,0)=ROW()-1,1,0))</f>
        <v/>
      </c>
    </row>
    <row r="2288">
      <c r="X2288" s="5">
        <f>IF(D2288="","",W2288*IF(AND(ISNUMBER(AB2288),AB2288&gt;0,AB2288&lt;1),AB2288*100,AB2288)/100)</f>
        <v/>
      </c>
      <c r="Y2288" s="5">
        <f>IF(D2288="","",AA2288*Z2288/100)</f>
        <v/>
      </c>
      <c r="Z2288" s="5">
        <f>IF(D2288="","",W2288-X2288)</f>
        <v/>
      </c>
      <c r="AC2288" s="5">
        <f>IF(D2288="","",Z2288-Y2288)</f>
        <v/>
      </c>
      <c r="AD2288">
        <f>IF(D2288="","",N(AD2287)+IF(MATCH(D2288,$D$2:$D$2501,0)=ROW()-1,1,0))</f>
        <v/>
      </c>
    </row>
    <row r="2289">
      <c r="X2289" s="5">
        <f>IF(D2289="","",W2289*IF(AND(ISNUMBER(AB2289),AB2289&gt;0,AB2289&lt;1),AB2289*100,AB2289)/100)</f>
        <v/>
      </c>
      <c r="Y2289" s="5">
        <f>IF(D2289="","",AA2289*Z2289/100)</f>
        <v/>
      </c>
      <c r="Z2289" s="5">
        <f>IF(D2289="","",W2289-X2289)</f>
        <v/>
      </c>
      <c r="AC2289" s="5">
        <f>IF(D2289="","",Z2289-Y2289)</f>
        <v/>
      </c>
      <c r="AD2289">
        <f>IF(D2289="","",N(AD2288)+IF(MATCH(D2289,$D$2:$D$2501,0)=ROW()-1,1,0))</f>
        <v/>
      </c>
    </row>
    <row r="2290">
      <c r="X2290" s="5">
        <f>IF(D2290="","",W2290*IF(AND(ISNUMBER(AB2290),AB2290&gt;0,AB2290&lt;1),AB2290*100,AB2290)/100)</f>
        <v/>
      </c>
      <c r="Y2290" s="5">
        <f>IF(D2290="","",AA2290*Z2290/100)</f>
        <v/>
      </c>
      <c r="Z2290" s="5">
        <f>IF(D2290="","",W2290-X2290)</f>
        <v/>
      </c>
      <c r="AC2290" s="5">
        <f>IF(D2290="","",Z2290-Y2290)</f>
        <v/>
      </c>
      <c r="AD2290">
        <f>IF(D2290="","",N(AD2289)+IF(MATCH(D2290,$D$2:$D$2501,0)=ROW()-1,1,0))</f>
        <v/>
      </c>
    </row>
    <row r="2291">
      <c r="X2291" s="5">
        <f>IF(D2291="","",W2291*IF(AND(ISNUMBER(AB2291),AB2291&gt;0,AB2291&lt;1),AB2291*100,AB2291)/100)</f>
        <v/>
      </c>
      <c r="Y2291" s="5">
        <f>IF(D2291="","",AA2291*Z2291/100)</f>
        <v/>
      </c>
      <c r="Z2291" s="5">
        <f>IF(D2291="","",W2291-X2291)</f>
        <v/>
      </c>
      <c r="AC2291" s="5">
        <f>IF(D2291="","",Z2291-Y2291)</f>
        <v/>
      </c>
      <c r="AD2291">
        <f>IF(D2291="","",N(AD2290)+IF(MATCH(D2291,$D$2:$D$2501,0)=ROW()-1,1,0))</f>
        <v/>
      </c>
    </row>
    <row r="2292">
      <c r="X2292" s="5">
        <f>IF(D2292="","",W2292*IF(AND(ISNUMBER(AB2292),AB2292&gt;0,AB2292&lt;1),AB2292*100,AB2292)/100)</f>
        <v/>
      </c>
      <c r="Y2292" s="5">
        <f>IF(D2292="","",AA2292*Z2292/100)</f>
        <v/>
      </c>
      <c r="Z2292" s="5">
        <f>IF(D2292="","",W2292-X2292)</f>
        <v/>
      </c>
      <c r="AC2292" s="5">
        <f>IF(D2292="","",Z2292-Y2292)</f>
        <v/>
      </c>
      <c r="AD2292">
        <f>IF(D2292="","",N(AD2291)+IF(MATCH(D2292,$D$2:$D$2501,0)=ROW()-1,1,0))</f>
        <v/>
      </c>
    </row>
    <row r="2293">
      <c r="X2293" s="5">
        <f>IF(D2293="","",W2293*IF(AND(ISNUMBER(AB2293),AB2293&gt;0,AB2293&lt;1),AB2293*100,AB2293)/100)</f>
        <v/>
      </c>
      <c r="Y2293" s="5">
        <f>IF(D2293="","",AA2293*Z2293/100)</f>
        <v/>
      </c>
      <c r="Z2293" s="5">
        <f>IF(D2293="","",W2293-X2293)</f>
        <v/>
      </c>
      <c r="AC2293" s="5">
        <f>IF(D2293="","",Z2293-Y2293)</f>
        <v/>
      </c>
      <c r="AD2293">
        <f>IF(D2293="","",N(AD2292)+IF(MATCH(D2293,$D$2:$D$2501,0)=ROW()-1,1,0))</f>
        <v/>
      </c>
    </row>
    <row r="2294">
      <c r="X2294" s="5">
        <f>IF(D2294="","",W2294*IF(AND(ISNUMBER(AB2294),AB2294&gt;0,AB2294&lt;1),AB2294*100,AB2294)/100)</f>
        <v/>
      </c>
      <c r="Y2294" s="5">
        <f>IF(D2294="","",AA2294*Z2294/100)</f>
        <v/>
      </c>
      <c r="Z2294" s="5">
        <f>IF(D2294="","",W2294-X2294)</f>
        <v/>
      </c>
      <c r="AC2294" s="5">
        <f>IF(D2294="","",Z2294-Y2294)</f>
        <v/>
      </c>
      <c r="AD2294">
        <f>IF(D2294="","",N(AD2293)+IF(MATCH(D2294,$D$2:$D$2501,0)=ROW()-1,1,0))</f>
        <v/>
      </c>
    </row>
    <row r="2295">
      <c r="X2295" s="5">
        <f>IF(D2295="","",W2295*IF(AND(ISNUMBER(AB2295),AB2295&gt;0,AB2295&lt;1),AB2295*100,AB2295)/100)</f>
        <v/>
      </c>
      <c r="Y2295" s="5">
        <f>IF(D2295="","",AA2295*Z2295/100)</f>
        <v/>
      </c>
      <c r="Z2295" s="5">
        <f>IF(D2295="","",W2295-X2295)</f>
        <v/>
      </c>
      <c r="AC2295" s="5">
        <f>IF(D2295="","",Z2295-Y2295)</f>
        <v/>
      </c>
      <c r="AD2295">
        <f>IF(D2295="","",N(AD2294)+IF(MATCH(D2295,$D$2:$D$2501,0)=ROW()-1,1,0))</f>
        <v/>
      </c>
    </row>
    <row r="2296">
      <c r="X2296" s="5">
        <f>IF(D2296="","",W2296*IF(AND(ISNUMBER(AB2296),AB2296&gt;0,AB2296&lt;1),AB2296*100,AB2296)/100)</f>
        <v/>
      </c>
      <c r="Y2296" s="5">
        <f>IF(D2296="","",AA2296*Z2296/100)</f>
        <v/>
      </c>
      <c r="Z2296" s="5">
        <f>IF(D2296="","",W2296-X2296)</f>
        <v/>
      </c>
      <c r="AC2296" s="5">
        <f>IF(D2296="","",Z2296-Y2296)</f>
        <v/>
      </c>
      <c r="AD2296">
        <f>IF(D2296="","",N(AD2295)+IF(MATCH(D2296,$D$2:$D$2501,0)=ROW()-1,1,0))</f>
        <v/>
      </c>
    </row>
    <row r="2297">
      <c r="X2297" s="5">
        <f>IF(D2297="","",W2297*IF(AND(ISNUMBER(AB2297),AB2297&gt;0,AB2297&lt;1),AB2297*100,AB2297)/100)</f>
        <v/>
      </c>
      <c r="Y2297" s="5">
        <f>IF(D2297="","",AA2297*Z2297/100)</f>
        <v/>
      </c>
      <c r="Z2297" s="5">
        <f>IF(D2297="","",W2297-X2297)</f>
        <v/>
      </c>
      <c r="AC2297" s="5">
        <f>IF(D2297="","",Z2297-Y2297)</f>
        <v/>
      </c>
      <c r="AD2297">
        <f>IF(D2297="","",N(AD2296)+IF(MATCH(D2297,$D$2:$D$2501,0)=ROW()-1,1,0))</f>
        <v/>
      </c>
    </row>
    <row r="2298">
      <c r="X2298" s="5">
        <f>IF(D2298="","",W2298*IF(AND(ISNUMBER(AB2298),AB2298&gt;0,AB2298&lt;1),AB2298*100,AB2298)/100)</f>
        <v/>
      </c>
      <c r="Y2298" s="5">
        <f>IF(D2298="","",AA2298*Z2298/100)</f>
        <v/>
      </c>
      <c r="Z2298" s="5">
        <f>IF(D2298="","",W2298-X2298)</f>
        <v/>
      </c>
      <c r="AC2298" s="5">
        <f>IF(D2298="","",Z2298-Y2298)</f>
        <v/>
      </c>
      <c r="AD2298">
        <f>IF(D2298="","",N(AD2297)+IF(MATCH(D2298,$D$2:$D$2501,0)=ROW()-1,1,0))</f>
        <v/>
      </c>
    </row>
    <row r="2299">
      <c r="X2299" s="5">
        <f>IF(D2299="","",W2299*IF(AND(ISNUMBER(AB2299),AB2299&gt;0,AB2299&lt;1),AB2299*100,AB2299)/100)</f>
        <v/>
      </c>
      <c r="Y2299" s="5">
        <f>IF(D2299="","",AA2299*Z2299/100)</f>
        <v/>
      </c>
      <c r="Z2299" s="5">
        <f>IF(D2299="","",W2299-X2299)</f>
        <v/>
      </c>
      <c r="AC2299" s="5">
        <f>IF(D2299="","",Z2299-Y2299)</f>
        <v/>
      </c>
      <c r="AD2299">
        <f>IF(D2299="","",N(AD2298)+IF(MATCH(D2299,$D$2:$D$2501,0)=ROW()-1,1,0))</f>
        <v/>
      </c>
    </row>
    <row r="2300">
      <c r="X2300" s="5">
        <f>IF(D2300="","",W2300*IF(AND(ISNUMBER(AB2300),AB2300&gt;0,AB2300&lt;1),AB2300*100,AB2300)/100)</f>
        <v/>
      </c>
      <c r="Y2300" s="5">
        <f>IF(D2300="","",AA2300*Z2300/100)</f>
        <v/>
      </c>
      <c r="Z2300" s="5">
        <f>IF(D2300="","",W2300-X2300)</f>
        <v/>
      </c>
      <c r="AC2300" s="5">
        <f>IF(D2300="","",Z2300-Y2300)</f>
        <v/>
      </c>
      <c r="AD2300">
        <f>IF(D2300="","",N(AD2299)+IF(MATCH(D2300,$D$2:$D$2501,0)=ROW()-1,1,0))</f>
        <v/>
      </c>
    </row>
    <row r="2301">
      <c r="X2301" s="5">
        <f>IF(D2301="","",W2301*IF(AND(ISNUMBER(AB2301),AB2301&gt;0,AB2301&lt;1),AB2301*100,AB2301)/100)</f>
        <v/>
      </c>
      <c r="Y2301" s="5">
        <f>IF(D2301="","",AA2301*Z2301/100)</f>
        <v/>
      </c>
      <c r="Z2301" s="5">
        <f>IF(D2301="","",W2301-X2301)</f>
        <v/>
      </c>
      <c r="AC2301" s="5">
        <f>IF(D2301="","",Z2301-Y2301)</f>
        <v/>
      </c>
      <c r="AD2301">
        <f>IF(D2301="","",N(AD2300)+IF(MATCH(D2301,$D$2:$D$2501,0)=ROW()-1,1,0))</f>
        <v/>
      </c>
    </row>
    <row r="2302">
      <c r="X2302" s="5">
        <f>IF(D2302="","",W2302*IF(AND(ISNUMBER(AB2302),AB2302&gt;0,AB2302&lt;1),AB2302*100,AB2302)/100)</f>
        <v/>
      </c>
      <c r="Y2302" s="5">
        <f>IF(D2302="","",AA2302*Z2302/100)</f>
        <v/>
      </c>
      <c r="Z2302" s="5">
        <f>IF(D2302="","",W2302-X2302)</f>
        <v/>
      </c>
      <c r="AC2302" s="5">
        <f>IF(D2302="","",Z2302-Y2302)</f>
        <v/>
      </c>
      <c r="AD2302">
        <f>IF(D2302="","",N(AD2301)+IF(MATCH(D2302,$D$2:$D$2501,0)=ROW()-1,1,0))</f>
        <v/>
      </c>
    </row>
    <row r="2303">
      <c r="X2303" s="5">
        <f>IF(D2303="","",W2303*IF(AND(ISNUMBER(AB2303),AB2303&gt;0,AB2303&lt;1),AB2303*100,AB2303)/100)</f>
        <v/>
      </c>
      <c r="Y2303" s="5">
        <f>IF(D2303="","",AA2303*Z2303/100)</f>
        <v/>
      </c>
      <c r="Z2303" s="5">
        <f>IF(D2303="","",W2303-X2303)</f>
        <v/>
      </c>
      <c r="AC2303" s="5">
        <f>IF(D2303="","",Z2303-Y2303)</f>
        <v/>
      </c>
      <c r="AD2303">
        <f>IF(D2303="","",N(AD2302)+IF(MATCH(D2303,$D$2:$D$2501,0)=ROW()-1,1,0))</f>
        <v/>
      </c>
    </row>
    <row r="2304">
      <c r="X2304" s="5">
        <f>IF(D2304="","",W2304*IF(AND(ISNUMBER(AB2304),AB2304&gt;0,AB2304&lt;1),AB2304*100,AB2304)/100)</f>
        <v/>
      </c>
      <c r="Y2304" s="5">
        <f>IF(D2304="","",AA2304*Z2304/100)</f>
        <v/>
      </c>
      <c r="Z2304" s="5">
        <f>IF(D2304="","",W2304-X2304)</f>
        <v/>
      </c>
      <c r="AC2304" s="5">
        <f>IF(D2304="","",Z2304-Y2304)</f>
        <v/>
      </c>
      <c r="AD2304">
        <f>IF(D2304="","",N(AD2303)+IF(MATCH(D2304,$D$2:$D$2501,0)=ROW()-1,1,0))</f>
        <v/>
      </c>
    </row>
    <row r="2305">
      <c r="X2305" s="5">
        <f>IF(D2305="","",W2305*IF(AND(ISNUMBER(AB2305),AB2305&gt;0,AB2305&lt;1),AB2305*100,AB2305)/100)</f>
        <v/>
      </c>
      <c r="Y2305" s="5">
        <f>IF(D2305="","",AA2305*Z2305/100)</f>
        <v/>
      </c>
      <c r="Z2305" s="5">
        <f>IF(D2305="","",W2305-X2305)</f>
        <v/>
      </c>
      <c r="AC2305" s="5">
        <f>IF(D2305="","",Z2305-Y2305)</f>
        <v/>
      </c>
      <c r="AD2305">
        <f>IF(D2305="","",N(AD2304)+IF(MATCH(D2305,$D$2:$D$2501,0)=ROW()-1,1,0))</f>
        <v/>
      </c>
    </row>
    <row r="2306">
      <c r="X2306" s="5">
        <f>IF(D2306="","",W2306*IF(AND(ISNUMBER(AB2306),AB2306&gt;0,AB2306&lt;1),AB2306*100,AB2306)/100)</f>
        <v/>
      </c>
      <c r="Y2306" s="5">
        <f>IF(D2306="","",AA2306*Z2306/100)</f>
        <v/>
      </c>
      <c r="Z2306" s="5">
        <f>IF(D2306="","",W2306-X2306)</f>
        <v/>
      </c>
      <c r="AC2306" s="5">
        <f>IF(D2306="","",Z2306-Y2306)</f>
        <v/>
      </c>
      <c r="AD2306">
        <f>IF(D2306="","",N(AD2305)+IF(MATCH(D2306,$D$2:$D$2501,0)=ROW()-1,1,0))</f>
        <v/>
      </c>
    </row>
    <row r="2307">
      <c r="X2307" s="5">
        <f>IF(D2307="","",W2307*IF(AND(ISNUMBER(AB2307),AB2307&gt;0,AB2307&lt;1),AB2307*100,AB2307)/100)</f>
        <v/>
      </c>
      <c r="Y2307" s="5">
        <f>IF(D2307="","",AA2307*Z2307/100)</f>
        <v/>
      </c>
      <c r="Z2307" s="5">
        <f>IF(D2307="","",W2307-X2307)</f>
        <v/>
      </c>
      <c r="AC2307" s="5">
        <f>IF(D2307="","",Z2307-Y2307)</f>
        <v/>
      </c>
      <c r="AD2307">
        <f>IF(D2307="","",N(AD2306)+IF(MATCH(D2307,$D$2:$D$2501,0)=ROW()-1,1,0))</f>
        <v/>
      </c>
    </row>
    <row r="2308">
      <c r="X2308" s="5">
        <f>IF(D2308="","",W2308*IF(AND(ISNUMBER(AB2308),AB2308&gt;0,AB2308&lt;1),AB2308*100,AB2308)/100)</f>
        <v/>
      </c>
      <c r="Y2308" s="5">
        <f>IF(D2308="","",AA2308*Z2308/100)</f>
        <v/>
      </c>
      <c r="Z2308" s="5">
        <f>IF(D2308="","",W2308-X2308)</f>
        <v/>
      </c>
      <c r="AC2308" s="5">
        <f>IF(D2308="","",Z2308-Y2308)</f>
        <v/>
      </c>
      <c r="AD2308">
        <f>IF(D2308="","",N(AD2307)+IF(MATCH(D2308,$D$2:$D$2501,0)=ROW()-1,1,0))</f>
        <v/>
      </c>
    </row>
    <row r="2309">
      <c r="X2309" s="5">
        <f>IF(D2309="","",W2309*IF(AND(ISNUMBER(AB2309),AB2309&gt;0,AB2309&lt;1),AB2309*100,AB2309)/100)</f>
        <v/>
      </c>
      <c r="Y2309" s="5">
        <f>IF(D2309="","",AA2309*Z2309/100)</f>
        <v/>
      </c>
      <c r="Z2309" s="5">
        <f>IF(D2309="","",W2309-X2309)</f>
        <v/>
      </c>
      <c r="AC2309" s="5">
        <f>IF(D2309="","",Z2309-Y2309)</f>
        <v/>
      </c>
      <c r="AD2309">
        <f>IF(D2309="","",N(AD2308)+IF(MATCH(D2309,$D$2:$D$2501,0)=ROW()-1,1,0))</f>
        <v/>
      </c>
    </row>
    <row r="2310">
      <c r="X2310" s="5">
        <f>IF(D2310="","",W2310*IF(AND(ISNUMBER(AB2310),AB2310&gt;0,AB2310&lt;1),AB2310*100,AB2310)/100)</f>
        <v/>
      </c>
      <c r="Y2310" s="5">
        <f>IF(D2310="","",AA2310*Z2310/100)</f>
        <v/>
      </c>
      <c r="Z2310" s="5">
        <f>IF(D2310="","",W2310-X2310)</f>
        <v/>
      </c>
      <c r="AC2310" s="5">
        <f>IF(D2310="","",Z2310-Y2310)</f>
        <v/>
      </c>
      <c r="AD2310">
        <f>IF(D2310="","",N(AD2309)+IF(MATCH(D2310,$D$2:$D$2501,0)=ROW()-1,1,0))</f>
        <v/>
      </c>
    </row>
    <row r="2311">
      <c r="X2311" s="5">
        <f>IF(D2311="","",W2311*IF(AND(ISNUMBER(AB2311),AB2311&gt;0,AB2311&lt;1),AB2311*100,AB2311)/100)</f>
        <v/>
      </c>
      <c r="Y2311" s="5">
        <f>IF(D2311="","",AA2311*Z2311/100)</f>
        <v/>
      </c>
      <c r="Z2311" s="5">
        <f>IF(D2311="","",W2311-X2311)</f>
        <v/>
      </c>
      <c r="AC2311" s="5">
        <f>IF(D2311="","",Z2311-Y2311)</f>
        <v/>
      </c>
      <c r="AD2311">
        <f>IF(D2311="","",N(AD2310)+IF(MATCH(D2311,$D$2:$D$2501,0)=ROW()-1,1,0))</f>
        <v/>
      </c>
    </row>
    <row r="2312">
      <c r="X2312" s="5">
        <f>IF(D2312="","",W2312*IF(AND(ISNUMBER(AB2312),AB2312&gt;0,AB2312&lt;1),AB2312*100,AB2312)/100)</f>
        <v/>
      </c>
      <c r="Y2312" s="5">
        <f>IF(D2312="","",AA2312*Z2312/100)</f>
        <v/>
      </c>
      <c r="Z2312" s="5">
        <f>IF(D2312="","",W2312-X2312)</f>
        <v/>
      </c>
      <c r="AC2312" s="5">
        <f>IF(D2312="","",Z2312-Y2312)</f>
        <v/>
      </c>
      <c r="AD2312">
        <f>IF(D2312="","",N(AD2311)+IF(MATCH(D2312,$D$2:$D$2501,0)=ROW()-1,1,0))</f>
        <v/>
      </c>
    </row>
    <row r="2313">
      <c r="X2313" s="5">
        <f>IF(D2313="","",W2313*IF(AND(ISNUMBER(AB2313),AB2313&gt;0,AB2313&lt;1),AB2313*100,AB2313)/100)</f>
        <v/>
      </c>
      <c r="Y2313" s="5">
        <f>IF(D2313="","",AA2313*Z2313/100)</f>
        <v/>
      </c>
      <c r="Z2313" s="5">
        <f>IF(D2313="","",W2313-X2313)</f>
        <v/>
      </c>
      <c r="AC2313" s="5">
        <f>IF(D2313="","",Z2313-Y2313)</f>
        <v/>
      </c>
      <c r="AD2313">
        <f>IF(D2313="","",N(AD2312)+IF(MATCH(D2313,$D$2:$D$2501,0)=ROW()-1,1,0))</f>
        <v/>
      </c>
    </row>
    <row r="2314">
      <c r="X2314" s="5">
        <f>IF(D2314="","",W2314*IF(AND(ISNUMBER(AB2314),AB2314&gt;0,AB2314&lt;1),AB2314*100,AB2314)/100)</f>
        <v/>
      </c>
      <c r="Y2314" s="5">
        <f>IF(D2314="","",AA2314*Z2314/100)</f>
        <v/>
      </c>
      <c r="Z2314" s="5">
        <f>IF(D2314="","",W2314-X2314)</f>
        <v/>
      </c>
      <c r="AC2314" s="5">
        <f>IF(D2314="","",Z2314-Y2314)</f>
        <v/>
      </c>
      <c r="AD2314">
        <f>IF(D2314="","",N(AD2313)+IF(MATCH(D2314,$D$2:$D$2501,0)=ROW()-1,1,0))</f>
        <v/>
      </c>
    </row>
    <row r="2315">
      <c r="X2315" s="5">
        <f>IF(D2315="","",W2315*IF(AND(ISNUMBER(AB2315),AB2315&gt;0,AB2315&lt;1),AB2315*100,AB2315)/100)</f>
        <v/>
      </c>
      <c r="Y2315" s="5">
        <f>IF(D2315="","",AA2315*Z2315/100)</f>
        <v/>
      </c>
      <c r="Z2315" s="5">
        <f>IF(D2315="","",W2315-X2315)</f>
        <v/>
      </c>
      <c r="AC2315" s="5">
        <f>IF(D2315="","",Z2315-Y2315)</f>
        <v/>
      </c>
      <c r="AD2315">
        <f>IF(D2315="","",N(AD2314)+IF(MATCH(D2315,$D$2:$D$2501,0)=ROW()-1,1,0))</f>
        <v/>
      </c>
    </row>
    <row r="2316">
      <c r="X2316" s="5">
        <f>IF(D2316="","",W2316*IF(AND(ISNUMBER(AB2316),AB2316&gt;0,AB2316&lt;1),AB2316*100,AB2316)/100)</f>
        <v/>
      </c>
      <c r="Y2316" s="5">
        <f>IF(D2316="","",AA2316*Z2316/100)</f>
        <v/>
      </c>
      <c r="Z2316" s="5">
        <f>IF(D2316="","",W2316-X2316)</f>
        <v/>
      </c>
      <c r="AC2316" s="5">
        <f>IF(D2316="","",Z2316-Y2316)</f>
        <v/>
      </c>
      <c r="AD2316">
        <f>IF(D2316="","",N(AD2315)+IF(MATCH(D2316,$D$2:$D$2501,0)=ROW()-1,1,0))</f>
        <v/>
      </c>
    </row>
    <row r="2317">
      <c r="X2317" s="5">
        <f>IF(D2317="","",W2317*IF(AND(ISNUMBER(AB2317),AB2317&gt;0,AB2317&lt;1),AB2317*100,AB2317)/100)</f>
        <v/>
      </c>
      <c r="Y2317" s="5">
        <f>IF(D2317="","",AA2317*Z2317/100)</f>
        <v/>
      </c>
      <c r="Z2317" s="5">
        <f>IF(D2317="","",W2317-X2317)</f>
        <v/>
      </c>
      <c r="AC2317" s="5">
        <f>IF(D2317="","",Z2317-Y2317)</f>
        <v/>
      </c>
      <c r="AD2317">
        <f>IF(D2317="","",N(AD2316)+IF(MATCH(D2317,$D$2:$D$2501,0)=ROW()-1,1,0))</f>
        <v/>
      </c>
    </row>
    <row r="2318">
      <c r="X2318" s="5">
        <f>IF(D2318="","",W2318*IF(AND(ISNUMBER(AB2318),AB2318&gt;0,AB2318&lt;1),AB2318*100,AB2318)/100)</f>
        <v/>
      </c>
      <c r="Y2318" s="5">
        <f>IF(D2318="","",AA2318*Z2318/100)</f>
        <v/>
      </c>
      <c r="Z2318" s="5">
        <f>IF(D2318="","",W2318-X2318)</f>
        <v/>
      </c>
      <c r="AC2318" s="5">
        <f>IF(D2318="","",Z2318-Y2318)</f>
        <v/>
      </c>
      <c r="AD2318">
        <f>IF(D2318="","",N(AD2317)+IF(MATCH(D2318,$D$2:$D$2501,0)=ROW()-1,1,0))</f>
        <v/>
      </c>
    </row>
    <row r="2319">
      <c r="X2319" s="5">
        <f>IF(D2319="","",W2319*IF(AND(ISNUMBER(AB2319),AB2319&gt;0,AB2319&lt;1),AB2319*100,AB2319)/100)</f>
        <v/>
      </c>
      <c r="Y2319" s="5">
        <f>IF(D2319="","",AA2319*Z2319/100)</f>
        <v/>
      </c>
      <c r="Z2319" s="5">
        <f>IF(D2319="","",W2319-X2319)</f>
        <v/>
      </c>
      <c r="AC2319" s="5">
        <f>IF(D2319="","",Z2319-Y2319)</f>
        <v/>
      </c>
      <c r="AD2319">
        <f>IF(D2319="","",N(AD2318)+IF(MATCH(D2319,$D$2:$D$2501,0)=ROW()-1,1,0))</f>
        <v/>
      </c>
    </row>
    <row r="2320">
      <c r="X2320" s="5">
        <f>IF(D2320="","",W2320*IF(AND(ISNUMBER(AB2320),AB2320&gt;0,AB2320&lt;1),AB2320*100,AB2320)/100)</f>
        <v/>
      </c>
      <c r="Y2320" s="5">
        <f>IF(D2320="","",AA2320*Z2320/100)</f>
        <v/>
      </c>
      <c r="Z2320" s="5">
        <f>IF(D2320="","",W2320-X2320)</f>
        <v/>
      </c>
      <c r="AC2320" s="5">
        <f>IF(D2320="","",Z2320-Y2320)</f>
        <v/>
      </c>
      <c r="AD2320">
        <f>IF(D2320="","",N(AD2319)+IF(MATCH(D2320,$D$2:$D$2501,0)=ROW()-1,1,0))</f>
        <v/>
      </c>
    </row>
    <row r="2321">
      <c r="X2321" s="5">
        <f>IF(D2321="","",W2321*IF(AND(ISNUMBER(AB2321),AB2321&gt;0,AB2321&lt;1),AB2321*100,AB2321)/100)</f>
        <v/>
      </c>
      <c r="Y2321" s="5">
        <f>IF(D2321="","",AA2321*Z2321/100)</f>
        <v/>
      </c>
      <c r="Z2321" s="5">
        <f>IF(D2321="","",W2321-X2321)</f>
        <v/>
      </c>
      <c r="AC2321" s="5">
        <f>IF(D2321="","",Z2321-Y2321)</f>
        <v/>
      </c>
      <c r="AD2321">
        <f>IF(D2321="","",N(AD2320)+IF(MATCH(D2321,$D$2:$D$2501,0)=ROW()-1,1,0))</f>
        <v/>
      </c>
    </row>
    <row r="2322">
      <c r="X2322" s="5">
        <f>IF(D2322="","",W2322*IF(AND(ISNUMBER(AB2322),AB2322&gt;0,AB2322&lt;1),AB2322*100,AB2322)/100)</f>
        <v/>
      </c>
      <c r="Y2322" s="5">
        <f>IF(D2322="","",AA2322*Z2322/100)</f>
        <v/>
      </c>
      <c r="Z2322" s="5">
        <f>IF(D2322="","",W2322-X2322)</f>
        <v/>
      </c>
      <c r="AC2322" s="5">
        <f>IF(D2322="","",Z2322-Y2322)</f>
        <v/>
      </c>
      <c r="AD2322">
        <f>IF(D2322="","",N(AD2321)+IF(MATCH(D2322,$D$2:$D$2501,0)=ROW()-1,1,0))</f>
        <v/>
      </c>
    </row>
    <row r="2323">
      <c r="X2323" s="5">
        <f>IF(D2323="","",W2323*IF(AND(ISNUMBER(AB2323),AB2323&gt;0,AB2323&lt;1),AB2323*100,AB2323)/100)</f>
        <v/>
      </c>
      <c r="Y2323" s="5">
        <f>IF(D2323="","",AA2323*Z2323/100)</f>
        <v/>
      </c>
      <c r="Z2323" s="5">
        <f>IF(D2323="","",W2323-X2323)</f>
        <v/>
      </c>
      <c r="AC2323" s="5">
        <f>IF(D2323="","",Z2323-Y2323)</f>
        <v/>
      </c>
      <c r="AD2323">
        <f>IF(D2323="","",N(AD2322)+IF(MATCH(D2323,$D$2:$D$2501,0)=ROW()-1,1,0))</f>
        <v/>
      </c>
    </row>
    <row r="2324">
      <c r="X2324" s="5">
        <f>IF(D2324="","",W2324*IF(AND(ISNUMBER(AB2324),AB2324&gt;0,AB2324&lt;1),AB2324*100,AB2324)/100)</f>
        <v/>
      </c>
      <c r="Y2324" s="5">
        <f>IF(D2324="","",AA2324*Z2324/100)</f>
        <v/>
      </c>
      <c r="Z2324" s="5">
        <f>IF(D2324="","",W2324-X2324)</f>
        <v/>
      </c>
      <c r="AC2324" s="5">
        <f>IF(D2324="","",Z2324-Y2324)</f>
        <v/>
      </c>
      <c r="AD2324">
        <f>IF(D2324="","",N(AD2323)+IF(MATCH(D2324,$D$2:$D$2501,0)=ROW()-1,1,0))</f>
        <v/>
      </c>
    </row>
    <row r="2325">
      <c r="X2325" s="5">
        <f>IF(D2325="","",W2325*IF(AND(ISNUMBER(AB2325),AB2325&gt;0,AB2325&lt;1),AB2325*100,AB2325)/100)</f>
        <v/>
      </c>
      <c r="Y2325" s="5">
        <f>IF(D2325="","",AA2325*Z2325/100)</f>
        <v/>
      </c>
      <c r="Z2325" s="5">
        <f>IF(D2325="","",W2325-X2325)</f>
        <v/>
      </c>
      <c r="AC2325" s="5">
        <f>IF(D2325="","",Z2325-Y2325)</f>
        <v/>
      </c>
      <c r="AD2325">
        <f>IF(D2325="","",N(AD2324)+IF(MATCH(D2325,$D$2:$D$2501,0)=ROW()-1,1,0))</f>
        <v/>
      </c>
    </row>
    <row r="2326">
      <c r="X2326" s="5">
        <f>IF(D2326="","",W2326*IF(AND(ISNUMBER(AB2326),AB2326&gt;0,AB2326&lt;1),AB2326*100,AB2326)/100)</f>
        <v/>
      </c>
      <c r="Y2326" s="5">
        <f>IF(D2326="","",AA2326*Z2326/100)</f>
        <v/>
      </c>
      <c r="Z2326" s="5">
        <f>IF(D2326="","",W2326-X2326)</f>
        <v/>
      </c>
      <c r="AC2326" s="5">
        <f>IF(D2326="","",Z2326-Y2326)</f>
        <v/>
      </c>
      <c r="AD2326">
        <f>IF(D2326="","",N(AD2325)+IF(MATCH(D2326,$D$2:$D$2501,0)=ROW()-1,1,0))</f>
        <v/>
      </c>
    </row>
    <row r="2327">
      <c r="X2327" s="5">
        <f>IF(D2327="","",W2327*IF(AND(ISNUMBER(AB2327),AB2327&gt;0,AB2327&lt;1),AB2327*100,AB2327)/100)</f>
        <v/>
      </c>
      <c r="Y2327" s="5">
        <f>IF(D2327="","",AA2327*Z2327/100)</f>
        <v/>
      </c>
      <c r="Z2327" s="5">
        <f>IF(D2327="","",W2327-X2327)</f>
        <v/>
      </c>
      <c r="AC2327" s="5">
        <f>IF(D2327="","",Z2327-Y2327)</f>
        <v/>
      </c>
      <c r="AD2327">
        <f>IF(D2327="","",N(AD2326)+IF(MATCH(D2327,$D$2:$D$2501,0)=ROW()-1,1,0))</f>
        <v/>
      </c>
    </row>
    <row r="2328">
      <c r="X2328" s="5">
        <f>IF(D2328="","",W2328*IF(AND(ISNUMBER(AB2328),AB2328&gt;0,AB2328&lt;1),AB2328*100,AB2328)/100)</f>
        <v/>
      </c>
      <c r="Y2328" s="5">
        <f>IF(D2328="","",AA2328*Z2328/100)</f>
        <v/>
      </c>
      <c r="Z2328" s="5">
        <f>IF(D2328="","",W2328-X2328)</f>
        <v/>
      </c>
      <c r="AC2328" s="5">
        <f>IF(D2328="","",Z2328-Y2328)</f>
        <v/>
      </c>
      <c r="AD2328">
        <f>IF(D2328="","",N(AD2327)+IF(MATCH(D2328,$D$2:$D$2501,0)=ROW()-1,1,0))</f>
        <v/>
      </c>
    </row>
    <row r="2329">
      <c r="X2329" s="5">
        <f>IF(D2329="","",W2329*IF(AND(ISNUMBER(AB2329),AB2329&gt;0,AB2329&lt;1),AB2329*100,AB2329)/100)</f>
        <v/>
      </c>
      <c r="Y2329" s="5">
        <f>IF(D2329="","",AA2329*Z2329/100)</f>
        <v/>
      </c>
      <c r="Z2329" s="5">
        <f>IF(D2329="","",W2329-X2329)</f>
        <v/>
      </c>
      <c r="AC2329" s="5">
        <f>IF(D2329="","",Z2329-Y2329)</f>
        <v/>
      </c>
      <c r="AD2329">
        <f>IF(D2329="","",N(AD2328)+IF(MATCH(D2329,$D$2:$D$2501,0)=ROW()-1,1,0))</f>
        <v/>
      </c>
    </row>
    <row r="2330">
      <c r="X2330" s="5">
        <f>IF(D2330="","",W2330*IF(AND(ISNUMBER(AB2330),AB2330&gt;0,AB2330&lt;1),AB2330*100,AB2330)/100)</f>
        <v/>
      </c>
      <c r="Y2330" s="5">
        <f>IF(D2330="","",AA2330*Z2330/100)</f>
        <v/>
      </c>
      <c r="Z2330" s="5">
        <f>IF(D2330="","",W2330-X2330)</f>
        <v/>
      </c>
      <c r="AC2330" s="5">
        <f>IF(D2330="","",Z2330-Y2330)</f>
        <v/>
      </c>
      <c r="AD2330">
        <f>IF(D2330="","",N(AD2329)+IF(MATCH(D2330,$D$2:$D$2501,0)=ROW()-1,1,0))</f>
        <v/>
      </c>
    </row>
    <row r="2331">
      <c r="X2331" s="5">
        <f>IF(D2331="","",W2331*IF(AND(ISNUMBER(AB2331),AB2331&gt;0,AB2331&lt;1),AB2331*100,AB2331)/100)</f>
        <v/>
      </c>
      <c r="Y2331" s="5">
        <f>IF(D2331="","",AA2331*Z2331/100)</f>
        <v/>
      </c>
      <c r="Z2331" s="5">
        <f>IF(D2331="","",W2331-X2331)</f>
        <v/>
      </c>
      <c r="AC2331" s="5">
        <f>IF(D2331="","",Z2331-Y2331)</f>
        <v/>
      </c>
      <c r="AD2331">
        <f>IF(D2331="","",N(AD2330)+IF(MATCH(D2331,$D$2:$D$2501,0)=ROW()-1,1,0))</f>
        <v/>
      </c>
    </row>
    <row r="2332">
      <c r="X2332" s="5">
        <f>IF(D2332="","",W2332*IF(AND(ISNUMBER(AB2332),AB2332&gt;0,AB2332&lt;1),AB2332*100,AB2332)/100)</f>
        <v/>
      </c>
      <c r="Y2332" s="5">
        <f>IF(D2332="","",AA2332*Z2332/100)</f>
        <v/>
      </c>
      <c r="Z2332" s="5">
        <f>IF(D2332="","",W2332-X2332)</f>
        <v/>
      </c>
      <c r="AC2332" s="5">
        <f>IF(D2332="","",Z2332-Y2332)</f>
        <v/>
      </c>
      <c r="AD2332">
        <f>IF(D2332="","",N(AD2331)+IF(MATCH(D2332,$D$2:$D$2501,0)=ROW()-1,1,0))</f>
        <v/>
      </c>
    </row>
    <row r="2333">
      <c r="X2333" s="5">
        <f>IF(D2333="","",W2333*IF(AND(ISNUMBER(AB2333),AB2333&gt;0,AB2333&lt;1),AB2333*100,AB2333)/100)</f>
        <v/>
      </c>
      <c r="Y2333" s="5">
        <f>IF(D2333="","",AA2333*Z2333/100)</f>
        <v/>
      </c>
      <c r="Z2333" s="5">
        <f>IF(D2333="","",W2333-X2333)</f>
        <v/>
      </c>
      <c r="AC2333" s="5">
        <f>IF(D2333="","",Z2333-Y2333)</f>
        <v/>
      </c>
      <c r="AD2333">
        <f>IF(D2333="","",N(AD2332)+IF(MATCH(D2333,$D$2:$D$2501,0)=ROW()-1,1,0))</f>
        <v/>
      </c>
    </row>
    <row r="2334">
      <c r="X2334" s="5">
        <f>IF(D2334="","",W2334*IF(AND(ISNUMBER(AB2334),AB2334&gt;0,AB2334&lt;1),AB2334*100,AB2334)/100)</f>
        <v/>
      </c>
      <c r="Y2334" s="5">
        <f>IF(D2334="","",AA2334*Z2334/100)</f>
        <v/>
      </c>
      <c r="Z2334" s="5">
        <f>IF(D2334="","",W2334-X2334)</f>
        <v/>
      </c>
      <c r="AC2334" s="5">
        <f>IF(D2334="","",Z2334-Y2334)</f>
        <v/>
      </c>
      <c r="AD2334">
        <f>IF(D2334="","",N(AD2333)+IF(MATCH(D2334,$D$2:$D$2501,0)=ROW()-1,1,0))</f>
        <v/>
      </c>
    </row>
    <row r="2335">
      <c r="X2335" s="5">
        <f>IF(D2335="","",W2335*IF(AND(ISNUMBER(AB2335),AB2335&gt;0,AB2335&lt;1),AB2335*100,AB2335)/100)</f>
        <v/>
      </c>
      <c r="Y2335" s="5">
        <f>IF(D2335="","",AA2335*Z2335/100)</f>
        <v/>
      </c>
      <c r="Z2335" s="5">
        <f>IF(D2335="","",W2335-X2335)</f>
        <v/>
      </c>
      <c r="AC2335" s="5">
        <f>IF(D2335="","",Z2335-Y2335)</f>
        <v/>
      </c>
      <c r="AD2335">
        <f>IF(D2335="","",N(AD2334)+IF(MATCH(D2335,$D$2:$D$2501,0)=ROW()-1,1,0))</f>
        <v/>
      </c>
    </row>
    <row r="2336">
      <c r="X2336" s="5">
        <f>IF(D2336="","",W2336*IF(AND(ISNUMBER(AB2336),AB2336&gt;0,AB2336&lt;1),AB2336*100,AB2336)/100)</f>
        <v/>
      </c>
      <c r="Y2336" s="5">
        <f>IF(D2336="","",AA2336*Z2336/100)</f>
        <v/>
      </c>
      <c r="Z2336" s="5">
        <f>IF(D2336="","",W2336-X2336)</f>
        <v/>
      </c>
      <c r="AC2336" s="5">
        <f>IF(D2336="","",Z2336-Y2336)</f>
        <v/>
      </c>
      <c r="AD2336">
        <f>IF(D2336="","",N(AD2335)+IF(MATCH(D2336,$D$2:$D$2501,0)=ROW()-1,1,0))</f>
        <v/>
      </c>
    </row>
    <row r="2337">
      <c r="X2337" s="5">
        <f>IF(D2337="","",W2337*IF(AND(ISNUMBER(AB2337),AB2337&gt;0,AB2337&lt;1),AB2337*100,AB2337)/100)</f>
        <v/>
      </c>
      <c r="Y2337" s="5">
        <f>IF(D2337="","",AA2337*Z2337/100)</f>
        <v/>
      </c>
      <c r="Z2337" s="5">
        <f>IF(D2337="","",W2337-X2337)</f>
        <v/>
      </c>
      <c r="AC2337" s="5">
        <f>IF(D2337="","",Z2337-Y2337)</f>
        <v/>
      </c>
      <c r="AD2337">
        <f>IF(D2337="","",N(AD2336)+IF(MATCH(D2337,$D$2:$D$2501,0)=ROW()-1,1,0))</f>
        <v/>
      </c>
    </row>
    <row r="2338">
      <c r="X2338" s="5">
        <f>IF(D2338="","",W2338*IF(AND(ISNUMBER(AB2338),AB2338&gt;0,AB2338&lt;1),AB2338*100,AB2338)/100)</f>
        <v/>
      </c>
      <c r="Y2338" s="5">
        <f>IF(D2338="","",AA2338*Z2338/100)</f>
        <v/>
      </c>
      <c r="Z2338" s="5">
        <f>IF(D2338="","",W2338-X2338)</f>
        <v/>
      </c>
      <c r="AC2338" s="5">
        <f>IF(D2338="","",Z2338-Y2338)</f>
        <v/>
      </c>
      <c r="AD2338">
        <f>IF(D2338="","",N(AD2337)+IF(MATCH(D2338,$D$2:$D$2501,0)=ROW()-1,1,0))</f>
        <v/>
      </c>
    </row>
    <row r="2339">
      <c r="X2339" s="5">
        <f>IF(D2339="","",W2339*IF(AND(ISNUMBER(AB2339),AB2339&gt;0,AB2339&lt;1),AB2339*100,AB2339)/100)</f>
        <v/>
      </c>
      <c r="Y2339" s="5">
        <f>IF(D2339="","",AA2339*Z2339/100)</f>
        <v/>
      </c>
      <c r="Z2339" s="5">
        <f>IF(D2339="","",W2339-X2339)</f>
        <v/>
      </c>
      <c r="AC2339" s="5">
        <f>IF(D2339="","",Z2339-Y2339)</f>
        <v/>
      </c>
      <c r="AD2339">
        <f>IF(D2339="","",N(AD2338)+IF(MATCH(D2339,$D$2:$D$2501,0)=ROW()-1,1,0))</f>
        <v/>
      </c>
    </row>
    <row r="2340">
      <c r="X2340" s="5">
        <f>IF(D2340="","",W2340*IF(AND(ISNUMBER(AB2340),AB2340&gt;0,AB2340&lt;1),AB2340*100,AB2340)/100)</f>
        <v/>
      </c>
      <c r="Y2340" s="5">
        <f>IF(D2340="","",AA2340*Z2340/100)</f>
        <v/>
      </c>
      <c r="Z2340" s="5">
        <f>IF(D2340="","",W2340-X2340)</f>
        <v/>
      </c>
      <c r="AC2340" s="5">
        <f>IF(D2340="","",Z2340-Y2340)</f>
        <v/>
      </c>
      <c r="AD2340">
        <f>IF(D2340="","",N(AD2339)+IF(MATCH(D2340,$D$2:$D$2501,0)=ROW()-1,1,0))</f>
        <v/>
      </c>
    </row>
    <row r="2341">
      <c r="X2341" s="5">
        <f>IF(D2341="","",W2341*IF(AND(ISNUMBER(AB2341),AB2341&gt;0,AB2341&lt;1),AB2341*100,AB2341)/100)</f>
        <v/>
      </c>
      <c r="Y2341" s="5">
        <f>IF(D2341="","",AA2341*Z2341/100)</f>
        <v/>
      </c>
      <c r="Z2341" s="5">
        <f>IF(D2341="","",W2341-X2341)</f>
        <v/>
      </c>
      <c r="AC2341" s="5">
        <f>IF(D2341="","",Z2341-Y2341)</f>
        <v/>
      </c>
      <c r="AD2341">
        <f>IF(D2341="","",N(AD2340)+IF(MATCH(D2341,$D$2:$D$2501,0)=ROW()-1,1,0))</f>
        <v/>
      </c>
    </row>
    <row r="2342">
      <c r="X2342" s="5">
        <f>IF(D2342="","",W2342*IF(AND(ISNUMBER(AB2342),AB2342&gt;0,AB2342&lt;1),AB2342*100,AB2342)/100)</f>
        <v/>
      </c>
      <c r="Y2342" s="5">
        <f>IF(D2342="","",AA2342*Z2342/100)</f>
        <v/>
      </c>
      <c r="Z2342" s="5">
        <f>IF(D2342="","",W2342-X2342)</f>
        <v/>
      </c>
      <c r="AC2342" s="5">
        <f>IF(D2342="","",Z2342-Y2342)</f>
        <v/>
      </c>
      <c r="AD2342">
        <f>IF(D2342="","",N(AD2341)+IF(MATCH(D2342,$D$2:$D$2501,0)=ROW()-1,1,0))</f>
        <v/>
      </c>
    </row>
    <row r="2343">
      <c r="X2343" s="5">
        <f>IF(D2343="","",W2343*IF(AND(ISNUMBER(AB2343),AB2343&gt;0,AB2343&lt;1),AB2343*100,AB2343)/100)</f>
        <v/>
      </c>
      <c r="Y2343" s="5">
        <f>IF(D2343="","",AA2343*Z2343/100)</f>
        <v/>
      </c>
      <c r="Z2343" s="5">
        <f>IF(D2343="","",W2343-X2343)</f>
        <v/>
      </c>
      <c r="AC2343" s="5">
        <f>IF(D2343="","",Z2343-Y2343)</f>
        <v/>
      </c>
      <c r="AD2343">
        <f>IF(D2343="","",N(AD2342)+IF(MATCH(D2343,$D$2:$D$2501,0)=ROW()-1,1,0))</f>
        <v/>
      </c>
    </row>
    <row r="2344">
      <c r="X2344" s="5">
        <f>IF(D2344="","",W2344*IF(AND(ISNUMBER(AB2344),AB2344&gt;0,AB2344&lt;1),AB2344*100,AB2344)/100)</f>
        <v/>
      </c>
      <c r="Y2344" s="5">
        <f>IF(D2344="","",AA2344*Z2344/100)</f>
        <v/>
      </c>
      <c r="Z2344" s="5">
        <f>IF(D2344="","",W2344-X2344)</f>
        <v/>
      </c>
      <c r="AC2344" s="5">
        <f>IF(D2344="","",Z2344-Y2344)</f>
        <v/>
      </c>
      <c r="AD2344">
        <f>IF(D2344="","",N(AD2343)+IF(MATCH(D2344,$D$2:$D$2501,0)=ROW()-1,1,0))</f>
        <v/>
      </c>
    </row>
    <row r="2345">
      <c r="X2345" s="5">
        <f>IF(D2345="","",W2345*IF(AND(ISNUMBER(AB2345),AB2345&gt;0,AB2345&lt;1),AB2345*100,AB2345)/100)</f>
        <v/>
      </c>
      <c r="Y2345" s="5">
        <f>IF(D2345="","",AA2345*Z2345/100)</f>
        <v/>
      </c>
      <c r="Z2345" s="5">
        <f>IF(D2345="","",W2345-X2345)</f>
        <v/>
      </c>
      <c r="AC2345" s="5">
        <f>IF(D2345="","",Z2345-Y2345)</f>
        <v/>
      </c>
      <c r="AD2345">
        <f>IF(D2345="","",N(AD2344)+IF(MATCH(D2345,$D$2:$D$2501,0)=ROW()-1,1,0))</f>
        <v/>
      </c>
    </row>
    <row r="2346">
      <c r="X2346" s="5">
        <f>IF(D2346="","",W2346*IF(AND(ISNUMBER(AB2346),AB2346&gt;0,AB2346&lt;1),AB2346*100,AB2346)/100)</f>
        <v/>
      </c>
      <c r="Y2346" s="5">
        <f>IF(D2346="","",AA2346*Z2346/100)</f>
        <v/>
      </c>
      <c r="Z2346" s="5">
        <f>IF(D2346="","",W2346-X2346)</f>
        <v/>
      </c>
      <c r="AC2346" s="5">
        <f>IF(D2346="","",Z2346-Y2346)</f>
        <v/>
      </c>
      <c r="AD2346">
        <f>IF(D2346="","",N(AD2345)+IF(MATCH(D2346,$D$2:$D$2501,0)=ROW()-1,1,0))</f>
        <v/>
      </c>
    </row>
    <row r="2347">
      <c r="X2347" s="5">
        <f>IF(D2347="","",W2347*IF(AND(ISNUMBER(AB2347),AB2347&gt;0,AB2347&lt;1),AB2347*100,AB2347)/100)</f>
        <v/>
      </c>
      <c r="Y2347" s="5">
        <f>IF(D2347="","",AA2347*Z2347/100)</f>
        <v/>
      </c>
      <c r="Z2347" s="5">
        <f>IF(D2347="","",W2347-X2347)</f>
        <v/>
      </c>
      <c r="AC2347" s="5">
        <f>IF(D2347="","",Z2347-Y2347)</f>
        <v/>
      </c>
      <c r="AD2347">
        <f>IF(D2347="","",N(AD2346)+IF(MATCH(D2347,$D$2:$D$2501,0)=ROW()-1,1,0))</f>
        <v/>
      </c>
    </row>
    <row r="2348">
      <c r="X2348" s="5">
        <f>IF(D2348="","",W2348*IF(AND(ISNUMBER(AB2348),AB2348&gt;0,AB2348&lt;1),AB2348*100,AB2348)/100)</f>
        <v/>
      </c>
      <c r="Y2348" s="5">
        <f>IF(D2348="","",AA2348*Z2348/100)</f>
        <v/>
      </c>
      <c r="Z2348" s="5">
        <f>IF(D2348="","",W2348-X2348)</f>
        <v/>
      </c>
      <c r="AC2348" s="5">
        <f>IF(D2348="","",Z2348-Y2348)</f>
        <v/>
      </c>
      <c r="AD2348">
        <f>IF(D2348="","",N(AD2347)+IF(MATCH(D2348,$D$2:$D$2501,0)=ROW()-1,1,0))</f>
        <v/>
      </c>
    </row>
    <row r="2349">
      <c r="X2349" s="5">
        <f>IF(D2349="","",W2349*IF(AND(ISNUMBER(AB2349),AB2349&gt;0,AB2349&lt;1),AB2349*100,AB2349)/100)</f>
        <v/>
      </c>
      <c r="Y2349" s="5">
        <f>IF(D2349="","",AA2349*Z2349/100)</f>
        <v/>
      </c>
      <c r="Z2349" s="5">
        <f>IF(D2349="","",W2349-X2349)</f>
        <v/>
      </c>
      <c r="AC2349" s="5">
        <f>IF(D2349="","",Z2349-Y2349)</f>
        <v/>
      </c>
      <c r="AD2349">
        <f>IF(D2349="","",N(AD2348)+IF(MATCH(D2349,$D$2:$D$2501,0)=ROW()-1,1,0))</f>
        <v/>
      </c>
    </row>
    <row r="2350">
      <c r="X2350" s="5">
        <f>IF(D2350="","",W2350*IF(AND(ISNUMBER(AB2350),AB2350&gt;0,AB2350&lt;1),AB2350*100,AB2350)/100)</f>
        <v/>
      </c>
      <c r="Y2350" s="5">
        <f>IF(D2350="","",AA2350*Z2350/100)</f>
        <v/>
      </c>
      <c r="Z2350" s="5">
        <f>IF(D2350="","",W2350-X2350)</f>
        <v/>
      </c>
      <c r="AC2350" s="5">
        <f>IF(D2350="","",Z2350-Y2350)</f>
        <v/>
      </c>
      <c r="AD2350">
        <f>IF(D2350="","",N(AD2349)+IF(MATCH(D2350,$D$2:$D$2501,0)=ROW()-1,1,0))</f>
        <v/>
      </c>
    </row>
    <row r="2351">
      <c r="X2351" s="5">
        <f>IF(D2351="","",W2351*IF(AND(ISNUMBER(AB2351),AB2351&gt;0,AB2351&lt;1),AB2351*100,AB2351)/100)</f>
        <v/>
      </c>
      <c r="Y2351" s="5">
        <f>IF(D2351="","",AA2351*Z2351/100)</f>
        <v/>
      </c>
      <c r="Z2351" s="5">
        <f>IF(D2351="","",W2351-X2351)</f>
        <v/>
      </c>
      <c r="AC2351" s="5">
        <f>IF(D2351="","",Z2351-Y2351)</f>
        <v/>
      </c>
      <c r="AD2351">
        <f>IF(D2351="","",N(AD2350)+IF(MATCH(D2351,$D$2:$D$2501,0)=ROW()-1,1,0))</f>
        <v/>
      </c>
    </row>
    <row r="2352">
      <c r="X2352" s="5">
        <f>IF(D2352="","",W2352*IF(AND(ISNUMBER(AB2352),AB2352&gt;0,AB2352&lt;1),AB2352*100,AB2352)/100)</f>
        <v/>
      </c>
      <c r="Y2352" s="5">
        <f>IF(D2352="","",AA2352*Z2352/100)</f>
        <v/>
      </c>
      <c r="Z2352" s="5">
        <f>IF(D2352="","",W2352-X2352)</f>
        <v/>
      </c>
      <c r="AC2352" s="5">
        <f>IF(D2352="","",Z2352-Y2352)</f>
        <v/>
      </c>
      <c r="AD2352">
        <f>IF(D2352="","",N(AD2351)+IF(MATCH(D2352,$D$2:$D$2501,0)=ROW()-1,1,0))</f>
        <v/>
      </c>
    </row>
    <row r="2353">
      <c r="X2353" s="5">
        <f>IF(D2353="","",W2353*IF(AND(ISNUMBER(AB2353),AB2353&gt;0,AB2353&lt;1),AB2353*100,AB2353)/100)</f>
        <v/>
      </c>
      <c r="Y2353" s="5">
        <f>IF(D2353="","",AA2353*Z2353/100)</f>
        <v/>
      </c>
      <c r="Z2353" s="5">
        <f>IF(D2353="","",W2353-X2353)</f>
        <v/>
      </c>
      <c r="AC2353" s="5">
        <f>IF(D2353="","",Z2353-Y2353)</f>
        <v/>
      </c>
      <c r="AD2353">
        <f>IF(D2353="","",N(AD2352)+IF(MATCH(D2353,$D$2:$D$2501,0)=ROW()-1,1,0))</f>
        <v/>
      </c>
    </row>
    <row r="2354">
      <c r="X2354" s="5">
        <f>IF(D2354="","",W2354*IF(AND(ISNUMBER(AB2354),AB2354&gt;0,AB2354&lt;1),AB2354*100,AB2354)/100)</f>
        <v/>
      </c>
      <c r="Y2354" s="5">
        <f>IF(D2354="","",AA2354*Z2354/100)</f>
        <v/>
      </c>
      <c r="Z2354" s="5">
        <f>IF(D2354="","",W2354-X2354)</f>
        <v/>
      </c>
      <c r="AC2354" s="5">
        <f>IF(D2354="","",Z2354-Y2354)</f>
        <v/>
      </c>
      <c r="AD2354">
        <f>IF(D2354="","",N(AD2353)+IF(MATCH(D2354,$D$2:$D$2501,0)=ROW()-1,1,0))</f>
        <v/>
      </c>
    </row>
    <row r="2355">
      <c r="X2355" s="5">
        <f>IF(D2355="","",W2355*IF(AND(ISNUMBER(AB2355),AB2355&gt;0,AB2355&lt;1),AB2355*100,AB2355)/100)</f>
        <v/>
      </c>
      <c r="Y2355" s="5">
        <f>IF(D2355="","",AA2355*Z2355/100)</f>
        <v/>
      </c>
      <c r="Z2355" s="5">
        <f>IF(D2355="","",W2355-X2355)</f>
        <v/>
      </c>
      <c r="AC2355" s="5">
        <f>IF(D2355="","",Z2355-Y2355)</f>
        <v/>
      </c>
      <c r="AD2355">
        <f>IF(D2355="","",N(AD2354)+IF(MATCH(D2355,$D$2:$D$2501,0)=ROW()-1,1,0))</f>
        <v/>
      </c>
    </row>
    <row r="2356">
      <c r="X2356" s="5">
        <f>IF(D2356="","",W2356*IF(AND(ISNUMBER(AB2356),AB2356&gt;0,AB2356&lt;1),AB2356*100,AB2356)/100)</f>
        <v/>
      </c>
      <c r="Y2356" s="5">
        <f>IF(D2356="","",AA2356*Z2356/100)</f>
        <v/>
      </c>
      <c r="Z2356" s="5">
        <f>IF(D2356="","",W2356-X2356)</f>
        <v/>
      </c>
      <c r="AC2356" s="5">
        <f>IF(D2356="","",Z2356-Y2356)</f>
        <v/>
      </c>
      <c r="AD2356">
        <f>IF(D2356="","",N(AD2355)+IF(MATCH(D2356,$D$2:$D$2501,0)=ROW()-1,1,0))</f>
        <v/>
      </c>
    </row>
    <row r="2357">
      <c r="X2357" s="5">
        <f>IF(D2357="","",W2357*IF(AND(ISNUMBER(AB2357),AB2357&gt;0,AB2357&lt;1),AB2357*100,AB2357)/100)</f>
        <v/>
      </c>
      <c r="Y2357" s="5">
        <f>IF(D2357="","",AA2357*Z2357/100)</f>
        <v/>
      </c>
      <c r="Z2357" s="5">
        <f>IF(D2357="","",W2357-X2357)</f>
        <v/>
      </c>
      <c r="AC2357" s="5">
        <f>IF(D2357="","",Z2357-Y2357)</f>
        <v/>
      </c>
      <c r="AD2357">
        <f>IF(D2357="","",N(AD2356)+IF(MATCH(D2357,$D$2:$D$2501,0)=ROW()-1,1,0))</f>
        <v/>
      </c>
    </row>
    <row r="2358">
      <c r="X2358" s="5">
        <f>IF(D2358="","",W2358*IF(AND(ISNUMBER(AB2358),AB2358&gt;0,AB2358&lt;1),AB2358*100,AB2358)/100)</f>
        <v/>
      </c>
      <c r="Y2358" s="5">
        <f>IF(D2358="","",AA2358*Z2358/100)</f>
        <v/>
      </c>
      <c r="Z2358" s="5">
        <f>IF(D2358="","",W2358-X2358)</f>
        <v/>
      </c>
      <c r="AC2358" s="5">
        <f>IF(D2358="","",Z2358-Y2358)</f>
        <v/>
      </c>
      <c r="AD2358">
        <f>IF(D2358="","",N(AD2357)+IF(MATCH(D2358,$D$2:$D$2501,0)=ROW()-1,1,0))</f>
        <v/>
      </c>
    </row>
    <row r="2359">
      <c r="X2359" s="5">
        <f>IF(D2359="","",W2359*IF(AND(ISNUMBER(AB2359),AB2359&gt;0,AB2359&lt;1),AB2359*100,AB2359)/100)</f>
        <v/>
      </c>
      <c r="Y2359" s="5">
        <f>IF(D2359="","",AA2359*Z2359/100)</f>
        <v/>
      </c>
      <c r="Z2359" s="5">
        <f>IF(D2359="","",W2359-X2359)</f>
        <v/>
      </c>
      <c r="AC2359" s="5">
        <f>IF(D2359="","",Z2359-Y2359)</f>
        <v/>
      </c>
      <c r="AD2359">
        <f>IF(D2359="","",N(AD2358)+IF(MATCH(D2359,$D$2:$D$2501,0)=ROW()-1,1,0))</f>
        <v/>
      </c>
    </row>
    <row r="2360">
      <c r="X2360" s="5">
        <f>IF(D2360="","",W2360*IF(AND(ISNUMBER(AB2360),AB2360&gt;0,AB2360&lt;1),AB2360*100,AB2360)/100)</f>
        <v/>
      </c>
      <c r="Y2360" s="5">
        <f>IF(D2360="","",AA2360*Z2360/100)</f>
        <v/>
      </c>
      <c r="Z2360" s="5">
        <f>IF(D2360="","",W2360-X2360)</f>
        <v/>
      </c>
      <c r="AC2360" s="5">
        <f>IF(D2360="","",Z2360-Y2360)</f>
        <v/>
      </c>
      <c r="AD2360">
        <f>IF(D2360="","",N(AD2359)+IF(MATCH(D2360,$D$2:$D$2501,0)=ROW()-1,1,0))</f>
        <v/>
      </c>
    </row>
    <row r="2361">
      <c r="X2361" s="5">
        <f>IF(D2361="","",W2361*IF(AND(ISNUMBER(AB2361),AB2361&gt;0,AB2361&lt;1),AB2361*100,AB2361)/100)</f>
        <v/>
      </c>
      <c r="Y2361" s="5">
        <f>IF(D2361="","",AA2361*Z2361/100)</f>
        <v/>
      </c>
      <c r="Z2361" s="5">
        <f>IF(D2361="","",W2361-X2361)</f>
        <v/>
      </c>
      <c r="AC2361" s="5">
        <f>IF(D2361="","",Z2361-Y2361)</f>
        <v/>
      </c>
      <c r="AD2361">
        <f>IF(D2361="","",N(AD2360)+IF(MATCH(D2361,$D$2:$D$2501,0)=ROW()-1,1,0))</f>
        <v/>
      </c>
    </row>
    <row r="2362">
      <c r="X2362" s="5">
        <f>IF(D2362="","",W2362*IF(AND(ISNUMBER(AB2362),AB2362&gt;0,AB2362&lt;1),AB2362*100,AB2362)/100)</f>
        <v/>
      </c>
      <c r="Y2362" s="5">
        <f>IF(D2362="","",AA2362*Z2362/100)</f>
        <v/>
      </c>
      <c r="Z2362" s="5">
        <f>IF(D2362="","",W2362-X2362)</f>
        <v/>
      </c>
      <c r="AC2362" s="5">
        <f>IF(D2362="","",Z2362-Y2362)</f>
        <v/>
      </c>
      <c r="AD2362">
        <f>IF(D2362="","",N(AD2361)+IF(MATCH(D2362,$D$2:$D$2501,0)=ROW()-1,1,0))</f>
        <v/>
      </c>
    </row>
    <row r="2363">
      <c r="X2363" s="5">
        <f>IF(D2363="","",W2363*IF(AND(ISNUMBER(AB2363),AB2363&gt;0,AB2363&lt;1),AB2363*100,AB2363)/100)</f>
        <v/>
      </c>
      <c r="Y2363" s="5">
        <f>IF(D2363="","",AA2363*Z2363/100)</f>
        <v/>
      </c>
      <c r="Z2363" s="5">
        <f>IF(D2363="","",W2363-X2363)</f>
        <v/>
      </c>
      <c r="AC2363" s="5">
        <f>IF(D2363="","",Z2363-Y2363)</f>
        <v/>
      </c>
      <c r="AD2363">
        <f>IF(D2363="","",N(AD2362)+IF(MATCH(D2363,$D$2:$D$2501,0)=ROW()-1,1,0))</f>
        <v/>
      </c>
    </row>
    <row r="2364">
      <c r="X2364" s="5">
        <f>IF(D2364="","",W2364*IF(AND(ISNUMBER(AB2364),AB2364&gt;0,AB2364&lt;1),AB2364*100,AB2364)/100)</f>
        <v/>
      </c>
      <c r="Y2364" s="5">
        <f>IF(D2364="","",AA2364*Z2364/100)</f>
        <v/>
      </c>
      <c r="Z2364" s="5">
        <f>IF(D2364="","",W2364-X2364)</f>
        <v/>
      </c>
      <c r="AC2364" s="5">
        <f>IF(D2364="","",Z2364-Y2364)</f>
        <v/>
      </c>
      <c r="AD2364">
        <f>IF(D2364="","",N(AD2363)+IF(MATCH(D2364,$D$2:$D$2501,0)=ROW()-1,1,0))</f>
        <v/>
      </c>
    </row>
    <row r="2365">
      <c r="X2365" s="5">
        <f>IF(D2365="","",W2365*IF(AND(ISNUMBER(AB2365),AB2365&gt;0,AB2365&lt;1),AB2365*100,AB2365)/100)</f>
        <v/>
      </c>
      <c r="Y2365" s="5">
        <f>IF(D2365="","",AA2365*Z2365/100)</f>
        <v/>
      </c>
      <c r="Z2365" s="5">
        <f>IF(D2365="","",W2365-X2365)</f>
        <v/>
      </c>
      <c r="AC2365" s="5">
        <f>IF(D2365="","",Z2365-Y2365)</f>
        <v/>
      </c>
      <c r="AD2365">
        <f>IF(D2365="","",N(AD2364)+IF(MATCH(D2365,$D$2:$D$2501,0)=ROW()-1,1,0))</f>
        <v/>
      </c>
    </row>
    <row r="2366">
      <c r="X2366" s="5">
        <f>IF(D2366="","",W2366*IF(AND(ISNUMBER(AB2366),AB2366&gt;0,AB2366&lt;1),AB2366*100,AB2366)/100)</f>
        <v/>
      </c>
      <c r="Y2366" s="5">
        <f>IF(D2366="","",AA2366*Z2366/100)</f>
        <v/>
      </c>
      <c r="Z2366" s="5">
        <f>IF(D2366="","",W2366-X2366)</f>
        <v/>
      </c>
      <c r="AC2366" s="5">
        <f>IF(D2366="","",Z2366-Y2366)</f>
        <v/>
      </c>
      <c r="AD2366">
        <f>IF(D2366="","",N(AD2365)+IF(MATCH(D2366,$D$2:$D$2501,0)=ROW()-1,1,0))</f>
        <v/>
      </c>
    </row>
    <row r="2367">
      <c r="X2367" s="5">
        <f>IF(D2367="","",W2367*IF(AND(ISNUMBER(AB2367),AB2367&gt;0,AB2367&lt;1),AB2367*100,AB2367)/100)</f>
        <v/>
      </c>
      <c r="Y2367" s="5">
        <f>IF(D2367="","",AA2367*Z2367/100)</f>
        <v/>
      </c>
      <c r="Z2367" s="5">
        <f>IF(D2367="","",W2367-X2367)</f>
        <v/>
      </c>
      <c r="AC2367" s="5">
        <f>IF(D2367="","",Z2367-Y2367)</f>
        <v/>
      </c>
      <c r="AD2367">
        <f>IF(D2367="","",N(AD2366)+IF(MATCH(D2367,$D$2:$D$2501,0)=ROW()-1,1,0))</f>
        <v/>
      </c>
    </row>
    <row r="2368">
      <c r="X2368" s="5">
        <f>IF(D2368="","",W2368*IF(AND(ISNUMBER(AB2368),AB2368&gt;0,AB2368&lt;1),AB2368*100,AB2368)/100)</f>
        <v/>
      </c>
      <c r="Y2368" s="5">
        <f>IF(D2368="","",AA2368*Z2368/100)</f>
        <v/>
      </c>
      <c r="Z2368" s="5">
        <f>IF(D2368="","",W2368-X2368)</f>
        <v/>
      </c>
      <c r="AC2368" s="5">
        <f>IF(D2368="","",Z2368-Y2368)</f>
        <v/>
      </c>
      <c r="AD2368">
        <f>IF(D2368="","",N(AD2367)+IF(MATCH(D2368,$D$2:$D$2501,0)=ROW()-1,1,0))</f>
        <v/>
      </c>
    </row>
    <row r="2369">
      <c r="X2369" s="5">
        <f>IF(D2369="","",W2369*IF(AND(ISNUMBER(AB2369),AB2369&gt;0,AB2369&lt;1),AB2369*100,AB2369)/100)</f>
        <v/>
      </c>
      <c r="Y2369" s="5">
        <f>IF(D2369="","",AA2369*Z2369/100)</f>
        <v/>
      </c>
      <c r="Z2369" s="5">
        <f>IF(D2369="","",W2369-X2369)</f>
        <v/>
      </c>
      <c r="AC2369" s="5">
        <f>IF(D2369="","",Z2369-Y2369)</f>
        <v/>
      </c>
      <c r="AD2369">
        <f>IF(D2369="","",N(AD2368)+IF(MATCH(D2369,$D$2:$D$2501,0)=ROW()-1,1,0))</f>
        <v/>
      </c>
    </row>
    <row r="2370">
      <c r="X2370" s="5">
        <f>IF(D2370="","",W2370*IF(AND(ISNUMBER(AB2370),AB2370&gt;0,AB2370&lt;1),AB2370*100,AB2370)/100)</f>
        <v/>
      </c>
      <c r="Y2370" s="5">
        <f>IF(D2370="","",AA2370*Z2370/100)</f>
        <v/>
      </c>
      <c r="Z2370" s="5">
        <f>IF(D2370="","",W2370-X2370)</f>
        <v/>
      </c>
      <c r="AC2370" s="5">
        <f>IF(D2370="","",Z2370-Y2370)</f>
        <v/>
      </c>
      <c r="AD2370">
        <f>IF(D2370="","",N(AD2369)+IF(MATCH(D2370,$D$2:$D$2501,0)=ROW()-1,1,0))</f>
        <v/>
      </c>
    </row>
    <row r="2371">
      <c r="X2371" s="5">
        <f>IF(D2371="","",W2371*IF(AND(ISNUMBER(AB2371),AB2371&gt;0,AB2371&lt;1),AB2371*100,AB2371)/100)</f>
        <v/>
      </c>
      <c r="Y2371" s="5">
        <f>IF(D2371="","",AA2371*Z2371/100)</f>
        <v/>
      </c>
      <c r="Z2371" s="5">
        <f>IF(D2371="","",W2371-X2371)</f>
        <v/>
      </c>
      <c r="AC2371" s="5">
        <f>IF(D2371="","",Z2371-Y2371)</f>
        <v/>
      </c>
      <c r="AD2371">
        <f>IF(D2371="","",N(AD2370)+IF(MATCH(D2371,$D$2:$D$2501,0)=ROW()-1,1,0))</f>
        <v/>
      </c>
    </row>
    <row r="2372">
      <c r="X2372" s="5">
        <f>IF(D2372="","",W2372*IF(AND(ISNUMBER(AB2372),AB2372&gt;0,AB2372&lt;1),AB2372*100,AB2372)/100)</f>
        <v/>
      </c>
      <c r="Y2372" s="5">
        <f>IF(D2372="","",AA2372*Z2372/100)</f>
        <v/>
      </c>
      <c r="Z2372" s="5">
        <f>IF(D2372="","",W2372-X2372)</f>
        <v/>
      </c>
      <c r="AC2372" s="5">
        <f>IF(D2372="","",Z2372-Y2372)</f>
        <v/>
      </c>
      <c r="AD2372">
        <f>IF(D2372="","",N(AD2371)+IF(MATCH(D2372,$D$2:$D$2501,0)=ROW()-1,1,0))</f>
        <v/>
      </c>
    </row>
    <row r="2373">
      <c r="X2373" s="5">
        <f>IF(D2373="","",W2373*IF(AND(ISNUMBER(AB2373),AB2373&gt;0,AB2373&lt;1),AB2373*100,AB2373)/100)</f>
        <v/>
      </c>
      <c r="Y2373" s="5">
        <f>IF(D2373="","",AA2373*Z2373/100)</f>
        <v/>
      </c>
      <c r="Z2373" s="5">
        <f>IF(D2373="","",W2373-X2373)</f>
        <v/>
      </c>
      <c r="AC2373" s="5">
        <f>IF(D2373="","",Z2373-Y2373)</f>
        <v/>
      </c>
      <c r="AD2373">
        <f>IF(D2373="","",N(AD2372)+IF(MATCH(D2373,$D$2:$D$2501,0)=ROW()-1,1,0))</f>
        <v/>
      </c>
    </row>
    <row r="2374">
      <c r="X2374" s="5">
        <f>IF(D2374="","",W2374*IF(AND(ISNUMBER(AB2374),AB2374&gt;0,AB2374&lt;1),AB2374*100,AB2374)/100)</f>
        <v/>
      </c>
      <c r="Y2374" s="5">
        <f>IF(D2374="","",AA2374*Z2374/100)</f>
        <v/>
      </c>
      <c r="Z2374" s="5">
        <f>IF(D2374="","",W2374-X2374)</f>
        <v/>
      </c>
      <c r="AC2374" s="5">
        <f>IF(D2374="","",Z2374-Y2374)</f>
        <v/>
      </c>
      <c r="AD2374">
        <f>IF(D2374="","",N(AD2373)+IF(MATCH(D2374,$D$2:$D$2501,0)=ROW()-1,1,0))</f>
        <v/>
      </c>
    </row>
    <row r="2375">
      <c r="X2375" s="5">
        <f>IF(D2375="","",W2375*IF(AND(ISNUMBER(AB2375),AB2375&gt;0,AB2375&lt;1),AB2375*100,AB2375)/100)</f>
        <v/>
      </c>
      <c r="Y2375" s="5">
        <f>IF(D2375="","",AA2375*Z2375/100)</f>
        <v/>
      </c>
      <c r="Z2375" s="5">
        <f>IF(D2375="","",W2375-X2375)</f>
        <v/>
      </c>
      <c r="AC2375" s="5">
        <f>IF(D2375="","",Z2375-Y2375)</f>
        <v/>
      </c>
      <c r="AD2375">
        <f>IF(D2375="","",N(AD2374)+IF(MATCH(D2375,$D$2:$D$2501,0)=ROW()-1,1,0))</f>
        <v/>
      </c>
    </row>
    <row r="2376">
      <c r="X2376" s="5">
        <f>IF(D2376="","",W2376*IF(AND(ISNUMBER(AB2376),AB2376&gt;0,AB2376&lt;1),AB2376*100,AB2376)/100)</f>
        <v/>
      </c>
      <c r="Y2376" s="5">
        <f>IF(D2376="","",AA2376*Z2376/100)</f>
        <v/>
      </c>
      <c r="Z2376" s="5">
        <f>IF(D2376="","",W2376-X2376)</f>
        <v/>
      </c>
      <c r="AC2376" s="5">
        <f>IF(D2376="","",Z2376-Y2376)</f>
        <v/>
      </c>
      <c r="AD2376">
        <f>IF(D2376="","",N(AD2375)+IF(MATCH(D2376,$D$2:$D$2501,0)=ROW()-1,1,0))</f>
        <v/>
      </c>
    </row>
    <row r="2377">
      <c r="X2377" s="5">
        <f>IF(D2377="","",W2377*IF(AND(ISNUMBER(AB2377),AB2377&gt;0,AB2377&lt;1),AB2377*100,AB2377)/100)</f>
        <v/>
      </c>
      <c r="Y2377" s="5">
        <f>IF(D2377="","",AA2377*Z2377/100)</f>
        <v/>
      </c>
      <c r="Z2377" s="5">
        <f>IF(D2377="","",W2377-X2377)</f>
        <v/>
      </c>
      <c r="AC2377" s="5">
        <f>IF(D2377="","",Z2377-Y2377)</f>
        <v/>
      </c>
      <c r="AD2377">
        <f>IF(D2377="","",N(AD2376)+IF(MATCH(D2377,$D$2:$D$2501,0)=ROW()-1,1,0))</f>
        <v/>
      </c>
    </row>
    <row r="2378">
      <c r="X2378" s="5">
        <f>IF(D2378="","",W2378*IF(AND(ISNUMBER(AB2378),AB2378&gt;0,AB2378&lt;1),AB2378*100,AB2378)/100)</f>
        <v/>
      </c>
      <c r="Y2378" s="5">
        <f>IF(D2378="","",AA2378*Z2378/100)</f>
        <v/>
      </c>
      <c r="Z2378" s="5">
        <f>IF(D2378="","",W2378-X2378)</f>
        <v/>
      </c>
      <c r="AC2378" s="5">
        <f>IF(D2378="","",Z2378-Y2378)</f>
        <v/>
      </c>
      <c r="AD2378">
        <f>IF(D2378="","",N(AD2377)+IF(MATCH(D2378,$D$2:$D$2501,0)=ROW()-1,1,0))</f>
        <v/>
      </c>
    </row>
    <row r="2379">
      <c r="X2379" s="5">
        <f>IF(D2379="","",W2379*IF(AND(ISNUMBER(AB2379),AB2379&gt;0,AB2379&lt;1),AB2379*100,AB2379)/100)</f>
        <v/>
      </c>
      <c r="Y2379" s="5">
        <f>IF(D2379="","",AA2379*Z2379/100)</f>
        <v/>
      </c>
      <c r="Z2379" s="5">
        <f>IF(D2379="","",W2379-X2379)</f>
        <v/>
      </c>
      <c r="AC2379" s="5">
        <f>IF(D2379="","",Z2379-Y2379)</f>
        <v/>
      </c>
      <c r="AD2379">
        <f>IF(D2379="","",N(AD2378)+IF(MATCH(D2379,$D$2:$D$2501,0)=ROW()-1,1,0))</f>
        <v/>
      </c>
    </row>
    <row r="2380">
      <c r="X2380" s="5">
        <f>IF(D2380="","",W2380*IF(AND(ISNUMBER(AB2380),AB2380&gt;0,AB2380&lt;1),AB2380*100,AB2380)/100)</f>
        <v/>
      </c>
      <c r="Y2380" s="5">
        <f>IF(D2380="","",AA2380*Z2380/100)</f>
        <v/>
      </c>
      <c r="Z2380" s="5">
        <f>IF(D2380="","",W2380-X2380)</f>
        <v/>
      </c>
      <c r="AC2380" s="5">
        <f>IF(D2380="","",Z2380-Y2380)</f>
        <v/>
      </c>
      <c r="AD2380">
        <f>IF(D2380="","",N(AD2379)+IF(MATCH(D2380,$D$2:$D$2501,0)=ROW()-1,1,0))</f>
        <v/>
      </c>
    </row>
    <row r="2381">
      <c r="X2381" s="5">
        <f>IF(D2381="","",W2381*IF(AND(ISNUMBER(AB2381),AB2381&gt;0,AB2381&lt;1),AB2381*100,AB2381)/100)</f>
        <v/>
      </c>
      <c r="Y2381" s="5">
        <f>IF(D2381="","",AA2381*Z2381/100)</f>
        <v/>
      </c>
      <c r="Z2381" s="5">
        <f>IF(D2381="","",W2381-X2381)</f>
        <v/>
      </c>
      <c r="AC2381" s="5">
        <f>IF(D2381="","",Z2381-Y2381)</f>
        <v/>
      </c>
      <c r="AD2381">
        <f>IF(D2381="","",N(AD2380)+IF(MATCH(D2381,$D$2:$D$2501,0)=ROW()-1,1,0))</f>
        <v/>
      </c>
    </row>
    <row r="2382">
      <c r="X2382" s="5">
        <f>IF(D2382="","",W2382*IF(AND(ISNUMBER(AB2382),AB2382&gt;0,AB2382&lt;1),AB2382*100,AB2382)/100)</f>
        <v/>
      </c>
      <c r="Y2382" s="5">
        <f>IF(D2382="","",AA2382*Z2382/100)</f>
        <v/>
      </c>
      <c r="Z2382" s="5">
        <f>IF(D2382="","",W2382-X2382)</f>
        <v/>
      </c>
      <c r="AC2382" s="5">
        <f>IF(D2382="","",Z2382-Y2382)</f>
        <v/>
      </c>
      <c r="AD2382">
        <f>IF(D2382="","",N(AD2381)+IF(MATCH(D2382,$D$2:$D$2501,0)=ROW()-1,1,0))</f>
        <v/>
      </c>
    </row>
    <row r="2383">
      <c r="X2383" s="5">
        <f>IF(D2383="","",W2383*IF(AND(ISNUMBER(AB2383),AB2383&gt;0,AB2383&lt;1),AB2383*100,AB2383)/100)</f>
        <v/>
      </c>
      <c r="Y2383" s="5">
        <f>IF(D2383="","",AA2383*Z2383/100)</f>
        <v/>
      </c>
      <c r="Z2383" s="5">
        <f>IF(D2383="","",W2383-X2383)</f>
        <v/>
      </c>
      <c r="AC2383" s="5">
        <f>IF(D2383="","",Z2383-Y2383)</f>
        <v/>
      </c>
      <c r="AD2383">
        <f>IF(D2383="","",N(AD2382)+IF(MATCH(D2383,$D$2:$D$2501,0)=ROW()-1,1,0))</f>
        <v/>
      </c>
    </row>
    <row r="2384">
      <c r="X2384" s="5">
        <f>IF(D2384="","",W2384*IF(AND(ISNUMBER(AB2384),AB2384&gt;0,AB2384&lt;1),AB2384*100,AB2384)/100)</f>
        <v/>
      </c>
      <c r="Y2384" s="5">
        <f>IF(D2384="","",AA2384*Z2384/100)</f>
        <v/>
      </c>
      <c r="Z2384" s="5">
        <f>IF(D2384="","",W2384-X2384)</f>
        <v/>
      </c>
      <c r="AC2384" s="5">
        <f>IF(D2384="","",Z2384-Y2384)</f>
        <v/>
      </c>
      <c r="AD2384">
        <f>IF(D2384="","",N(AD2383)+IF(MATCH(D2384,$D$2:$D$2501,0)=ROW()-1,1,0))</f>
        <v/>
      </c>
    </row>
    <row r="2385">
      <c r="X2385" s="5">
        <f>IF(D2385="","",W2385*IF(AND(ISNUMBER(AB2385),AB2385&gt;0,AB2385&lt;1),AB2385*100,AB2385)/100)</f>
        <v/>
      </c>
      <c r="Y2385" s="5">
        <f>IF(D2385="","",AA2385*Z2385/100)</f>
        <v/>
      </c>
      <c r="Z2385" s="5">
        <f>IF(D2385="","",W2385-X2385)</f>
        <v/>
      </c>
      <c r="AC2385" s="5">
        <f>IF(D2385="","",Z2385-Y2385)</f>
        <v/>
      </c>
      <c r="AD2385">
        <f>IF(D2385="","",N(AD2384)+IF(MATCH(D2385,$D$2:$D$2501,0)=ROW()-1,1,0))</f>
        <v/>
      </c>
    </row>
    <row r="2386">
      <c r="X2386" s="5">
        <f>IF(D2386="","",W2386*IF(AND(ISNUMBER(AB2386),AB2386&gt;0,AB2386&lt;1),AB2386*100,AB2386)/100)</f>
        <v/>
      </c>
      <c r="Y2386" s="5">
        <f>IF(D2386="","",AA2386*Z2386/100)</f>
        <v/>
      </c>
      <c r="Z2386" s="5">
        <f>IF(D2386="","",W2386-X2386)</f>
        <v/>
      </c>
      <c r="AC2386" s="5">
        <f>IF(D2386="","",Z2386-Y2386)</f>
        <v/>
      </c>
      <c r="AD2386">
        <f>IF(D2386="","",N(AD2385)+IF(MATCH(D2386,$D$2:$D$2501,0)=ROW()-1,1,0))</f>
        <v/>
      </c>
    </row>
    <row r="2387">
      <c r="X2387" s="5">
        <f>IF(D2387="","",W2387*IF(AND(ISNUMBER(AB2387),AB2387&gt;0,AB2387&lt;1),AB2387*100,AB2387)/100)</f>
        <v/>
      </c>
      <c r="Y2387" s="5">
        <f>IF(D2387="","",AA2387*Z2387/100)</f>
        <v/>
      </c>
      <c r="Z2387" s="5">
        <f>IF(D2387="","",W2387-X2387)</f>
        <v/>
      </c>
      <c r="AC2387" s="5">
        <f>IF(D2387="","",Z2387-Y2387)</f>
        <v/>
      </c>
      <c r="AD2387">
        <f>IF(D2387="","",N(AD2386)+IF(MATCH(D2387,$D$2:$D$2501,0)=ROW()-1,1,0))</f>
        <v/>
      </c>
    </row>
    <row r="2388">
      <c r="X2388" s="5">
        <f>IF(D2388="","",W2388*IF(AND(ISNUMBER(AB2388),AB2388&gt;0,AB2388&lt;1),AB2388*100,AB2388)/100)</f>
        <v/>
      </c>
      <c r="Y2388" s="5">
        <f>IF(D2388="","",AA2388*Z2388/100)</f>
        <v/>
      </c>
      <c r="Z2388" s="5">
        <f>IF(D2388="","",W2388-X2388)</f>
        <v/>
      </c>
      <c r="AC2388" s="5">
        <f>IF(D2388="","",Z2388-Y2388)</f>
        <v/>
      </c>
      <c r="AD2388">
        <f>IF(D2388="","",N(AD2387)+IF(MATCH(D2388,$D$2:$D$2501,0)=ROW()-1,1,0))</f>
        <v/>
      </c>
    </row>
    <row r="2389">
      <c r="X2389" s="5">
        <f>IF(D2389="","",W2389*IF(AND(ISNUMBER(AB2389),AB2389&gt;0,AB2389&lt;1),AB2389*100,AB2389)/100)</f>
        <v/>
      </c>
      <c r="Y2389" s="5">
        <f>IF(D2389="","",AA2389*Z2389/100)</f>
        <v/>
      </c>
      <c r="Z2389" s="5">
        <f>IF(D2389="","",W2389-X2389)</f>
        <v/>
      </c>
      <c r="AC2389" s="5">
        <f>IF(D2389="","",Z2389-Y2389)</f>
        <v/>
      </c>
      <c r="AD2389">
        <f>IF(D2389="","",N(AD2388)+IF(MATCH(D2389,$D$2:$D$2501,0)=ROW()-1,1,0))</f>
        <v/>
      </c>
    </row>
    <row r="2390">
      <c r="X2390" s="5">
        <f>IF(D2390="","",W2390*IF(AND(ISNUMBER(AB2390),AB2390&gt;0,AB2390&lt;1),AB2390*100,AB2390)/100)</f>
        <v/>
      </c>
      <c r="Y2390" s="5">
        <f>IF(D2390="","",AA2390*Z2390/100)</f>
        <v/>
      </c>
      <c r="Z2390" s="5">
        <f>IF(D2390="","",W2390-X2390)</f>
        <v/>
      </c>
      <c r="AC2390" s="5">
        <f>IF(D2390="","",Z2390-Y2390)</f>
        <v/>
      </c>
      <c r="AD2390">
        <f>IF(D2390="","",N(AD2389)+IF(MATCH(D2390,$D$2:$D$2501,0)=ROW()-1,1,0))</f>
        <v/>
      </c>
    </row>
    <row r="2391">
      <c r="X2391" s="5">
        <f>IF(D2391="","",W2391*IF(AND(ISNUMBER(AB2391),AB2391&gt;0,AB2391&lt;1),AB2391*100,AB2391)/100)</f>
        <v/>
      </c>
      <c r="Y2391" s="5">
        <f>IF(D2391="","",AA2391*Z2391/100)</f>
        <v/>
      </c>
      <c r="Z2391" s="5">
        <f>IF(D2391="","",W2391-X2391)</f>
        <v/>
      </c>
      <c r="AC2391" s="5">
        <f>IF(D2391="","",Z2391-Y2391)</f>
        <v/>
      </c>
      <c r="AD2391">
        <f>IF(D2391="","",N(AD2390)+IF(MATCH(D2391,$D$2:$D$2501,0)=ROW()-1,1,0))</f>
        <v/>
      </c>
    </row>
    <row r="2392">
      <c r="X2392" s="5">
        <f>IF(D2392="","",W2392*IF(AND(ISNUMBER(AB2392),AB2392&gt;0,AB2392&lt;1),AB2392*100,AB2392)/100)</f>
        <v/>
      </c>
      <c r="Y2392" s="5">
        <f>IF(D2392="","",AA2392*Z2392/100)</f>
        <v/>
      </c>
      <c r="Z2392" s="5">
        <f>IF(D2392="","",W2392-X2392)</f>
        <v/>
      </c>
      <c r="AC2392" s="5">
        <f>IF(D2392="","",Z2392-Y2392)</f>
        <v/>
      </c>
      <c r="AD2392">
        <f>IF(D2392="","",N(AD2391)+IF(MATCH(D2392,$D$2:$D$2501,0)=ROW()-1,1,0))</f>
        <v/>
      </c>
    </row>
    <row r="2393">
      <c r="X2393" s="5">
        <f>IF(D2393="","",W2393*IF(AND(ISNUMBER(AB2393),AB2393&gt;0,AB2393&lt;1),AB2393*100,AB2393)/100)</f>
        <v/>
      </c>
      <c r="Y2393" s="5">
        <f>IF(D2393="","",AA2393*Z2393/100)</f>
        <v/>
      </c>
      <c r="Z2393" s="5">
        <f>IF(D2393="","",W2393-X2393)</f>
        <v/>
      </c>
      <c r="AC2393" s="5">
        <f>IF(D2393="","",Z2393-Y2393)</f>
        <v/>
      </c>
      <c r="AD2393">
        <f>IF(D2393="","",N(AD2392)+IF(MATCH(D2393,$D$2:$D$2501,0)=ROW()-1,1,0))</f>
        <v/>
      </c>
    </row>
    <row r="2394">
      <c r="X2394" s="5">
        <f>IF(D2394="","",W2394*IF(AND(ISNUMBER(AB2394),AB2394&gt;0,AB2394&lt;1),AB2394*100,AB2394)/100)</f>
        <v/>
      </c>
      <c r="Y2394" s="5">
        <f>IF(D2394="","",AA2394*Z2394/100)</f>
        <v/>
      </c>
      <c r="Z2394" s="5">
        <f>IF(D2394="","",W2394-X2394)</f>
        <v/>
      </c>
      <c r="AC2394" s="5">
        <f>IF(D2394="","",Z2394-Y2394)</f>
        <v/>
      </c>
      <c r="AD2394">
        <f>IF(D2394="","",N(AD2393)+IF(MATCH(D2394,$D$2:$D$2501,0)=ROW()-1,1,0))</f>
        <v/>
      </c>
    </row>
    <row r="2395">
      <c r="X2395" s="5">
        <f>IF(D2395="","",W2395*IF(AND(ISNUMBER(AB2395),AB2395&gt;0,AB2395&lt;1),AB2395*100,AB2395)/100)</f>
        <v/>
      </c>
      <c r="Y2395" s="5">
        <f>IF(D2395="","",AA2395*Z2395/100)</f>
        <v/>
      </c>
      <c r="Z2395" s="5">
        <f>IF(D2395="","",W2395-X2395)</f>
        <v/>
      </c>
      <c r="AC2395" s="5">
        <f>IF(D2395="","",Z2395-Y2395)</f>
        <v/>
      </c>
      <c r="AD2395">
        <f>IF(D2395="","",N(AD2394)+IF(MATCH(D2395,$D$2:$D$2501,0)=ROW()-1,1,0))</f>
        <v/>
      </c>
    </row>
    <row r="2396">
      <c r="X2396" s="5">
        <f>IF(D2396="","",W2396*IF(AND(ISNUMBER(AB2396),AB2396&gt;0,AB2396&lt;1),AB2396*100,AB2396)/100)</f>
        <v/>
      </c>
      <c r="Y2396" s="5">
        <f>IF(D2396="","",AA2396*Z2396/100)</f>
        <v/>
      </c>
      <c r="Z2396" s="5">
        <f>IF(D2396="","",W2396-X2396)</f>
        <v/>
      </c>
      <c r="AC2396" s="5">
        <f>IF(D2396="","",Z2396-Y2396)</f>
        <v/>
      </c>
      <c r="AD2396">
        <f>IF(D2396="","",N(AD2395)+IF(MATCH(D2396,$D$2:$D$2501,0)=ROW()-1,1,0))</f>
        <v/>
      </c>
    </row>
    <row r="2397">
      <c r="X2397" s="5">
        <f>IF(D2397="","",W2397*IF(AND(ISNUMBER(AB2397),AB2397&gt;0,AB2397&lt;1),AB2397*100,AB2397)/100)</f>
        <v/>
      </c>
      <c r="Y2397" s="5">
        <f>IF(D2397="","",AA2397*Z2397/100)</f>
        <v/>
      </c>
      <c r="Z2397" s="5">
        <f>IF(D2397="","",W2397-X2397)</f>
        <v/>
      </c>
      <c r="AC2397" s="5">
        <f>IF(D2397="","",Z2397-Y2397)</f>
        <v/>
      </c>
      <c r="AD2397">
        <f>IF(D2397="","",N(AD2396)+IF(MATCH(D2397,$D$2:$D$2501,0)=ROW()-1,1,0))</f>
        <v/>
      </c>
    </row>
    <row r="2398">
      <c r="X2398" s="5">
        <f>IF(D2398="","",W2398*IF(AND(ISNUMBER(AB2398),AB2398&gt;0,AB2398&lt;1),AB2398*100,AB2398)/100)</f>
        <v/>
      </c>
      <c r="Y2398" s="5">
        <f>IF(D2398="","",AA2398*Z2398/100)</f>
        <v/>
      </c>
      <c r="Z2398" s="5">
        <f>IF(D2398="","",W2398-X2398)</f>
        <v/>
      </c>
      <c r="AC2398" s="5">
        <f>IF(D2398="","",Z2398-Y2398)</f>
        <v/>
      </c>
      <c r="AD2398">
        <f>IF(D2398="","",N(AD2397)+IF(MATCH(D2398,$D$2:$D$2501,0)=ROW()-1,1,0))</f>
        <v/>
      </c>
    </row>
    <row r="2399">
      <c r="X2399" s="5">
        <f>IF(D2399="","",W2399*IF(AND(ISNUMBER(AB2399),AB2399&gt;0,AB2399&lt;1),AB2399*100,AB2399)/100)</f>
        <v/>
      </c>
      <c r="Y2399" s="5">
        <f>IF(D2399="","",AA2399*Z2399/100)</f>
        <v/>
      </c>
      <c r="Z2399" s="5">
        <f>IF(D2399="","",W2399-X2399)</f>
        <v/>
      </c>
      <c r="AC2399" s="5">
        <f>IF(D2399="","",Z2399-Y2399)</f>
        <v/>
      </c>
      <c r="AD2399">
        <f>IF(D2399="","",N(AD2398)+IF(MATCH(D2399,$D$2:$D$2501,0)=ROW()-1,1,0))</f>
        <v/>
      </c>
    </row>
    <row r="2400">
      <c r="X2400" s="5">
        <f>IF(D2400="","",W2400*IF(AND(ISNUMBER(AB2400),AB2400&gt;0,AB2400&lt;1),AB2400*100,AB2400)/100)</f>
        <v/>
      </c>
      <c r="Y2400" s="5">
        <f>IF(D2400="","",AA2400*Z2400/100)</f>
        <v/>
      </c>
      <c r="Z2400" s="5">
        <f>IF(D2400="","",W2400-X2400)</f>
        <v/>
      </c>
      <c r="AC2400" s="5">
        <f>IF(D2400="","",Z2400-Y2400)</f>
        <v/>
      </c>
      <c r="AD2400">
        <f>IF(D2400="","",N(AD2399)+IF(MATCH(D2400,$D$2:$D$2501,0)=ROW()-1,1,0))</f>
        <v/>
      </c>
    </row>
    <row r="2401">
      <c r="X2401" s="5">
        <f>IF(D2401="","",W2401*IF(AND(ISNUMBER(AB2401),AB2401&gt;0,AB2401&lt;1),AB2401*100,AB2401)/100)</f>
        <v/>
      </c>
      <c r="Y2401" s="5">
        <f>IF(D2401="","",AA2401*Z2401/100)</f>
        <v/>
      </c>
      <c r="Z2401" s="5">
        <f>IF(D2401="","",W2401-X2401)</f>
        <v/>
      </c>
      <c r="AC2401" s="5">
        <f>IF(D2401="","",Z2401-Y2401)</f>
        <v/>
      </c>
      <c r="AD2401">
        <f>IF(D2401="","",N(AD2400)+IF(MATCH(D2401,$D$2:$D$2501,0)=ROW()-1,1,0))</f>
        <v/>
      </c>
    </row>
    <row r="2402">
      <c r="X2402" s="5">
        <f>IF(D2402="","",W2402*IF(AND(ISNUMBER(AB2402),AB2402&gt;0,AB2402&lt;1),AB2402*100,AB2402)/100)</f>
        <v/>
      </c>
      <c r="Y2402" s="5">
        <f>IF(D2402="","",AA2402*Z2402/100)</f>
        <v/>
      </c>
      <c r="Z2402" s="5">
        <f>IF(D2402="","",W2402-X2402)</f>
        <v/>
      </c>
      <c r="AC2402" s="5">
        <f>IF(D2402="","",Z2402-Y2402)</f>
        <v/>
      </c>
      <c r="AD2402">
        <f>IF(D2402="","",N(AD2401)+IF(MATCH(D2402,$D$2:$D$2501,0)=ROW()-1,1,0))</f>
        <v/>
      </c>
    </row>
    <row r="2403">
      <c r="X2403" s="5">
        <f>IF(D2403="","",W2403*IF(AND(ISNUMBER(AB2403),AB2403&gt;0,AB2403&lt;1),AB2403*100,AB2403)/100)</f>
        <v/>
      </c>
      <c r="Y2403" s="5">
        <f>IF(D2403="","",AA2403*Z2403/100)</f>
        <v/>
      </c>
      <c r="Z2403" s="5">
        <f>IF(D2403="","",W2403-X2403)</f>
        <v/>
      </c>
      <c r="AC2403" s="5">
        <f>IF(D2403="","",Z2403-Y2403)</f>
        <v/>
      </c>
      <c r="AD2403">
        <f>IF(D2403="","",N(AD2402)+IF(MATCH(D2403,$D$2:$D$2501,0)=ROW()-1,1,0))</f>
        <v/>
      </c>
    </row>
    <row r="2404">
      <c r="X2404" s="5">
        <f>IF(D2404="","",W2404*IF(AND(ISNUMBER(AB2404),AB2404&gt;0,AB2404&lt;1),AB2404*100,AB2404)/100)</f>
        <v/>
      </c>
      <c r="Y2404" s="5">
        <f>IF(D2404="","",AA2404*Z2404/100)</f>
        <v/>
      </c>
      <c r="Z2404" s="5">
        <f>IF(D2404="","",W2404-X2404)</f>
        <v/>
      </c>
      <c r="AC2404" s="5">
        <f>IF(D2404="","",Z2404-Y2404)</f>
        <v/>
      </c>
      <c r="AD2404">
        <f>IF(D2404="","",N(AD2403)+IF(MATCH(D2404,$D$2:$D$2501,0)=ROW()-1,1,0))</f>
        <v/>
      </c>
    </row>
    <row r="2405">
      <c r="X2405" s="5">
        <f>IF(D2405="","",W2405*IF(AND(ISNUMBER(AB2405),AB2405&gt;0,AB2405&lt;1),AB2405*100,AB2405)/100)</f>
        <v/>
      </c>
      <c r="Y2405" s="5">
        <f>IF(D2405="","",AA2405*Z2405/100)</f>
        <v/>
      </c>
      <c r="Z2405" s="5">
        <f>IF(D2405="","",W2405-X2405)</f>
        <v/>
      </c>
      <c r="AC2405" s="5">
        <f>IF(D2405="","",Z2405-Y2405)</f>
        <v/>
      </c>
      <c r="AD2405">
        <f>IF(D2405="","",N(AD2404)+IF(MATCH(D2405,$D$2:$D$2501,0)=ROW()-1,1,0))</f>
        <v/>
      </c>
    </row>
    <row r="2406">
      <c r="X2406" s="5">
        <f>IF(D2406="","",W2406*IF(AND(ISNUMBER(AB2406),AB2406&gt;0,AB2406&lt;1),AB2406*100,AB2406)/100)</f>
        <v/>
      </c>
      <c r="Y2406" s="5">
        <f>IF(D2406="","",AA2406*Z2406/100)</f>
        <v/>
      </c>
      <c r="Z2406" s="5">
        <f>IF(D2406="","",W2406-X2406)</f>
        <v/>
      </c>
      <c r="AC2406" s="5">
        <f>IF(D2406="","",Z2406-Y2406)</f>
        <v/>
      </c>
      <c r="AD2406">
        <f>IF(D2406="","",N(AD2405)+IF(MATCH(D2406,$D$2:$D$2501,0)=ROW()-1,1,0))</f>
        <v/>
      </c>
    </row>
    <row r="2407">
      <c r="X2407" s="5">
        <f>IF(D2407="","",W2407*IF(AND(ISNUMBER(AB2407),AB2407&gt;0,AB2407&lt;1),AB2407*100,AB2407)/100)</f>
        <v/>
      </c>
      <c r="Y2407" s="5">
        <f>IF(D2407="","",AA2407*Z2407/100)</f>
        <v/>
      </c>
      <c r="Z2407" s="5">
        <f>IF(D2407="","",W2407-X2407)</f>
        <v/>
      </c>
      <c r="AC2407" s="5">
        <f>IF(D2407="","",Z2407-Y2407)</f>
        <v/>
      </c>
      <c r="AD2407">
        <f>IF(D2407="","",N(AD2406)+IF(MATCH(D2407,$D$2:$D$2501,0)=ROW()-1,1,0))</f>
        <v/>
      </c>
    </row>
    <row r="2408">
      <c r="X2408" s="5">
        <f>IF(D2408="","",W2408*IF(AND(ISNUMBER(AB2408),AB2408&gt;0,AB2408&lt;1),AB2408*100,AB2408)/100)</f>
        <v/>
      </c>
      <c r="Y2408" s="5">
        <f>IF(D2408="","",AA2408*Z2408/100)</f>
        <v/>
      </c>
      <c r="Z2408" s="5">
        <f>IF(D2408="","",W2408-X2408)</f>
        <v/>
      </c>
      <c r="AC2408" s="5">
        <f>IF(D2408="","",Z2408-Y2408)</f>
        <v/>
      </c>
      <c r="AD2408">
        <f>IF(D2408="","",N(AD2407)+IF(MATCH(D2408,$D$2:$D$2501,0)=ROW()-1,1,0))</f>
        <v/>
      </c>
    </row>
    <row r="2409">
      <c r="X2409" s="5">
        <f>IF(D2409="","",W2409*IF(AND(ISNUMBER(AB2409),AB2409&gt;0,AB2409&lt;1),AB2409*100,AB2409)/100)</f>
        <v/>
      </c>
      <c r="Y2409" s="5">
        <f>IF(D2409="","",AA2409*Z2409/100)</f>
        <v/>
      </c>
      <c r="Z2409" s="5">
        <f>IF(D2409="","",W2409-X2409)</f>
        <v/>
      </c>
      <c r="AC2409" s="5">
        <f>IF(D2409="","",Z2409-Y2409)</f>
        <v/>
      </c>
      <c r="AD2409">
        <f>IF(D2409="","",N(AD2408)+IF(MATCH(D2409,$D$2:$D$2501,0)=ROW()-1,1,0))</f>
        <v/>
      </c>
    </row>
    <row r="2410">
      <c r="X2410" s="5">
        <f>IF(D2410="","",W2410*IF(AND(ISNUMBER(AB2410),AB2410&gt;0,AB2410&lt;1),AB2410*100,AB2410)/100)</f>
        <v/>
      </c>
      <c r="Y2410" s="5">
        <f>IF(D2410="","",AA2410*Z2410/100)</f>
        <v/>
      </c>
      <c r="Z2410" s="5">
        <f>IF(D2410="","",W2410-X2410)</f>
        <v/>
      </c>
      <c r="AC2410" s="5">
        <f>IF(D2410="","",Z2410-Y2410)</f>
        <v/>
      </c>
      <c r="AD2410">
        <f>IF(D2410="","",N(AD2409)+IF(MATCH(D2410,$D$2:$D$2501,0)=ROW()-1,1,0))</f>
        <v/>
      </c>
    </row>
    <row r="2411">
      <c r="X2411" s="5">
        <f>IF(D2411="","",W2411*IF(AND(ISNUMBER(AB2411),AB2411&gt;0,AB2411&lt;1),AB2411*100,AB2411)/100)</f>
        <v/>
      </c>
      <c r="Y2411" s="5">
        <f>IF(D2411="","",AA2411*Z2411/100)</f>
        <v/>
      </c>
      <c r="Z2411" s="5">
        <f>IF(D2411="","",W2411-X2411)</f>
        <v/>
      </c>
      <c r="AC2411" s="5">
        <f>IF(D2411="","",Z2411-Y2411)</f>
        <v/>
      </c>
      <c r="AD2411">
        <f>IF(D2411="","",N(AD2410)+IF(MATCH(D2411,$D$2:$D$2501,0)=ROW()-1,1,0))</f>
        <v/>
      </c>
    </row>
    <row r="2412">
      <c r="X2412" s="5">
        <f>IF(D2412="","",W2412*IF(AND(ISNUMBER(AB2412),AB2412&gt;0,AB2412&lt;1),AB2412*100,AB2412)/100)</f>
        <v/>
      </c>
      <c r="Y2412" s="5">
        <f>IF(D2412="","",AA2412*Z2412/100)</f>
        <v/>
      </c>
      <c r="Z2412" s="5">
        <f>IF(D2412="","",W2412-X2412)</f>
        <v/>
      </c>
      <c r="AC2412" s="5">
        <f>IF(D2412="","",Z2412-Y2412)</f>
        <v/>
      </c>
      <c r="AD2412">
        <f>IF(D2412="","",N(AD2411)+IF(MATCH(D2412,$D$2:$D$2501,0)=ROW()-1,1,0))</f>
        <v/>
      </c>
    </row>
    <row r="2413">
      <c r="X2413" s="5">
        <f>IF(D2413="","",W2413*IF(AND(ISNUMBER(AB2413),AB2413&gt;0,AB2413&lt;1),AB2413*100,AB2413)/100)</f>
        <v/>
      </c>
      <c r="Y2413" s="5">
        <f>IF(D2413="","",AA2413*Z2413/100)</f>
        <v/>
      </c>
      <c r="Z2413" s="5">
        <f>IF(D2413="","",W2413-X2413)</f>
        <v/>
      </c>
      <c r="AC2413" s="5">
        <f>IF(D2413="","",Z2413-Y2413)</f>
        <v/>
      </c>
      <c r="AD2413">
        <f>IF(D2413="","",N(AD2412)+IF(MATCH(D2413,$D$2:$D$2501,0)=ROW()-1,1,0))</f>
        <v/>
      </c>
    </row>
    <row r="2414">
      <c r="X2414" s="5">
        <f>IF(D2414="","",W2414*IF(AND(ISNUMBER(AB2414),AB2414&gt;0,AB2414&lt;1),AB2414*100,AB2414)/100)</f>
        <v/>
      </c>
      <c r="Y2414" s="5">
        <f>IF(D2414="","",AA2414*Z2414/100)</f>
        <v/>
      </c>
      <c r="Z2414" s="5">
        <f>IF(D2414="","",W2414-X2414)</f>
        <v/>
      </c>
      <c r="AC2414" s="5">
        <f>IF(D2414="","",Z2414-Y2414)</f>
        <v/>
      </c>
      <c r="AD2414">
        <f>IF(D2414="","",N(AD2413)+IF(MATCH(D2414,$D$2:$D$2501,0)=ROW()-1,1,0))</f>
        <v/>
      </c>
    </row>
    <row r="2415">
      <c r="X2415" s="5">
        <f>IF(D2415="","",W2415*IF(AND(ISNUMBER(AB2415),AB2415&gt;0,AB2415&lt;1),AB2415*100,AB2415)/100)</f>
        <v/>
      </c>
      <c r="Y2415" s="5">
        <f>IF(D2415="","",AA2415*Z2415/100)</f>
        <v/>
      </c>
      <c r="Z2415" s="5">
        <f>IF(D2415="","",W2415-X2415)</f>
        <v/>
      </c>
      <c r="AC2415" s="5">
        <f>IF(D2415="","",Z2415-Y2415)</f>
        <v/>
      </c>
      <c r="AD2415">
        <f>IF(D2415="","",N(AD2414)+IF(MATCH(D2415,$D$2:$D$2501,0)=ROW()-1,1,0))</f>
        <v/>
      </c>
    </row>
    <row r="2416">
      <c r="X2416" s="5">
        <f>IF(D2416="","",W2416*IF(AND(ISNUMBER(AB2416),AB2416&gt;0,AB2416&lt;1),AB2416*100,AB2416)/100)</f>
        <v/>
      </c>
      <c r="Y2416" s="5">
        <f>IF(D2416="","",AA2416*Z2416/100)</f>
        <v/>
      </c>
      <c r="Z2416" s="5">
        <f>IF(D2416="","",W2416-X2416)</f>
        <v/>
      </c>
      <c r="AC2416" s="5">
        <f>IF(D2416="","",Z2416-Y2416)</f>
        <v/>
      </c>
      <c r="AD2416">
        <f>IF(D2416="","",N(AD2415)+IF(MATCH(D2416,$D$2:$D$2501,0)=ROW()-1,1,0))</f>
        <v/>
      </c>
    </row>
    <row r="2417">
      <c r="X2417" s="5">
        <f>IF(D2417="","",W2417*IF(AND(ISNUMBER(AB2417),AB2417&gt;0,AB2417&lt;1),AB2417*100,AB2417)/100)</f>
        <v/>
      </c>
      <c r="Y2417" s="5">
        <f>IF(D2417="","",AA2417*Z2417/100)</f>
        <v/>
      </c>
      <c r="Z2417" s="5">
        <f>IF(D2417="","",W2417-X2417)</f>
        <v/>
      </c>
      <c r="AC2417" s="5">
        <f>IF(D2417="","",Z2417-Y2417)</f>
        <v/>
      </c>
      <c r="AD2417">
        <f>IF(D2417="","",N(AD2416)+IF(MATCH(D2417,$D$2:$D$2501,0)=ROW()-1,1,0))</f>
        <v/>
      </c>
    </row>
    <row r="2418">
      <c r="X2418" s="5">
        <f>IF(D2418="","",W2418*IF(AND(ISNUMBER(AB2418),AB2418&gt;0,AB2418&lt;1),AB2418*100,AB2418)/100)</f>
        <v/>
      </c>
      <c r="Y2418" s="5">
        <f>IF(D2418="","",AA2418*Z2418/100)</f>
        <v/>
      </c>
      <c r="Z2418" s="5">
        <f>IF(D2418="","",W2418-X2418)</f>
        <v/>
      </c>
      <c r="AC2418" s="5">
        <f>IF(D2418="","",Z2418-Y2418)</f>
        <v/>
      </c>
      <c r="AD2418">
        <f>IF(D2418="","",N(AD2417)+IF(MATCH(D2418,$D$2:$D$2501,0)=ROW()-1,1,0))</f>
        <v/>
      </c>
    </row>
    <row r="2419">
      <c r="X2419" s="5">
        <f>IF(D2419="","",W2419*IF(AND(ISNUMBER(AB2419),AB2419&gt;0,AB2419&lt;1),AB2419*100,AB2419)/100)</f>
        <v/>
      </c>
      <c r="Y2419" s="5">
        <f>IF(D2419="","",AA2419*Z2419/100)</f>
        <v/>
      </c>
      <c r="Z2419" s="5">
        <f>IF(D2419="","",W2419-X2419)</f>
        <v/>
      </c>
      <c r="AC2419" s="5">
        <f>IF(D2419="","",Z2419-Y2419)</f>
        <v/>
      </c>
      <c r="AD2419">
        <f>IF(D2419="","",N(AD2418)+IF(MATCH(D2419,$D$2:$D$2501,0)=ROW()-1,1,0))</f>
        <v/>
      </c>
    </row>
    <row r="2420">
      <c r="X2420" s="5">
        <f>IF(D2420="","",W2420*IF(AND(ISNUMBER(AB2420),AB2420&gt;0,AB2420&lt;1),AB2420*100,AB2420)/100)</f>
        <v/>
      </c>
      <c r="Y2420" s="5">
        <f>IF(D2420="","",AA2420*Z2420/100)</f>
        <v/>
      </c>
      <c r="Z2420" s="5">
        <f>IF(D2420="","",W2420-X2420)</f>
        <v/>
      </c>
      <c r="AC2420" s="5">
        <f>IF(D2420="","",Z2420-Y2420)</f>
        <v/>
      </c>
      <c r="AD2420">
        <f>IF(D2420="","",N(AD2419)+IF(MATCH(D2420,$D$2:$D$2501,0)=ROW()-1,1,0))</f>
        <v/>
      </c>
    </row>
    <row r="2421">
      <c r="X2421" s="5">
        <f>IF(D2421="","",W2421*IF(AND(ISNUMBER(AB2421),AB2421&gt;0,AB2421&lt;1),AB2421*100,AB2421)/100)</f>
        <v/>
      </c>
      <c r="Y2421" s="5">
        <f>IF(D2421="","",AA2421*Z2421/100)</f>
        <v/>
      </c>
      <c r="Z2421" s="5">
        <f>IF(D2421="","",W2421-X2421)</f>
        <v/>
      </c>
      <c r="AC2421" s="5">
        <f>IF(D2421="","",Z2421-Y2421)</f>
        <v/>
      </c>
      <c r="AD2421">
        <f>IF(D2421="","",N(AD2420)+IF(MATCH(D2421,$D$2:$D$2501,0)=ROW()-1,1,0))</f>
        <v/>
      </c>
    </row>
    <row r="2422">
      <c r="X2422" s="5">
        <f>IF(D2422="","",W2422*IF(AND(ISNUMBER(AB2422),AB2422&gt;0,AB2422&lt;1),AB2422*100,AB2422)/100)</f>
        <v/>
      </c>
      <c r="Y2422" s="5">
        <f>IF(D2422="","",AA2422*Z2422/100)</f>
        <v/>
      </c>
      <c r="Z2422" s="5">
        <f>IF(D2422="","",W2422-X2422)</f>
        <v/>
      </c>
      <c r="AC2422" s="5">
        <f>IF(D2422="","",Z2422-Y2422)</f>
        <v/>
      </c>
      <c r="AD2422">
        <f>IF(D2422="","",N(AD2421)+IF(MATCH(D2422,$D$2:$D$2501,0)=ROW()-1,1,0))</f>
        <v/>
      </c>
    </row>
    <row r="2423">
      <c r="X2423" s="5">
        <f>IF(D2423="","",W2423*IF(AND(ISNUMBER(AB2423),AB2423&gt;0,AB2423&lt;1),AB2423*100,AB2423)/100)</f>
        <v/>
      </c>
      <c r="Y2423" s="5">
        <f>IF(D2423="","",AA2423*Z2423/100)</f>
        <v/>
      </c>
      <c r="Z2423" s="5">
        <f>IF(D2423="","",W2423-X2423)</f>
        <v/>
      </c>
      <c r="AC2423" s="5">
        <f>IF(D2423="","",Z2423-Y2423)</f>
        <v/>
      </c>
      <c r="AD2423">
        <f>IF(D2423="","",N(AD2422)+IF(MATCH(D2423,$D$2:$D$2501,0)=ROW()-1,1,0))</f>
        <v/>
      </c>
    </row>
    <row r="2424">
      <c r="X2424" s="5">
        <f>IF(D2424="","",W2424*IF(AND(ISNUMBER(AB2424),AB2424&gt;0,AB2424&lt;1),AB2424*100,AB2424)/100)</f>
        <v/>
      </c>
      <c r="Y2424" s="5">
        <f>IF(D2424="","",AA2424*Z2424/100)</f>
        <v/>
      </c>
      <c r="Z2424" s="5">
        <f>IF(D2424="","",W2424-X2424)</f>
        <v/>
      </c>
      <c r="AC2424" s="5">
        <f>IF(D2424="","",Z2424-Y2424)</f>
        <v/>
      </c>
      <c r="AD2424">
        <f>IF(D2424="","",N(AD2423)+IF(MATCH(D2424,$D$2:$D$2501,0)=ROW()-1,1,0))</f>
        <v/>
      </c>
    </row>
    <row r="2425">
      <c r="X2425" s="5">
        <f>IF(D2425="","",W2425*IF(AND(ISNUMBER(AB2425),AB2425&gt;0,AB2425&lt;1),AB2425*100,AB2425)/100)</f>
        <v/>
      </c>
      <c r="Y2425" s="5">
        <f>IF(D2425="","",AA2425*Z2425/100)</f>
        <v/>
      </c>
      <c r="Z2425" s="5">
        <f>IF(D2425="","",W2425-X2425)</f>
        <v/>
      </c>
      <c r="AC2425" s="5">
        <f>IF(D2425="","",Z2425-Y2425)</f>
        <v/>
      </c>
      <c r="AD2425">
        <f>IF(D2425="","",N(AD2424)+IF(MATCH(D2425,$D$2:$D$2501,0)=ROW()-1,1,0))</f>
        <v/>
      </c>
    </row>
    <row r="2426">
      <c r="X2426" s="5">
        <f>IF(D2426="","",W2426*IF(AND(ISNUMBER(AB2426),AB2426&gt;0,AB2426&lt;1),AB2426*100,AB2426)/100)</f>
        <v/>
      </c>
      <c r="Y2426" s="5">
        <f>IF(D2426="","",AA2426*Z2426/100)</f>
        <v/>
      </c>
      <c r="Z2426" s="5">
        <f>IF(D2426="","",W2426-X2426)</f>
        <v/>
      </c>
      <c r="AC2426" s="5">
        <f>IF(D2426="","",Z2426-Y2426)</f>
        <v/>
      </c>
      <c r="AD2426">
        <f>IF(D2426="","",N(AD2425)+IF(MATCH(D2426,$D$2:$D$2501,0)=ROW()-1,1,0))</f>
        <v/>
      </c>
    </row>
    <row r="2427">
      <c r="X2427" s="5">
        <f>IF(D2427="","",W2427*IF(AND(ISNUMBER(AB2427),AB2427&gt;0,AB2427&lt;1),AB2427*100,AB2427)/100)</f>
        <v/>
      </c>
      <c r="Y2427" s="5">
        <f>IF(D2427="","",AA2427*Z2427/100)</f>
        <v/>
      </c>
      <c r="Z2427" s="5">
        <f>IF(D2427="","",W2427-X2427)</f>
        <v/>
      </c>
      <c r="AC2427" s="5">
        <f>IF(D2427="","",Z2427-Y2427)</f>
        <v/>
      </c>
      <c r="AD2427">
        <f>IF(D2427="","",N(AD2426)+IF(MATCH(D2427,$D$2:$D$2501,0)=ROW()-1,1,0))</f>
        <v/>
      </c>
    </row>
    <row r="2428">
      <c r="X2428" s="5">
        <f>IF(D2428="","",W2428*IF(AND(ISNUMBER(AB2428),AB2428&gt;0,AB2428&lt;1),AB2428*100,AB2428)/100)</f>
        <v/>
      </c>
      <c r="Y2428" s="5">
        <f>IF(D2428="","",AA2428*Z2428/100)</f>
        <v/>
      </c>
      <c r="Z2428" s="5">
        <f>IF(D2428="","",W2428-X2428)</f>
        <v/>
      </c>
      <c r="AC2428" s="5">
        <f>IF(D2428="","",Z2428-Y2428)</f>
        <v/>
      </c>
      <c r="AD2428">
        <f>IF(D2428="","",N(AD2427)+IF(MATCH(D2428,$D$2:$D$2501,0)=ROW()-1,1,0))</f>
        <v/>
      </c>
    </row>
    <row r="2429">
      <c r="X2429" s="5">
        <f>IF(D2429="","",W2429*IF(AND(ISNUMBER(AB2429),AB2429&gt;0,AB2429&lt;1),AB2429*100,AB2429)/100)</f>
        <v/>
      </c>
      <c r="Y2429" s="5">
        <f>IF(D2429="","",AA2429*Z2429/100)</f>
        <v/>
      </c>
      <c r="Z2429" s="5">
        <f>IF(D2429="","",W2429-X2429)</f>
        <v/>
      </c>
      <c r="AC2429" s="5">
        <f>IF(D2429="","",Z2429-Y2429)</f>
        <v/>
      </c>
      <c r="AD2429">
        <f>IF(D2429="","",N(AD2428)+IF(MATCH(D2429,$D$2:$D$2501,0)=ROW()-1,1,0))</f>
        <v/>
      </c>
    </row>
    <row r="2430">
      <c r="X2430" s="5">
        <f>IF(D2430="","",W2430*IF(AND(ISNUMBER(AB2430),AB2430&gt;0,AB2430&lt;1),AB2430*100,AB2430)/100)</f>
        <v/>
      </c>
      <c r="Y2430" s="5">
        <f>IF(D2430="","",AA2430*Z2430/100)</f>
        <v/>
      </c>
      <c r="Z2430" s="5">
        <f>IF(D2430="","",W2430-X2430)</f>
        <v/>
      </c>
      <c r="AC2430" s="5">
        <f>IF(D2430="","",Z2430-Y2430)</f>
        <v/>
      </c>
      <c r="AD2430">
        <f>IF(D2430="","",N(AD2429)+IF(MATCH(D2430,$D$2:$D$2501,0)=ROW()-1,1,0))</f>
        <v/>
      </c>
    </row>
    <row r="2431">
      <c r="X2431" s="5">
        <f>IF(D2431="","",W2431*IF(AND(ISNUMBER(AB2431),AB2431&gt;0,AB2431&lt;1),AB2431*100,AB2431)/100)</f>
        <v/>
      </c>
      <c r="Y2431" s="5">
        <f>IF(D2431="","",AA2431*Z2431/100)</f>
        <v/>
      </c>
      <c r="Z2431" s="5">
        <f>IF(D2431="","",W2431-X2431)</f>
        <v/>
      </c>
      <c r="AC2431" s="5">
        <f>IF(D2431="","",Z2431-Y2431)</f>
        <v/>
      </c>
      <c r="AD2431">
        <f>IF(D2431="","",N(AD2430)+IF(MATCH(D2431,$D$2:$D$2501,0)=ROW()-1,1,0))</f>
        <v/>
      </c>
    </row>
    <row r="2432">
      <c r="X2432" s="5">
        <f>IF(D2432="","",W2432*IF(AND(ISNUMBER(AB2432),AB2432&gt;0,AB2432&lt;1),AB2432*100,AB2432)/100)</f>
        <v/>
      </c>
      <c r="Y2432" s="5">
        <f>IF(D2432="","",AA2432*Z2432/100)</f>
        <v/>
      </c>
      <c r="Z2432" s="5">
        <f>IF(D2432="","",W2432-X2432)</f>
        <v/>
      </c>
      <c r="AC2432" s="5">
        <f>IF(D2432="","",Z2432-Y2432)</f>
        <v/>
      </c>
      <c r="AD2432">
        <f>IF(D2432="","",N(AD2431)+IF(MATCH(D2432,$D$2:$D$2501,0)=ROW()-1,1,0))</f>
        <v/>
      </c>
    </row>
    <row r="2433">
      <c r="X2433" s="5">
        <f>IF(D2433="","",W2433*IF(AND(ISNUMBER(AB2433),AB2433&gt;0,AB2433&lt;1),AB2433*100,AB2433)/100)</f>
        <v/>
      </c>
      <c r="Y2433" s="5">
        <f>IF(D2433="","",AA2433*Z2433/100)</f>
        <v/>
      </c>
      <c r="Z2433" s="5">
        <f>IF(D2433="","",W2433-X2433)</f>
        <v/>
      </c>
      <c r="AC2433" s="5">
        <f>IF(D2433="","",Z2433-Y2433)</f>
        <v/>
      </c>
      <c r="AD2433">
        <f>IF(D2433="","",N(AD2432)+IF(MATCH(D2433,$D$2:$D$2501,0)=ROW()-1,1,0))</f>
        <v/>
      </c>
    </row>
    <row r="2434">
      <c r="X2434" s="5">
        <f>IF(D2434="","",W2434*IF(AND(ISNUMBER(AB2434),AB2434&gt;0,AB2434&lt;1),AB2434*100,AB2434)/100)</f>
        <v/>
      </c>
      <c r="Y2434" s="5">
        <f>IF(D2434="","",AA2434*Z2434/100)</f>
        <v/>
      </c>
      <c r="Z2434" s="5">
        <f>IF(D2434="","",W2434-X2434)</f>
        <v/>
      </c>
      <c r="AC2434" s="5">
        <f>IF(D2434="","",Z2434-Y2434)</f>
        <v/>
      </c>
      <c r="AD2434">
        <f>IF(D2434="","",N(AD2433)+IF(MATCH(D2434,$D$2:$D$2501,0)=ROW()-1,1,0))</f>
        <v/>
      </c>
    </row>
    <row r="2435">
      <c r="X2435" s="5">
        <f>IF(D2435="","",W2435*IF(AND(ISNUMBER(AB2435),AB2435&gt;0,AB2435&lt;1),AB2435*100,AB2435)/100)</f>
        <v/>
      </c>
      <c r="Y2435" s="5">
        <f>IF(D2435="","",AA2435*Z2435/100)</f>
        <v/>
      </c>
      <c r="Z2435" s="5">
        <f>IF(D2435="","",W2435-X2435)</f>
        <v/>
      </c>
      <c r="AC2435" s="5">
        <f>IF(D2435="","",Z2435-Y2435)</f>
        <v/>
      </c>
      <c r="AD2435">
        <f>IF(D2435="","",N(AD2434)+IF(MATCH(D2435,$D$2:$D$2501,0)=ROW()-1,1,0))</f>
        <v/>
      </c>
    </row>
    <row r="2436">
      <c r="X2436" s="5">
        <f>IF(D2436="","",W2436*IF(AND(ISNUMBER(AB2436),AB2436&gt;0,AB2436&lt;1),AB2436*100,AB2436)/100)</f>
        <v/>
      </c>
      <c r="Y2436" s="5">
        <f>IF(D2436="","",AA2436*Z2436/100)</f>
        <v/>
      </c>
      <c r="Z2436" s="5">
        <f>IF(D2436="","",W2436-X2436)</f>
        <v/>
      </c>
      <c r="AC2436" s="5">
        <f>IF(D2436="","",Z2436-Y2436)</f>
        <v/>
      </c>
      <c r="AD2436">
        <f>IF(D2436="","",N(AD2435)+IF(MATCH(D2436,$D$2:$D$2501,0)=ROW()-1,1,0))</f>
        <v/>
      </c>
    </row>
    <row r="2437">
      <c r="X2437" s="5">
        <f>IF(D2437="","",W2437*IF(AND(ISNUMBER(AB2437),AB2437&gt;0,AB2437&lt;1),AB2437*100,AB2437)/100)</f>
        <v/>
      </c>
      <c r="Y2437" s="5">
        <f>IF(D2437="","",AA2437*Z2437/100)</f>
        <v/>
      </c>
      <c r="Z2437" s="5">
        <f>IF(D2437="","",W2437-X2437)</f>
        <v/>
      </c>
      <c r="AC2437" s="5">
        <f>IF(D2437="","",Z2437-Y2437)</f>
        <v/>
      </c>
      <c r="AD2437">
        <f>IF(D2437="","",N(AD2436)+IF(MATCH(D2437,$D$2:$D$2501,0)=ROW()-1,1,0))</f>
        <v/>
      </c>
    </row>
    <row r="2438">
      <c r="X2438" s="5">
        <f>IF(D2438="","",W2438*IF(AND(ISNUMBER(AB2438),AB2438&gt;0,AB2438&lt;1),AB2438*100,AB2438)/100)</f>
        <v/>
      </c>
      <c r="Y2438" s="5">
        <f>IF(D2438="","",AA2438*Z2438/100)</f>
        <v/>
      </c>
      <c r="Z2438" s="5">
        <f>IF(D2438="","",W2438-X2438)</f>
        <v/>
      </c>
      <c r="AC2438" s="5">
        <f>IF(D2438="","",Z2438-Y2438)</f>
        <v/>
      </c>
      <c r="AD2438">
        <f>IF(D2438="","",N(AD2437)+IF(MATCH(D2438,$D$2:$D$2501,0)=ROW()-1,1,0))</f>
        <v/>
      </c>
    </row>
    <row r="2439">
      <c r="X2439" s="5">
        <f>IF(D2439="","",W2439*IF(AND(ISNUMBER(AB2439),AB2439&gt;0,AB2439&lt;1),AB2439*100,AB2439)/100)</f>
        <v/>
      </c>
      <c r="Y2439" s="5">
        <f>IF(D2439="","",AA2439*Z2439/100)</f>
        <v/>
      </c>
      <c r="Z2439" s="5">
        <f>IF(D2439="","",W2439-X2439)</f>
        <v/>
      </c>
      <c r="AC2439" s="5">
        <f>IF(D2439="","",Z2439-Y2439)</f>
        <v/>
      </c>
      <c r="AD2439">
        <f>IF(D2439="","",N(AD2438)+IF(MATCH(D2439,$D$2:$D$2501,0)=ROW()-1,1,0))</f>
        <v/>
      </c>
    </row>
    <row r="2440">
      <c r="X2440" s="5">
        <f>IF(D2440="","",W2440*IF(AND(ISNUMBER(AB2440),AB2440&gt;0,AB2440&lt;1),AB2440*100,AB2440)/100)</f>
        <v/>
      </c>
      <c r="Y2440" s="5">
        <f>IF(D2440="","",AA2440*Z2440/100)</f>
        <v/>
      </c>
      <c r="Z2440" s="5">
        <f>IF(D2440="","",W2440-X2440)</f>
        <v/>
      </c>
      <c r="AC2440" s="5">
        <f>IF(D2440="","",Z2440-Y2440)</f>
        <v/>
      </c>
      <c r="AD2440">
        <f>IF(D2440="","",N(AD2439)+IF(MATCH(D2440,$D$2:$D$2501,0)=ROW()-1,1,0))</f>
        <v/>
      </c>
    </row>
    <row r="2441">
      <c r="X2441" s="5">
        <f>IF(D2441="","",W2441*IF(AND(ISNUMBER(AB2441),AB2441&gt;0,AB2441&lt;1),AB2441*100,AB2441)/100)</f>
        <v/>
      </c>
      <c r="Y2441" s="5">
        <f>IF(D2441="","",AA2441*Z2441/100)</f>
        <v/>
      </c>
      <c r="Z2441" s="5">
        <f>IF(D2441="","",W2441-X2441)</f>
        <v/>
      </c>
      <c r="AC2441" s="5">
        <f>IF(D2441="","",Z2441-Y2441)</f>
        <v/>
      </c>
      <c r="AD2441">
        <f>IF(D2441="","",N(AD2440)+IF(MATCH(D2441,$D$2:$D$2501,0)=ROW()-1,1,0))</f>
        <v/>
      </c>
    </row>
    <row r="2442">
      <c r="X2442" s="5">
        <f>IF(D2442="","",W2442*IF(AND(ISNUMBER(AB2442),AB2442&gt;0,AB2442&lt;1),AB2442*100,AB2442)/100)</f>
        <v/>
      </c>
      <c r="Y2442" s="5">
        <f>IF(D2442="","",AA2442*Z2442/100)</f>
        <v/>
      </c>
      <c r="Z2442" s="5">
        <f>IF(D2442="","",W2442-X2442)</f>
        <v/>
      </c>
      <c r="AC2442" s="5">
        <f>IF(D2442="","",Z2442-Y2442)</f>
        <v/>
      </c>
      <c r="AD2442">
        <f>IF(D2442="","",N(AD2441)+IF(MATCH(D2442,$D$2:$D$2501,0)=ROW()-1,1,0))</f>
        <v/>
      </c>
    </row>
    <row r="2443">
      <c r="X2443" s="5">
        <f>IF(D2443="","",W2443*IF(AND(ISNUMBER(AB2443),AB2443&gt;0,AB2443&lt;1),AB2443*100,AB2443)/100)</f>
        <v/>
      </c>
      <c r="Y2443" s="5">
        <f>IF(D2443="","",AA2443*Z2443/100)</f>
        <v/>
      </c>
      <c r="Z2443" s="5">
        <f>IF(D2443="","",W2443-X2443)</f>
        <v/>
      </c>
      <c r="AC2443" s="5">
        <f>IF(D2443="","",Z2443-Y2443)</f>
        <v/>
      </c>
      <c r="AD2443">
        <f>IF(D2443="","",N(AD2442)+IF(MATCH(D2443,$D$2:$D$2501,0)=ROW()-1,1,0))</f>
        <v/>
      </c>
    </row>
    <row r="2444">
      <c r="X2444" s="5">
        <f>IF(D2444="","",W2444*IF(AND(ISNUMBER(AB2444),AB2444&gt;0,AB2444&lt;1),AB2444*100,AB2444)/100)</f>
        <v/>
      </c>
      <c r="Y2444" s="5">
        <f>IF(D2444="","",AA2444*Z2444/100)</f>
        <v/>
      </c>
      <c r="Z2444" s="5">
        <f>IF(D2444="","",W2444-X2444)</f>
        <v/>
      </c>
      <c r="AC2444" s="5">
        <f>IF(D2444="","",Z2444-Y2444)</f>
        <v/>
      </c>
      <c r="AD2444">
        <f>IF(D2444="","",N(AD2443)+IF(MATCH(D2444,$D$2:$D$2501,0)=ROW()-1,1,0))</f>
        <v/>
      </c>
    </row>
    <row r="2445">
      <c r="X2445" s="5">
        <f>IF(D2445="","",W2445*IF(AND(ISNUMBER(AB2445),AB2445&gt;0,AB2445&lt;1),AB2445*100,AB2445)/100)</f>
        <v/>
      </c>
      <c r="Y2445" s="5">
        <f>IF(D2445="","",AA2445*Z2445/100)</f>
        <v/>
      </c>
      <c r="Z2445" s="5">
        <f>IF(D2445="","",W2445-X2445)</f>
        <v/>
      </c>
      <c r="AC2445" s="5">
        <f>IF(D2445="","",Z2445-Y2445)</f>
        <v/>
      </c>
      <c r="AD2445">
        <f>IF(D2445="","",N(AD2444)+IF(MATCH(D2445,$D$2:$D$2501,0)=ROW()-1,1,0))</f>
        <v/>
      </c>
    </row>
    <row r="2446">
      <c r="X2446" s="5">
        <f>IF(D2446="","",W2446*IF(AND(ISNUMBER(AB2446),AB2446&gt;0,AB2446&lt;1),AB2446*100,AB2446)/100)</f>
        <v/>
      </c>
      <c r="Y2446" s="5">
        <f>IF(D2446="","",AA2446*Z2446/100)</f>
        <v/>
      </c>
      <c r="Z2446" s="5">
        <f>IF(D2446="","",W2446-X2446)</f>
        <v/>
      </c>
      <c r="AC2446" s="5">
        <f>IF(D2446="","",Z2446-Y2446)</f>
        <v/>
      </c>
      <c r="AD2446">
        <f>IF(D2446="","",N(AD2445)+IF(MATCH(D2446,$D$2:$D$2501,0)=ROW()-1,1,0))</f>
        <v/>
      </c>
    </row>
    <row r="2447">
      <c r="X2447" s="5">
        <f>IF(D2447="","",W2447*IF(AND(ISNUMBER(AB2447),AB2447&gt;0,AB2447&lt;1),AB2447*100,AB2447)/100)</f>
        <v/>
      </c>
      <c r="Y2447" s="5">
        <f>IF(D2447="","",AA2447*Z2447/100)</f>
        <v/>
      </c>
      <c r="Z2447" s="5">
        <f>IF(D2447="","",W2447-X2447)</f>
        <v/>
      </c>
      <c r="AC2447" s="5">
        <f>IF(D2447="","",Z2447-Y2447)</f>
        <v/>
      </c>
      <c r="AD2447">
        <f>IF(D2447="","",N(AD2446)+IF(MATCH(D2447,$D$2:$D$2501,0)=ROW()-1,1,0))</f>
        <v/>
      </c>
    </row>
    <row r="2448">
      <c r="X2448" s="5">
        <f>IF(D2448="","",W2448*IF(AND(ISNUMBER(AB2448),AB2448&gt;0,AB2448&lt;1),AB2448*100,AB2448)/100)</f>
        <v/>
      </c>
      <c r="Y2448" s="5">
        <f>IF(D2448="","",AA2448*Z2448/100)</f>
        <v/>
      </c>
      <c r="Z2448" s="5">
        <f>IF(D2448="","",W2448-X2448)</f>
        <v/>
      </c>
      <c r="AC2448" s="5">
        <f>IF(D2448="","",Z2448-Y2448)</f>
        <v/>
      </c>
      <c r="AD2448">
        <f>IF(D2448="","",N(AD2447)+IF(MATCH(D2448,$D$2:$D$2501,0)=ROW()-1,1,0))</f>
        <v/>
      </c>
    </row>
    <row r="2449">
      <c r="X2449" s="5">
        <f>IF(D2449="","",W2449*IF(AND(ISNUMBER(AB2449),AB2449&gt;0,AB2449&lt;1),AB2449*100,AB2449)/100)</f>
        <v/>
      </c>
      <c r="Y2449" s="5">
        <f>IF(D2449="","",AA2449*Z2449/100)</f>
        <v/>
      </c>
      <c r="Z2449" s="5">
        <f>IF(D2449="","",W2449-X2449)</f>
        <v/>
      </c>
      <c r="AC2449" s="5">
        <f>IF(D2449="","",Z2449-Y2449)</f>
        <v/>
      </c>
      <c r="AD2449">
        <f>IF(D2449="","",N(AD2448)+IF(MATCH(D2449,$D$2:$D$2501,0)=ROW()-1,1,0))</f>
        <v/>
      </c>
    </row>
    <row r="2450">
      <c r="X2450" s="5">
        <f>IF(D2450="","",W2450*IF(AND(ISNUMBER(AB2450),AB2450&gt;0,AB2450&lt;1),AB2450*100,AB2450)/100)</f>
        <v/>
      </c>
      <c r="Y2450" s="5">
        <f>IF(D2450="","",AA2450*Z2450/100)</f>
        <v/>
      </c>
      <c r="Z2450" s="5">
        <f>IF(D2450="","",W2450-X2450)</f>
        <v/>
      </c>
      <c r="AC2450" s="5">
        <f>IF(D2450="","",Z2450-Y2450)</f>
        <v/>
      </c>
      <c r="AD2450">
        <f>IF(D2450="","",N(AD2449)+IF(MATCH(D2450,$D$2:$D$2501,0)=ROW()-1,1,0))</f>
        <v/>
      </c>
    </row>
    <row r="2451">
      <c r="X2451" s="5">
        <f>IF(D2451="","",W2451*IF(AND(ISNUMBER(AB2451),AB2451&gt;0,AB2451&lt;1),AB2451*100,AB2451)/100)</f>
        <v/>
      </c>
      <c r="Y2451" s="5">
        <f>IF(D2451="","",AA2451*Z2451/100)</f>
        <v/>
      </c>
      <c r="Z2451" s="5">
        <f>IF(D2451="","",W2451-X2451)</f>
        <v/>
      </c>
      <c r="AC2451" s="5">
        <f>IF(D2451="","",Z2451-Y2451)</f>
        <v/>
      </c>
      <c r="AD2451">
        <f>IF(D2451="","",N(AD2450)+IF(MATCH(D2451,$D$2:$D$2501,0)=ROW()-1,1,0))</f>
        <v/>
      </c>
    </row>
    <row r="2452">
      <c r="X2452" s="5">
        <f>IF(D2452="","",W2452*IF(AND(ISNUMBER(AB2452),AB2452&gt;0,AB2452&lt;1),AB2452*100,AB2452)/100)</f>
        <v/>
      </c>
      <c r="Y2452" s="5">
        <f>IF(D2452="","",AA2452*Z2452/100)</f>
        <v/>
      </c>
      <c r="Z2452" s="5">
        <f>IF(D2452="","",W2452-X2452)</f>
        <v/>
      </c>
      <c r="AC2452" s="5">
        <f>IF(D2452="","",Z2452-Y2452)</f>
        <v/>
      </c>
      <c r="AD2452">
        <f>IF(D2452="","",N(AD2451)+IF(MATCH(D2452,$D$2:$D$2501,0)=ROW()-1,1,0))</f>
        <v/>
      </c>
    </row>
    <row r="2453">
      <c r="X2453" s="5">
        <f>IF(D2453="","",W2453*IF(AND(ISNUMBER(AB2453),AB2453&gt;0,AB2453&lt;1),AB2453*100,AB2453)/100)</f>
        <v/>
      </c>
      <c r="Y2453" s="5">
        <f>IF(D2453="","",AA2453*Z2453/100)</f>
        <v/>
      </c>
      <c r="Z2453" s="5">
        <f>IF(D2453="","",W2453-X2453)</f>
        <v/>
      </c>
      <c r="AC2453" s="5">
        <f>IF(D2453="","",Z2453-Y2453)</f>
        <v/>
      </c>
      <c r="AD2453">
        <f>IF(D2453="","",N(AD2452)+IF(MATCH(D2453,$D$2:$D$2501,0)=ROW()-1,1,0))</f>
        <v/>
      </c>
    </row>
    <row r="2454">
      <c r="X2454" s="5">
        <f>IF(D2454="","",W2454*IF(AND(ISNUMBER(AB2454),AB2454&gt;0,AB2454&lt;1),AB2454*100,AB2454)/100)</f>
        <v/>
      </c>
      <c r="Y2454" s="5">
        <f>IF(D2454="","",AA2454*Z2454/100)</f>
        <v/>
      </c>
      <c r="Z2454" s="5">
        <f>IF(D2454="","",W2454-X2454)</f>
        <v/>
      </c>
      <c r="AC2454" s="5">
        <f>IF(D2454="","",Z2454-Y2454)</f>
        <v/>
      </c>
      <c r="AD2454">
        <f>IF(D2454="","",N(AD2453)+IF(MATCH(D2454,$D$2:$D$2501,0)=ROW()-1,1,0))</f>
        <v/>
      </c>
    </row>
    <row r="2455">
      <c r="X2455" s="5">
        <f>IF(D2455="","",W2455*IF(AND(ISNUMBER(AB2455),AB2455&gt;0,AB2455&lt;1),AB2455*100,AB2455)/100)</f>
        <v/>
      </c>
      <c r="Y2455" s="5">
        <f>IF(D2455="","",AA2455*Z2455/100)</f>
        <v/>
      </c>
      <c r="Z2455" s="5">
        <f>IF(D2455="","",W2455-X2455)</f>
        <v/>
      </c>
      <c r="AC2455" s="5">
        <f>IF(D2455="","",Z2455-Y2455)</f>
        <v/>
      </c>
      <c r="AD2455">
        <f>IF(D2455="","",N(AD2454)+IF(MATCH(D2455,$D$2:$D$2501,0)=ROW()-1,1,0))</f>
        <v/>
      </c>
    </row>
    <row r="2456">
      <c r="X2456" s="5">
        <f>IF(D2456="","",W2456*IF(AND(ISNUMBER(AB2456),AB2456&gt;0,AB2456&lt;1),AB2456*100,AB2456)/100)</f>
        <v/>
      </c>
      <c r="Y2456" s="5">
        <f>IF(D2456="","",AA2456*Z2456/100)</f>
        <v/>
      </c>
      <c r="Z2456" s="5">
        <f>IF(D2456="","",W2456-X2456)</f>
        <v/>
      </c>
      <c r="AC2456" s="5">
        <f>IF(D2456="","",Z2456-Y2456)</f>
        <v/>
      </c>
      <c r="AD2456">
        <f>IF(D2456="","",N(AD2455)+IF(MATCH(D2456,$D$2:$D$2501,0)=ROW()-1,1,0))</f>
        <v/>
      </c>
    </row>
    <row r="2457">
      <c r="X2457" s="5">
        <f>IF(D2457="","",W2457*IF(AND(ISNUMBER(AB2457),AB2457&gt;0,AB2457&lt;1),AB2457*100,AB2457)/100)</f>
        <v/>
      </c>
      <c r="Y2457" s="5">
        <f>IF(D2457="","",AA2457*Z2457/100)</f>
        <v/>
      </c>
      <c r="Z2457" s="5">
        <f>IF(D2457="","",W2457-X2457)</f>
        <v/>
      </c>
      <c r="AC2457" s="5">
        <f>IF(D2457="","",Z2457-Y2457)</f>
        <v/>
      </c>
      <c r="AD2457">
        <f>IF(D2457="","",N(AD2456)+IF(MATCH(D2457,$D$2:$D$2501,0)=ROW()-1,1,0))</f>
        <v/>
      </c>
    </row>
    <row r="2458">
      <c r="X2458" s="5">
        <f>IF(D2458="","",W2458*IF(AND(ISNUMBER(AB2458),AB2458&gt;0,AB2458&lt;1),AB2458*100,AB2458)/100)</f>
        <v/>
      </c>
      <c r="Y2458" s="5">
        <f>IF(D2458="","",AA2458*Z2458/100)</f>
        <v/>
      </c>
      <c r="Z2458" s="5">
        <f>IF(D2458="","",W2458-X2458)</f>
        <v/>
      </c>
      <c r="AC2458" s="5">
        <f>IF(D2458="","",Z2458-Y2458)</f>
        <v/>
      </c>
      <c r="AD2458">
        <f>IF(D2458="","",N(AD2457)+IF(MATCH(D2458,$D$2:$D$2501,0)=ROW()-1,1,0))</f>
        <v/>
      </c>
    </row>
    <row r="2459">
      <c r="X2459" s="5">
        <f>IF(D2459="","",W2459*IF(AND(ISNUMBER(AB2459),AB2459&gt;0,AB2459&lt;1),AB2459*100,AB2459)/100)</f>
        <v/>
      </c>
      <c r="Y2459" s="5">
        <f>IF(D2459="","",AA2459*Z2459/100)</f>
        <v/>
      </c>
      <c r="Z2459" s="5">
        <f>IF(D2459="","",W2459-X2459)</f>
        <v/>
      </c>
      <c r="AC2459" s="5">
        <f>IF(D2459="","",Z2459-Y2459)</f>
        <v/>
      </c>
      <c r="AD2459">
        <f>IF(D2459="","",N(AD2458)+IF(MATCH(D2459,$D$2:$D$2501,0)=ROW()-1,1,0))</f>
        <v/>
      </c>
    </row>
    <row r="2460">
      <c r="X2460" s="5">
        <f>IF(D2460="","",W2460*IF(AND(ISNUMBER(AB2460),AB2460&gt;0,AB2460&lt;1),AB2460*100,AB2460)/100)</f>
        <v/>
      </c>
      <c r="Y2460" s="5">
        <f>IF(D2460="","",AA2460*Z2460/100)</f>
        <v/>
      </c>
      <c r="Z2460" s="5">
        <f>IF(D2460="","",W2460-X2460)</f>
        <v/>
      </c>
      <c r="AC2460" s="5">
        <f>IF(D2460="","",Z2460-Y2460)</f>
        <v/>
      </c>
      <c r="AD2460">
        <f>IF(D2460="","",N(AD2459)+IF(MATCH(D2460,$D$2:$D$2501,0)=ROW()-1,1,0))</f>
        <v/>
      </c>
    </row>
    <row r="2461">
      <c r="X2461" s="5">
        <f>IF(D2461="","",W2461*IF(AND(ISNUMBER(AB2461),AB2461&gt;0,AB2461&lt;1),AB2461*100,AB2461)/100)</f>
        <v/>
      </c>
      <c r="Y2461" s="5">
        <f>IF(D2461="","",AA2461*Z2461/100)</f>
        <v/>
      </c>
      <c r="Z2461" s="5">
        <f>IF(D2461="","",W2461-X2461)</f>
        <v/>
      </c>
      <c r="AC2461" s="5">
        <f>IF(D2461="","",Z2461-Y2461)</f>
        <v/>
      </c>
      <c r="AD2461">
        <f>IF(D2461="","",N(AD2460)+IF(MATCH(D2461,$D$2:$D$2501,0)=ROW()-1,1,0))</f>
        <v/>
      </c>
    </row>
    <row r="2462">
      <c r="X2462" s="5">
        <f>IF(D2462="","",W2462*IF(AND(ISNUMBER(AB2462),AB2462&gt;0,AB2462&lt;1),AB2462*100,AB2462)/100)</f>
        <v/>
      </c>
      <c r="Y2462" s="5">
        <f>IF(D2462="","",AA2462*Z2462/100)</f>
        <v/>
      </c>
      <c r="Z2462" s="5">
        <f>IF(D2462="","",W2462-X2462)</f>
        <v/>
      </c>
      <c r="AC2462" s="5">
        <f>IF(D2462="","",Z2462-Y2462)</f>
        <v/>
      </c>
      <c r="AD2462">
        <f>IF(D2462="","",N(AD2461)+IF(MATCH(D2462,$D$2:$D$2501,0)=ROW()-1,1,0))</f>
        <v/>
      </c>
    </row>
    <row r="2463">
      <c r="X2463" s="5">
        <f>IF(D2463="","",W2463*IF(AND(ISNUMBER(AB2463),AB2463&gt;0,AB2463&lt;1),AB2463*100,AB2463)/100)</f>
        <v/>
      </c>
      <c r="Y2463" s="5">
        <f>IF(D2463="","",AA2463*Z2463/100)</f>
        <v/>
      </c>
      <c r="Z2463" s="5">
        <f>IF(D2463="","",W2463-X2463)</f>
        <v/>
      </c>
      <c r="AC2463" s="5">
        <f>IF(D2463="","",Z2463-Y2463)</f>
        <v/>
      </c>
      <c r="AD2463">
        <f>IF(D2463="","",N(AD2462)+IF(MATCH(D2463,$D$2:$D$2501,0)=ROW()-1,1,0))</f>
        <v/>
      </c>
    </row>
    <row r="2464">
      <c r="X2464" s="5">
        <f>IF(D2464="","",W2464*IF(AND(ISNUMBER(AB2464),AB2464&gt;0,AB2464&lt;1),AB2464*100,AB2464)/100)</f>
        <v/>
      </c>
      <c r="Y2464" s="5">
        <f>IF(D2464="","",AA2464*Z2464/100)</f>
        <v/>
      </c>
      <c r="Z2464" s="5">
        <f>IF(D2464="","",W2464-X2464)</f>
        <v/>
      </c>
      <c r="AC2464" s="5">
        <f>IF(D2464="","",Z2464-Y2464)</f>
        <v/>
      </c>
      <c r="AD2464">
        <f>IF(D2464="","",N(AD2463)+IF(MATCH(D2464,$D$2:$D$2501,0)=ROW()-1,1,0))</f>
        <v/>
      </c>
    </row>
    <row r="2465">
      <c r="X2465" s="5">
        <f>IF(D2465="","",W2465*IF(AND(ISNUMBER(AB2465),AB2465&gt;0,AB2465&lt;1),AB2465*100,AB2465)/100)</f>
        <v/>
      </c>
      <c r="Y2465" s="5">
        <f>IF(D2465="","",AA2465*Z2465/100)</f>
        <v/>
      </c>
      <c r="Z2465" s="5">
        <f>IF(D2465="","",W2465-X2465)</f>
        <v/>
      </c>
      <c r="AC2465" s="5">
        <f>IF(D2465="","",Z2465-Y2465)</f>
        <v/>
      </c>
      <c r="AD2465">
        <f>IF(D2465="","",N(AD2464)+IF(MATCH(D2465,$D$2:$D$2501,0)=ROW()-1,1,0))</f>
        <v/>
      </c>
    </row>
    <row r="2466">
      <c r="X2466" s="5">
        <f>IF(D2466="","",W2466*IF(AND(ISNUMBER(AB2466),AB2466&gt;0,AB2466&lt;1),AB2466*100,AB2466)/100)</f>
        <v/>
      </c>
      <c r="Y2466" s="5">
        <f>IF(D2466="","",AA2466*Z2466/100)</f>
        <v/>
      </c>
      <c r="Z2466" s="5">
        <f>IF(D2466="","",W2466-X2466)</f>
        <v/>
      </c>
      <c r="AC2466" s="5">
        <f>IF(D2466="","",Z2466-Y2466)</f>
        <v/>
      </c>
      <c r="AD2466">
        <f>IF(D2466="","",N(AD2465)+IF(MATCH(D2466,$D$2:$D$2501,0)=ROW()-1,1,0))</f>
        <v/>
      </c>
    </row>
    <row r="2467">
      <c r="X2467" s="5">
        <f>IF(D2467="","",W2467*IF(AND(ISNUMBER(AB2467),AB2467&gt;0,AB2467&lt;1),AB2467*100,AB2467)/100)</f>
        <v/>
      </c>
      <c r="Y2467" s="5">
        <f>IF(D2467="","",AA2467*Z2467/100)</f>
        <v/>
      </c>
      <c r="Z2467" s="5">
        <f>IF(D2467="","",W2467-X2467)</f>
        <v/>
      </c>
      <c r="AC2467" s="5">
        <f>IF(D2467="","",Z2467-Y2467)</f>
        <v/>
      </c>
      <c r="AD2467">
        <f>IF(D2467="","",N(AD2466)+IF(MATCH(D2467,$D$2:$D$2501,0)=ROW()-1,1,0))</f>
        <v/>
      </c>
    </row>
    <row r="2468">
      <c r="X2468" s="5">
        <f>IF(D2468="","",W2468*IF(AND(ISNUMBER(AB2468),AB2468&gt;0,AB2468&lt;1),AB2468*100,AB2468)/100)</f>
        <v/>
      </c>
      <c r="Y2468" s="5">
        <f>IF(D2468="","",AA2468*Z2468/100)</f>
        <v/>
      </c>
      <c r="Z2468" s="5">
        <f>IF(D2468="","",W2468-X2468)</f>
        <v/>
      </c>
      <c r="AC2468" s="5">
        <f>IF(D2468="","",Z2468-Y2468)</f>
        <v/>
      </c>
      <c r="AD2468">
        <f>IF(D2468="","",N(AD2467)+IF(MATCH(D2468,$D$2:$D$2501,0)=ROW()-1,1,0))</f>
        <v/>
      </c>
    </row>
    <row r="2469">
      <c r="X2469" s="5">
        <f>IF(D2469="","",W2469*IF(AND(ISNUMBER(AB2469),AB2469&gt;0,AB2469&lt;1),AB2469*100,AB2469)/100)</f>
        <v/>
      </c>
      <c r="Y2469" s="5">
        <f>IF(D2469="","",AA2469*Z2469/100)</f>
        <v/>
      </c>
      <c r="Z2469" s="5">
        <f>IF(D2469="","",W2469-X2469)</f>
        <v/>
      </c>
      <c r="AC2469" s="5">
        <f>IF(D2469="","",Z2469-Y2469)</f>
        <v/>
      </c>
      <c r="AD2469">
        <f>IF(D2469="","",N(AD2468)+IF(MATCH(D2469,$D$2:$D$2501,0)=ROW()-1,1,0))</f>
        <v/>
      </c>
    </row>
    <row r="2470">
      <c r="X2470" s="5">
        <f>IF(D2470="","",W2470*IF(AND(ISNUMBER(AB2470),AB2470&gt;0,AB2470&lt;1),AB2470*100,AB2470)/100)</f>
        <v/>
      </c>
      <c r="Y2470" s="5">
        <f>IF(D2470="","",AA2470*Z2470/100)</f>
        <v/>
      </c>
      <c r="Z2470" s="5">
        <f>IF(D2470="","",W2470-X2470)</f>
        <v/>
      </c>
      <c r="AC2470" s="5">
        <f>IF(D2470="","",Z2470-Y2470)</f>
        <v/>
      </c>
      <c r="AD2470">
        <f>IF(D2470="","",N(AD2469)+IF(MATCH(D2470,$D$2:$D$2501,0)=ROW()-1,1,0))</f>
        <v/>
      </c>
    </row>
    <row r="2471">
      <c r="X2471" s="5">
        <f>IF(D2471="","",W2471*IF(AND(ISNUMBER(AB2471),AB2471&gt;0,AB2471&lt;1),AB2471*100,AB2471)/100)</f>
        <v/>
      </c>
      <c r="Y2471" s="5">
        <f>IF(D2471="","",AA2471*Z2471/100)</f>
        <v/>
      </c>
      <c r="Z2471" s="5">
        <f>IF(D2471="","",W2471-X2471)</f>
        <v/>
      </c>
      <c r="AC2471" s="5">
        <f>IF(D2471="","",Z2471-Y2471)</f>
        <v/>
      </c>
      <c r="AD2471">
        <f>IF(D2471="","",N(AD2470)+IF(MATCH(D2471,$D$2:$D$2501,0)=ROW()-1,1,0))</f>
        <v/>
      </c>
    </row>
    <row r="2472">
      <c r="X2472" s="5">
        <f>IF(D2472="","",W2472*IF(AND(ISNUMBER(AB2472),AB2472&gt;0,AB2472&lt;1),AB2472*100,AB2472)/100)</f>
        <v/>
      </c>
      <c r="Y2472" s="5">
        <f>IF(D2472="","",AA2472*Z2472/100)</f>
        <v/>
      </c>
      <c r="Z2472" s="5">
        <f>IF(D2472="","",W2472-X2472)</f>
        <v/>
      </c>
      <c r="AC2472" s="5">
        <f>IF(D2472="","",Z2472-Y2472)</f>
        <v/>
      </c>
      <c r="AD2472">
        <f>IF(D2472="","",N(AD2471)+IF(MATCH(D2472,$D$2:$D$2501,0)=ROW()-1,1,0))</f>
        <v/>
      </c>
    </row>
    <row r="2473">
      <c r="X2473" s="5">
        <f>IF(D2473="","",W2473*IF(AND(ISNUMBER(AB2473),AB2473&gt;0,AB2473&lt;1),AB2473*100,AB2473)/100)</f>
        <v/>
      </c>
      <c r="Y2473" s="5">
        <f>IF(D2473="","",AA2473*Z2473/100)</f>
        <v/>
      </c>
      <c r="Z2473" s="5">
        <f>IF(D2473="","",W2473-X2473)</f>
        <v/>
      </c>
      <c r="AC2473" s="5">
        <f>IF(D2473="","",Z2473-Y2473)</f>
        <v/>
      </c>
      <c r="AD2473">
        <f>IF(D2473="","",N(AD2472)+IF(MATCH(D2473,$D$2:$D$2501,0)=ROW()-1,1,0))</f>
        <v/>
      </c>
    </row>
    <row r="2474">
      <c r="X2474" s="5">
        <f>IF(D2474="","",W2474*IF(AND(ISNUMBER(AB2474),AB2474&gt;0,AB2474&lt;1),AB2474*100,AB2474)/100)</f>
        <v/>
      </c>
      <c r="Y2474" s="5">
        <f>IF(D2474="","",AA2474*Z2474/100)</f>
        <v/>
      </c>
      <c r="Z2474" s="5">
        <f>IF(D2474="","",W2474-X2474)</f>
        <v/>
      </c>
      <c r="AC2474" s="5">
        <f>IF(D2474="","",Z2474-Y2474)</f>
        <v/>
      </c>
      <c r="AD2474">
        <f>IF(D2474="","",N(AD2473)+IF(MATCH(D2474,$D$2:$D$2501,0)=ROW()-1,1,0))</f>
        <v/>
      </c>
    </row>
    <row r="2475">
      <c r="X2475" s="5">
        <f>IF(D2475="","",W2475*IF(AND(ISNUMBER(AB2475),AB2475&gt;0,AB2475&lt;1),AB2475*100,AB2475)/100)</f>
        <v/>
      </c>
      <c r="Y2475" s="5">
        <f>IF(D2475="","",AA2475*Z2475/100)</f>
        <v/>
      </c>
      <c r="Z2475" s="5">
        <f>IF(D2475="","",W2475-X2475)</f>
        <v/>
      </c>
      <c r="AC2475" s="5">
        <f>IF(D2475="","",Z2475-Y2475)</f>
        <v/>
      </c>
      <c r="AD2475">
        <f>IF(D2475="","",N(AD2474)+IF(MATCH(D2475,$D$2:$D$2501,0)=ROW()-1,1,0))</f>
        <v/>
      </c>
    </row>
    <row r="2476">
      <c r="X2476" s="5">
        <f>IF(D2476="","",W2476*IF(AND(ISNUMBER(AB2476),AB2476&gt;0,AB2476&lt;1),AB2476*100,AB2476)/100)</f>
        <v/>
      </c>
      <c r="Y2476" s="5">
        <f>IF(D2476="","",AA2476*Z2476/100)</f>
        <v/>
      </c>
      <c r="Z2476" s="5">
        <f>IF(D2476="","",W2476-X2476)</f>
        <v/>
      </c>
      <c r="AC2476" s="5">
        <f>IF(D2476="","",Z2476-Y2476)</f>
        <v/>
      </c>
      <c r="AD2476">
        <f>IF(D2476="","",N(AD2475)+IF(MATCH(D2476,$D$2:$D$2501,0)=ROW()-1,1,0))</f>
        <v/>
      </c>
    </row>
    <row r="2477">
      <c r="X2477" s="5">
        <f>IF(D2477="","",W2477*IF(AND(ISNUMBER(AB2477),AB2477&gt;0,AB2477&lt;1),AB2477*100,AB2477)/100)</f>
        <v/>
      </c>
      <c r="Y2477" s="5">
        <f>IF(D2477="","",AA2477*Z2477/100)</f>
        <v/>
      </c>
      <c r="Z2477" s="5">
        <f>IF(D2477="","",W2477-X2477)</f>
        <v/>
      </c>
      <c r="AC2477" s="5">
        <f>IF(D2477="","",Z2477-Y2477)</f>
        <v/>
      </c>
      <c r="AD2477">
        <f>IF(D2477="","",N(AD2476)+IF(MATCH(D2477,$D$2:$D$2501,0)=ROW()-1,1,0))</f>
        <v/>
      </c>
    </row>
    <row r="2478">
      <c r="X2478" s="5">
        <f>IF(D2478="","",W2478*IF(AND(ISNUMBER(AB2478),AB2478&gt;0,AB2478&lt;1),AB2478*100,AB2478)/100)</f>
        <v/>
      </c>
      <c r="Y2478" s="5">
        <f>IF(D2478="","",AA2478*Z2478/100)</f>
        <v/>
      </c>
      <c r="Z2478" s="5">
        <f>IF(D2478="","",W2478-X2478)</f>
        <v/>
      </c>
      <c r="AC2478" s="5">
        <f>IF(D2478="","",Z2478-Y2478)</f>
        <v/>
      </c>
      <c r="AD2478">
        <f>IF(D2478="","",N(AD2477)+IF(MATCH(D2478,$D$2:$D$2501,0)=ROW()-1,1,0))</f>
        <v/>
      </c>
    </row>
    <row r="2479">
      <c r="X2479" s="5">
        <f>IF(D2479="","",W2479*IF(AND(ISNUMBER(AB2479),AB2479&gt;0,AB2479&lt;1),AB2479*100,AB2479)/100)</f>
        <v/>
      </c>
      <c r="Y2479" s="5">
        <f>IF(D2479="","",AA2479*Z2479/100)</f>
        <v/>
      </c>
      <c r="Z2479" s="5">
        <f>IF(D2479="","",W2479-X2479)</f>
        <v/>
      </c>
      <c r="AC2479" s="5">
        <f>IF(D2479="","",Z2479-Y2479)</f>
        <v/>
      </c>
      <c r="AD2479">
        <f>IF(D2479="","",N(AD2478)+IF(MATCH(D2479,$D$2:$D$2501,0)=ROW()-1,1,0))</f>
        <v/>
      </c>
    </row>
    <row r="2480">
      <c r="X2480" s="5">
        <f>IF(D2480="","",W2480*IF(AND(ISNUMBER(AB2480),AB2480&gt;0,AB2480&lt;1),AB2480*100,AB2480)/100)</f>
        <v/>
      </c>
      <c r="Y2480" s="5">
        <f>IF(D2480="","",AA2480*Z2480/100)</f>
        <v/>
      </c>
      <c r="Z2480" s="5">
        <f>IF(D2480="","",W2480-X2480)</f>
        <v/>
      </c>
      <c r="AC2480" s="5">
        <f>IF(D2480="","",Z2480-Y2480)</f>
        <v/>
      </c>
      <c r="AD2480">
        <f>IF(D2480="","",N(AD2479)+IF(MATCH(D2480,$D$2:$D$2501,0)=ROW()-1,1,0))</f>
        <v/>
      </c>
    </row>
    <row r="2481">
      <c r="X2481" s="5">
        <f>IF(D2481="","",W2481*IF(AND(ISNUMBER(AB2481),AB2481&gt;0,AB2481&lt;1),AB2481*100,AB2481)/100)</f>
        <v/>
      </c>
      <c r="Y2481" s="5">
        <f>IF(D2481="","",AA2481*Z2481/100)</f>
        <v/>
      </c>
      <c r="Z2481" s="5">
        <f>IF(D2481="","",W2481-X2481)</f>
        <v/>
      </c>
      <c r="AC2481" s="5">
        <f>IF(D2481="","",Z2481-Y2481)</f>
        <v/>
      </c>
      <c r="AD2481">
        <f>IF(D2481="","",N(AD2480)+IF(MATCH(D2481,$D$2:$D$2501,0)=ROW()-1,1,0))</f>
        <v/>
      </c>
    </row>
    <row r="2482">
      <c r="X2482" s="5">
        <f>IF(D2482="","",W2482*IF(AND(ISNUMBER(AB2482),AB2482&gt;0,AB2482&lt;1),AB2482*100,AB2482)/100)</f>
        <v/>
      </c>
      <c r="Y2482" s="5">
        <f>IF(D2482="","",AA2482*Z2482/100)</f>
        <v/>
      </c>
      <c r="Z2482" s="5">
        <f>IF(D2482="","",W2482-X2482)</f>
        <v/>
      </c>
      <c r="AC2482" s="5">
        <f>IF(D2482="","",Z2482-Y2482)</f>
        <v/>
      </c>
      <c r="AD2482">
        <f>IF(D2482="","",N(AD2481)+IF(MATCH(D2482,$D$2:$D$2501,0)=ROW()-1,1,0))</f>
        <v/>
      </c>
    </row>
    <row r="2483">
      <c r="X2483" s="5">
        <f>IF(D2483="","",W2483*IF(AND(ISNUMBER(AB2483),AB2483&gt;0,AB2483&lt;1),AB2483*100,AB2483)/100)</f>
        <v/>
      </c>
      <c r="Y2483" s="5">
        <f>IF(D2483="","",AA2483*Z2483/100)</f>
        <v/>
      </c>
      <c r="Z2483" s="5">
        <f>IF(D2483="","",W2483-X2483)</f>
        <v/>
      </c>
      <c r="AC2483" s="5">
        <f>IF(D2483="","",Z2483-Y2483)</f>
        <v/>
      </c>
      <c r="AD2483">
        <f>IF(D2483="","",N(AD2482)+IF(MATCH(D2483,$D$2:$D$2501,0)=ROW()-1,1,0))</f>
        <v/>
      </c>
    </row>
    <row r="2484">
      <c r="X2484" s="5">
        <f>IF(D2484="","",W2484*IF(AND(ISNUMBER(AB2484),AB2484&gt;0,AB2484&lt;1),AB2484*100,AB2484)/100)</f>
        <v/>
      </c>
      <c r="Y2484" s="5">
        <f>IF(D2484="","",AA2484*Z2484/100)</f>
        <v/>
      </c>
      <c r="Z2484" s="5">
        <f>IF(D2484="","",W2484-X2484)</f>
        <v/>
      </c>
      <c r="AC2484" s="5">
        <f>IF(D2484="","",Z2484-Y2484)</f>
        <v/>
      </c>
      <c r="AD2484">
        <f>IF(D2484="","",N(AD2483)+IF(MATCH(D2484,$D$2:$D$2501,0)=ROW()-1,1,0))</f>
        <v/>
      </c>
    </row>
    <row r="2485">
      <c r="X2485" s="5">
        <f>IF(D2485="","",W2485*IF(AND(ISNUMBER(AB2485),AB2485&gt;0,AB2485&lt;1),AB2485*100,AB2485)/100)</f>
        <v/>
      </c>
      <c r="Y2485" s="5">
        <f>IF(D2485="","",AA2485*Z2485/100)</f>
        <v/>
      </c>
      <c r="Z2485" s="5">
        <f>IF(D2485="","",W2485-X2485)</f>
        <v/>
      </c>
      <c r="AC2485" s="5">
        <f>IF(D2485="","",Z2485-Y2485)</f>
        <v/>
      </c>
      <c r="AD2485">
        <f>IF(D2485="","",N(AD2484)+IF(MATCH(D2485,$D$2:$D$2501,0)=ROW()-1,1,0))</f>
        <v/>
      </c>
    </row>
    <row r="2486">
      <c r="X2486" s="5">
        <f>IF(D2486="","",W2486*IF(AND(ISNUMBER(AB2486),AB2486&gt;0,AB2486&lt;1),AB2486*100,AB2486)/100)</f>
        <v/>
      </c>
      <c r="Y2486" s="5">
        <f>IF(D2486="","",AA2486*Z2486/100)</f>
        <v/>
      </c>
      <c r="Z2486" s="5">
        <f>IF(D2486="","",W2486-X2486)</f>
        <v/>
      </c>
      <c r="AC2486" s="5">
        <f>IF(D2486="","",Z2486-Y2486)</f>
        <v/>
      </c>
      <c r="AD2486">
        <f>IF(D2486="","",N(AD2485)+IF(MATCH(D2486,$D$2:$D$2501,0)=ROW()-1,1,0))</f>
        <v/>
      </c>
    </row>
    <row r="2487">
      <c r="X2487" s="5">
        <f>IF(D2487="","",W2487*IF(AND(ISNUMBER(AB2487),AB2487&gt;0,AB2487&lt;1),AB2487*100,AB2487)/100)</f>
        <v/>
      </c>
      <c r="Y2487" s="5">
        <f>IF(D2487="","",AA2487*Z2487/100)</f>
        <v/>
      </c>
      <c r="Z2487" s="5">
        <f>IF(D2487="","",W2487-X2487)</f>
        <v/>
      </c>
      <c r="AC2487" s="5">
        <f>IF(D2487="","",Z2487-Y2487)</f>
        <v/>
      </c>
      <c r="AD2487">
        <f>IF(D2487="","",N(AD2486)+IF(MATCH(D2487,$D$2:$D$2501,0)=ROW()-1,1,0))</f>
        <v/>
      </c>
    </row>
    <row r="2488">
      <c r="X2488" s="5">
        <f>IF(D2488="","",W2488*IF(AND(ISNUMBER(AB2488),AB2488&gt;0,AB2488&lt;1),AB2488*100,AB2488)/100)</f>
        <v/>
      </c>
      <c r="Y2488" s="5">
        <f>IF(D2488="","",AA2488*Z2488/100)</f>
        <v/>
      </c>
      <c r="Z2488" s="5">
        <f>IF(D2488="","",W2488-X2488)</f>
        <v/>
      </c>
      <c r="AC2488" s="5">
        <f>IF(D2488="","",Z2488-Y2488)</f>
        <v/>
      </c>
      <c r="AD2488">
        <f>IF(D2488="","",N(AD2487)+IF(MATCH(D2488,$D$2:$D$2501,0)=ROW()-1,1,0))</f>
        <v/>
      </c>
    </row>
    <row r="2489">
      <c r="X2489" s="5">
        <f>IF(D2489="","",W2489*IF(AND(ISNUMBER(AB2489),AB2489&gt;0,AB2489&lt;1),AB2489*100,AB2489)/100)</f>
        <v/>
      </c>
      <c r="Y2489" s="5">
        <f>IF(D2489="","",AA2489*Z2489/100)</f>
        <v/>
      </c>
      <c r="Z2489" s="5">
        <f>IF(D2489="","",W2489-X2489)</f>
        <v/>
      </c>
      <c r="AC2489" s="5">
        <f>IF(D2489="","",Z2489-Y2489)</f>
        <v/>
      </c>
      <c r="AD2489">
        <f>IF(D2489="","",N(AD2488)+IF(MATCH(D2489,$D$2:$D$2501,0)=ROW()-1,1,0))</f>
        <v/>
      </c>
    </row>
    <row r="2490">
      <c r="X2490" s="5">
        <f>IF(D2490="","",W2490*IF(AND(ISNUMBER(AB2490),AB2490&gt;0,AB2490&lt;1),AB2490*100,AB2490)/100)</f>
        <v/>
      </c>
      <c r="Y2490" s="5">
        <f>IF(D2490="","",AA2490*Z2490/100)</f>
        <v/>
      </c>
      <c r="Z2490" s="5">
        <f>IF(D2490="","",W2490-X2490)</f>
        <v/>
      </c>
      <c r="AC2490" s="5">
        <f>IF(D2490="","",Z2490-Y2490)</f>
        <v/>
      </c>
      <c r="AD2490">
        <f>IF(D2490="","",N(AD2489)+IF(MATCH(D2490,$D$2:$D$2501,0)=ROW()-1,1,0))</f>
        <v/>
      </c>
    </row>
    <row r="2491">
      <c r="X2491" s="5">
        <f>IF(D2491="","",W2491*IF(AND(ISNUMBER(AB2491),AB2491&gt;0,AB2491&lt;1),AB2491*100,AB2491)/100)</f>
        <v/>
      </c>
      <c r="Y2491" s="5">
        <f>IF(D2491="","",AA2491*Z2491/100)</f>
        <v/>
      </c>
      <c r="Z2491" s="5">
        <f>IF(D2491="","",W2491-X2491)</f>
        <v/>
      </c>
      <c r="AC2491" s="5">
        <f>IF(D2491="","",Z2491-Y2491)</f>
        <v/>
      </c>
      <c r="AD2491">
        <f>IF(D2491="","",N(AD2490)+IF(MATCH(D2491,$D$2:$D$2501,0)=ROW()-1,1,0))</f>
        <v/>
      </c>
    </row>
    <row r="2492">
      <c r="X2492" s="5">
        <f>IF(D2492="","",W2492*IF(AND(ISNUMBER(AB2492),AB2492&gt;0,AB2492&lt;1),AB2492*100,AB2492)/100)</f>
        <v/>
      </c>
      <c r="Y2492" s="5">
        <f>IF(D2492="","",AA2492*Z2492/100)</f>
        <v/>
      </c>
      <c r="Z2492" s="5">
        <f>IF(D2492="","",W2492-X2492)</f>
        <v/>
      </c>
      <c r="AC2492" s="5">
        <f>IF(D2492="","",Z2492-Y2492)</f>
        <v/>
      </c>
      <c r="AD2492">
        <f>IF(D2492="","",N(AD2491)+IF(MATCH(D2492,$D$2:$D$2501,0)=ROW()-1,1,0))</f>
        <v/>
      </c>
    </row>
    <row r="2493">
      <c r="X2493" s="5">
        <f>IF(D2493="","",W2493*IF(AND(ISNUMBER(AB2493),AB2493&gt;0,AB2493&lt;1),AB2493*100,AB2493)/100)</f>
        <v/>
      </c>
      <c r="Y2493" s="5">
        <f>IF(D2493="","",AA2493*Z2493/100)</f>
        <v/>
      </c>
      <c r="Z2493" s="5">
        <f>IF(D2493="","",W2493-X2493)</f>
        <v/>
      </c>
      <c r="AC2493" s="5">
        <f>IF(D2493="","",Z2493-Y2493)</f>
        <v/>
      </c>
      <c r="AD2493">
        <f>IF(D2493="","",N(AD2492)+IF(MATCH(D2493,$D$2:$D$2501,0)=ROW()-1,1,0))</f>
        <v/>
      </c>
    </row>
    <row r="2494">
      <c r="X2494" s="5">
        <f>IF(D2494="","",W2494*IF(AND(ISNUMBER(AB2494),AB2494&gt;0,AB2494&lt;1),AB2494*100,AB2494)/100)</f>
        <v/>
      </c>
      <c r="Y2494" s="5">
        <f>IF(D2494="","",AA2494*Z2494/100)</f>
        <v/>
      </c>
      <c r="Z2494" s="5">
        <f>IF(D2494="","",W2494-X2494)</f>
        <v/>
      </c>
      <c r="AC2494" s="5">
        <f>IF(D2494="","",Z2494-Y2494)</f>
        <v/>
      </c>
      <c r="AD2494">
        <f>IF(D2494="","",N(AD2493)+IF(MATCH(D2494,$D$2:$D$2501,0)=ROW()-1,1,0))</f>
        <v/>
      </c>
    </row>
    <row r="2495">
      <c r="X2495" s="5">
        <f>IF(D2495="","",W2495*IF(AND(ISNUMBER(AB2495),AB2495&gt;0,AB2495&lt;1),AB2495*100,AB2495)/100)</f>
        <v/>
      </c>
      <c r="Y2495" s="5">
        <f>IF(D2495="","",AA2495*Z2495/100)</f>
        <v/>
      </c>
      <c r="Z2495" s="5">
        <f>IF(D2495="","",W2495-X2495)</f>
        <v/>
      </c>
      <c r="AC2495" s="5">
        <f>IF(D2495="","",Z2495-Y2495)</f>
        <v/>
      </c>
      <c r="AD2495">
        <f>IF(D2495="","",N(AD2494)+IF(MATCH(D2495,$D$2:$D$2501,0)=ROW()-1,1,0))</f>
        <v/>
      </c>
    </row>
    <row r="2496">
      <c r="X2496" s="5">
        <f>IF(D2496="","",W2496*IF(AND(ISNUMBER(AB2496),AB2496&gt;0,AB2496&lt;1),AB2496*100,AB2496)/100)</f>
        <v/>
      </c>
      <c r="Y2496" s="5">
        <f>IF(D2496="","",AA2496*Z2496/100)</f>
        <v/>
      </c>
      <c r="Z2496" s="5">
        <f>IF(D2496="","",W2496-X2496)</f>
        <v/>
      </c>
      <c r="AC2496" s="5">
        <f>IF(D2496="","",Z2496-Y2496)</f>
        <v/>
      </c>
      <c r="AD2496">
        <f>IF(D2496="","",N(AD2495)+IF(MATCH(D2496,$D$2:$D$2501,0)=ROW()-1,1,0))</f>
        <v/>
      </c>
    </row>
    <row r="2497">
      <c r="X2497" s="5">
        <f>IF(D2497="","",W2497*IF(AND(ISNUMBER(AB2497),AB2497&gt;0,AB2497&lt;1),AB2497*100,AB2497)/100)</f>
        <v/>
      </c>
      <c r="Y2497" s="5">
        <f>IF(D2497="","",AA2497*Z2497/100)</f>
        <v/>
      </c>
      <c r="Z2497" s="5">
        <f>IF(D2497="","",W2497-X2497)</f>
        <v/>
      </c>
      <c r="AC2497" s="5">
        <f>IF(D2497="","",Z2497-Y2497)</f>
        <v/>
      </c>
      <c r="AD2497">
        <f>IF(D2497="","",N(AD2496)+IF(MATCH(D2497,$D$2:$D$2501,0)=ROW()-1,1,0))</f>
        <v/>
      </c>
    </row>
    <row r="2498">
      <c r="X2498" s="5">
        <f>IF(D2498="","",W2498*IF(AND(ISNUMBER(AB2498),AB2498&gt;0,AB2498&lt;1),AB2498*100,AB2498)/100)</f>
        <v/>
      </c>
      <c r="Y2498" s="5">
        <f>IF(D2498="","",AA2498*Z2498/100)</f>
        <v/>
      </c>
      <c r="Z2498" s="5">
        <f>IF(D2498="","",W2498-X2498)</f>
        <v/>
      </c>
      <c r="AC2498" s="5">
        <f>IF(D2498="","",Z2498-Y2498)</f>
        <v/>
      </c>
      <c r="AD2498">
        <f>IF(D2498="","",N(AD2497)+IF(MATCH(D2498,$D$2:$D$2501,0)=ROW()-1,1,0))</f>
        <v/>
      </c>
    </row>
    <row r="2499">
      <c r="X2499" s="5">
        <f>IF(D2499="","",W2499*IF(AND(ISNUMBER(AB2499),AB2499&gt;0,AB2499&lt;1),AB2499*100,AB2499)/100)</f>
        <v/>
      </c>
      <c r="Y2499" s="5">
        <f>IF(D2499="","",AA2499*Z2499/100)</f>
        <v/>
      </c>
      <c r="Z2499" s="5">
        <f>IF(D2499="","",W2499-X2499)</f>
        <v/>
      </c>
      <c r="AC2499" s="5">
        <f>IF(D2499="","",Z2499-Y2499)</f>
        <v/>
      </c>
      <c r="AD2499">
        <f>IF(D2499="","",N(AD2498)+IF(MATCH(D2499,$D$2:$D$2501,0)=ROW()-1,1,0))</f>
        <v/>
      </c>
    </row>
    <row r="2500">
      <c r="X2500" s="5">
        <f>IF(D2500="","",W2500*IF(AND(ISNUMBER(AB2500),AB2500&gt;0,AB2500&lt;1),AB2500*100,AB2500)/100)</f>
        <v/>
      </c>
      <c r="Y2500" s="5">
        <f>IF(D2500="","",AA2500*Z2500/100)</f>
        <v/>
      </c>
      <c r="Z2500" s="5">
        <f>IF(D2500="","",W2500-X2500)</f>
        <v/>
      </c>
      <c r="AC2500" s="5">
        <f>IF(D2500="","",Z2500-Y2500)</f>
        <v/>
      </c>
      <c r="AD2500">
        <f>IF(D2500="","",N(AD2499)+IF(MATCH(D2500,$D$2:$D$2501,0)=ROW()-1,1,0))</f>
        <v/>
      </c>
    </row>
    <row r="2501">
      <c r="X2501" s="5">
        <f>IF(D2501="","",W2501*IF(AND(ISNUMBER(AB2501),AB2501&gt;0,AB2501&lt;1),AB2501*100,AB2501)/100)</f>
        <v/>
      </c>
      <c r="Y2501" s="5">
        <f>IF(D2501="","",AA2501*Z2501/100)</f>
        <v/>
      </c>
      <c r="Z2501" s="5">
        <f>IF(D2501="","",W2501-X2501)</f>
        <v/>
      </c>
      <c r="AC2501" s="5">
        <f>IF(D2501="","",Z2501-Y2501)</f>
        <v/>
      </c>
      <c r="AD2501">
        <f>IF(D2501="","",N(AD2500)+IF(MATCH(D2501,$D$2:$D$2501,0)=ROW()-1,1,0))</f>
        <v/>
      </c>
    </row>
  </sheetData>
  <autoFilter ref="A1:AD2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3" customWidth="1" min="12" max="12"/>
    <col width="14" customWidth="1" min="13" max="13"/>
  </cols>
  <sheetData>
    <row r="1" ht="32" customHeight="1">
      <c r="A1" s="6" t="inlineStr">
        <is>
          <t>SSNBR</t>
        </is>
      </c>
      <c r="B1" s="6" t="inlineStr">
        <is>
          <t>So</t>
        </is>
      </c>
      <c r="C1" s="6" t="inlineStr">
        <is>
          <t>Lot</t>
        </is>
      </c>
      <c r="D1" s="8" t="inlineStr">
        <is>
          <t>Card</t>
        </is>
      </c>
      <c r="E1" s="8" t="inlineStr">
        <is>
          <t>ERX</t>
        </is>
      </c>
      <c r="F1" s="6" t="inlineStr">
        <is>
          <t>Svc Date</t>
        </is>
      </c>
      <c r="G1" s="6" t="inlineStr">
        <is>
          <t>Sum of Total Approved</t>
        </is>
      </c>
      <c r="H1" s="6" t="inlineStr">
        <is>
          <t>Sum of dis</t>
        </is>
      </c>
      <c r="I1" s="6" t="inlineStr">
        <is>
          <t>Sum of Paid Amount</t>
        </is>
      </c>
      <c r="J1" s="6" t="inlineStr">
        <is>
          <t>Sum of Subtotal</t>
        </is>
      </c>
      <c r="K1" s="6" t="inlineStr">
        <is>
          <t>Sum of Net Amt</t>
        </is>
      </c>
      <c r="L1" s="9" t="inlineStr">
        <is>
          <t>Src Row (helper)</t>
        </is>
      </c>
      <c r="M1" s="6" t="inlineStr">
        <is>
          <t>Status</t>
        </is>
      </c>
    </row>
    <row r="2">
      <c r="A2">
        <f>IF($L2="","",INDEX('Per Line'!$C$2:$C$2501,$L2))</f>
        <v/>
      </c>
      <c r="B2">
        <f>IF($L2="","",INDEX('Per Line'!$D$2:$D$2501,$L2))</f>
        <v/>
      </c>
      <c r="C2">
        <f>IF($L2="","",INDEX('Per Line'!$A$2:$A$2501,$L2))</f>
        <v/>
      </c>
      <c r="F2">
        <f>IF($L2="","",INDEX('Per Line'!$U$2:$U$2501,$L2))</f>
        <v/>
      </c>
      <c r="G2" s="5">
        <f>IF($L2="","",SUMIFS('Per Line'!$W$2:$W$2501,'Per Line'!$D$2:$D$2501,$B2))</f>
        <v/>
      </c>
      <c r="H2" s="5">
        <f>IF($L2="","",SUMIFS('Per Line'!$X$2:$X$2501,'Per Line'!$D$2:$D$2501,$B2))</f>
        <v/>
      </c>
      <c r="I2" s="5">
        <f>IF($L2="","",SUMIFS('Per Line'!$Y$2:$Y$2501,'Per Line'!$D$2:$D$2501,$B2))</f>
        <v/>
      </c>
      <c r="J2" s="5">
        <f>IF($L2="","",G2-H2)</f>
        <v/>
      </c>
      <c r="K2" s="5">
        <f>IF($L2="","",J2-I2)</f>
        <v/>
      </c>
      <c r="L2">
        <f>IF(ROWS($L$2:$L2)&lt;=MAX('Per Line'!$AD$2:$AD$2501),MATCH(ROWS($L$2:$L2),'Per Line'!$AD$2:$AD$2501,0),"")</f>
        <v/>
      </c>
      <c r="M2">
        <f>IF($L2="","",INDEX('Per Line'!$E$2:$E$2501,$L2))</f>
        <v/>
      </c>
    </row>
    <row r="3">
      <c r="A3">
        <f>IF($L3="","",INDEX('Per Line'!$C$2:$C$2501,$L3))</f>
        <v/>
      </c>
      <c r="B3">
        <f>IF($L3="","",INDEX('Per Line'!$D$2:$D$2501,$L3))</f>
        <v/>
      </c>
      <c r="C3">
        <f>IF($L3="","",INDEX('Per Line'!$A$2:$A$2501,$L3))</f>
        <v/>
      </c>
      <c r="F3">
        <f>IF($L3="","",INDEX('Per Line'!$U$2:$U$2501,$L3))</f>
        <v/>
      </c>
      <c r="G3" s="5">
        <f>IF($L3="","",SUMIFS('Per Line'!$W$2:$W$2501,'Per Line'!$D$2:$D$2501,$B3))</f>
        <v/>
      </c>
      <c r="H3" s="5">
        <f>IF($L3="","",SUMIFS('Per Line'!$X$2:$X$2501,'Per Line'!$D$2:$D$2501,$B3))</f>
        <v/>
      </c>
      <c r="I3" s="5">
        <f>IF($L3="","",SUMIFS('Per Line'!$Y$2:$Y$2501,'Per Line'!$D$2:$D$2501,$B3))</f>
        <v/>
      </c>
      <c r="J3" s="5">
        <f>IF($L3="","",G3-H3)</f>
        <v/>
      </c>
      <c r="K3" s="5">
        <f>IF($L3="","",J3-I3)</f>
        <v/>
      </c>
      <c r="L3">
        <f>IF(ROWS($L$2:$L3)&lt;=MAX('Per Line'!$AD$2:$AD$2501),MATCH(ROWS($L$2:$L3),'Per Line'!$AD$2:$AD$2501,0),"")</f>
        <v/>
      </c>
      <c r="M3">
        <f>IF($L3="","",INDEX('Per Line'!$E$2:$E$2501,$L3))</f>
        <v/>
      </c>
    </row>
    <row r="4">
      <c r="A4">
        <f>IF($L4="","",INDEX('Per Line'!$C$2:$C$2501,$L4))</f>
        <v/>
      </c>
      <c r="B4">
        <f>IF($L4="","",INDEX('Per Line'!$D$2:$D$2501,$L4))</f>
        <v/>
      </c>
      <c r="C4">
        <f>IF($L4="","",INDEX('Per Line'!$A$2:$A$2501,$L4))</f>
        <v/>
      </c>
      <c r="F4">
        <f>IF($L4="","",INDEX('Per Line'!$U$2:$U$2501,$L4))</f>
        <v/>
      </c>
      <c r="G4" s="5">
        <f>IF($L4="","",SUMIFS('Per Line'!$W$2:$W$2501,'Per Line'!$D$2:$D$2501,$B4))</f>
        <v/>
      </c>
      <c r="H4" s="5">
        <f>IF($L4="","",SUMIFS('Per Line'!$X$2:$X$2501,'Per Line'!$D$2:$D$2501,$B4))</f>
        <v/>
      </c>
      <c r="I4" s="5">
        <f>IF($L4="","",SUMIFS('Per Line'!$Y$2:$Y$2501,'Per Line'!$D$2:$D$2501,$B4))</f>
        <v/>
      </c>
      <c r="J4" s="5">
        <f>IF($L4="","",G4-H4)</f>
        <v/>
      </c>
      <c r="K4" s="5">
        <f>IF($L4="","",J4-I4)</f>
        <v/>
      </c>
      <c r="L4">
        <f>IF(ROWS($L$2:$L4)&lt;=MAX('Per Line'!$AD$2:$AD$2501),MATCH(ROWS($L$2:$L4),'Per Line'!$AD$2:$AD$2501,0),"")</f>
        <v/>
      </c>
      <c r="M4">
        <f>IF($L4="","",INDEX('Per Line'!$E$2:$E$2501,$L4))</f>
        <v/>
      </c>
    </row>
    <row r="5">
      <c r="A5">
        <f>IF($L5="","",INDEX('Per Line'!$C$2:$C$2501,$L5))</f>
        <v/>
      </c>
      <c r="B5">
        <f>IF($L5="","",INDEX('Per Line'!$D$2:$D$2501,$L5))</f>
        <v/>
      </c>
      <c r="C5">
        <f>IF($L5="","",INDEX('Per Line'!$A$2:$A$2501,$L5))</f>
        <v/>
      </c>
      <c r="F5">
        <f>IF($L5="","",INDEX('Per Line'!$U$2:$U$2501,$L5))</f>
        <v/>
      </c>
      <c r="G5" s="5">
        <f>IF($L5="","",SUMIFS('Per Line'!$W$2:$W$2501,'Per Line'!$D$2:$D$2501,$B5))</f>
        <v/>
      </c>
      <c r="H5" s="5">
        <f>IF($L5="","",SUMIFS('Per Line'!$X$2:$X$2501,'Per Line'!$D$2:$D$2501,$B5))</f>
        <v/>
      </c>
      <c r="I5" s="5">
        <f>IF($L5="","",SUMIFS('Per Line'!$Y$2:$Y$2501,'Per Line'!$D$2:$D$2501,$B5))</f>
        <v/>
      </c>
      <c r="J5" s="5">
        <f>IF($L5="","",G5-H5)</f>
        <v/>
      </c>
      <c r="K5" s="5">
        <f>IF($L5="","",J5-I5)</f>
        <v/>
      </c>
      <c r="L5">
        <f>IF(ROWS($L$2:$L5)&lt;=MAX('Per Line'!$AD$2:$AD$2501),MATCH(ROWS($L$2:$L5),'Per Line'!$AD$2:$AD$2501,0),"")</f>
        <v/>
      </c>
      <c r="M5">
        <f>IF($L5="","",INDEX('Per Line'!$E$2:$E$2501,$L5))</f>
        <v/>
      </c>
    </row>
    <row r="6">
      <c r="A6">
        <f>IF($L6="","",INDEX('Per Line'!$C$2:$C$2501,$L6))</f>
        <v/>
      </c>
      <c r="B6">
        <f>IF($L6="","",INDEX('Per Line'!$D$2:$D$2501,$L6))</f>
        <v/>
      </c>
      <c r="C6">
        <f>IF($L6="","",INDEX('Per Line'!$A$2:$A$2501,$L6))</f>
        <v/>
      </c>
      <c r="F6">
        <f>IF($L6="","",INDEX('Per Line'!$U$2:$U$2501,$L6))</f>
        <v/>
      </c>
      <c r="G6" s="5">
        <f>IF($L6="","",SUMIFS('Per Line'!$W$2:$W$2501,'Per Line'!$D$2:$D$2501,$B6))</f>
        <v/>
      </c>
      <c r="H6" s="5">
        <f>IF($L6="","",SUMIFS('Per Line'!$X$2:$X$2501,'Per Line'!$D$2:$D$2501,$B6))</f>
        <v/>
      </c>
      <c r="I6" s="5">
        <f>IF($L6="","",SUMIFS('Per Line'!$Y$2:$Y$2501,'Per Line'!$D$2:$D$2501,$B6))</f>
        <v/>
      </c>
      <c r="J6" s="5">
        <f>IF($L6="","",G6-H6)</f>
        <v/>
      </c>
      <c r="K6" s="5">
        <f>IF($L6="","",J6-I6)</f>
        <v/>
      </c>
      <c r="L6">
        <f>IF(ROWS($L$2:$L6)&lt;=MAX('Per Line'!$AD$2:$AD$2501),MATCH(ROWS($L$2:$L6),'Per Line'!$AD$2:$AD$2501,0),"")</f>
        <v/>
      </c>
      <c r="M6">
        <f>IF($L6="","",INDEX('Per Line'!$E$2:$E$2501,$L6))</f>
        <v/>
      </c>
    </row>
    <row r="7">
      <c r="A7">
        <f>IF($L7="","",INDEX('Per Line'!$C$2:$C$2501,$L7))</f>
        <v/>
      </c>
      <c r="B7">
        <f>IF($L7="","",INDEX('Per Line'!$D$2:$D$2501,$L7))</f>
        <v/>
      </c>
      <c r="C7">
        <f>IF($L7="","",INDEX('Per Line'!$A$2:$A$2501,$L7))</f>
        <v/>
      </c>
      <c r="F7">
        <f>IF($L7="","",INDEX('Per Line'!$U$2:$U$2501,$L7))</f>
        <v/>
      </c>
      <c r="G7" s="5">
        <f>IF($L7="","",SUMIFS('Per Line'!$W$2:$W$2501,'Per Line'!$D$2:$D$2501,$B7))</f>
        <v/>
      </c>
      <c r="H7" s="5">
        <f>IF($L7="","",SUMIFS('Per Line'!$X$2:$X$2501,'Per Line'!$D$2:$D$2501,$B7))</f>
        <v/>
      </c>
      <c r="I7" s="5">
        <f>IF($L7="","",SUMIFS('Per Line'!$Y$2:$Y$2501,'Per Line'!$D$2:$D$2501,$B7))</f>
        <v/>
      </c>
      <c r="J7" s="5">
        <f>IF($L7="","",G7-H7)</f>
        <v/>
      </c>
      <c r="K7" s="5">
        <f>IF($L7="","",J7-I7)</f>
        <v/>
      </c>
      <c r="L7">
        <f>IF(ROWS($L$2:$L7)&lt;=MAX('Per Line'!$AD$2:$AD$2501),MATCH(ROWS($L$2:$L7),'Per Line'!$AD$2:$AD$2501,0),"")</f>
        <v/>
      </c>
      <c r="M7">
        <f>IF($L7="","",INDEX('Per Line'!$E$2:$E$2501,$L7))</f>
        <v/>
      </c>
    </row>
    <row r="8">
      <c r="A8">
        <f>IF($L8="","",INDEX('Per Line'!$C$2:$C$2501,$L8))</f>
        <v/>
      </c>
      <c r="B8">
        <f>IF($L8="","",INDEX('Per Line'!$D$2:$D$2501,$L8))</f>
        <v/>
      </c>
      <c r="C8">
        <f>IF($L8="","",INDEX('Per Line'!$A$2:$A$2501,$L8))</f>
        <v/>
      </c>
      <c r="F8">
        <f>IF($L8="","",INDEX('Per Line'!$U$2:$U$2501,$L8))</f>
        <v/>
      </c>
      <c r="G8" s="5">
        <f>IF($L8="","",SUMIFS('Per Line'!$W$2:$W$2501,'Per Line'!$D$2:$D$2501,$B8))</f>
        <v/>
      </c>
      <c r="H8" s="5">
        <f>IF($L8="","",SUMIFS('Per Line'!$X$2:$X$2501,'Per Line'!$D$2:$D$2501,$B8))</f>
        <v/>
      </c>
      <c r="I8" s="5">
        <f>IF($L8="","",SUMIFS('Per Line'!$Y$2:$Y$2501,'Per Line'!$D$2:$D$2501,$B8))</f>
        <v/>
      </c>
      <c r="J8" s="5">
        <f>IF($L8="","",G8-H8)</f>
        <v/>
      </c>
      <c r="K8" s="5">
        <f>IF($L8="","",J8-I8)</f>
        <v/>
      </c>
      <c r="L8">
        <f>IF(ROWS($L$2:$L8)&lt;=MAX('Per Line'!$AD$2:$AD$2501),MATCH(ROWS($L$2:$L8),'Per Line'!$AD$2:$AD$2501,0),"")</f>
        <v/>
      </c>
      <c r="M8">
        <f>IF($L8="","",INDEX('Per Line'!$E$2:$E$2501,$L8))</f>
        <v/>
      </c>
    </row>
    <row r="9">
      <c r="A9">
        <f>IF($L9="","",INDEX('Per Line'!$C$2:$C$2501,$L9))</f>
        <v/>
      </c>
      <c r="B9">
        <f>IF($L9="","",INDEX('Per Line'!$D$2:$D$2501,$L9))</f>
        <v/>
      </c>
      <c r="C9">
        <f>IF($L9="","",INDEX('Per Line'!$A$2:$A$2501,$L9))</f>
        <v/>
      </c>
      <c r="F9">
        <f>IF($L9="","",INDEX('Per Line'!$U$2:$U$2501,$L9))</f>
        <v/>
      </c>
      <c r="G9" s="5">
        <f>IF($L9="","",SUMIFS('Per Line'!$W$2:$W$2501,'Per Line'!$D$2:$D$2501,$B9))</f>
        <v/>
      </c>
      <c r="H9" s="5">
        <f>IF($L9="","",SUMIFS('Per Line'!$X$2:$X$2501,'Per Line'!$D$2:$D$2501,$B9))</f>
        <v/>
      </c>
      <c r="I9" s="5">
        <f>IF($L9="","",SUMIFS('Per Line'!$Y$2:$Y$2501,'Per Line'!$D$2:$D$2501,$B9))</f>
        <v/>
      </c>
      <c r="J9" s="5">
        <f>IF($L9="","",G9-H9)</f>
        <v/>
      </c>
      <c r="K9" s="5">
        <f>IF($L9="","",J9-I9)</f>
        <v/>
      </c>
      <c r="L9">
        <f>IF(ROWS($L$2:$L9)&lt;=MAX('Per Line'!$AD$2:$AD$2501),MATCH(ROWS($L$2:$L9),'Per Line'!$AD$2:$AD$2501,0),"")</f>
        <v/>
      </c>
      <c r="M9">
        <f>IF($L9="","",INDEX('Per Line'!$E$2:$E$2501,$L9))</f>
        <v/>
      </c>
    </row>
    <row r="10">
      <c r="A10">
        <f>IF($L10="","",INDEX('Per Line'!$C$2:$C$2501,$L10))</f>
        <v/>
      </c>
      <c r="B10">
        <f>IF($L10="","",INDEX('Per Line'!$D$2:$D$2501,$L10))</f>
        <v/>
      </c>
      <c r="C10">
        <f>IF($L10="","",INDEX('Per Line'!$A$2:$A$2501,$L10))</f>
        <v/>
      </c>
      <c r="F10">
        <f>IF($L10="","",INDEX('Per Line'!$U$2:$U$2501,$L10))</f>
        <v/>
      </c>
      <c r="G10" s="5">
        <f>IF($L10="","",SUMIFS('Per Line'!$W$2:$W$2501,'Per Line'!$D$2:$D$2501,$B10))</f>
        <v/>
      </c>
      <c r="H10" s="5">
        <f>IF($L10="","",SUMIFS('Per Line'!$X$2:$X$2501,'Per Line'!$D$2:$D$2501,$B10))</f>
        <v/>
      </c>
      <c r="I10" s="5">
        <f>IF($L10="","",SUMIFS('Per Line'!$Y$2:$Y$2501,'Per Line'!$D$2:$D$2501,$B10))</f>
        <v/>
      </c>
      <c r="J10" s="5">
        <f>IF($L10="","",G10-H10)</f>
        <v/>
      </c>
      <c r="K10" s="5">
        <f>IF($L10="","",J10-I10)</f>
        <v/>
      </c>
      <c r="L10">
        <f>IF(ROWS($L$2:$L10)&lt;=MAX('Per Line'!$AD$2:$AD$2501),MATCH(ROWS($L$2:$L10),'Per Line'!$AD$2:$AD$2501,0),"")</f>
        <v/>
      </c>
      <c r="M10">
        <f>IF($L10="","",INDEX('Per Line'!$E$2:$E$2501,$L10))</f>
        <v/>
      </c>
    </row>
    <row r="11">
      <c r="A11">
        <f>IF($L11="","",INDEX('Per Line'!$C$2:$C$2501,$L11))</f>
        <v/>
      </c>
      <c r="B11">
        <f>IF($L11="","",INDEX('Per Line'!$D$2:$D$2501,$L11))</f>
        <v/>
      </c>
      <c r="C11">
        <f>IF($L11="","",INDEX('Per Line'!$A$2:$A$2501,$L11))</f>
        <v/>
      </c>
      <c r="F11">
        <f>IF($L11="","",INDEX('Per Line'!$U$2:$U$2501,$L11))</f>
        <v/>
      </c>
      <c r="G11" s="5">
        <f>IF($L11="","",SUMIFS('Per Line'!$W$2:$W$2501,'Per Line'!$D$2:$D$2501,$B11))</f>
        <v/>
      </c>
      <c r="H11" s="5">
        <f>IF($L11="","",SUMIFS('Per Line'!$X$2:$X$2501,'Per Line'!$D$2:$D$2501,$B11))</f>
        <v/>
      </c>
      <c r="I11" s="5">
        <f>IF($L11="","",SUMIFS('Per Line'!$Y$2:$Y$2501,'Per Line'!$D$2:$D$2501,$B11))</f>
        <v/>
      </c>
      <c r="J11" s="5">
        <f>IF($L11="","",G11-H11)</f>
        <v/>
      </c>
      <c r="K11" s="5">
        <f>IF($L11="","",J11-I11)</f>
        <v/>
      </c>
      <c r="L11">
        <f>IF(ROWS($L$2:$L11)&lt;=MAX('Per Line'!$AD$2:$AD$2501),MATCH(ROWS($L$2:$L11),'Per Line'!$AD$2:$AD$2501,0),"")</f>
        <v/>
      </c>
      <c r="M11">
        <f>IF($L11="","",INDEX('Per Line'!$E$2:$E$2501,$L11))</f>
        <v/>
      </c>
    </row>
    <row r="12">
      <c r="A12">
        <f>IF($L12="","",INDEX('Per Line'!$C$2:$C$2501,$L12))</f>
        <v/>
      </c>
      <c r="B12">
        <f>IF($L12="","",INDEX('Per Line'!$D$2:$D$2501,$L12))</f>
        <v/>
      </c>
      <c r="C12">
        <f>IF($L12="","",INDEX('Per Line'!$A$2:$A$2501,$L12))</f>
        <v/>
      </c>
      <c r="F12">
        <f>IF($L12="","",INDEX('Per Line'!$U$2:$U$2501,$L12))</f>
        <v/>
      </c>
      <c r="G12" s="5">
        <f>IF($L12="","",SUMIFS('Per Line'!$W$2:$W$2501,'Per Line'!$D$2:$D$2501,$B12))</f>
        <v/>
      </c>
      <c r="H12" s="5">
        <f>IF($L12="","",SUMIFS('Per Line'!$X$2:$X$2501,'Per Line'!$D$2:$D$2501,$B12))</f>
        <v/>
      </c>
      <c r="I12" s="5">
        <f>IF($L12="","",SUMIFS('Per Line'!$Y$2:$Y$2501,'Per Line'!$D$2:$D$2501,$B12))</f>
        <v/>
      </c>
      <c r="J12" s="5">
        <f>IF($L12="","",G12-H12)</f>
        <v/>
      </c>
      <c r="K12" s="5">
        <f>IF($L12="","",J12-I12)</f>
        <v/>
      </c>
      <c r="L12">
        <f>IF(ROWS($L$2:$L12)&lt;=MAX('Per Line'!$AD$2:$AD$2501),MATCH(ROWS($L$2:$L12),'Per Line'!$AD$2:$AD$2501,0),"")</f>
        <v/>
      </c>
      <c r="M12">
        <f>IF($L12="","",INDEX('Per Line'!$E$2:$E$2501,$L12))</f>
        <v/>
      </c>
    </row>
    <row r="13">
      <c r="A13">
        <f>IF($L13="","",INDEX('Per Line'!$C$2:$C$2501,$L13))</f>
        <v/>
      </c>
      <c r="B13">
        <f>IF($L13="","",INDEX('Per Line'!$D$2:$D$2501,$L13))</f>
        <v/>
      </c>
      <c r="C13">
        <f>IF($L13="","",INDEX('Per Line'!$A$2:$A$2501,$L13))</f>
        <v/>
      </c>
      <c r="F13">
        <f>IF($L13="","",INDEX('Per Line'!$U$2:$U$2501,$L13))</f>
        <v/>
      </c>
      <c r="G13" s="5">
        <f>IF($L13="","",SUMIFS('Per Line'!$W$2:$W$2501,'Per Line'!$D$2:$D$2501,$B13))</f>
        <v/>
      </c>
      <c r="H13" s="5">
        <f>IF($L13="","",SUMIFS('Per Line'!$X$2:$X$2501,'Per Line'!$D$2:$D$2501,$B13))</f>
        <v/>
      </c>
      <c r="I13" s="5">
        <f>IF($L13="","",SUMIFS('Per Line'!$Y$2:$Y$2501,'Per Line'!$D$2:$D$2501,$B13))</f>
        <v/>
      </c>
      <c r="J13" s="5">
        <f>IF($L13="","",G13-H13)</f>
        <v/>
      </c>
      <c r="K13" s="5">
        <f>IF($L13="","",J13-I13)</f>
        <v/>
      </c>
      <c r="L13">
        <f>IF(ROWS($L$2:$L13)&lt;=MAX('Per Line'!$AD$2:$AD$2501),MATCH(ROWS($L$2:$L13),'Per Line'!$AD$2:$AD$2501,0),"")</f>
        <v/>
      </c>
      <c r="M13">
        <f>IF($L13="","",INDEX('Per Line'!$E$2:$E$2501,$L13))</f>
        <v/>
      </c>
    </row>
    <row r="14">
      <c r="A14">
        <f>IF($L14="","",INDEX('Per Line'!$C$2:$C$2501,$L14))</f>
        <v/>
      </c>
      <c r="B14">
        <f>IF($L14="","",INDEX('Per Line'!$D$2:$D$2501,$L14))</f>
        <v/>
      </c>
      <c r="C14">
        <f>IF($L14="","",INDEX('Per Line'!$A$2:$A$2501,$L14))</f>
        <v/>
      </c>
      <c r="F14">
        <f>IF($L14="","",INDEX('Per Line'!$U$2:$U$2501,$L14))</f>
        <v/>
      </c>
      <c r="G14" s="5">
        <f>IF($L14="","",SUMIFS('Per Line'!$W$2:$W$2501,'Per Line'!$D$2:$D$2501,$B14))</f>
        <v/>
      </c>
      <c r="H14" s="5">
        <f>IF($L14="","",SUMIFS('Per Line'!$X$2:$X$2501,'Per Line'!$D$2:$D$2501,$B14))</f>
        <v/>
      </c>
      <c r="I14" s="5">
        <f>IF($L14="","",SUMIFS('Per Line'!$Y$2:$Y$2501,'Per Line'!$D$2:$D$2501,$B14))</f>
        <v/>
      </c>
      <c r="J14" s="5">
        <f>IF($L14="","",G14-H14)</f>
        <v/>
      </c>
      <c r="K14" s="5">
        <f>IF($L14="","",J14-I14)</f>
        <v/>
      </c>
      <c r="L14">
        <f>IF(ROWS($L$2:$L14)&lt;=MAX('Per Line'!$AD$2:$AD$2501),MATCH(ROWS($L$2:$L14),'Per Line'!$AD$2:$AD$2501,0),"")</f>
        <v/>
      </c>
      <c r="M14">
        <f>IF($L14="","",INDEX('Per Line'!$E$2:$E$2501,$L14))</f>
        <v/>
      </c>
    </row>
    <row r="15">
      <c r="A15">
        <f>IF($L15="","",INDEX('Per Line'!$C$2:$C$2501,$L15))</f>
        <v/>
      </c>
      <c r="B15">
        <f>IF($L15="","",INDEX('Per Line'!$D$2:$D$2501,$L15))</f>
        <v/>
      </c>
      <c r="C15">
        <f>IF($L15="","",INDEX('Per Line'!$A$2:$A$2501,$L15))</f>
        <v/>
      </c>
      <c r="F15">
        <f>IF($L15="","",INDEX('Per Line'!$U$2:$U$2501,$L15))</f>
        <v/>
      </c>
      <c r="G15" s="5">
        <f>IF($L15="","",SUMIFS('Per Line'!$W$2:$W$2501,'Per Line'!$D$2:$D$2501,$B15))</f>
        <v/>
      </c>
      <c r="H15" s="5">
        <f>IF($L15="","",SUMIFS('Per Line'!$X$2:$X$2501,'Per Line'!$D$2:$D$2501,$B15))</f>
        <v/>
      </c>
      <c r="I15" s="5">
        <f>IF($L15="","",SUMIFS('Per Line'!$Y$2:$Y$2501,'Per Line'!$D$2:$D$2501,$B15))</f>
        <v/>
      </c>
      <c r="J15" s="5">
        <f>IF($L15="","",G15-H15)</f>
        <v/>
      </c>
      <c r="K15" s="5">
        <f>IF($L15="","",J15-I15)</f>
        <v/>
      </c>
      <c r="L15">
        <f>IF(ROWS($L$2:$L15)&lt;=MAX('Per Line'!$AD$2:$AD$2501),MATCH(ROWS($L$2:$L15),'Per Line'!$AD$2:$AD$2501,0),"")</f>
        <v/>
      </c>
      <c r="M15">
        <f>IF($L15="","",INDEX('Per Line'!$E$2:$E$2501,$L15))</f>
        <v/>
      </c>
    </row>
    <row r="16">
      <c r="A16">
        <f>IF($L16="","",INDEX('Per Line'!$C$2:$C$2501,$L16))</f>
        <v/>
      </c>
      <c r="B16">
        <f>IF($L16="","",INDEX('Per Line'!$D$2:$D$2501,$L16))</f>
        <v/>
      </c>
      <c r="C16">
        <f>IF($L16="","",INDEX('Per Line'!$A$2:$A$2501,$L16))</f>
        <v/>
      </c>
      <c r="F16">
        <f>IF($L16="","",INDEX('Per Line'!$U$2:$U$2501,$L16))</f>
        <v/>
      </c>
      <c r="G16" s="5">
        <f>IF($L16="","",SUMIFS('Per Line'!$W$2:$W$2501,'Per Line'!$D$2:$D$2501,$B16))</f>
        <v/>
      </c>
      <c r="H16" s="5">
        <f>IF($L16="","",SUMIFS('Per Line'!$X$2:$X$2501,'Per Line'!$D$2:$D$2501,$B16))</f>
        <v/>
      </c>
      <c r="I16" s="5">
        <f>IF($L16="","",SUMIFS('Per Line'!$Y$2:$Y$2501,'Per Line'!$D$2:$D$2501,$B16))</f>
        <v/>
      </c>
      <c r="J16" s="5">
        <f>IF($L16="","",G16-H16)</f>
        <v/>
      </c>
      <c r="K16" s="5">
        <f>IF($L16="","",J16-I16)</f>
        <v/>
      </c>
      <c r="L16">
        <f>IF(ROWS($L$2:$L16)&lt;=MAX('Per Line'!$AD$2:$AD$2501),MATCH(ROWS($L$2:$L16),'Per Line'!$AD$2:$AD$2501,0),"")</f>
        <v/>
      </c>
      <c r="M16">
        <f>IF($L16="","",INDEX('Per Line'!$E$2:$E$2501,$L16))</f>
        <v/>
      </c>
    </row>
    <row r="17">
      <c r="A17">
        <f>IF($L17="","",INDEX('Per Line'!$C$2:$C$2501,$L17))</f>
        <v/>
      </c>
      <c r="B17">
        <f>IF($L17="","",INDEX('Per Line'!$D$2:$D$2501,$L17))</f>
        <v/>
      </c>
      <c r="C17">
        <f>IF($L17="","",INDEX('Per Line'!$A$2:$A$2501,$L17))</f>
        <v/>
      </c>
      <c r="F17">
        <f>IF($L17="","",INDEX('Per Line'!$U$2:$U$2501,$L17))</f>
        <v/>
      </c>
      <c r="G17" s="5">
        <f>IF($L17="","",SUMIFS('Per Line'!$W$2:$W$2501,'Per Line'!$D$2:$D$2501,$B17))</f>
        <v/>
      </c>
      <c r="H17" s="5">
        <f>IF($L17="","",SUMIFS('Per Line'!$X$2:$X$2501,'Per Line'!$D$2:$D$2501,$B17))</f>
        <v/>
      </c>
      <c r="I17" s="5">
        <f>IF($L17="","",SUMIFS('Per Line'!$Y$2:$Y$2501,'Per Line'!$D$2:$D$2501,$B17))</f>
        <v/>
      </c>
      <c r="J17" s="5">
        <f>IF($L17="","",G17-H17)</f>
        <v/>
      </c>
      <c r="K17" s="5">
        <f>IF($L17="","",J17-I17)</f>
        <v/>
      </c>
      <c r="L17">
        <f>IF(ROWS($L$2:$L17)&lt;=MAX('Per Line'!$AD$2:$AD$2501),MATCH(ROWS($L$2:$L17),'Per Line'!$AD$2:$AD$2501,0),"")</f>
        <v/>
      </c>
      <c r="M17">
        <f>IF($L17="","",INDEX('Per Line'!$E$2:$E$2501,$L17))</f>
        <v/>
      </c>
    </row>
    <row r="18">
      <c r="A18">
        <f>IF($L18="","",INDEX('Per Line'!$C$2:$C$2501,$L18))</f>
        <v/>
      </c>
      <c r="B18">
        <f>IF($L18="","",INDEX('Per Line'!$D$2:$D$2501,$L18))</f>
        <v/>
      </c>
      <c r="C18">
        <f>IF($L18="","",INDEX('Per Line'!$A$2:$A$2501,$L18))</f>
        <v/>
      </c>
      <c r="F18">
        <f>IF($L18="","",INDEX('Per Line'!$U$2:$U$2501,$L18))</f>
        <v/>
      </c>
      <c r="G18" s="5">
        <f>IF($L18="","",SUMIFS('Per Line'!$W$2:$W$2501,'Per Line'!$D$2:$D$2501,$B18))</f>
        <v/>
      </c>
      <c r="H18" s="5">
        <f>IF($L18="","",SUMIFS('Per Line'!$X$2:$X$2501,'Per Line'!$D$2:$D$2501,$B18))</f>
        <v/>
      </c>
      <c r="I18" s="5">
        <f>IF($L18="","",SUMIFS('Per Line'!$Y$2:$Y$2501,'Per Line'!$D$2:$D$2501,$B18))</f>
        <v/>
      </c>
      <c r="J18" s="5">
        <f>IF($L18="","",G18-H18)</f>
        <v/>
      </c>
      <c r="K18" s="5">
        <f>IF($L18="","",J18-I18)</f>
        <v/>
      </c>
      <c r="L18">
        <f>IF(ROWS($L$2:$L18)&lt;=MAX('Per Line'!$AD$2:$AD$2501),MATCH(ROWS($L$2:$L18),'Per Line'!$AD$2:$AD$2501,0),"")</f>
        <v/>
      </c>
      <c r="M18">
        <f>IF($L18="","",INDEX('Per Line'!$E$2:$E$2501,$L18))</f>
        <v/>
      </c>
    </row>
    <row r="19">
      <c r="A19">
        <f>IF($L19="","",INDEX('Per Line'!$C$2:$C$2501,$L19))</f>
        <v/>
      </c>
      <c r="B19">
        <f>IF($L19="","",INDEX('Per Line'!$D$2:$D$2501,$L19))</f>
        <v/>
      </c>
      <c r="C19">
        <f>IF($L19="","",INDEX('Per Line'!$A$2:$A$2501,$L19))</f>
        <v/>
      </c>
      <c r="F19">
        <f>IF($L19="","",INDEX('Per Line'!$U$2:$U$2501,$L19))</f>
        <v/>
      </c>
      <c r="G19" s="5">
        <f>IF($L19="","",SUMIFS('Per Line'!$W$2:$W$2501,'Per Line'!$D$2:$D$2501,$B19))</f>
        <v/>
      </c>
      <c r="H19" s="5">
        <f>IF($L19="","",SUMIFS('Per Line'!$X$2:$X$2501,'Per Line'!$D$2:$D$2501,$B19))</f>
        <v/>
      </c>
      <c r="I19" s="5">
        <f>IF($L19="","",SUMIFS('Per Line'!$Y$2:$Y$2501,'Per Line'!$D$2:$D$2501,$B19))</f>
        <v/>
      </c>
      <c r="J19" s="5">
        <f>IF($L19="","",G19-H19)</f>
        <v/>
      </c>
      <c r="K19" s="5">
        <f>IF($L19="","",J19-I19)</f>
        <v/>
      </c>
      <c r="L19">
        <f>IF(ROWS($L$2:$L19)&lt;=MAX('Per Line'!$AD$2:$AD$2501),MATCH(ROWS($L$2:$L19),'Per Line'!$AD$2:$AD$2501,0),"")</f>
        <v/>
      </c>
      <c r="M19">
        <f>IF($L19="","",INDEX('Per Line'!$E$2:$E$2501,$L19))</f>
        <v/>
      </c>
    </row>
    <row r="20">
      <c r="A20">
        <f>IF($L20="","",INDEX('Per Line'!$C$2:$C$2501,$L20))</f>
        <v/>
      </c>
      <c r="B20">
        <f>IF($L20="","",INDEX('Per Line'!$D$2:$D$2501,$L20))</f>
        <v/>
      </c>
      <c r="C20">
        <f>IF($L20="","",INDEX('Per Line'!$A$2:$A$2501,$L20))</f>
        <v/>
      </c>
      <c r="F20">
        <f>IF($L20="","",INDEX('Per Line'!$U$2:$U$2501,$L20))</f>
        <v/>
      </c>
      <c r="G20" s="5">
        <f>IF($L20="","",SUMIFS('Per Line'!$W$2:$W$2501,'Per Line'!$D$2:$D$2501,$B20))</f>
        <v/>
      </c>
      <c r="H20" s="5">
        <f>IF($L20="","",SUMIFS('Per Line'!$X$2:$X$2501,'Per Line'!$D$2:$D$2501,$B20))</f>
        <v/>
      </c>
      <c r="I20" s="5">
        <f>IF($L20="","",SUMIFS('Per Line'!$Y$2:$Y$2501,'Per Line'!$D$2:$D$2501,$B20))</f>
        <v/>
      </c>
      <c r="J20" s="5">
        <f>IF($L20="","",G20-H20)</f>
        <v/>
      </c>
      <c r="K20" s="5">
        <f>IF($L20="","",J20-I20)</f>
        <v/>
      </c>
      <c r="L20">
        <f>IF(ROWS($L$2:$L20)&lt;=MAX('Per Line'!$AD$2:$AD$2501),MATCH(ROWS($L$2:$L20),'Per Line'!$AD$2:$AD$2501,0),"")</f>
        <v/>
      </c>
      <c r="M20">
        <f>IF($L20="","",INDEX('Per Line'!$E$2:$E$2501,$L20))</f>
        <v/>
      </c>
    </row>
    <row r="21">
      <c r="A21">
        <f>IF($L21="","",INDEX('Per Line'!$C$2:$C$2501,$L21))</f>
        <v/>
      </c>
      <c r="B21">
        <f>IF($L21="","",INDEX('Per Line'!$D$2:$D$2501,$L21))</f>
        <v/>
      </c>
      <c r="C21">
        <f>IF($L21="","",INDEX('Per Line'!$A$2:$A$2501,$L21))</f>
        <v/>
      </c>
      <c r="F21">
        <f>IF($L21="","",INDEX('Per Line'!$U$2:$U$2501,$L21))</f>
        <v/>
      </c>
      <c r="G21" s="5">
        <f>IF($L21="","",SUMIFS('Per Line'!$W$2:$W$2501,'Per Line'!$D$2:$D$2501,$B21))</f>
        <v/>
      </c>
      <c r="H21" s="5">
        <f>IF($L21="","",SUMIFS('Per Line'!$X$2:$X$2501,'Per Line'!$D$2:$D$2501,$B21))</f>
        <v/>
      </c>
      <c r="I21" s="5">
        <f>IF($L21="","",SUMIFS('Per Line'!$Y$2:$Y$2501,'Per Line'!$D$2:$D$2501,$B21))</f>
        <v/>
      </c>
      <c r="J21" s="5">
        <f>IF($L21="","",G21-H21)</f>
        <v/>
      </c>
      <c r="K21" s="5">
        <f>IF($L21="","",J21-I21)</f>
        <v/>
      </c>
      <c r="L21">
        <f>IF(ROWS($L$2:$L21)&lt;=MAX('Per Line'!$AD$2:$AD$2501),MATCH(ROWS($L$2:$L21),'Per Line'!$AD$2:$AD$2501,0),"")</f>
        <v/>
      </c>
      <c r="M21">
        <f>IF($L21="","",INDEX('Per Line'!$E$2:$E$2501,$L21))</f>
        <v/>
      </c>
    </row>
    <row r="22">
      <c r="A22">
        <f>IF($L22="","",INDEX('Per Line'!$C$2:$C$2501,$L22))</f>
        <v/>
      </c>
      <c r="B22">
        <f>IF($L22="","",INDEX('Per Line'!$D$2:$D$2501,$L22))</f>
        <v/>
      </c>
      <c r="C22">
        <f>IF($L22="","",INDEX('Per Line'!$A$2:$A$2501,$L22))</f>
        <v/>
      </c>
      <c r="F22">
        <f>IF($L22="","",INDEX('Per Line'!$U$2:$U$2501,$L22))</f>
        <v/>
      </c>
      <c r="G22" s="5">
        <f>IF($L22="","",SUMIFS('Per Line'!$W$2:$W$2501,'Per Line'!$D$2:$D$2501,$B22))</f>
        <v/>
      </c>
      <c r="H22" s="5">
        <f>IF($L22="","",SUMIFS('Per Line'!$X$2:$X$2501,'Per Line'!$D$2:$D$2501,$B22))</f>
        <v/>
      </c>
      <c r="I22" s="5">
        <f>IF($L22="","",SUMIFS('Per Line'!$Y$2:$Y$2501,'Per Line'!$D$2:$D$2501,$B22))</f>
        <v/>
      </c>
      <c r="J22" s="5">
        <f>IF($L22="","",G22-H22)</f>
        <v/>
      </c>
      <c r="K22" s="5">
        <f>IF($L22="","",J22-I22)</f>
        <v/>
      </c>
      <c r="L22">
        <f>IF(ROWS($L$2:$L22)&lt;=MAX('Per Line'!$AD$2:$AD$2501),MATCH(ROWS($L$2:$L22),'Per Line'!$AD$2:$AD$2501,0),"")</f>
        <v/>
      </c>
      <c r="M22">
        <f>IF($L22="","",INDEX('Per Line'!$E$2:$E$2501,$L22))</f>
        <v/>
      </c>
    </row>
    <row r="23">
      <c r="A23">
        <f>IF($L23="","",INDEX('Per Line'!$C$2:$C$2501,$L23))</f>
        <v/>
      </c>
      <c r="B23">
        <f>IF($L23="","",INDEX('Per Line'!$D$2:$D$2501,$L23))</f>
        <v/>
      </c>
      <c r="C23">
        <f>IF($L23="","",INDEX('Per Line'!$A$2:$A$2501,$L23))</f>
        <v/>
      </c>
      <c r="F23">
        <f>IF($L23="","",INDEX('Per Line'!$U$2:$U$2501,$L23))</f>
        <v/>
      </c>
      <c r="G23" s="5">
        <f>IF($L23="","",SUMIFS('Per Line'!$W$2:$W$2501,'Per Line'!$D$2:$D$2501,$B23))</f>
        <v/>
      </c>
      <c r="H23" s="5">
        <f>IF($L23="","",SUMIFS('Per Line'!$X$2:$X$2501,'Per Line'!$D$2:$D$2501,$B23))</f>
        <v/>
      </c>
      <c r="I23" s="5">
        <f>IF($L23="","",SUMIFS('Per Line'!$Y$2:$Y$2501,'Per Line'!$D$2:$D$2501,$B23))</f>
        <v/>
      </c>
      <c r="J23" s="5">
        <f>IF($L23="","",G23-H23)</f>
        <v/>
      </c>
      <c r="K23" s="5">
        <f>IF($L23="","",J23-I23)</f>
        <v/>
      </c>
      <c r="L23">
        <f>IF(ROWS($L$2:$L23)&lt;=MAX('Per Line'!$AD$2:$AD$2501),MATCH(ROWS($L$2:$L23),'Per Line'!$AD$2:$AD$2501,0),"")</f>
        <v/>
      </c>
      <c r="M23">
        <f>IF($L23="","",INDEX('Per Line'!$E$2:$E$2501,$L23))</f>
        <v/>
      </c>
    </row>
    <row r="24">
      <c r="A24">
        <f>IF($L24="","",INDEX('Per Line'!$C$2:$C$2501,$L24))</f>
        <v/>
      </c>
      <c r="B24">
        <f>IF($L24="","",INDEX('Per Line'!$D$2:$D$2501,$L24))</f>
        <v/>
      </c>
      <c r="C24">
        <f>IF($L24="","",INDEX('Per Line'!$A$2:$A$2501,$L24))</f>
        <v/>
      </c>
      <c r="F24">
        <f>IF($L24="","",INDEX('Per Line'!$U$2:$U$2501,$L24))</f>
        <v/>
      </c>
      <c r="G24" s="5">
        <f>IF($L24="","",SUMIFS('Per Line'!$W$2:$W$2501,'Per Line'!$D$2:$D$2501,$B24))</f>
        <v/>
      </c>
      <c r="H24" s="5">
        <f>IF($L24="","",SUMIFS('Per Line'!$X$2:$X$2501,'Per Line'!$D$2:$D$2501,$B24))</f>
        <v/>
      </c>
      <c r="I24" s="5">
        <f>IF($L24="","",SUMIFS('Per Line'!$Y$2:$Y$2501,'Per Line'!$D$2:$D$2501,$B24))</f>
        <v/>
      </c>
      <c r="J24" s="5">
        <f>IF($L24="","",G24-H24)</f>
        <v/>
      </c>
      <c r="K24" s="5">
        <f>IF($L24="","",J24-I24)</f>
        <v/>
      </c>
      <c r="L24">
        <f>IF(ROWS($L$2:$L24)&lt;=MAX('Per Line'!$AD$2:$AD$2501),MATCH(ROWS($L$2:$L24),'Per Line'!$AD$2:$AD$2501,0),"")</f>
        <v/>
      </c>
      <c r="M24">
        <f>IF($L24="","",INDEX('Per Line'!$E$2:$E$2501,$L24))</f>
        <v/>
      </c>
    </row>
    <row r="25">
      <c r="A25">
        <f>IF($L25="","",INDEX('Per Line'!$C$2:$C$2501,$L25))</f>
        <v/>
      </c>
      <c r="B25">
        <f>IF($L25="","",INDEX('Per Line'!$D$2:$D$2501,$L25))</f>
        <v/>
      </c>
      <c r="C25">
        <f>IF($L25="","",INDEX('Per Line'!$A$2:$A$2501,$L25))</f>
        <v/>
      </c>
      <c r="F25">
        <f>IF($L25="","",INDEX('Per Line'!$U$2:$U$2501,$L25))</f>
        <v/>
      </c>
      <c r="G25" s="5">
        <f>IF($L25="","",SUMIFS('Per Line'!$W$2:$W$2501,'Per Line'!$D$2:$D$2501,$B25))</f>
        <v/>
      </c>
      <c r="H25" s="5">
        <f>IF($L25="","",SUMIFS('Per Line'!$X$2:$X$2501,'Per Line'!$D$2:$D$2501,$B25))</f>
        <v/>
      </c>
      <c r="I25" s="5">
        <f>IF($L25="","",SUMIFS('Per Line'!$Y$2:$Y$2501,'Per Line'!$D$2:$D$2501,$B25))</f>
        <v/>
      </c>
      <c r="J25" s="5">
        <f>IF($L25="","",G25-H25)</f>
        <v/>
      </c>
      <c r="K25" s="5">
        <f>IF($L25="","",J25-I25)</f>
        <v/>
      </c>
      <c r="L25">
        <f>IF(ROWS($L$2:$L25)&lt;=MAX('Per Line'!$AD$2:$AD$2501),MATCH(ROWS($L$2:$L25),'Per Line'!$AD$2:$AD$2501,0),"")</f>
        <v/>
      </c>
      <c r="M25">
        <f>IF($L25="","",INDEX('Per Line'!$E$2:$E$2501,$L25))</f>
        <v/>
      </c>
    </row>
    <row r="26">
      <c r="A26">
        <f>IF($L26="","",INDEX('Per Line'!$C$2:$C$2501,$L26))</f>
        <v/>
      </c>
      <c r="B26">
        <f>IF($L26="","",INDEX('Per Line'!$D$2:$D$2501,$L26))</f>
        <v/>
      </c>
      <c r="C26">
        <f>IF($L26="","",INDEX('Per Line'!$A$2:$A$2501,$L26))</f>
        <v/>
      </c>
      <c r="F26">
        <f>IF($L26="","",INDEX('Per Line'!$U$2:$U$2501,$L26))</f>
        <v/>
      </c>
      <c r="G26" s="5">
        <f>IF($L26="","",SUMIFS('Per Line'!$W$2:$W$2501,'Per Line'!$D$2:$D$2501,$B26))</f>
        <v/>
      </c>
      <c r="H26" s="5">
        <f>IF($L26="","",SUMIFS('Per Line'!$X$2:$X$2501,'Per Line'!$D$2:$D$2501,$B26))</f>
        <v/>
      </c>
      <c r="I26" s="5">
        <f>IF($L26="","",SUMIFS('Per Line'!$Y$2:$Y$2501,'Per Line'!$D$2:$D$2501,$B26))</f>
        <v/>
      </c>
      <c r="J26" s="5">
        <f>IF($L26="","",G26-H26)</f>
        <v/>
      </c>
      <c r="K26" s="5">
        <f>IF($L26="","",J26-I26)</f>
        <v/>
      </c>
      <c r="L26">
        <f>IF(ROWS($L$2:$L26)&lt;=MAX('Per Line'!$AD$2:$AD$2501),MATCH(ROWS($L$2:$L26),'Per Line'!$AD$2:$AD$2501,0),"")</f>
        <v/>
      </c>
      <c r="M26">
        <f>IF($L26="","",INDEX('Per Line'!$E$2:$E$2501,$L26))</f>
        <v/>
      </c>
    </row>
    <row r="27">
      <c r="A27">
        <f>IF($L27="","",INDEX('Per Line'!$C$2:$C$2501,$L27))</f>
        <v/>
      </c>
      <c r="B27">
        <f>IF($L27="","",INDEX('Per Line'!$D$2:$D$2501,$L27))</f>
        <v/>
      </c>
      <c r="C27">
        <f>IF($L27="","",INDEX('Per Line'!$A$2:$A$2501,$L27))</f>
        <v/>
      </c>
      <c r="F27">
        <f>IF($L27="","",INDEX('Per Line'!$U$2:$U$2501,$L27))</f>
        <v/>
      </c>
      <c r="G27" s="5">
        <f>IF($L27="","",SUMIFS('Per Line'!$W$2:$W$2501,'Per Line'!$D$2:$D$2501,$B27))</f>
        <v/>
      </c>
      <c r="H27" s="5">
        <f>IF($L27="","",SUMIFS('Per Line'!$X$2:$X$2501,'Per Line'!$D$2:$D$2501,$B27))</f>
        <v/>
      </c>
      <c r="I27" s="5">
        <f>IF($L27="","",SUMIFS('Per Line'!$Y$2:$Y$2501,'Per Line'!$D$2:$D$2501,$B27))</f>
        <v/>
      </c>
      <c r="J27" s="5">
        <f>IF($L27="","",G27-H27)</f>
        <v/>
      </c>
      <c r="K27" s="5">
        <f>IF($L27="","",J27-I27)</f>
        <v/>
      </c>
      <c r="L27">
        <f>IF(ROWS($L$2:$L27)&lt;=MAX('Per Line'!$AD$2:$AD$2501),MATCH(ROWS($L$2:$L27),'Per Line'!$AD$2:$AD$2501,0),"")</f>
        <v/>
      </c>
      <c r="M27">
        <f>IF($L27="","",INDEX('Per Line'!$E$2:$E$2501,$L27))</f>
        <v/>
      </c>
    </row>
    <row r="28">
      <c r="A28">
        <f>IF($L28="","",INDEX('Per Line'!$C$2:$C$2501,$L28))</f>
        <v/>
      </c>
      <c r="B28">
        <f>IF($L28="","",INDEX('Per Line'!$D$2:$D$2501,$L28))</f>
        <v/>
      </c>
      <c r="C28">
        <f>IF($L28="","",INDEX('Per Line'!$A$2:$A$2501,$L28))</f>
        <v/>
      </c>
      <c r="F28">
        <f>IF($L28="","",INDEX('Per Line'!$U$2:$U$2501,$L28))</f>
        <v/>
      </c>
      <c r="G28" s="5">
        <f>IF($L28="","",SUMIFS('Per Line'!$W$2:$W$2501,'Per Line'!$D$2:$D$2501,$B28))</f>
        <v/>
      </c>
      <c r="H28" s="5">
        <f>IF($L28="","",SUMIFS('Per Line'!$X$2:$X$2501,'Per Line'!$D$2:$D$2501,$B28))</f>
        <v/>
      </c>
      <c r="I28" s="5">
        <f>IF($L28="","",SUMIFS('Per Line'!$Y$2:$Y$2501,'Per Line'!$D$2:$D$2501,$B28))</f>
        <v/>
      </c>
      <c r="J28" s="5">
        <f>IF($L28="","",G28-H28)</f>
        <v/>
      </c>
      <c r="K28" s="5">
        <f>IF($L28="","",J28-I28)</f>
        <v/>
      </c>
      <c r="L28">
        <f>IF(ROWS($L$2:$L28)&lt;=MAX('Per Line'!$AD$2:$AD$2501),MATCH(ROWS($L$2:$L28),'Per Line'!$AD$2:$AD$2501,0),"")</f>
        <v/>
      </c>
      <c r="M28">
        <f>IF($L28="","",INDEX('Per Line'!$E$2:$E$2501,$L28))</f>
        <v/>
      </c>
    </row>
    <row r="29">
      <c r="A29">
        <f>IF($L29="","",INDEX('Per Line'!$C$2:$C$2501,$L29))</f>
        <v/>
      </c>
      <c r="B29">
        <f>IF($L29="","",INDEX('Per Line'!$D$2:$D$2501,$L29))</f>
        <v/>
      </c>
      <c r="C29">
        <f>IF($L29="","",INDEX('Per Line'!$A$2:$A$2501,$L29))</f>
        <v/>
      </c>
      <c r="F29">
        <f>IF($L29="","",INDEX('Per Line'!$U$2:$U$2501,$L29))</f>
        <v/>
      </c>
      <c r="G29" s="5">
        <f>IF($L29="","",SUMIFS('Per Line'!$W$2:$W$2501,'Per Line'!$D$2:$D$2501,$B29))</f>
        <v/>
      </c>
      <c r="H29" s="5">
        <f>IF($L29="","",SUMIFS('Per Line'!$X$2:$X$2501,'Per Line'!$D$2:$D$2501,$B29))</f>
        <v/>
      </c>
      <c r="I29" s="5">
        <f>IF($L29="","",SUMIFS('Per Line'!$Y$2:$Y$2501,'Per Line'!$D$2:$D$2501,$B29))</f>
        <v/>
      </c>
      <c r="J29" s="5">
        <f>IF($L29="","",G29-H29)</f>
        <v/>
      </c>
      <c r="K29" s="5">
        <f>IF($L29="","",J29-I29)</f>
        <v/>
      </c>
      <c r="L29">
        <f>IF(ROWS($L$2:$L29)&lt;=MAX('Per Line'!$AD$2:$AD$2501),MATCH(ROWS($L$2:$L29),'Per Line'!$AD$2:$AD$2501,0),"")</f>
        <v/>
      </c>
      <c r="M29">
        <f>IF($L29="","",INDEX('Per Line'!$E$2:$E$2501,$L29))</f>
        <v/>
      </c>
    </row>
    <row r="30">
      <c r="A30">
        <f>IF($L30="","",INDEX('Per Line'!$C$2:$C$2501,$L30))</f>
        <v/>
      </c>
      <c r="B30">
        <f>IF($L30="","",INDEX('Per Line'!$D$2:$D$2501,$L30))</f>
        <v/>
      </c>
      <c r="C30">
        <f>IF($L30="","",INDEX('Per Line'!$A$2:$A$2501,$L30))</f>
        <v/>
      </c>
      <c r="F30">
        <f>IF($L30="","",INDEX('Per Line'!$U$2:$U$2501,$L30))</f>
        <v/>
      </c>
      <c r="G30" s="5">
        <f>IF($L30="","",SUMIFS('Per Line'!$W$2:$W$2501,'Per Line'!$D$2:$D$2501,$B30))</f>
        <v/>
      </c>
      <c r="H30" s="5">
        <f>IF($L30="","",SUMIFS('Per Line'!$X$2:$X$2501,'Per Line'!$D$2:$D$2501,$B30))</f>
        <v/>
      </c>
      <c r="I30" s="5">
        <f>IF($L30="","",SUMIFS('Per Line'!$Y$2:$Y$2501,'Per Line'!$D$2:$D$2501,$B30))</f>
        <v/>
      </c>
      <c r="J30" s="5">
        <f>IF($L30="","",G30-H30)</f>
        <v/>
      </c>
      <c r="K30" s="5">
        <f>IF($L30="","",J30-I30)</f>
        <v/>
      </c>
      <c r="L30">
        <f>IF(ROWS($L$2:$L30)&lt;=MAX('Per Line'!$AD$2:$AD$2501),MATCH(ROWS($L$2:$L30),'Per Line'!$AD$2:$AD$2501,0),"")</f>
        <v/>
      </c>
      <c r="M30">
        <f>IF($L30="","",INDEX('Per Line'!$E$2:$E$2501,$L30))</f>
        <v/>
      </c>
    </row>
    <row r="31">
      <c r="A31">
        <f>IF($L31="","",INDEX('Per Line'!$C$2:$C$2501,$L31))</f>
        <v/>
      </c>
      <c r="B31">
        <f>IF($L31="","",INDEX('Per Line'!$D$2:$D$2501,$L31))</f>
        <v/>
      </c>
      <c r="C31">
        <f>IF($L31="","",INDEX('Per Line'!$A$2:$A$2501,$L31))</f>
        <v/>
      </c>
      <c r="F31">
        <f>IF($L31="","",INDEX('Per Line'!$U$2:$U$2501,$L31))</f>
        <v/>
      </c>
      <c r="G31" s="5">
        <f>IF($L31="","",SUMIFS('Per Line'!$W$2:$W$2501,'Per Line'!$D$2:$D$2501,$B31))</f>
        <v/>
      </c>
      <c r="H31" s="5">
        <f>IF($L31="","",SUMIFS('Per Line'!$X$2:$X$2501,'Per Line'!$D$2:$D$2501,$B31))</f>
        <v/>
      </c>
      <c r="I31" s="5">
        <f>IF($L31="","",SUMIFS('Per Line'!$Y$2:$Y$2501,'Per Line'!$D$2:$D$2501,$B31))</f>
        <v/>
      </c>
      <c r="J31" s="5">
        <f>IF($L31="","",G31-H31)</f>
        <v/>
      </c>
      <c r="K31" s="5">
        <f>IF($L31="","",J31-I31)</f>
        <v/>
      </c>
      <c r="L31">
        <f>IF(ROWS($L$2:$L31)&lt;=MAX('Per Line'!$AD$2:$AD$2501),MATCH(ROWS($L$2:$L31),'Per Line'!$AD$2:$AD$2501,0),"")</f>
        <v/>
      </c>
      <c r="M31">
        <f>IF($L31="","",INDEX('Per Line'!$E$2:$E$2501,$L31))</f>
        <v/>
      </c>
    </row>
    <row r="32">
      <c r="A32">
        <f>IF($L32="","",INDEX('Per Line'!$C$2:$C$2501,$L32))</f>
        <v/>
      </c>
      <c r="B32">
        <f>IF($L32="","",INDEX('Per Line'!$D$2:$D$2501,$L32))</f>
        <v/>
      </c>
      <c r="C32">
        <f>IF($L32="","",INDEX('Per Line'!$A$2:$A$2501,$L32))</f>
        <v/>
      </c>
      <c r="F32">
        <f>IF($L32="","",INDEX('Per Line'!$U$2:$U$2501,$L32))</f>
        <v/>
      </c>
      <c r="G32" s="5">
        <f>IF($L32="","",SUMIFS('Per Line'!$W$2:$W$2501,'Per Line'!$D$2:$D$2501,$B32))</f>
        <v/>
      </c>
      <c r="H32" s="5">
        <f>IF($L32="","",SUMIFS('Per Line'!$X$2:$X$2501,'Per Line'!$D$2:$D$2501,$B32))</f>
        <v/>
      </c>
      <c r="I32" s="5">
        <f>IF($L32="","",SUMIFS('Per Line'!$Y$2:$Y$2501,'Per Line'!$D$2:$D$2501,$B32))</f>
        <v/>
      </c>
      <c r="J32" s="5">
        <f>IF($L32="","",G32-H32)</f>
        <v/>
      </c>
      <c r="K32" s="5">
        <f>IF($L32="","",J32-I32)</f>
        <v/>
      </c>
      <c r="L32">
        <f>IF(ROWS($L$2:$L32)&lt;=MAX('Per Line'!$AD$2:$AD$2501),MATCH(ROWS($L$2:$L32),'Per Line'!$AD$2:$AD$2501,0),"")</f>
        <v/>
      </c>
      <c r="M32">
        <f>IF($L32="","",INDEX('Per Line'!$E$2:$E$2501,$L32))</f>
        <v/>
      </c>
    </row>
    <row r="33">
      <c r="A33">
        <f>IF($L33="","",INDEX('Per Line'!$C$2:$C$2501,$L33))</f>
        <v/>
      </c>
      <c r="B33">
        <f>IF($L33="","",INDEX('Per Line'!$D$2:$D$2501,$L33))</f>
        <v/>
      </c>
      <c r="C33">
        <f>IF($L33="","",INDEX('Per Line'!$A$2:$A$2501,$L33))</f>
        <v/>
      </c>
      <c r="F33">
        <f>IF($L33="","",INDEX('Per Line'!$U$2:$U$2501,$L33))</f>
        <v/>
      </c>
      <c r="G33" s="5">
        <f>IF($L33="","",SUMIFS('Per Line'!$W$2:$W$2501,'Per Line'!$D$2:$D$2501,$B33))</f>
        <v/>
      </c>
      <c r="H33" s="5">
        <f>IF($L33="","",SUMIFS('Per Line'!$X$2:$X$2501,'Per Line'!$D$2:$D$2501,$B33))</f>
        <v/>
      </c>
      <c r="I33" s="5">
        <f>IF($L33="","",SUMIFS('Per Line'!$Y$2:$Y$2501,'Per Line'!$D$2:$D$2501,$B33))</f>
        <v/>
      </c>
      <c r="J33" s="5">
        <f>IF($L33="","",G33-H33)</f>
        <v/>
      </c>
      <c r="K33" s="5">
        <f>IF($L33="","",J33-I33)</f>
        <v/>
      </c>
      <c r="L33">
        <f>IF(ROWS($L$2:$L33)&lt;=MAX('Per Line'!$AD$2:$AD$2501),MATCH(ROWS($L$2:$L33),'Per Line'!$AD$2:$AD$2501,0),"")</f>
        <v/>
      </c>
      <c r="M33">
        <f>IF($L33="","",INDEX('Per Line'!$E$2:$E$2501,$L33))</f>
        <v/>
      </c>
    </row>
    <row r="34">
      <c r="A34">
        <f>IF($L34="","",INDEX('Per Line'!$C$2:$C$2501,$L34))</f>
        <v/>
      </c>
      <c r="B34">
        <f>IF($L34="","",INDEX('Per Line'!$D$2:$D$2501,$L34))</f>
        <v/>
      </c>
      <c r="C34">
        <f>IF($L34="","",INDEX('Per Line'!$A$2:$A$2501,$L34))</f>
        <v/>
      </c>
      <c r="F34">
        <f>IF($L34="","",INDEX('Per Line'!$U$2:$U$2501,$L34))</f>
        <v/>
      </c>
      <c r="G34" s="5">
        <f>IF($L34="","",SUMIFS('Per Line'!$W$2:$W$2501,'Per Line'!$D$2:$D$2501,$B34))</f>
        <v/>
      </c>
      <c r="H34" s="5">
        <f>IF($L34="","",SUMIFS('Per Line'!$X$2:$X$2501,'Per Line'!$D$2:$D$2501,$B34))</f>
        <v/>
      </c>
      <c r="I34" s="5">
        <f>IF($L34="","",SUMIFS('Per Line'!$Y$2:$Y$2501,'Per Line'!$D$2:$D$2501,$B34))</f>
        <v/>
      </c>
      <c r="J34" s="5">
        <f>IF($L34="","",G34-H34)</f>
        <v/>
      </c>
      <c r="K34" s="5">
        <f>IF($L34="","",J34-I34)</f>
        <v/>
      </c>
      <c r="L34">
        <f>IF(ROWS($L$2:$L34)&lt;=MAX('Per Line'!$AD$2:$AD$2501),MATCH(ROWS($L$2:$L34),'Per Line'!$AD$2:$AD$2501,0),"")</f>
        <v/>
      </c>
      <c r="M34">
        <f>IF($L34="","",INDEX('Per Line'!$E$2:$E$2501,$L34))</f>
        <v/>
      </c>
    </row>
    <row r="35">
      <c r="A35">
        <f>IF($L35="","",INDEX('Per Line'!$C$2:$C$2501,$L35))</f>
        <v/>
      </c>
      <c r="B35">
        <f>IF($L35="","",INDEX('Per Line'!$D$2:$D$2501,$L35))</f>
        <v/>
      </c>
      <c r="C35">
        <f>IF($L35="","",INDEX('Per Line'!$A$2:$A$2501,$L35))</f>
        <v/>
      </c>
      <c r="F35">
        <f>IF($L35="","",INDEX('Per Line'!$U$2:$U$2501,$L35))</f>
        <v/>
      </c>
      <c r="G35" s="5">
        <f>IF($L35="","",SUMIFS('Per Line'!$W$2:$W$2501,'Per Line'!$D$2:$D$2501,$B35))</f>
        <v/>
      </c>
      <c r="H35" s="5">
        <f>IF($L35="","",SUMIFS('Per Line'!$X$2:$X$2501,'Per Line'!$D$2:$D$2501,$B35))</f>
        <v/>
      </c>
      <c r="I35" s="5">
        <f>IF($L35="","",SUMIFS('Per Line'!$Y$2:$Y$2501,'Per Line'!$D$2:$D$2501,$B35))</f>
        <v/>
      </c>
      <c r="J35" s="5">
        <f>IF($L35="","",G35-H35)</f>
        <v/>
      </c>
      <c r="K35" s="5">
        <f>IF($L35="","",J35-I35)</f>
        <v/>
      </c>
      <c r="L35">
        <f>IF(ROWS($L$2:$L35)&lt;=MAX('Per Line'!$AD$2:$AD$2501),MATCH(ROWS($L$2:$L35),'Per Line'!$AD$2:$AD$2501,0),"")</f>
        <v/>
      </c>
      <c r="M35">
        <f>IF($L35="","",INDEX('Per Line'!$E$2:$E$2501,$L35))</f>
        <v/>
      </c>
    </row>
    <row r="36">
      <c r="A36">
        <f>IF($L36="","",INDEX('Per Line'!$C$2:$C$2501,$L36))</f>
        <v/>
      </c>
      <c r="B36">
        <f>IF($L36="","",INDEX('Per Line'!$D$2:$D$2501,$L36))</f>
        <v/>
      </c>
      <c r="C36">
        <f>IF($L36="","",INDEX('Per Line'!$A$2:$A$2501,$L36))</f>
        <v/>
      </c>
      <c r="F36">
        <f>IF($L36="","",INDEX('Per Line'!$U$2:$U$2501,$L36))</f>
        <v/>
      </c>
      <c r="G36" s="5">
        <f>IF($L36="","",SUMIFS('Per Line'!$W$2:$W$2501,'Per Line'!$D$2:$D$2501,$B36))</f>
        <v/>
      </c>
      <c r="H36" s="5">
        <f>IF($L36="","",SUMIFS('Per Line'!$X$2:$X$2501,'Per Line'!$D$2:$D$2501,$B36))</f>
        <v/>
      </c>
      <c r="I36" s="5">
        <f>IF($L36="","",SUMIFS('Per Line'!$Y$2:$Y$2501,'Per Line'!$D$2:$D$2501,$B36))</f>
        <v/>
      </c>
      <c r="J36" s="5">
        <f>IF($L36="","",G36-H36)</f>
        <v/>
      </c>
      <c r="K36" s="5">
        <f>IF($L36="","",J36-I36)</f>
        <v/>
      </c>
      <c r="L36">
        <f>IF(ROWS($L$2:$L36)&lt;=MAX('Per Line'!$AD$2:$AD$2501),MATCH(ROWS($L$2:$L36),'Per Line'!$AD$2:$AD$2501,0),"")</f>
        <v/>
      </c>
      <c r="M36">
        <f>IF($L36="","",INDEX('Per Line'!$E$2:$E$2501,$L36))</f>
        <v/>
      </c>
    </row>
    <row r="37">
      <c r="A37">
        <f>IF($L37="","",INDEX('Per Line'!$C$2:$C$2501,$L37))</f>
        <v/>
      </c>
      <c r="B37">
        <f>IF($L37="","",INDEX('Per Line'!$D$2:$D$2501,$L37))</f>
        <v/>
      </c>
      <c r="C37">
        <f>IF($L37="","",INDEX('Per Line'!$A$2:$A$2501,$L37))</f>
        <v/>
      </c>
      <c r="F37">
        <f>IF($L37="","",INDEX('Per Line'!$U$2:$U$2501,$L37))</f>
        <v/>
      </c>
      <c r="G37" s="5">
        <f>IF($L37="","",SUMIFS('Per Line'!$W$2:$W$2501,'Per Line'!$D$2:$D$2501,$B37))</f>
        <v/>
      </c>
      <c r="H37" s="5">
        <f>IF($L37="","",SUMIFS('Per Line'!$X$2:$X$2501,'Per Line'!$D$2:$D$2501,$B37))</f>
        <v/>
      </c>
      <c r="I37" s="5">
        <f>IF($L37="","",SUMIFS('Per Line'!$Y$2:$Y$2501,'Per Line'!$D$2:$D$2501,$B37))</f>
        <v/>
      </c>
      <c r="J37" s="5">
        <f>IF($L37="","",G37-H37)</f>
        <v/>
      </c>
      <c r="K37" s="5">
        <f>IF($L37="","",J37-I37)</f>
        <v/>
      </c>
      <c r="L37">
        <f>IF(ROWS($L$2:$L37)&lt;=MAX('Per Line'!$AD$2:$AD$2501),MATCH(ROWS($L$2:$L37),'Per Line'!$AD$2:$AD$2501,0),"")</f>
        <v/>
      </c>
      <c r="M37">
        <f>IF($L37="","",INDEX('Per Line'!$E$2:$E$2501,$L37))</f>
        <v/>
      </c>
    </row>
    <row r="38">
      <c r="A38">
        <f>IF($L38="","",INDEX('Per Line'!$C$2:$C$2501,$L38))</f>
        <v/>
      </c>
      <c r="B38">
        <f>IF($L38="","",INDEX('Per Line'!$D$2:$D$2501,$L38))</f>
        <v/>
      </c>
      <c r="C38">
        <f>IF($L38="","",INDEX('Per Line'!$A$2:$A$2501,$L38))</f>
        <v/>
      </c>
      <c r="F38">
        <f>IF($L38="","",INDEX('Per Line'!$U$2:$U$2501,$L38))</f>
        <v/>
      </c>
      <c r="G38" s="5">
        <f>IF($L38="","",SUMIFS('Per Line'!$W$2:$W$2501,'Per Line'!$D$2:$D$2501,$B38))</f>
        <v/>
      </c>
      <c r="H38" s="5">
        <f>IF($L38="","",SUMIFS('Per Line'!$X$2:$X$2501,'Per Line'!$D$2:$D$2501,$B38))</f>
        <v/>
      </c>
      <c r="I38" s="5">
        <f>IF($L38="","",SUMIFS('Per Line'!$Y$2:$Y$2501,'Per Line'!$D$2:$D$2501,$B38))</f>
        <v/>
      </c>
      <c r="J38" s="5">
        <f>IF($L38="","",G38-H38)</f>
        <v/>
      </c>
      <c r="K38" s="5">
        <f>IF($L38="","",J38-I38)</f>
        <v/>
      </c>
      <c r="L38">
        <f>IF(ROWS($L$2:$L38)&lt;=MAX('Per Line'!$AD$2:$AD$2501),MATCH(ROWS($L$2:$L38),'Per Line'!$AD$2:$AD$2501,0),"")</f>
        <v/>
      </c>
      <c r="M38">
        <f>IF($L38="","",INDEX('Per Line'!$E$2:$E$2501,$L38))</f>
        <v/>
      </c>
    </row>
    <row r="39">
      <c r="A39">
        <f>IF($L39="","",INDEX('Per Line'!$C$2:$C$2501,$L39))</f>
        <v/>
      </c>
      <c r="B39">
        <f>IF($L39="","",INDEX('Per Line'!$D$2:$D$2501,$L39))</f>
        <v/>
      </c>
      <c r="C39">
        <f>IF($L39="","",INDEX('Per Line'!$A$2:$A$2501,$L39))</f>
        <v/>
      </c>
      <c r="F39">
        <f>IF($L39="","",INDEX('Per Line'!$U$2:$U$2501,$L39))</f>
        <v/>
      </c>
      <c r="G39" s="5">
        <f>IF($L39="","",SUMIFS('Per Line'!$W$2:$W$2501,'Per Line'!$D$2:$D$2501,$B39))</f>
        <v/>
      </c>
      <c r="H39" s="5">
        <f>IF($L39="","",SUMIFS('Per Line'!$X$2:$X$2501,'Per Line'!$D$2:$D$2501,$B39))</f>
        <v/>
      </c>
      <c r="I39" s="5">
        <f>IF($L39="","",SUMIFS('Per Line'!$Y$2:$Y$2501,'Per Line'!$D$2:$D$2501,$B39))</f>
        <v/>
      </c>
      <c r="J39" s="5">
        <f>IF($L39="","",G39-H39)</f>
        <v/>
      </c>
      <c r="K39" s="5">
        <f>IF($L39="","",J39-I39)</f>
        <v/>
      </c>
      <c r="L39">
        <f>IF(ROWS($L$2:$L39)&lt;=MAX('Per Line'!$AD$2:$AD$2501),MATCH(ROWS($L$2:$L39),'Per Line'!$AD$2:$AD$2501,0),"")</f>
        <v/>
      </c>
      <c r="M39">
        <f>IF($L39="","",INDEX('Per Line'!$E$2:$E$2501,$L39))</f>
        <v/>
      </c>
    </row>
    <row r="40">
      <c r="A40">
        <f>IF($L40="","",INDEX('Per Line'!$C$2:$C$2501,$L40))</f>
        <v/>
      </c>
      <c r="B40">
        <f>IF($L40="","",INDEX('Per Line'!$D$2:$D$2501,$L40))</f>
        <v/>
      </c>
      <c r="C40">
        <f>IF($L40="","",INDEX('Per Line'!$A$2:$A$2501,$L40))</f>
        <v/>
      </c>
      <c r="F40">
        <f>IF($L40="","",INDEX('Per Line'!$U$2:$U$2501,$L40))</f>
        <v/>
      </c>
      <c r="G40" s="5">
        <f>IF($L40="","",SUMIFS('Per Line'!$W$2:$W$2501,'Per Line'!$D$2:$D$2501,$B40))</f>
        <v/>
      </c>
      <c r="H40" s="5">
        <f>IF($L40="","",SUMIFS('Per Line'!$X$2:$X$2501,'Per Line'!$D$2:$D$2501,$B40))</f>
        <v/>
      </c>
      <c r="I40" s="5">
        <f>IF($L40="","",SUMIFS('Per Line'!$Y$2:$Y$2501,'Per Line'!$D$2:$D$2501,$B40))</f>
        <v/>
      </c>
      <c r="J40" s="5">
        <f>IF($L40="","",G40-H40)</f>
        <v/>
      </c>
      <c r="K40" s="5">
        <f>IF($L40="","",J40-I40)</f>
        <v/>
      </c>
      <c r="L40">
        <f>IF(ROWS($L$2:$L40)&lt;=MAX('Per Line'!$AD$2:$AD$2501),MATCH(ROWS($L$2:$L40),'Per Line'!$AD$2:$AD$2501,0),"")</f>
        <v/>
      </c>
      <c r="M40">
        <f>IF($L40="","",INDEX('Per Line'!$E$2:$E$2501,$L40))</f>
        <v/>
      </c>
    </row>
    <row r="41">
      <c r="A41">
        <f>IF($L41="","",INDEX('Per Line'!$C$2:$C$2501,$L41))</f>
        <v/>
      </c>
      <c r="B41">
        <f>IF($L41="","",INDEX('Per Line'!$D$2:$D$2501,$L41))</f>
        <v/>
      </c>
      <c r="C41">
        <f>IF($L41="","",INDEX('Per Line'!$A$2:$A$2501,$L41))</f>
        <v/>
      </c>
      <c r="F41">
        <f>IF($L41="","",INDEX('Per Line'!$U$2:$U$2501,$L41))</f>
        <v/>
      </c>
      <c r="G41" s="5">
        <f>IF($L41="","",SUMIFS('Per Line'!$W$2:$W$2501,'Per Line'!$D$2:$D$2501,$B41))</f>
        <v/>
      </c>
      <c r="H41" s="5">
        <f>IF($L41="","",SUMIFS('Per Line'!$X$2:$X$2501,'Per Line'!$D$2:$D$2501,$B41))</f>
        <v/>
      </c>
      <c r="I41" s="5">
        <f>IF($L41="","",SUMIFS('Per Line'!$Y$2:$Y$2501,'Per Line'!$D$2:$D$2501,$B41))</f>
        <v/>
      </c>
      <c r="J41" s="5">
        <f>IF($L41="","",G41-H41)</f>
        <v/>
      </c>
      <c r="K41" s="5">
        <f>IF($L41="","",J41-I41)</f>
        <v/>
      </c>
      <c r="L41">
        <f>IF(ROWS($L$2:$L41)&lt;=MAX('Per Line'!$AD$2:$AD$2501),MATCH(ROWS($L$2:$L41),'Per Line'!$AD$2:$AD$2501,0),"")</f>
        <v/>
      </c>
      <c r="M41">
        <f>IF($L41="","",INDEX('Per Line'!$E$2:$E$2501,$L41))</f>
        <v/>
      </c>
    </row>
    <row r="42">
      <c r="A42">
        <f>IF($L42="","",INDEX('Per Line'!$C$2:$C$2501,$L42))</f>
        <v/>
      </c>
      <c r="B42">
        <f>IF($L42="","",INDEX('Per Line'!$D$2:$D$2501,$L42))</f>
        <v/>
      </c>
      <c r="C42">
        <f>IF($L42="","",INDEX('Per Line'!$A$2:$A$2501,$L42))</f>
        <v/>
      </c>
      <c r="F42">
        <f>IF($L42="","",INDEX('Per Line'!$U$2:$U$2501,$L42))</f>
        <v/>
      </c>
      <c r="G42" s="5">
        <f>IF($L42="","",SUMIFS('Per Line'!$W$2:$W$2501,'Per Line'!$D$2:$D$2501,$B42))</f>
        <v/>
      </c>
      <c r="H42" s="5">
        <f>IF($L42="","",SUMIFS('Per Line'!$X$2:$X$2501,'Per Line'!$D$2:$D$2501,$B42))</f>
        <v/>
      </c>
      <c r="I42" s="5">
        <f>IF($L42="","",SUMIFS('Per Line'!$Y$2:$Y$2501,'Per Line'!$D$2:$D$2501,$B42))</f>
        <v/>
      </c>
      <c r="J42" s="5">
        <f>IF($L42="","",G42-H42)</f>
        <v/>
      </c>
      <c r="K42" s="5">
        <f>IF($L42="","",J42-I42)</f>
        <v/>
      </c>
      <c r="L42">
        <f>IF(ROWS($L$2:$L42)&lt;=MAX('Per Line'!$AD$2:$AD$2501),MATCH(ROWS($L$2:$L42),'Per Line'!$AD$2:$AD$2501,0),"")</f>
        <v/>
      </c>
      <c r="M42">
        <f>IF($L42="","",INDEX('Per Line'!$E$2:$E$2501,$L42))</f>
        <v/>
      </c>
    </row>
    <row r="43">
      <c r="A43">
        <f>IF($L43="","",INDEX('Per Line'!$C$2:$C$2501,$L43))</f>
        <v/>
      </c>
      <c r="B43">
        <f>IF($L43="","",INDEX('Per Line'!$D$2:$D$2501,$L43))</f>
        <v/>
      </c>
      <c r="C43">
        <f>IF($L43="","",INDEX('Per Line'!$A$2:$A$2501,$L43))</f>
        <v/>
      </c>
      <c r="F43">
        <f>IF($L43="","",INDEX('Per Line'!$U$2:$U$2501,$L43))</f>
        <v/>
      </c>
      <c r="G43" s="5">
        <f>IF($L43="","",SUMIFS('Per Line'!$W$2:$W$2501,'Per Line'!$D$2:$D$2501,$B43))</f>
        <v/>
      </c>
      <c r="H43" s="5">
        <f>IF($L43="","",SUMIFS('Per Line'!$X$2:$X$2501,'Per Line'!$D$2:$D$2501,$B43))</f>
        <v/>
      </c>
      <c r="I43" s="5">
        <f>IF($L43="","",SUMIFS('Per Line'!$Y$2:$Y$2501,'Per Line'!$D$2:$D$2501,$B43))</f>
        <v/>
      </c>
      <c r="J43" s="5">
        <f>IF($L43="","",G43-H43)</f>
        <v/>
      </c>
      <c r="K43" s="5">
        <f>IF($L43="","",J43-I43)</f>
        <v/>
      </c>
      <c r="L43">
        <f>IF(ROWS($L$2:$L43)&lt;=MAX('Per Line'!$AD$2:$AD$2501),MATCH(ROWS($L$2:$L43),'Per Line'!$AD$2:$AD$2501,0),"")</f>
        <v/>
      </c>
      <c r="M43">
        <f>IF($L43="","",INDEX('Per Line'!$E$2:$E$2501,$L43))</f>
        <v/>
      </c>
    </row>
    <row r="44">
      <c r="A44">
        <f>IF($L44="","",INDEX('Per Line'!$C$2:$C$2501,$L44))</f>
        <v/>
      </c>
      <c r="B44">
        <f>IF($L44="","",INDEX('Per Line'!$D$2:$D$2501,$L44))</f>
        <v/>
      </c>
      <c r="C44">
        <f>IF($L44="","",INDEX('Per Line'!$A$2:$A$2501,$L44))</f>
        <v/>
      </c>
      <c r="F44">
        <f>IF($L44="","",INDEX('Per Line'!$U$2:$U$2501,$L44))</f>
        <v/>
      </c>
      <c r="G44" s="5">
        <f>IF($L44="","",SUMIFS('Per Line'!$W$2:$W$2501,'Per Line'!$D$2:$D$2501,$B44))</f>
        <v/>
      </c>
      <c r="H44" s="5">
        <f>IF($L44="","",SUMIFS('Per Line'!$X$2:$X$2501,'Per Line'!$D$2:$D$2501,$B44))</f>
        <v/>
      </c>
      <c r="I44" s="5">
        <f>IF($L44="","",SUMIFS('Per Line'!$Y$2:$Y$2501,'Per Line'!$D$2:$D$2501,$B44))</f>
        <v/>
      </c>
      <c r="J44" s="5">
        <f>IF($L44="","",G44-H44)</f>
        <v/>
      </c>
      <c r="K44" s="5">
        <f>IF($L44="","",J44-I44)</f>
        <v/>
      </c>
      <c r="L44">
        <f>IF(ROWS($L$2:$L44)&lt;=MAX('Per Line'!$AD$2:$AD$2501),MATCH(ROWS($L$2:$L44),'Per Line'!$AD$2:$AD$2501,0),"")</f>
        <v/>
      </c>
      <c r="M44">
        <f>IF($L44="","",INDEX('Per Line'!$E$2:$E$2501,$L44))</f>
        <v/>
      </c>
    </row>
    <row r="45">
      <c r="A45">
        <f>IF($L45="","",INDEX('Per Line'!$C$2:$C$2501,$L45))</f>
        <v/>
      </c>
      <c r="B45">
        <f>IF($L45="","",INDEX('Per Line'!$D$2:$D$2501,$L45))</f>
        <v/>
      </c>
      <c r="C45">
        <f>IF($L45="","",INDEX('Per Line'!$A$2:$A$2501,$L45))</f>
        <v/>
      </c>
      <c r="F45">
        <f>IF($L45="","",INDEX('Per Line'!$U$2:$U$2501,$L45))</f>
        <v/>
      </c>
      <c r="G45" s="5">
        <f>IF($L45="","",SUMIFS('Per Line'!$W$2:$W$2501,'Per Line'!$D$2:$D$2501,$B45))</f>
        <v/>
      </c>
      <c r="H45" s="5">
        <f>IF($L45="","",SUMIFS('Per Line'!$X$2:$X$2501,'Per Line'!$D$2:$D$2501,$B45))</f>
        <v/>
      </c>
      <c r="I45" s="5">
        <f>IF($L45="","",SUMIFS('Per Line'!$Y$2:$Y$2501,'Per Line'!$D$2:$D$2501,$B45))</f>
        <v/>
      </c>
      <c r="J45" s="5">
        <f>IF($L45="","",G45-H45)</f>
        <v/>
      </c>
      <c r="K45" s="5">
        <f>IF($L45="","",J45-I45)</f>
        <v/>
      </c>
      <c r="L45">
        <f>IF(ROWS($L$2:$L45)&lt;=MAX('Per Line'!$AD$2:$AD$2501),MATCH(ROWS($L$2:$L45),'Per Line'!$AD$2:$AD$2501,0),"")</f>
        <v/>
      </c>
      <c r="M45">
        <f>IF($L45="","",INDEX('Per Line'!$E$2:$E$2501,$L45))</f>
        <v/>
      </c>
    </row>
    <row r="46">
      <c r="A46">
        <f>IF($L46="","",INDEX('Per Line'!$C$2:$C$2501,$L46))</f>
        <v/>
      </c>
      <c r="B46">
        <f>IF($L46="","",INDEX('Per Line'!$D$2:$D$2501,$L46))</f>
        <v/>
      </c>
      <c r="C46">
        <f>IF($L46="","",INDEX('Per Line'!$A$2:$A$2501,$L46))</f>
        <v/>
      </c>
      <c r="F46">
        <f>IF($L46="","",INDEX('Per Line'!$U$2:$U$2501,$L46))</f>
        <v/>
      </c>
      <c r="G46" s="5">
        <f>IF($L46="","",SUMIFS('Per Line'!$W$2:$W$2501,'Per Line'!$D$2:$D$2501,$B46))</f>
        <v/>
      </c>
      <c r="H46" s="5">
        <f>IF($L46="","",SUMIFS('Per Line'!$X$2:$X$2501,'Per Line'!$D$2:$D$2501,$B46))</f>
        <v/>
      </c>
      <c r="I46" s="5">
        <f>IF($L46="","",SUMIFS('Per Line'!$Y$2:$Y$2501,'Per Line'!$D$2:$D$2501,$B46))</f>
        <v/>
      </c>
      <c r="J46" s="5">
        <f>IF($L46="","",G46-H46)</f>
        <v/>
      </c>
      <c r="K46" s="5">
        <f>IF($L46="","",J46-I46)</f>
        <v/>
      </c>
      <c r="L46">
        <f>IF(ROWS($L$2:$L46)&lt;=MAX('Per Line'!$AD$2:$AD$2501),MATCH(ROWS($L$2:$L46),'Per Line'!$AD$2:$AD$2501,0),"")</f>
        <v/>
      </c>
      <c r="M46">
        <f>IF($L46="","",INDEX('Per Line'!$E$2:$E$2501,$L46))</f>
        <v/>
      </c>
    </row>
    <row r="47">
      <c r="A47">
        <f>IF($L47="","",INDEX('Per Line'!$C$2:$C$2501,$L47))</f>
        <v/>
      </c>
      <c r="B47">
        <f>IF($L47="","",INDEX('Per Line'!$D$2:$D$2501,$L47))</f>
        <v/>
      </c>
      <c r="C47">
        <f>IF($L47="","",INDEX('Per Line'!$A$2:$A$2501,$L47))</f>
        <v/>
      </c>
      <c r="F47">
        <f>IF($L47="","",INDEX('Per Line'!$U$2:$U$2501,$L47))</f>
        <v/>
      </c>
      <c r="G47" s="5">
        <f>IF($L47="","",SUMIFS('Per Line'!$W$2:$W$2501,'Per Line'!$D$2:$D$2501,$B47))</f>
        <v/>
      </c>
      <c r="H47" s="5">
        <f>IF($L47="","",SUMIFS('Per Line'!$X$2:$X$2501,'Per Line'!$D$2:$D$2501,$B47))</f>
        <v/>
      </c>
      <c r="I47" s="5">
        <f>IF($L47="","",SUMIFS('Per Line'!$Y$2:$Y$2501,'Per Line'!$D$2:$D$2501,$B47))</f>
        <v/>
      </c>
      <c r="J47" s="5">
        <f>IF($L47="","",G47-H47)</f>
        <v/>
      </c>
      <c r="K47" s="5">
        <f>IF($L47="","",J47-I47)</f>
        <v/>
      </c>
      <c r="L47">
        <f>IF(ROWS($L$2:$L47)&lt;=MAX('Per Line'!$AD$2:$AD$2501),MATCH(ROWS($L$2:$L47),'Per Line'!$AD$2:$AD$2501,0),"")</f>
        <v/>
      </c>
      <c r="M47">
        <f>IF($L47="","",INDEX('Per Line'!$E$2:$E$2501,$L47))</f>
        <v/>
      </c>
    </row>
    <row r="48">
      <c r="A48">
        <f>IF($L48="","",INDEX('Per Line'!$C$2:$C$2501,$L48))</f>
        <v/>
      </c>
      <c r="B48">
        <f>IF($L48="","",INDEX('Per Line'!$D$2:$D$2501,$L48))</f>
        <v/>
      </c>
      <c r="C48">
        <f>IF($L48="","",INDEX('Per Line'!$A$2:$A$2501,$L48))</f>
        <v/>
      </c>
      <c r="F48">
        <f>IF($L48="","",INDEX('Per Line'!$U$2:$U$2501,$L48))</f>
        <v/>
      </c>
      <c r="G48" s="5">
        <f>IF($L48="","",SUMIFS('Per Line'!$W$2:$W$2501,'Per Line'!$D$2:$D$2501,$B48))</f>
        <v/>
      </c>
      <c r="H48" s="5">
        <f>IF($L48="","",SUMIFS('Per Line'!$X$2:$X$2501,'Per Line'!$D$2:$D$2501,$B48))</f>
        <v/>
      </c>
      <c r="I48" s="5">
        <f>IF($L48="","",SUMIFS('Per Line'!$Y$2:$Y$2501,'Per Line'!$D$2:$D$2501,$B48))</f>
        <v/>
      </c>
      <c r="J48" s="5">
        <f>IF($L48="","",G48-H48)</f>
        <v/>
      </c>
      <c r="K48" s="5">
        <f>IF($L48="","",J48-I48)</f>
        <v/>
      </c>
      <c r="L48">
        <f>IF(ROWS($L$2:$L48)&lt;=MAX('Per Line'!$AD$2:$AD$2501),MATCH(ROWS($L$2:$L48),'Per Line'!$AD$2:$AD$2501,0),"")</f>
        <v/>
      </c>
      <c r="M48">
        <f>IF($L48="","",INDEX('Per Line'!$E$2:$E$2501,$L48))</f>
        <v/>
      </c>
    </row>
    <row r="49">
      <c r="A49">
        <f>IF($L49="","",INDEX('Per Line'!$C$2:$C$2501,$L49))</f>
        <v/>
      </c>
      <c r="B49">
        <f>IF($L49="","",INDEX('Per Line'!$D$2:$D$2501,$L49))</f>
        <v/>
      </c>
      <c r="C49">
        <f>IF($L49="","",INDEX('Per Line'!$A$2:$A$2501,$L49))</f>
        <v/>
      </c>
      <c r="F49">
        <f>IF($L49="","",INDEX('Per Line'!$U$2:$U$2501,$L49))</f>
        <v/>
      </c>
      <c r="G49" s="5">
        <f>IF($L49="","",SUMIFS('Per Line'!$W$2:$W$2501,'Per Line'!$D$2:$D$2501,$B49))</f>
        <v/>
      </c>
      <c r="H49" s="5">
        <f>IF($L49="","",SUMIFS('Per Line'!$X$2:$X$2501,'Per Line'!$D$2:$D$2501,$B49))</f>
        <v/>
      </c>
      <c r="I49" s="5">
        <f>IF($L49="","",SUMIFS('Per Line'!$Y$2:$Y$2501,'Per Line'!$D$2:$D$2501,$B49))</f>
        <v/>
      </c>
      <c r="J49" s="5">
        <f>IF($L49="","",G49-H49)</f>
        <v/>
      </c>
      <c r="K49" s="5">
        <f>IF($L49="","",J49-I49)</f>
        <v/>
      </c>
      <c r="L49">
        <f>IF(ROWS($L$2:$L49)&lt;=MAX('Per Line'!$AD$2:$AD$2501),MATCH(ROWS($L$2:$L49),'Per Line'!$AD$2:$AD$2501,0),"")</f>
        <v/>
      </c>
      <c r="M49">
        <f>IF($L49="","",INDEX('Per Line'!$E$2:$E$2501,$L49))</f>
        <v/>
      </c>
    </row>
    <row r="50">
      <c r="A50">
        <f>IF($L50="","",INDEX('Per Line'!$C$2:$C$2501,$L50))</f>
        <v/>
      </c>
      <c r="B50">
        <f>IF($L50="","",INDEX('Per Line'!$D$2:$D$2501,$L50))</f>
        <v/>
      </c>
      <c r="C50">
        <f>IF($L50="","",INDEX('Per Line'!$A$2:$A$2501,$L50))</f>
        <v/>
      </c>
      <c r="F50">
        <f>IF($L50="","",INDEX('Per Line'!$U$2:$U$2501,$L50))</f>
        <v/>
      </c>
      <c r="G50" s="5">
        <f>IF($L50="","",SUMIFS('Per Line'!$W$2:$W$2501,'Per Line'!$D$2:$D$2501,$B50))</f>
        <v/>
      </c>
      <c r="H50" s="5">
        <f>IF($L50="","",SUMIFS('Per Line'!$X$2:$X$2501,'Per Line'!$D$2:$D$2501,$B50))</f>
        <v/>
      </c>
      <c r="I50" s="5">
        <f>IF($L50="","",SUMIFS('Per Line'!$Y$2:$Y$2501,'Per Line'!$D$2:$D$2501,$B50))</f>
        <v/>
      </c>
      <c r="J50" s="5">
        <f>IF($L50="","",G50-H50)</f>
        <v/>
      </c>
      <c r="K50" s="5">
        <f>IF($L50="","",J50-I50)</f>
        <v/>
      </c>
      <c r="L50">
        <f>IF(ROWS($L$2:$L50)&lt;=MAX('Per Line'!$AD$2:$AD$2501),MATCH(ROWS($L$2:$L50),'Per Line'!$AD$2:$AD$2501,0),"")</f>
        <v/>
      </c>
      <c r="M50">
        <f>IF($L50="","",INDEX('Per Line'!$E$2:$E$2501,$L50))</f>
        <v/>
      </c>
    </row>
    <row r="51">
      <c r="A51">
        <f>IF($L51="","",INDEX('Per Line'!$C$2:$C$2501,$L51))</f>
        <v/>
      </c>
      <c r="B51">
        <f>IF($L51="","",INDEX('Per Line'!$D$2:$D$2501,$L51))</f>
        <v/>
      </c>
      <c r="C51">
        <f>IF($L51="","",INDEX('Per Line'!$A$2:$A$2501,$L51))</f>
        <v/>
      </c>
      <c r="F51">
        <f>IF($L51="","",INDEX('Per Line'!$U$2:$U$2501,$L51))</f>
        <v/>
      </c>
      <c r="G51" s="5">
        <f>IF($L51="","",SUMIFS('Per Line'!$W$2:$W$2501,'Per Line'!$D$2:$D$2501,$B51))</f>
        <v/>
      </c>
      <c r="H51" s="5">
        <f>IF($L51="","",SUMIFS('Per Line'!$X$2:$X$2501,'Per Line'!$D$2:$D$2501,$B51))</f>
        <v/>
      </c>
      <c r="I51" s="5">
        <f>IF($L51="","",SUMIFS('Per Line'!$Y$2:$Y$2501,'Per Line'!$D$2:$D$2501,$B51))</f>
        <v/>
      </c>
      <c r="J51" s="5">
        <f>IF($L51="","",G51-H51)</f>
        <v/>
      </c>
      <c r="K51" s="5">
        <f>IF($L51="","",J51-I51)</f>
        <v/>
      </c>
      <c r="L51">
        <f>IF(ROWS($L$2:$L51)&lt;=MAX('Per Line'!$AD$2:$AD$2501),MATCH(ROWS($L$2:$L51),'Per Line'!$AD$2:$AD$2501,0),"")</f>
        <v/>
      </c>
      <c r="M51">
        <f>IF($L51="","",INDEX('Per Line'!$E$2:$E$2501,$L51))</f>
        <v/>
      </c>
    </row>
    <row r="52">
      <c r="A52">
        <f>IF($L52="","",INDEX('Per Line'!$C$2:$C$2501,$L52))</f>
        <v/>
      </c>
      <c r="B52">
        <f>IF($L52="","",INDEX('Per Line'!$D$2:$D$2501,$L52))</f>
        <v/>
      </c>
      <c r="C52">
        <f>IF($L52="","",INDEX('Per Line'!$A$2:$A$2501,$L52))</f>
        <v/>
      </c>
      <c r="F52">
        <f>IF($L52="","",INDEX('Per Line'!$U$2:$U$2501,$L52))</f>
        <v/>
      </c>
      <c r="G52" s="5">
        <f>IF($L52="","",SUMIFS('Per Line'!$W$2:$W$2501,'Per Line'!$D$2:$D$2501,$B52))</f>
        <v/>
      </c>
      <c r="H52" s="5">
        <f>IF($L52="","",SUMIFS('Per Line'!$X$2:$X$2501,'Per Line'!$D$2:$D$2501,$B52))</f>
        <v/>
      </c>
      <c r="I52" s="5">
        <f>IF($L52="","",SUMIFS('Per Line'!$Y$2:$Y$2501,'Per Line'!$D$2:$D$2501,$B52))</f>
        <v/>
      </c>
      <c r="J52" s="5">
        <f>IF($L52="","",G52-H52)</f>
        <v/>
      </c>
      <c r="K52" s="5">
        <f>IF($L52="","",J52-I52)</f>
        <v/>
      </c>
      <c r="L52">
        <f>IF(ROWS($L$2:$L52)&lt;=MAX('Per Line'!$AD$2:$AD$2501),MATCH(ROWS($L$2:$L52),'Per Line'!$AD$2:$AD$2501,0),"")</f>
        <v/>
      </c>
      <c r="M52">
        <f>IF($L52="","",INDEX('Per Line'!$E$2:$E$2501,$L52))</f>
        <v/>
      </c>
    </row>
    <row r="53">
      <c r="A53">
        <f>IF($L53="","",INDEX('Per Line'!$C$2:$C$2501,$L53))</f>
        <v/>
      </c>
      <c r="B53">
        <f>IF($L53="","",INDEX('Per Line'!$D$2:$D$2501,$L53))</f>
        <v/>
      </c>
      <c r="C53">
        <f>IF($L53="","",INDEX('Per Line'!$A$2:$A$2501,$L53))</f>
        <v/>
      </c>
      <c r="F53">
        <f>IF($L53="","",INDEX('Per Line'!$U$2:$U$2501,$L53))</f>
        <v/>
      </c>
      <c r="G53" s="5">
        <f>IF($L53="","",SUMIFS('Per Line'!$W$2:$W$2501,'Per Line'!$D$2:$D$2501,$B53))</f>
        <v/>
      </c>
      <c r="H53" s="5">
        <f>IF($L53="","",SUMIFS('Per Line'!$X$2:$X$2501,'Per Line'!$D$2:$D$2501,$B53))</f>
        <v/>
      </c>
      <c r="I53" s="5">
        <f>IF($L53="","",SUMIFS('Per Line'!$Y$2:$Y$2501,'Per Line'!$D$2:$D$2501,$B53))</f>
        <v/>
      </c>
      <c r="J53" s="5">
        <f>IF($L53="","",G53-H53)</f>
        <v/>
      </c>
      <c r="K53" s="5">
        <f>IF($L53="","",J53-I53)</f>
        <v/>
      </c>
      <c r="L53">
        <f>IF(ROWS($L$2:$L53)&lt;=MAX('Per Line'!$AD$2:$AD$2501),MATCH(ROWS($L$2:$L53),'Per Line'!$AD$2:$AD$2501,0),"")</f>
        <v/>
      </c>
      <c r="M53">
        <f>IF($L53="","",INDEX('Per Line'!$E$2:$E$2501,$L53))</f>
        <v/>
      </c>
    </row>
    <row r="54">
      <c r="A54">
        <f>IF($L54="","",INDEX('Per Line'!$C$2:$C$2501,$L54))</f>
        <v/>
      </c>
      <c r="B54">
        <f>IF($L54="","",INDEX('Per Line'!$D$2:$D$2501,$L54))</f>
        <v/>
      </c>
      <c r="C54">
        <f>IF($L54="","",INDEX('Per Line'!$A$2:$A$2501,$L54))</f>
        <v/>
      </c>
      <c r="F54">
        <f>IF($L54="","",INDEX('Per Line'!$U$2:$U$2501,$L54))</f>
        <v/>
      </c>
      <c r="G54" s="5">
        <f>IF($L54="","",SUMIFS('Per Line'!$W$2:$W$2501,'Per Line'!$D$2:$D$2501,$B54))</f>
        <v/>
      </c>
      <c r="H54" s="5">
        <f>IF($L54="","",SUMIFS('Per Line'!$X$2:$X$2501,'Per Line'!$D$2:$D$2501,$B54))</f>
        <v/>
      </c>
      <c r="I54" s="5">
        <f>IF($L54="","",SUMIFS('Per Line'!$Y$2:$Y$2501,'Per Line'!$D$2:$D$2501,$B54))</f>
        <v/>
      </c>
      <c r="J54" s="5">
        <f>IF($L54="","",G54-H54)</f>
        <v/>
      </c>
      <c r="K54" s="5">
        <f>IF($L54="","",J54-I54)</f>
        <v/>
      </c>
      <c r="L54">
        <f>IF(ROWS($L$2:$L54)&lt;=MAX('Per Line'!$AD$2:$AD$2501),MATCH(ROWS($L$2:$L54),'Per Line'!$AD$2:$AD$2501,0),"")</f>
        <v/>
      </c>
      <c r="M54">
        <f>IF($L54="","",INDEX('Per Line'!$E$2:$E$2501,$L54))</f>
        <v/>
      </c>
    </row>
    <row r="55">
      <c r="A55">
        <f>IF($L55="","",INDEX('Per Line'!$C$2:$C$2501,$L55))</f>
        <v/>
      </c>
      <c r="B55">
        <f>IF($L55="","",INDEX('Per Line'!$D$2:$D$2501,$L55))</f>
        <v/>
      </c>
      <c r="C55">
        <f>IF($L55="","",INDEX('Per Line'!$A$2:$A$2501,$L55))</f>
        <v/>
      </c>
      <c r="F55">
        <f>IF($L55="","",INDEX('Per Line'!$U$2:$U$2501,$L55))</f>
        <v/>
      </c>
      <c r="G55" s="5">
        <f>IF($L55="","",SUMIFS('Per Line'!$W$2:$W$2501,'Per Line'!$D$2:$D$2501,$B55))</f>
        <v/>
      </c>
      <c r="H55" s="5">
        <f>IF($L55="","",SUMIFS('Per Line'!$X$2:$X$2501,'Per Line'!$D$2:$D$2501,$B55))</f>
        <v/>
      </c>
      <c r="I55" s="5">
        <f>IF($L55="","",SUMIFS('Per Line'!$Y$2:$Y$2501,'Per Line'!$D$2:$D$2501,$B55))</f>
        <v/>
      </c>
      <c r="J55" s="5">
        <f>IF($L55="","",G55-H55)</f>
        <v/>
      </c>
      <c r="K55" s="5">
        <f>IF($L55="","",J55-I55)</f>
        <v/>
      </c>
      <c r="L55">
        <f>IF(ROWS($L$2:$L55)&lt;=MAX('Per Line'!$AD$2:$AD$2501),MATCH(ROWS($L$2:$L55),'Per Line'!$AD$2:$AD$2501,0),"")</f>
        <v/>
      </c>
      <c r="M55">
        <f>IF($L55="","",INDEX('Per Line'!$E$2:$E$2501,$L55))</f>
        <v/>
      </c>
    </row>
    <row r="56">
      <c r="A56">
        <f>IF($L56="","",INDEX('Per Line'!$C$2:$C$2501,$L56))</f>
        <v/>
      </c>
      <c r="B56">
        <f>IF($L56="","",INDEX('Per Line'!$D$2:$D$2501,$L56))</f>
        <v/>
      </c>
      <c r="C56">
        <f>IF($L56="","",INDEX('Per Line'!$A$2:$A$2501,$L56))</f>
        <v/>
      </c>
      <c r="F56">
        <f>IF($L56="","",INDEX('Per Line'!$U$2:$U$2501,$L56))</f>
        <v/>
      </c>
      <c r="G56" s="5">
        <f>IF($L56="","",SUMIFS('Per Line'!$W$2:$W$2501,'Per Line'!$D$2:$D$2501,$B56))</f>
        <v/>
      </c>
      <c r="H56" s="5">
        <f>IF($L56="","",SUMIFS('Per Line'!$X$2:$X$2501,'Per Line'!$D$2:$D$2501,$B56))</f>
        <v/>
      </c>
      <c r="I56" s="5">
        <f>IF($L56="","",SUMIFS('Per Line'!$Y$2:$Y$2501,'Per Line'!$D$2:$D$2501,$B56))</f>
        <v/>
      </c>
      <c r="J56" s="5">
        <f>IF($L56="","",G56-H56)</f>
        <v/>
      </c>
      <c r="K56" s="5">
        <f>IF($L56="","",J56-I56)</f>
        <v/>
      </c>
      <c r="L56">
        <f>IF(ROWS($L$2:$L56)&lt;=MAX('Per Line'!$AD$2:$AD$2501),MATCH(ROWS($L$2:$L56),'Per Line'!$AD$2:$AD$2501,0),"")</f>
        <v/>
      </c>
      <c r="M56">
        <f>IF($L56="","",INDEX('Per Line'!$E$2:$E$2501,$L56))</f>
        <v/>
      </c>
    </row>
    <row r="57">
      <c r="A57">
        <f>IF($L57="","",INDEX('Per Line'!$C$2:$C$2501,$L57))</f>
        <v/>
      </c>
      <c r="B57">
        <f>IF($L57="","",INDEX('Per Line'!$D$2:$D$2501,$L57))</f>
        <v/>
      </c>
      <c r="C57">
        <f>IF($L57="","",INDEX('Per Line'!$A$2:$A$2501,$L57))</f>
        <v/>
      </c>
      <c r="F57">
        <f>IF($L57="","",INDEX('Per Line'!$U$2:$U$2501,$L57))</f>
        <v/>
      </c>
      <c r="G57" s="5">
        <f>IF($L57="","",SUMIFS('Per Line'!$W$2:$W$2501,'Per Line'!$D$2:$D$2501,$B57))</f>
        <v/>
      </c>
      <c r="H57" s="5">
        <f>IF($L57="","",SUMIFS('Per Line'!$X$2:$X$2501,'Per Line'!$D$2:$D$2501,$B57))</f>
        <v/>
      </c>
      <c r="I57" s="5">
        <f>IF($L57="","",SUMIFS('Per Line'!$Y$2:$Y$2501,'Per Line'!$D$2:$D$2501,$B57))</f>
        <v/>
      </c>
      <c r="J57" s="5">
        <f>IF($L57="","",G57-H57)</f>
        <v/>
      </c>
      <c r="K57" s="5">
        <f>IF($L57="","",J57-I57)</f>
        <v/>
      </c>
      <c r="L57">
        <f>IF(ROWS($L$2:$L57)&lt;=MAX('Per Line'!$AD$2:$AD$2501),MATCH(ROWS($L$2:$L57),'Per Line'!$AD$2:$AD$2501,0),"")</f>
        <v/>
      </c>
      <c r="M57">
        <f>IF($L57="","",INDEX('Per Line'!$E$2:$E$2501,$L57))</f>
        <v/>
      </c>
    </row>
    <row r="58">
      <c r="A58">
        <f>IF($L58="","",INDEX('Per Line'!$C$2:$C$2501,$L58))</f>
        <v/>
      </c>
      <c r="B58">
        <f>IF($L58="","",INDEX('Per Line'!$D$2:$D$2501,$L58))</f>
        <v/>
      </c>
      <c r="C58">
        <f>IF($L58="","",INDEX('Per Line'!$A$2:$A$2501,$L58))</f>
        <v/>
      </c>
      <c r="F58">
        <f>IF($L58="","",INDEX('Per Line'!$U$2:$U$2501,$L58))</f>
        <v/>
      </c>
      <c r="G58" s="5">
        <f>IF($L58="","",SUMIFS('Per Line'!$W$2:$W$2501,'Per Line'!$D$2:$D$2501,$B58))</f>
        <v/>
      </c>
      <c r="H58" s="5">
        <f>IF($L58="","",SUMIFS('Per Line'!$X$2:$X$2501,'Per Line'!$D$2:$D$2501,$B58))</f>
        <v/>
      </c>
      <c r="I58" s="5">
        <f>IF($L58="","",SUMIFS('Per Line'!$Y$2:$Y$2501,'Per Line'!$D$2:$D$2501,$B58))</f>
        <v/>
      </c>
      <c r="J58" s="5">
        <f>IF($L58="","",G58-H58)</f>
        <v/>
      </c>
      <c r="K58" s="5">
        <f>IF($L58="","",J58-I58)</f>
        <v/>
      </c>
      <c r="L58">
        <f>IF(ROWS($L$2:$L58)&lt;=MAX('Per Line'!$AD$2:$AD$2501),MATCH(ROWS($L$2:$L58),'Per Line'!$AD$2:$AD$2501,0),"")</f>
        <v/>
      </c>
      <c r="M58">
        <f>IF($L58="","",INDEX('Per Line'!$E$2:$E$2501,$L58))</f>
        <v/>
      </c>
    </row>
    <row r="59">
      <c r="A59">
        <f>IF($L59="","",INDEX('Per Line'!$C$2:$C$2501,$L59))</f>
        <v/>
      </c>
      <c r="B59">
        <f>IF($L59="","",INDEX('Per Line'!$D$2:$D$2501,$L59))</f>
        <v/>
      </c>
      <c r="C59">
        <f>IF($L59="","",INDEX('Per Line'!$A$2:$A$2501,$L59))</f>
        <v/>
      </c>
      <c r="F59">
        <f>IF($L59="","",INDEX('Per Line'!$U$2:$U$2501,$L59))</f>
        <v/>
      </c>
      <c r="G59" s="5">
        <f>IF($L59="","",SUMIFS('Per Line'!$W$2:$W$2501,'Per Line'!$D$2:$D$2501,$B59))</f>
        <v/>
      </c>
      <c r="H59" s="5">
        <f>IF($L59="","",SUMIFS('Per Line'!$X$2:$X$2501,'Per Line'!$D$2:$D$2501,$B59))</f>
        <v/>
      </c>
      <c r="I59" s="5">
        <f>IF($L59="","",SUMIFS('Per Line'!$Y$2:$Y$2501,'Per Line'!$D$2:$D$2501,$B59))</f>
        <v/>
      </c>
      <c r="J59" s="5">
        <f>IF($L59="","",G59-H59)</f>
        <v/>
      </c>
      <c r="K59" s="5">
        <f>IF($L59="","",J59-I59)</f>
        <v/>
      </c>
      <c r="L59">
        <f>IF(ROWS($L$2:$L59)&lt;=MAX('Per Line'!$AD$2:$AD$2501),MATCH(ROWS($L$2:$L59),'Per Line'!$AD$2:$AD$2501,0),"")</f>
        <v/>
      </c>
      <c r="M59">
        <f>IF($L59="","",INDEX('Per Line'!$E$2:$E$2501,$L59))</f>
        <v/>
      </c>
    </row>
    <row r="60">
      <c r="A60">
        <f>IF($L60="","",INDEX('Per Line'!$C$2:$C$2501,$L60))</f>
        <v/>
      </c>
      <c r="B60">
        <f>IF($L60="","",INDEX('Per Line'!$D$2:$D$2501,$L60))</f>
        <v/>
      </c>
      <c r="C60">
        <f>IF($L60="","",INDEX('Per Line'!$A$2:$A$2501,$L60))</f>
        <v/>
      </c>
      <c r="F60">
        <f>IF($L60="","",INDEX('Per Line'!$U$2:$U$2501,$L60))</f>
        <v/>
      </c>
      <c r="G60" s="5">
        <f>IF($L60="","",SUMIFS('Per Line'!$W$2:$W$2501,'Per Line'!$D$2:$D$2501,$B60))</f>
        <v/>
      </c>
      <c r="H60" s="5">
        <f>IF($L60="","",SUMIFS('Per Line'!$X$2:$X$2501,'Per Line'!$D$2:$D$2501,$B60))</f>
        <v/>
      </c>
      <c r="I60" s="5">
        <f>IF($L60="","",SUMIFS('Per Line'!$Y$2:$Y$2501,'Per Line'!$D$2:$D$2501,$B60))</f>
        <v/>
      </c>
      <c r="J60" s="5">
        <f>IF($L60="","",G60-H60)</f>
        <v/>
      </c>
      <c r="K60" s="5">
        <f>IF($L60="","",J60-I60)</f>
        <v/>
      </c>
      <c r="L60">
        <f>IF(ROWS($L$2:$L60)&lt;=MAX('Per Line'!$AD$2:$AD$2501),MATCH(ROWS($L$2:$L60),'Per Line'!$AD$2:$AD$2501,0),"")</f>
        <v/>
      </c>
      <c r="M60">
        <f>IF($L60="","",INDEX('Per Line'!$E$2:$E$2501,$L60))</f>
        <v/>
      </c>
    </row>
    <row r="61">
      <c r="A61">
        <f>IF($L61="","",INDEX('Per Line'!$C$2:$C$2501,$L61))</f>
        <v/>
      </c>
      <c r="B61">
        <f>IF($L61="","",INDEX('Per Line'!$D$2:$D$2501,$L61))</f>
        <v/>
      </c>
      <c r="C61">
        <f>IF($L61="","",INDEX('Per Line'!$A$2:$A$2501,$L61))</f>
        <v/>
      </c>
      <c r="F61">
        <f>IF($L61="","",INDEX('Per Line'!$U$2:$U$2501,$L61))</f>
        <v/>
      </c>
      <c r="G61" s="5">
        <f>IF($L61="","",SUMIFS('Per Line'!$W$2:$W$2501,'Per Line'!$D$2:$D$2501,$B61))</f>
        <v/>
      </c>
      <c r="H61" s="5">
        <f>IF($L61="","",SUMIFS('Per Line'!$X$2:$X$2501,'Per Line'!$D$2:$D$2501,$B61))</f>
        <v/>
      </c>
      <c r="I61" s="5">
        <f>IF($L61="","",SUMIFS('Per Line'!$Y$2:$Y$2501,'Per Line'!$D$2:$D$2501,$B61))</f>
        <v/>
      </c>
      <c r="J61" s="5">
        <f>IF($L61="","",G61-H61)</f>
        <v/>
      </c>
      <c r="K61" s="5">
        <f>IF($L61="","",J61-I61)</f>
        <v/>
      </c>
      <c r="L61">
        <f>IF(ROWS($L$2:$L61)&lt;=MAX('Per Line'!$AD$2:$AD$2501),MATCH(ROWS($L$2:$L61),'Per Line'!$AD$2:$AD$2501,0),"")</f>
        <v/>
      </c>
      <c r="M61">
        <f>IF($L61="","",INDEX('Per Line'!$E$2:$E$2501,$L61))</f>
        <v/>
      </c>
    </row>
    <row r="62">
      <c r="A62">
        <f>IF($L62="","",INDEX('Per Line'!$C$2:$C$2501,$L62))</f>
        <v/>
      </c>
      <c r="B62">
        <f>IF($L62="","",INDEX('Per Line'!$D$2:$D$2501,$L62))</f>
        <v/>
      </c>
      <c r="C62">
        <f>IF($L62="","",INDEX('Per Line'!$A$2:$A$2501,$L62))</f>
        <v/>
      </c>
      <c r="F62">
        <f>IF($L62="","",INDEX('Per Line'!$U$2:$U$2501,$L62))</f>
        <v/>
      </c>
      <c r="G62" s="5">
        <f>IF($L62="","",SUMIFS('Per Line'!$W$2:$W$2501,'Per Line'!$D$2:$D$2501,$B62))</f>
        <v/>
      </c>
      <c r="H62" s="5">
        <f>IF($L62="","",SUMIFS('Per Line'!$X$2:$X$2501,'Per Line'!$D$2:$D$2501,$B62))</f>
        <v/>
      </c>
      <c r="I62" s="5">
        <f>IF($L62="","",SUMIFS('Per Line'!$Y$2:$Y$2501,'Per Line'!$D$2:$D$2501,$B62))</f>
        <v/>
      </c>
      <c r="J62" s="5">
        <f>IF($L62="","",G62-H62)</f>
        <v/>
      </c>
      <c r="K62" s="5">
        <f>IF($L62="","",J62-I62)</f>
        <v/>
      </c>
      <c r="L62">
        <f>IF(ROWS($L$2:$L62)&lt;=MAX('Per Line'!$AD$2:$AD$2501),MATCH(ROWS($L$2:$L62),'Per Line'!$AD$2:$AD$2501,0),"")</f>
        <v/>
      </c>
      <c r="M62">
        <f>IF($L62="","",INDEX('Per Line'!$E$2:$E$2501,$L62))</f>
        <v/>
      </c>
    </row>
    <row r="63">
      <c r="A63">
        <f>IF($L63="","",INDEX('Per Line'!$C$2:$C$2501,$L63))</f>
        <v/>
      </c>
      <c r="B63">
        <f>IF($L63="","",INDEX('Per Line'!$D$2:$D$2501,$L63))</f>
        <v/>
      </c>
      <c r="C63">
        <f>IF($L63="","",INDEX('Per Line'!$A$2:$A$2501,$L63))</f>
        <v/>
      </c>
      <c r="F63">
        <f>IF($L63="","",INDEX('Per Line'!$U$2:$U$2501,$L63))</f>
        <v/>
      </c>
      <c r="G63" s="5">
        <f>IF($L63="","",SUMIFS('Per Line'!$W$2:$W$2501,'Per Line'!$D$2:$D$2501,$B63))</f>
        <v/>
      </c>
      <c r="H63" s="5">
        <f>IF($L63="","",SUMIFS('Per Line'!$X$2:$X$2501,'Per Line'!$D$2:$D$2501,$B63))</f>
        <v/>
      </c>
      <c r="I63" s="5">
        <f>IF($L63="","",SUMIFS('Per Line'!$Y$2:$Y$2501,'Per Line'!$D$2:$D$2501,$B63))</f>
        <v/>
      </c>
      <c r="J63" s="5">
        <f>IF($L63="","",G63-H63)</f>
        <v/>
      </c>
      <c r="K63" s="5">
        <f>IF($L63="","",J63-I63)</f>
        <v/>
      </c>
      <c r="L63">
        <f>IF(ROWS($L$2:$L63)&lt;=MAX('Per Line'!$AD$2:$AD$2501),MATCH(ROWS($L$2:$L63),'Per Line'!$AD$2:$AD$2501,0),"")</f>
        <v/>
      </c>
      <c r="M63">
        <f>IF($L63="","",INDEX('Per Line'!$E$2:$E$2501,$L63))</f>
        <v/>
      </c>
    </row>
    <row r="64">
      <c r="A64">
        <f>IF($L64="","",INDEX('Per Line'!$C$2:$C$2501,$L64))</f>
        <v/>
      </c>
      <c r="B64">
        <f>IF($L64="","",INDEX('Per Line'!$D$2:$D$2501,$L64))</f>
        <v/>
      </c>
      <c r="C64">
        <f>IF($L64="","",INDEX('Per Line'!$A$2:$A$2501,$L64))</f>
        <v/>
      </c>
      <c r="F64">
        <f>IF($L64="","",INDEX('Per Line'!$U$2:$U$2501,$L64))</f>
        <v/>
      </c>
      <c r="G64" s="5">
        <f>IF($L64="","",SUMIFS('Per Line'!$W$2:$W$2501,'Per Line'!$D$2:$D$2501,$B64))</f>
        <v/>
      </c>
      <c r="H64" s="5">
        <f>IF($L64="","",SUMIFS('Per Line'!$X$2:$X$2501,'Per Line'!$D$2:$D$2501,$B64))</f>
        <v/>
      </c>
      <c r="I64" s="5">
        <f>IF($L64="","",SUMIFS('Per Line'!$Y$2:$Y$2501,'Per Line'!$D$2:$D$2501,$B64))</f>
        <v/>
      </c>
      <c r="J64" s="5">
        <f>IF($L64="","",G64-H64)</f>
        <v/>
      </c>
      <c r="K64" s="5">
        <f>IF($L64="","",J64-I64)</f>
        <v/>
      </c>
      <c r="L64">
        <f>IF(ROWS($L$2:$L64)&lt;=MAX('Per Line'!$AD$2:$AD$2501),MATCH(ROWS($L$2:$L64),'Per Line'!$AD$2:$AD$2501,0),"")</f>
        <v/>
      </c>
      <c r="M64">
        <f>IF($L64="","",INDEX('Per Line'!$E$2:$E$2501,$L64))</f>
        <v/>
      </c>
    </row>
    <row r="65">
      <c r="A65">
        <f>IF($L65="","",INDEX('Per Line'!$C$2:$C$2501,$L65))</f>
        <v/>
      </c>
      <c r="B65">
        <f>IF($L65="","",INDEX('Per Line'!$D$2:$D$2501,$L65))</f>
        <v/>
      </c>
      <c r="C65">
        <f>IF($L65="","",INDEX('Per Line'!$A$2:$A$2501,$L65))</f>
        <v/>
      </c>
      <c r="F65">
        <f>IF($L65="","",INDEX('Per Line'!$U$2:$U$2501,$L65))</f>
        <v/>
      </c>
      <c r="G65" s="5">
        <f>IF($L65="","",SUMIFS('Per Line'!$W$2:$W$2501,'Per Line'!$D$2:$D$2501,$B65))</f>
        <v/>
      </c>
      <c r="H65" s="5">
        <f>IF($L65="","",SUMIFS('Per Line'!$X$2:$X$2501,'Per Line'!$D$2:$D$2501,$B65))</f>
        <v/>
      </c>
      <c r="I65" s="5">
        <f>IF($L65="","",SUMIFS('Per Line'!$Y$2:$Y$2501,'Per Line'!$D$2:$D$2501,$B65))</f>
        <v/>
      </c>
      <c r="J65" s="5">
        <f>IF($L65="","",G65-H65)</f>
        <v/>
      </c>
      <c r="K65" s="5">
        <f>IF($L65="","",J65-I65)</f>
        <v/>
      </c>
      <c r="L65">
        <f>IF(ROWS($L$2:$L65)&lt;=MAX('Per Line'!$AD$2:$AD$2501),MATCH(ROWS($L$2:$L65),'Per Line'!$AD$2:$AD$2501,0),"")</f>
        <v/>
      </c>
      <c r="M65">
        <f>IF($L65="","",INDEX('Per Line'!$E$2:$E$2501,$L65))</f>
        <v/>
      </c>
    </row>
    <row r="66">
      <c r="A66">
        <f>IF($L66="","",INDEX('Per Line'!$C$2:$C$2501,$L66))</f>
        <v/>
      </c>
      <c r="B66">
        <f>IF($L66="","",INDEX('Per Line'!$D$2:$D$2501,$L66))</f>
        <v/>
      </c>
      <c r="C66">
        <f>IF($L66="","",INDEX('Per Line'!$A$2:$A$2501,$L66))</f>
        <v/>
      </c>
      <c r="F66">
        <f>IF($L66="","",INDEX('Per Line'!$U$2:$U$2501,$L66))</f>
        <v/>
      </c>
      <c r="G66" s="5">
        <f>IF($L66="","",SUMIFS('Per Line'!$W$2:$W$2501,'Per Line'!$D$2:$D$2501,$B66))</f>
        <v/>
      </c>
      <c r="H66" s="5">
        <f>IF($L66="","",SUMIFS('Per Line'!$X$2:$X$2501,'Per Line'!$D$2:$D$2501,$B66))</f>
        <v/>
      </c>
      <c r="I66" s="5">
        <f>IF($L66="","",SUMIFS('Per Line'!$Y$2:$Y$2501,'Per Line'!$D$2:$D$2501,$B66))</f>
        <v/>
      </c>
      <c r="J66" s="5">
        <f>IF($L66="","",G66-H66)</f>
        <v/>
      </c>
      <c r="K66" s="5">
        <f>IF($L66="","",J66-I66)</f>
        <v/>
      </c>
      <c r="L66">
        <f>IF(ROWS($L$2:$L66)&lt;=MAX('Per Line'!$AD$2:$AD$2501),MATCH(ROWS($L$2:$L66),'Per Line'!$AD$2:$AD$2501,0),"")</f>
        <v/>
      </c>
      <c r="M66">
        <f>IF($L66="","",INDEX('Per Line'!$E$2:$E$2501,$L66))</f>
        <v/>
      </c>
    </row>
    <row r="67">
      <c r="A67">
        <f>IF($L67="","",INDEX('Per Line'!$C$2:$C$2501,$L67))</f>
        <v/>
      </c>
      <c r="B67">
        <f>IF($L67="","",INDEX('Per Line'!$D$2:$D$2501,$L67))</f>
        <v/>
      </c>
      <c r="C67">
        <f>IF($L67="","",INDEX('Per Line'!$A$2:$A$2501,$L67))</f>
        <v/>
      </c>
      <c r="F67">
        <f>IF($L67="","",INDEX('Per Line'!$U$2:$U$2501,$L67))</f>
        <v/>
      </c>
      <c r="G67" s="5">
        <f>IF($L67="","",SUMIFS('Per Line'!$W$2:$W$2501,'Per Line'!$D$2:$D$2501,$B67))</f>
        <v/>
      </c>
      <c r="H67" s="5">
        <f>IF($L67="","",SUMIFS('Per Line'!$X$2:$X$2501,'Per Line'!$D$2:$D$2501,$B67))</f>
        <v/>
      </c>
      <c r="I67" s="5">
        <f>IF($L67="","",SUMIFS('Per Line'!$Y$2:$Y$2501,'Per Line'!$D$2:$D$2501,$B67))</f>
        <v/>
      </c>
      <c r="J67" s="5">
        <f>IF($L67="","",G67-H67)</f>
        <v/>
      </c>
      <c r="K67" s="5">
        <f>IF($L67="","",J67-I67)</f>
        <v/>
      </c>
      <c r="L67">
        <f>IF(ROWS($L$2:$L67)&lt;=MAX('Per Line'!$AD$2:$AD$2501),MATCH(ROWS($L$2:$L67),'Per Line'!$AD$2:$AD$2501,0),"")</f>
        <v/>
      </c>
      <c r="M67">
        <f>IF($L67="","",INDEX('Per Line'!$E$2:$E$2501,$L67))</f>
        <v/>
      </c>
    </row>
    <row r="68">
      <c r="A68">
        <f>IF($L68="","",INDEX('Per Line'!$C$2:$C$2501,$L68))</f>
        <v/>
      </c>
      <c r="B68">
        <f>IF($L68="","",INDEX('Per Line'!$D$2:$D$2501,$L68))</f>
        <v/>
      </c>
      <c r="C68">
        <f>IF($L68="","",INDEX('Per Line'!$A$2:$A$2501,$L68))</f>
        <v/>
      </c>
      <c r="F68">
        <f>IF($L68="","",INDEX('Per Line'!$U$2:$U$2501,$L68))</f>
        <v/>
      </c>
      <c r="G68" s="5">
        <f>IF($L68="","",SUMIFS('Per Line'!$W$2:$W$2501,'Per Line'!$D$2:$D$2501,$B68))</f>
        <v/>
      </c>
      <c r="H68" s="5">
        <f>IF($L68="","",SUMIFS('Per Line'!$X$2:$X$2501,'Per Line'!$D$2:$D$2501,$B68))</f>
        <v/>
      </c>
      <c r="I68" s="5">
        <f>IF($L68="","",SUMIFS('Per Line'!$Y$2:$Y$2501,'Per Line'!$D$2:$D$2501,$B68))</f>
        <v/>
      </c>
      <c r="J68" s="5">
        <f>IF($L68="","",G68-H68)</f>
        <v/>
      </c>
      <c r="K68" s="5">
        <f>IF($L68="","",J68-I68)</f>
        <v/>
      </c>
      <c r="L68">
        <f>IF(ROWS($L$2:$L68)&lt;=MAX('Per Line'!$AD$2:$AD$2501),MATCH(ROWS($L$2:$L68),'Per Line'!$AD$2:$AD$2501,0),"")</f>
        <v/>
      </c>
      <c r="M68">
        <f>IF($L68="","",INDEX('Per Line'!$E$2:$E$2501,$L68))</f>
        <v/>
      </c>
    </row>
    <row r="69">
      <c r="A69">
        <f>IF($L69="","",INDEX('Per Line'!$C$2:$C$2501,$L69))</f>
        <v/>
      </c>
      <c r="B69">
        <f>IF($L69="","",INDEX('Per Line'!$D$2:$D$2501,$L69))</f>
        <v/>
      </c>
      <c r="C69">
        <f>IF($L69="","",INDEX('Per Line'!$A$2:$A$2501,$L69))</f>
        <v/>
      </c>
      <c r="F69">
        <f>IF($L69="","",INDEX('Per Line'!$U$2:$U$2501,$L69))</f>
        <v/>
      </c>
      <c r="G69" s="5">
        <f>IF($L69="","",SUMIFS('Per Line'!$W$2:$W$2501,'Per Line'!$D$2:$D$2501,$B69))</f>
        <v/>
      </c>
      <c r="H69" s="5">
        <f>IF($L69="","",SUMIFS('Per Line'!$X$2:$X$2501,'Per Line'!$D$2:$D$2501,$B69))</f>
        <v/>
      </c>
      <c r="I69" s="5">
        <f>IF($L69="","",SUMIFS('Per Line'!$Y$2:$Y$2501,'Per Line'!$D$2:$D$2501,$B69))</f>
        <v/>
      </c>
      <c r="J69" s="5">
        <f>IF($L69="","",G69-H69)</f>
        <v/>
      </c>
      <c r="K69" s="5">
        <f>IF($L69="","",J69-I69)</f>
        <v/>
      </c>
      <c r="L69">
        <f>IF(ROWS($L$2:$L69)&lt;=MAX('Per Line'!$AD$2:$AD$2501),MATCH(ROWS($L$2:$L69),'Per Line'!$AD$2:$AD$2501,0),"")</f>
        <v/>
      </c>
      <c r="M69">
        <f>IF($L69="","",INDEX('Per Line'!$E$2:$E$2501,$L69))</f>
        <v/>
      </c>
    </row>
    <row r="70">
      <c r="A70">
        <f>IF($L70="","",INDEX('Per Line'!$C$2:$C$2501,$L70))</f>
        <v/>
      </c>
      <c r="B70">
        <f>IF($L70="","",INDEX('Per Line'!$D$2:$D$2501,$L70))</f>
        <v/>
      </c>
      <c r="C70">
        <f>IF($L70="","",INDEX('Per Line'!$A$2:$A$2501,$L70))</f>
        <v/>
      </c>
      <c r="F70">
        <f>IF($L70="","",INDEX('Per Line'!$U$2:$U$2501,$L70))</f>
        <v/>
      </c>
      <c r="G70" s="5">
        <f>IF($L70="","",SUMIFS('Per Line'!$W$2:$W$2501,'Per Line'!$D$2:$D$2501,$B70))</f>
        <v/>
      </c>
      <c r="H70" s="5">
        <f>IF($L70="","",SUMIFS('Per Line'!$X$2:$X$2501,'Per Line'!$D$2:$D$2501,$B70))</f>
        <v/>
      </c>
      <c r="I70" s="5">
        <f>IF($L70="","",SUMIFS('Per Line'!$Y$2:$Y$2501,'Per Line'!$D$2:$D$2501,$B70))</f>
        <v/>
      </c>
      <c r="J70" s="5">
        <f>IF($L70="","",G70-H70)</f>
        <v/>
      </c>
      <c r="K70" s="5">
        <f>IF($L70="","",J70-I70)</f>
        <v/>
      </c>
      <c r="L70">
        <f>IF(ROWS($L$2:$L70)&lt;=MAX('Per Line'!$AD$2:$AD$2501),MATCH(ROWS($L$2:$L70),'Per Line'!$AD$2:$AD$2501,0),"")</f>
        <v/>
      </c>
      <c r="M70">
        <f>IF($L70="","",INDEX('Per Line'!$E$2:$E$2501,$L70))</f>
        <v/>
      </c>
    </row>
    <row r="71">
      <c r="A71">
        <f>IF($L71="","",INDEX('Per Line'!$C$2:$C$2501,$L71))</f>
        <v/>
      </c>
      <c r="B71">
        <f>IF($L71="","",INDEX('Per Line'!$D$2:$D$2501,$L71))</f>
        <v/>
      </c>
      <c r="C71">
        <f>IF($L71="","",INDEX('Per Line'!$A$2:$A$2501,$L71))</f>
        <v/>
      </c>
      <c r="F71">
        <f>IF($L71="","",INDEX('Per Line'!$U$2:$U$2501,$L71))</f>
        <v/>
      </c>
      <c r="G71" s="5">
        <f>IF($L71="","",SUMIFS('Per Line'!$W$2:$W$2501,'Per Line'!$D$2:$D$2501,$B71))</f>
        <v/>
      </c>
      <c r="H71" s="5">
        <f>IF($L71="","",SUMIFS('Per Line'!$X$2:$X$2501,'Per Line'!$D$2:$D$2501,$B71))</f>
        <v/>
      </c>
      <c r="I71" s="5">
        <f>IF($L71="","",SUMIFS('Per Line'!$Y$2:$Y$2501,'Per Line'!$D$2:$D$2501,$B71))</f>
        <v/>
      </c>
      <c r="J71" s="5">
        <f>IF($L71="","",G71-H71)</f>
        <v/>
      </c>
      <c r="K71" s="5">
        <f>IF($L71="","",J71-I71)</f>
        <v/>
      </c>
      <c r="L71">
        <f>IF(ROWS($L$2:$L71)&lt;=MAX('Per Line'!$AD$2:$AD$2501),MATCH(ROWS($L$2:$L71),'Per Line'!$AD$2:$AD$2501,0),"")</f>
        <v/>
      </c>
      <c r="M71">
        <f>IF($L71="","",INDEX('Per Line'!$E$2:$E$2501,$L71))</f>
        <v/>
      </c>
    </row>
    <row r="72">
      <c r="A72">
        <f>IF($L72="","",INDEX('Per Line'!$C$2:$C$2501,$L72))</f>
        <v/>
      </c>
      <c r="B72">
        <f>IF($L72="","",INDEX('Per Line'!$D$2:$D$2501,$L72))</f>
        <v/>
      </c>
      <c r="C72">
        <f>IF($L72="","",INDEX('Per Line'!$A$2:$A$2501,$L72))</f>
        <v/>
      </c>
      <c r="F72">
        <f>IF($L72="","",INDEX('Per Line'!$U$2:$U$2501,$L72))</f>
        <v/>
      </c>
      <c r="G72" s="5">
        <f>IF($L72="","",SUMIFS('Per Line'!$W$2:$W$2501,'Per Line'!$D$2:$D$2501,$B72))</f>
        <v/>
      </c>
      <c r="H72" s="5">
        <f>IF($L72="","",SUMIFS('Per Line'!$X$2:$X$2501,'Per Line'!$D$2:$D$2501,$B72))</f>
        <v/>
      </c>
      <c r="I72" s="5">
        <f>IF($L72="","",SUMIFS('Per Line'!$Y$2:$Y$2501,'Per Line'!$D$2:$D$2501,$B72))</f>
        <v/>
      </c>
      <c r="J72" s="5">
        <f>IF($L72="","",G72-H72)</f>
        <v/>
      </c>
      <c r="K72" s="5">
        <f>IF($L72="","",J72-I72)</f>
        <v/>
      </c>
      <c r="L72">
        <f>IF(ROWS($L$2:$L72)&lt;=MAX('Per Line'!$AD$2:$AD$2501),MATCH(ROWS($L$2:$L72),'Per Line'!$AD$2:$AD$2501,0),"")</f>
        <v/>
      </c>
      <c r="M72">
        <f>IF($L72="","",INDEX('Per Line'!$E$2:$E$2501,$L72))</f>
        <v/>
      </c>
    </row>
    <row r="73">
      <c r="A73">
        <f>IF($L73="","",INDEX('Per Line'!$C$2:$C$2501,$L73))</f>
        <v/>
      </c>
      <c r="B73">
        <f>IF($L73="","",INDEX('Per Line'!$D$2:$D$2501,$L73))</f>
        <v/>
      </c>
      <c r="C73">
        <f>IF($L73="","",INDEX('Per Line'!$A$2:$A$2501,$L73))</f>
        <v/>
      </c>
      <c r="F73">
        <f>IF($L73="","",INDEX('Per Line'!$U$2:$U$2501,$L73))</f>
        <v/>
      </c>
      <c r="G73" s="5">
        <f>IF($L73="","",SUMIFS('Per Line'!$W$2:$W$2501,'Per Line'!$D$2:$D$2501,$B73))</f>
        <v/>
      </c>
      <c r="H73" s="5">
        <f>IF($L73="","",SUMIFS('Per Line'!$X$2:$X$2501,'Per Line'!$D$2:$D$2501,$B73))</f>
        <v/>
      </c>
      <c r="I73" s="5">
        <f>IF($L73="","",SUMIFS('Per Line'!$Y$2:$Y$2501,'Per Line'!$D$2:$D$2501,$B73))</f>
        <v/>
      </c>
      <c r="J73" s="5">
        <f>IF($L73="","",G73-H73)</f>
        <v/>
      </c>
      <c r="K73" s="5">
        <f>IF($L73="","",J73-I73)</f>
        <v/>
      </c>
      <c r="L73">
        <f>IF(ROWS($L$2:$L73)&lt;=MAX('Per Line'!$AD$2:$AD$2501),MATCH(ROWS($L$2:$L73),'Per Line'!$AD$2:$AD$2501,0),"")</f>
        <v/>
      </c>
      <c r="M73">
        <f>IF($L73="","",INDEX('Per Line'!$E$2:$E$2501,$L73))</f>
        <v/>
      </c>
    </row>
    <row r="74">
      <c r="A74">
        <f>IF($L74="","",INDEX('Per Line'!$C$2:$C$2501,$L74))</f>
        <v/>
      </c>
      <c r="B74">
        <f>IF($L74="","",INDEX('Per Line'!$D$2:$D$2501,$L74))</f>
        <v/>
      </c>
      <c r="C74">
        <f>IF($L74="","",INDEX('Per Line'!$A$2:$A$2501,$L74))</f>
        <v/>
      </c>
      <c r="F74">
        <f>IF($L74="","",INDEX('Per Line'!$U$2:$U$2501,$L74))</f>
        <v/>
      </c>
      <c r="G74" s="5">
        <f>IF($L74="","",SUMIFS('Per Line'!$W$2:$W$2501,'Per Line'!$D$2:$D$2501,$B74))</f>
        <v/>
      </c>
      <c r="H74" s="5">
        <f>IF($L74="","",SUMIFS('Per Line'!$X$2:$X$2501,'Per Line'!$D$2:$D$2501,$B74))</f>
        <v/>
      </c>
      <c r="I74" s="5">
        <f>IF($L74="","",SUMIFS('Per Line'!$Y$2:$Y$2501,'Per Line'!$D$2:$D$2501,$B74))</f>
        <v/>
      </c>
      <c r="J74" s="5">
        <f>IF($L74="","",G74-H74)</f>
        <v/>
      </c>
      <c r="K74" s="5">
        <f>IF($L74="","",J74-I74)</f>
        <v/>
      </c>
      <c r="L74">
        <f>IF(ROWS($L$2:$L74)&lt;=MAX('Per Line'!$AD$2:$AD$2501),MATCH(ROWS($L$2:$L74),'Per Line'!$AD$2:$AD$2501,0),"")</f>
        <v/>
      </c>
      <c r="M74">
        <f>IF($L74="","",INDEX('Per Line'!$E$2:$E$2501,$L74))</f>
        <v/>
      </c>
    </row>
    <row r="75">
      <c r="A75">
        <f>IF($L75="","",INDEX('Per Line'!$C$2:$C$2501,$L75))</f>
        <v/>
      </c>
      <c r="B75">
        <f>IF($L75="","",INDEX('Per Line'!$D$2:$D$2501,$L75))</f>
        <v/>
      </c>
      <c r="C75">
        <f>IF($L75="","",INDEX('Per Line'!$A$2:$A$2501,$L75))</f>
        <v/>
      </c>
      <c r="F75">
        <f>IF($L75="","",INDEX('Per Line'!$U$2:$U$2501,$L75))</f>
        <v/>
      </c>
      <c r="G75" s="5">
        <f>IF($L75="","",SUMIFS('Per Line'!$W$2:$W$2501,'Per Line'!$D$2:$D$2501,$B75))</f>
        <v/>
      </c>
      <c r="H75" s="5">
        <f>IF($L75="","",SUMIFS('Per Line'!$X$2:$X$2501,'Per Line'!$D$2:$D$2501,$B75))</f>
        <v/>
      </c>
      <c r="I75" s="5">
        <f>IF($L75="","",SUMIFS('Per Line'!$Y$2:$Y$2501,'Per Line'!$D$2:$D$2501,$B75))</f>
        <v/>
      </c>
      <c r="J75" s="5">
        <f>IF($L75="","",G75-H75)</f>
        <v/>
      </c>
      <c r="K75" s="5">
        <f>IF($L75="","",J75-I75)</f>
        <v/>
      </c>
      <c r="L75">
        <f>IF(ROWS($L$2:$L75)&lt;=MAX('Per Line'!$AD$2:$AD$2501),MATCH(ROWS($L$2:$L75),'Per Line'!$AD$2:$AD$2501,0),"")</f>
        <v/>
      </c>
      <c r="M75">
        <f>IF($L75="","",INDEX('Per Line'!$E$2:$E$2501,$L75))</f>
        <v/>
      </c>
    </row>
    <row r="76">
      <c r="A76">
        <f>IF($L76="","",INDEX('Per Line'!$C$2:$C$2501,$L76))</f>
        <v/>
      </c>
      <c r="B76">
        <f>IF($L76="","",INDEX('Per Line'!$D$2:$D$2501,$L76))</f>
        <v/>
      </c>
      <c r="C76">
        <f>IF($L76="","",INDEX('Per Line'!$A$2:$A$2501,$L76))</f>
        <v/>
      </c>
      <c r="F76">
        <f>IF($L76="","",INDEX('Per Line'!$U$2:$U$2501,$L76))</f>
        <v/>
      </c>
      <c r="G76" s="5">
        <f>IF($L76="","",SUMIFS('Per Line'!$W$2:$W$2501,'Per Line'!$D$2:$D$2501,$B76))</f>
        <v/>
      </c>
      <c r="H76" s="5">
        <f>IF($L76="","",SUMIFS('Per Line'!$X$2:$X$2501,'Per Line'!$D$2:$D$2501,$B76))</f>
        <v/>
      </c>
      <c r="I76" s="5">
        <f>IF($L76="","",SUMIFS('Per Line'!$Y$2:$Y$2501,'Per Line'!$D$2:$D$2501,$B76))</f>
        <v/>
      </c>
      <c r="J76" s="5">
        <f>IF($L76="","",G76-H76)</f>
        <v/>
      </c>
      <c r="K76" s="5">
        <f>IF($L76="","",J76-I76)</f>
        <v/>
      </c>
      <c r="L76">
        <f>IF(ROWS($L$2:$L76)&lt;=MAX('Per Line'!$AD$2:$AD$2501),MATCH(ROWS($L$2:$L76),'Per Line'!$AD$2:$AD$2501,0),"")</f>
        <v/>
      </c>
      <c r="M76">
        <f>IF($L76="","",INDEX('Per Line'!$E$2:$E$2501,$L76))</f>
        <v/>
      </c>
    </row>
    <row r="77">
      <c r="A77">
        <f>IF($L77="","",INDEX('Per Line'!$C$2:$C$2501,$L77))</f>
        <v/>
      </c>
      <c r="B77">
        <f>IF($L77="","",INDEX('Per Line'!$D$2:$D$2501,$L77))</f>
        <v/>
      </c>
      <c r="C77">
        <f>IF($L77="","",INDEX('Per Line'!$A$2:$A$2501,$L77))</f>
        <v/>
      </c>
      <c r="F77">
        <f>IF($L77="","",INDEX('Per Line'!$U$2:$U$2501,$L77))</f>
        <v/>
      </c>
      <c r="G77" s="5">
        <f>IF($L77="","",SUMIFS('Per Line'!$W$2:$W$2501,'Per Line'!$D$2:$D$2501,$B77))</f>
        <v/>
      </c>
      <c r="H77" s="5">
        <f>IF($L77="","",SUMIFS('Per Line'!$X$2:$X$2501,'Per Line'!$D$2:$D$2501,$B77))</f>
        <v/>
      </c>
      <c r="I77" s="5">
        <f>IF($L77="","",SUMIFS('Per Line'!$Y$2:$Y$2501,'Per Line'!$D$2:$D$2501,$B77))</f>
        <v/>
      </c>
      <c r="J77" s="5">
        <f>IF($L77="","",G77-H77)</f>
        <v/>
      </c>
      <c r="K77" s="5">
        <f>IF($L77="","",J77-I77)</f>
        <v/>
      </c>
      <c r="L77">
        <f>IF(ROWS($L$2:$L77)&lt;=MAX('Per Line'!$AD$2:$AD$2501),MATCH(ROWS($L$2:$L77),'Per Line'!$AD$2:$AD$2501,0),"")</f>
        <v/>
      </c>
      <c r="M77">
        <f>IF($L77="","",INDEX('Per Line'!$E$2:$E$2501,$L77))</f>
        <v/>
      </c>
    </row>
    <row r="78">
      <c r="A78">
        <f>IF($L78="","",INDEX('Per Line'!$C$2:$C$2501,$L78))</f>
        <v/>
      </c>
      <c r="B78">
        <f>IF($L78="","",INDEX('Per Line'!$D$2:$D$2501,$L78))</f>
        <v/>
      </c>
      <c r="C78">
        <f>IF($L78="","",INDEX('Per Line'!$A$2:$A$2501,$L78))</f>
        <v/>
      </c>
      <c r="F78">
        <f>IF($L78="","",INDEX('Per Line'!$U$2:$U$2501,$L78))</f>
        <v/>
      </c>
      <c r="G78" s="5">
        <f>IF($L78="","",SUMIFS('Per Line'!$W$2:$W$2501,'Per Line'!$D$2:$D$2501,$B78))</f>
        <v/>
      </c>
      <c r="H78" s="5">
        <f>IF($L78="","",SUMIFS('Per Line'!$X$2:$X$2501,'Per Line'!$D$2:$D$2501,$B78))</f>
        <v/>
      </c>
      <c r="I78" s="5">
        <f>IF($L78="","",SUMIFS('Per Line'!$Y$2:$Y$2501,'Per Line'!$D$2:$D$2501,$B78))</f>
        <v/>
      </c>
      <c r="J78" s="5">
        <f>IF($L78="","",G78-H78)</f>
        <v/>
      </c>
      <c r="K78" s="5">
        <f>IF($L78="","",J78-I78)</f>
        <v/>
      </c>
      <c r="L78">
        <f>IF(ROWS($L$2:$L78)&lt;=MAX('Per Line'!$AD$2:$AD$2501),MATCH(ROWS($L$2:$L78),'Per Line'!$AD$2:$AD$2501,0),"")</f>
        <v/>
      </c>
      <c r="M78">
        <f>IF($L78="","",INDEX('Per Line'!$E$2:$E$2501,$L78))</f>
        <v/>
      </c>
    </row>
    <row r="79">
      <c r="A79">
        <f>IF($L79="","",INDEX('Per Line'!$C$2:$C$2501,$L79))</f>
        <v/>
      </c>
      <c r="B79">
        <f>IF($L79="","",INDEX('Per Line'!$D$2:$D$2501,$L79))</f>
        <v/>
      </c>
      <c r="C79">
        <f>IF($L79="","",INDEX('Per Line'!$A$2:$A$2501,$L79))</f>
        <v/>
      </c>
      <c r="F79">
        <f>IF($L79="","",INDEX('Per Line'!$U$2:$U$2501,$L79))</f>
        <v/>
      </c>
      <c r="G79" s="5">
        <f>IF($L79="","",SUMIFS('Per Line'!$W$2:$W$2501,'Per Line'!$D$2:$D$2501,$B79))</f>
        <v/>
      </c>
      <c r="H79" s="5">
        <f>IF($L79="","",SUMIFS('Per Line'!$X$2:$X$2501,'Per Line'!$D$2:$D$2501,$B79))</f>
        <v/>
      </c>
      <c r="I79" s="5">
        <f>IF($L79="","",SUMIFS('Per Line'!$Y$2:$Y$2501,'Per Line'!$D$2:$D$2501,$B79))</f>
        <v/>
      </c>
      <c r="J79" s="5">
        <f>IF($L79="","",G79-H79)</f>
        <v/>
      </c>
      <c r="K79" s="5">
        <f>IF($L79="","",J79-I79)</f>
        <v/>
      </c>
      <c r="L79">
        <f>IF(ROWS($L$2:$L79)&lt;=MAX('Per Line'!$AD$2:$AD$2501),MATCH(ROWS($L$2:$L79),'Per Line'!$AD$2:$AD$2501,0),"")</f>
        <v/>
      </c>
      <c r="M79">
        <f>IF($L79="","",INDEX('Per Line'!$E$2:$E$2501,$L79))</f>
        <v/>
      </c>
    </row>
    <row r="80">
      <c r="A80">
        <f>IF($L80="","",INDEX('Per Line'!$C$2:$C$2501,$L80))</f>
        <v/>
      </c>
      <c r="B80">
        <f>IF($L80="","",INDEX('Per Line'!$D$2:$D$2501,$L80))</f>
        <v/>
      </c>
      <c r="C80">
        <f>IF($L80="","",INDEX('Per Line'!$A$2:$A$2501,$L80))</f>
        <v/>
      </c>
      <c r="F80">
        <f>IF($L80="","",INDEX('Per Line'!$U$2:$U$2501,$L80))</f>
        <v/>
      </c>
      <c r="G80" s="5">
        <f>IF($L80="","",SUMIFS('Per Line'!$W$2:$W$2501,'Per Line'!$D$2:$D$2501,$B80))</f>
        <v/>
      </c>
      <c r="H80" s="5">
        <f>IF($L80="","",SUMIFS('Per Line'!$X$2:$X$2501,'Per Line'!$D$2:$D$2501,$B80))</f>
        <v/>
      </c>
      <c r="I80" s="5">
        <f>IF($L80="","",SUMIFS('Per Line'!$Y$2:$Y$2501,'Per Line'!$D$2:$D$2501,$B80))</f>
        <v/>
      </c>
      <c r="J80" s="5">
        <f>IF($L80="","",G80-H80)</f>
        <v/>
      </c>
      <c r="K80" s="5">
        <f>IF($L80="","",J80-I80)</f>
        <v/>
      </c>
      <c r="L80">
        <f>IF(ROWS($L$2:$L80)&lt;=MAX('Per Line'!$AD$2:$AD$2501),MATCH(ROWS($L$2:$L80),'Per Line'!$AD$2:$AD$2501,0),"")</f>
        <v/>
      </c>
      <c r="M80">
        <f>IF($L80="","",INDEX('Per Line'!$E$2:$E$2501,$L80))</f>
        <v/>
      </c>
    </row>
    <row r="81">
      <c r="A81">
        <f>IF($L81="","",INDEX('Per Line'!$C$2:$C$2501,$L81))</f>
        <v/>
      </c>
      <c r="B81">
        <f>IF($L81="","",INDEX('Per Line'!$D$2:$D$2501,$L81))</f>
        <v/>
      </c>
      <c r="C81">
        <f>IF($L81="","",INDEX('Per Line'!$A$2:$A$2501,$L81))</f>
        <v/>
      </c>
      <c r="F81">
        <f>IF($L81="","",INDEX('Per Line'!$U$2:$U$2501,$L81))</f>
        <v/>
      </c>
      <c r="G81" s="5">
        <f>IF($L81="","",SUMIFS('Per Line'!$W$2:$W$2501,'Per Line'!$D$2:$D$2501,$B81))</f>
        <v/>
      </c>
      <c r="H81" s="5">
        <f>IF($L81="","",SUMIFS('Per Line'!$X$2:$X$2501,'Per Line'!$D$2:$D$2501,$B81))</f>
        <v/>
      </c>
      <c r="I81" s="5">
        <f>IF($L81="","",SUMIFS('Per Line'!$Y$2:$Y$2501,'Per Line'!$D$2:$D$2501,$B81))</f>
        <v/>
      </c>
      <c r="J81" s="5">
        <f>IF($L81="","",G81-H81)</f>
        <v/>
      </c>
      <c r="K81" s="5">
        <f>IF($L81="","",J81-I81)</f>
        <v/>
      </c>
      <c r="L81">
        <f>IF(ROWS($L$2:$L81)&lt;=MAX('Per Line'!$AD$2:$AD$2501),MATCH(ROWS($L$2:$L81),'Per Line'!$AD$2:$AD$2501,0),"")</f>
        <v/>
      </c>
      <c r="M81">
        <f>IF($L81="","",INDEX('Per Line'!$E$2:$E$2501,$L81))</f>
        <v/>
      </c>
    </row>
    <row r="82">
      <c r="A82">
        <f>IF($L82="","",INDEX('Per Line'!$C$2:$C$2501,$L82))</f>
        <v/>
      </c>
      <c r="B82">
        <f>IF($L82="","",INDEX('Per Line'!$D$2:$D$2501,$L82))</f>
        <v/>
      </c>
      <c r="C82">
        <f>IF($L82="","",INDEX('Per Line'!$A$2:$A$2501,$L82))</f>
        <v/>
      </c>
      <c r="F82">
        <f>IF($L82="","",INDEX('Per Line'!$U$2:$U$2501,$L82))</f>
        <v/>
      </c>
      <c r="G82" s="5">
        <f>IF($L82="","",SUMIFS('Per Line'!$W$2:$W$2501,'Per Line'!$D$2:$D$2501,$B82))</f>
        <v/>
      </c>
      <c r="H82" s="5">
        <f>IF($L82="","",SUMIFS('Per Line'!$X$2:$X$2501,'Per Line'!$D$2:$D$2501,$B82))</f>
        <v/>
      </c>
      <c r="I82" s="5">
        <f>IF($L82="","",SUMIFS('Per Line'!$Y$2:$Y$2501,'Per Line'!$D$2:$D$2501,$B82))</f>
        <v/>
      </c>
      <c r="J82" s="5">
        <f>IF($L82="","",G82-H82)</f>
        <v/>
      </c>
      <c r="K82" s="5">
        <f>IF($L82="","",J82-I82)</f>
        <v/>
      </c>
      <c r="L82">
        <f>IF(ROWS($L$2:$L82)&lt;=MAX('Per Line'!$AD$2:$AD$2501),MATCH(ROWS($L$2:$L82),'Per Line'!$AD$2:$AD$2501,0),"")</f>
        <v/>
      </c>
      <c r="M82">
        <f>IF($L82="","",INDEX('Per Line'!$E$2:$E$2501,$L82))</f>
        <v/>
      </c>
    </row>
    <row r="83">
      <c r="A83">
        <f>IF($L83="","",INDEX('Per Line'!$C$2:$C$2501,$L83))</f>
        <v/>
      </c>
      <c r="B83">
        <f>IF($L83="","",INDEX('Per Line'!$D$2:$D$2501,$L83))</f>
        <v/>
      </c>
      <c r="C83">
        <f>IF($L83="","",INDEX('Per Line'!$A$2:$A$2501,$L83))</f>
        <v/>
      </c>
      <c r="F83">
        <f>IF($L83="","",INDEX('Per Line'!$U$2:$U$2501,$L83))</f>
        <v/>
      </c>
      <c r="G83" s="5">
        <f>IF($L83="","",SUMIFS('Per Line'!$W$2:$W$2501,'Per Line'!$D$2:$D$2501,$B83))</f>
        <v/>
      </c>
      <c r="H83" s="5">
        <f>IF($L83="","",SUMIFS('Per Line'!$X$2:$X$2501,'Per Line'!$D$2:$D$2501,$B83))</f>
        <v/>
      </c>
      <c r="I83" s="5">
        <f>IF($L83="","",SUMIFS('Per Line'!$Y$2:$Y$2501,'Per Line'!$D$2:$D$2501,$B83))</f>
        <v/>
      </c>
      <c r="J83" s="5">
        <f>IF($L83="","",G83-H83)</f>
        <v/>
      </c>
      <c r="K83" s="5">
        <f>IF($L83="","",J83-I83)</f>
        <v/>
      </c>
      <c r="L83">
        <f>IF(ROWS($L$2:$L83)&lt;=MAX('Per Line'!$AD$2:$AD$2501),MATCH(ROWS($L$2:$L83),'Per Line'!$AD$2:$AD$2501,0),"")</f>
        <v/>
      </c>
      <c r="M83">
        <f>IF($L83="","",INDEX('Per Line'!$E$2:$E$2501,$L83))</f>
        <v/>
      </c>
    </row>
    <row r="84">
      <c r="A84">
        <f>IF($L84="","",INDEX('Per Line'!$C$2:$C$2501,$L84))</f>
        <v/>
      </c>
      <c r="B84">
        <f>IF($L84="","",INDEX('Per Line'!$D$2:$D$2501,$L84))</f>
        <v/>
      </c>
      <c r="C84">
        <f>IF($L84="","",INDEX('Per Line'!$A$2:$A$2501,$L84))</f>
        <v/>
      </c>
      <c r="F84">
        <f>IF($L84="","",INDEX('Per Line'!$U$2:$U$2501,$L84))</f>
        <v/>
      </c>
      <c r="G84" s="5">
        <f>IF($L84="","",SUMIFS('Per Line'!$W$2:$W$2501,'Per Line'!$D$2:$D$2501,$B84))</f>
        <v/>
      </c>
      <c r="H84" s="5">
        <f>IF($L84="","",SUMIFS('Per Line'!$X$2:$X$2501,'Per Line'!$D$2:$D$2501,$B84))</f>
        <v/>
      </c>
      <c r="I84" s="5">
        <f>IF($L84="","",SUMIFS('Per Line'!$Y$2:$Y$2501,'Per Line'!$D$2:$D$2501,$B84))</f>
        <v/>
      </c>
      <c r="J84" s="5">
        <f>IF($L84="","",G84-H84)</f>
        <v/>
      </c>
      <c r="K84" s="5">
        <f>IF($L84="","",J84-I84)</f>
        <v/>
      </c>
      <c r="L84">
        <f>IF(ROWS($L$2:$L84)&lt;=MAX('Per Line'!$AD$2:$AD$2501),MATCH(ROWS($L$2:$L84),'Per Line'!$AD$2:$AD$2501,0),"")</f>
        <v/>
      </c>
      <c r="M84">
        <f>IF($L84="","",INDEX('Per Line'!$E$2:$E$2501,$L84))</f>
        <v/>
      </c>
    </row>
    <row r="85">
      <c r="A85">
        <f>IF($L85="","",INDEX('Per Line'!$C$2:$C$2501,$L85))</f>
        <v/>
      </c>
      <c r="B85">
        <f>IF($L85="","",INDEX('Per Line'!$D$2:$D$2501,$L85))</f>
        <v/>
      </c>
      <c r="C85">
        <f>IF($L85="","",INDEX('Per Line'!$A$2:$A$2501,$L85))</f>
        <v/>
      </c>
      <c r="F85">
        <f>IF($L85="","",INDEX('Per Line'!$U$2:$U$2501,$L85))</f>
        <v/>
      </c>
      <c r="G85" s="5">
        <f>IF($L85="","",SUMIFS('Per Line'!$W$2:$W$2501,'Per Line'!$D$2:$D$2501,$B85))</f>
        <v/>
      </c>
      <c r="H85" s="5">
        <f>IF($L85="","",SUMIFS('Per Line'!$X$2:$X$2501,'Per Line'!$D$2:$D$2501,$B85))</f>
        <v/>
      </c>
      <c r="I85" s="5">
        <f>IF($L85="","",SUMIFS('Per Line'!$Y$2:$Y$2501,'Per Line'!$D$2:$D$2501,$B85))</f>
        <v/>
      </c>
      <c r="J85" s="5">
        <f>IF($L85="","",G85-H85)</f>
        <v/>
      </c>
      <c r="K85" s="5">
        <f>IF($L85="","",J85-I85)</f>
        <v/>
      </c>
      <c r="L85">
        <f>IF(ROWS($L$2:$L85)&lt;=MAX('Per Line'!$AD$2:$AD$2501),MATCH(ROWS($L$2:$L85),'Per Line'!$AD$2:$AD$2501,0),"")</f>
        <v/>
      </c>
      <c r="M85">
        <f>IF($L85="","",INDEX('Per Line'!$E$2:$E$2501,$L85))</f>
        <v/>
      </c>
    </row>
    <row r="86">
      <c r="A86">
        <f>IF($L86="","",INDEX('Per Line'!$C$2:$C$2501,$L86))</f>
        <v/>
      </c>
      <c r="B86">
        <f>IF($L86="","",INDEX('Per Line'!$D$2:$D$2501,$L86))</f>
        <v/>
      </c>
      <c r="C86">
        <f>IF($L86="","",INDEX('Per Line'!$A$2:$A$2501,$L86))</f>
        <v/>
      </c>
      <c r="F86">
        <f>IF($L86="","",INDEX('Per Line'!$U$2:$U$2501,$L86))</f>
        <v/>
      </c>
      <c r="G86" s="5">
        <f>IF($L86="","",SUMIFS('Per Line'!$W$2:$W$2501,'Per Line'!$D$2:$D$2501,$B86))</f>
        <v/>
      </c>
      <c r="H86" s="5">
        <f>IF($L86="","",SUMIFS('Per Line'!$X$2:$X$2501,'Per Line'!$D$2:$D$2501,$B86))</f>
        <v/>
      </c>
      <c r="I86" s="5">
        <f>IF($L86="","",SUMIFS('Per Line'!$Y$2:$Y$2501,'Per Line'!$D$2:$D$2501,$B86))</f>
        <v/>
      </c>
      <c r="J86" s="5">
        <f>IF($L86="","",G86-H86)</f>
        <v/>
      </c>
      <c r="K86" s="5">
        <f>IF($L86="","",J86-I86)</f>
        <v/>
      </c>
      <c r="L86">
        <f>IF(ROWS($L$2:$L86)&lt;=MAX('Per Line'!$AD$2:$AD$2501),MATCH(ROWS($L$2:$L86),'Per Line'!$AD$2:$AD$2501,0),"")</f>
        <v/>
      </c>
      <c r="M86">
        <f>IF($L86="","",INDEX('Per Line'!$E$2:$E$2501,$L86))</f>
        <v/>
      </c>
    </row>
    <row r="87">
      <c r="A87">
        <f>IF($L87="","",INDEX('Per Line'!$C$2:$C$2501,$L87))</f>
        <v/>
      </c>
      <c r="B87">
        <f>IF($L87="","",INDEX('Per Line'!$D$2:$D$2501,$L87))</f>
        <v/>
      </c>
      <c r="C87">
        <f>IF($L87="","",INDEX('Per Line'!$A$2:$A$2501,$L87))</f>
        <v/>
      </c>
      <c r="F87">
        <f>IF($L87="","",INDEX('Per Line'!$U$2:$U$2501,$L87))</f>
        <v/>
      </c>
      <c r="G87" s="5">
        <f>IF($L87="","",SUMIFS('Per Line'!$W$2:$W$2501,'Per Line'!$D$2:$D$2501,$B87))</f>
        <v/>
      </c>
      <c r="H87" s="5">
        <f>IF($L87="","",SUMIFS('Per Line'!$X$2:$X$2501,'Per Line'!$D$2:$D$2501,$B87))</f>
        <v/>
      </c>
      <c r="I87" s="5">
        <f>IF($L87="","",SUMIFS('Per Line'!$Y$2:$Y$2501,'Per Line'!$D$2:$D$2501,$B87))</f>
        <v/>
      </c>
      <c r="J87" s="5">
        <f>IF($L87="","",G87-H87)</f>
        <v/>
      </c>
      <c r="K87" s="5">
        <f>IF($L87="","",J87-I87)</f>
        <v/>
      </c>
      <c r="L87">
        <f>IF(ROWS($L$2:$L87)&lt;=MAX('Per Line'!$AD$2:$AD$2501),MATCH(ROWS($L$2:$L87),'Per Line'!$AD$2:$AD$2501,0),"")</f>
        <v/>
      </c>
      <c r="M87">
        <f>IF($L87="","",INDEX('Per Line'!$E$2:$E$2501,$L87))</f>
        <v/>
      </c>
    </row>
    <row r="88">
      <c r="A88">
        <f>IF($L88="","",INDEX('Per Line'!$C$2:$C$2501,$L88))</f>
        <v/>
      </c>
      <c r="B88">
        <f>IF($L88="","",INDEX('Per Line'!$D$2:$D$2501,$L88))</f>
        <v/>
      </c>
      <c r="C88">
        <f>IF($L88="","",INDEX('Per Line'!$A$2:$A$2501,$L88))</f>
        <v/>
      </c>
      <c r="F88">
        <f>IF($L88="","",INDEX('Per Line'!$U$2:$U$2501,$L88))</f>
        <v/>
      </c>
      <c r="G88" s="5">
        <f>IF($L88="","",SUMIFS('Per Line'!$W$2:$W$2501,'Per Line'!$D$2:$D$2501,$B88))</f>
        <v/>
      </c>
      <c r="H88" s="5">
        <f>IF($L88="","",SUMIFS('Per Line'!$X$2:$X$2501,'Per Line'!$D$2:$D$2501,$B88))</f>
        <v/>
      </c>
      <c r="I88" s="5">
        <f>IF($L88="","",SUMIFS('Per Line'!$Y$2:$Y$2501,'Per Line'!$D$2:$D$2501,$B88))</f>
        <v/>
      </c>
      <c r="J88" s="5">
        <f>IF($L88="","",G88-H88)</f>
        <v/>
      </c>
      <c r="K88" s="5">
        <f>IF($L88="","",J88-I88)</f>
        <v/>
      </c>
      <c r="L88">
        <f>IF(ROWS($L$2:$L88)&lt;=MAX('Per Line'!$AD$2:$AD$2501),MATCH(ROWS($L$2:$L88),'Per Line'!$AD$2:$AD$2501,0),"")</f>
        <v/>
      </c>
      <c r="M88">
        <f>IF($L88="","",INDEX('Per Line'!$E$2:$E$2501,$L88))</f>
        <v/>
      </c>
    </row>
    <row r="89">
      <c r="A89">
        <f>IF($L89="","",INDEX('Per Line'!$C$2:$C$2501,$L89))</f>
        <v/>
      </c>
      <c r="B89">
        <f>IF($L89="","",INDEX('Per Line'!$D$2:$D$2501,$L89))</f>
        <v/>
      </c>
      <c r="C89">
        <f>IF($L89="","",INDEX('Per Line'!$A$2:$A$2501,$L89))</f>
        <v/>
      </c>
      <c r="F89">
        <f>IF($L89="","",INDEX('Per Line'!$U$2:$U$2501,$L89))</f>
        <v/>
      </c>
      <c r="G89" s="5">
        <f>IF($L89="","",SUMIFS('Per Line'!$W$2:$W$2501,'Per Line'!$D$2:$D$2501,$B89))</f>
        <v/>
      </c>
      <c r="H89" s="5">
        <f>IF($L89="","",SUMIFS('Per Line'!$X$2:$X$2501,'Per Line'!$D$2:$D$2501,$B89))</f>
        <v/>
      </c>
      <c r="I89" s="5">
        <f>IF($L89="","",SUMIFS('Per Line'!$Y$2:$Y$2501,'Per Line'!$D$2:$D$2501,$B89))</f>
        <v/>
      </c>
      <c r="J89" s="5">
        <f>IF($L89="","",G89-H89)</f>
        <v/>
      </c>
      <c r="K89" s="5">
        <f>IF($L89="","",J89-I89)</f>
        <v/>
      </c>
      <c r="L89">
        <f>IF(ROWS($L$2:$L89)&lt;=MAX('Per Line'!$AD$2:$AD$2501),MATCH(ROWS($L$2:$L89),'Per Line'!$AD$2:$AD$2501,0),"")</f>
        <v/>
      </c>
      <c r="M89">
        <f>IF($L89="","",INDEX('Per Line'!$E$2:$E$2501,$L89))</f>
        <v/>
      </c>
    </row>
    <row r="90">
      <c r="A90">
        <f>IF($L90="","",INDEX('Per Line'!$C$2:$C$2501,$L90))</f>
        <v/>
      </c>
      <c r="B90">
        <f>IF($L90="","",INDEX('Per Line'!$D$2:$D$2501,$L90))</f>
        <v/>
      </c>
      <c r="C90">
        <f>IF($L90="","",INDEX('Per Line'!$A$2:$A$2501,$L90))</f>
        <v/>
      </c>
      <c r="F90">
        <f>IF($L90="","",INDEX('Per Line'!$U$2:$U$2501,$L90))</f>
        <v/>
      </c>
      <c r="G90" s="5">
        <f>IF($L90="","",SUMIFS('Per Line'!$W$2:$W$2501,'Per Line'!$D$2:$D$2501,$B90))</f>
        <v/>
      </c>
      <c r="H90" s="5">
        <f>IF($L90="","",SUMIFS('Per Line'!$X$2:$X$2501,'Per Line'!$D$2:$D$2501,$B90))</f>
        <v/>
      </c>
      <c r="I90" s="5">
        <f>IF($L90="","",SUMIFS('Per Line'!$Y$2:$Y$2501,'Per Line'!$D$2:$D$2501,$B90))</f>
        <v/>
      </c>
      <c r="J90" s="5">
        <f>IF($L90="","",G90-H90)</f>
        <v/>
      </c>
      <c r="K90" s="5">
        <f>IF($L90="","",J90-I90)</f>
        <v/>
      </c>
      <c r="L90">
        <f>IF(ROWS($L$2:$L90)&lt;=MAX('Per Line'!$AD$2:$AD$2501),MATCH(ROWS($L$2:$L90),'Per Line'!$AD$2:$AD$2501,0),"")</f>
        <v/>
      </c>
      <c r="M90">
        <f>IF($L90="","",INDEX('Per Line'!$E$2:$E$2501,$L90))</f>
        <v/>
      </c>
    </row>
    <row r="91">
      <c r="A91">
        <f>IF($L91="","",INDEX('Per Line'!$C$2:$C$2501,$L91))</f>
        <v/>
      </c>
      <c r="B91">
        <f>IF($L91="","",INDEX('Per Line'!$D$2:$D$2501,$L91))</f>
        <v/>
      </c>
      <c r="C91">
        <f>IF($L91="","",INDEX('Per Line'!$A$2:$A$2501,$L91))</f>
        <v/>
      </c>
      <c r="F91">
        <f>IF($L91="","",INDEX('Per Line'!$U$2:$U$2501,$L91))</f>
        <v/>
      </c>
      <c r="G91" s="5">
        <f>IF($L91="","",SUMIFS('Per Line'!$W$2:$W$2501,'Per Line'!$D$2:$D$2501,$B91))</f>
        <v/>
      </c>
      <c r="H91" s="5">
        <f>IF($L91="","",SUMIFS('Per Line'!$X$2:$X$2501,'Per Line'!$D$2:$D$2501,$B91))</f>
        <v/>
      </c>
      <c r="I91" s="5">
        <f>IF($L91="","",SUMIFS('Per Line'!$Y$2:$Y$2501,'Per Line'!$D$2:$D$2501,$B91))</f>
        <v/>
      </c>
      <c r="J91" s="5">
        <f>IF($L91="","",G91-H91)</f>
        <v/>
      </c>
      <c r="K91" s="5">
        <f>IF($L91="","",J91-I91)</f>
        <v/>
      </c>
      <c r="L91">
        <f>IF(ROWS($L$2:$L91)&lt;=MAX('Per Line'!$AD$2:$AD$2501),MATCH(ROWS($L$2:$L91),'Per Line'!$AD$2:$AD$2501,0),"")</f>
        <v/>
      </c>
      <c r="M91">
        <f>IF($L91="","",INDEX('Per Line'!$E$2:$E$2501,$L91))</f>
        <v/>
      </c>
    </row>
    <row r="92">
      <c r="A92">
        <f>IF($L92="","",INDEX('Per Line'!$C$2:$C$2501,$L92))</f>
        <v/>
      </c>
      <c r="B92">
        <f>IF($L92="","",INDEX('Per Line'!$D$2:$D$2501,$L92))</f>
        <v/>
      </c>
      <c r="C92">
        <f>IF($L92="","",INDEX('Per Line'!$A$2:$A$2501,$L92))</f>
        <v/>
      </c>
      <c r="F92">
        <f>IF($L92="","",INDEX('Per Line'!$U$2:$U$2501,$L92))</f>
        <v/>
      </c>
      <c r="G92" s="5">
        <f>IF($L92="","",SUMIFS('Per Line'!$W$2:$W$2501,'Per Line'!$D$2:$D$2501,$B92))</f>
        <v/>
      </c>
      <c r="H92" s="5">
        <f>IF($L92="","",SUMIFS('Per Line'!$X$2:$X$2501,'Per Line'!$D$2:$D$2501,$B92))</f>
        <v/>
      </c>
      <c r="I92" s="5">
        <f>IF($L92="","",SUMIFS('Per Line'!$Y$2:$Y$2501,'Per Line'!$D$2:$D$2501,$B92))</f>
        <v/>
      </c>
      <c r="J92" s="5">
        <f>IF($L92="","",G92-H92)</f>
        <v/>
      </c>
      <c r="K92" s="5">
        <f>IF($L92="","",J92-I92)</f>
        <v/>
      </c>
      <c r="L92">
        <f>IF(ROWS($L$2:$L92)&lt;=MAX('Per Line'!$AD$2:$AD$2501),MATCH(ROWS($L$2:$L92),'Per Line'!$AD$2:$AD$2501,0),"")</f>
        <v/>
      </c>
      <c r="M92">
        <f>IF($L92="","",INDEX('Per Line'!$E$2:$E$2501,$L92))</f>
        <v/>
      </c>
    </row>
    <row r="93">
      <c r="A93">
        <f>IF($L93="","",INDEX('Per Line'!$C$2:$C$2501,$L93))</f>
        <v/>
      </c>
      <c r="B93">
        <f>IF($L93="","",INDEX('Per Line'!$D$2:$D$2501,$L93))</f>
        <v/>
      </c>
      <c r="C93">
        <f>IF($L93="","",INDEX('Per Line'!$A$2:$A$2501,$L93))</f>
        <v/>
      </c>
      <c r="F93">
        <f>IF($L93="","",INDEX('Per Line'!$U$2:$U$2501,$L93))</f>
        <v/>
      </c>
      <c r="G93" s="5">
        <f>IF($L93="","",SUMIFS('Per Line'!$W$2:$W$2501,'Per Line'!$D$2:$D$2501,$B93))</f>
        <v/>
      </c>
      <c r="H93" s="5">
        <f>IF($L93="","",SUMIFS('Per Line'!$X$2:$X$2501,'Per Line'!$D$2:$D$2501,$B93))</f>
        <v/>
      </c>
      <c r="I93" s="5">
        <f>IF($L93="","",SUMIFS('Per Line'!$Y$2:$Y$2501,'Per Line'!$D$2:$D$2501,$B93))</f>
        <v/>
      </c>
      <c r="J93" s="5">
        <f>IF($L93="","",G93-H93)</f>
        <v/>
      </c>
      <c r="K93" s="5">
        <f>IF($L93="","",J93-I93)</f>
        <v/>
      </c>
      <c r="L93">
        <f>IF(ROWS($L$2:$L93)&lt;=MAX('Per Line'!$AD$2:$AD$2501),MATCH(ROWS($L$2:$L93),'Per Line'!$AD$2:$AD$2501,0),"")</f>
        <v/>
      </c>
      <c r="M93">
        <f>IF($L93="","",INDEX('Per Line'!$E$2:$E$2501,$L93))</f>
        <v/>
      </c>
    </row>
    <row r="94">
      <c r="A94">
        <f>IF($L94="","",INDEX('Per Line'!$C$2:$C$2501,$L94))</f>
        <v/>
      </c>
      <c r="B94">
        <f>IF($L94="","",INDEX('Per Line'!$D$2:$D$2501,$L94))</f>
        <v/>
      </c>
      <c r="C94">
        <f>IF($L94="","",INDEX('Per Line'!$A$2:$A$2501,$L94))</f>
        <v/>
      </c>
      <c r="F94">
        <f>IF($L94="","",INDEX('Per Line'!$U$2:$U$2501,$L94))</f>
        <v/>
      </c>
      <c r="G94" s="5">
        <f>IF($L94="","",SUMIFS('Per Line'!$W$2:$W$2501,'Per Line'!$D$2:$D$2501,$B94))</f>
        <v/>
      </c>
      <c r="H94" s="5">
        <f>IF($L94="","",SUMIFS('Per Line'!$X$2:$X$2501,'Per Line'!$D$2:$D$2501,$B94))</f>
        <v/>
      </c>
      <c r="I94" s="5">
        <f>IF($L94="","",SUMIFS('Per Line'!$Y$2:$Y$2501,'Per Line'!$D$2:$D$2501,$B94))</f>
        <v/>
      </c>
      <c r="J94" s="5">
        <f>IF($L94="","",G94-H94)</f>
        <v/>
      </c>
      <c r="K94" s="5">
        <f>IF($L94="","",J94-I94)</f>
        <v/>
      </c>
      <c r="L94">
        <f>IF(ROWS($L$2:$L94)&lt;=MAX('Per Line'!$AD$2:$AD$2501),MATCH(ROWS($L$2:$L94),'Per Line'!$AD$2:$AD$2501,0),"")</f>
        <v/>
      </c>
      <c r="M94">
        <f>IF($L94="","",INDEX('Per Line'!$E$2:$E$2501,$L94))</f>
        <v/>
      </c>
    </row>
    <row r="95">
      <c r="A95">
        <f>IF($L95="","",INDEX('Per Line'!$C$2:$C$2501,$L95))</f>
        <v/>
      </c>
      <c r="B95">
        <f>IF($L95="","",INDEX('Per Line'!$D$2:$D$2501,$L95))</f>
        <v/>
      </c>
      <c r="C95">
        <f>IF($L95="","",INDEX('Per Line'!$A$2:$A$2501,$L95))</f>
        <v/>
      </c>
      <c r="F95">
        <f>IF($L95="","",INDEX('Per Line'!$U$2:$U$2501,$L95))</f>
        <v/>
      </c>
      <c r="G95" s="5">
        <f>IF($L95="","",SUMIFS('Per Line'!$W$2:$W$2501,'Per Line'!$D$2:$D$2501,$B95))</f>
        <v/>
      </c>
      <c r="H95" s="5">
        <f>IF($L95="","",SUMIFS('Per Line'!$X$2:$X$2501,'Per Line'!$D$2:$D$2501,$B95))</f>
        <v/>
      </c>
      <c r="I95" s="5">
        <f>IF($L95="","",SUMIFS('Per Line'!$Y$2:$Y$2501,'Per Line'!$D$2:$D$2501,$B95))</f>
        <v/>
      </c>
      <c r="J95" s="5">
        <f>IF($L95="","",G95-H95)</f>
        <v/>
      </c>
      <c r="K95" s="5">
        <f>IF($L95="","",J95-I95)</f>
        <v/>
      </c>
      <c r="L95">
        <f>IF(ROWS($L$2:$L95)&lt;=MAX('Per Line'!$AD$2:$AD$2501),MATCH(ROWS($L$2:$L95),'Per Line'!$AD$2:$AD$2501,0),"")</f>
        <v/>
      </c>
      <c r="M95">
        <f>IF($L95="","",INDEX('Per Line'!$E$2:$E$2501,$L95))</f>
        <v/>
      </c>
    </row>
    <row r="96">
      <c r="A96">
        <f>IF($L96="","",INDEX('Per Line'!$C$2:$C$2501,$L96))</f>
        <v/>
      </c>
      <c r="B96">
        <f>IF($L96="","",INDEX('Per Line'!$D$2:$D$2501,$L96))</f>
        <v/>
      </c>
      <c r="C96">
        <f>IF($L96="","",INDEX('Per Line'!$A$2:$A$2501,$L96))</f>
        <v/>
      </c>
      <c r="F96">
        <f>IF($L96="","",INDEX('Per Line'!$U$2:$U$2501,$L96))</f>
        <v/>
      </c>
      <c r="G96" s="5">
        <f>IF($L96="","",SUMIFS('Per Line'!$W$2:$W$2501,'Per Line'!$D$2:$D$2501,$B96))</f>
        <v/>
      </c>
      <c r="H96" s="5">
        <f>IF($L96="","",SUMIFS('Per Line'!$X$2:$X$2501,'Per Line'!$D$2:$D$2501,$B96))</f>
        <v/>
      </c>
      <c r="I96" s="5">
        <f>IF($L96="","",SUMIFS('Per Line'!$Y$2:$Y$2501,'Per Line'!$D$2:$D$2501,$B96))</f>
        <v/>
      </c>
      <c r="J96" s="5">
        <f>IF($L96="","",G96-H96)</f>
        <v/>
      </c>
      <c r="K96" s="5">
        <f>IF($L96="","",J96-I96)</f>
        <v/>
      </c>
      <c r="L96">
        <f>IF(ROWS($L$2:$L96)&lt;=MAX('Per Line'!$AD$2:$AD$2501),MATCH(ROWS($L$2:$L96),'Per Line'!$AD$2:$AD$2501,0),"")</f>
        <v/>
      </c>
      <c r="M96">
        <f>IF($L96="","",INDEX('Per Line'!$E$2:$E$2501,$L96))</f>
        <v/>
      </c>
    </row>
    <row r="97">
      <c r="A97">
        <f>IF($L97="","",INDEX('Per Line'!$C$2:$C$2501,$L97))</f>
        <v/>
      </c>
      <c r="B97">
        <f>IF($L97="","",INDEX('Per Line'!$D$2:$D$2501,$L97))</f>
        <v/>
      </c>
      <c r="C97">
        <f>IF($L97="","",INDEX('Per Line'!$A$2:$A$2501,$L97))</f>
        <v/>
      </c>
      <c r="F97">
        <f>IF($L97="","",INDEX('Per Line'!$U$2:$U$2501,$L97))</f>
        <v/>
      </c>
      <c r="G97" s="5">
        <f>IF($L97="","",SUMIFS('Per Line'!$W$2:$W$2501,'Per Line'!$D$2:$D$2501,$B97))</f>
        <v/>
      </c>
      <c r="H97" s="5">
        <f>IF($L97="","",SUMIFS('Per Line'!$X$2:$X$2501,'Per Line'!$D$2:$D$2501,$B97))</f>
        <v/>
      </c>
      <c r="I97" s="5">
        <f>IF($L97="","",SUMIFS('Per Line'!$Y$2:$Y$2501,'Per Line'!$D$2:$D$2501,$B97))</f>
        <v/>
      </c>
      <c r="J97" s="5">
        <f>IF($L97="","",G97-H97)</f>
        <v/>
      </c>
      <c r="K97" s="5">
        <f>IF($L97="","",J97-I97)</f>
        <v/>
      </c>
      <c r="L97">
        <f>IF(ROWS($L$2:$L97)&lt;=MAX('Per Line'!$AD$2:$AD$2501),MATCH(ROWS($L$2:$L97),'Per Line'!$AD$2:$AD$2501,0),"")</f>
        <v/>
      </c>
      <c r="M97">
        <f>IF($L97="","",INDEX('Per Line'!$E$2:$E$2501,$L97))</f>
        <v/>
      </c>
    </row>
    <row r="98">
      <c r="A98">
        <f>IF($L98="","",INDEX('Per Line'!$C$2:$C$2501,$L98))</f>
        <v/>
      </c>
      <c r="B98">
        <f>IF($L98="","",INDEX('Per Line'!$D$2:$D$2501,$L98))</f>
        <v/>
      </c>
      <c r="C98">
        <f>IF($L98="","",INDEX('Per Line'!$A$2:$A$2501,$L98))</f>
        <v/>
      </c>
      <c r="F98">
        <f>IF($L98="","",INDEX('Per Line'!$U$2:$U$2501,$L98))</f>
        <v/>
      </c>
      <c r="G98" s="5">
        <f>IF($L98="","",SUMIFS('Per Line'!$W$2:$W$2501,'Per Line'!$D$2:$D$2501,$B98))</f>
        <v/>
      </c>
      <c r="H98" s="5">
        <f>IF($L98="","",SUMIFS('Per Line'!$X$2:$X$2501,'Per Line'!$D$2:$D$2501,$B98))</f>
        <v/>
      </c>
      <c r="I98" s="5">
        <f>IF($L98="","",SUMIFS('Per Line'!$Y$2:$Y$2501,'Per Line'!$D$2:$D$2501,$B98))</f>
        <v/>
      </c>
      <c r="J98" s="5">
        <f>IF($L98="","",G98-H98)</f>
        <v/>
      </c>
      <c r="K98" s="5">
        <f>IF($L98="","",J98-I98)</f>
        <v/>
      </c>
      <c r="L98">
        <f>IF(ROWS($L$2:$L98)&lt;=MAX('Per Line'!$AD$2:$AD$2501),MATCH(ROWS($L$2:$L98),'Per Line'!$AD$2:$AD$2501,0),"")</f>
        <v/>
      </c>
      <c r="M98">
        <f>IF($L98="","",INDEX('Per Line'!$E$2:$E$2501,$L98))</f>
        <v/>
      </c>
    </row>
    <row r="99">
      <c r="A99">
        <f>IF($L99="","",INDEX('Per Line'!$C$2:$C$2501,$L99))</f>
        <v/>
      </c>
      <c r="B99">
        <f>IF($L99="","",INDEX('Per Line'!$D$2:$D$2501,$L99))</f>
        <v/>
      </c>
      <c r="C99">
        <f>IF($L99="","",INDEX('Per Line'!$A$2:$A$2501,$L99))</f>
        <v/>
      </c>
      <c r="F99">
        <f>IF($L99="","",INDEX('Per Line'!$U$2:$U$2501,$L99))</f>
        <v/>
      </c>
      <c r="G99" s="5">
        <f>IF($L99="","",SUMIFS('Per Line'!$W$2:$W$2501,'Per Line'!$D$2:$D$2501,$B99))</f>
        <v/>
      </c>
      <c r="H99" s="5">
        <f>IF($L99="","",SUMIFS('Per Line'!$X$2:$X$2501,'Per Line'!$D$2:$D$2501,$B99))</f>
        <v/>
      </c>
      <c r="I99" s="5">
        <f>IF($L99="","",SUMIFS('Per Line'!$Y$2:$Y$2501,'Per Line'!$D$2:$D$2501,$B99))</f>
        <v/>
      </c>
      <c r="J99" s="5">
        <f>IF($L99="","",G99-H99)</f>
        <v/>
      </c>
      <c r="K99" s="5">
        <f>IF($L99="","",J99-I99)</f>
        <v/>
      </c>
      <c r="L99">
        <f>IF(ROWS($L$2:$L99)&lt;=MAX('Per Line'!$AD$2:$AD$2501),MATCH(ROWS($L$2:$L99),'Per Line'!$AD$2:$AD$2501,0),"")</f>
        <v/>
      </c>
      <c r="M99">
        <f>IF($L99="","",INDEX('Per Line'!$E$2:$E$2501,$L99))</f>
        <v/>
      </c>
    </row>
    <row r="100">
      <c r="A100">
        <f>IF($L100="","",INDEX('Per Line'!$C$2:$C$2501,$L100))</f>
        <v/>
      </c>
      <c r="B100">
        <f>IF($L100="","",INDEX('Per Line'!$D$2:$D$2501,$L100))</f>
        <v/>
      </c>
      <c r="C100">
        <f>IF($L100="","",INDEX('Per Line'!$A$2:$A$2501,$L100))</f>
        <v/>
      </c>
      <c r="F100">
        <f>IF($L100="","",INDEX('Per Line'!$U$2:$U$2501,$L100))</f>
        <v/>
      </c>
      <c r="G100" s="5">
        <f>IF($L100="","",SUMIFS('Per Line'!$W$2:$W$2501,'Per Line'!$D$2:$D$2501,$B100))</f>
        <v/>
      </c>
      <c r="H100" s="5">
        <f>IF($L100="","",SUMIFS('Per Line'!$X$2:$X$2501,'Per Line'!$D$2:$D$2501,$B100))</f>
        <v/>
      </c>
      <c r="I100" s="5">
        <f>IF($L100="","",SUMIFS('Per Line'!$Y$2:$Y$2501,'Per Line'!$D$2:$D$2501,$B100))</f>
        <v/>
      </c>
      <c r="J100" s="5">
        <f>IF($L100="","",G100-H100)</f>
        <v/>
      </c>
      <c r="K100" s="5">
        <f>IF($L100="","",J100-I100)</f>
        <v/>
      </c>
      <c r="L100">
        <f>IF(ROWS($L$2:$L100)&lt;=MAX('Per Line'!$AD$2:$AD$2501),MATCH(ROWS($L$2:$L100),'Per Line'!$AD$2:$AD$2501,0),"")</f>
        <v/>
      </c>
      <c r="M100">
        <f>IF($L100="","",INDEX('Per Line'!$E$2:$E$2501,$L100))</f>
        <v/>
      </c>
    </row>
    <row r="101">
      <c r="A101">
        <f>IF($L101="","",INDEX('Per Line'!$C$2:$C$2501,$L101))</f>
        <v/>
      </c>
      <c r="B101">
        <f>IF($L101="","",INDEX('Per Line'!$D$2:$D$2501,$L101))</f>
        <v/>
      </c>
      <c r="C101">
        <f>IF($L101="","",INDEX('Per Line'!$A$2:$A$2501,$L101))</f>
        <v/>
      </c>
      <c r="F101">
        <f>IF($L101="","",INDEX('Per Line'!$U$2:$U$2501,$L101))</f>
        <v/>
      </c>
      <c r="G101" s="5">
        <f>IF($L101="","",SUMIFS('Per Line'!$W$2:$W$2501,'Per Line'!$D$2:$D$2501,$B101))</f>
        <v/>
      </c>
      <c r="H101" s="5">
        <f>IF($L101="","",SUMIFS('Per Line'!$X$2:$X$2501,'Per Line'!$D$2:$D$2501,$B101))</f>
        <v/>
      </c>
      <c r="I101" s="5">
        <f>IF($L101="","",SUMIFS('Per Line'!$Y$2:$Y$2501,'Per Line'!$D$2:$D$2501,$B101))</f>
        <v/>
      </c>
      <c r="J101" s="5">
        <f>IF($L101="","",G101-H101)</f>
        <v/>
      </c>
      <c r="K101" s="5">
        <f>IF($L101="","",J101-I101)</f>
        <v/>
      </c>
      <c r="L101">
        <f>IF(ROWS($L$2:$L101)&lt;=MAX('Per Line'!$AD$2:$AD$2501),MATCH(ROWS($L$2:$L101),'Per Line'!$AD$2:$AD$2501,0),"")</f>
        <v/>
      </c>
      <c r="M101">
        <f>IF($L101="","",INDEX('Per Line'!$E$2:$E$2501,$L101))</f>
        <v/>
      </c>
    </row>
    <row r="102">
      <c r="A102">
        <f>IF($L102="","",INDEX('Per Line'!$C$2:$C$2501,$L102))</f>
        <v/>
      </c>
      <c r="B102">
        <f>IF($L102="","",INDEX('Per Line'!$D$2:$D$2501,$L102))</f>
        <v/>
      </c>
      <c r="C102">
        <f>IF($L102="","",INDEX('Per Line'!$A$2:$A$2501,$L102))</f>
        <v/>
      </c>
      <c r="F102">
        <f>IF($L102="","",INDEX('Per Line'!$U$2:$U$2501,$L102))</f>
        <v/>
      </c>
      <c r="G102" s="5">
        <f>IF($L102="","",SUMIFS('Per Line'!$W$2:$W$2501,'Per Line'!$D$2:$D$2501,$B102))</f>
        <v/>
      </c>
      <c r="H102" s="5">
        <f>IF($L102="","",SUMIFS('Per Line'!$X$2:$X$2501,'Per Line'!$D$2:$D$2501,$B102))</f>
        <v/>
      </c>
      <c r="I102" s="5">
        <f>IF($L102="","",SUMIFS('Per Line'!$Y$2:$Y$2501,'Per Line'!$D$2:$D$2501,$B102))</f>
        <v/>
      </c>
      <c r="J102" s="5">
        <f>IF($L102="","",G102-H102)</f>
        <v/>
      </c>
      <c r="K102" s="5">
        <f>IF($L102="","",J102-I102)</f>
        <v/>
      </c>
      <c r="L102">
        <f>IF(ROWS($L$2:$L102)&lt;=MAX('Per Line'!$AD$2:$AD$2501),MATCH(ROWS($L$2:$L102),'Per Line'!$AD$2:$AD$2501,0),"")</f>
        <v/>
      </c>
      <c r="M102">
        <f>IF($L102="","",INDEX('Per Line'!$E$2:$E$2501,$L102))</f>
        <v/>
      </c>
    </row>
    <row r="103">
      <c r="A103">
        <f>IF($L103="","",INDEX('Per Line'!$C$2:$C$2501,$L103))</f>
        <v/>
      </c>
      <c r="B103">
        <f>IF($L103="","",INDEX('Per Line'!$D$2:$D$2501,$L103))</f>
        <v/>
      </c>
      <c r="C103">
        <f>IF($L103="","",INDEX('Per Line'!$A$2:$A$2501,$L103))</f>
        <v/>
      </c>
      <c r="F103">
        <f>IF($L103="","",INDEX('Per Line'!$U$2:$U$2501,$L103))</f>
        <v/>
      </c>
      <c r="G103" s="5">
        <f>IF($L103="","",SUMIFS('Per Line'!$W$2:$W$2501,'Per Line'!$D$2:$D$2501,$B103))</f>
        <v/>
      </c>
      <c r="H103" s="5">
        <f>IF($L103="","",SUMIFS('Per Line'!$X$2:$X$2501,'Per Line'!$D$2:$D$2501,$B103))</f>
        <v/>
      </c>
      <c r="I103" s="5">
        <f>IF($L103="","",SUMIFS('Per Line'!$Y$2:$Y$2501,'Per Line'!$D$2:$D$2501,$B103))</f>
        <v/>
      </c>
      <c r="J103" s="5">
        <f>IF($L103="","",G103-H103)</f>
        <v/>
      </c>
      <c r="K103" s="5">
        <f>IF($L103="","",J103-I103)</f>
        <v/>
      </c>
      <c r="L103">
        <f>IF(ROWS($L$2:$L103)&lt;=MAX('Per Line'!$AD$2:$AD$2501),MATCH(ROWS($L$2:$L103),'Per Line'!$AD$2:$AD$2501,0),"")</f>
        <v/>
      </c>
      <c r="M103">
        <f>IF($L103="","",INDEX('Per Line'!$E$2:$E$2501,$L103))</f>
        <v/>
      </c>
    </row>
    <row r="104">
      <c r="A104">
        <f>IF($L104="","",INDEX('Per Line'!$C$2:$C$2501,$L104))</f>
        <v/>
      </c>
      <c r="B104">
        <f>IF($L104="","",INDEX('Per Line'!$D$2:$D$2501,$L104))</f>
        <v/>
      </c>
      <c r="C104">
        <f>IF($L104="","",INDEX('Per Line'!$A$2:$A$2501,$L104))</f>
        <v/>
      </c>
      <c r="F104">
        <f>IF($L104="","",INDEX('Per Line'!$U$2:$U$2501,$L104))</f>
        <v/>
      </c>
      <c r="G104" s="5">
        <f>IF($L104="","",SUMIFS('Per Line'!$W$2:$W$2501,'Per Line'!$D$2:$D$2501,$B104))</f>
        <v/>
      </c>
      <c r="H104" s="5">
        <f>IF($L104="","",SUMIFS('Per Line'!$X$2:$X$2501,'Per Line'!$D$2:$D$2501,$B104))</f>
        <v/>
      </c>
      <c r="I104" s="5">
        <f>IF($L104="","",SUMIFS('Per Line'!$Y$2:$Y$2501,'Per Line'!$D$2:$D$2501,$B104))</f>
        <v/>
      </c>
      <c r="J104" s="5">
        <f>IF($L104="","",G104-H104)</f>
        <v/>
      </c>
      <c r="K104" s="5">
        <f>IF($L104="","",J104-I104)</f>
        <v/>
      </c>
      <c r="L104">
        <f>IF(ROWS($L$2:$L104)&lt;=MAX('Per Line'!$AD$2:$AD$2501),MATCH(ROWS($L$2:$L104),'Per Line'!$AD$2:$AD$2501,0),"")</f>
        <v/>
      </c>
      <c r="M104">
        <f>IF($L104="","",INDEX('Per Line'!$E$2:$E$2501,$L104))</f>
        <v/>
      </c>
    </row>
    <row r="105">
      <c r="A105">
        <f>IF($L105="","",INDEX('Per Line'!$C$2:$C$2501,$L105))</f>
        <v/>
      </c>
      <c r="B105">
        <f>IF($L105="","",INDEX('Per Line'!$D$2:$D$2501,$L105))</f>
        <v/>
      </c>
      <c r="C105">
        <f>IF($L105="","",INDEX('Per Line'!$A$2:$A$2501,$L105))</f>
        <v/>
      </c>
      <c r="F105">
        <f>IF($L105="","",INDEX('Per Line'!$U$2:$U$2501,$L105))</f>
        <v/>
      </c>
      <c r="G105" s="5">
        <f>IF($L105="","",SUMIFS('Per Line'!$W$2:$W$2501,'Per Line'!$D$2:$D$2501,$B105))</f>
        <v/>
      </c>
      <c r="H105" s="5">
        <f>IF($L105="","",SUMIFS('Per Line'!$X$2:$X$2501,'Per Line'!$D$2:$D$2501,$B105))</f>
        <v/>
      </c>
      <c r="I105" s="5">
        <f>IF($L105="","",SUMIFS('Per Line'!$Y$2:$Y$2501,'Per Line'!$D$2:$D$2501,$B105))</f>
        <v/>
      </c>
      <c r="J105" s="5">
        <f>IF($L105="","",G105-H105)</f>
        <v/>
      </c>
      <c r="K105" s="5">
        <f>IF($L105="","",J105-I105)</f>
        <v/>
      </c>
      <c r="L105">
        <f>IF(ROWS($L$2:$L105)&lt;=MAX('Per Line'!$AD$2:$AD$2501),MATCH(ROWS($L$2:$L105),'Per Line'!$AD$2:$AD$2501,0),"")</f>
        <v/>
      </c>
      <c r="M105">
        <f>IF($L105="","",INDEX('Per Line'!$E$2:$E$2501,$L105))</f>
        <v/>
      </c>
    </row>
    <row r="106">
      <c r="A106">
        <f>IF($L106="","",INDEX('Per Line'!$C$2:$C$2501,$L106))</f>
        <v/>
      </c>
      <c r="B106">
        <f>IF($L106="","",INDEX('Per Line'!$D$2:$D$2501,$L106))</f>
        <v/>
      </c>
      <c r="C106">
        <f>IF($L106="","",INDEX('Per Line'!$A$2:$A$2501,$L106))</f>
        <v/>
      </c>
      <c r="F106">
        <f>IF($L106="","",INDEX('Per Line'!$U$2:$U$2501,$L106))</f>
        <v/>
      </c>
      <c r="G106" s="5">
        <f>IF($L106="","",SUMIFS('Per Line'!$W$2:$W$2501,'Per Line'!$D$2:$D$2501,$B106))</f>
        <v/>
      </c>
      <c r="H106" s="5">
        <f>IF($L106="","",SUMIFS('Per Line'!$X$2:$X$2501,'Per Line'!$D$2:$D$2501,$B106))</f>
        <v/>
      </c>
      <c r="I106" s="5">
        <f>IF($L106="","",SUMIFS('Per Line'!$Y$2:$Y$2501,'Per Line'!$D$2:$D$2501,$B106))</f>
        <v/>
      </c>
      <c r="J106" s="5">
        <f>IF($L106="","",G106-H106)</f>
        <v/>
      </c>
      <c r="K106" s="5">
        <f>IF($L106="","",J106-I106)</f>
        <v/>
      </c>
      <c r="L106">
        <f>IF(ROWS($L$2:$L106)&lt;=MAX('Per Line'!$AD$2:$AD$2501),MATCH(ROWS($L$2:$L106),'Per Line'!$AD$2:$AD$2501,0),"")</f>
        <v/>
      </c>
      <c r="M106">
        <f>IF($L106="","",INDEX('Per Line'!$E$2:$E$2501,$L106))</f>
        <v/>
      </c>
    </row>
    <row r="107">
      <c r="A107">
        <f>IF($L107="","",INDEX('Per Line'!$C$2:$C$2501,$L107))</f>
        <v/>
      </c>
      <c r="B107">
        <f>IF($L107="","",INDEX('Per Line'!$D$2:$D$2501,$L107))</f>
        <v/>
      </c>
      <c r="C107">
        <f>IF($L107="","",INDEX('Per Line'!$A$2:$A$2501,$L107))</f>
        <v/>
      </c>
      <c r="F107">
        <f>IF($L107="","",INDEX('Per Line'!$U$2:$U$2501,$L107))</f>
        <v/>
      </c>
      <c r="G107" s="5">
        <f>IF($L107="","",SUMIFS('Per Line'!$W$2:$W$2501,'Per Line'!$D$2:$D$2501,$B107))</f>
        <v/>
      </c>
      <c r="H107" s="5">
        <f>IF($L107="","",SUMIFS('Per Line'!$X$2:$X$2501,'Per Line'!$D$2:$D$2501,$B107))</f>
        <v/>
      </c>
      <c r="I107" s="5">
        <f>IF($L107="","",SUMIFS('Per Line'!$Y$2:$Y$2501,'Per Line'!$D$2:$D$2501,$B107))</f>
        <v/>
      </c>
      <c r="J107" s="5">
        <f>IF($L107="","",G107-H107)</f>
        <v/>
      </c>
      <c r="K107" s="5">
        <f>IF($L107="","",J107-I107)</f>
        <v/>
      </c>
      <c r="L107">
        <f>IF(ROWS($L$2:$L107)&lt;=MAX('Per Line'!$AD$2:$AD$2501),MATCH(ROWS($L$2:$L107),'Per Line'!$AD$2:$AD$2501,0),"")</f>
        <v/>
      </c>
      <c r="M107">
        <f>IF($L107="","",INDEX('Per Line'!$E$2:$E$2501,$L107))</f>
        <v/>
      </c>
    </row>
    <row r="108">
      <c r="A108">
        <f>IF($L108="","",INDEX('Per Line'!$C$2:$C$2501,$L108))</f>
        <v/>
      </c>
      <c r="B108">
        <f>IF($L108="","",INDEX('Per Line'!$D$2:$D$2501,$L108))</f>
        <v/>
      </c>
      <c r="C108">
        <f>IF($L108="","",INDEX('Per Line'!$A$2:$A$2501,$L108))</f>
        <v/>
      </c>
      <c r="F108">
        <f>IF($L108="","",INDEX('Per Line'!$U$2:$U$2501,$L108))</f>
        <v/>
      </c>
      <c r="G108" s="5">
        <f>IF($L108="","",SUMIFS('Per Line'!$W$2:$W$2501,'Per Line'!$D$2:$D$2501,$B108))</f>
        <v/>
      </c>
      <c r="H108" s="5">
        <f>IF($L108="","",SUMIFS('Per Line'!$X$2:$X$2501,'Per Line'!$D$2:$D$2501,$B108))</f>
        <v/>
      </c>
      <c r="I108" s="5">
        <f>IF($L108="","",SUMIFS('Per Line'!$Y$2:$Y$2501,'Per Line'!$D$2:$D$2501,$B108))</f>
        <v/>
      </c>
      <c r="J108" s="5">
        <f>IF($L108="","",G108-H108)</f>
        <v/>
      </c>
      <c r="K108" s="5">
        <f>IF($L108="","",J108-I108)</f>
        <v/>
      </c>
      <c r="L108">
        <f>IF(ROWS($L$2:$L108)&lt;=MAX('Per Line'!$AD$2:$AD$2501),MATCH(ROWS($L$2:$L108),'Per Line'!$AD$2:$AD$2501,0),"")</f>
        <v/>
      </c>
      <c r="M108">
        <f>IF($L108="","",INDEX('Per Line'!$E$2:$E$2501,$L108))</f>
        <v/>
      </c>
    </row>
    <row r="109">
      <c r="A109">
        <f>IF($L109="","",INDEX('Per Line'!$C$2:$C$2501,$L109))</f>
        <v/>
      </c>
      <c r="B109">
        <f>IF($L109="","",INDEX('Per Line'!$D$2:$D$2501,$L109))</f>
        <v/>
      </c>
      <c r="C109">
        <f>IF($L109="","",INDEX('Per Line'!$A$2:$A$2501,$L109))</f>
        <v/>
      </c>
      <c r="F109">
        <f>IF($L109="","",INDEX('Per Line'!$U$2:$U$2501,$L109))</f>
        <v/>
      </c>
      <c r="G109" s="5">
        <f>IF($L109="","",SUMIFS('Per Line'!$W$2:$W$2501,'Per Line'!$D$2:$D$2501,$B109))</f>
        <v/>
      </c>
      <c r="H109" s="5">
        <f>IF($L109="","",SUMIFS('Per Line'!$X$2:$X$2501,'Per Line'!$D$2:$D$2501,$B109))</f>
        <v/>
      </c>
      <c r="I109" s="5">
        <f>IF($L109="","",SUMIFS('Per Line'!$Y$2:$Y$2501,'Per Line'!$D$2:$D$2501,$B109))</f>
        <v/>
      </c>
      <c r="J109" s="5">
        <f>IF($L109="","",G109-H109)</f>
        <v/>
      </c>
      <c r="K109" s="5">
        <f>IF($L109="","",J109-I109)</f>
        <v/>
      </c>
      <c r="L109">
        <f>IF(ROWS($L$2:$L109)&lt;=MAX('Per Line'!$AD$2:$AD$2501),MATCH(ROWS($L$2:$L109),'Per Line'!$AD$2:$AD$2501,0),"")</f>
        <v/>
      </c>
      <c r="M109">
        <f>IF($L109="","",INDEX('Per Line'!$E$2:$E$2501,$L109))</f>
        <v/>
      </c>
    </row>
    <row r="110">
      <c r="A110">
        <f>IF($L110="","",INDEX('Per Line'!$C$2:$C$2501,$L110))</f>
        <v/>
      </c>
      <c r="B110">
        <f>IF($L110="","",INDEX('Per Line'!$D$2:$D$2501,$L110))</f>
        <v/>
      </c>
      <c r="C110">
        <f>IF($L110="","",INDEX('Per Line'!$A$2:$A$2501,$L110))</f>
        <v/>
      </c>
      <c r="F110">
        <f>IF($L110="","",INDEX('Per Line'!$U$2:$U$2501,$L110))</f>
        <v/>
      </c>
      <c r="G110" s="5">
        <f>IF($L110="","",SUMIFS('Per Line'!$W$2:$W$2501,'Per Line'!$D$2:$D$2501,$B110))</f>
        <v/>
      </c>
      <c r="H110" s="5">
        <f>IF($L110="","",SUMIFS('Per Line'!$X$2:$X$2501,'Per Line'!$D$2:$D$2501,$B110))</f>
        <v/>
      </c>
      <c r="I110" s="5">
        <f>IF($L110="","",SUMIFS('Per Line'!$Y$2:$Y$2501,'Per Line'!$D$2:$D$2501,$B110))</f>
        <v/>
      </c>
      <c r="J110" s="5">
        <f>IF($L110="","",G110-H110)</f>
        <v/>
      </c>
      <c r="K110" s="5">
        <f>IF($L110="","",J110-I110)</f>
        <v/>
      </c>
      <c r="L110">
        <f>IF(ROWS($L$2:$L110)&lt;=MAX('Per Line'!$AD$2:$AD$2501),MATCH(ROWS($L$2:$L110),'Per Line'!$AD$2:$AD$2501,0),"")</f>
        <v/>
      </c>
      <c r="M110">
        <f>IF($L110="","",INDEX('Per Line'!$E$2:$E$2501,$L110))</f>
        <v/>
      </c>
    </row>
    <row r="111">
      <c r="A111">
        <f>IF($L111="","",INDEX('Per Line'!$C$2:$C$2501,$L111))</f>
        <v/>
      </c>
      <c r="B111">
        <f>IF($L111="","",INDEX('Per Line'!$D$2:$D$2501,$L111))</f>
        <v/>
      </c>
      <c r="C111">
        <f>IF($L111="","",INDEX('Per Line'!$A$2:$A$2501,$L111))</f>
        <v/>
      </c>
      <c r="F111">
        <f>IF($L111="","",INDEX('Per Line'!$U$2:$U$2501,$L111))</f>
        <v/>
      </c>
      <c r="G111" s="5">
        <f>IF($L111="","",SUMIFS('Per Line'!$W$2:$W$2501,'Per Line'!$D$2:$D$2501,$B111))</f>
        <v/>
      </c>
      <c r="H111" s="5">
        <f>IF($L111="","",SUMIFS('Per Line'!$X$2:$X$2501,'Per Line'!$D$2:$D$2501,$B111))</f>
        <v/>
      </c>
      <c r="I111" s="5">
        <f>IF($L111="","",SUMIFS('Per Line'!$Y$2:$Y$2501,'Per Line'!$D$2:$D$2501,$B111))</f>
        <v/>
      </c>
      <c r="J111" s="5">
        <f>IF($L111="","",G111-H111)</f>
        <v/>
      </c>
      <c r="K111" s="5">
        <f>IF($L111="","",J111-I111)</f>
        <v/>
      </c>
      <c r="L111">
        <f>IF(ROWS($L$2:$L111)&lt;=MAX('Per Line'!$AD$2:$AD$2501),MATCH(ROWS($L$2:$L111),'Per Line'!$AD$2:$AD$2501,0),"")</f>
        <v/>
      </c>
      <c r="M111">
        <f>IF($L111="","",INDEX('Per Line'!$E$2:$E$2501,$L111))</f>
        <v/>
      </c>
    </row>
    <row r="112">
      <c r="A112">
        <f>IF($L112="","",INDEX('Per Line'!$C$2:$C$2501,$L112))</f>
        <v/>
      </c>
      <c r="B112">
        <f>IF($L112="","",INDEX('Per Line'!$D$2:$D$2501,$L112))</f>
        <v/>
      </c>
      <c r="C112">
        <f>IF($L112="","",INDEX('Per Line'!$A$2:$A$2501,$L112))</f>
        <v/>
      </c>
      <c r="F112">
        <f>IF($L112="","",INDEX('Per Line'!$U$2:$U$2501,$L112))</f>
        <v/>
      </c>
      <c r="G112" s="5">
        <f>IF($L112="","",SUMIFS('Per Line'!$W$2:$W$2501,'Per Line'!$D$2:$D$2501,$B112))</f>
        <v/>
      </c>
      <c r="H112" s="5">
        <f>IF($L112="","",SUMIFS('Per Line'!$X$2:$X$2501,'Per Line'!$D$2:$D$2501,$B112))</f>
        <v/>
      </c>
      <c r="I112" s="5">
        <f>IF($L112="","",SUMIFS('Per Line'!$Y$2:$Y$2501,'Per Line'!$D$2:$D$2501,$B112))</f>
        <v/>
      </c>
      <c r="J112" s="5">
        <f>IF($L112="","",G112-H112)</f>
        <v/>
      </c>
      <c r="K112" s="5">
        <f>IF($L112="","",J112-I112)</f>
        <v/>
      </c>
      <c r="L112">
        <f>IF(ROWS($L$2:$L112)&lt;=MAX('Per Line'!$AD$2:$AD$2501),MATCH(ROWS($L$2:$L112),'Per Line'!$AD$2:$AD$2501,0),"")</f>
        <v/>
      </c>
      <c r="M112">
        <f>IF($L112="","",INDEX('Per Line'!$E$2:$E$2501,$L112))</f>
        <v/>
      </c>
    </row>
    <row r="113">
      <c r="A113">
        <f>IF($L113="","",INDEX('Per Line'!$C$2:$C$2501,$L113))</f>
        <v/>
      </c>
      <c r="B113">
        <f>IF($L113="","",INDEX('Per Line'!$D$2:$D$2501,$L113))</f>
        <v/>
      </c>
      <c r="C113">
        <f>IF($L113="","",INDEX('Per Line'!$A$2:$A$2501,$L113))</f>
        <v/>
      </c>
      <c r="F113">
        <f>IF($L113="","",INDEX('Per Line'!$U$2:$U$2501,$L113))</f>
        <v/>
      </c>
      <c r="G113" s="5">
        <f>IF($L113="","",SUMIFS('Per Line'!$W$2:$W$2501,'Per Line'!$D$2:$D$2501,$B113))</f>
        <v/>
      </c>
      <c r="H113" s="5">
        <f>IF($L113="","",SUMIFS('Per Line'!$X$2:$X$2501,'Per Line'!$D$2:$D$2501,$B113))</f>
        <v/>
      </c>
      <c r="I113" s="5">
        <f>IF($L113="","",SUMIFS('Per Line'!$Y$2:$Y$2501,'Per Line'!$D$2:$D$2501,$B113))</f>
        <v/>
      </c>
      <c r="J113" s="5">
        <f>IF($L113="","",G113-H113)</f>
        <v/>
      </c>
      <c r="K113" s="5">
        <f>IF($L113="","",J113-I113)</f>
        <v/>
      </c>
      <c r="L113">
        <f>IF(ROWS($L$2:$L113)&lt;=MAX('Per Line'!$AD$2:$AD$2501),MATCH(ROWS($L$2:$L113),'Per Line'!$AD$2:$AD$2501,0),"")</f>
        <v/>
      </c>
      <c r="M113">
        <f>IF($L113="","",INDEX('Per Line'!$E$2:$E$2501,$L113))</f>
        <v/>
      </c>
    </row>
    <row r="114">
      <c r="A114">
        <f>IF($L114="","",INDEX('Per Line'!$C$2:$C$2501,$L114))</f>
        <v/>
      </c>
      <c r="B114">
        <f>IF($L114="","",INDEX('Per Line'!$D$2:$D$2501,$L114))</f>
        <v/>
      </c>
      <c r="C114">
        <f>IF($L114="","",INDEX('Per Line'!$A$2:$A$2501,$L114))</f>
        <v/>
      </c>
      <c r="F114">
        <f>IF($L114="","",INDEX('Per Line'!$U$2:$U$2501,$L114))</f>
        <v/>
      </c>
      <c r="G114" s="5">
        <f>IF($L114="","",SUMIFS('Per Line'!$W$2:$W$2501,'Per Line'!$D$2:$D$2501,$B114))</f>
        <v/>
      </c>
      <c r="H114" s="5">
        <f>IF($L114="","",SUMIFS('Per Line'!$X$2:$X$2501,'Per Line'!$D$2:$D$2501,$B114))</f>
        <v/>
      </c>
      <c r="I114" s="5">
        <f>IF($L114="","",SUMIFS('Per Line'!$Y$2:$Y$2501,'Per Line'!$D$2:$D$2501,$B114))</f>
        <v/>
      </c>
      <c r="J114" s="5">
        <f>IF($L114="","",G114-H114)</f>
        <v/>
      </c>
      <c r="K114" s="5">
        <f>IF($L114="","",J114-I114)</f>
        <v/>
      </c>
      <c r="L114">
        <f>IF(ROWS($L$2:$L114)&lt;=MAX('Per Line'!$AD$2:$AD$2501),MATCH(ROWS($L$2:$L114),'Per Line'!$AD$2:$AD$2501,0),"")</f>
        <v/>
      </c>
      <c r="M114">
        <f>IF($L114="","",INDEX('Per Line'!$E$2:$E$2501,$L114))</f>
        <v/>
      </c>
    </row>
    <row r="115">
      <c r="A115">
        <f>IF($L115="","",INDEX('Per Line'!$C$2:$C$2501,$L115))</f>
        <v/>
      </c>
      <c r="B115">
        <f>IF($L115="","",INDEX('Per Line'!$D$2:$D$2501,$L115))</f>
        <v/>
      </c>
      <c r="C115">
        <f>IF($L115="","",INDEX('Per Line'!$A$2:$A$2501,$L115))</f>
        <v/>
      </c>
      <c r="F115">
        <f>IF($L115="","",INDEX('Per Line'!$U$2:$U$2501,$L115))</f>
        <v/>
      </c>
      <c r="G115" s="5">
        <f>IF($L115="","",SUMIFS('Per Line'!$W$2:$W$2501,'Per Line'!$D$2:$D$2501,$B115))</f>
        <v/>
      </c>
      <c r="H115" s="5">
        <f>IF($L115="","",SUMIFS('Per Line'!$X$2:$X$2501,'Per Line'!$D$2:$D$2501,$B115))</f>
        <v/>
      </c>
      <c r="I115" s="5">
        <f>IF($L115="","",SUMIFS('Per Line'!$Y$2:$Y$2501,'Per Line'!$D$2:$D$2501,$B115))</f>
        <v/>
      </c>
      <c r="J115" s="5">
        <f>IF($L115="","",G115-H115)</f>
        <v/>
      </c>
      <c r="K115" s="5">
        <f>IF($L115="","",J115-I115)</f>
        <v/>
      </c>
      <c r="L115">
        <f>IF(ROWS($L$2:$L115)&lt;=MAX('Per Line'!$AD$2:$AD$2501),MATCH(ROWS($L$2:$L115),'Per Line'!$AD$2:$AD$2501,0),"")</f>
        <v/>
      </c>
      <c r="M115">
        <f>IF($L115="","",INDEX('Per Line'!$E$2:$E$2501,$L115))</f>
        <v/>
      </c>
    </row>
    <row r="116">
      <c r="A116">
        <f>IF($L116="","",INDEX('Per Line'!$C$2:$C$2501,$L116))</f>
        <v/>
      </c>
      <c r="B116">
        <f>IF($L116="","",INDEX('Per Line'!$D$2:$D$2501,$L116))</f>
        <v/>
      </c>
      <c r="C116">
        <f>IF($L116="","",INDEX('Per Line'!$A$2:$A$2501,$L116))</f>
        <v/>
      </c>
      <c r="F116">
        <f>IF($L116="","",INDEX('Per Line'!$U$2:$U$2501,$L116))</f>
        <v/>
      </c>
      <c r="G116" s="5">
        <f>IF($L116="","",SUMIFS('Per Line'!$W$2:$W$2501,'Per Line'!$D$2:$D$2501,$B116))</f>
        <v/>
      </c>
      <c r="H116" s="5">
        <f>IF($L116="","",SUMIFS('Per Line'!$X$2:$X$2501,'Per Line'!$D$2:$D$2501,$B116))</f>
        <v/>
      </c>
      <c r="I116" s="5">
        <f>IF($L116="","",SUMIFS('Per Line'!$Y$2:$Y$2501,'Per Line'!$D$2:$D$2501,$B116))</f>
        <v/>
      </c>
      <c r="J116" s="5">
        <f>IF($L116="","",G116-H116)</f>
        <v/>
      </c>
      <c r="K116" s="5">
        <f>IF($L116="","",J116-I116)</f>
        <v/>
      </c>
      <c r="L116">
        <f>IF(ROWS($L$2:$L116)&lt;=MAX('Per Line'!$AD$2:$AD$2501),MATCH(ROWS($L$2:$L116),'Per Line'!$AD$2:$AD$2501,0),"")</f>
        <v/>
      </c>
      <c r="M116">
        <f>IF($L116="","",INDEX('Per Line'!$E$2:$E$2501,$L116))</f>
        <v/>
      </c>
    </row>
    <row r="117">
      <c r="A117">
        <f>IF($L117="","",INDEX('Per Line'!$C$2:$C$2501,$L117))</f>
        <v/>
      </c>
      <c r="B117">
        <f>IF($L117="","",INDEX('Per Line'!$D$2:$D$2501,$L117))</f>
        <v/>
      </c>
      <c r="C117">
        <f>IF($L117="","",INDEX('Per Line'!$A$2:$A$2501,$L117))</f>
        <v/>
      </c>
      <c r="F117">
        <f>IF($L117="","",INDEX('Per Line'!$U$2:$U$2501,$L117))</f>
        <v/>
      </c>
      <c r="G117" s="5">
        <f>IF($L117="","",SUMIFS('Per Line'!$W$2:$W$2501,'Per Line'!$D$2:$D$2501,$B117))</f>
        <v/>
      </c>
      <c r="H117" s="5">
        <f>IF($L117="","",SUMIFS('Per Line'!$X$2:$X$2501,'Per Line'!$D$2:$D$2501,$B117))</f>
        <v/>
      </c>
      <c r="I117" s="5">
        <f>IF($L117="","",SUMIFS('Per Line'!$Y$2:$Y$2501,'Per Line'!$D$2:$D$2501,$B117))</f>
        <v/>
      </c>
      <c r="J117" s="5">
        <f>IF($L117="","",G117-H117)</f>
        <v/>
      </c>
      <c r="K117" s="5">
        <f>IF($L117="","",J117-I117)</f>
        <v/>
      </c>
      <c r="L117">
        <f>IF(ROWS($L$2:$L117)&lt;=MAX('Per Line'!$AD$2:$AD$2501),MATCH(ROWS($L$2:$L117),'Per Line'!$AD$2:$AD$2501,0),"")</f>
        <v/>
      </c>
      <c r="M117">
        <f>IF($L117="","",INDEX('Per Line'!$E$2:$E$2501,$L117))</f>
        <v/>
      </c>
    </row>
    <row r="118">
      <c r="A118">
        <f>IF($L118="","",INDEX('Per Line'!$C$2:$C$2501,$L118))</f>
        <v/>
      </c>
      <c r="B118">
        <f>IF($L118="","",INDEX('Per Line'!$D$2:$D$2501,$L118))</f>
        <v/>
      </c>
      <c r="C118">
        <f>IF($L118="","",INDEX('Per Line'!$A$2:$A$2501,$L118))</f>
        <v/>
      </c>
      <c r="F118">
        <f>IF($L118="","",INDEX('Per Line'!$U$2:$U$2501,$L118))</f>
        <v/>
      </c>
      <c r="G118" s="5">
        <f>IF($L118="","",SUMIFS('Per Line'!$W$2:$W$2501,'Per Line'!$D$2:$D$2501,$B118))</f>
        <v/>
      </c>
      <c r="H118" s="5">
        <f>IF($L118="","",SUMIFS('Per Line'!$X$2:$X$2501,'Per Line'!$D$2:$D$2501,$B118))</f>
        <v/>
      </c>
      <c r="I118" s="5">
        <f>IF($L118="","",SUMIFS('Per Line'!$Y$2:$Y$2501,'Per Line'!$D$2:$D$2501,$B118))</f>
        <v/>
      </c>
      <c r="J118" s="5">
        <f>IF($L118="","",G118-H118)</f>
        <v/>
      </c>
      <c r="K118" s="5">
        <f>IF($L118="","",J118-I118)</f>
        <v/>
      </c>
      <c r="L118">
        <f>IF(ROWS($L$2:$L118)&lt;=MAX('Per Line'!$AD$2:$AD$2501),MATCH(ROWS($L$2:$L118),'Per Line'!$AD$2:$AD$2501,0),"")</f>
        <v/>
      </c>
      <c r="M118">
        <f>IF($L118="","",INDEX('Per Line'!$E$2:$E$2501,$L118))</f>
        <v/>
      </c>
    </row>
    <row r="119">
      <c r="A119">
        <f>IF($L119="","",INDEX('Per Line'!$C$2:$C$2501,$L119))</f>
        <v/>
      </c>
      <c r="B119">
        <f>IF($L119="","",INDEX('Per Line'!$D$2:$D$2501,$L119))</f>
        <v/>
      </c>
      <c r="C119">
        <f>IF($L119="","",INDEX('Per Line'!$A$2:$A$2501,$L119))</f>
        <v/>
      </c>
      <c r="F119">
        <f>IF($L119="","",INDEX('Per Line'!$U$2:$U$2501,$L119))</f>
        <v/>
      </c>
      <c r="G119" s="5">
        <f>IF($L119="","",SUMIFS('Per Line'!$W$2:$W$2501,'Per Line'!$D$2:$D$2501,$B119))</f>
        <v/>
      </c>
      <c r="H119" s="5">
        <f>IF($L119="","",SUMIFS('Per Line'!$X$2:$X$2501,'Per Line'!$D$2:$D$2501,$B119))</f>
        <v/>
      </c>
      <c r="I119" s="5">
        <f>IF($L119="","",SUMIFS('Per Line'!$Y$2:$Y$2501,'Per Line'!$D$2:$D$2501,$B119))</f>
        <v/>
      </c>
      <c r="J119" s="5">
        <f>IF($L119="","",G119-H119)</f>
        <v/>
      </c>
      <c r="K119" s="5">
        <f>IF($L119="","",J119-I119)</f>
        <v/>
      </c>
      <c r="L119">
        <f>IF(ROWS($L$2:$L119)&lt;=MAX('Per Line'!$AD$2:$AD$2501),MATCH(ROWS($L$2:$L119),'Per Line'!$AD$2:$AD$2501,0),"")</f>
        <v/>
      </c>
      <c r="M119">
        <f>IF($L119="","",INDEX('Per Line'!$E$2:$E$2501,$L119))</f>
        <v/>
      </c>
    </row>
    <row r="120">
      <c r="A120">
        <f>IF($L120="","",INDEX('Per Line'!$C$2:$C$2501,$L120))</f>
        <v/>
      </c>
      <c r="B120">
        <f>IF($L120="","",INDEX('Per Line'!$D$2:$D$2501,$L120))</f>
        <v/>
      </c>
      <c r="C120">
        <f>IF($L120="","",INDEX('Per Line'!$A$2:$A$2501,$L120))</f>
        <v/>
      </c>
      <c r="F120">
        <f>IF($L120="","",INDEX('Per Line'!$U$2:$U$2501,$L120))</f>
        <v/>
      </c>
      <c r="G120" s="5">
        <f>IF($L120="","",SUMIFS('Per Line'!$W$2:$W$2501,'Per Line'!$D$2:$D$2501,$B120))</f>
        <v/>
      </c>
      <c r="H120" s="5">
        <f>IF($L120="","",SUMIFS('Per Line'!$X$2:$X$2501,'Per Line'!$D$2:$D$2501,$B120))</f>
        <v/>
      </c>
      <c r="I120" s="5">
        <f>IF($L120="","",SUMIFS('Per Line'!$Y$2:$Y$2501,'Per Line'!$D$2:$D$2501,$B120))</f>
        <v/>
      </c>
      <c r="J120" s="5">
        <f>IF($L120="","",G120-H120)</f>
        <v/>
      </c>
      <c r="K120" s="5">
        <f>IF($L120="","",J120-I120)</f>
        <v/>
      </c>
      <c r="L120">
        <f>IF(ROWS($L$2:$L120)&lt;=MAX('Per Line'!$AD$2:$AD$2501),MATCH(ROWS($L$2:$L120),'Per Line'!$AD$2:$AD$2501,0),"")</f>
        <v/>
      </c>
      <c r="M120">
        <f>IF($L120="","",INDEX('Per Line'!$E$2:$E$2501,$L120))</f>
        <v/>
      </c>
    </row>
    <row r="121">
      <c r="A121">
        <f>IF($L121="","",INDEX('Per Line'!$C$2:$C$2501,$L121))</f>
        <v/>
      </c>
      <c r="B121">
        <f>IF($L121="","",INDEX('Per Line'!$D$2:$D$2501,$L121))</f>
        <v/>
      </c>
      <c r="C121">
        <f>IF($L121="","",INDEX('Per Line'!$A$2:$A$2501,$L121))</f>
        <v/>
      </c>
      <c r="F121">
        <f>IF($L121="","",INDEX('Per Line'!$U$2:$U$2501,$L121))</f>
        <v/>
      </c>
      <c r="G121" s="5">
        <f>IF($L121="","",SUMIFS('Per Line'!$W$2:$W$2501,'Per Line'!$D$2:$D$2501,$B121))</f>
        <v/>
      </c>
      <c r="H121" s="5">
        <f>IF($L121="","",SUMIFS('Per Line'!$X$2:$X$2501,'Per Line'!$D$2:$D$2501,$B121))</f>
        <v/>
      </c>
      <c r="I121" s="5">
        <f>IF($L121="","",SUMIFS('Per Line'!$Y$2:$Y$2501,'Per Line'!$D$2:$D$2501,$B121))</f>
        <v/>
      </c>
      <c r="J121" s="5">
        <f>IF($L121="","",G121-H121)</f>
        <v/>
      </c>
      <c r="K121" s="5">
        <f>IF($L121="","",J121-I121)</f>
        <v/>
      </c>
      <c r="L121">
        <f>IF(ROWS($L$2:$L121)&lt;=MAX('Per Line'!$AD$2:$AD$2501),MATCH(ROWS($L$2:$L121),'Per Line'!$AD$2:$AD$2501,0),"")</f>
        <v/>
      </c>
      <c r="M121">
        <f>IF($L121="","",INDEX('Per Line'!$E$2:$E$2501,$L121))</f>
        <v/>
      </c>
    </row>
    <row r="122">
      <c r="A122">
        <f>IF($L122="","",INDEX('Per Line'!$C$2:$C$2501,$L122))</f>
        <v/>
      </c>
      <c r="B122">
        <f>IF($L122="","",INDEX('Per Line'!$D$2:$D$2501,$L122))</f>
        <v/>
      </c>
      <c r="C122">
        <f>IF($L122="","",INDEX('Per Line'!$A$2:$A$2501,$L122))</f>
        <v/>
      </c>
      <c r="F122">
        <f>IF($L122="","",INDEX('Per Line'!$U$2:$U$2501,$L122))</f>
        <v/>
      </c>
      <c r="G122" s="5">
        <f>IF($L122="","",SUMIFS('Per Line'!$W$2:$W$2501,'Per Line'!$D$2:$D$2501,$B122))</f>
        <v/>
      </c>
      <c r="H122" s="5">
        <f>IF($L122="","",SUMIFS('Per Line'!$X$2:$X$2501,'Per Line'!$D$2:$D$2501,$B122))</f>
        <v/>
      </c>
      <c r="I122" s="5">
        <f>IF($L122="","",SUMIFS('Per Line'!$Y$2:$Y$2501,'Per Line'!$D$2:$D$2501,$B122))</f>
        <v/>
      </c>
      <c r="J122" s="5">
        <f>IF($L122="","",G122-H122)</f>
        <v/>
      </c>
      <c r="K122" s="5">
        <f>IF($L122="","",J122-I122)</f>
        <v/>
      </c>
      <c r="L122">
        <f>IF(ROWS($L$2:$L122)&lt;=MAX('Per Line'!$AD$2:$AD$2501),MATCH(ROWS($L$2:$L122),'Per Line'!$AD$2:$AD$2501,0),"")</f>
        <v/>
      </c>
      <c r="M122">
        <f>IF($L122="","",INDEX('Per Line'!$E$2:$E$2501,$L122))</f>
        <v/>
      </c>
    </row>
    <row r="123">
      <c r="A123">
        <f>IF($L123="","",INDEX('Per Line'!$C$2:$C$2501,$L123))</f>
        <v/>
      </c>
      <c r="B123">
        <f>IF($L123="","",INDEX('Per Line'!$D$2:$D$2501,$L123))</f>
        <v/>
      </c>
      <c r="C123">
        <f>IF($L123="","",INDEX('Per Line'!$A$2:$A$2501,$L123))</f>
        <v/>
      </c>
      <c r="F123">
        <f>IF($L123="","",INDEX('Per Line'!$U$2:$U$2501,$L123))</f>
        <v/>
      </c>
      <c r="G123" s="5">
        <f>IF($L123="","",SUMIFS('Per Line'!$W$2:$W$2501,'Per Line'!$D$2:$D$2501,$B123))</f>
        <v/>
      </c>
      <c r="H123" s="5">
        <f>IF($L123="","",SUMIFS('Per Line'!$X$2:$X$2501,'Per Line'!$D$2:$D$2501,$B123))</f>
        <v/>
      </c>
      <c r="I123" s="5">
        <f>IF($L123="","",SUMIFS('Per Line'!$Y$2:$Y$2501,'Per Line'!$D$2:$D$2501,$B123))</f>
        <v/>
      </c>
      <c r="J123" s="5">
        <f>IF($L123="","",G123-H123)</f>
        <v/>
      </c>
      <c r="K123" s="5">
        <f>IF($L123="","",J123-I123)</f>
        <v/>
      </c>
      <c r="L123">
        <f>IF(ROWS($L$2:$L123)&lt;=MAX('Per Line'!$AD$2:$AD$2501),MATCH(ROWS($L$2:$L123),'Per Line'!$AD$2:$AD$2501,0),"")</f>
        <v/>
      </c>
      <c r="M123">
        <f>IF($L123="","",INDEX('Per Line'!$E$2:$E$2501,$L123))</f>
        <v/>
      </c>
    </row>
    <row r="124">
      <c r="A124">
        <f>IF($L124="","",INDEX('Per Line'!$C$2:$C$2501,$L124))</f>
        <v/>
      </c>
      <c r="B124">
        <f>IF($L124="","",INDEX('Per Line'!$D$2:$D$2501,$L124))</f>
        <v/>
      </c>
      <c r="C124">
        <f>IF($L124="","",INDEX('Per Line'!$A$2:$A$2501,$L124))</f>
        <v/>
      </c>
      <c r="F124">
        <f>IF($L124="","",INDEX('Per Line'!$U$2:$U$2501,$L124))</f>
        <v/>
      </c>
      <c r="G124" s="5">
        <f>IF($L124="","",SUMIFS('Per Line'!$W$2:$W$2501,'Per Line'!$D$2:$D$2501,$B124))</f>
        <v/>
      </c>
      <c r="H124" s="5">
        <f>IF($L124="","",SUMIFS('Per Line'!$X$2:$X$2501,'Per Line'!$D$2:$D$2501,$B124))</f>
        <v/>
      </c>
      <c r="I124" s="5">
        <f>IF($L124="","",SUMIFS('Per Line'!$Y$2:$Y$2501,'Per Line'!$D$2:$D$2501,$B124))</f>
        <v/>
      </c>
      <c r="J124" s="5">
        <f>IF($L124="","",G124-H124)</f>
        <v/>
      </c>
      <c r="K124" s="5">
        <f>IF($L124="","",J124-I124)</f>
        <v/>
      </c>
      <c r="L124">
        <f>IF(ROWS($L$2:$L124)&lt;=MAX('Per Line'!$AD$2:$AD$2501),MATCH(ROWS($L$2:$L124),'Per Line'!$AD$2:$AD$2501,0),"")</f>
        <v/>
      </c>
      <c r="M124">
        <f>IF($L124="","",INDEX('Per Line'!$E$2:$E$2501,$L124))</f>
        <v/>
      </c>
    </row>
    <row r="125">
      <c r="A125">
        <f>IF($L125="","",INDEX('Per Line'!$C$2:$C$2501,$L125))</f>
        <v/>
      </c>
      <c r="B125">
        <f>IF($L125="","",INDEX('Per Line'!$D$2:$D$2501,$L125))</f>
        <v/>
      </c>
      <c r="C125">
        <f>IF($L125="","",INDEX('Per Line'!$A$2:$A$2501,$L125))</f>
        <v/>
      </c>
      <c r="F125">
        <f>IF($L125="","",INDEX('Per Line'!$U$2:$U$2501,$L125))</f>
        <v/>
      </c>
      <c r="G125" s="5">
        <f>IF($L125="","",SUMIFS('Per Line'!$W$2:$W$2501,'Per Line'!$D$2:$D$2501,$B125))</f>
        <v/>
      </c>
      <c r="H125" s="5">
        <f>IF($L125="","",SUMIFS('Per Line'!$X$2:$X$2501,'Per Line'!$D$2:$D$2501,$B125))</f>
        <v/>
      </c>
      <c r="I125" s="5">
        <f>IF($L125="","",SUMIFS('Per Line'!$Y$2:$Y$2501,'Per Line'!$D$2:$D$2501,$B125))</f>
        <v/>
      </c>
      <c r="J125" s="5">
        <f>IF($L125="","",G125-H125)</f>
        <v/>
      </c>
      <c r="K125" s="5">
        <f>IF($L125="","",J125-I125)</f>
        <v/>
      </c>
      <c r="L125">
        <f>IF(ROWS($L$2:$L125)&lt;=MAX('Per Line'!$AD$2:$AD$2501),MATCH(ROWS($L$2:$L125),'Per Line'!$AD$2:$AD$2501,0),"")</f>
        <v/>
      </c>
      <c r="M125">
        <f>IF($L125="","",INDEX('Per Line'!$E$2:$E$2501,$L125))</f>
        <v/>
      </c>
    </row>
    <row r="126">
      <c r="A126">
        <f>IF($L126="","",INDEX('Per Line'!$C$2:$C$2501,$L126))</f>
        <v/>
      </c>
      <c r="B126">
        <f>IF($L126="","",INDEX('Per Line'!$D$2:$D$2501,$L126))</f>
        <v/>
      </c>
      <c r="C126">
        <f>IF($L126="","",INDEX('Per Line'!$A$2:$A$2501,$L126))</f>
        <v/>
      </c>
      <c r="F126">
        <f>IF($L126="","",INDEX('Per Line'!$U$2:$U$2501,$L126))</f>
        <v/>
      </c>
      <c r="G126" s="5">
        <f>IF($L126="","",SUMIFS('Per Line'!$W$2:$W$2501,'Per Line'!$D$2:$D$2501,$B126))</f>
        <v/>
      </c>
      <c r="H126" s="5">
        <f>IF($L126="","",SUMIFS('Per Line'!$X$2:$X$2501,'Per Line'!$D$2:$D$2501,$B126))</f>
        <v/>
      </c>
      <c r="I126" s="5">
        <f>IF($L126="","",SUMIFS('Per Line'!$Y$2:$Y$2501,'Per Line'!$D$2:$D$2501,$B126))</f>
        <v/>
      </c>
      <c r="J126" s="5">
        <f>IF($L126="","",G126-H126)</f>
        <v/>
      </c>
      <c r="K126" s="5">
        <f>IF($L126="","",J126-I126)</f>
        <v/>
      </c>
      <c r="L126">
        <f>IF(ROWS($L$2:$L126)&lt;=MAX('Per Line'!$AD$2:$AD$2501),MATCH(ROWS($L$2:$L126),'Per Line'!$AD$2:$AD$2501,0),"")</f>
        <v/>
      </c>
      <c r="M126">
        <f>IF($L126="","",INDEX('Per Line'!$E$2:$E$2501,$L126))</f>
        <v/>
      </c>
    </row>
    <row r="127">
      <c r="A127">
        <f>IF($L127="","",INDEX('Per Line'!$C$2:$C$2501,$L127))</f>
        <v/>
      </c>
      <c r="B127">
        <f>IF($L127="","",INDEX('Per Line'!$D$2:$D$2501,$L127))</f>
        <v/>
      </c>
      <c r="C127">
        <f>IF($L127="","",INDEX('Per Line'!$A$2:$A$2501,$L127))</f>
        <v/>
      </c>
      <c r="F127">
        <f>IF($L127="","",INDEX('Per Line'!$U$2:$U$2501,$L127))</f>
        <v/>
      </c>
      <c r="G127" s="5">
        <f>IF($L127="","",SUMIFS('Per Line'!$W$2:$W$2501,'Per Line'!$D$2:$D$2501,$B127))</f>
        <v/>
      </c>
      <c r="H127" s="5">
        <f>IF($L127="","",SUMIFS('Per Line'!$X$2:$X$2501,'Per Line'!$D$2:$D$2501,$B127))</f>
        <v/>
      </c>
      <c r="I127" s="5">
        <f>IF($L127="","",SUMIFS('Per Line'!$Y$2:$Y$2501,'Per Line'!$D$2:$D$2501,$B127))</f>
        <v/>
      </c>
      <c r="J127" s="5">
        <f>IF($L127="","",G127-H127)</f>
        <v/>
      </c>
      <c r="K127" s="5">
        <f>IF($L127="","",J127-I127)</f>
        <v/>
      </c>
      <c r="L127">
        <f>IF(ROWS($L$2:$L127)&lt;=MAX('Per Line'!$AD$2:$AD$2501),MATCH(ROWS($L$2:$L127),'Per Line'!$AD$2:$AD$2501,0),"")</f>
        <v/>
      </c>
      <c r="M127">
        <f>IF($L127="","",INDEX('Per Line'!$E$2:$E$2501,$L127))</f>
        <v/>
      </c>
    </row>
    <row r="128">
      <c r="A128">
        <f>IF($L128="","",INDEX('Per Line'!$C$2:$C$2501,$L128))</f>
        <v/>
      </c>
      <c r="B128">
        <f>IF($L128="","",INDEX('Per Line'!$D$2:$D$2501,$L128))</f>
        <v/>
      </c>
      <c r="C128">
        <f>IF($L128="","",INDEX('Per Line'!$A$2:$A$2501,$L128))</f>
        <v/>
      </c>
      <c r="F128">
        <f>IF($L128="","",INDEX('Per Line'!$U$2:$U$2501,$L128))</f>
        <v/>
      </c>
      <c r="G128" s="5">
        <f>IF($L128="","",SUMIFS('Per Line'!$W$2:$W$2501,'Per Line'!$D$2:$D$2501,$B128))</f>
        <v/>
      </c>
      <c r="H128" s="5">
        <f>IF($L128="","",SUMIFS('Per Line'!$X$2:$X$2501,'Per Line'!$D$2:$D$2501,$B128))</f>
        <v/>
      </c>
      <c r="I128" s="5">
        <f>IF($L128="","",SUMIFS('Per Line'!$Y$2:$Y$2501,'Per Line'!$D$2:$D$2501,$B128))</f>
        <v/>
      </c>
      <c r="J128" s="5">
        <f>IF($L128="","",G128-H128)</f>
        <v/>
      </c>
      <c r="K128" s="5">
        <f>IF($L128="","",J128-I128)</f>
        <v/>
      </c>
      <c r="L128">
        <f>IF(ROWS($L$2:$L128)&lt;=MAX('Per Line'!$AD$2:$AD$2501),MATCH(ROWS($L$2:$L128),'Per Line'!$AD$2:$AD$2501,0),"")</f>
        <v/>
      </c>
      <c r="M128">
        <f>IF($L128="","",INDEX('Per Line'!$E$2:$E$2501,$L128))</f>
        <v/>
      </c>
    </row>
    <row r="129">
      <c r="A129">
        <f>IF($L129="","",INDEX('Per Line'!$C$2:$C$2501,$L129))</f>
        <v/>
      </c>
      <c r="B129">
        <f>IF($L129="","",INDEX('Per Line'!$D$2:$D$2501,$L129))</f>
        <v/>
      </c>
      <c r="C129">
        <f>IF($L129="","",INDEX('Per Line'!$A$2:$A$2501,$L129))</f>
        <v/>
      </c>
      <c r="F129">
        <f>IF($L129="","",INDEX('Per Line'!$U$2:$U$2501,$L129))</f>
        <v/>
      </c>
      <c r="G129" s="5">
        <f>IF($L129="","",SUMIFS('Per Line'!$W$2:$W$2501,'Per Line'!$D$2:$D$2501,$B129))</f>
        <v/>
      </c>
      <c r="H129" s="5">
        <f>IF($L129="","",SUMIFS('Per Line'!$X$2:$X$2501,'Per Line'!$D$2:$D$2501,$B129))</f>
        <v/>
      </c>
      <c r="I129" s="5">
        <f>IF($L129="","",SUMIFS('Per Line'!$Y$2:$Y$2501,'Per Line'!$D$2:$D$2501,$B129))</f>
        <v/>
      </c>
      <c r="J129" s="5">
        <f>IF($L129="","",G129-H129)</f>
        <v/>
      </c>
      <c r="K129" s="5">
        <f>IF($L129="","",J129-I129)</f>
        <v/>
      </c>
      <c r="L129">
        <f>IF(ROWS($L$2:$L129)&lt;=MAX('Per Line'!$AD$2:$AD$2501),MATCH(ROWS($L$2:$L129),'Per Line'!$AD$2:$AD$2501,0),"")</f>
        <v/>
      </c>
      <c r="M129">
        <f>IF($L129="","",INDEX('Per Line'!$E$2:$E$2501,$L129))</f>
        <v/>
      </c>
    </row>
    <row r="130">
      <c r="A130">
        <f>IF($L130="","",INDEX('Per Line'!$C$2:$C$2501,$L130))</f>
        <v/>
      </c>
      <c r="B130">
        <f>IF($L130="","",INDEX('Per Line'!$D$2:$D$2501,$L130))</f>
        <v/>
      </c>
      <c r="C130">
        <f>IF($L130="","",INDEX('Per Line'!$A$2:$A$2501,$L130))</f>
        <v/>
      </c>
      <c r="F130">
        <f>IF($L130="","",INDEX('Per Line'!$U$2:$U$2501,$L130))</f>
        <v/>
      </c>
      <c r="G130" s="5">
        <f>IF($L130="","",SUMIFS('Per Line'!$W$2:$W$2501,'Per Line'!$D$2:$D$2501,$B130))</f>
        <v/>
      </c>
      <c r="H130" s="5">
        <f>IF($L130="","",SUMIFS('Per Line'!$X$2:$X$2501,'Per Line'!$D$2:$D$2501,$B130))</f>
        <v/>
      </c>
      <c r="I130" s="5">
        <f>IF($L130="","",SUMIFS('Per Line'!$Y$2:$Y$2501,'Per Line'!$D$2:$D$2501,$B130))</f>
        <v/>
      </c>
      <c r="J130" s="5">
        <f>IF($L130="","",G130-H130)</f>
        <v/>
      </c>
      <c r="K130" s="5">
        <f>IF($L130="","",J130-I130)</f>
        <v/>
      </c>
      <c r="L130">
        <f>IF(ROWS($L$2:$L130)&lt;=MAX('Per Line'!$AD$2:$AD$2501),MATCH(ROWS($L$2:$L130),'Per Line'!$AD$2:$AD$2501,0),"")</f>
        <v/>
      </c>
      <c r="M130">
        <f>IF($L130="","",INDEX('Per Line'!$E$2:$E$2501,$L130))</f>
        <v/>
      </c>
    </row>
    <row r="131">
      <c r="A131">
        <f>IF($L131="","",INDEX('Per Line'!$C$2:$C$2501,$L131))</f>
        <v/>
      </c>
      <c r="B131">
        <f>IF($L131="","",INDEX('Per Line'!$D$2:$D$2501,$L131))</f>
        <v/>
      </c>
      <c r="C131">
        <f>IF($L131="","",INDEX('Per Line'!$A$2:$A$2501,$L131))</f>
        <v/>
      </c>
      <c r="F131">
        <f>IF($L131="","",INDEX('Per Line'!$U$2:$U$2501,$L131))</f>
        <v/>
      </c>
      <c r="G131" s="5">
        <f>IF($L131="","",SUMIFS('Per Line'!$W$2:$W$2501,'Per Line'!$D$2:$D$2501,$B131))</f>
        <v/>
      </c>
      <c r="H131" s="5">
        <f>IF($L131="","",SUMIFS('Per Line'!$X$2:$X$2501,'Per Line'!$D$2:$D$2501,$B131))</f>
        <v/>
      </c>
      <c r="I131" s="5">
        <f>IF($L131="","",SUMIFS('Per Line'!$Y$2:$Y$2501,'Per Line'!$D$2:$D$2501,$B131))</f>
        <v/>
      </c>
      <c r="J131" s="5">
        <f>IF($L131="","",G131-H131)</f>
        <v/>
      </c>
      <c r="K131" s="5">
        <f>IF($L131="","",J131-I131)</f>
        <v/>
      </c>
      <c r="L131">
        <f>IF(ROWS($L$2:$L131)&lt;=MAX('Per Line'!$AD$2:$AD$2501),MATCH(ROWS($L$2:$L131),'Per Line'!$AD$2:$AD$2501,0),"")</f>
        <v/>
      </c>
      <c r="M131">
        <f>IF($L131="","",INDEX('Per Line'!$E$2:$E$2501,$L131))</f>
        <v/>
      </c>
    </row>
    <row r="132">
      <c r="A132">
        <f>IF($L132="","",INDEX('Per Line'!$C$2:$C$2501,$L132))</f>
        <v/>
      </c>
      <c r="B132">
        <f>IF($L132="","",INDEX('Per Line'!$D$2:$D$2501,$L132))</f>
        <v/>
      </c>
      <c r="C132">
        <f>IF($L132="","",INDEX('Per Line'!$A$2:$A$2501,$L132))</f>
        <v/>
      </c>
      <c r="F132">
        <f>IF($L132="","",INDEX('Per Line'!$U$2:$U$2501,$L132))</f>
        <v/>
      </c>
      <c r="G132" s="5">
        <f>IF($L132="","",SUMIFS('Per Line'!$W$2:$W$2501,'Per Line'!$D$2:$D$2501,$B132))</f>
        <v/>
      </c>
      <c r="H132" s="5">
        <f>IF($L132="","",SUMIFS('Per Line'!$X$2:$X$2501,'Per Line'!$D$2:$D$2501,$B132))</f>
        <v/>
      </c>
      <c r="I132" s="5">
        <f>IF($L132="","",SUMIFS('Per Line'!$Y$2:$Y$2501,'Per Line'!$D$2:$D$2501,$B132))</f>
        <v/>
      </c>
      <c r="J132" s="5">
        <f>IF($L132="","",G132-H132)</f>
        <v/>
      </c>
      <c r="K132" s="5">
        <f>IF($L132="","",J132-I132)</f>
        <v/>
      </c>
      <c r="L132">
        <f>IF(ROWS($L$2:$L132)&lt;=MAX('Per Line'!$AD$2:$AD$2501),MATCH(ROWS($L$2:$L132),'Per Line'!$AD$2:$AD$2501,0),"")</f>
        <v/>
      </c>
      <c r="M132">
        <f>IF($L132="","",INDEX('Per Line'!$E$2:$E$2501,$L132))</f>
        <v/>
      </c>
    </row>
    <row r="133">
      <c r="A133">
        <f>IF($L133="","",INDEX('Per Line'!$C$2:$C$2501,$L133))</f>
        <v/>
      </c>
      <c r="B133">
        <f>IF($L133="","",INDEX('Per Line'!$D$2:$D$2501,$L133))</f>
        <v/>
      </c>
      <c r="C133">
        <f>IF($L133="","",INDEX('Per Line'!$A$2:$A$2501,$L133))</f>
        <v/>
      </c>
      <c r="F133">
        <f>IF($L133="","",INDEX('Per Line'!$U$2:$U$2501,$L133))</f>
        <v/>
      </c>
      <c r="G133" s="5">
        <f>IF($L133="","",SUMIFS('Per Line'!$W$2:$W$2501,'Per Line'!$D$2:$D$2501,$B133))</f>
        <v/>
      </c>
      <c r="H133" s="5">
        <f>IF($L133="","",SUMIFS('Per Line'!$X$2:$X$2501,'Per Line'!$D$2:$D$2501,$B133))</f>
        <v/>
      </c>
      <c r="I133" s="5">
        <f>IF($L133="","",SUMIFS('Per Line'!$Y$2:$Y$2501,'Per Line'!$D$2:$D$2501,$B133))</f>
        <v/>
      </c>
      <c r="J133" s="5">
        <f>IF($L133="","",G133-H133)</f>
        <v/>
      </c>
      <c r="K133" s="5">
        <f>IF($L133="","",J133-I133)</f>
        <v/>
      </c>
      <c r="L133">
        <f>IF(ROWS($L$2:$L133)&lt;=MAX('Per Line'!$AD$2:$AD$2501),MATCH(ROWS($L$2:$L133),'Per Line'!$AD$2:$AD$2501,0),"")</f>
        <v/>
      </c>
      <c r="M133">
        <f>IF($L133="","",INDEX('Per Line'!$E$2:$E$2501,$L133))</f>
        <v/>
      </c>
    </row>
    <row r="134">
      <c r="A134">
        <f>IF($L134="","",INDEX('Per Line'!$C$2:$C$2501,$L134))</f>
        <v/>
      </c>
      <c r="B134">
        <f>IF($L134="","",INDEX('Per Line'!$D$2:$D$2501,$L134))</f>
        <v/>
      </c>
      <c r="C134">
        <f>IF($L134="","",INDEX('Per Line'!$A$2:$A$2501,$L134))</f>
        <v/>
      </c>
      <c r="F134">
        <f>IF($L134="","",INDEX('Per Line'!$U$2:$U$2501,$L134))</f>
        <v/>
      </c>
      <c r="G134" s="5">
        <f>IF($L134="","",SUMIFS('Per Line'!$W$2:$W$2501,'Per Line'!$D$2:$D$2501,$B134))</f>
        <v/>
      </c>
      <c r="H134" s="5">
        <f>IF($L134="","",SUMIFS('Per Line'!$X$2:$X$2501,'Per Line'!$D$2:$D$2501,$B134))</f>
        <v/>
      </c>
      <c r="I134" s="5">
        <f>IF($L134="","",SUMIFS('Per Line'!$Y$2:$Y$2501,'Per Line'!$D$2:$D$2501,$B134))</f>
        <v/>
      </c>
      <c r="J134" s="5">
        <f>IF($L134="","",G134-H134)</f>
        <v/>
      </c>
      <c r="K134" s="5">
        <f>IF($L134="","",J134-I134)</f>
        <v/>
      </c>
      <c r="L134">
        <f>IF(ROWS($L$2:$L134)&lt;=MAX('Per Line'!$AD$2:$AD$2501),MATCH(ROWS($L$2:$L134),'Per Line'!$AD$2:$AD$2501,0),"")</f>
        <v/>
      </c>
      <c r="M134">
        <f>IF($L134="","",INDEX('Per Line'!$E$2:$E$2501,$L134))</f>
        <v/>
      </c>
    </row>
    <row r="135">
      <c r="A135">
        <f>IF($L135="","",INDEX('Per Line'!$C$2:$C$2501,$L135))</f>
        <v/>
      </c>
      <c r="B135">
        <f>IF($L135="","",INDEX('Per Line'!$D$2:$D$2501,$L135))</f>
        <v/>
      </c>
      <c r="C135">
        <f>IF($L135="","",INDEX('Per Line'!$A$2:$A$2501,$L135))</f>
        <v/>
      </c>
      <c r="F135">
        <f>IF($L135="","",INDEX('Per Line'!$U$2:$U$2501,$L135))</f>
        <v/>
      </c>
      <c r="G135" s="5">
        <f>IF($L135="","",SUMIFS('Per Line'!$W$2:$W$2501,'Per Line'!$D$2:$D$2501,$B135))</f>
        <v/>
      </c>
      <c r="H135" s="5">
        <f>IF($L135="","",SUMIFS('Per Line'!$X$2:$X$2501,'Per Line'!$D$2:$D$2501,$B135))</f>
        <v/>
      </c>
      <c r="I135" s="5">
        <f>IF($L135="","",SUMIFS('Per Line'!$Y$2:$Y$2501,'Per Line'!$D$2:$D$2501,$B135))</f>
        <v/>
      </c>
      <c r="J135" s="5">
        <f>IF($L135="","",G135-H135)</f>
        <v/>
      </c>
      <c r="K135" s="5">
        <f>IF($L135="","",J135-I135)</f>
        <v/>
      </c>
      <c r="L135">
        <f>IF(ROWS($L$2:$L135)&lt;=MAX('Per Line'!$AD$2:$AD$2501),MATCH(ROWS($L$2:$L135),'Per Line'!$AD$2:$AD$2501,0),"")</f>
        <v/>
      </c>
      <c r="M135">
        <f>IF($L135="","",INDEX('Per Line'!$E$2:$E$2501,$L135))</f>
        <v/>
      </c>
    </row>
    <row r="136">
      <c r="A136">
        <f>IF($L136="","",INDEX('Per Line'!$C$2:$C$2501,$L136))</f>
        <v/>
      </c>
      <c r="B136">
        <f>IF($L136="","",INDEX('Per Line'!$D$2:$D$2501,$L136))</f>
        <v/>
      </c>
      <c r="C136">
        <f>IF($L136="","",INDEX('Per Line'!$A$2:$A$2501,$L136))</f>
        <v/>
      </c>
      <c r="F136">
        <f>IF($L136="","",INDEX('Per Line'!$U$2:$U$2501,$L136))</f>
        <v/>
      </c>
      <c r="G136" s="5">
        <f>IF($L136="","",SUMIFS('Per Line'!$W$2:$W$2501,'Per Line'!$D$2:$D$2501,$B136))</f>
        <v/>
      </c>
      <c r="H136" s="5">
        <f>IF($L136="","",SUMIFS('Per Line'!$X$2:$X$2501,'Per Line'!$D$2:$D$2501,$B136))</f>
        <v/>
      </c>
      <c r="I136" s="5">
        <f>IF($L136="","",SUMIFS('Per Line'!$Y$2:$Y$2501,'Per Line'!$D$2:$D$2501,$B136))</f>
        <v/>
      </c>
      <c r="J136" s="5">
        <f>IF($L136="","",G136-H136)</f>
        <v/>
      </c>
      <c r="K136" s="5">
        <f>IF($L136="","",J136-I136)</f>
        <v/>
      </c>
      <c r="L136">
        <f>IF(ROWS($L$2:$L136)&lt;=MAX('Per Line'!$AD$2:$AD$2501),MATCH(ROWS($L$2:$L136),'Per Line'!$AD$2:$AD$2501,0),"")</f>
        <v/>
      </c>
      <c r="M136">
        <f>IF($L136="","",INDEX('Per Line'!$E$2:$E$2501,$L136))</f>
        <v/>
      </c>
    </row>
    <row r="137">
      <c r="A137">
        <f>IF($L137="","",INDEX('Per Line'!$C$2:$C$2501,$L137))</f>
        <v/>
      </c>
      <c r="B137">
        <f>IF($L137="","",INDEX('Per Line'!$D$2:$D$2501,$L137))</f>
        <v/>
      </c>
      <c r="C137">
        <f>IF($L137="","",INDEX('Per Line'!$A$2:$A$2501,$L137))</f>
        <v/>
      </c>
      <c r="F137">
        <f>IF($L137="","",INDEX('Per Line'!$U$2:$U$2501,$L137))</f>
        <v/>
      </c>
      <c r="G137" s="5">
        <f>IF($L137="","",SUMIFS('Per Line'!$W$2:$W$2501,'Per Line'!$D$2:$D$2501,$B137))</f>
        <v/>
      </c>
      <c r="H137" s="5">
        <f>IF($L137="","",SUMIFS('Per Line'!$X$2:$X$2501,'Per Line'!$D$2:$D$2501,$B137))</f>
        <v/>
      </c>
      <c r="I137" s="5">
        <f>IF($L137="","",SUMIFS('Per Line'!$Y$2:$Y$2501,'Per Line'!$D$2:$D$2501,$B137))</f>
        <v/>
      </c>
      <c r="J137" s="5">
        <f>IF($L137="","",G137-H137)</f>
        <v/>
      </c>
      <c r="K137" s="5">
        <f>IF($L137="","",J137-I137)</f>
        <v/>
      </c>
      <c r="L137">
        <f>IF(ROWS($L$2:$L137)&lt;=MAX('Per Line'!$AD$2:$AD$2501),MATCH(ROWS($L$2:$L137),'Per Line'!$AD$2:$AD$2501,0),"")</f>
        <v/>
      </c>
      <c r="M137">
        <f>IF($L137="","",INDEX('Per Line'!$E$2:$E$2501,$L137))</f>
        <v/>
      </c>
    </row>
    <row r="138">
      <c r="A138">
        <f>IF($L138="","",INDEX('Per Line'!$C$2:$C$2501,$L138))</f>
        <v/>
      </c>
      <c r="B138">
        <f>IF($L138="","",INDEX('Per Line'!$D$2:$D$2501,$L138))</f>
        <v/>
      </c>
      <c r="C138">
        <f>IF($L138="","",INDEX('Per Line'!$A$2:$A$2501,$L138))</f>
        <v/>
      </c>
      <c r="F138">
        <f>IF($L138="","",INDEX('Per Line'!$U$2:$U$2501,$L138))</f>
        <v/>
      </c>
      <c r="G138" s="5">
        <f>IF($L138="","",SUMIFS('Per Line'!$W$2:$W$2501,'Per Line'!$D$2:$D$2501,$B138))</f>
        <v/>
      </c>
      <c r="H138" s="5">
        <f>IF($L138="","",SUMIFS('Per Line'!$X$2:$X$2501,'Per Line'!$D$2:$D$2501,$B138))</f>
        <v/>
      </c>
      <c r="I138" s="5">
        <f>IF($L138="","",SUMIFS('Per Line'!$Y$2:$Y$2501,'Per Line'!$D$2:$D$2501,$B138))</f>
        <v/>
      </c>
      <c r="J138" s="5">
        <f>IF($L138="","",G138-H138)</f>
        <v/>
      </c>
      <c r="K138" s="5">
        <f>IF($L138="","",J138-I138)</f>
        <v/>
      </c>
      <c r="L138">
        <f>IF(ROWS($L$2:$L138)&lt;=MAX('Per Line'!$AD$2:$AD$2501),MATCH(ROWS($L$2:$L138),'Per Line'!$AD$2:$AD$2501,0),"")</f>
        <v/>
      </c>
      <c r="M138">
        <f>IF($L138="","",INDEX('Per Line'!$E$2:$E$2501,$L138))</f>
        <v/>
      </c>
    </row>
    <row r="139">
      <c r="A139">
        <f>IF($L139="","",INDEX('Per Line'!$C$2:$C$2501,$L139))</f>
        <v/>
      </c>
      <c r="B139">
        <f>IF($L139="","",INDEX('Per Line'!$D$2:$D$2501,$L139))</f>
        <v/>
      </c>
      <c r="C139">
        <f>IF($L139="","",INDEX('Per Line'!$A$2:$A$2501,$L139))</f>
        <v/>
      </c>
      <c r="F139">
        <f>IF($L139="","",INDEX('Per Line'!$U$2:$U$2501,$L139))</f>
        <v/>
      </c>
      <c r="G139" s="5">
        <f>IF($L139="","",SUMIFS('Per Line'!$W$2:$W$2501,'Per Line'!$D$2:$D$2501,$B139))</f>
        <v/>
      </c>
      <c r="H139" s="5">
        <f>IF($L139="","",SUMIFS('Per Line'!$X$2:$X$2501,'Per Line'!$D$2:$D$2501,$B139))</f>
        <v/>
      </c>
      <c r="I139" s="5">
        <f>IF($L139="","",SUMIFS('Per Line'!$Y$2:$Y$2501,'Per Line'!$D$2:$D$2501,$B139))</f>
        <v/>
      </c>
      <c r="J139" s="5">
        <f>IF($L139="","",G139-H139)</f>
        <v/>
      </c>
      <c r="K139" s="5">
        <f>IF($L139="","",J139-I139)</f>
        <v/>
      </c>
      <c r="L139">
        <f>IF(ROWS($L$2:$L139)&lt;=MAX('Per Line'!$AD$2:$AD$2501),MATCH(ROWS($L$2:$L139),'Per Line'!$AD$2:$AD$2501,0),"")</f>
        <v/>
      </c>
      <c r="M139">
        <f>IF($L139="","",INDEX('Per Line'!$E$2:$E$2501,$L139))</f>
        <v/>
      </c>
    </row>
    <row r="140">
      <c r="A140">
        <f>IF($L140="","",INDEX('Per Line'!$C$2:$C$2501,$L140))</f>
        <v/>
      </c>
      <c r="B140">
        <f>IF($L140="","",INDEX('Per Line'!$D$2:$D$2501,$L140))</f>
        <v/>
      </c>
      <c r="C140">
        <f>IF($L140="","",INDEX('Per Line'!$A$2:$A$2501,$L140))</f>
        <v/>
      </c>
      <c r="F140">
        <f>IF($L140="","",INDEX('Per Line'!$U$2:$U$2501,$L140))</f>
        <v/>
      </c>
      <c r="G140" s="5">
        <f>IF($L140="","",SUMIFS('Per Line'!$W$2:$W$2501,'Per Line'!$D$2:$D$2501,$B140))</f>
        <v/>
      </c>
      <c r="H140" s="5">
        <f>IF($L140="","",SUMIFS('Per Line'!$X$2:$X$2501,'Per Line'!$D$2:$D$2501,$B140))</f>
        <v/>
      </c>
      <c r="I140" s="5">
        <f>IF($L140="","",SUMIFS('Per Line'!$Y$2:$Y$2501,'Per Line'!$D$2:$D$2501,$B140))</f>
        <v/>
      </c>
      <c r="J140" s="5">
        <f>IF($L140="","",G140-H140)</f>
        <v/>
      </c>
      <c r="K140" s="5">
        <f>IF($L140="","",J140-I140)</f>
        <v/>
      </c>
      <c r="L140">
        <f>IF(ROWS($L$2:$L140)&lt;=MAX('Per Line'!$AD$2:$AD$2501),MATCH(ROWS($L$2:$L140),'Per Line'!$AD$2:$AD$2501,0),"")</f>
        <v/>
      </c>
      <c r="M140">
        <f>IF($L140="","",INDEX('Per Line'!$E$2:$E$2501,$L140))</f>
        <v/>
      </c>
    </row>
    <row r="141">
      <c r="A141">
        <f>IF($L141="","",INDEX('Per Line'!$C$2:$C$2501,$L141))</f>
        <v/>
      </c>
      <c r="B141">
        <f>IF($L141="","",INDEX('Per Line'!$D$2:$D$2501,$L141))</f>
        <v/>
      </c>
      <c r="C141">
        <f>IF($L141="","",INDEX('Per Line'!$A$2:$A$2501,$L141))</f>
        <v/>
      </c>
      <c r="F141">
        <f>IF($L141="","",INDEX('Per Line'!$U$2:$U$2501,$L141))</f>
        <v/>
      </c>
      <c r="G141" s="5">
        <f>IF($L141="","",SUMIFS('Per Line'!$W$2:$W$2501,'Per Line'!$D$2:$D$2501,$B141))</f>
        <v/>
      </c>
      <c r="H141" s="5">
        <f>IF($L141="","",SUMIFS('Per Line'!$X$2:$X$2501,'Per Line'!$D$2:$D$2501,$B141))</f>
        <v/>
      </c>
      <c r="I141" s="5">
        <f>IF($L141="","",SUMIFS('Per Line'!$Y$2:$Y$2501,'Per Line'!$D$2:$D$2501,$B141))</f>
        <v/>
      </c>
      <c r="J141" s="5">
        <f>IF($L141="","",G141-H141)</f>
        <v/>
      </c>
      <c r="K141" s="5">
        <f>IF($L141="","",J141-I141)</f>
        <v/>
      </c>
      <c r="L141">
        <f>IF(ROWS($L$2:$L141)&lt;=MAX('Per Line'!$AD$2:$AD$2501),MATCH(ROWS($L$2:$L141),'Per Line'!$AD$2:$AD$2501,0),"")</f>
        <v/>
      </c>
      <c r="M141">
        <f>IF($L141="","",INDEX('Per Line'!$E$2:$E$2501,$L141))</f>
        <v/>
      </c>
    </row>
    <row r="142">
      <c r="A142">
        <f>IF($L142="","",INDEX('Per Line'!$C$2:$C$2501,$L142))</f>
        <v/>
      </c>
      <c r="B142">
        <f>IF($L142="","",INDEX('Per Line'!$D$2:$D$2501,$L142))</f>
        <v/>
      </c>
      <c r="C142">
        <f>IF($L142="","",INDEX('Per Line'!$A$2:$A$2501,$L142))</f>
        <v/>
      </c>
      <c r="F142">
        <f>IF($L142="","",INDEX('Per Line'!$U$2:$U$2501,$L142))</f>
        <v/>
      </c>
      <c r="G142" s="5">
        <f>IF($L142="","",SUMIFS('Per Line'!$W$2:$W$2501,'Per Line'!$D$2:$D$2501,$B142))</f>
        <v/>
      </c>
      <c r="H142" s="5">
        <f>IF($L142="","",SUMIFS('Per Line'!$X$2:$X$2501,'Per Line'!$D$2:$D$2501,$B142))</f>
        <v/>
      </c>
      <c r="I142" s="5">
        <f>IF($L142="","",SUMIFS('Per Line'!$Y$2:$Y$2501,'Per Line'!$D$2:$D$2501,$B142))</f>
        <v/>
      </c>
      <c r="J142" s="5">
        <f>IF($L142="","",G142-H142)</f>
        <v/>
      </c>
      <c r="K142" s="5">
        <f>IF($L142="","",J142-I142)</f>
        <v/>
      </c>
      <c r="L142">
        <f>IF(ROWS($L$2:$L142)&lt;=MAX('Per Line'!$AD$2:$AD$2501),MATCH(ROWS($L$2:$L142),'Per Line'!$AD$2:$AD$2501,0),"")</f>
        <v/>
      </c>
      <c r="M142">
        <f>IF($L142="","",INDEX('Per Line'!$E$2:$E$2501,$L142))</f>
        <v/>
      </c>
    </row>
    <row r="143">
      <c r="A143">
        <f>IF($L143="","",INDEX('Per Line'!$C$2:$C$2501,$L143))</f>
        <v/>
      </c>
      <c r="B143">
        <f>IF($L143="","",INDEX('Per Line'!$D$2:$D$2501,$L143))</f>
        <v/>
      </c>
      <c r="C143">
        <f>IF($L143="","",INDEX('Per Line'!$A$2:$A$2501,$L143))</f>
        <v/>
      </c>
      <c r="F143">
        <f>IF($L143="","",INDEX('Per Line'!$U$2:$U$2501,$L143))</f>
        <v/>
      </c>
      <c r="G143" s="5">
        <f>IF($L143="","",SUMIFS('Per Line'!$W$2:$W$2501,'Per Line'!$D$2:$D$2501,$B143))</f>
        <v/>
      </c>
      <c r="H143" s="5">
        <f>IF($L143="","",SUMIFS('Per Line'!$X$2:$X$2501,'Per Line'!$D$2:$D$2501,$B143))</f>
        <v/>
      </c>
      <c r="I143" s="5">
        <f>IF($L143="","",SUMIFS('Per Line'!$Y$2:$Y$2501,'Per Line'!$D$2:$D$2501,$B143))</f>
        <v/>
      </c>
      <c r="J143" s="5">
        <f>IF($L143="","",G143-H143)</f>
        <v/>
      </c>
      <c r="K143" s="5">
        <f>IF($L143="","",J143-I143)</f>
        <v/>
      </c>
      <c r="L143">
        <f>IF(ROWS($L$2:$L143)&lt;=MAX('Per Line'!$AD$2:$AD$2501),MATCH(ROWS($L$2:$L143),'Per Line'!$AD$2:$AD$2501,0),"")</f>
        <v/>
      </c>
      <c r="M143">
        <f>IF($L143="","",INDEX('Per Line'!$E$2:$E$2501,$L143))</f>
        <v/>
      </c>
    </row>
    <row r="144">
      <c r="A144">
        <f>IF($L144="","",INDEX('Per Line'!$C$2:$C$2501,$L144))</f>
        <v/>
      </c>
      <c r="B144">
        <f>IF($L144="","",INDEX('Per Line'!$D$2:$D$2501,$L144))</f>
        <v/>
      </c>
      <c r="C144">
        <f>IF($L144="","",INDEX('Per Line'!$A$2:$A$2501,$L144))</f>
        <v/>
      </c>
      <c r="F144">
        <f>IF($L144="","",INDEX('Per Line'!$U$2:$U$2501,$L144))</f>
        <v/>
      </c>
      <c r="G144" s="5">
        <f>IF($L144="","",SUMIFS('Per Line'!$W$2:$W$2501,'Per Line'!$D$2:$D$2501,$B144))</f>
        <v/>
      </c>
      <c r="H144" s="5">
        <f>IF($L144="","",SUMIFS('Per Line'!$X$2:$X$2501,'Per Line'!$D$2:$D$2501,$B144))</f>
        <v/>
      </c>
      <c r="I144" s="5">
        <f>IF($L144="","",SUMIFS('Per Line'!$Y$2:$Y$2501,'Per Line'!$D$2:$D$2501,$B144))</f>
        <v/>
      </c>
      <c r="J144" s="5">
        <f>IF($L144="","",G144-H144)</f>
        <v/>
      </c>
      <c r="K144" s="5">
        <f>IF($L144="","",J144-I144)</f>
        <v/>
      </c>
      <c r="L144">
        <f>IF(ROWS($L$2:$L144)&lt;=MAX('Per Line'!$AD$2:$AD$2501),MATCH(ROWS($L$2:$L144),'Per Line'!$AD$2:$AD$2501,0),"")</f>
        <v/>
      </c>
      <c r="M144">
        <f>IF($L144="","",INDEX('Per Line'!$E$2:$E$2501,$L144))</f>
        <v/>
      </c>
    </row>
    <row r="145">
      <c r="A145">
        <f>IF($L145="","",INDEX('Per Line'!$C$2:$C$2501,$L145))</f>
        <v/>
      </c>
      <c r="B145">
        <f>IF($L145="","",INDEX('Per Line'!$D$2:$D$2501,$L145))</f>
        <v/>
      </c>
      <c r="C145">
        <f>IF($L145="","",INDEX('Per Line'!$A$2:$A$2501,$L145))</f>
        <v/>
      </c>
      <c r="F145">
        <f>IF($L145="","",INDEX('Per Line'!$U$2:$U$2501,$L145))</f>
        <v/>
      </c>
      <c r="G145" s="5">
        <f>IF($L145="","",SUMIFS('Per Line'!$W$2:$W$2501,'Per Line'!$D$2:$D$2501,$B145))</f>
        <v/>
      </c>
      <c r="H145" s="5">
        <f>IF($L145="","",SUMIFS('Per Line'!$X$2:$X$2501,'Per Line'!$D$2:$D$2501,$B145))</f>
        <v/>
      </c>
      <c r="I145" s="5">
        <f>IF($L145="","",SUMIFS('Per Line'!$Y$2:$Y$2501,'Per Line'!$D$2:$D$2501,$B145))</f>
        <v/>
      </c>
      <c r="J145" s="5">
        <f>IF($L145="","",G145-H145)</f>
        <v/>
      </c>
      <c r="K145" s="5">
        <f>IF($L145="","",J145-I145)</f>
        <v/>
      </c>
      <c r="L145">
        <f>IF(ROWS($L$2:$L145)&lt;=MAX('Per Line'!$AD$2:$AD$2501),MATCH(ROWS($L$2:$L145),'Per Line'!$AD$2:$AD$2501,0),"")</f>
        <v/>
      </c>
      <c r="M145">
        <f>IF($L145="","",INDEX('Per Line'!$E$2:$E$2501,$L145))</f>
        <v/>
      </c>
    </row>
    <row r="146">
      <c r="A146">
        <f>IF($L146="","",INDEX('Per Line'!$C$2:$C$2501,$L146))</f>
        <v/>
      </c>
      <c r="B146">
        <f>IF($L146="","",INDEX('Per Line'!$D$2:$D$2501,$L146))</f>
        <v/>
      </c>
      <c r="C146">
        <f>IF($L146="","",INDEX('Per Line'!$A$2:$A$2501,$L146))</f>
        <v/>
      </c>
      <c r="F146">
        <f>IF($L146="","",INDEX('Per Line'!$U$2:$U$2501,$L146))</f>
        <v/>
      </c>
      <c r="G146" s="5">
        <f>IF($L146="","",SUMIFS('Per Line'!$W$2:$W$2501,'Per Line'!$D$2:$D$2501,$B146))</f>
        <v/>
      </c>
      <c r="H146" s="5">
        <f>IF($L146="","",SUMIFS('Per Line'!$X$2:$X$2501,'Per Line'!$D$2:$D$2501,$B146))</f>
        <v/>
      </c>
      <c r="I146" s="5">
        <f>IF($L146="","",SUMIFS('Per Line'!$Y$2:$Y$2501,'Per Line'!$D$2:$D$2501,$B146))</f>
        <v/>
      </c>
      <c r="J146" s="5">
        <f>IF($L146="","",G146-H146)</f>
        <v/>
      </c>
      <c r="K146" s="5">
        <f>IF($L146="","",J146-I146)</f>
        <v/>
      </c>
      <c r="L146">
        <f>IF(ROWS($L$2:$L146)&lt;=MAX('Per Line'!$AD$2:$AD$2501),MATCH(ROWS($L$2:$L146),'Per Line'!$AD$2:$AD$2501,0),"")</f>
        <v/>
      </c>
      <c r="M146">
        <f>IF($L146="","",INDEX('Per Line'!$E$2:$E$2501,$L146))</f>
        <v/>
      </c>
    </row>
    <row r="147">
      <c r="A147">
        <f>IF($L147="","",INDEX('Per Line'!$C$2:$C$2501,$L147))</f>
        <v/>
      </c>
      <c r="B147">
        <f>IF($L147="","",INDEX('Per Line'!$D$2:$D$2501,$L147))</f>
        <v/>
      </c>
      <c r="C147">
        <f>IF($L147="","",INDEX('Per Line'!$A$2:$A$2501,$L147))</f>
        <v/>
      </c>
      <c r="F147">
        <f>IF($L147="","",INDEX('Per Line'!$U$2:$U$2501,$L147))</f>
        <v/>
      </c>
      <c r="G147" s="5">
        <f>IF($L147="","",SUMIFS('Per Line'!$W$2:$W$2501,'Per Line'!$D$2:$D$2501,$B147))</f>
        <v/>
      </c>
      <c r="H147" s="5">
        <f>IF($L147="","",SUMIFS('Per Line'!$X$2:$X$2501,'Per Line'!$D$2:$D$2501,$B147))</f>
        <v/>
      </c>
      <c r="I147" s="5">
        <f>IF($L147="","",SUMIFS('Per Line'!$Y$2:$Y$2501,'Per Line'!$D$2:$D$2501,$B147))</f>
        <v/>
      </c>
      <c r="J147" s="5">
        <f>IF($L147="","",G147-H147)</f>
        <v/>
      </c>
      <c r="K147" s="5">
        <f>IF($L147="","",J147-I147)</f>
        <v/>
      </c>
      <c r="L147">
        <f>IF(ROWS($L$2:$L147)&lt;=MAX('Per Line'!$AD$2:$AD$2501),MATCH(ROWS($L$2:$L147),'Per Line'!$AD$2:$AD$2501,0),"")</f>
        <v/>
      </c>
      <c r="M147">
        <f>IF($L147="","",INDEX('Per Line'!$E$2:$E$2501,$L147))</f>
        <v/>
      </c>
    </row>
    <row r="148">
      <c r="A148">
        <f>IF($L148="","",INDEX('Per Line'!$C$2:$C$2501,$L148))</f>
        <v/>
      </c>
      <c r="B148">
        <f>IF($L148="","",INDEX('Per Line'!$D$2:$D$2501,$L148))</f>
        <v/>
      </c>
      <c r="C148">
        <f>IF($L148="","",INDEX('Per Line'!$A$2:$A$2501,$L148))</f>
        <v/>
      </c>
      <c r="F148">
        <f>IF($L148="","",INDEX('Per Line'!$U$2:$U$2501,$L148))</f>
        <v/>
      </c>
      <c r="G148" s="5">
        <f>IF($L148="","",SUMIFS('Per Line'!$W$2:$W$2501,'Per Line'!$D$2:$D$2501,$B148))</f>
        <v/>
      </c>
      <c r="H148" s="5">
        <f>IF($L148="","",SUMIFS('Per Line'!$X$2:$X$2501,'Per Line'!$D$2:$D$2501,$B148))</f>
        <v/>
      </c>
      <c r="I148" s="5">
        <f>IF($L148="","",SUMIFS('Per Line'!$Y$2:$Y$2501,'Per Line'!$D$2:$D$2501,$B148))</f>
        <v/>
      </c>
      <c r="J148" s="5">
        <f>IF($L148="","",G148-H148)</f>
        <v/>
      </c>
      <c r="K148" s="5">
        <f>IF($L148="","",J148-I148)</f>
        <v/>
      </c>
      <c r="L148">
        <f>IF(ROWS($L$2:$L148)&lt;=MAX('Per Line'!$AD$2:$AD$2501),MATCH(ROWS($L$2:$L148),'Per Line'!$AD$2:$AD$2501,0),"")</f>
        <v/>
      </c>
      <c r="M148">
        <f>IF($L148="","",INDEX('Per Line'!$E$2:$E$2501,$L148))</f>
        <v/>
      </c>
    </row>
    <row r="149">
      <c r="A149">
        <f>IF($L149="","",INDEX('Per Line'!$C$2:$C$2501,$L149))</f>
        <v/>
      </c>
      <c r="B149">
        <f>IF($L149="","",INDEX('Per Line'!$D$2:$D$2501,$L149))</f>
        <v/>
      </c>
      <c r="C149">
        <f>IF($L149="","",INDEX('Per Line'!$A$2:$A$2501,$L149))</f>
        <v/>
      </c>
      <c r="F149">
        <f>IF($L149="","",INDEX('Per Line'!$U$2:$U$2501,$L149))</f>
        <v/>
      </c>
      <c r="G149" s="5">
        <f>IF($L149="","",SUMIFS('Per Line'!$W$2:$W$2501,'Per Line'!$D$2:$D$2501,$B149))</f>
        <v/>
      </c>
      <c r="H149" s="5">
        <f>IF($L149="","",SUMIFS('Per Line'!$X$2:$X$2501,'Per Line'!$D$2:$D$2501,$B149))</f>
        <v/>
      </c>
      <c r="I149" s="5">
        <f>IF($L149="","",SUMIFS('Per Line'!$Y$2:$Y$2501,'Per Line'!$D$2:$D$2501,$B149))</f>
        <v/>
      </c>
      <c r="J149" s="5">
        <f>IF($L149="","",G149-H149)</f>
        <v/>
      </c>
      <c r="K149" s="5">
        <f>IF($L149="","",J149-I149)</f>
        <v/>
      </c>
      <c r="L149">
        <f>IF(ROWS($L$2:$L149)&lt;=MAX('Per Line'!$AD$2:$AD$2501),MATCH(ROWS($L$2:$L149),'Per Line'!$AD$2:$AD$2501,0),"")</f>
        <v/>
      </c>
      <c r="M149">
        <f>IF($L149="","",INDEX('Per Line'!$E$2:$E$2501,$L149))</f>
        <v/>
      </c>
    </row>
    <row r="150">
      <c r="A150">
        <f>IF($L150="","",INDEX('Per Line'!$C$2:$C$2501,$L150))</f>
        <v/>
      </c>
      <c r="B150">
        <f>IF($L150="","",INDEX('Per Line'!$D$2:$D$2501,$L150))</f>
        <v/>
      </c>
      <c r="C150">
        <f>IF($L150="","",INDEX('Per Line'!$A$2:$A$2501,$L150))</f>
        <v/>
      </c>
      <c r="F150">
        <f>IF($L150="","",INDEX('Per Line'!$U$2:$U$2501,$L150))</f>
        <v/>
      </c>
      <c r="G150" s="5">
        <f>IF($L150="","",SUMIFS('Per Line'!$W$2:$W$2501,'Per Line'!$D$2:$D$2501,$B150))</f>
        <v/>
      </c>
      <c r="H150" s="5">
        <f>IF($L150="","",SUMIFS('Per Line'!$X$2:$X$2501,'Per Line'!$D$2:$D$2501,$B150))</f>
        <v/>
      </c>
      <c r="I150" s="5">
        <f>IF($L150="","",SUMIFS('Per Line'!$Y$2:$Y$2501,'Per Line'!$D$2:$D$2501,$B150))</f>
        <v/>
      </c>
      <c r="J150" s="5">
        <f>IF($L150="","",G150-H150)</f>
        <v/>
      </c>
      <c r="K150" s="5">
        <f>IF($L150="","",J150-I150)</f>
        <v/>
      </c>
      <c r="L150">
        <f>IF(ROWS($L$2:$L150)&lt;=MAX('Per Line'!$AD$2:$AD$2501),MATCH(ROWS($L$2:$L150),'Per Line'!$AD$2:$AD$2501,0),"")</f>
        <v/>
      </c>
      <c r="M150">
        <f>IF($L150="","",INDEX('Per Line'!$E$2:$E$2501,$L150))</f>
        <v/>
      </c>
    </row>
    <row r="151">
      <c r="A151">
        <f>IF($L151="","",INDEX('Per Line'!$C$2:$C$2501,$L151))</f>
        <v/>
      </c>
      <c r="B151">
        <f>IF($L151="","",INDEX('Per Line'!$D$2:$D$2501,$L151))</f>
        <v/>
      </c>
      <c r="C151">
        <f>IF($L151="","",INDEX('Per Line'!$A$2:$A$2501,$L151))</f>
        <v/>
      </c>
      <c r="F151">
        <f>IF($L151="","",INDEX('Per Line'!$U$2:$U$2501,$L151))</f>
        <v/>
      </c>
      <c r="G151" s="5">
        <f>IF($L151="","",SUMIFS('Per Line'!$W$2:$W$2501,'Per Line'!$D$2:$D$2501,$B151))</f>
        <v/>
      </c>
      <c r="H151" s="5">
        <f>IF($L151="","",SUMIFS('Per Line'!$X$2:$X$2501,'Per Line'!$D$2:$D$2501,$B151))</f>
        <v/>
      </c>
      <c r="I151" s="5">
        <f>IF($L151="","",SUMIFS('Per Line'!$Y$2:$Y$2501,'Per Line'!$D$2:$D$2501,$B151))</f>
        <v/>
      </c>
      <c r="J151" s="5">
        <f>IF($L151="","",G151-H151)</f>
        <v/>
      </c>
      <c r="K151" s="5">
        <f>IF($L151="","",J151-I151)</f>
        <v/>
      </c>
      <c r="L151">
        <f>IF(ROWS($L$2:$L151)&lt;=MAX('Per Line'!$AD$2:$AD$2501),MATCH(ROWS($L$2:$L151),'Per Line'!$AD$2:$AD$2501,0),"")</f>
        <v/>
      </c>
      <c r="M151">
        <f>IF($L151="","",INDEX('Per Line'!$E$2:$E$2501,$L151))</f>
        <v/>
      </c>
    </row>
    <row r="152">
      <c r="A152">
        <f>IF($L152="","",INDEX('Per Line'!$C$2:$C$2501,$L152))</f>
        <v/>
      </c>
      <c r="B152">
        <f>IF($L152="","",INDEX('Per Line'!$D$2:$D$2501,$L152))</f>
        <v/>
      </c>
      <c r="C152">
        <f>IF($L152="","",INDEX('Per Line'!$A$2:$A$2501,$L152))</f>
        <v/>
      </c>
      <c r="F152">
        <f>IF($L152="","",INDEX('Per Line'!$U$2:$U$2501,$L152))</f>
        <v/>
      </c>
      <c r="G152" s="5">
        <f>IF($L152="","",SUMIFS('Per Line'!$W$2:$W$2501,'Per Line'!$D$2:$D$2501,$B152))</f>
        <v/>
      </c>
      <c r="H152" s="5">
        <f>IF($L152="","",SUMIFS('Per Line'!$X$2:$X$2501,'Per Line'!$D$2:$D$2501,$B152))</f>
        <v/>
      </c>
      <c r="I152" s="5">
        <f>IF($L152="","",SUMIFS('Per Line'!$Y$2:$Y$2501,'Per Line'!$D$2:$D$2501,$B152))</f>
        <v/>
      </c>
      <c r="J152" s="5">
        <f>IF($L152="","",G152-H152)</f>
        <v/>
      </c>
      <c r="K152" s="5">
        <f>IF($L152="","",J152-I152)</f>
        <v/>
      </c>
      <c r="L152">
        <f>IF(ROWS($L$2:$L152)&lt;=MAX('Per Line'!$AD$2:$AD$2501),MATCH(ROWS($L$2:$L152),'Per Line'!$AD$2:$AD$2501,0),"")</f>
        <v/>
      </c>
      <c r="M152">
        <f>IF($L152="","",INDEX('Per Line'!$E$2:$E$2501,$L152))</f>
        <v/>
      </c>
    </row>
    <row r="153">
      <c r="A153">
        <f>IF($L153="","",INDEX('Per Line'!$C$2:$C$2501,$L153))</f>
        <v/>
      </c>
      <c r="B153">
        <f>IF($L153="","",INDEX('Per Line'!$D$2:$D$2501,$L153))</f>
        <v/>
      </c>
      <c r="C153">
        <f>IF($L153="","",INDEX('Per Line'!$A$2:$A$2501,$L153))</f>
        <v/>
      </c>
      <c r="F153">
        <f>IF($L153="","",INDEX('Per Line'!$U$2:$U$2501,$L153))</f>
        <v/>
      </c>
      <c r="G153" s="5">
        <f>IF($L153="","",SUMIFS('Per Line'!$W$2:$W$2501,'Per Line'!$D$2:$D$2501,$B153))</f>
        <v/>
      </c>
      <c r="H153" s="5">
        <f>IF($L153="","",SUMIFS('Per Line'!$X$2:$X$2501,'Per Line'!$D$2:$D$2501,$B153))</f>
        <v/>
      </c>
      <c r="I153" s="5">
        <f>IF($L153="","",SUMIFS('Per Line'!$Y$2:$Y$2501,'Per Line'!$D$2:$D$2501,$B153))</f>
        <v/>
      </c>
      <c r="J153" s="5">
        <f>IF($L153="","",G153-H153)</f>
        <v/>
      </c>
      <c r="K153" s="5">
        <f>IF($L153="","",J153-I153)</f>
        <v/>
      </c>
      <c r="L153">
        <f>IF(ROWS($L$2:$L153)&lt;=MAX('Per Line'!$AD$2:$AD$2501),MATCH(ROWS($L$2:$L153),'Per Line'!$AD$2:$AD$2501,0),"")</f>
        <v/>
      </c>
      <c r="M153">
        <f>IF($L153="","",INDEX('Per Line'!$E$2:$E$2501,$L153))</f>
        <v/>
      </c>
    </row>
    <row r="154">
      <c r="A154">
        <f>IF($L154="","",INDEX('Per Line'!$C$2:$C$2501,$L154))</f>
        <v/>
      </c>
      <c r="B154">
        <f>IF($L154="","",INDEX('Per Line'!$D$2:$D$2501,$L154))</f>
        <v/>
      </c>
      <c r="C154">
        <f>IF($L154="","",INDEX('Per Line'!$A$2:$A$2501,$L154))</f>
        <v/>
      </c>
      <c r="F154">
        <f>IF($L154="","",INDEX('Per Line'!$U$2:$U$2501,$L154))</f>
        <v/>
      </c>
      <c r="G154" s="5">
        <f>IF($L154="","",SUMIFS('Per Line'!$W$2:$W$2501,'Per Line'!$D$2:$D$2501,$B154))</f>
        <v/>
      </c>
      <c r="H154" s="5">
        <f>IF($L154="","",SUMIFS('Per Line'!$X$2:$X$2501,'Per Line'!$D$2:$D$2501,$B154))</f>
        <v/>
      </c>
      <c r="I154" s="5">
        <f>IF($L154="","",SUMIFS('Per Line'!$Y$2:$Y$2501,'Per Line'!$D$2:$D$2501,$B154))</f>
        <v/>
      </c>
      <c r="J154" s="5">
        <f>IF($L154="","",G154-H154)</f>
        <v/>
      </c>
      <c r="K154" s="5">
        <f>IF($L154="","",J154-I154)</f>
        <v/>
      </c>
      <c r="L154">
        <f>IF(ROWS($L$2:$L154)&lt;=MAX('Per Line'!$AD$2:$AD$2501),MATCH(ROWS($L$2:$L154),'Per Line'!$AD$2:$AD$2501,0),"")</f>
        <v/>
      </c>
      <c r="M154">
        <f>IF($L154="","",INDEX('Per Line'!$E$2:$E$2501,$L154))</f>
        <v/>
      </c>
    </row>
    <row r="155">
      <c r="A155">
        <f>IF($L155="","",INDEX('Per Line'!$C$2:$C$2501,$L155))</f>
        <v/>
      </c>
      <c r="B155">
        <f>IF($L155="","",INDEX('Per Line'!$D$2:$D$2501,$L155))</f>
        <v/>
      </c>
      <c r="C155">
        <f>IF($L155="","",INDEX('Per Line'!$A$2:$A$2501,$L155))</f>
        <v/>
      </c>
      <c r="F155">
        <f>IF($L155="","",INDEX('Per Line'!$U$2:$U$2501,$L155))</f>
        <v/>
      </c>
      <c r="G155" s="5">
        <f>IF($L155="","",SUMIFS('Per Line'!$W$2:$W$2501,'Per Line'!$D$2:$D$2501,$B155))</f>
        <v/>
      </c>
      <c r="H155" s="5">
        <f>IF($L155="","",SUMIFS('Per Line'!$X$2:$X$2501,'Per Line'!$D$2:$D$2501,$B155))</f>
        <v/>
      </c>
      <c r="I155" s="5">
        <f>IF($L155="","",SUMIFS('Per Line'!$Y$2:$Y$2501,'Per Line'!$D$2:$D$2501,$B155))</f>
        <v/>
      </c>
      <c r="J155" s="5">
        <f>IF($L155="","",G155-H155)</f>
        <v/>
      </c>
      <c r="K155" s="5">
        <f>IF($L155="","",J155-I155)</f>
        <v/>
      </c>
      <c r="L155">
        <f>IF(ROWS($L$2:$L155)&lt;=MAX('Per Line'!$AD$2:$AD$2501),MATCH(ROWS($L$2:$L155),'Per Line'!$AD$2:$AD$2501,0),"")</f>
        <v/>
      </c>
      <c r="M155">
        <f>IF($L155="","",INDEX('Per Line'!$E$2:$E$2501,$L155))</f>
        <v/>
      </c>
    </row>
    <row r="156">
      <c r="A156">
        <f>IF($L156="","",INDEX('Per Line'!$C$2:$C$2501,$L156))</f>
        <v/>
      </c>
      <c r="B156">
        <f>IF($L156="","",INDEX('Per Line'!$D$2:$D$2501,$L156))</f>
        <v/>
      </c>
      <c r="C156">
        <f>IF($L156="","",INDEX('Per Line'!$A$2:$A$2501,$L156))</f>
        <v/>
      </c>
      <c r="F156">
        <f>IF($L156="","",INDEX('Per Line'!$U$2:$U$2501,$L156))</f>
        <v/>
      </c>
      <c r="G156" s="5">
        <f>IF($L156="","",SUMIFS('Per Line'!$W$2:$W$2501,'Per Line'!$D$2:$D$2501,$B156))</f>
        <v/>
      </c>
      <c r="H156" s="5">
        <f>IF($L156="","",SUMIFS('Per Line'!$X$2:$X$2501,'Per Line'!$D$2:$D$2501,$B156))</f>
        <v/>
      </c>
      <c r="I156" s="5">
        <f>IF($L156="","",SUMIFS('Per Line'!$Y$2:$Y$2501,'Per Line'!$D$2:$D$2501,$B156))</f>
        <v/>
      </c>
      <c r="J156" s="5">
        <f>IF($L156="","",G156-H156)</f>
        <v/>
      </c>
      <c r="K156" s="5">
        <f>IF($L156="","",J156-I156)</f>
        <v/>
      </c>
      <c r="L156">
        <f>IF(ROWS($L$2:$L156)&lt;=MAX('Per Line'!$AD$2:$AD$2501),MATCH(ROWS($L$2:$L156),'Per Line'!$AD$2:$AD$2501,0),"")</f>
        <v/>
      </c>
      <c r="M156">
        <f>IF($L156="","",INDEX('Per Line'!$E$2:$E$2501,$L156))</f>
        <v/>
      </c>
    </row>
    <row r="157">
      <c r="A157">
        <f>IF($L157="","",INDEX('Per Line'!$C$2:$C$2501,$L157))</f>
        <v/>
      </c>
      <c r="B157">
        <f>IF($L157="","",INDEX('Per Line'!$D$2:$D$2501,$L157))</f>
        <v/>
      </c>
      <c r="C157">
        <f>IF($L157="","",INDEX('Per Line'!$A$2:$A$2501,$L157))</f>
        <v/>
      </c>
      <c r="F157">
        <f>IF($L157="","",INDEX('Per Line'!$U$2:$U$2501,$L157))</f>
        <v/>
      </c>
      <c r="G157" s="5">
        <f>IF($L157="","",SUMIFS('Per Line'!$W$2:$W$2501,'Per Line'!$D$2:$D$2501,$B157))</f>
        <v/>
      </c>
      <c r="H157" s="5">
        <f>IF($L157="","",SUMIFS('Per Line'!$X$2:$X$2501,'Per Line'!$D$2:$D$2501,$B157))</f>
        <v/>
      </c>
      <c r="I157" s="5">
        <f>IF($L157="","",SUMIFS('Per Line'!$Y$2:$Y$2501,'Per Line'!$D$2:$D$2501,$B157))</f>
        <v/>
      </c>
      <c r="J157" s="5">
        <f>IF($L157="","",G157-H157)</f>
        <v/>
      </c>
      <c r="K157" s="5">
        <f>IF($L157="","",J157-I157)</f>
        <v/>
      </c>
      <c r="L157">
        <f>IF(ROWS($L$2:$L157)&lt;=MAX('Per Line'!$AD$2:$AD$2501),MATCH(ROWS($L$2:$L157),'Per Line'!$AD$2:$AD$2501,0),"")</f>
        <v/>
      </c>
      <c r="M157">
        <f>IF($L157="","",INDEX('Per Line'!$E$2:$E$2501,$L157))</f>
        <v/>
      </c>
    </row>
    <row r="158">
      <c r="A158">
        <f>IF($L158="","",INDEX('Per Line'!$C$2:$C$2501,$L158))</f>
        <v/>
      </c>
      <c r="B158">
        <f>IF($L158="","",INDEX('Per Line'!$D$2:$D$2501,$L158))</f>
        <v/>
      </c>
      <c r="C158">
        <f>IF($L158="","",INDEX('Per Line'!$A$2:$A$2501,$L158))</f>
        <v/>
      </c>
      <c r="F158">
        <f>IF($L158="","",INDEX('Per Line'!$U$2:$U$2501,$L158))</f>
        <v/>
      </c>
      <c r="G158" s="5">
        <f>IF($L158="","",SUMIFS('Per Line'!$W$2:$W$2501,'Per Line'!$D$2:$D$2501,$B158))</f>
        <v/>
      </c>
      <c r="H158" s="5">
        <f>IF($L158="","",SUMIFS('Per Line'!$X$2:$X$2501,'Per Line'!$D$2:$D$2501,$B158))</f>
        <v/>
      </c>
      <c r="I158" s="5">
        <f>IF($L158="","",SUMIFS('Per Line'!$Y$2:$Y$2501,'Per Line'!$D$2:$D$2501,$B158))</f>
        <v/>
      </c>
      <c r="J158" s="5">
        <f>IF($L158="","",G158-H158)</f>
        <v/>
      </c>
      <c r="K158" s="5">
        <f>IF($L158="","",J158-I158)</f>
        <v/>
      </c>
      <c r="L158">
        <f>IF(ROWS($L$2:$L158)&lt;=MAX('Per Line'!$AD$2:$AD$2501),MATCH(ROWS($L$2:$L158),'Per Line'!$AD$2:$AD$2501,0),"")</f>
        <v/>
      </c>
      <c r="M158">
        <f>IF($L158="","",INDEX('Per Line'!$E$2:$E$2501,$L158))</f>
        <v/>
      </c>
    </row>
    <row r="159">
      <c r="A159">
        <f>IF($L159="","",INDEX('Per Line'!$C$2:$C$2501,$L159))</f>
        <v/>
      </c>
      <c r="B159">
        <f>IF($L159="","",INDEX('Per Line'!$D$2:$D$2501,$L159))</f>
        <v/>
      </c>
      <c r="C159">
        <f>IF($L159="","",INDEX('Per Line'!$A$2:$A$2501,$L159))</f>
        <v/>
      </c>
      <c r="F159">
        <f>IF($L159="","",INDEX('Per Line'!$U$2:$U$2501,$L159))</f>
        <v/>
      </c>
      <c r="G159" s="5">
        <f>IF($L159="","",SUMIFS('Per Line'!$W$2:$W$2501,'Per Line'!$D$2:$D$2501,$B159))</f>
        <v/>
      </c>
      <c r="H159" s="5">
        <f>IF($L159="","",SUMIFS('Per Line'!$X$2:$X$2501,'Per Line'!$D$2:$D$2501,$B159))</f>
        <v/>
      </c>
      <c r="I159" s="5">
        <f>IF($L159="","",SUMIFS('Per Line'!$Y$2:$Y$2501,'Per Line'!$D$2:$D$2501,$B159))</f>
        <v/>
      </c>
      <c r="J159" s="5">
        <f>IF($L159="","",G159-H159)</f>
        <v/>
      </c>
      <c r="K159" s="5">
        <f>IF($L159="","",J159-I159)</f>
        <v/>
      </c>
      <c r="L159">
        <f>IF(ROWS($L$2:$L159)&lt;=MAX('Per Line'!$AD$2:$AD$2501),MATCH(ROWS($L$2:$L159),'Per Line'!$AD$2:$AD$2501,0),"")</f>
        <v/>
      </c>
      <c r="M159">
        <f>IF($L159="","",INDEX('Per Line'!$E$2:$E$2501,$L159))</f>
        <v/>
      </c>
    </row>
    <row r="160">
      <c r="A160">
        <f>IF($L160="","",INDEX('Per Line'!$C$2:$C$2501,$L160))</f>
        <v/>
      </c>
      <c r="B160">
        <f>IF($L160="","",INDEX('Per Line'!$D$2:$D$2501,$L160))</f>
        <v/>
      </c>
      <c r="C160">
        <f>IF($L160="","",INDEX('Per Line'!$A$2:$A$2501,$L160))</f>
        <v/>
      </c>
      <c r="F160">
        <f>IF($L160="","",INDEX('Per Line'!$U$2:$U$2501,$L160))</f>
        <v/>
      </c>
      <c r="G160" s="5">
        <f>IF($L160="","",SUMIFS('Per Line'!$W$2:$W$2501,'Per Line'!$D$2:$D$2501,$B160))</f>
        <v/>
      </c>
      <c r="H160" s="5">
        <f>IF($L160="","",SUMIFS('Per Line'!$X$2:$X$2501,'Per Line'!$D$2:$D$2501,$B160))</f>
        <v/>
      </c>
      <c r="I160" s="5">
        <f>IF($L160="","",SUMIFS('Per Line'!$Y$2:$Y$2501,'Per Line'!$D$2:$D$2501,$B160))</f>
        <v/>
      </c>
      <c r="J160" s="5">
        <f>IF($L160="","",G160-H160)</f>
        <v/>
      </c>
      <c r="K160" s="5">
        <f>IF($L160="","",J160-I160)</f>
        <v/>
      </c>
      <c r="L160">
        <f>IF(ROWS($L$2:$L160)&lt;=MAX('Per Line'!$AD$2:$AD$2501),MATCH(ROWS($L$2:$L160),'Per Line'!$AD$2:$AD$2501,0),"")</f>
        <v/>
      </c>
      <c r="M160">
        <f>IF($L160="","",INDEX('Per Line'!$E$2:$E$2501,$L160))</f>
        <v/>
      </c>
    </row>
    <row r="161">
      <c r="A161">
        <f>IF($L161="","",INDEX('Per Line'!$C$2:$C$2501,$L161))</f>
        <v/>
      </c>
      <c r="B161">
        <f>IF($L161="","",INDEX('Per Line'!$D$2:$D$2501,$L161))</f>
        <v/>
      </c>
      <c r="C161">
        <f>IF($L161="","",INDEX('Per Line'!$A$2:$A$2501,$L161))</f>
        <v/>
      </c>
      <c r="F161">
        <f>IF($L161="","",INDEX('Per Line'!$U$2:$U$2501,$L161))</f>
        <v/>
      </c>
      <c r="G161" s="5">
        <f>IF($L161="","",SUMIFS('Per Line'!$W$2:$W$2501,'Per Line'!$D$2:$D$2501,$B161))</f>
        <v/>
      </c>
      <c r="H161" s="5">
        <f>IF($L161="","",SUMIFS('Per Line'!$X$2:$X$2501,'Per Line'!$D$2:$D$2501,$B161))</f>
        <v/>
      </c>
      <c r="I161" s="5">
        <f>IF($L161="","",SUMIFS('Per Line'!$Y$2:$Y$2501,'Per Line'!$D$2:$D$2501,$B161))</f>
        <v/>
      </c>
      <c r="J161" s="5">
        <f>IF($L161="","",G161-H161)</f>
        <v/>
      </c>
      <c r="K161" s="5">
        <f>IF($L161="","",J161-I161)</f>
        <v/>
      </c>
      <c r="L161">
        <f>IF(ROWS($L$2:$L161)&lt;=MAX('Per Line'!$AD$2:$AD$2501),MATCH(ROWS($L$2:$L161),'Per Line'!$AD$2:$AD$2501,0),"")</f>
        <v/>
      </c>
      <c r="M161">
        <f>IF($L161="","",INDEX('Per Line'!$E$2:$E$2501,$L161))</f>
        <v/>
      </c>
    </row>
    <row r="162">
      <c r="A162">
        <f>IF($L162="","",INDEX('Per Line'!$C$2:$C$2501,$L162))</f>
        <v/>
      </c>
      <c r="B162">
        <f>IF($L162="","",INDEX('Per Line'!$D$2:$D$2501,$L162))</f>
        <v/>
      </c>
      <c r="C162">
        <f>IF($L162="","",INDEX('Per Line'!$A$2:$A$2501,$L162))</f>
        <v/>
      </c>
      <c r="F162">
        <f>IF($L162="","",INDEX('Per Line'!$U$2:$U$2501,$L162))</f>
        <v/>
      </c>
      <c r="G162" s="5">
        <f>IF($L162="","",SUMIFS('Per Line'!$W$2:$W$2501,'Per Line'!$D$2:$D$2501,$B162))</f>
        <v/>
      </c>
      <c r="H162" s="5">
        <f>IF($L162="","",SUMIFS('Per Line'!$X$2:$X$2501,'Per Line'!$D$2:$D$2501,$B162))</f>
        <v/>
      </c>
      <c r="I162" s="5">
        <f>IF($L162="","",SUMIFS('Per Line'!$Y$2:$Y$2501,'Per Line'!$D$2:$D$2501,$B162))</f>
        <v/>
      </c>
      <c r="J162" s="5">
        <f>IF($L162="","",G162-H162)</f>
        <v/>
      </c>
      <c r="K162" s="5">
        <f>IF($L162="","",J162-I162)</f>
        <v/>
      </c>
      <c r="L162">
        <f>IF(ROWS($L$2:$L162)&lt;=MAX('Per Line'!$AD$2:$AD$2501),MATCH(ROWS($L$2:$L162),'Per Line'!$AD$2:$AD$2501,0),"")</f>
        <v/>
      </c>
      <c r="M162">
        <f>IF($L162="","",INDEX('Per Line'!$E$2:$E$2501,$L162))</f>
        <v/>
      </c>
    </row>
    <row r="163">
      <c r="A163">
        <f>IF($L163="","",INDEX('Per Line'!$C$2:$C$2501,$L163))</f>
        <v/>
      </c>
      <c r="B163">
        <f>IF($L163="","",INDEX('Per Line'!$D$2:$D$2501,$L163))</f>
        <v/>
      </c>
      <c r="C163">
        <f>IF($L163="","",INDEX('Per Line'!$A$2:$A$2501,$L163))</f>
        <v/>
      </c>
      <c r="F163">
        <f>IF($L163="","",INDEX('Per Line'!$U$2:$U$2501,$L163))</f>
        <v/>
      </c>
      <c r="G163" s="5">
        <f>IF($L163="","",SUMIFS('Per Line'!$W$2:$W$2501,'Per Line'!$D$2:$D$2501,$B163))</f>
        <v/>
      </c>
      <c r="H163" s="5">
        <f>IF($L163="","",SUMIFS('Per Line'!$X$2:$X$2501,'Per Line'!$D$2:$D$2501,$B163))</f>
        <v/>
      </c>
      <c r="I163" s="5">
        <f>IF($L163="","",SUMIFS('Per Line'!$Y$2:$Y$2501,'Per Line'!$D$2:$D$2501,$B163))</f>
        <v/>
      </c>
      <c r="J163" s="5">
        <f>IF($L163="","",G163-H163)</f>
        <v/>
      </c>
      <c r="K163" s="5">
        <f>IF($L163="","",J163-I163)</f>
        <v/>
      </c>
      <c r="L163">
        <f>IF(ROWS($L$2:$L163)&lt;=MAX('Per Line'!$AD$2:$AD$2501),MATCH(ROWS($L$2:$L163),'Per Line'!$AD$2:$AD$2501,0),"")</f>
        <v/>
      </c>
      <c r="M163">
        <f>IF($L163="","",INDEX('Per Line'!$E$2:$E$2501,$L163))</f>
        <v/>
      </c>
    </row>
    <row r="164">
      <c r="A164">
        <f>IF($L164="","",INDEX('Per Line'!$C$2:$C$2501,$L164))</f>
        <v/>
      </c>
      <c r="B164">
        <f>IF($L164="","",INDEX('Per Line'!$D$2:$D$2501,$L164))</f>
        <v/>
      </c>
      <c r="C164">
        <f>IF($L164="","",INDEX('Per Line'!$A$2:$A$2501,$L164))</f>
        <v/>
      </c>
      <c r="F164">
        <f>IF($L164="","",INDEX('Per Line'!$U$2:$U$2501,$L164))</f>
        <v/>
      </c>
      <c r="G164" s="5">
        <f>IF($L164="","",SUMIFS('Per Line'!$W$2:$W$2501,'Per Line'!$D$2:$D$2501,$B164))</f>
        <v/>
      </c>
      <c r="H164" s="5">
        <f>IF($L164="","",SUMIFS('Per Line'!$X$2:$X$2501,'Per Line'!$D$2:$D$2501,$B164))</f>
        <v/>
      </c>
      <c r="I164" s="5">
        <f>IF($L164="","",SUMIFS('Per Line'!$Y$2:$Y$2501,'Per Line'!$D$2:$D$2501,$B164))</f>
        <v/>
      </c>
      <c r="J164" s="5">
        <f>IF($L164="","",G164-H164)</f>
        <v/>
      </c>
      <c r="K164" s="5">
        <f>IF($L164="","",J164-I164)</f>
        <v/>
      </c>
      <c r="L164">
        <f>IF(ROWS($L$2:$L164)&lt;=MAX('Per Line'!$AD$2:$AD$2501),MATCH(ROWS($L$2:$L164),'Per Line'!$AD$2:$AD$2501,0),"")</f>
        <v/>
      </c>
      <c r="M164">
        <f>IF($L164="","",INDEX('Per Line'!$E$2:$E$2501,$L164))</f>
        <v/>
      </c>
    </row>
    <row r="165">
      <c r="A165">
        <f>IF($L165="","",INDEX('Per Line'!$C$2:$C$2501,$L165))</f>
        <v/>
      </c>
      <c r="B165">
        <f>IF($L165="","",INDEX('Per Line'!$D$2:$D$2501,$L165))</f>
        <v/>
      </c>
      <c r="C165">
        <f>IF($L165="","",INDEX('Per Line'!$A$2:$A$2501,$L165))</f>
        <v/>
      </c>
      <c r="F165">
        <f>IF($L165="","",INDEX('Per Line'!$U$2:$U$2501,$L165))</f>
        <v/>
      </c>
      <c r="G165" s="5">
        <f>IF($L165="","",SUMIFS('Per Line'!$W$2:$W$2501,'Per Line'!$D$2:$D$2501,$B165))</f>
        <v/>
      </c>
      <c r="H165" s="5">
        <f>IF($L165="","",SUMIFS('Per Line'!$X$2:$X$2501,'Per Line'!$D$2:$D$2501,$B165))</f>
        <v/>
      </c>
      <c r="I165" s="5">
        <f>IF($L165="","",SUMIFS('Per Line'!$Y$2:$Y$2501,'Per Line'!$D$2:$D$2501,$B165))</f>
        <v/>
      </c>
      <c r="J165" s="5">
        <f>IF($L165="","",G165-H165)</f>
        <v/>
      </c>
      <c r="K165" s="5">
        <f>IF($L165="","",J165-I165)</f>
        <v/>
      </c>
      <c r="L165">
        <f>IF(ROWS($L$2:$L165)&lt;=MAX('Per Line'!$AD$2:$AD$2501),MATCH(ROWS($L$2:$L165),'Per Line'!$AD$2:$AD$2501,0),"")</f>
        <v/>
      </c>
      <c r="M165">
        <f>IF($L165="","",INDEX('Per Line'!$E$2:$E$2501,$L165))</f>
        <v/>
      </c>
    </row>
    <row r="166">
      <c r="A166">
        <f>IF($L166="","",INDEX('Per Line'!$C$2:$C$2501,$L166))</f>
        <v/>
      </c>
      <c r="B166">
        <f>IF($L166="","",INDEX('Per Line'!$D$2:$D$2501,$L166))</f>
        <v/>
      </c>
      <c r="C166">
        <f>IF($L166="","",INDEX('Per Line'!$A$2:$A$2501,$L166))</f>
        <v/>
      </c>
      <c r="F166">
        <f>IF($L166="","",INDEX('Per Line'!$U$2:$U$2501,$L166))</f>
        <v/>
      </c>
      <c r="G166" s="5">
        <f>IF($L166="","",SUMIFS('Per Line'!$W$2:$W$2501,'Per Line'!$D$2:$D$2501,$B166))</f>
        <v/>
      </c>
      <c r="H166" s="5">
        <f>IF($L166="","",SUMIFS('Per Line'!$X$2:$X$2501,'Per Line'!$D$2:$D$2501,$B166))</f>
        <v/>
      </c>
      <c r="I166" s="5">
        <f>IF($L166="","",SUMIFS('Per Line'!$Y$2:$Y$2501,'Per Line'!$D$2:$D$2501,$B166))</f>
        <v/>
      </c>
      <c r="J166" s="5">
        <f>IF($L166="","",G166-H166)</f>
        <v/>
      </c>
      <c r="K166" s="5">
        <f>IF($L166="","",J166-I166)</f>
        <v/>
      </c>
      <c r="L166">
        <f>IF(ROWS($L$2:$L166)&lt;=MAX('Per Line'!$AD$2:$AD$2501),MATCH(ROWS($L$2:$L166),'Per Line'!$AD$2:$AD$2501,0),"")</f>
        <v/>
      </c>
      <c r="M166">
        <f>IF($L166="","",INDEX('Per Line'!$E$2:$E$2501,$L166))</f>
        <v/>
      </c>
    </row>
    <row r="167">
      <c r="A167">
        <f>IF($L167="","",INDEX('Per Line'!$C$2:$C$2501,$L167))</f>
        <v/>
      </c>
      <c r="B167">
        <f>IF($L167="","",INDEX('Per Line'!$D$2:$D$2501,$L167))</f>
        <v/>
      </c>
      <c r="C167">
        <f>IF($L167="","",INDEX('Per Line'!$A$2:$A$2501,$L167))</f>
        <v/>
      </c>
      <c r="F167">
        <f>IF($L167="","",INDEX('Per Line'!$U$2:$U$2501,$L167))</f>
        <v/>
      </c>
      <c r="G167" s="5">
        <f>IF($L167="","",SUMIFS('Per Line'!$W$2:$W$2501,'Per Line'!$D$2:$D$2501,$B167))</f>
        <v/>
      </c>
      <c r="H167" s="5">
        <f>IF($L167="","",SUMIFS('Per Line'!$X$2:$X$2501,'Per Line'!$D$2:$D$2501,$B167))</f>
        <v/>
      </c>
      <c r="I167" s="5">
        <f>IF($L167="","",SUMIFS('Per Line'!$Y$2:$Y$2501,'Per Line'!$D$2:$D$2501,$B167))</f>
        <v/>
      </c>
      <c r="J167" s="5">
        <f>IF($L167="","",G167-H167)</f>
        <v/>
      </c>
      <c r="K167" s="5">
        <f>IF($L167="","",J167-I167)</f>
        <v/>
      </c>
      <c r="L167">
        <f>IF(ROWS($L$2:$L167)&lt;=MAX('Per Line'!$AD$2:$AD$2501),MATCH(ROWS($L$2:$L167),'Per Line'!$AD$2:$AD$2501,0),"")</f>
        <v/>
      </c>
      <c r="M167">
        <f>IF($L167="","",INDEX('Per Line'!$E$2:$E$2501,$L167))</f>
        <v/>
      </c>
    </row>
    <row r="168">
      <c r="A168">
        <f>IF($L168="","",INDEX('Per Line'!$C$2:$C$2501,$L168))</f>
        <v/>
      </c>
      <c r="B168">
        <f>IF($L168="","",INDEX('Per Line'!$D$2:$D$2501,$L168))</f>
        <v/>
      </c>
      <c r="C168">
        <f>IF($L168="","",INDEX('Per Line'!$A$2:$A$2501,$L168))</f>
        <v/>
      </c>
      <c r="F168">
        <f>IF($L168="","",INDEX('Per Line'!$U$2:$U$2501,$L168))</f>
        <v/>
      </c>
      <c r="G168" s="5">
        <f>IF($L168="","",SUMIFS('Per Line'!$W$2:$W$2501,'Per Line'!$D$2:$D$2501,$B168))</f>
        <v/>
      </c>
      <c r="H168" s="5">
        <f>IF($L168="","",SUMIFS('Per Line'!$X$2:$X$2501,'Per Line'!$D$2:$D$2501,$B168))</f>
        <v/>
      </c>
      <c r="I168" s="5">
        <f>IF($L168="","",SUMIFS('Per Line'!$Y$2:$Y$2501,'Per Line'!$D$2:$D$2501,$B168))</f>
        <v/>
      </c>
      <c r="J168" s="5">
        <f>IF($L168="","",G168-H168)</f>
        <v/>
      </c>
      <c r="K168" s="5">
        <f>IF($L168="","",J168-I168)</f>
        <v/>
      </c>
      <c r="L168">
        <f>IF(ROWS($L$2:$L168)&lt;=MAX('Per Line'!$AD$2:$AD$2501),MATCH(ROWS($L$2:$L168),'Per Line'!$AD$2:$AD$2501,0),"")</f>
        <v/>
      </c>
      <c r="M168">
        <f>IF($L168="","",INDEX('Per Line'!$E$2:$E$2501,$L168))</f>
        <v/>
      </c>
    </row>
    <row r="169">
      <c r="A169">
        <f>IF($L169="","",INDEX('Per Line'!$C$2:$C$2501,$L169))</f>
        <v/>
      </c>
      <c r="B169">
        <f>IF($L169="","",INDEX('Per Line'!$D$2:$D$2501,$L169))</f>
        <v/>
      </c>
      <c r="C169">
        <f>IF($L169="","",INDEX('Per Line'!$A$2:$A$2501,$L169))</f>
        <v/>
      </c>
      <c r="F169">
        <f>IF($L169="","",INDEX('Per Line'!$U$2:$U$2501,$L169))</f>
        <v/>
      </c>
      <c r="G169" s="5">
        <f>IF($L169="","",SUMIFS('Per Line'!$W$2:$W$2501,'Per Line'!$D$2:$D$2501,$B169))</f>
        <v/>
      </c>
      <c r="H169" s="5">
        <f>IF($L169="","",SUMIFS('Per Line'!$X$2:$X$2501,'Per Line'!$D$2:$D$2501,$B169))</f>
        <v/>
      </c>
      <c r="I169" s="5">
        <f>IF($L169="","",SUMIFS('Per Line'!$Y$2:$Y$2501,'Per Line'!$D$2:$D$2501,$B169))</f>
        <v/>
      </c>
      <c r="J169" s="5">
        <f>IF($L169="","",G169-H169)</f>
        <v/>
      </c>
      <c r="K169" s="5">
        <f>IF($L169="","",J169-I169)</f>
        <v/>
      </c>
      <c r="L169">
        <f>IF(ROWS($L$2:$L169)&lt;=MAX('Per Line'!$AD$2:$AD$2501),MATCH(ROWS($L$2:$L169),'Per Line'!$AD$2:$AD$2501,0),"")</f>
        <v/>
      </c>
      <c r="M169">
        <f>IF($L169="","",INDEX('Per Line'!$E$2:$E$2501,$L169))</f>
        <v/>
      </c>
    </row>
    <row r="170">
      <c r="A170">
        <f>IF($L170="","",INDEX('Per Line'!$C$2:$C$2501,$L170))</f>
        <v/>
      </c>
      <c r="B170">
        <f>IF($L170="","",INDEX('Per Line'!$D$2:$D$2501,$L170))</f>
        <v/>
      </c>
      <c r="C170">
        <f>IF($L170="","",INDEX('Per Line'!$A$2:$A$2501,$L170))</f>
        <v/>
      </c>
      <c r="F170">
        <f>IF($L170="","",INDEX('Per Line'!$U$2:$U$2501,$L170))</f>
        <v/>
      </c>
      <c r="G170" s="5">
        <f>IF($L170="","",SUMIFS('Per Line'!$W$2:$W$2501,'Per Line'!$D$2:$D$2501,$B170))</f>
        <v/>
      </c>
      <c r="H170" s="5">
        <f>IF($L170="","",SUMIFS('Per Line'!$X$2:$X$2501,'Per Line'!$D$2:$D$2501,$B170))</f>
        <v/>
      </c>
      <c r="I170" s="5">
        <f>IF($L170="","",SUMIFS('Per Line'!$Y$2:$Y$2501,'Per Line'!$D$2:$D$2501,$B170))</f>
        <v/>
      </c>
      <c r="J170" s="5">
        <f>IF($L170="","",G170-H170)</f>
        <v/>
      </c>
      <c r="K170" s="5">
        <f>IF($L170="","",J170-I170)</f>
        <v/>
      </c>
      <c r="L170">
        <f>IF(ROWS($L$2:$L170)&lt;=MAX('Per Line'!$AD$2:$AD$2501),MATCH(ROWS($L$2:$L170),'Per Line'!$AD$2:$AD$2501,0),"")</f>
        <v/>
      </c>
      <c r="M170">
        <f>IF($L170="","",INDEX('Per Line'!$E$2:$E$2501,$L170))</f>
        <v/>
      </c>
    </row>
    <row r="171">
      <c r="A171">
        <f>IF($L171="","",INDEX('Per Line'!$C$2:$C$2501,$L171))</f>
        <v/>
      </c>
      <c r="B171">
        <f>IF($L171="","",INDEX('Per Line'!$D$2:$D$2501,$L171))</f>
        <v/>
      </c>
      <c r="C171">
        <f>IF($L171="","",INDEX('Per Line'!$A$2:$A$2501,$L171))</f>
        <v/>
      </c>
      <c r="F171">
        <f>IF($L171="","",INDEX('Per Line'!$U$2:$U$2501,$L171))</f>
        <v/>
      </c>
      <c r="G171" s="5">
        <f>IF($L171="","",SUMIFS('Per Line'!$W$2:$W$2501,'Per Line'!$D$2:$D$2501,$B171))</f>
        <v/>
      </c>
      <c r="H171" s="5">
        <f>IF($L171="","",SUMIFS('Per Line'!$X$2:$X$2501,'Per Line'!$D$2:$D$2501,$B171))</f>
        <v/>
      </c>
      <c r="I171" s="5">
        <f>IF($L171="","",SUMIFS('Per Line'!$Y$2:$Y$2501,'Per Line'!$D$2:$D$2501,$B171))</f>
        <v/>
      </c>
      <c r="J171" s="5">
        <f>IF($L171="","",G171-H171)</f>
        <v/>
      </c>
      <c r="K171" s="5">
        <f>IF($L171="","",J171-I171)</f>
        <v/>
      </c>
      <c r="L171">
        <f>IF(ROWS($L$2:$L171)&lt;=MAX('Per Line'!$AD$2:$AD$2501),MATCH(ROWS($L$2:$L171),'Per Line'!$AD$2:$AD$2501,0),"")</f>
        <v/>
      </c>
      <c r="M171">
        <f>IF($L171="","",INDEX('Per Line'!$E$2:$E$2501,$L171))</f>
        <v/>
      </c>
    </row>
    <row r="172">
      <c r="A172">
        <f>IF($L172="","",INDEX('Per Line'!$C$2:$C$2501,$L172))</f>
        <v/>
      </c>
      <c r="B172">
        <f>IF($L172="","",INDEX('Per Line'!$D$2:$D$2501,$L172))</f>
        <v/>
      </c>
      <c r="C172">
        <f>IF($L172="","",INDEX('Per Line'!$A$2:$A$2501,$L172))</f>
        <v/>
      </c>
      <c r="F172">
        <f>IF($L172="","",INDEX('Per Line'!$U$2:$U$2501,$L172))</f>
        <v/>
      </c>
      <c r="G172" s="5">
        <f>IF($L172="","",SUMIFS('Per Line'!$W$2:$W$2501,'Per Line'!$D$2:$D$2501,$B172))</f>
        <v/>
      </c>
      <c r="H172" s="5">
        <f>IF($L172="","",SUMIFS('Per Line'!$X$2:$X$2501,'Per Line'!$D$2:$D$2501,$B172))</f>
        <v/>
      </c>
      <c r="I172" s="5">
        <f>IF($L172="","",SUMIFS('Per Line'!$Y$2:$Y$2501,'Per Line'!$D$2:$D$2501,$B172))</f>
        <v/>
      </c>
      <c r="J172" s="5">
        <f>IF($L172="","",G172-H172)</f>
        <v/>
      </c>
      <c r="K172" s="5">
        <f>IF($L172="","",J172-I172)</f>
        <v/>
      </c>
      <c r="L172">
        <f>IF(ROWS($L$2:$L172)&lt;=MAX('Per Line'!$AD$2:$AD$2501),MATCH(ROWS($L$2:$L172),'Per Line'!$AD$2:$AD$2501,0),"")</f>
        <v/>
      </c>
      <c r="M172">
        <f>IF($L172="","",INDEX('Per Line'!$E$2:$E$2501,$L172))</f>
        <v/>
      </c>
    </row>
    <row r="173">
      <c r="A173">
        <f>IF($L173="","",INDEX('Per Line'!$C$2:$C$2501,$L173))</f>
        <v/>
      </c>
      <c r="B173">
        <f>IF($L173="","",INDEX('Per Line'!$D$2:$D$2501,$L173))</f>
        <v/>
      </c>
      <c r="C173">
        <f>IF($L173="","",INDEX('Per Line'!$A$2:$A$2501,$L173))</f>
        <v/>
      </c>
      <c r="F173">
        <f>IF($L173="","",INDEX('Per Line'!$U$2:$U$2501,$L173))</f>
        <v/>
      </c>
      <c r="G173" s="5">
        <f>IF($L173="","",SUMIFS('Per Line'!$W$2:$W$2501,'Per Line'!$D$2:$D$2501,$B173))</f>
        <v/>
      </c>
      <c r="H173" s="5">
        <f>IF($L173="","",SUMIFS('Per Line'!$X$2:$X$2501,'Per Line'!$D$2:$D$2501,$B173))</f>
        <v/>
      </c>
      <c r="I173" s="5">
        <f>IF($L173="","",SUMIFS('Per Line'!$Y$2:$Y$2501,'Per Line'!$D$2:$D$2501,$B173))</f>
        <v/>
      </c>
      <c r="J173" s="5">
        <f>IF($L173="","",G173-H173)</f>
        <v/>
      </c>
      <c r="K173" s="5">
        <f>IF($L173="","",J173-I173)</f>
        <v/>
      </c>
      <c r="L173">
        <f>IF(ROWS($L$2:$L173)&lt;=MAX('Per Line'!$AD$2:$AD$2501),MATCH(ROWS($L$2:$L173),'Per Line'!$AD$2:$AD$2501,0),"")</f>
        <v/>
      </c>
      <c r="M173">
        <f>IF($L173="","",INDEX('Per Line'!$E$2:$E$2501,$L173))</f>
        <v/>
      </c>
    </row>
    <row r="174">
      <c r="A174">
        <f>IF($L174="","",INDEX('Per Line'!$C$2:$C$2501,$L174))</f>
        <v/>
      </c>
      <c r="B174">
        <f>IF($L174="","",INDEX('Per Line'!$D$2:$D$2501,$L174))</f>
        <v/>
      </c>
      <c r="C174">
        <f>IF($L174="","",INDEX('Per Line'!$A$2:$A$2501,$L174))</f>
        <v/>
      </c>
      <c r="F174">
        <f>IF($L174="","",INDEX('Per Line'!$U$2:$U$2501,$L174))</f>
        <v/>
      </c>
      <c r="G174" s="5">
        <f>IF($L174="","",SUMIFS('Per Line'!$W$2:$W$2501,'Per Line'!$D$2:$D$2501,$B174))</f>
        <v/>
      </c>
      <c r="H174" s="5">
        <f>IF($L174="","",SUMIFS('Per Line'!$X$2:$X$2501,'Per Line'!$D$2:$D$2501,$B174))</f>
        <v/>
      </c>
      <c r="I174" s="5">
        <f>IF($L174="","",SUMIFS('Per Line'!$Y$2:$Y$2501,'Per Line'!$D$2:$D$2501,$B174))</f>
        <v/>
      </c>
      <c r="J174" s="5">
        <f>IF($L174="","",G174-H174)</f>
        <v/>
      </c>
      <c r="K174" s="5">
        <f>IF($L174="","",J174-I174)</f>
        <v/>
      </c>
      <c r="L174">
        <f>IF(ROWS($L$2:$L174)&lt;=MAX('Per Line'!$AD$2:$AD$2501),MATCH(ROWS($L$2:$L174),'Per Line'!$AD$2:$AD$2501,0),"")</f>
        <v/>
      </c>
      <c r="M174">
        <f>IF($L174="","",INDEX('Per Line'!$E$2:$E$2501,$L174))</f>
        <v/>
      </c>
    </row>
    <row r="175">
      <c r="A175">
        <f>IF($L175="","",INDEX('Per Line'!$C$2:$C$2501,$L175))</f>
        <v/>
      </c>
      <c r="B175">
        <f>IF($L175="","",INDEX('Per Line'!$D$2:$D$2501,$L175))</f>
        <v/>
      </c>
      <c r="C175">
        <f>IF($L175="","",INDEX('Per Line'!$A$2:$A$2501,$L175))</f>
        <v/>
      </c>
      <c r="F175">
        <f>IF($L175="","",INDEX('Per Line'!$U$2:$U$2501,$L175))</f>
        <v/>
      </c>
      <c r="G175" s="5">
        <f>IF($L175="","",SUMIFS('Per Line'!$W$2:$W$2501,'Per Line'!$D$2:$D$2501,$B175))</f>
        <v/>
      </c>
      <c r="H175" s="5">
        <f>IF($L175="","",SUMIFS('Per Line'!$X$2:$X$2501,'Per Line'!$D$2:$D$2501,$B175))</f>
        <v/>
      </c>
      <c r="I175" s="5">
        <f>IF($L175="","",SUMIFS('Per Line'!$Y$2:$Y$2501,'Per Line'!$D$2:$D$2501,$B175))</f>
        <v/>
      </c>
      <c r="J175" s="5">
        <f>IF($L175="","",G175-H175)</f>
        <v/>
      </c>
      <c r="K175" s="5">
        <f>IF($L175="","",J175-I175)</f>
        <v/>
      </c>
      <c r="L175">
        <f>IF(ROWS($L$2:$L175)&lt;=MAX('Per Line'!$AD$2:$AD$2501),MATCH(ROWS($L$2:$L175),'Per Line'!$AD$2:$AD$2501,0),"")</f>
        <v/>
      </c>
      <c r="M175">
        <f>IF($L175="","",INDEX('Per Line'!$E$2:$E$2501,$L175))</f>
        <v/>
      </c>
    </row>
    <row r="176">
      <c r="A176">
        <f>IF($L176="","",INDEX('Per Line'!$C$2:$C$2501,$L176))</f>
        <v/>
      </c>
      <c r="B176">
        <f>IF($L176="","",INDEX('Per Line'!$D$2:$D$2501,$L176))</f>
        <v/>
      </c>
      <c r="C176">
        <f>IF($L176="","",INDEX('Per Line'!$A$2:$A$2501,$L176))</f>
        <v/>
      </c>
      <c r="F176">
        <f>IF($L176="","",INDEX('Per Line'!$U$2:$U$2501,$L176))</f>
        <v/>
      </c>
      <c r="G176" s="5">
        <f>IF($L176="","",SUMIFS('Per Line'!$W$2:$W$2501,'Per Line'!$D$2:$D$2501,$B176))</f>
        <v/>
      </c>
      <c r="H176" s="5">
        <f>IF($L176="","",SUMIFS('Per Line'!$X$2:$X$2501,'Per Line'!$D$2:$D$2501,$B176))</f>
        <v/>
      </c>
      <c r="I176" s="5">
        <f>IF($L176="","",SUMIFS('Per Line'!$Y$2:$Y$2501,'Per Line'!$D$2:$D$2501,$B176))</f>
        <v/>
      </c>
      <c r="J176" s="5">
        <f>IF($L176="","",G176-H176)</f>
        <v/>
      </c>
      <c r="K176" s="5">
        <f>IF($L176="","",J176-I176)</f>
        <v/>
      </c>
      <c r="L176">
        <f>IF(ROWS($L$2:$L176)&lt;=MAX('Per Line'!$AD$2:$AD$2501),MATCH(ROWS($L$2:$L176),'Per Line'!$AD$2:$AD$2501,0),"")</f>
        <v/>
      </c>
      <c r="M176">
        <f>IF($L176="","",INDEX('Per Line'!$E$2:$E$2501,$L176))</f>
        <v/>
      </c>
    </row>
    <row r="177">
      <c r="A177">
        <f>IF($L177="","",INDEX('Per Line'!$C$2:$C$2501,$L177))</f>
        <v/>
      </c>
      <c r="B177">
        <f>IF($L177="","",INDEX('Per Line'!$D$2:$D$2501,$L177))</f>
        <v/>
      </c>
      <c r="C177">
        <f>IF($L177="","",INDEX('Per Line'!$A$2:$A$2501,$L177))</f>
        <v/>
      </c>
      <c r="F177">
        <f>IF($L177="","",INDEX('Per Line'!$U$2:$U$2501,$L177))</f>
        <v/>
      </c>
      <c r="G177" s="5">
        <f>IF($L177="","",SUMIFS('Per Line'!$W$2:$W$2501,'Per Line'!$D$2:$D$2501,$B177))</f>
        <v/>
      </c>
      <c r="H177" s="5">
        <f>IF($L177="","",SUMIFS('Per Line'!$X$2:$X$2501,'Per Line'!$D$2:$D$2501,$B177))</f>
        <v/>
      </c>
      <c r="I177" s="5">
        <f>IF($L177="","",SUMIFS('Per Line'!$Y$2:$Y$2501,'Per Line'!$D$2:$D$2501,$B177))</f>
        <v/>
      </c>
      <c r="J177" s="5">
        <f>IF($L177="","",G177-H177)</f>
        <v/>
      </c>
      <c r="K177" s="5">
        <f>IF($L177="","",J177-I177)</f>
        <v/>
      </c>
      <c r="L177">
        <f>IF(ROWS($L$2:$L177)&lt;=MAX('Per Line'!$AD$2:$AD$2501),MATCH(ROWS($L$2:$L177),'Per Line'!$AD$2:$AD$2501,0),"")</f>
        <v/>
      </c>
      <c r="M177">
        <f>IF($L177="","",INDEX('Per Line'!$E$2:$E$2501,$L177))</f>
        <v/>
      </c>
    </row>
    <row r="178">
      <c r="A178">
        <f>IF($L178="","",INDEX('Per Line'!$C$2:$C$2501,$L178))</f>
        <v/>
      </c>
      <c r="B178">
        <f>IF($L178="","",INDEX('Per Line'!$D$2:$D$2501,$L178))</f>
        <v/>
      </c>
      <c r="C178">
        <f>IF($L178="","",INDEX('Per Line'!$A$2:$A$2501,$L178))</f>
        <v/>
      </c>
      <c r="F178">
        <f>IF($L178="","",INDEX('Per Line'!$U$2:$U$2501,$L178))</f>
        <v/>
      </c>
      <c r="G178" s="5">
        <f>IF($L178="","",SUMIFS('Per Line'!$W$2:$W$2501,'Per Line'!$D$2:$D$2501,$B178))</f>
        <v/>
      </c>
      <c r="H178" s="5">
        <f>IF($L178="","",SUMIFS('Per Line'!$X$2:$X$2501,'Per Line'!$D$2:$D$2501,$B178))</f>
        <v/>
      </c>
      <c r="I178" s="5">
        <f>IF($L178="","",SUMIFS('Per Line'!$Y$2:$Y$2501,'Per Line'!$D$2:$D$2501,$B178))</f>
        <v/>
      </c>
      <c r="J178" s="5">
        <f>IF($L178="","",G178-H178)</f>
        <v/>
      </c>
      <c r="K178" s="5">
        <f>IF($L178="","",J178-I178)</f>
        <v/>
      </c>
      <c r="L178">
        <f>IF(ROWS($L$2:$L178)&lt;=MAX('Per Line'!$AD$2:$AD$2501),MATCH(ROWS($L$2:$L178),'Per Line'!$AD$2:$AD$2501,0),"")</f>
        <v/>
      </c>
      <c r="M178">
        <f>IF($L178="","",INDEX('Per Line'!$E$2:$E$2501,$L178))</f>
        <v/>
      </c>
    </row>
    <row r="179">
      <c r="A179">
        <f>IF($L179="","",INDEX('Per Line'!$C$2:$C$2501,$L179))</f>
        <v/>
      </c>
      <c r="B179">
        <f>IF($L179="","",INDEX('Per Line'!$D$2:$D$2501,$L179))</f>
        <v/>
      </c>
      <c r="C179">
        <f>IF($L179="","",INDEX('Per Line'!$A$2:$A$2501,$L179))</f>
        <v/>
      </c>
      <c r="F179">
        <f>IF($L179="","",INDEX('Per Line'!$U$2:$U$2501,$L179))</f>
        <v/>
      </c>
      <c r="G179" s="5">
        <f>IF($L179="","",SUMIFS('Per Line'!$W$2:$W$2501,'Per Line'!$D$2:$D$2501,$B179))</f>
        <v/>
      </c>
      <c r="H179" s="5">
        <f>IF($L179="","",SUMIFS('Per Line'!$X$2:$X$2501,'Per Line'!$D$2:$D$2501,$B179))</f>
        <v/>
      </c>
      <c r="I179" s="5">
        <f>IF($L179="","",SUMIFS('Per Line'!$Y$2:$Y$2501,'Per Line'!$D$2:$D$2501,$B179))</f>
        <v/>
      </c>
      <c r="J179" s="5">
        <f>IF($L179="","",G179-H179)</f>
        <v/>
      </c>
      <c r="K179" s="5">
        <f>IF($L179="","",J179-I179)</f>
        <v/>
      </c>
      <c r="L179">
        <f>IF(ROWS($L$2:$L179)&lt;=MAX('Per Line'!$AD$2:$AD$2501),MATCH(ROWS($L$2:$L179),'Per Line'!$AD$2:$AD$2501,0),"")</f>
        <v/>
      </c>
      <c r="M179">
        <f>IF($L179="","",INDEX('Per Line'!$E$2:$E$2501,$L179))</f>
        <v/>
      </c>
    </row>
    <row r="180">
      <c r="A180">
        <f>IF($L180="","",INDEX('Per Line'!$C$2:$C$2501,$L180))</f>
        <v/>
      </c>
      <c r="B180">
        <f>IF($L180="","",INDEX('Per Line'!$D$2:$D$2501,$L180))</f>
        <v/>
      </c>
      <c r="C180">
        <f>IF($L180="","",INDEX('Per Line'!$A$2:$A$2501,$L180))</f>
        <v/>
      </c>
      <c r="F180">
        <f>IF($L180="","",INDEX('Per Line'!$U$2:$U$2501,$L180))</f>
        <v/>
      </c>
      <c r="G180" s="5">
        <f>IF($L180="","",SUMIFS('Per Line'!$W$2:$W$2501,'Per Line'!$D$2:$D$2501,$B180))</f>
        <v/>
      </c>
      <c r="H180" s="5">
        <f>IF($L180="","",SUMIFS('Per Line'!$X$2:$X$2501,'Per Line'!$D$2:$D$2501,$B180))</f>
        <v/>
      </c>
      <c r="I180" s="5">
        <f>IF($L180="","",SUMIFS('Per Line'!$Y$2:$Y$2501,'Per Line'!$D$2:$D$2501,$B180))</f>
        <v/>
      </c>
      <c r="J180" s="5">
        <f>IF($L180="","",G180-H180)</f>
        <v/>
      </c>
      <c r="K180" s="5">
        <f>IF($L180="","",J180-I180)</f>
        <v/>
      </c>
      <c r="L180">
        <f>IF(ROWS($L$2:$L180)&lt;=MAX('Per Line'!$AD$2:$AD$2501),MATCH(ROWS($L$2:$L180),'Per Line'!$AD$2:$AD$2501,0),"")</f>
        <v/>
      </c>
      <c r="M180">
        <f>IF($L180="","",INDEX('Per Line'!$E$2:$E$2501,$L180))</f>
        <v/>
      </c>
    </row>
    <row r="181">
      <c r="A181">
        <f>IF($L181="","",INDEX('Per Line'!$C$2:$C$2501,$L181))</f>
        <v/>
      </c>
      <c r="B181">
        <f>IF($L181="","",INDEX('Per Line'!$D$2:$D$2501,$L181))</f>
        <v/>
      </c>
      <c r="C181">
        <f>IF($L181="","",INDEX('Per Line'!$A$2:$A$2501,$L181))</f>
        <v/>
      </c>
      <c r="F181">
        <f>IF($L181="","",INDEX('Per Line'!$U$2:$U$2501,$L181))</f>
        <v/>
      </c>
      <c r="G181" s="5">
        <f>IF($L181="","",SUMIFS('Per Line'!$W$2:$W$2501,'Per Line'!$D$2:$D$2501,$B181))</f>
        <v/>
      </c>
      <c r="H181" s="5">
        <f>IF($L181="","",SUMIFS('Per Line'!$X$2:$X$2501,'Per Line'!$D$2:$D$2501,$B181))</f>
        <v/>
      </c>
      <c r="I181" s="5">
        <f>IF($L181="","",SUMIFS('Per Line'!$Y$2:$Y$2501,'Per Line'!$D$2:$D$2501,$B181))</f>
        <v/>
      </c>
      <c r="J181" s="5">
        <f>IF($L181="","",G181-H181)</f>
        <v/>
      </c>
      <c r="K181" s="5">
        <f>IF($L181="","",J181-I181)</f>
        <v/>
      </c>
      <c r="L181">
        <f>IF(ROWS($L$2:$L181)&lt;=MAX('Per Line'!$AD$2:$AD$2501),MATCH(ROWS($L$2:$L181),'Per Line'!$AD$2:$AD$2501,0),"")</f>
        <v/>
      </c>
      <c r="M181">
        <f>IF($L181="","",INDEX('Per Line'!$E$2:$E$2501,$L181))</f>
        <v/>
      </c>
    </row>
    <row r="182">
      <c r="A182">
        <f>IF($L182="","",INDEX('Per Line'!$C$2:$C$2501,$L182))</f>
        <v/>
      </c>
      <c r="B182">
        <f>IF($L182="","",INDEX('Per Line'!$D$2:$D$2501,$L182))</f>
        <v/>
      </c>
      <c r="C182">
        <f>IF($L182="","",INDEX('Per Line'!$A$2:$A$2501,$L182))</f>
        <v/>
      </c>
      <c r="F182">
        <f>IF($L182="","",INDEX('Per Line'!$U$2:$U$2501,$L182))</f>
        <v/>
      </c>
      <c r="G182" s="5">
        <f>IF($L182="","",SUMIFS('Per Line'!$W$2:$W$2501,'Per Line'!$D$2:$D$2501,$B182))</f>
        <v/>
      </c>
      <c r="H182" s="5">
        <f>IF($L182="","",SUMIFS('Per Line'!$X$2:$X$2501,'Per Line'!$D$2:$D$2501,$B182))</f>
        <v/>
      </c>
      <c r="I182" s="5">
        <f>IF($L182="","",SUMIFS('Per Line'!$Y$2:$Y$2501,'Per Line'!$D$2:$D$2501,$B182))</f>
        <v/>
      </c>
      <c r="J182" s="5">
        <f>IF($L182="","",G182-H182)</f>
        <v/>
      </c>
      <c r="K182" s="5">
        <f>IF($L182="","",J182-I182)</f>
        <v/>
      </c>
      <c r="L182">
        <f>IF(ROWS($L$2:$L182)&lt;=MAX('Per Line'!$AD$2:$AD$2501),MATCH(ROWS($L$2:$L182),'Per Line'!$AD$2:$AD$2501,0),"")</f>
        <v/>
      </c>
      <c r="M182">
        <f>IF($L182="","",INDEX('Per Line'!$E$2:$E$2501,$L182))</f>
        <v/>
      </c>
    </row>
    <row r="183">
      <c r="A183">
        <f>IF($L183="","",INDEX('Per Line'!$C$2:$C$2501,$L183))</f>
        <v/>
      </c>
      <c r="B183">
        <f>IF($L183="","",INDEX('Per Line'!$D$2:$D$2501,$L183))</f>
        <v/>
      </c>
      <c r="C183">
        <f>IF($L183="","",INDEX('Per Line'!$A$2:$A$2501,$L183))</f>
        <v/>
      </c>
      <c r="F183">
        <f>IF($L183="","",INDEX('Per Line'!$U$2:$U$2501,$L183))</f>
        <v/>
      </c>
      <c r="G183" s="5">
        <f>IF($L183="","",SUMIFS('Per Line'!$W$2:$W$2501,'Per Line'!$D$2:$D$2501,$B183))</f>
        <v/>
      </c>
      <c r="H183" s="5">
        <f>IF($L183="","",SUMIFS('Per Line'!$X$2:$X$2501,'Per Line'!$D$2:$D$2501,$B183))</f>
        <v/>
      </c>
      <c r="I183" s="5">
        <f>IF($L183="","",SUMIFS('Per Line'!$Y$2:$Y$2501,'Per Line'!$D$2:$D$2501,$B183))</f>
        <v/>
      </c>
      <c r="J183" s="5">
        <f>IF($L183="","",G183-H183)</f>
        <v/>
      </c>
      <c r="K183" s="5">
        <f>IF($L183="","",J183-I183)</f>
        <v/>
      </c>
      <c r="L183">
        <f>IF(ROWS($L$2:$L183)&lt;=MAX('Per Line'!$AD$2:$AD$2501),MATCH(ROWS($L$2:$L183),'Per Line'!$AD$2:$AD$2501,0),"")</f>
        <v/>
      </c>
      <c r="M183">
        <f>IF($L183="","",INDEX('Per Line'!$E$2:$E$2501,$L183))</f>
        <v/>
      </c>
    </row>
    <row r="184">
      <c r="A184">
        <f>IF($L184="","",INDEX('Per Line'!$C$2:$C$2501,$L184))</f>
        <v/>
      </c>
      <c r="B184">
        <f>IF($L184="","",INDEX('Per Line'!$D$2:$D$2501,$L184))</f>
        <v/>
      </c>
      <c r="C184">
        <f>IF($L184="","",INDEX('Per Line'!$A$2:$A$2501,$L184))</f>
        <v/>
      </c>
      <c r="F184">
        <f>IF($L184="","",INDEX('Per Line'!$U$2:$U$2501,$L184))</f>
        <v/>
      </c>
      <c r="G184" s="5">
        <f>IF($L184="","",SUMIFS('Per Line'!$W$2:$W$2501,'Per Line'!$D$2:$D$2501,$B184))</f>
        <v/>
      </c>
      <c r="H184" s="5">
        <f>IF($L184="","",SUMIFS('Per Line'!$X$2:$X$2501,'Per Line'!$D$2:$D$2501,$B184))</f>
        <v/>
      </c>
      <c r="I184" s="5">
        <f>IF($L184="","",SUMIFS('Per Line'!$Y$2:$Y$2501,'Per Line'!$D$2:$D$2501,$B184))</f>
        <v/>
      </c>
      <c r="J184" s="5">
        <f>IF($L184="","",G184-H184)</f>
        <v/>
      </c>
      <c r="K184" s="5">
        <f>IF($L184="","",J184-I184)</f>
        <v/>
      </c>
      <c r="L184">
        <f>IF(ROWS($L$2:$L184)&lt;=MAX('Per Line'!$AD$2:$AD$2501),MATCH(ROWS($L$2:$L184),'Per Line'!$AD$2:$AD$2501,0),"")</f>
        <v/>
      </c>
      <c r="M184">
        <f>IF($L184="","",INDEX('Per Line'!$E$2:$E$2501,$L184))</f>
        <v/>
      </c>
    </row>
    <row r="185">
      <c r="A185">
        <f>IF($L185="","",INDEX('Per Line'!$C$2:$C$2501,$L185))</f>
        <v/>
      </c>
      <c r="B185">
        <f>IF($L185="","",INDEX('Per Line'!$D$2:$D$2501,$L185))</f>
        <v/>
      </c>
      <c r="C185">
        <f>IF($L185="","",INDEX('Per Line'!$A$2:$A$2501,$L185))</f>
        <v/>
      </c>
      <c r="F185">
        <f>IF($L185="","",INDEX('Per Line'!$U$2:$U$2501,$L185))</f>
        <v/>
      </c>
      <c r="G185" s="5">
        <f>IF($L185="","",SUMIFS('Per Line'!$W$2:$W$2501,'Per Line'!$D$2:$D$2501,$B185))</f>
        <v/>
      </c>
      <c r="H185" s="5">
        <f>IF($L185="","",SUMIFS('Per Line'!$X$2:$X$2501,'Per Line'!$D$2:$D$2501,$B185))</f>
        <v/>
      </c>
      <c r="I185" s="5">
        <f>IF($L185="","",SUMIFS('Per Line'!$Y$2:$Y$2501,'Per Line'!$D$2:$D$2501,$B185))</f>
        <v/>
      </c>
      <c r="J185" s="5">
        <f>IF($L185="","",G185-H185)</f>
        <v/>
      </c>
      <c r="K185" s="5">
        <f>IF($L185="","",J185-I185)</f>
        <v/>
      </c>
      <c r="L185">
        <f>IF(ROWS($L$2:$L185)&lt;=MAX('Per Line'!$AD$2:$AD$2501),MATCH(ROWS($L$2:$L185),'Per Line'!$AD$2:$AD$2501,0),"")</f>
        <v/>
      </c>
      <c r="M185">
        <f>IF($L185="","",INDEX('Per Line'!$E$2:$E$2501,$L185))</f>
        <v/>
      </c>
    </row>
    <row r="186">
      <c r="A186">
        <f>IF($L186="","",INDEX('Per Line'!$C$2:$C$2501,$L186))</f>
        <v/>
      </c>
      <c r="B186">
        <f>IF($L186="","",INDEX('Per Line'!$D$2:$D$2501,$L186))</f>
        <v/>
      </c>
      <c r="C186">
        <f>IF($L186="","",INDEX('Per Line'!$A$2:$A$2501,$L186))</f>
        <v/>
      </c>
      <c r="F186">
        <f>IF($L186="","",INDEX('Per Line'!$U$2:$U$2501,$L186))</f>
        <v/>
      </c>
      <c r="G186" s="5">
        <f>IF($L186="","",SUMIFS('Per Line'!$W$2:$W$2501,'Per Line'!$D$2:$D$2501,$B186))</f>
        <v/>
      </c>
      <c r="H186" s="5">
        <f>IF($L186="","",SUMIFS('Per Line'!$X$2:$X$2501,'Per Line'!$D$2:$D$2501,$B186))</f>
        <v/>
      </c>
      <c r="I186" s="5">
        <f>IF($L186="","",SUMIFS('Per Line'!$Y$2:$Y$2501,'Per Line'!$D$2:$D$2501,$B186))</f>
        <v/>
      </c>
      <c r="J186" s="5">
        <f>IF($L186="","",G186-H186)</f>
        <v/>
      </c>
      <c r="K186" s="5">
        <f>IF($L186="","",J186-I186)</f>
        <v/>
      </c>
      <c r="L186">
        <f>IF(ROWS($L$2:$L186)&lt;=MAX('Per Line'!$AD$2:$AD$2501),MATCH(ROWS($L$2:$L186),'Per Line'!$AD$2:$AD$2501,0),"")</f>
        <v/>
      </c>
      <c r="M186">
        <f>IF($L186="","",INDEX('Per Line'!$E$2:$E$2501,$L186))</f>
        <v/>
      </c>
    </row>
    <row r="187">
      <c r="A187">
        <f>IF($L187="","",INDEX('Per Line'!$C$2:$C$2501,$L187))</f>
        <v/>
      </c>
      <c r="B187">
        <f>IF($L187="","",INDEX('Per Line'!$D$2:$D$2501,$L187))</f>
        <v/>
      </c>
      <c r="C187">
        <f>IF($L187="","",INDEX('Per Line'!$A$2:$A$2501,$L187))</f>
        <v/>
      </c>
      <c r="F187">
        <f>IF($L187="","",INDEX('Per Line'!$U$2:$U$2501,$L187))</f>
        <v/>
      </c>
      <c r="G187" s="5">
        <f>IF($L187="","",SUMIFS('Per Line'!$W$2:$W$2501,'Per Line'!$D$2:$D$2501,$B187))</f>
        <v/>
      </c>
      <c r="H187" s="5">
        <f>IF($L187="","",SUMIFS('Per Line'!$X$2:$X$2501,'Per Line'!$D$2:$D$2501,$B187))</f>
        <v/>
      </c>
      <c r="I187" s="5">
        <f>IF($L187="","",SUMIFS('Per Line'!$Y$2:$Y$2501,'Per Line'!$D$2:$D$2501,$B187))</f>
        <v/>
      </c>
      <c r="J187" s="5">
        <f>IF($L187="","",G187-H187)</f>
        <v/>
      </c>
      <c r="K187" s="5">
        <f>IF($L187="","",J187-I187)</f>
        <v/>
      </c>
      <c r="L187">
        <f>IF(ROWS($L$2:$L187)&lt;=MAX('Per Line'!$AD$2:$AD$2501),MATCH(ROWS($L$2:$L187),'Per Line'!$AD$2:$AD$2501,0),"")</f>
        <v/>
      </c>
      <c r="M187">
        <f>IF($L187="","",INDEX('Per Line'!$E$2:$E$2501,$L187))</f>
        <v/>
      </c>
    </row>
    <row r="188">
      <c r="A188">
        <f>IF($L188="","",INDEX('Per Line'!$C$2:$C$2501,$L188))</f>
        <v/>
      </c>
      <c r="B188">
        <f>IF($L188="","",INDEX('Per Line'!$D$2:$D$2501,$L188))</f>
        <v/>
      </c>
      <c r="C188">
        <f>IF($L188="","",INDEX('Per Line'!$A$2:$A$2501,$L188))</f>
        <v/>
      </c>
      <c r="F188">
        <f>IF($L188="","",INDEX('Per Line'!$U$2:$U$2501,$L188))</f>
        <v/>
      </c>
      <c r="G188" s="5">
        <f>IF($L188="","",SUMIFS('Per Line'!$W$2:$W$2501,'Per Line'!$D$2:$D$2501,$B188))</f>
        <v/>
      </c>
      <c r="H188" s="5">
        <f>IF($L188="","",SUMIFS('Per Line'!$X$2:$X$2501,'Per Line'!$D$2:$D$2501,$B188))</f>
        <v/>
      </c>
      <c r="I188" s="5">
        <f>IF($L188="","",SUMIFS('Per Line'!$Y$2:$Y$2501,'Per Line'!$D$2:$D$2501,$B188))</f>
        <v/>
      </c>
      <c r="J188" s="5">
        <f>IF($L188="","",G188-H188)</f>
        <v/>
      </c>
      <c r="K188" s="5">
        <f>IF($L188="","",J188-I188)</f>
        <v/>
      </c>
      <c r="L188">
        <f>IF(ROWS($L$2:$L188)&lt;=MAX('Per Line'!$AD$2:$AD$2501),MATCH(ROWS($L$2:$L188),'Per Line'!$AD$2:$AD$2501,0),"")</f>
        <v/>
      </c>
      <c r="M188">
        <f>IF($L188="","",INDEX('Per Line'!$E$2:$E$2501,$L188))</f>
        <v/>
      </c>
    </row>
    <row r="189">
      <c r="A189">
        <f>IF($L189="","",INDEX('Per Line'!$C$2:$C$2501,$L189))</f>
        <v/>
      </c>
      <c r="B189">
        <f>IF($L189="","",INDEX('Per Line'!$D$2:$D$2501,$L189))</f>
        <v/>
      </c>
      <c r="C189">
        <f>IF($L189="","",INDEX('Per Line'!$A$2:$A$2501,$L189))</f>
        <v/>
      </c>
      <c r="F189">
        <f>IF($L189="","",INDEX('Per Line'!$U$2:$U$2501,$L189))</f>
        <v/>
      </c>
      <c r="G189" s="5">
        <f>IF($L189="","",SUMIFS('Per Line'!$W$2:$W$2501,'Per Line'!$D$2:$D$2501,$B189))</f>
        <v/>
      </c>
      <c r="H189" s="5">
        <f>IF($L189="","",SUMIFS('Per Line'!$X$2:$X$2501,'Per Line'!$D$2:$D$2501,$B189))</f>
        <v/>
      </c>
      <c r="I189" s="5">
        <f>IF($L189="","",SUMIFS('Per Line'!$Y$2:$Y$2501,'Per Line'!$D$2:$D$2501,$B189))</f>
        <v/>
      </c>
      <c r="J189" s="5">
        <f>IF($L189="","",G189-H189)</f>
        <v/>
      </c>
      <c r="K189" s="5">
        <f>IF($L189="","",J189-I189)</f>
        <v/>
      </c>
      <c r="L189">
        <f>IF(ROWS($L$2:$L189)&lt;=MAX('Per Line'!$AD$2:$AD$2501),MATCH(ROWS($L$2:$L189),'Per Line'!$AD$2:$AD$2501,0),"")</f>
        <v/>
      </c>
      <c r="M189">
        <f>IF($L189="","",INDEX('Per Line'!$E$2:$E$2501,$L189))</f>
        <v/>
      </c>
    </row>
    <row r="190">
      <c r="A190">
        <f>IF($L190="","",INDEX('Per Line'!$C$2:$C$2501,$L190))</f>
        <v/>
      </c>
      <c r="B190">
        <f>IF($L190="","",INDEX('Per Line'!$D$2:$D$2501,$L190))</f>
        <v/>
      </c>
      <c r="C190">
        <f>IF($L190="","",INDEX('Per Line'!$A$2:$A$2501,$L190))</f>
        <v/>
      </c>
      <c r="F190">
        <f>IF($L190="","",INDEX('Per Line'!$U$2:$U$2501,$L190))</f>
        <v/>
      </c>
      <c r="G190" s="5">
        <f>IF($L190="","",SUMIFS('Per Line'!$W$2:$W$2501,'Per Line'!$D$2:$D$2501,$B190))</f>
        <v/>
      </c>
      <c r="H190" s="5">
        <f>IF($L190="","",SUMIFS('Per Line'!$X$2:$X$2501,'Per Line'!$D$2:$D$2501,$B190))</f>
        <v/>
      </c>
      <c r="I190" s="5">
        <f>IF($L190="","",SUMIFS('Per Line'!$Y$2:$Y$2501,'Per Line'!$D$2:$D$2501,$B190))</f>
        <v/>
      </c>
      <c r="J190" s="5">
        <f>IF($L190="","",G190-H190)</f>
        <v/>
      </c>
      <c r="K190" s="5">
        <f>IF($L190="","",J190-I190)</f>
        <v/>
      </c>
      <c r="L190">
        <f>IF(ROWS($L$2:$L190)&lt;=MAX('Per Line'!$AD$2:$AD$2501),MATCH(ROWS($L$2:$L190),'Per Line'!$AD$2:$AD$2501,0),"")</f>
        <v/>
      </c>
      <c r="M190">
        <f>IF($L190="","",INDEX('Per Line'!$E$2:$E$2501,$L190))</f>
        <v/>
      </c>
    </row>
    <row r="191">
      <c r="A191">
        <f>IF($L191="","",INDEX('Per Line'!$C$2:$C$2501,$L191))</f>
        <v/>
      </c>
      <c r="B191">
        <f>IF($L191="","",INDEX('Per Line'!$D$2:$D$2501,$L191))</f>
        <v/>
      </c>
      <c r="C191">
        <f>IF($L191="","",INDEX('Per Line'!$A$2:$A$2501,$L191))</f>
        <v/>
      </c>
      <c r="F191">
        <f>IF($L191="","",INDEX('Per Line'!$U$2:$U$2501,$L191))</f>
        <v/>
      </c>
      <c r="G191" s="5">
        <f>IF($L191="","",SUMIFS('Per Line'!$W$2:$W$2501,'Per Line'!$D$2:$D$2501,$B191))</f>
        <v/>
      </c>
      <c r="H191" s="5">
        <f>IF($L191="","",SUMIFS('Per Line'!$X$2:$X$2501,'Per Line'!$D$2:$D$2501,$B191))</f>
        <v/>
      </c>
      <c r="I191" s="5">
        <f>IF($L191="","",SUMIFS('Per Line'!$Y$2:$Y$2501,'Per Line'!$D$2:$D$2501,$B191))</f>
        <v/>
      </c>
      <c r="J191" s="5">
        <f>IF($L191="","",G191-H191)</f>
        <v/>
      </c>
      <c r="K191" s="5">
        <f>IF($L191="","",J191-I191)</f>
        <v/>
      </c>
      <c r="L191">
        <f>IF(ROWS($L$2:$L191)&lt;=MAX('Per Line'!$AD$2:$AD$2501),MATCH(ROWS($L$2:$L191),'Per Line'!$AD$2:$AD$2501,0),"")</f>
        <v/>
      </c>
      <c r="M191">
        <f>IF($L191="","",INDEX('Per Line'!$E$2:$E$2501,$L191))</f>
        <v/>
      </c>
    </row>
    <row r="192">
      <c r="A192">
        <f>IF($L192="","",INDEX('Per Line'!$C$2:$C$2501,$L192))</f>
        <v/>
      </c>
      <c r="B192">
        <f>IF($L192="","",INDEX('Per Line'!$D$2:$D$2501,$L192))</f>
        <v/>
      </c>
      <c r="C192">
        <f>IF($L192="","",INDEX('Per Line'!$A$2:$A$2501,$L192))</f>
        <v/>
      </c>
      <c r="F192">
        <f>IF($L192="","",INDEX('Per Line'!$U$2:$U$2501,$L192))</f>
        <v/>
      </c>
      <c r="G192" s="5">
        <f>IF($L192="","",SUMIFS('Per Line'!$W$2:$W$2501,'Per Line'!$D$2:$D$2501,$B192))</f>
        <v/>
      </c>
      <c r="H192" s="5">
        <f>IF($L192="","",SUMIFS('Per Line'!$X$2:$X$2501,'Per Line'!$D$2:$D$2501,$B192))</f>
        <v/>
      </c>
      <c r="I192" s="5">
        <f>IF($L192="","",SUMIFS('Per Line'!$Y$2:$Y$2501,'Per Line'!$D$2:$D$2501,$B192))</f>
        <v/>
      </c>
      <c r="J192" s="5">
        <f>IF($L192="","",G192-H192)</f>
        <v/>
      </c>
      <c r="K192" s="5">
        <f>IF($L192="","",J192-I192)</f>
        <v/>
      </c>
      <c r="L192">
        <f>IF(ROWS($L$2:$L192)&lt;=MAX('Per Line'!$AD$2:$AD$2501),MATCH(ROWS($L$2:$L192),'Per Line'!$AD$2:$AD$2501,0),"")</f>
        <v/>
      </c>
      <c r="M192">
        <f>IF($L192="","",INDEX('Per Line'!$E$2:$E$2501,$L192))</f>
        <v/>
      </c>
    </row>
    <row r="193">
      <c r="A193">
        <f>IF($L193="","",INDEX('Per Line'!$C$2:$C$2501,$L193))</f>
        <v/>
      </c>
      <c r="B193">
        <f>IF($L193="","",INDEX('Per Line'!$D$2:$D$2501,$L193))</f>
        <v/>
      </c>
      <c r="C193">
        <f>IF($L193="","",INDEX('Per Line'!$A$2:$A$2501,$L193))</f>
        <v/>
      </c>
      <c r="F193">
        <f>IF($L193="","",INDEX('Per Line'!$U$2:$U$2501,$L193))</f>
        <v/>
      </c>
      <c r="G193" s="5">
        <f>IF($L193="","",SUMIFS('Per Line'!$W$2:$W$2501,'Per Line'!$D$2:$D$2501,$B193))</f>
        <v/>
      </c>
      <c r="H193" s="5">
        <f>IF($L193="","",SUMIFS('Per Line'!$X$2:$X$2501,'Per Line'!$D$2:$D$2501,$B193))</f>
        <v/>
      </c>
      <c r="I193" s="5">
        <f>IF($L193="","",SUMIFS('Per Line'!$Y$2:$Y$2501,'Per Line'!$D$2:$D$2501,$B193))</f>
        <v/>
      </c>
      <c r="J193" s="5">
        <f>IF($L193="","",G193-H193)</f>
        <v/>
      </c>
      <c r="K193" s="5">
        <f>IF($L193="","",J193-I193)</f>
        <v/>
      </c>
      <c r="L193">
        <f>IF(ROWS($L$2:$L193)&lt;=MAX('Per Line'!$AD$2:$AD$2501),MATCH(ROWS($L$2:$L193),'Per Line'!$AD$2:$AD$2501,0),"")</f>
        <v/>
      </c>
      <c r="M193">
        <f>IF($L193="","",INDEX('Per Line'!$E$2:$E$2501,$L193))</f>
        <v/>
      </c>
    </row>
    <row r="194">
      <c r="A194">
        <f>IF($L194="","",INDEX('Per Line'!$C$2:$C$2501,$L194))</f>
        <v/>
      </c>
      <c r="B194">
        <f>IF($L194="","",INDEX('Per Line'!$D$2:$D$2501,$L194))</f>
        <v/>
      </c>
      <c r="C194">
        <f>IF($L194="","",INDEX('Per Line'!$A$2:$A$2501,$L194))</f>
        <v/>
      </c>
      <c r="F194">
        <f>IF($L194="","",INDEX('Per Line'!$U$2:$U$2501,$L194))</f>
        <v/>
      </c>
      <c r="G194" s="5">
        <f>IF($L194="","",SUMIFS('Per Line'!$W$2:$W$2501,'Per Line'!$D$2:$D$2501,$B194))</f>
        <v/>
      </c>
      <c r="H194" s="5">
        <f>IF($L194="","",SUMIFS('Per Line'!$X$2:$X$2501,'Per Line'!$D$2:$D$2501,$B194))</f>
        <v/>
      </c>
      <c r="I194" s="5">
        <f>IF($L194="","",SUMIFS('Per Line'!$Y$2:$Y$2501,'Per Line'!$D$2:$D$2501,$B194))</f>
        <v/>
      </c>
      <c r="J194" s="5">
        <f>IF($L194="","",G194-H194)</f>
        <v/>
      </c>
      <c r="K194" s="5">
        <f>IF($L194="","",J194-I194)</f>
        <v/>
      </c>
      <c r="L194">
        <f>IF(ROWS($L$2:$L194)&lt;=MAX('Per Line'!$AD$2:$AD$2501),MATCH(ROWS($L$2:$L194),'Per Line'!$AD$2:$AD$2501,0),"")</f>
        <v/>
      </c>
      <c r="M194">
        <f>IF($L194="","",INDEX('Per Line'!$E$2:$E$2501,$L194))</f>
        <v/>
      </c>
    </row>
    <row r="195">
      <c r="A195">
        <f>IF($L195="","",INDEX('Per Line'!$C$2:$C$2501,$L195))</f>
        <v/>
      </c>
      <c r="B195">
        <f>IF($L195="","",INDEX('Per Line'!$D$2:$D$2501,$L195))</f>
        <v/>
      </c>
      <c r="C195">
        <f>IF($L195="","",INDEX('Per Line'!$A$2:$A$2501,$L195))</f>
        <v/>
      </c>
      <c r="F195">
        <f>IF($L195="","",INDEX('Per Line'!$U$2:$U$2501,$L195))</f>
        <v/>
      </c>
      <c r="G195" s="5">
        <f>IF($L195="","",SUMIFS('Per Line'!$W$2:$W$2501,'Per Line'!$D$2:$D$2501,$B195))</f>
        <v/>
      </c>
      <c r="H195" s="5">
        <f>IF($L195="","",SUMIFS('Per Line'!$X$2:$X$2501,'Per Line'!$D$2:$D$2501,$B195))</f>
        <v/>
      </c>
      <c r="I195" s="5">
        <f>IF($L195="","",SUMIFS('Per Line'!$Y$2:$Y$2501,'Per Line'!$D$2:$D$2501,$B195))</f>
        <v/>
      </c>
      <c r="J195" s="5">
        <f>IF($L195="","",G195-H195)</f>
        <v/>
      </c>
      <c r="K195" s="5">
        <f>IF($L195="","",J195-I195)</f>
        <v/>
      </c>
      <c r="L195">
        <f>IF(ROWS($L$2:$L195)&lt;=MAX('Per Line'!$AD$2:$AD$2501),MATCH(ROWS($L$2:$L195),'Per Line'!$AD$2:$AD$2501,0),"")</f>
        <v/>
      </c>
      <c r="M195">
        <f>IF($L195="","",INDEX('Per Line'!$E$2:$E$2501,$L195))</f>
        <v/>
      </c>
    </row>
    <row r="196">
      <c r="A196">
        <f>IF($L196="","",INDEX('Per Line'!$C$2:$C$2501,$L196))</f>
        <v/>
      </c>
      <c r="B196">
        <f>IF($L196="","",INDEX('Per Line'!$D$2:$D$2501,$L196))</f>
        <v/>
      </c>
      <c r="C196">
        <f>IF($L196="","",INDEX('Per Line'!$A$2:$A$2501,$L196))</f>
        <v/>
      </c>
      <c r="F196">
        <f>IF($L196="","",INDEX('Per Line'!$U$2:$U$2501,$L196))</f>
        <v/>
      </c>
      <c r="G196" s="5">
        <f>IF($L196="","",SUMIFS('Per Line'!$W$2:$W$2501,'Per Line'!$D$2:$D$2501,$B196))</f>
        <v/>
      </c>
      <c r="H196" s="5">
        <f>IF($L196="","",SUMIFS('Per Line'!$X$2:$X$2501,'Per Line'!$D$2:$D$2501,$B196))</f>
        <v/>
      </c>
      <c r="I196" s="5">
        <f>IF($L196="","",SUMIFS('Per Line'!$Y$2:$Y$2501,'Per Line'!$D$2:$D$2501,$B196))</f>
        <v/>
      </c>
      <c r="J196" s="5">
        <f>IF($L196="","",G196-H196)</f>
        <v/>
      </c>
      <c r="K196" s="5">
        <f>IF($L196="","",J196-I196)</f>
        <v/>
      </c>
      <c r="L196">
        <f>IF(ROWS($L$2:$L196)&lt;=MAX('Per Line'!$AD$2:$AD$2501),MATCH(ROWS($L$2:$L196),'Per Line'!$AD$2:$AD$2501,0),"")</f>
        <v/>
      </c>
      <c r="M196">
        <f>IF($L196="","",INDEX('Per Line'!$E$2:$E$2501,$L196))</f>
        <v/>
      </c>
    </row>
    <row r="197">
      <c r="A197">
        <f>IF($L197="","",INDEX('Per Line'!$C$2:$C$2501,$L197))</f>
        <v/>
      </c>
      <c r="B197">
        <f>IF($L197="","",INDEX('Per Line'!$D$2:$D$2501,$L197))</f>
        <v/>
      </c>
      <c r="C197">
        <f>IF($L197="","",INDEX('Per Line'!$A$2:$A$2501,$L197))</f>
        <v/>
      </c>
      <c r="F197">
        <f>IF($L197="","",INDEX('Per Line'!$U$2:$U$2501,$L197))</f>
        <v/>
      </c>
      <c r="G197" s="5">
        <f>IF($L197="","",SUMIFS('Per Line'!$W$2:$W$2501,'Per Line'!$D$2:$D$2501,$B197))</f>
        <v/>
      </c>
      <c r="H197" s="5">
        <f>IF($L197="","",SUMIFS('Per Line'!$X$2:$X$2501,'Per Line'!$D$2:$D$2501,$B197))</f>
        <v/>
      </c>
      <c r="I197" s="5">
        <f>IF($L197="","",SUMIFS('Per Line'!$Y$2:$Y$2501,'Per Line'!$D$2:$D$2501,$B197))</f>
        <v/>
      </c>
      <c r="J197" s="5">
        <f>IF($L197="","",G197-H197)</f>
        <v/>
      </c>
      <c r="K197" s="5">
        <f>IF($L197="","",J197-I197)</f>
        <v/>
      </c>
      <c r="L197">
        <f>IF(ROWS($L$2:$L197)&lt;=MAX('Per Line'!$AD$2:$AD$2501),MATCH(ROWS($L$2:$L197),'Per Line'!$AD$2:$AD$2501,0),"")</f>
        <v/>
      </c>
      <c r="M197">
        <f>IF($L197="","",INDEX('Per Line'!$E$2:$E$2501,$L197))</f>
        <v/>
      </c>
    </row>
    <row r="198">
      <c r="A198">
        <f>IF($L198="","",INDEX('Per Line'!$C$2:$C$2501,$L198))</f>
        <v/>
      </c>
      <c r="B198">
        <f>IF($L198="","",INDEX('Per Line'!$D$2:$D$2501,$L198))</f>
        <v/>
      </c>
      <c r="C198">
        <f>IF($L198="","",INDEX('Per Line'!$A$2:$A$2501,$L198))</f>
        <v/>
      </c>
      <c r="F198">
        <f>IF($L198="","",INDEX('Per Line'!$U$2:$U$2501,$L198))</f>
        <v/>
      </c>
      <c r="G198" s="5">
        <f>IF($L198="","",SUMIFS('Per Line'!$W$2:$W$2501,'Per Line'!$D$2:$D$2501,$B198))</f>
        <v/>
      </c>
      <c r="H198" s="5">
        <f>IF($L198="","",SUMIFS('Per Line'!$X$2:$X$2501,'Per Line'!$D$2:$D$2501,$B198))</f>
        <v/>
      </c>
      <c r="I198" s="5">
        <f>IF($L198="","",SUMIFS('Per Line'!$Y$2:$Y$2501,'Per Line'!$D$2:$D$2501,$B198))</f>
        <v/>
      </c>
      <c r="J198" s="5">
        <f>IF($L198="","",G198-H198)</f>
        <v/>
      </c>
      <c r="K198" s="5">
        <f>IF($L198="","",J198-I198)</f>
        <v/>
      </c>
      <c r="L198">
        <f>IF(ROWS($L$2:$L198)&lt;=MAX('Per Line'!$AD$2:$AD$2501),MATCH(ROWS($L$2:$L198),'Per Line'!$AD$2:$AD$2501,0),"")</f>
        <v/>
      </c>
      <c r="M198">
        <f>IF($L198="","",INDEX('Per Line'!$E$2:$E$2501,$L198))</f>
        <v/>
      </c>
    </row>
    <row r="199">
      <c r="A199">
        <f>IF($L199="","",INDEX('Per Line'!$C$2:$C$2501,$L199))</f>
        <v/>
      </c>
      <c r="B199">
        <f>IF($L199="","",INDEX('Per Line'!$D$2:$D$2501,$L199))</f>
        <v/>
      </c>
      <c r="C199">
        <f>IF($L199="","",INDEX('Per Line'!$A$2:$A$2501,$L199))</f>
        <v/>
      </c>
      <c r="F199">
        <f>IF($L199="","",INDEX('Per Line'!$U$2:$U$2501,$L199))</f>
        <v/>
      </c>
      <c r="G199" s="5">
        <f>IF($L199="","",SUMIFS('Per Line'!$W$2:$W$2501,'Per Line'!$D$2:$D$2501,$B199))</f>
        <v/>
      </c>
      <c r="H199" s="5">
        <f>IF($L199="","",SUMIFS('Per Line'!$X$2:$X$2501,'Per Line'!$D$2:$D$2501,$B199))</f>
        <v/>
      </c>
      <c r="I199" s="5">
        <f>IF($L199="","",SUMIFS('Per Line'!$Y$2:$Y$2501,'Per Line'!$D$2:$D$2501,$B199))</f>
        <v/>
      </c>
      <c r="J199" s="5">
        <f>IF($L199="","",G199-H199)</f>
        <v/>
      </c>
      <c r="K199" s="5">
        <f>IF($L199="","",J199-I199)</f>
        <v/>
      </c>
      <c r="L199">
        <f>IF(ROWS($L$2:$L199)&lt;=MAX('Per Line'!$AD$2:$AD$2501),MATCH(ROWS($L$2:$L199),'Per Line'!$AD$2:$AD$2501,0),"")</f>
        <v/>
      </c>
      <c r="M199">
        <f>IF($L199="","",INDEX('Per Line'!$E$2:$E$2501,$L199))</f>
        <v/>
      </c>
    </row>
    <row r="200">
      <c r="A200">
        <f>IF($L200="","",INDEX('Per Line'!$C$2:$C$2501,$L200))</f>
        <v/>
      </c>
      <c r="B200">
        <f>IF($L200="","",INDEX('Per Line'!$D$2:$D$2501,$L200))</f>
        <v/>
      </c>
      <c r="C200">
        <f>IF($L200="","",INDEX('Per Line'!$A$2:$A$2501,$L200))</f>
        <v/>
      </c>
      <c r="F200">
        <f>IF($L200="","",INDEX('Per Line'!$U$2:$U$2501,$L200))</f>
        <v/>
      </c>
      <c r="G200" s="5">
        <f>IF($L200="","",SUMIFS('Per Line'!$W$2:$W$2501,'Per Line'!$D$2:$D$2501,$B200))</f>
        <v/>
      </c>
      <c r="H200" s="5">
        <f>IF($L200="","",SUMIFS('Per Line'!$X$2:$X$2501,'Per Line'!$D$2:$D$2501,$B200))</f>
        <v/>
      </c>
      <c r="I200" s="5">
        <f>IF($L200="","",SUMIFS('Per Line'!$Y$2:$Y$2501,'Per Line'!$D$2:$D$2501,$B200))</f>
        <v/>
      </c>
      <c r="J200" s="5">
        <f>IF($L200="","",G200-H200)</f>
        <v/>
      </c>
      <c r="K200" s="5">
        <f>IF($L200="","",J200-I200)</f>
        <v/>
      </c>
      <c r="L200">
        <f>IF(ROWS($L$2:$L200)&lt;=MAX('Per Line'!$AD$2:$AD$2501),MATCH(ROWS($L$2:$L200),'Per Line'!$AD$2:$AD$2501,0),"")</f>
        <v/>
      </c>
      <c r="M200">
        <f>IF($L200="","",INDEX('Per Line'!$E$2:$E$2501,$L200))</f>
        <v/>
      </c>
    </row>
    <row r="201">
      <c r="A201">
        <f>IF($L201="","",INDEX('Per Line'!$C$2:$C$2501,$L201))</f>
        <v/>
      </c>
      <c r="B201">
        <f>IF($L201="","",INDEX('Per Line'!$D$2:$D$2501,$L201))</f>
        <v/>
      </c>
      <c r="C201">
        <f>IF($L201="","",INDEX('Per Line'!$A$2:$A$2501,$L201))</f>
        <v/>
      </c>
      <c r="F201">
        <f>IF($L201="","",INDEX('Per Line'!$U$2:$U$2501,$L201))</f>
        <v/>
      </c>
      <c r="G201" s="5">
        <f>IF($L201="","",SUMIFS('Per Line'!$W$2:$W$2501,'Per Line'!$D$2:$D$2501,$B201))</f>
        <v/>
      </c>
      <c r="H201" s="5">
        <f>IF($L201="","",SUMIFS('Per Line'!$X$2:$X$2501,'Per Line'!$D$2:$D$2501,$B201))</f>
        <v/>
      </c>
      <c r="I201" s="5">
        <f>IF($L201="","",SUMIFS('Per Line'!$Y$2:$Y$2501,'Per Line'!$D$2:$D$2501,$B201))</f>
        <v/>
      </c>
      <c r="J201" s="5">
        <f>IF($L201="","",G201-H201)</f>
        <v/>
      </c>
      <c r="K201" s="5">
        <f>IF($L201="","",J201-I201)</f>
        <v/>
      </c>
      <c r="L201">
        <f>IF(ROWS($L$2:$L201)&lt;=MAX('Per Line'!$AD$2:$AD$2501),MATCH(ROWS($L$2:$L201),'Per Line'!$AD$2:$AD$2501,0),"")</f>
        <v/>
      </c>
      <c r="M201">
        <f>IF($L201="","",INDEX('Per Line'!$E$2:$E$2501,$L201))</f>
        <v/>
      </c>
    </row>
    <row r="202">
      <c r="A202">
        <f>IF($L202="","",INDEX('Per Line'!$C$2:$C$2501,$L202))</f>
        <v/>
      </c>
      <c r="B202">
        <f>IF($L202="","",INDEX('Per Line'!$D$2:$D$2501,$L202))</f>
        <v/>
      </c>
      <c r="C202">
        <f>IF($L202="","",INDEX('Per Line'!$A$2:$A$2501,$L202))</f>
        <v/>
      </c>
      <c r="F202">
        <f>IF($L202="","",INDEX('Per Line'!$U$2:$U$2501,$L202))</f>
        <v/>
      </c>
      <c r="G202" s="5">
        <f>IF($L202="","",SUMIFS('Per Line'!$W$2:$W$2501,'Per Line'!$D$2:$D$2501,$B202))</f>
        <v/>
      </c>
      <c r="H202" s="5">
        <f>IF($L202="","",SUMIFS('Per Line'!$X$2:$X$2501,'Per Line'!$D$2:$D$2501,$B202))</f>
        <v/>
      </c>
      <c r="I202" s="5">
        <f>IF($L202="","",SUMIFS('Per Line'!$Y$2:$Y$2501,'Per Line'!$D$2:$D$2501,$B202))</f>
        <v/>
      </c>
      <c r="J202" s="5">
        <f>IF($L202="","",G202-H202)</f>
        <v/>
      </c>
      <c r="K202" s="5">
        <f>IF($L202="","",J202-I202)</f>
        <v/>
      </c>
      <c r="L202">
        <f>IF(ROWS($L$2:$L202)&lt;=MAX('Per Line'!$AD$2:$AD$2501),MATCH(ROWS($L$2:$L202),'Per Line'!$AD$2:$AD$2501,0),"")</f>
        <v/>
      </c>
      <c r="M202">
        <f>IF($L202="","",INDEX('Per Line'!$E$2:$E$2501,$L202))</f>
        <v/>
      </c>
    </row>
    <row r="203">
      <c r="A203">
        <f>IF($L203="","",INDEX('Per Line'!$C$2:$C$2501,$L203))</f>
        <v/>
      </c>
      <c r="B203">
        <f>IF($L203="","",INDEX('Per Line'!$D$2:$D$2501,$L203))</f>
        <v/>
      </c>
      <c r="C203">
        <f>IF($L203="","",INDEX('Per Line'!$A$2:$A$2501,$L203))</f>
        <v/>
      </c>
      <c r="F203">
        <f>IF($L203="","",INDEX('Per Line'!$U$2:$U$2501,$L203))</f>
        <v/>
      </c>
      <c r="G203" s="5">
        <f>IF($L203="","",SUMIFS('Per Line'!$W$2:$W$2501,'Per Line'!$D$2:$D$2501,$B203))</f>
        <v/>
      </c>
      <c r="H203" s="5">
        <f>IF($L203="","",SUMIFS('Per Line'!$X$2:$X$2501,'Per Line'!$D$2:$D$2501,$B203))</f>
        <v/>
      </c>
      <c r="I203" s="5">
        <f>IF($L203="","",SUMIFS('Per Line'!$Y$2:$Y$2501,'Per Line'!$D$2:$D$2501,$B203))</f>
        <v/>
      </c>
      <c r="J203" s="5">
        <f>IF($L203="","",G203-H203)</f>
        <v/>
      </c>
      <c r="K203" s="5">
        <f>IF($L203="","",J203-I203)</f>
        <v/>
      </c>
      <c r="L203">
        <f>IF(ROWS($L$2:$L203)&lt;=MAX('Per Line'!$AD$2:$AD$2501),MATCH(ROWS($L$2:$L203),'Per Line'!$AD$2:$AD$2501,0),"")</f>
        <v/>
      </c>
      <c r="M203">
        <f>IF($L203="","",INDEX('Per Line'!$E$2:$E$2501,$L203))</f>
        <v/>
      </c>
    </row>
    <row r="204">
      <c r="A204">
        <f>IF($L204="","",INDEX('Per Line'!$C$2:$C$2501,$L204))</f>
        <v/>
      </c>
      <c r="B204">
        <f>IF($L204="","",INDEX('Per Line'!$D$2:$D$2501,$L204))</f>
        <v/>
      </c>
      <c r="C204">
        <f>IF($L204="","",INDEX('Per Line'!$A$2:$A$2501,$L204))</f>
        <v/>
      </c>
      <c r="F204">
        <f>IF($L204="","",INDEX('Per Line'!$U$2:$U$2501,$L204))</f>
        <v/>
      </c>
      <c r="G204" s="5">
        <f>IF($L204="","",SUMIFS('Per Line'!$W$2:$W$2501,'Per Line'!$D$2:$D$2501,$B204))</f>
        <v/>
      </c>
      <c r="H204" s="5">
        <f>IF($L204="","",SUMIFS('Per Line'!$X$2:$X$2501,'Per Line'!$D$2:$D$2501,$B204))</f>
        <v/>
      </c>
      <c r="I204" s="5">
        <f>IF($L204="","",SUMIFS('Per Line'!$Y$2:$Y$2501,'Per Line'!$D$2:$D$2501,$B204))</f>
        <v/>
      </c>
      <c r="J204" s="5">
        <f>IF($L204="","",G204-H204)</f>
        <v/>
      </c>
      <c r="K204" s="5">
        <f>IF($L204="","",J204-I204)</f>
        <v/>
      </c>
      <c r="L204">
        <f>IF(ROWS($L$2:$L204)&lt;=MAX('Per Line'!$AD$2:$AD$2501),MATCH(ROWS($L$2:$L204),'Per Line'!$AD$2:$AD$2501,0),"")</f>
        <v/>
      </c>
      <c r="M204">
        <f>IF($L204="","",INDEX('Per Line'!$E$2:$E$2501,$L204))</f>
        <v/>
      </c>
    </row>
    <row r="205">
      <c r="A205">
        <f>IF($L205="","",INDEX('Per Line'!$C$2:$C$2501,$L205))</f>
        <v/>
      </c>
      <c r="B205">
        <f>IF($L205="","",INDEX('Per Line'!$D$2:$D$2501,$L205))</f>
        <v/>
      </c>
      <c r="C205">
        <f>IF($L205="","",INDEX('Per Line'!$A$2:$A$2501,$L205))</f>
        <v/>
      </c>
      <c r="F205">
        <f>IF($L205="","",INDEX('Per Line'!$U$2:$U$2501,$L205))</f>
        <v/>
      </c>
      <c r="G205" s="5">
        <f>IF($L205="","",SUMIFS('Per Line'!$W$2:$W$2501,'Per Line'!$D$2:$D$2501,$B205))</f>
        <v/>
      </c>
      <c r="H205" s="5">
        <f>IF($L205="","",SUMIFS('Per Line'!$X$2:$X$2501,'Per Line'!$D$2:$D$2501,$B205))</f>
        <v/>
      </c>
      <c r="I205" s="5">
        <f>IF($L205="","",SUMIFS('Per Line'!$Y$2:$Y$2501,'Per Line'!$D$2:$D$2501,$B205))</f>
        <v/>
      </c>
      <c r="J205" s="5">
        <f>IF($L205="","",G205-H205)</f>
        <v/>
      </c>
      <c r="K205" s="5">
        <f>IF($L205="","",J205-I205)</f>
        <v/>
      </c>
      <c r="L205">
        <f>IF(ROWS($L$2:$L205)&lt;=MAX('Per Line'!$AD$2:$AD$2501),MATCH(ROWS($L$2:$L205),'Per Line'!$AD$2:$AD$2501,0),"")</f>
        <v/>
      </c>
      <c r="M205">
        <f>IF($L205="","",INDEX('Per Line'!$E$2:$E$2501,$L205))</f>
        <v/>
      </c>
    </row>
    <row r="206">
      <c r="A206">
        <f>IF($L206="","",INDEX('Per Line'!$C$2:$C$2501,$L206))</f>
        <v/>
      </c>
      <c r="B206">
        <f>IF($L206="","",INDEX('Per Line'!$D$2:$D$2501,$L206))</f>
        <v/>
      </c>
      <c r="C206">
        <f>IF($L206="","",INDEX('Per Line'!$A$2:$A$2501,$L206))</f>
        <v/>
      </c>
      <c r="F206">
        <f>IF($L206="","",INDEX('Per Line'!$U$2:$U$2501,$L206))</f>
        <v/>
      </c>
      <c r="G206" s="5">
        <f>IF($L206="","",SUMIFS('Per Line'!$W$2:$W$2501,'Per Line'!$D$2:$D$2501,$B206))</f>
        <v/>
      </c>
      <c r="H206" s="5">
        <f>IF($L206="","",SUMIFS('Per Line'!$X$2:$X$2501,'Per Line'!$D$2:$D$2501,$B206))</f>
        <v/>
      </c>
      <c r="I206" s="5">
        <f>IF($L206="","",SUMIFS('Per Line'!$Y$2:$Y$2501,'Per Line'!$D$2:$D$2501,$B206))</f>
        <v/>
      </c>
      <c r="J206" s="5">
        <f>IF($L206="","",G206-H206)</f>
        <v/>
      </c>
      <c r="K206" s="5">
        <f>IF($L206="","",J206-I206)</f>
        <v/>
      </c>
      <c r="L206">
        <f>IF(ROWS($L$2:$L206)&lt;=MAX('Per Line'!$AD$2:$AD$2501),MATCH(ROWS($L$2:$L206),'Per Line'!$AD$2:$AD$2501,0),"")</f>
        <v/>
      </c>
      <c r="M206">
        <f>IF($L206="","",INDEX('Per Line'!$E$2:$E$2501,$L206))</f>
        <v/>
      </c>
    </row>
    <row r="207">
      <c r="A207">
        <f>IF($L207="","",INDEX('Per Line'!$C$2:$C$2501,$L207))</f>
        <v/>
      </c>
      <c r="B207">
        <f>IF($L207="","",INDEX('Per Line'!$D$2:$D$2501,$L207))</f>
        <v/>
      </c>
      <c r="C207">
        <f>IF($L207="","",INDEX('Per Line'!$A$2:$A$2501,$L207))</f>
        <v/>
      </c>
      <c r="F207">
        <f>IF($L207="","",INDEX('Per Line'!$U$2:$U$2501,$L207))</f>
        <v/>
      </c>
      <c r="G207" s="5">
        <f>IF($L207="","",SUMIFS('Per Line'!$W$2:$W$2501,'Per Line'!$D$2:$D$2501,$B207))</f>
        <v/>
      </c>
      <c r="H207" s="5">
        <f>IF($L207="","",SUMIFS('Per Line'!$X$2:$X$2501,'Per Line'!$D$2:$D$2501,$B207))</f>
        <v/>
      </c>
      <c r="I207" s="5">
        <f>IF($L207="","",SUMIFS('Per Line'!$Y$2:$Y$2501,'Per Line'!$D$2:$D$2501,$B207))</f>
        <v/>
      </c>
      <c r="J207" s="5">
        <f>IF($L207="","",G207-H207)</f>
        <v/>
      </c>
      <c r="K207" s="5">
        <f>IF($L207="","",J207-I207)</f>
        <v/>
      </c>
      <c r="L207">
        <f>IF(ROWS($L$2:$L207)&lt;=MAX('Per Line'!$AD$2:$AD$2501),MATCH(ROWS($L$2:$L207),'Per Line'!$AD$2:$AD$2501,0),"")</f>
        <v/>
      </c>
      <c r="M207">
        <f>IF($L207="","",INDEX('Per Line'!$E$2:$E$2501,$L207))</f>
        <v/>
      </c>
    </row>
    <row r="208">
      <c r="A208">
        <f>IF($L208="","",INDEX('Per Line'!$C$2:$C$2501,$L208))</f>
        <v/>
      </c>
      <c r="B208">
        <f>IF($L208="","",INDEX('Per Line'!$D$2:$D$2501,$L208))</f>
        <v/>
      </c>
      <c r="C208">
        <f>IF($L208="","",INDEX('Per Line'!$A$2:$A$2501,$L208))</f>
        <v/>
      </c>
      <c r="F208">
        <f>IF($L208="","",INDEX('Per Line'!$U$2:$U$2501,$L208))</f>
        <v/>
      </c>
      <c r="G208" s="5">
        <f>IF($L208="","",SUMIFS('Per Line'!$W$2:$W$2501,'Per Line'!$D$2:$D$2501,$B208))</f>
        <v/>
      </c>
      <c r="H208" s="5">
        <f>IF($L208="","",SUMIFS('Per Line'!$X$2:$X$2501,'Per Line'!$D$2:$D$2501,$B208))</f>
        <v/>
      </c>
      <c r="I208" s="5">
        <f>IF($L208="","",SUMIFS('Per Line'!$Y$2:$Y$2501,'Per Line'!$D$2:$D$2501,$B208))</f>
        <v/>
      </c>
      <c r="J208" s="5">
        <f>IF($L208="","",G208-H208)</f>
        <v/>
      </c>
      <c r="K208" s="5">
        <f>IF($L208="","",J208-I208)</f>
        <v/>
      </c>
      <c r="L208">
        <f>IF(ROWS($L$2:$L208)&lt;=MAX('Per Line'!$AD$2:$AD$2501),MATCH(ROWS($L$2:$L208),'Per Line'!$AD$2:$AD$2501,0),"")</f>
        <v/>
      </c>
      <c r="M208">
        <f>IF($L208="","",INDEX('Per Line'!$E$2:$E$2501,$L208))</f>
        <v/>
      </c>
    </row>
    <row r="209">
      <c r="A209">
        <f>IF($L209="","",INDEX('Per Line'!$C$2:$C$2501,$L209))</f>
        <v/>
      </c>
      <c r="B209">
        <f>IF($L209="","",INDEX('Per Line'!$D$2:$D$2501,$L209))</f>
        <v/>
      </c>
      <c r="C209">
        <f>IF($L209="","",INDEX('Per Line'!$A$2:$A$2501,$L209))</f>
        <v/>
      </c>
      <c r="F209">
        <f>IF($L209="","",INDEX('Per Line'!$U$2:$U$2501,$L209))</f>
        <v/>
      </c>
      <c r="G209" s="5">
        <f>IF($L209="","",SUMIFS('Per Line'!$W$2:$W$2501,'Per Line'!$D$2:$D$2501,$B209))</f>
        <v/>
      </c>
      <c r="H209" s="5">
        <f>IF($L209="","",SUMIFS('Per Line'!$X$2:$X$2501,'Per Line'!$D$2:$D$2501,$B209))</f>
        <v/>
      </c>
      <c r="I209" s="5">
        <f>IF($L209="","",SUMIFS('Per Line'!$Y$2:$Y$2501,'Per Line'!$D$2:$D$2501,$B209))</f>
        <v/>
      </c>
      <c r="J209" s="5">
        <f>IF($L209="","",G209-H209)</f>
        <v/>
      </c>
      <c r="K209" s="5">
        <f>IF($L209="","",J209-I209)</f>
        <v/>
      </c>
      <c r="L209">
        <f>IF(ROWS($L$2:$L209)&lt;=MAX('Per Line'!$AD$2:$AD$2501),MATCH(ROWS($L$2:$L209),'Per Line'!$AD$2:$AD$2501,0),"")</f>
        <v/>
      </c>
      <c r="M209">
        <f>IF($L209="","",INDEX('Per Line'!$E$2:$E$2501,$L209))</f>
        <v/>
      </c>
    </row>
    <row r="210">
      <c r="A210">
        <f>IF($L210="","",INDEX('Per Line'!$C$2:$C$2501,$L210))</f>
        <v/>
      </c>
      <c r="B210">
        <f>IF($L210="","",INDEX('Per Line'!$D$2:$D$2501,$L210))</f>
        <v/>
      </c>
      <c r="C210">
        <f>IF($L210="","",INDEX('Per Line'!$A$2:$A$2501,$L210))</f>
        <v/>
      </c>
      <c r="F210">
        <f>IF($L210="","",INDEX('Per Line'!$U$2:$U$2501,$L210))</f>
        <v/>
      </c>
      <c r="G210" s="5">
        <f>IF($L210="","",SUMIFS('Per Line'!$W$2:$W$2501,'Per Line'!$D$2:$D$2501,$B210))</f>
        <v/>
      </c>
      <c r="H210" s="5">
        <f>IF($L210="","",SUMIFS('Per Line'!$X$2:$X$2501,'Per Line'!$D$2:$D$2501,$B210))</f>
        <v/>
      </c>
      <c r="I210" s="5">
        <f>IF($L210="","",SUMIFS('Per Line'!$Y$2:$Y$2501,'Per Line'!$D$2:$D$2501,$B210))</f>
        <v/>
      </c>
      <c r="J210" s="5">
        <f>IF($L210="","",G210-H210)</f>
        <v/>
      </c>
      <c r="K210" s="5">
        <f>IF($L210="","",J210-I210)</f>
        <v/>
      </c>
      <c r="L210">
        <f>IF(ROWS($L$2:$L210)&lt;=MAX('Per Line'!$AD$2:$AD$2501),MATCH(ROWS($L$2:$L210),'Per Line'!$AD$2:$AD$2501,0),"")</f>
        <v/>
      </c>
      <c r="M210">
        <f>IF($L210="","",INDEX('Per Line'!$E$2:$E$2501,$L210))</f>
        <v/>
      </c>
    </row>
    <row r="211">
      <c r="A211">
        <f>IF($L211="","",INDEX('Per Line'!$C$2:$C$2501,$L211))</f>
        <v/>
      </c>
      <c r="B211">
        <f>IF($L211="","",INDEX('Per Line'!$D$2:$D$2501,$L211))</f>
        <v/>
      </c>
      <c r="C211">
        <f>IF($L211="","",INDEX('Per Line'!$A$2:$A$2501,$L211))</f>
        <v/>
      </c>
      <c r="F211">
        <f>IF($L211="","",INDEX('Per Line'!$U$2:$U$2501,$L211))</f>
        <v/>
      </c>
      <c r="G211" s="5">
        <f>IF($L211="","",SUMIFS('Per Line'!$W$2:$W$2501,'Per Line'!$D$2:$D$2501,$B211))</f>
        <v/>
      </c>
      <c r="H211" s="5">
        <f>IF($L211="","",SUMIFS('Per Line'!$X$2:$X$2501,'Per Line'!$D$2:$D$2501,$B211))</f>
        <v/>
      </c>
      <c r="I211" s="5">
        <f>IF($L211="","",SUMIFS('Per Line'!$Y$2:$Y$2501,'Per Line'!$D$2:$D$2501,$B211))</f>
        <v/>
      </c>
      <c r="J211" s="5">
        <f>IF($L211="","",G211-H211)</f>
        <v/>
      </c>
      <c r="K211" s="5">
        <f>IF($L211="","",J211-I211)</f>
        <v/>
      </c>
      <c r="L211">
        <f>IF(ROWS($L$2:$L211)&lt;=MAX('Per Line'!$AD$2:$AD$2501),MATCH(ROWS($L$2:$L211),'Per Line'!$AD$2:$AD$2501,0),"")</f>
        <v/>
      </c>
      <c r="M211">
        <f>IF($L211="","",INDEX('Per Line'!$E$2:$E$2501,$L211))</f>
        <v/>
      </c>
    </row>
    <row r="212">
      <c r="A212">
        <f>IF($L212="","",INDEX('Per Line'!$C$2:$C$2501,$L212))</f>
        <v/>
      </c>
      <c r="B212">
        <f>IF($L212="","",INDEX('Per Line'!$D$2:$D$2501,$L212))</f>
        <v/>
      </c>
      <c r="C212">
        <f>IF($L212="","",INDEX('Per Line'!$A$2:$A$2501,$L212))</f>
        <v/>
      </c>
      <c r="F212">
        <f>IF($L212="","",INDEX('Per Line'!$U$2:$U$2501,$L212))</f>
        <v/>
      </c>
      <c r="G212" s="5">
        <f>IF($L212="","",SUMIFS('Per Line'!$W$2:$W$2501,'Per Line'!$D$2:$D$2501,$B212))</f>
        <v/>
      </c>
      <c r="H212" s="5">
        <f>IF($L212="","",SUMIFS('Per Line'!$X$2:$X$2501,'Per Line'!$D$2:$D$2501,$B212))</f>
        <v/>
      </c>
      <c r="I212" s="5">
        <f>IF($L212="","",SUMIFS('Per Line'!$Y$2:$Y$2501,'Per Line'!$D$2:$D$2501,$B212))</f>
        <v/>
      </c>
      <c r="J212" s="5">
        <f>IF($L212="","",G212-H212)</f>
        <v/>
      </c>
      <c r="K212" s="5">
        <f>IF($L212="","",J212-I212)</f>
        <v/>
      </c>
      <c r="L212">
        <f>IF(ROWS($L$2:$L212)&lt;=MAX('Per Line'!$AD$2:$AD$2501),MATCH(ROWS($L$2:$L212),'Per Line'!$AD$2:$AD$2501,0),"")</f>
        <v/>
      </c>
      <c r="M212">
        <f>IF($L212="","",INDEX('Per Line'!$E$2:$E$2501,$L212))</f>
        <v/>
      </c>
    </row>
    <row r="213">
      <c r="A213">
        <f>IF($L213="","",INDEX('Per Line'!$C$2:$C$2501,$L213))</f>
        <v/>
      </c>
      <c r="B213">
        <f>IF($L213="","",INDEX('Per Line'!$D$2:$D$2501,$L213))</f>
        <v/>
      </c>
      <c r="C213">
        <f>IF($L213="","",INDEX('Per Line'!$A$2:$A$2501,$L213))</f>
        <v/>
      </c>
      <c r="F213">
        <f>IF($L213="","",INDEX('Per Line'!$U$2:$U$2501,$L213))</f>
        <v/>
      </c>
      <c r="G213" s="5">
        <f>IF($L213="","",SUMIFS('Per Line'!$W$2:$W$2501,'Per Line'!$D$2:$D$2501,$B213))</f>
        <v/>
      </c>
      <c r="H213" s="5">
        <f>IF($L213="","",SUMIFS('Per Line'!$X$2:$X$2501,'Per Line'!$D$2:$D$2501,$B213))</f>
        <v/>
      </c>
      <c r="I213" s="5">
        <f>IF($L213="","",SUMIFS('Per Line'!$Y$2:$Y$2501,'Per Line'!$D$2:$D$2501,$B213))</f>
        <v/>
      </c>
      <c r="J213" s="5">
        <f>IF($L213="","",G213-H213)</f>
        <v/>
      </c>
      <c r="K213" s="5">
        <f>IF($L213="","",J213-I213)</f>
        <v/>
      </c>
      <c r="L213">
        <f>IF(ROWS($L$2:$L213)&lt;=MAX('Per Line'!$AD$2:$AD$2501),MATCH(ROWS($L$2:$L213),'Per Line'!$AD$2:$AD$2501,0),"")</f>
        <v/>
      </c>
      <c r="M213">
        <f>IF($L213="","",INDEX('Per Line'!$E$2:$E$2501,$L213))</f>
        <v/>
      </c>
    </row>
    <row r="214">
      <c r="A214">
        <f>IF($L214="","",INDEX('Per Line'!$C$2:$C$2501,$L214))</f>
        <v/>
      </c>
      <c r="B214">
        <f>IF($L214="","",INDEX('Per Line'!$D$2:$D$2501,$L214))</f>
        <v/>
      </c>
      <c r="C214">
        <f>IF($L214="","",INDEX('Per Line'!$A$2:$A$2501,$L214))</f>
        <v/>
      </c>
      <c r="F214">
        <f>IF($L214="","",INDEX('Per Line'!$U$2:$U$2501,$L214))</f>
        <v/>
      </c>
      <c r="G214" s="5">
        <f>IF($L214="","",SUMIFS('Per Line'!$W$2:$W$2501,'Per Line'!$D$2:$D$2501,$B214))</f>
        <v/>
      </c>
      <c r="H214" s="5">
        <f>IF($L214="","",SUMIFS('Per Line'!$X$2:$X$2501,'Per Line'!$D$2:$D$2501,$B214))</f>
        <v/>
      </c>
      <c r="I214" s="5">
        <f>IF($L214="","",SUMIFS('Per Line'!$Y$2:$Y$2501,'Per Line'!$D$2:$D$2501,$B214))</f>
        <v/>
      </c>
      <c r="J214" s="5">
        <f>IF($L214="","",G214-H214)</f>
        <v/>
      </c>
      <c r="K214" s="5">
        <f>IF($L214="","",J214-I214)</f>
        <v/>
      </c>
      <c r="L214">
        <f>IF(ROWS($L$2:$L214)&lt;=MAX('Per Line'!$AD$2:$AD$2501),MATCH(ROWS($L$2:$L214),'Per Line'!$AD$2:$AD$2501,0),"")</f>
        <v/>
      </c>
      <c r="M214">
        <f>IF($L214="","",INDEX('Per Line'!$E$2:$E$2501,$L214))</f>
        <v/>
      </c>
    </row>
    <row r="215">
      <c r="A215">
        <f>IF($L215="","",INDEX('Per Line'!$C$2:$C$2501,$L215))</f>
        <v/>
      </c>
      <c r="B215">
        <f>IF($L215="","",INDEX('Per Line'!$D$2:$D$2501,$L215))</f>
        <v/>
      </c>
      <c r="C215">
        <f>IF($L215="","",INDEX('Per Line'!$A$2:$A$2501,$L215))</f>
        <v/>
      </c>
      <c r="F215">
        <f>IF($L215="","",INDEX('Per Line'!$U$2:$U$2501,$L215))</f>
        <v/>
      </c>
      <c r="G215" s="5">
        <f>IF($L215="","",SUMIFS('Per Line'!$W$2:$W$2501,'Per Line'!$D$2:$D$2501,$B215))</f>
        <v/>
      </c>
      <c r="H215" s="5">
        <f>IF($L215="","",SUMIFS('Per Line'!$X$2:$X$2501,'Per Line'!$D$2:$D$2501,$B215))</f>
        <v/>
      </c>
      <c r="I215" s="5">
        <f>IF($L215="","",SUMIFS('Per Line'!$Y$2:$Y$2501,'Per Line'!$D$2:$D$2501,$B215))</f>
        <v/>
      </c>
      <c r="J215" s="5">
        <f>IF($L215="","",G215-H215)</f>
        <v/>
      </c>
      <c r="K215" s="5">
        <f>IF($L215="","",J215-I215)</f>
        <v/>
      </c>
      <c r="L215">
        <f>IF(ROWS($L$2:$L215)&lt;=MAX('Per Line'!$AD$2:$AD$2501),MATCH(ROWS($L$2:$L215),'Per Line'!$AD$2:$AD$2501,0),"")</f>
        <v/>
      </c>
      <c r="M215">
        <f>IF($L215="","",INDEX('Per Line'!$E$2:$E$2501,$L215))</f>
        <v/>
      </c>
    </row>
    <row r="216">
      <c r="A216">
        <f>IF($L216="","",INDEX('Per Line'!$C$2:$C$2501,$L216))</f>
        <v/>
      </c>
      <c r="B216">
        <f>IF($L216="","",INDEX('Per Line'!$D$2:$D$2501,$L216))</f>
        <v/>
      </c>
      <c r="C216">
        <f>IF($L216="","",INDEX('Per Line'!$A$2:$A$2501,$L216))</f>
        <v/>
      </c>
      <c r="F216">
        <f>IF($L216="","",INDEX('Per Line'!$U$2:$U$2501,$L216))</f>
        <v/>
      </c>
      <c r="G216" s="5">
        <f>IF($L216="","",SUMIFS('Per Line'!$W$2:$W$2501,'Per Line'!$D$2:$D$2501,$B216))</f>
        <v/>
      </c>
      <c r="H216" s="5">
        <f>IF($L216="","",SUMIFS('Per Line'!$X$2:$X$2501,'Per Line'!$D$2:$D$2501,$B216))</f>
        <v/>
      </c>
      <c r="I216" s="5">
        <f>IF($L216="","",SUMIFS('Per Line'!$Y$2:$Y$2501,'Per Line'!$D$2:$D$2501,$B216))</f>
        <v/>
      </c>
      <c r="J216" s="5">
        <f>IF($L216="","",G216-H216)</f>
        <v/>
      </c>
      <c r="K216" s="5">
        <f>IF($L216="","",J216-I216)</f>
        <v/>
      </c>
      <c r="L216">
        <f>IF(ROWS($L$2:$L216)&lt;=MAX('Per Line'!$AD$2:$AD$2501),MATCH(ROWS($L$2:$L216),'Per Line'!$AD$2:$AD$2501,0),"")</f>
        <v/>
      </c>
      <c r="M216">
        <f>IF($L216="","",INDEX('Per Line'!$E$2:$E$2501,$L216))</f>
        <v/>
      </c>
    </row>
    <row r="217">
      <c r="A217">
        <f>IF($L217="","",INDEX('Per Line'!$C$2:$C$2501,$L217))</f>
        <v/>
      </c>
      <c r="B217">
        <f>IF($L217="","",INDEX('Per Line'!$D$2:$D$2501,$L217))</f>
        <v/>
      </c>
      <c r="C217">
        <f>IF($L217="","",INDEX('Per Line'!$A$2:$A$2501,$L217))</f>
        <v/>
      </c>
      <c r="F217">
        <f>IF($L217="","",INDEX('Per Line'!$U$2:$U$2501,$L217))</f>
        <v/>
      </c>
      <c r="G217" s="5">
        <f>IF($L217="","",SUMIFS('Per Line'!$W$2:$W$2501,'Per Line'!$D$2:$D$2501,$B217))</f>
        <v/>
      </c>
      <c r="H217" s="5">
        <f>IF($L217="","",SUMIFS('Per Line'!$X$2:$X$2501,'Per Line'!$D$2:$D$2501,$B217))</f>
        <v/>
      </c>
      <c r="I217" s="5">
        <f>IF($L217="","",SUMIFS('Per Line'!$Y$2:$Y$2501,'Per Line'!$D$2:$D$2501,$B217))</f>
        <v/>
      </c>
      <c r="J217" s="5">
        <f>IF($L217="","",G217-H217)</f>
        <v/>
      </c>
      <c r="K217" s="5">
        <f>IF($L217="","",J217-I217)</f>
        <v/>
      </c>
      <c r="L217">
        <f>IF(ROWS($L$2:$L217)&lt;=MAX('Per Line'!$AD$2:$AD$2501),MATCH(ROWS($L$2:$L217),'Per Line'!$AD$2:$AD$2501,0),"")</f>
        <v/>
      </c>
      <c r="M217">
        <f>IF($L217="","",INDEX('Per Line'!$E$2:$E$2501,$L217))</f>
        <v/>
      </c>
    </row>
    <row r="218">
      <c r="A218">
        <f>IF($L218="","",INDEX('Per Line'!$C$2:$C$2501,$L218))</f>
        <v/>
      </c>
      <c r="B218">
        <f>IF($L218="","",INDEX('Per Line'!$D$2:$D$2501,$L218))</f>
        <v/>
      </c>
      <c r="C218">
        <f>IF($L218="","",INDEX('Per Line'!$A$2:$A$2501,$L218))</f>
        <v/>
      </c>
      <c r="F218">
        <f>IF($L218="","",INDEX('Per Line'!$U$2:$U$2501,$L218))</f>
        <v/>
      </c>
      <c r="G218" s="5">
        <f>IF($L218="","",SUMIFS('Per Line'!$W$2:$W$2501,'Per Line'!$D$2:$D$2501,$B218))</f>
        <v/>
      </c>
      <c r="H218" s="5">
        <f>IF($L218="","",SUMIFS('Per Line'!$X$2:$X$2501,'Per Line'!$D$2:$D$2501,$B218))</f>
        <v/>
      </c>
      <c r="I218" s="5">
        <f>IF($L218="","",SUMIFS('Per Line'!$Y$2:$Y$2501,'Per Line'!$D$2:$D$2501,$B218))</f>
        <v/>
      </c>
      <c r="J218" s="5">
        <f>IF($L218="","",G218-H218)</f>
        <v/>
      </c>
      <c r="K218" s="5">
        <f>IF($L218="","",J218-I218)</f>
        <v/>
      </c>
      <c r="L218">
        <f>IF(ROWS($L$2:$L218)&lt;=MAX('Per Line'!$AD$2:$AD$2501),MATCH(ROWS($L$2:$L218),'Per Line'!$AD$2:$AD$2501,0),"")</f>
        <v/>
      </c>
      <c r="M218">
        <f>IF($L218="","",INDEX('Per Line'!$E$2:$E$2501,$L218))</f>
        <v/>
      </c>
    </row>
    <row r="219">
      <c r="A219">
        <f>IF($L219="","",INDEX('Per Line'!$C$2:$C$2501,$L219))</f>
        <v/>
      </c>
      <c r="B219">
        <f>IF($L219="","",INDEX('Per Line'!$D$2:$D$2501,$L219))</f>
        <v/>
      </c>
      <c r="C219">
        <f>IF($L219="","",INDEX('Per Line'!$A$2:$A$2501,$L219))</f>
        <v/>
      </c>
      <c r="F219">
        <f>IF($L219="","",INDEX('Per Line'!$U$2:$U$2501,$L219))</f>
        <v/>
      </c>
      <c r="G219" s="5">
        <f>IF($L219="","",SUMIFS('Per Line'!$W$2:$W$2501,'Per Line'!$D$2:$D$2501,$B219))</f>
        <v/>
      </c>
      <c r="H219" s="5">
        <f>IF($L219="","",SUMIFS('Per Line'!$X$2:$X$2501,'Per Line'!$D$2:$D$2501,$B219))</f>
        <v/>
      </c>
      <c r="I219" s="5">
        <f>IF($L219="","",SUMIFS('Per Line'!$Y$2:$Y$2501,'Per Line'!$D$2:$D$2501,$B219))</f>
        <v/>
      </c>
      <c r="J219" s="5">
        <f>IF($L219="","",G219-H219)</f>
        <v/>
      </c>
      <c r="K219" s="5">
        <f>IF($L219="","",J219-I219)</f>
        <v/>
      </c>
      <c r="L219">
        <f>IF(ROWS($L$2:$L219)&lt;=MAX('Per Line'!$AD$2:$AD$2501),MATCH(ROWS($L$2:$L219),'Per Line'!$AD$2:$AD$2501,0),"")</f>
        <v/>
      </c>
      <c r="M219">
        <f>IF($L219="","",INDEX('Per Line'!$E$2:$E$2501,$L219))</f>
        <v/>
      </c>
    </row>
    <row r="220">
      <c r="A220">
        <f>IF($L220="","",INDEX('Per Line'!$C$2:$C$2501,$L220))</f>
        <v/>
      </c>
      <c r="B220">
        <f>IF($L220="","",INDEX('Per Line'!$D$2:$D$2501,$L220))</f>
        <v/>
      </c>
      <c r="C220">
        <f>IF($L220="","",INDEX('Per Line'!$A$2:$A$2501,$L220))</f>
        <v/>
      </c>
      <c r="F220">
        <f>IF($L220="","",INDEX('Per Line'!$U$2:$U$2501,$L220))</f>
        <v/>
      </c>
      <c r="G220" s="5">
        <f>IF($L220="","",SUMIFS('Per Line'!$W$2:$W$2501,'Per Line'!$D$2:$D$2501,$B220))</f>
        <v/>
      </c>
      <c r="H220" s="5">
        <f>IF($L220="","",SUMIFS('Per Line'!$X$2:$X$2501,'Per Line'!$D$2:$D$2501,$B220))</f>
        <v/>
      </c>
      <c r="I220" s="5">
        <f>IF($L220="","",SUMIFS('Per Line'!$Y$2:$Y$2501,'Per Line'!$D$2:$D$2501,$B220))</f>
        <v/>
      </c>
      <c r="J220" s="5">
        <f>IF($L220="","",G220-H220)</f>
        <v/>
      </c>
      <c r="K220" s="5">
        <f>IF($L220="","",J220-I220)</f>
        <v/>
      </c>
      <c r="L220">
        <f>IF(ROWS($L$2:$L220)&lt;=MAX('Per Line'!$AD$2:$AD$2501),MATCH(ROWS($L$2:$L220),'Per Line'!$AD$2:$AD$2501,0),"")</f>
        <v/>
      </c>
      <c r="M220">
        <f>IF($L220="","",INDEX('Per Line'!$E$2:$E$2501,$L220))</f>
        <v/>
      </c>
    </row>
    <row r="221">
      <c r="A221">
        <f>IF($L221="","",INDEX('Per Line'!$C$2:$C$2501,$L221))</f>
        <v/>
      </c>
      <c r="B221">
        <f>IF($L221="","",INDEX('Per Line'!$D$2:$D$2501,$L221))</f>
        <v/>
      </c>
      <c r="C221">
        <f>IF($L221="","",INDEX('Per Line'!$A$2:$A$2501,$L221))</f>
        <v/>
      </c>
      <c r="F221">
        <f>IF($L221="","",INDEX('Per Line'!$U$2:$U$2501,$L221))</f>
        <v/>
      </c>
      <c r="G221" s="5">
        <f>IF($L221="","",SUMIFS('Per Line'!$W$2:$W$2501,'Per Line'!$D$2:$D$2501,$B221))</f>
        <v/>
      </c>
      <c r="H221" s="5">
        <f>IF($L221="","",SUMIFS('Per Line'!$X$2:$X$2501,'Per Line'!$D$2:$D$2501,$B221))</f>
        <v/>
      </c>
      <c r="I221" s="5">
        <f>IF($L221="","",SUMIFS('Per Line'!$Y$2:$Y$2501,'Per Line'!$D$2:$D$2501,$B221))</f>
        <v/>
      </c>
      <c r="J221" s="5">
        <f>IF($L221="","",G221-H221)</f>
        <v/>
      </c>
      <c r="K221" s="5">
        <f>IF($L221="","",J221-I221)</f>
        <v/>
      </c>
      <c r="L221">
        <f>IF(ROWS($L$2:$L221)&lt;=MAX('Per Line'!$AD$2:$AD$2501),MATCH(ROWS($L$2:$L221),'Per Line'!$AD$2:$AD$2501,0),"")</f>
        <v/>
      </c>
      <c r="M221">
        <f>IF($L221="","",INDEX('Per Line'!$E$2:$E$2501,$L221))</f>
        <v/>
      </c>
    </row>
    <row r="222">
      <c r="A222">
        <f>IF($L222="","",INDEX('Per Line'!$C$2:$C$2501,$L222))</f>
        <v/>
      </c>
      <c r="B222">
        <f>IF($L222="","",INDEX('Per Line'!$D$2:$D$2501,$L222))</f>
        <v/>
      </c>
      <c r="C222">
        <f>IF($L222="","",INDEX('Per Line'!$A$2:$A$2501,$L222))</f>
        <v/>
      </c>
      <c r="F222">
        <f>IF($L222="","",INDEX('Per Line'!$U$2:$U$2501,$L222))</f>
        <v/>
      </c>
      <c r="G222" s="5">
        <f>IF($L222="","",SUMIFS('Per Line'!$W$2:$W$2501,'Per Line'!$D$2:$D$2501,$B222))</f>
        <v/>
      </c>
      <c r="H222" s="5">
        <f>IF($L222="","",SUMIFS('Per Line'!$X$2:$X$2501,'Per Line'!$D$2:$D$2501,$B222))</f>
        <v/>
      </c>
      <c r="I222" s="5">
        <f>IF($L222="","",SUMIFS('Per Line'!$Y$2:$Y$2501,'Per Line'!$D$2:$D$2501,$B222))</f>
        <v/>
      </c>
      <c r="J222" s="5">
        <f>IF($L222="","",G222-H222)</f>
        <v/>
      </c>
      <c r="K222" s="5">
        <f>IF($L222="","",J222-I222)</f>
        <v/>
      </c>
      <c r="L222">
        <f>IF(ROWS($L$2:$L222)&lt;=MAX('Per Line'!$AD$2:$AD$2501),MATCH(ROWS($L$2:$L222),'Per Line'!$AD$2:$AD$2501,0),"")</f>
        <v/>
      </c>
      <c r="M222">
        <f>IF($L222="","",INDEX('Per Line'!$E$2:$E$2501,$L222))</f>
        <v/>
      </c>
    </row>
    <row r="223">
      <c r="A223">
        <f>IF($L223="","",INDEX('Per Line'!$C$2:$C$2501,$L223))</f>
        <v/>
      </c>
      <c r="B223">
        <f>IF($L223="","",INDEX('Per Line'!$D$2:$D$2501,$L223))</f>
        <v/>
      </c>
      <c r="C223">
        <f>IF($L223="","",INDEX('Per Line'!$A$2:$A$2501,$L223))</f>
        <v/>
      </c>
      <c r="F223">
        <f>IF($L223="","",INDEX('Per Line'!$U$2:$U$2501,$L223))</f>
        <v/>
      </c>
      <c r="G223" s="5">
        <f>IF($L223="","",SUMIFS('Per Line'!$W$2:$W$2501,'Per Line'!$D$2:$D$2501,$B223))</f>
        <v/>
      </c>
      <c r="H223" s="5">
        <f>IF($L223="","",SUMIFS('Per Line'!$X$2:$X$2501,'Per Line'!$D$2:$D$2501,$B223))</f>
        <v/>
      </c>
      <c r="I223" s="5">
        <f>IF($L223="","",SUMIFS('Per Line'!$Y$2:$Y$2501,'Per Line'!$D$2:$D$2501,$B223))</f>
        <v/>
      </c>
      <c r="J223" s="5">
        <f>IF($L223="","",G223-H223)</f>
        <v/>
      </c>
      <c r="K223" s="5">
        <f>IF($L223="","",J223-I223)</f>
        <v/>
      </c>
      <c r="L223">
        <f>IF(ROWS($L$2:$L223)&lt;=MAX('Per Line'!$AD$2:$AD$2501),MATCH(ROWS($L$2:$L223),'Per Line'!$AD$2:$AD$2501,0),"")</f>
        <v/>
      </c>
      <c r="M223">
        <f>IF($L223="","",INDEX('Per Line'!$E$2:$E$2501,$L223))</f>
        <v/>
      </c>
    </row>
    <row r="224">
      <c r="A224">
        <f>IF($L224="","",INDEX('Per Line'!$C$2:$C$2501,$L224))</f>
        <v/>
      </c>
      <c r="B224">
        <f>IF($L224="","",INDEX('Per Line'!$D$2:$D$2501,$L224))</f>
        <v/>
      </c>
      <c r="C224">
        <f>IF($L224="","",INDEX('Per Line'!$A$2:$A$2501,$L224))</f>
        <v/>
      </c>
      <c r="F224">
        <f>IF($L224="","",INDEX('Per Line'!$U$2:$U$2501,$L224))</f>
        <v/>
      </c>
      <c r="G224" s="5">
        <f>IF($L224="","",SUMIFS('Per Line'!$W$2:$W$2501,'Per Line'!$D$2:$D$2501,$B224))</f>
        <v/>
      </c>
      <c r="H224" s="5">
        <f>IF($L224="","",SUMIFS('Per Line'!$X$2:$X$2501,'Per Line'!$D$2:$D$2501,$B224))</f>
        <v/>
      </c>
      <c r="I224" s="5">
        <f>IF($L224="","",SUMIFS('Per Line'!$Y$2:$Y$2501,'Per Line'!$D$2:$D$2501,$B224))</f>
        <v/>
      </c>
      <c r="J224" s="5">
        <f>IF($L224="","",G224-H224)</f>
        <v/>
      </c>
      <c r="K224" s="5">
        <f>IF($L224="","",J224-I224)</f>
        <v/>
      </c>
      <c r="L224">
        <f>IF(ROWS($L$2:$L224)&lt;=MAX('Per Line'!$AD$2:$AD$2501),MATCH(ROWS($L$2:$L224),'Per Line'!$AD$2:$AD$2501,0),"")</f>
        <v/>
      </c>
      <c r="M224">
        <f>IF($L224="","",INDEX('Per Line'!$E$2:$E$2501,$L224))</f>
        <v/>
      </c>
    </row>
    <row r="225">
      <c r="A225">
        <f>IF($L225="","",INDEX('Per Line'!$C$2:$C$2501,$L225))</f>
        <v/>
      </c>
      <c r="B225">
        <f>IF($L225="","",INDEX('Per Line'!$D$2:$D$2501,$L225))</f>
        <v/>
      </c>
      <c r="C225">
        <f>IF($L225="","",INDEX('Per Line'!$A$2:$A$2501,$L225))</f>
        <v/>
      </c>
      <c r="F225">
        <f>IF($L225="","",INDEX('Per Line'!$U$2:$U$2501,$L225))</f>
        <v/>
      </c>
      <c r="G225" s="5">
        <f>IF($L225="","",SUMIFS('Per Line'!$W$2:$W$2501,'Per Line'!$D$2:$D$2501,$B225))</f>
        <v/>
      </c>
      <c r="H225" s="5">
        <f>IF($L225="","",SUMIFS('Per Line'!$X$2:$X$2501,'Per Line'!$D$2:$D$2501,$B225))</f>
        <v/>
      </c>
      <c r="I225" s="5">
        <f>IF($L225="","",SUMIFS('Per Line'!$Y$2:$Y$2501,'Per Line'!$D$2:$D$2501,$B225))</f>
        <v/>
      </c>
      <c r="J225" s="5">
        <f>IF($L225="","",G225-H225)</f>
        <v/>
      </c>
      <c r="K225" s="5">
        <f>IF($L225="","",J225-I225)</f>
        <v/>
      </c>
      <c r="L225">
        <f>IF(ROWS($L$2:$L225)&lt;=MAX('Per Line'!$AD$2:$AD$2501),MATCH(ROWS($L$2:$L225),'Per Line'!$AD$2:$AD$2501,0),"")</f>
        <v/>
      </c>
      <c r="M225">
        <f>IF($L225="","",INDEX('Per Line'!$E$2:$E$2501,$L225))</f>
        <v/>
      </c>
    </row>
    <row r="226">
      <c r="A226">
        <f>IF($L226="","",INDEX('Per Line'!$C$2:$C$2501,$L226))</f>
        <v/>
      </c>
      <c r="B226">
        <f>IF($L226="","",INDEX('Per Line'!$D$2:$D$2501,$L226))</f>
        <v/>
      </c>
      <c r="C226">
        <f>IF($L226="","",INDEX('Per Line'!$A$2:$A$2501,$L226))</f>
        <v/>
      </c>
      <c r="F226">
        <f>IF($L226="","",INDEX('Per Line'!$U$2:$U$2501,$L226))</f>
        <v/>
      </c>
      <c r="G226" s="5">
        <f>IF($L226="","",SUMIFS('Per Line'!$W$2:$W$2501,'Per Line'!$D$2:$D$2501,$B226))</f>
        <v/>
      </c>
      <c r="H226" s="5">
        <f>IF($L226="","",SUMIFS('Per Line'!$X$2:$X$2501,'Per Line'!$D$2:$D$2501,$B226))</f>
        <v/>
      </c>
      <c r="I226" s="5">
        <f>IF($L226="","",SUMIFS('Per Line'!$Y$2:$Y$2501,'Per Line'!$D$2:$D$2501,$B226))</f>
        <v/>
      </c>
      <c r="J226" s="5">
        <f>IF($L226="","",G226-H226)</f>
        <v/>
      </c>
      <c r="K226" s="5">
        <f>IF($L226="","",J226-I226)</f>
        <v/>
      </c>
      <c r="L226">
        <f>IF(ROWS($L$2:$L226)&lt;=MAX('Per Line'!$AD$2:$AD$2501),MATCH(ROWS($L$2:$L226),'Per Line'!$AD$2:$AD$2501,0),"")</f>
        <v/>
      </c>
      <c r="M226">
        <f>IF($L226="","",INDEX('Per Line'!$E$2:$E$2501,$L226))</f>
        <v/>
      </c>
    </row>
    <row r="227">
      <c r="A227">
        <f>IF($L227="","",INDEX('Per Line'!$C$2:$C$2501,$L227))</f>
        <v/>
      </c>
      <c r="B227">
        <f>IF($L227="","",INDEX('Per Line'!$D$2:$D$2501,$L227))</f>
        <v/>
      </c>
      <c r="C227">
        <f>IF($L227="","",INDEX('Per Line'!$A$2:$A$2501,$L227))</f>
        <v/>
      </c>
      <c r="F227">
        <f>IF($L227="","",INDEX('Per Line'!$U$2:$U$2501,$L227))</f>
        <v/>
      </c>
      <c r="G227" s="5">
        <f>IF($L227="","",SUMIFS('Per Line'!$W$2:$W$2501,'Per Line'!$D$2:$D$2501,$B227))</f>
        <v/>
      </c>
      <c r="H227" s="5">
        <f>IF($L227="","",SUMIFS('Per Line'!$X$2:$X$2501,'Per Line'!$D$2:$D$2501,$B227))</f>
        <v/>
      </c>
      <c r="I227" s="5">
        <f>IF($L227="","",SUMIFS('Per Line'!$Y$2:$Y$2501,'Per Line'!$D$2:$D$2501,$B227))</f>
        <v/>
      </c>
      <c r="J227" s="5">
        <f>IF($L227="","",G227-H227)</f>
        <v/>
      </c>
      <c r="K227" s="5">
        <f>IF($L227="","",J227-I227)</f>
        <v/>
      </c>
      <c r="L227">
        <f>IF(ROWS($L$2:$L227)&lt;=MAX('Per Line'!$AD$2:$AD$2501),MATCH(ROWS($L$2:$L227),'Per Line'!$AD$2:$AD$2501,0),"")</f>
        <v/>
      </c>
      <c r="M227">
        <f>IF($L227="","",INDEX('Per Line'!$E$2:$E$2501,$L227))</f>
        <v/>
      </c>
    </row>
    <row r="228">
      <c r="A228">
        <f>IF($L228="","",INDEX('Per Line'!$C$2:$C$2501,$L228))</f>
        <v/>
      </c>
      <c r="B228">
        <f>IF($L228="","",INDEX('Per Line'!$D$2:$D$2501,$L228))</f>
        <v/>
      </c>
      <c r="C228">
        <f>IF($L228="","",INDEX('Per Line'!$A$2:$A$2501,$L228))</f>
        <v/>
      </c>
      <c r="F228">
        <f>IF($L228="","",INDEX('Per Line'!$U$2:$U$2501,$L228))</f>
        <v/>
      </c>
      <c r="G228" s="5">
        <f>IF($L228="","",SUMIFS('Per Line'!$W$2:$W$2501,'Per Line'!$D$2:$D$2501,$B228))</f>
        <v/>
      </c>
      <c r="H228" s="5">
        <f>IF($L228="","",SUMIFS('Per Line'!$X$2:$X$2501,'Per Line'!$D$2:$D$2501,$B228))</f>
        <v/>
      </c>
      <c r="I228" s="5">
        <f>IF($L228="","",SUMIFS('Per Line'!$Y$2:$Y$2501,'Per Line'!$D$2:$D$2501,$B228))</f>
        <v/>
      </c>
      <c r="J228" s="5">
        <f>IF($L228="","",G228-H228)</f>
        <v/>
      </c>
      <c r="K228" s="5">
        <f>IF($L228="","",J228-I228)</f>
        <v/>
      </c>
      <c r="L228">
        <f>IF(ROWS($L$2:$L228)&lt;=MAX('Per Line'!$AD$2:$AD$2501),MATCH(ROWS($L$2:$L228),'Per Line'!$AD$2:$AD$2501,0),"")</f>
        <v/>
      </c>
      <c r="M228">
        <f>IF($L228="","",INDEX('Per Line'!$E$2:$E$2501,$L228))</f>
        <v/>
      </c>
    </row>
    <row r="229">
      <c r="A229">
        <f>IF($L229="","",INDEX('Per Line'!$C$2:$C$2501,$L229))</f>
        <v/>
      </c>
      <c r="B229">
        <f>IF($L229="","",INDEX('Per Line'!$D$2:$D$2501,$L229))</f>
        <v/>
      </c>
      <c r="C229">
        <f>IF($L229="","",INDEX('Per Line'!$A$2:$A$2501,$L229))</f>
        <v/>
      </c>
      <c r="F229">
        <f>IF($L229="","",INDEX('Per Line'!$U$2:$U$2501,$L229))</f>
        <v/>
      </c>
      <c r="G229" s="5">
        <f>IF($L229="","",SUMIFS('Per Line'!$W$2:$W$2501,'Per Line'!$D$2:$D$2501,$B229))</f>
        <v/>
      </c>
      <c r="H229" s="5">
        <f>IF($L229="","",SUMIFS('Per Line'!$X$2:$X$2501,'Per Line'!$D$2:$D$2501,$B229))</f>
        <v/>
      </c>
      <c r="I229" s="5">
        <f>IF($L229="","",SUMIFS('Per Line'!$Y$2:$Y$2501,'Per Line'!$D$2:$D$2501,$B229))</f>
        <v/>
      </c>
      <c r="J229" s="5">
        <f>IF($L229="","",G229-H229)</f>
        <v/>
      </c>
      <c r="K229" s="5">
        <f>IF($L229="","",J229-I229)</f>
        <v/>
      </c>
      <c r="L229">
        <f>IF(ROWS($L$2:$L229)&lt;=MAX('Per Line'!$AD$2:$AD$2501),MATCH(ROWS($L$2:$L229),'Per Line'!$AD$2:$AD$2501,0),"")</f>
        <v/>
      </c>
      <c r="M229">
        <f>IF($L229="","",INDEX('Per Line'!$E$2:$E$2501,$L229))</f>
        <v/>
      </c>
    </row>
    <row r="230">
      <c r="A230">
        <f>IF($L230="","",INDEX('Per Line'!$C$2:$C$2501,$L230))</f>
        <v/>
      </c>
      <c r="B230">
        <f>IF($L230="","",INDEX('Per Line'!$D$2:$D$2501,$L230))</f>
        <v/>
      </c>
      <c r="C230">
        <f>IF($L230="","",INDEX('Per Line'!$A$2:$A$2501,$L230))</f>
        <v/>
      </c>
      <c r="F230">
        <f>IF($L230="","",INDEX('Per Line'!$U$2:$U$2501,$L230))</f>
        <v/>
      </c>
      <c r="G230" s="5">
        <f>IF($L230="","",SUMIFS('Per Line'!$W$2:$W$2501,'Per Line'!$D$2:$D$2501,$B230))</f>
        <v/>
      </c>
      <c r="H230" s="5">
        <f>IF($L230="","",SUMIFS('Per Line'!$X$2:$X$2501,'Per Line'!$D$2:$D$2501,$B230))</f>
        <v/>
      </c>
      <c r="I230" s="5">
        <f>IF($L230="","",SUMIFS('Per Line'!$Y$2:$Y$2501,'Per Line'!$D$2:$D$2501,$B230))</f>
        <v/>
      </c>
      <c r="J230" s="5">
        <f>IF($L230="","",G230-H230)</f>
        <v/>
      </c>
      <c r="K230" s="5">
        <f>IF($L230="","",J230-I230)</f>
        <v/>
      </c>
      <c r="L230">
        <f>IF(ROWS($L$2:$L230)&lt;=MAX('Per Line'!$AD$2:$AD$2501),MATCH(ROWS($L$2:$L230),'Per Line'!$AD$2:$AD$2501,0),"")</f>
        <v/>
      </c>
      <c r="M230">
        <f>IF($L230="","",INDEX('Per Line'!$E$2:$E$2501,$L230))</f>
        <v/>
      </c>
    </row>
    <row r="231">
      <c r="A231">
        <f>IF($L231="","",INDEX('Per Line'!$C$2:$C$2501,$L231))</f>
        <v/>
      </c>
      <c r="B231">
        <f>IF($L231="","",INDEX('Per Line'!$D$2:$D$2501,$L231))</f>
        <v/>
      </c>
      <c r="C231">
        <f>IF($L231="","",INDEX('Per Line'!$A$2:$A$2501,$L231))</f>
        <v/>
      </c>
      <c r="F231">
        <f>IF($L231="","",INDEX('Per Line'!$U$2:$U$2501,$L231))</f>
        <v/>
      </c>
      <c r="G231" s="5">
        <f>IF($L231="","",SUMIFS('Per Line'!$W$2:$W$2501,'Per Line'!$D$2:$D$2501,$B231))</f>
        <v/>
      </c>
      <c r="H231" s="5">
        <f>IF($L231="","",SUMIFS('Per Line'!$X$2:$X$2501,'Per Line'!$D$2:$D$2501,$B231))</f>
        <v/>
      </c>
      <c r="I231" s="5">
        <f>IF($L231="","",SUMIFS('Per Line'!$Y$2:$Y$2501,'Per Line'!$D$2:$D$2501,$B231))</f>
        <v/>
      </c>
      <c r="J231" s="5">
        <f>IF($L231="","",G231-H231)</f>
        <v/>
      </c>
      <c r="K231" s="5">
        <f>IF($L231="","",J231-I231)</f>
        <v/>
      </c>
      <c r="L231">
        <f>IF(ROWS($L$2:$L231)&lt;=MAX('Per Line'!$AD$2:$AD$2501),MATCH(ROWS($L$2:$L231),'Per Line'!$AD$2:$AD$2501,0),"")</f>
        <v/>
      </c>
      <c r="M231">
        <f>IF($L231="","",INDEX('Per Line'!$E$2:$E$2501,$L231))</f>
        <v/>
      </c>
    </row>
    <row r="232">
      <c r="A232">
        <f>IF($L232="","",INDEX('Per Line'!$C$2:$C$2501,$L232))</f>
        <v/>
      </c>
      <c r="B232">
        <f>IF($L232="","",INDEX('Per Line'!$D$2:$D$2501,$L232))</f>
        <v/>
      </c>
      <c r="C232">
        <f>IF($L232="","",INDEX('Per Line'!$A$2:$A$2501,$L232))</f>
        <v/>
      </c>
      <c r="F232">
        <f>IF($L232="","",INDEX('Per Line'!$U$2:$U$2501,$L232))</f>
        <v/>
      </c>
      <c r="G232" s="5">
        <f>IF($L232="","",SUMIFS('Per Line'!$W$2:$W$2501,'Per Line'!$D$2:$D$2501,$B232))</f>
        <v/>
      </c>
      <c r="H232" s="5">
        <f>IF($L232="","",SUMIFS('Per Line'!$X$2:$X$2501,'Per Line'!$D$2:$D$2501,$B232))</f>
        <v/>
      </c>
      <c r="I232" s="5">
        <f>IF($L232="","",SUMIFS('Per Line'!$Y$2:$Y$2501,'Per Line'!$D$2:$D$2501,$B232))</f>
        <v/>
      </c>
      <c r="J232" s="5">
        <f>IF($L232="","",G232-H232)</f>
        <v/>
      </c>
      <c r="K232" s="5">
        <f>IF($L232="","",J232-I232)</f>
        <v/>
      </c>
      <c r="L232">
        <f>IF(ROWS($L$2:$L232)&lt;=MAX('Per Line'!$AD$2:$AD$2501),MATCH(ROWS($L$2:$L232),'Per Line'!$AD$2:$AD$2501,0),"")</f>
        <v/>
      </c>
      <c r="M232">
        <f>IF($L232="","",INDEX('Per Line'!$E$2:$E$2501,$L232))</f>
        <v/>
      </c>
    </row>
    <row r="233">
      <c r="A233">
        <f>IF($L233="","",INDEX('Per Line'!$C$2:$C$2501,$L233))</f>
        <v/>
      </c>
      <c r="B233">
        <f>IF($L233="","",INDEX('Per Line'!$D$2:$D$2501,$L233))</f>
        <v/>
      </c>
      <c r="C233">
        <f>IF($L233="","",INDEX('Per Line'!$A$2:$A$2501,$L233))</f>
        <v/>
      </c>
      <c r="F233">
        <f>IF($L233="","",INDEX('Per Line'!$U$2:$U$2501,$L233))</f>
        <v/>
      </c>
      <c r="G233" s="5">
        <f>IF($L233="","",SUMIFS('Per Line'!$W$2:$W$2501,'Per Line'!$D$2:$D$2501,$B233))</f>
        <v/>
      </c>
      <c r="H233" s="5">
        <f>IF($L233="","",SUMIFS('Per Line'!$X$2:$X$2501,'Per Line'!$D$2:$D$2501,$B233))</f>
        <v/>
      </c>
      <c r="I233" s="5">
        <f>IF($L233="","",SUMIFS('Per Line'!$Y$2:$Y$2501,'Per Line'!$D$2:$D$2501,$B233))</f>
        <v/>
      </c>
      <c r="J233" s="5">
        <f>IF($L233="","",G233-H233)</f>
        <v/>
      </c>
      <c r="K233" s="5">
        <f>IF($L233="","",J233-I233)</f>
        <v/>
      </c>
      <c r="L233">
        <f>IF(ROWS($L$2:$L233)&lt;=MAX('Per Line'!$AD$2:$AD$2501),MATCH(ROWS($L$2:$L233),'Per Line'!$AD$2:$AD$2501,0),"")</f>
        <v/>
      </c>
      <c r="M233">
        <f>IF($L233="","",INDEX('Per Line'!$E$2:$E$2501,$L233))</f>
        <v/>
      </c>
    </row>
    <row r="234">
      <c r="A234">
        <f>IF($L234="","",INDEX('Per Line'!$C$2:$C$2501,$L234))</f>
        <v/>
      </c>
      <c r="B234">
        <f>IF($L234="","",INDEX('Per Line'!$D$2:$D$2501,$L234))</f>
        <v/>
      </c>
      <c r="C234">
        <f>IF($L234="","",INDEX('Per Line'!$A$2:$A$2501,$L234))</f>
        <v/>
      </c>
      <c r="F234">
        <f>IF($L234="","",INDEX('Per Line'!$U$2:$U$2501,$L234))</f>
        <v/>
      </c>
      <c r="G234" s="5">
        <f>IF($L234="","",SUMIFS('Per Line'!$W$2:$W$2501,'Per Line'!$D$2:$D$2501,$B234))</f>
        <v/>
      </c>
      <c r="H234" s="5">
        <f>IF($L234="","",SUMIFS('Per Line'!$X$2:$X$2501,'Per Line'!$D$2:$D$2501,$B234))</f>
        <v/>
      </c>
      <c r="I234" s="5">
        <f>IF($L234="","",SUMIFS('Per Line'!$Y$2:$Y$2501,'Per Line'!$D$2:$D$2501,$B234))</f>
        <v/>
      </c>
      <c r="J234" s="5">
        <f>IF($L234="","",G234-H234)</f>
        <v/>
      </c>
      <c r="K234" s="5">
        <f>IF($L234="","",J234-I234)</f>
        <v/>
      </c>
      <c r="L234">
        <f>IF(ROWS($L$2:$L234)&lt;=MAX('Per Line'!$AD$2:$AD$2501),MATCH(ROWS($L$2:$L234),'Per Line'!$AD$2:$AD$2501,0),"")</f>
        <v/>
      </c>
      <c r="M234">
        <f>IF($L234="","",INDEX('Per Line'!$E$2:$E$2501,$L234))</f>
        <v/>
      </c>
    </row>
    <row r="235">
      <c r="A235">
        <f>IF($L235="","",INDEX('Per Line'!$C$2:$C$2501,$L235))</f>
        <v/>
      </c>
      <c r="B235">
        <f>IF($L235="","",INDEX('Per Line'!$D$2:$D$2501,$L235))</f>
        <v/>
      </c>
      <c r="C235">
        <f>IF($L235="","",INDEX('Per Line'!$A$2:$A$2501,$L235))</f>
        <v/>
      </c>
      <c r="F235">
        <f>IF($L235="","",INDEX('Per Line'!$U$2:$U$2501,$L235))</f>
        <v/>
      </c>
      <c r="G235" s="5">
        <f>IF($L235="","",SUMIFS('Per Line'!$W$2:$W$2501,'Per Line'!$D$2:$D$2501,$B235))</f>
        <v/>
      </c>
      <c r="H235" s="5">
        <f>IF($L235="","",SUMIFS('Per Line'!$X$2:$X$2501,'Per Line'!$D$2:$D$2501,$B235))</f>
        <v/>
      </c>
      <c r="I235" s="5">
        <f>IF($L235="","",SUMIFS('Per Line'!$Y$2:$Y$2501,'Per Line'!$D$2:$D$2501,$B235))</f>
        <v/>
      </c>
      <c r="J235" s="5">
        <f>IF($L235="","",G235-H235)</f>
        <v/>
      </c>
      <c r="K235" s="5">
        <f>IF($L235="","",J235-I235)</f>
        <v/>
      </c>
      <c r="L235">
        <f>IF(ROWS($L$2:$L235)&lt;=MAX('Per Line'!$AD$2:$AD$2501),MATCH(ROWS($L$2:$L235),'Per Line'!$AD$2:$AD$2501,0),"")</f>
        <v/>
      </c>
      <c r="M235">
        <f>IF($L235="","",INDEX('Per Line'!$E$2:$E$2501,$L235))</f>
        <v/>
      </c>
    </row>
    <row r="236">
      <c r="A236">
        <f>IF($L236="","",INDEX('Per Line'!$C$2:$C$2501,$L236))</f>
        <v/>
      </c>
      <c r="B236">
        <f>IF($L236="","",INDEX('Per Line'!$D$2:$D$2501,$L236))</f>
        <v/>
      </c>
      <c r="C236">
        <f>IF($L236="","",INDEX('Per Line'!$A$2:$A$2501,$L236))</f>
        <v/>
      </c>
      <c r="F236">
        <f>IF($L236="","",INDEX('Per Line'!$U$2:$U$2501,$L236))</f>
        <v/>
      </c>
      <c r="G236" s="5">
        <f>IF($L236="","",SUMIFS('Per Line'!$W$2:$W$2501,'Per Line'!$D$2:$D$2501,$B236))</f>
        <v/>
      </c>
      <c r="H236" s="5">
        <f>IF($L236="","",SUMIFS('Per Line'!$X$2:$X$2501,'Per Line'!$D$2:$D$2501,$B236))</f>
        <v/>
      </c>
      <c r="I236" s="5">
        <f>IF($L236="","",SUMIFS('Per Line'!$Y$2:$Y$2501,'Per Line'!$D$2:$D$2501,$B236))</f>
        <v/>
      </c>
      <c r="J236" s="5">
        <f>IF($L236="","",G236-H236)</f>
        <v/>
      </c>
      <c r="K236" s="5">
        <f>IF($L236="","",J236-I236)</f>
        <v/>
      </c>
      <c r="L236">
        <f>IF(ROWS($L$2:$L236)&lt;=MAX('Per Line'!$AD$2:$AD$2501),MATCH(ROWS($L$2:$L236),'Per Line'!$AD$2:$AD$2501,0),"")</f>
        <v/>
      </c>
      <c r="M236">
        <f>IF($L236="","",INDEX('Per Line'!$E$2:$E$2501,$L236))</f>
        <v/>
      </c>
    </row>
    <row r="237">
      <c r="A237">
        <f>IF($L237="","",INDEX('Per Line'!$C$2:$C$2501,$L237))</f>
        <v/>
      </c>
      <c r="B237">
        <f>IF($L237="","",INDEX('Per Line'!$D$2:$D$2501,$L237))</f>
        <v/>
      </c>
      <c r="C237">
        <f>IF($L237="","",INDEX('Per Line'!$A$2:$A$2501,$L237))</f>
        <v/>
      </c>
      <c r="F237">
        <f>IF($L237="","",INDEX('Per Line'!$U$2:$U$2501,$L237))</f>
        <v/>
      </c>
      <c r="G237" s="5">
        <f>IF($L237="","",SUMIFS('Per Line'!$W$2:$W$2501,'Per Line'!$D$2:$D$2501,$B237))</f>
        <v/>
      </c>
      <c r="H237" s="5">
        <f>IF($L237="","",SUMIFS('Per Line'!$X$2:$X$2501,'Per Line'!$D$2:$D$2501,$B237))</f>
        <v/>
      </c>
      <c r="I237" s="5">
        <f>IF($L237="","",SUMIFS('Per Line'!$Y$2:$Y$2501,'Per Line'!$D$2:$D$2501,$B237))</f>
        <v/>
      </c>
      <c r="J237" s="5">
        <f>IF($L237="","",G237-H237)</f>
        <v/>
      </c>
      <c r="K237" s="5">
        <f>IF($L237="","",J237-I237)</f>
        <v/>
      </c>
      <c r="L237">
        <f>IF(ROWS($L$2:$L237)&lt;=MAX('Per Line'!$AD$2:$AD$2501),MATCH(ROWS($L$2:$L237),'Per Line'!$AD$2:$AD$2501,0),"")</f>
        <v/>
      </c>
      <c r="M237">
        <f>IF($L237="","",INDEX('Per Line'!$E$2:$E$2501,$L237))</f>
        <v/>
      </c>
    </row>
    <row r="238">
      <c r="A238">
        <f>IF($L238="","",INDEX('Per Line'!$C$2:$C$2501,$L238))</f>
        <v/>
      </c>
      <c r="B238">
        <f>IF($L238="","",INDEX('Per Line'!$D$2:$D$2501,$L238))</f>
        <v/>
      </c>
      <c r="C238">
        <f>IF($L238="","",INDEX('Per Line'!$A$2:$A$2501,$L238))</f>
        <v/>
      </c>
      <c r="F238">
        <f>IF($L238="","",INDEX('Per Line'!$U$2:$U$2501,$L238))</f>
        <v/>
      </c>
      <c r="G238" s="5">
        <f>IF($L238="","",SUMIFS('Per Line'!$W$2:$W$2501,'Per Line'!$D$2:$D$2501,$B238))</f>
        <v/>
      </c>
      <c r="H238" s="5">
        <f>IF($L238="","",SUMIFS('Per Line'!$X$2:$X$2501,'Per Line'!$D$2:$D$2501,$B238))</f>
        <v/>
      </c>
      <c r="I238" s="5">
        <f>IF($L238="","",SUMIFS('Per Line'!$Y$2:$Y$2501,'Per Line'!$D$2:$D$2501,$B238))</f>
        <v/>
      </c>
      <c r="J238" s="5">
        <f>IF($L238="","",G238-H238)</f>
        <v/>
      </c>
      <c r="K238" s="5">
        <f>IF($L238="","",J238-I238)</f>
        <v/>
      </c>
      <c r="L238">
        <f>IF(ROWS($L$2:$L238)&lt;=MAX('Per Line'!$AD$2:$AD$2501),MATCH(ROWS($L$2:$L238),'Per Line'!$AD$2:$AD$2501,0),"")</f>
        <v/>
      </c>
      <c r="M238">
        <f>IF($L238="","",INDEX('Per Line'!$E$2:$E$2501,$L238))</f>
        <v/>
      </c>
    </row>
    <row r="239">
      <c r="A239">
        <f>IF($L239="","",INDEX('Per Line'!$C$2:$C$2501,$L239))</f>
        <v/>
      </c>
      <c r="B239">
        <f>IF($L239="","",INDEX('Per Line'!$D$2:$D$2501,$L239))</f>
        <v/>
      </c>
      <c r="C239">
        <f>IF($L239="","",INDEX('Per Line'!$A$2:$A$2501,$L239))</f>
        <v/>
      </c>
      <c r="F239">
        <f>IF($L239="","",INDEX('Per Line'!$U$2:$U$2501,$L239))</f>
        <v/>
      </c>
      <c r="G239" s="5">
        <f>IF($L239="","",SUMIFS('Per Line'!$W$2:$W$2501,'Per Line'!$D$2:$D$2501,$B239))</f>
        <v/>
      </c>
      <c r="H239" s="5">
        <f>IF($L239="","",SUMIFS('Per Line'!$X$2:$X$2501,'Per Line'!$D$2:$D$2501,$B239))</f>
        <v/>
      </c>
      <c r="I239" s="5">
        <f>IF($L239="","",SUMIFS('Per Line'!$Y$2:$Y$2501,'Per Line'!$D$2:$D$2501,$B239))</f>
        <v/>
      </c>
      <c r="J239" s="5">
        <f>IF($L239="","",G239-H239)</f>
        <v/>
      </c>
      <c r="K239" s="5">
        <f>IF($L239="","",J239-I239)</f>
        <v/>
      </c>
      <c r="L239">
        <f>IF(ROWS($L$2:$L239)&lt;=MAX('Per Line'!$AD$2:$AD$2501),MATCH(ROWS($L$2:$L239),'Per Line'!$AD$2:$AD$2501,0),"")</f>
        <v/>
      </c>
      <c r="M239">
        <f>IF($L239="","",INDEX('Per Line'!$E$2:$E$2501,$L239))</f>
        <v/>
      </c>
    </row>
    <row r="240">
      <c r="A240">
        <f>IF($L240="","",INDEX('Per Line'!$C$2:$C$2501,$L240))</f>
        <v/>
      </c>
      <c r="B240">
        <f>IF($L240="","",INDEX('Per Line'!$D$2:$D$2501,$L240))</f>
        <v/>
      </c>
      <c r="C240">
        <f>IF($L240="","",INDEX('Per Line'!$A$2:$A$2501,$L240))</f>
        <v/>
      </c>
      <c r="F240">
        <f>IF($L240="","",INDEX('Per Line'!$U$2:$U$2501,$L240))</f>
        <v/>
      </c>
      <c r="G240" s="5">
        <f>IF($L240="","",SUMIFS('Per Line'!$W$2:$W$2501,'Per Line'!$D$2:$D$2501,$B240))</f>
        <v/>
      </c>
      <c r="H240" s="5">
        <f>IF($L240="","",SUMIFS('Per Line'!$X$2:$X$2501,'Per Line'!$D$2:$D$2501,$B240))</f>
        <v/>
      </c>
      <c r="I240" s="5">
        <f>IF($L240="","",SUMIFS('Per Line'!$Y$2:$Y$2501,'Per Line'!$D$2:$D$2501,$B240))</f>
        <v/>
      </c>
      <c r="J240" s="5">
        <f>IF($L240="","",G240-H240)</f>
        <v/>
      </c>
      <c r="K240" s="5">
        <f>IF($L240="","",J240-I240)</f>
        <v/>
      </c>
      <c r="L240">
        <f>IF(ROWS($L$2:$L240)&lt;=MAX('Per Line'!$AD$2:$AD$2501),MATCH(ROWS($L$2:$L240),'Per Line'!$AD$2:$AD$2501,0),"")</f>
        <v/>
      </c>
      <c r="M240">
        <f>IF($L240="","",INDEX('Per Line'!$E$2:$E$2501,$L240))</f>
        <v/>
      </c>
    </row>
    <row r="241">
      <c r="A241">
        <f>IF($L241="","",INDEX('Per Line'!$C$2:$C$2501,$L241))</f>
        <v/>
      </c>
      <c r="B241">
        <f>IF($L241="","",INDEX('Per Line'!$D$2:$D$2501,$L241))</f>
        <v/>
      </c>
      <c r="C241">
        <f>IF($L241="","",INDEX('Per Line'!$A$2:$A$2501,$L241))</f>
        <v/>
      </c>
      <c r="F241">
        <f>IF($L241="","",INDEX('Per Line'!$U$2:$U$2501,$L241))</f>
        <v/>
      </c>
      <c r="G241" s="5">
        <f>IF($L241="","",SUMIFS('Per Line'!$W$2:$W$2501,'Per Line'!$D$2:$D$2501,$B241))</f>
        <v/>
      </c>
      <c r="H241" s="5">
        <f>IF($L241="","",SUMIFS('Per Line'!$X$2:$X$2501,'Per Line'!$D$2:$D$2501,$B241))</f>
        <v/>
      </c>
      <c r="I241" s="5">
        <f>IF($L241="","",SUMIFS('Per Line'!$Y$2:$Y$2501,'Per Line'!$D$2:$D$2501,$B241))</f>
        <v/>
      </c>
      <c r="J241" s="5">
        <f>IF($L241="","",G241-H241)</f>
        <v/>
      </c>
      <c r="K241" s="5">
        <f>IF($L241="","",J241-I241)</f>
        <v/>
      </c>
      <c r="L241">
        <f>IF(ROWS($L$2:$L241)&lt;=MAX('Per Line'!$AD$2:$AD$2501),MATCH(ROWS($L$2:$L241),'Per Line'!$AD$2:$AD$2501,0),"")</f>
        <v/>
      </c>
      <c r="M241">
        <f>IF($L241="","",INDEX('Per Line'!$E$2:$E$2501,$L241))</f>
        <v/>
      </c>
    </row>
    <row r="242">
      <c r="A242">
        <f>IF($L242="","",INDEX('Per Line'!$C$2:$C$2501,$L242))</f>
        <v/>
      </c>
      <c r="B242">
        <f>IF($L242="","",INDEX('Per Line'!$D$2:$D$2501,$L242))</f>
        <v/>
      </c>
      <c r="C242">
        <f>IF($L242="","",INDEX('Per Line'!$A$2:$A$2501,$L242))</f>
        <v/>
      </c>
      <c r="F242">
        <f>IF($L242="","",INDEX('Per Line'!$U$2:$U$2501,$L242))</f>
        <v/>
      </c>
      <c r="G242" s="5">
        <f>IF($L242="","",SUMIFS('Per Line'!$W$2:$W$2501,'Per Line'!$D$2:$D$2501,$B242))</f>
        <v/>
      </c>
      <c r="H242" s="5">
        <f>IF($L242="","",SUMIFS('Per Line'!$X$2:$X$2501,'Per Line'!$D$2:$D$2501,$B242))</f>
        <v/>
      </c>
      <c r="I242" s="5">
        <f>IF($L242="","",SUMIFS('Per Line'!$Y$2:$Y$2501,'Per Line'!$D$2:$D$2501,$B242))</f>
        <v/>
      </c>
      <c r="J242" s="5">
        <f>IF($L242="","",G242-H242)</f>
        <v/>
      </c>
      <c r="K242" s="5">
        <f>IF($L242="","",J242-I242)</f>
        <v/>
      </c>
      <c r="L242">
        <f>IF(ROWS($L$2:$L242)&lt;=MAX('Per Line'!$AD$2:$AD$2501),MATCH(ROWS($L$2:$L242),'Per Line'!$AD$2:$AD$2501,0),"")</f>
        <v/>
      </c>
      <c r="M242">
        <f>IF($L242="","",INDEX('Per Line'!$E$2:$E$2501,$L242))</f>
        <v/>
      </c>
    </row>
    <row r="243">
      <c r="A243">
        <f>IF($L243="","",INDEX('Per Line'!$C$2:$C$2501,$L243))</f>
        <v/>
      </c>
      <c r="B243">
        <f>IF($L243="","",INDEX('Per Line'!$D$2:$D$2501,$L243))</f>
        <v/>
      </c>
      <c r="C243">
        <f>IF($L243="","",INDEX('Per Line'!$A$2:$A$2501,$L243))</f>
        <v/>
      </c>
      <c r="F243">
        <f>IF($L243="","",INDEX('Per Line'!$U$2:$U$2501,$L243))</f>
        <v/>
      </c>
      <c r="G243" s="5">
        <f>IF($L243="","",SUMIFS('Per Line'!$W$2:$W$2501,'Per Line'!$D$2:$D$2501,$B243))</f>
        <v/>
      </c>
      <c r="H243" s="5">
        <f>IF($L243="","",SUMIFS('Per Line'!$X$2:$X$2501,'Per Line'!$D$2:$D$2501,$B243))</f>
        <v/>
      </c>
      <c r="I243" s="5">
        <f>IF($L243="","",SUMIFS('Per Line'!$Y$2:$Y$2501,'Per Line'!$D$2:$D$2501,$B243))</f>
        <v/>
      </c>
      <c r="J243" s="5">
        <f>IF($L243="","",G243-H243)</f>
        <v/>
      </c>
      <c r="K243" s="5">
        <f>IF($L243="","",J243-I243)</f>
        <v/>
      </c>
      <c r="L243">
        <f>IF(ROWS($L$2:$L243)&lt;=MAX('Per Line'!$AD$2:$AD$2501),MATCH(ROWS($L$2:$L243),'Per Line'!$AD$2:$AD$2501,0),"")</f>
        <v/>
      </c>
      <c r="M243">
        <f>IF($L243="","",INDEX('Per Line'!$E$2:$E$2501,$L243))</f>
        <v/>
      </c>
    </row>
    <row r="244">
      <c r="A244">
        <f>IF($L244="","",INDEX('Per Line'!$C$2:$C$2501,$L244))</f>
        <v/>
      </c>
      <c r="B244">
        <f>IF($L244="","",INDEX('Per Line'!$D$2:$D$2501,$L244))</f>
        <v/>
      </c>
      <c r="C244">
        <f>IF($L244="","",INDEX('Per Line'!$A$2:$A$2501,$L244))</f>
        <v/>
      </c>
      <c r="F244">
        <f>IF($L244="","",INDEX('Per Line'!$U$2:$U$2501,$L244))</f>
        <v/>
      </c>
      <c r="G244" s="5">
        <f>IF($L244="","",SUMIFS('Per Line'!$W$2:$W$2501,'Per Line'!$D$2:$D$2501,$B244))</f>
        <v/>
      </c>
      <c r="H244" s="5">
        <f>IF($L244="","",SUMIFS('Per Line'!$X$2:$X$2501,'Per Line'!$D$2:$D$2501,$B244))</f>
        <v/>
      </c>
      <c r="I244" s="5">
        <f>IF($L244="","",SUMIFS('Per Line'!$Y$2:$Y$2501,'Per Line'!$D$2:$D$2501,$B244))</f>
        <v/>
      </c>
      <c r="J244" s="5">
        <f>IF($L244="","",G244-H244)</f>
        <v/>
      </c>
      <c r="K244" s="5">
        <f>IF($L244="","",J244-I244)</f>
        <v/>
      </c>
      <c r="L244">
        <f>IF(ROWS($L$2:$L244)&lt;=MAX('Per Line'!$AD$2:$AD$2501),MATCH(ROWS($L$2:$L244),'Per Line'!$AD$2:$AD$2501,0),"")</f>
        <v/>
      </c>
      <c r="M244">
        <f>IF($L244="","",INDEX('Per Line'!$E$2:$E$2501,$L244))</f>
        <v/>
      </c>
    </row>
    <row r="245">
      <c r="A245">
        <f>IF($L245="","",INDEX('Per Line'!$C$2:$C$2501,$L245))</f>
        <v/>
      </c>
      <c r="B245">
        <f>IF($L245="","",INDEX('Per Line'!$D$2:$D$2501,$L245))</f>
        <v/>
      </c>
      <c r="C245">
        <f>IF($L245="","",INDEX('Per Line'!$A$2:$A$2501,$L245))</f>
        <v/>
      </c>
      <c r="F245">
        <f>IF($L245="","",INDEX('Per Line'!$U$2:$U$2501,$L245))</f>
        <v/>
      </c>
      <c r="G245" s="5">
        <f>IF($L245="","",SUMIFS('Per Line'!$W$2:$W$2501,'Per Line'!$D$2:$D$2501,$B245))</f>
        <v/>
      </c>
      <c r="H245" s="5">
        <f>IF($L245="","",SUMIFS('Per Line'!$X$2:$X$2501,'Per Line'!$D$2:$D$2501,$B245))</f>
        <v/>
      </c>
      <c r="I245" s="5">
        <f>IF($L245="","",SUMIFS('Per Line'!$Y$2:$Y$2501,'Per Line'!$D$2:$D$2501,$B245))</f>
        <v/>
      </c>
      <c r="J245" s="5">
        <f>IF($L245="","",G245-H245)</f>
        <v/>
      </c>
      <c r="K245" s="5">
        <f>IF($L245="","",J245-I245)</f>
        <v/>
      </c>
      <c r="L245">
        <f>IF(ROWS($L$2:$L245)&lt;=MAX('Per Line'!$AD$2:$AD$2501),MATCH(ROWS($L$2:$L245),'Per Line'!$AD$2:$AD$2501,0),"")</f>
        <v/>
      </c>
      <c r="M245">
        <f>IF($L245="","",INDEX('Per Line'!$E$2:$E$2501,$L245))</f>
        <v/>
      </c>
    </row>
    <row r="246">
      <c r="A246">
        <f>IF($L246="","",INDEX('Per Line'!$C$2:$C$2501,$L246))</f>
        <v/>
      </c>
      <c r="B246">
        <f>IF($L246="","",INDEX('Per Line'!$D$2:$D$2501,$L246))</f>
        <v/>
      </c>
      <c r="C246">
        <f>IF($L246="","",INDEX('Per Line'!$A$2:$A$2501,$L246))</f>
        <v/>
      </c>
      <c r="F246">
        <f>IF($L246="","",INDEX('Per Line'!$U$2:$U$2501,$L246))</f>
        <v/>
      </c>
      <c r="G246" s="5">
        <f>IF($L246="","",SUMIFS('Per Line'!$W$2:$W$2501,'Per Line'!$D$2:$D$2501,$B246))</f>
        <v/>
      </c>
      <c r="H246" s="5">
        <f>IF($L246="","",SUMIFS('Per Line'!$X$2:$X$2501,'Per Line'!$D$2:$D$2501,$B246))</f>
        <v/>
      </c>
      <c r="I246" s="5">
        <f>IF($L246="","",SUMIFS('Per Line'!$Y$2:$Y$2501,'Per Line'!$D$2:$D$2501,$B246))</f>
        <v/>
      </c>
      <c r="J246" s="5">
        <f>IF($L246="","",G246-H246)</f>
        <v/>
      </c>
      <c r="K246" s="5">
        <f>IF($L246="","",J246-I246)</f>
        <v/>
      </c>
      <c r="L246">
        <f>IF(ROWS($L$2:$L246)&lt;=MAX('Per Line'!$AD$2:$AD$2501),MATCH(ROWS($L$2:$L246),'Per Line'!$AD$2:$AD$2501,0),"")</f>
        <v/>
      </c>
      <c r="M246">
        <f>IF($L246="","",INDEX('Per Line'!$E$2:$E$2501,$L246))</f>
        <v/>
      </c>
    </row>
    <row r="247">
      <c r="A247">
        <f>IF($L247="","",INDEX('Per Line'!$C$2:$C$2501,$L247))</f>
        <v/>
      </c>
      <c r="B247">
        <f>IF($L247="","",INDEX('Per Line'!$D$2:$D$2501,$L247))</f>
        <v/>
      </c>
      <c r="C247">
        <f>IF($L247="","",INDEX('Per Line'!$A$2:$A$2501,$L247))</f>
        <v/>
      </c>
      <c r="F247">
        <f>IF($L247="","",INDEX('Per Line'!$U$2:$U$2501,$L247))</f>
        <v/>
      </c>
      <c r="G247" s="5">
        <f>IF($L247="","",SUMIFS('Per Line'!$W$2:$W$2501,'Per Line'!$D$2:$D$2501,$B247))</f>
        <v/>
      </c>
      <c r="H247" s="5">
        <f>IF($L247="","",SUMIFS('Per Line'!$X$2:$X$2501,'Per Line'!$D$2:$D$2501,$B247))</f>
        <v/>
      </c>
      <c r="I247" s="5">
        <f>IF($L247="","",SUMIFS('Per Line'!$Y$2:$Y$2501,'Per Line'!$D$2:$D$2501,$B247))</f>
        <v/>
      </c>
      <c r="J247" s="5">
        <f>IF($L247="","",G247-H247)</f>
        <v/>
      </c>
      <c r="K247" s="5">
        <f>IF($L247="","",J247-I247)</f>
        <v/>
      </c>
      <c r="L247">
        <f>IF(ROWS($L$2:$L247)&lt;=MAX('Per Line'!$AD$2:$AD$2501),MATCH(ROWS($L$2:$L247),'Per Line'!$AD$2:$AD$2501,0),"")</f>
        <v/>
      </c>
      <c r="M247">
        <f>IF($L247="","",INDEX('Per Line'!$E$2:$E$2501,$L247))</f>
        <v/>
      </c>
    </row>
    <row r="248">
      <c r="A248">
        <f>IF($L248="","",INDEX('Per Line'!$C$2:$C$2501,$L248))</f>
        <v/>
      </c>
      <c r="B248">
        <f>IF($L248="","",INDEX('Per Line'!$D$2:$D$2501,$L248))</f>
        <v/>
      </c>
      <c r="C248">
        <f>IF($L248="","",INDEX('Per Line'!$A$2:$A$2501,$L248))</f>
        <v/>
      </c>
      <c r="F248">
        <f>IF($L248="","",INDEX('Per Line'!$U$2:$U$2501,$L248))</f>
        <v/>
      </c>
      <c r="G248" s="5">
        <f>IF($L248="","",SUMIFS('Per Line'!$W$2:$W$2501,'Per Line'!$D$2:$D$2501,$B248))</f>
        <v/>
      </c>
      <c r="H248" s="5">
        <f>IF($L248="","",SUMIFS('Per Line'!$X$2:$X$2501,'Per Line'!$D$2:$D$2501,$B248))</f>
        <v/>
      </c>
      <c r="I248" s="5">
        <f>IF($L248="","",SUMIFS('Per Line'!$Y$2:$Y$2501,'Per Line'!$D$2:$D$2501,$B248))</f>
        <v/>
      </c>
      <c r="J248" s="5">
        <f>IF($L248="","",G248-H248)</f>
        <v/>
      </c>
      <c r="K248" s="5">
        <f>IF($L248="","",J248-I248)</f>
        <v/>
      </c>
      <c r="L248">
        <f>IF(ROWS($L$2:$L248)&lt;=MAX('Per Line'!$AD$2:$AD$2501),MATCH(ROWS($L$2:$L248),'Per Line'!$AD$2:$AD$2501,0),"")</f>
        <v/>
      </c>
      <c r="M248">
        <f>IF($L248="","",INDEX('Per Line'!$E$2:$E$2501,$L248))</f>
        <v/>
      </c>
    </row>
    <row r="249">
      <c r="A249">
        <f>IF($L249="","",INDEX('Per Line'!$C$2:$C$2501,$L249))</f>
        <v/>
      </c>
      <c r="B249">
        <f>IF($L249="","",INDEX('Per Line'!$D$2:$D$2501,$L249))</f>
        <v/>
      </c>
      <c r="C249">
        <f>IF($L249="","",INDEX('Per Line'!$A$2:$A$2501,$L249))</f>
        <v/>
      </c>
      <c r="F249">
        <f>IF($L249="","",INDEX('Per Line'!$U$2:$U$2501,$L249))</f>
        <v/>
      </c>
      <c r="G249" s="5">
        <f>IF($L249="","",SUMIFS('Per Line'!$W$2:$W$2501,'Per Line'!$D$2:$D$2501,$B249))</f>
        <v/>
      </c>
      <c r="H249" s="5">
        <f>IF($L249="","",SUMIFS('Per Line'!$X$2:$X$2501,'Per Line'!$D$2:$D$2501,$B249))</f>
        <v/>
      </c>
      <c r="I249" s="5">
        <f>IF($L249="","",SUMIFS('Per Line'!$Y$2:$Y$2501,'Per Line'!$D$2:$D$2501,$B249))</f>
        <v/>
      </c>
      <c r="J249" s="5">
        <f>IF($L249="","",G249-H249)</f>
        <v/>
      </c>
      <c r="K249" s="5">
        <f>IF($L249="","",J249-I249)</f>
        <v/>
      </c>
      <c r="L249">
        <f>IF(ROWS($L$2:$L249)&lt;=MAX('Per Line'!$AD$2:$AD$2501),MATCH(ROWS($L$2:$L249),'Per Line'!$AD$2:$AD$2501,0),"")</f>
        <v/>
      </c>
      <c r="M249">
        <f>IF($L249="","",INDEX('Per Line'!$E$2:$E$2501,$L249))</f>
        <v/>
      </c>
    </row>
    <row r="250">
      <c r="A250">
        <f>IF($L250="","",INDEX('Per Line'!$C$2:$C$2501,$L250))</f>
        <v/>
      </c>
      <c r="B250">
        <f>IF($L250="","",INDEX('Per Line'!$D$2:$D$2501,$L250))</f>
        <v/>
      </c>
      <c r="C250">
        <f>IF($L250="","",INDEX('Per Line'!$A$2:$A$2501,$L250))</f>
        <v/>
      </c>
      <c r="F250">
        <f>IF($L250="","",INDEX('Per Line'!$U$2:$U$2501,$L250))</f>
        <v/>
      </c>
      <c r="G250" s="5">
        <f>IF($L250="","",SUMIFS('Per Line'!$W$2:$W$2501,'Per Line'!$D$2:$D$2501,$B250))</f>
        <v/>
      </c>
      <c r="H250" s="5">
        <f>IF($L250="","",SUMIFS('Per Line'!$X$2:$X$2501,'Per Line'!$D$2:$D$2501,$B250))</f>
        <v/>
      </c>
      <c r="I250" s="5">
        <f>IF($L250="","",SUMIFS('Per Line'!$Y$2:$Y$2501,'Per Line'!$D$2:$D$2501,$B250))</f>
        <v/>
      </c>
      <c r="J250" s="5">
        <f>IF($L250="","",G250-H250)</f>
        <v/>
      </c>
      <c r="K250" s="5">
        <f>IF($L250="","",J250-I250)</f>
        <v/>
      </c>
      <c r="L250">
        <f>IF(ROWS($L$2:$L250)&lt;=MAX('Per Line'!$AD$2:$AD$2501),MATCH(ROWS($L$2:$L250),'Per Line'!$AD$2:$AD$2501,0),"")</f>
        <v/>
      </c>
      <c r="M250">
        <f>IF($L250="","",INDEX('Per Line'!$E$2:$E$2501,$L250))</f>
        <v/>
      </c>
    </row>
    <row r="251">
      <c r="A251">
        <f>IF($L251="","",INDEX('Per Line'!$C$2:$C$2501,$L251))</f>
        <v/>
      </c>
      <c r="B251">
        <f>IF($L251="","",INDEX('Per Line'!$D$2:$D$2501,$L251))</f>
        <v/>
      </c>
      <c r="C251">
        <f>IF($L251="","",INDEX('Per Line'!$A$2:$A$2501,$L251))</f>
        <v/>
      </c>
      <c r="F251">
        <f>IF($L251="","",INDEX('Per Line'!$U$2:$U$2501,$L251))</f>
        <v/>
      </c>
      <c r="G251" s="5">
        <f>IF($L251="","",SUMIFS('Per Line'!$W$2:$W$2501,'Per Line'!$D$2:$D$2501,$B251))</f>
        <v/>
      </c>
      <c r="H251" s="5">
        <f>IF($L251="","",SUMIFS('Per Line'!$X$2:$X$2501,'Per Line'!$D$2:$D$2501,$B251))</f>
        <v/>
      </c>
      <c r="I251" s="5">
        <f>IF($L251="","",SUMIFS('Per Line'!$Y$2:$Y$2501,'Per Line'!$D$2:$D$2501,$B251))</f>
        <v/>
      </c>
      <c r="J251" s="5">
        <f>IF($L251="","",G251-H251)</f>
        <v/>
      </c>
      <c r="K251" s="5">
        <f>IF($L251="","",J251-I251)</f>
        <v/>
      </c>
      <c r="L251">
        <f>IF(ROWS($L$2:$L251)&lt;=MAX('Per Line'!$AD$2:$AD$2501),MATCH(ROWS($L$2:$L251),'Per Line'!$AD$2:$AD$2501,0),"")</f>
        <v/>
      </c>
      <c r="M251">
        <f>IF($L251="","",INDEX('Per Line'!$E$2:$E$2501,$L251))</f>
        <v/>
      </c>
    </row>
    <row r="252">
      <c r="A252">
        <f>IF($L252="","",INDEX('Per Line'!$C$2:$C$2501,$L252))</f>
        <v/>
      </c>
      <c r="B252">
        <f>IF($L252="","",INDEX('Per Line'!$D$2:$D$2501,$L252))</f>
        <v/>
      </c>
      <c r="C252">
        <f>IF($L252="","",INDEX('Per Line'!$A$2:$A$2501,$L252))</f>
        <v/>
      </c>
      <c r="F252">
        <f>IF($L252="","",INDEX('Per Line'!$U$2:$U$2501,$L252))</f>
        <v/>
      </c>
      <c r="G252" s="5">
        <f>IF($L252="","",SUMIFS('Per Line'!$W$2:$W$2501,'Per Line'!$D$2:$D$2501,$B252))</f>
        <v/>
      </c>
      <c r="H252" s="5">
        <f>IF($L252="","",SUMIFS('Per Line'!$X$2:$X$2501,'Per Line'!$D$2:$D$2501,$B252))</f>
        <v/>
      </c>
      <c r="I252" s="5">
        <f>IF($L252="","",SUMIFS('Per Line'!$Y$2:$Y$2501,'Per Line'!$D$2:$D$2501,$B252))</f>
        <v/>
      </c>
      <c r="J252" s="5">
        <f>IF($L252="","",G252-H252)</f>
        <v/>
      </c>
      <c r="K252" s="5">
        <f>IF($L252="","",J252-I252)</f>
        <v/>
      </c>
      <c r="L252">
        <f>IF(ROWS($L$2:$L252)&lt;=MAX('Per Line'!$AD$2:$AD$2501),MATCH(ROWS($L$2:$L252),'Per Line'!$AD$2:$AD$2501,0),"")</f>
        <v/>
      </c>
      <c r="M252">
        <f>IF($L252="","",INDEX('Per Line'!$E$2:$E$2501,$L252))</f>
        <v/>
      </c>
    </row>
    <row r="253">
      <c r="A253">
        <f>IF($L253="","",INDEX('Per Line'!$C$2:$C$2501,$L253))</f>
        <v/>
      </c>
      <c r="B253">
        <f>IF($L253="","",INDEX('Per Line'!$D$2:$D$2501,$L253))</f>
        <v/>
      </c>
      <c r="C253">
        <f>IF($L253="","",INDEX('Per Line'!$A$2:$A$2501,$L253))</f>
        <v/>
      </c>
      <c r="F253">
        <f>IF($L253="","",INDEX('Per Line'!$U$2:$U$2501,$L253))</f>
        <v/>
      </c>
      <c r="G253" s="5">
        <f>IF($L253="","",SUMIFS('Per Line'!$W$2:$W$2501,'Per Line'!$D$2:$D$2501,$B253))</f>
        <v/>
      </c>
      <c r="H253" s="5">
        <f>IF($L253="","",SUMIFS('Per Line'!$X$2:$X$2501,'Per Line'!$D$2:$D$2501,$B253))</f>
        <v/>
      </c>
      <c r="I253" s="5">
        <f>IF($L253="","",SUMIFS('Per Line'!$Y$2:$Y$2501,'Per Line'!$D$2:$D$2501,$B253))</f>
        <v/>
      </c>
      <c r="J253" s="5">
        <f>IF($L253="","",G253-H253)</f>
        <v/>
      </c>
      <c r="K253" s="5">
        <f>IF($L253="","",J253-I253)</f>
        <v/>
      </c>
      <c r="L253">
        <f>IF(ROWS($L$2:$L253)&lt;=MAX('Per Line'!$AD$2:$AD$2501),MATCH(ROWS($L$2:$L253),'Per Line'!$AD$2:$AD$2501,0),"")</f>
        <v/>
      </c>
      <c r="M253">
        <f>IF($L253="","",INDEX('Per Line'!$E$2:$E$2501,$L253))</f>
        <v/>
      </c>
    </row>
    <row r="254">
      <c r="A254">
        <f>IF($L254="","",INDEX('Per Line'!$C$2:$C$2501,$L254))</f>
        <v/>
      </c>
      <c r="B254">
        <f>IF($L254="","",INDEX('Per Line'!$D$2:$D$2501,$L254))</f>
        <v/>
      </c>
      <c r="C254">
        <f>IF($L254="","",INDEX('Per Line'!$A$2:$A$2501,$L254))</f>
        <v/>
      </c>
      <c r="F254">
        <f>IF($L254="","",INDEX('Per Line'!$U$2:$U$2501,$L254))</f>
        <v/>
      </c>
      <c r="G254" s="5">
        <f>IF($L254="","",SUMIFS('Per Line'!$W$2:$W$2501,'Per Line'!$D$2:$D$2501,$B254))</f>
        <v/>
      </c>
      <c r="H254" s="5">
        <f>IF($L254="","",SUMIFS('Per Line'!$X$2:$X$2501,'Per Line'!$D$2:$D$2501,$B254))</f>
        <v/>
      </c>
      <c r="I254" s="5">
        <f>IF($L254="","",SUMIFS('Per Line'!$Y$2:$Y$2501,'Per Line'!$D$2:$D$2501,$B254))</f>
        <v/>
      </c>
      <c r="J254" s="5">
        <f>IF($L254="","",G254-H254)</f>
        <v/>
      </c>
      <c r="K254" s="5">
        <f>IF($L254="","",J254-I254)</f>
        <v/>
      </c>
      <c r="L254">
        <f>IF(ROWS($L$2:$L254)&lt;=MAX('Per Line'!$AD$2:$AD$2501),MATCH(ROWS($L$2:$L254),'Per Line'!$AD$2:$AD$2501,0),"")</f>
        <v/>
      </c>
      <c r="M254">
        <f>IF($L254="","",INDEX('Per Line'!$E$2:$E$2501,$L254))</f>
        <v/>
      </c>
    </row>
    <row r="255">
      <c r="A255">
        <f>IF($L255="","",INDEX('Per Line'!$C$2:$C$2501,$L255))</f>
        <v/>
      </c>
      <c r="B255">
        <f>IF($L255="","",INDEX('Per Line'!$D$2:$D$2501,$L255))</f>
        <v/>
      </c>
      <c r="C255">
        <f>IF($L255="","",INDEX('Per Line'!$A$2:$A$2501,$L255))</f>
        <v/>
      </c>
      <c r="F255">
        <f>IF($L255="","",INDEX('Per Line'!$U$2:$U$2501,$L255))</f>
        <v/>
      </c>
      <c r="G255" s="5">
        <f>IF($L255="","",SUMIFS('Per Line'!$W$2:$W$2501,'Per Line'!$D$2:$D$2501,$B255))</f>
        <v/>
      </c>
      <c r="H255" s="5">
        <f>IF($L255="","",SUMIFS('Per Line'!$X$2:$X$2501,'Per Line'!$D$2:$D$2501,$B255))</f>
        <v/>
      </c>
      <c r="I255" s="5">
        <f>IF($L255="","",SUMIFS('Per Line'!$Y$2:$Y$2501,'Per Line'!$D$2:$D$2501,$B255))</f>
        <v/>
      </c>
      <c r="J255" s="5">
        <f>IF($L255="","",G255-H255)</f>
        <v/>
      </c>
      <c r="K255" s="5">
        <f>IF($L255="","",J255-I255)</f>
        <v/>
      </c>
      <c r="L255">
        <f>IF(ROWS($L$2:$L255)&lt;=MAX('Per Line'!$AD$2:$AD$2501),MATCH(ROWS($L$2:$L255),'Per Line'!$AD$2:$AD$2501,0),"")</f>
        <v/>
      </c>
      <c r="M255">
        <f>IF($L255="","",INDEX('Per Line'!$E$2:$E$2501,$L255))</f>
        <v/>
      </c>
    </row>
    <row r="256">
      <c r="A256">
        <f>IF($L256="","",INDEX('Per Line'!$C$2:$C$2501,$L256))</f>
        <v/>
      </c>
      <c r="B256">
        <f>IF($L256="","",INDEX('Per Line'!$D$2:$D$2501,$L256))</f>
        <v/>
      </c>
      <c r="C256">
        <f>IF($L256="","",INDEX('Per Line'!$A$2:$A$2501,$L256))</f>
        <v/>
      </c>
      <c r="F256">
        <f>IF($L256="","",INDEX('Per Line'!$U$2:$U$2501,$L256))</f>
        <v/>
      </c>
      <c r="G256" s="5">
        <f>IF($L256="","",SUMIFS('Per Line'!$W$2:$W$2501,'Per Line'!$D$2:$D$2501,$B256))</f>
        <v/>
      </c>
      <c r="H256" s="5">
        <f>IF($L256="","",SUMIFS('Per Line'!$X$2:$X$2501,'Per Line'!$D$2:$D$2501,$B256))</f>
        <v/>
      </c>
      <c r="I256" s="5">
        <f>IF($L256="","",SUMIFS('Per Line'!$Y$2:$Y$2501,'Per Line'!$D$2:$D$2501,$B256))</f>
        <v/>
      </c>
      <c r="J256" s="5">
        <f>IF($L256="","",G256-H256)</f>
        <v/>
      </c>
      <c r="K256" s="5">
        <f>IF($L256="","",J256-I256)</f>
        <v/>
      </c>
      <c r="L256">
        <f>IF(ROWS($L$2:$L256)&lt;=MAX('Per Line'!$AD$2:$AD$2501),MATCH(ROWS($L$2:$L256),'Per Line'!$AD$2:$AD$2501,0),"")</f>
        <v/>
      </c>
      <c r="M256">
        <f>IF($L256="","",INDEX('Per Line'!$E$2:$E$2501,$L256))</f>
        <v/>
      </c>
    </row>
    <row r="257">
      <c r="A257">
        <f>IF($L257="","",INDEX('Per Line'!$C$2:$C$2501,$L257))</f>
        <v/>
      </c>
      <c r="B257">
        <f>IF($L257="","",INDEX('Per Line'!$D$2:$D$2501,$L257))</f>
        <v/>
      </c>
      <c r="C257">
        <f>IF($L257="","",INDEX('Per Line'!$A$2:$A$2501,$L257))</f>
        <v/>
      </c>
      <c r="F257">
        <f>IF($L257="","",INDEX('Per Line'!$U$2:$U$2501,$L257))</f>
        <v/>
      </c>
      <c r="G257" s="5">
        <f>IF($L257="","",SUMIFS('Per Line'!$W$2:$W$2501,'Per Line'!$D$2:$D$2501,$B257))</f>
        <v/>
      </c>
      <c r="H257" s="5">
        <f>IF($L257="","",SUMIFS('Per Line'!$X$2:$X$2501,'Per Line'!$D$2:$D$2501,$B257))</f>
        <v/>
      </c>
      <c r="I257" s="5">
        <f>IF($L257="","",SUMIFS('Per Line'!$Y$2:$Y$2501,'Per Line'!$D$2:$D$2501,$B257))</f>
        <v/>
      </c>
      <c r="J257" s="5">
        <f>IF($L257="","",G257-H257)</f>
        <v/>
      </c>
      <c r="K257" s="5">
        <f>IF($L257="","",J257-I257)</f>
        <v/>
      </c>
      <c r="L257">
        <f>IF(ROWS($L$2:$L257)&lt;=MAX('Per Line'!$AD$2:$AD$2501),MATCH(ROWS($L$2:$L257),'Per Line'!$AD$2:$AD$2501,0),"")</f>
        <v/>
      </c>
      <c r="M257">
        <f>IF($L257="","",INDEX('Per Line'!$E$2:$E$2501,$L257))</f>
        <v/>
      </c>
    </row>
    <row r="258">
      <c r="A258">
        <f>IF($L258="","",INDEX('Per Line'!$C$2:$C$2501,$L258))</f>
        <v/>
      </c>
      <c r="B258">
        <f>IF($L258="","",INDEX('Per Line'!$D$2:$D$2501,$L258))</f>
        <v/>
      </c>
      <c r="C258">
        <f>IF($L258="","",INDEX('Per Line'!$A$2:$A$2501,$L258))</f>
        <v/>
      </c>
      <c r="F258">
        <f>IF($L258="","",INDEX('Per Line'!$U$2:$U$2501,$L258))</f>
        <v/>
      </c>
      <c r="G258" s="5">
        <f>IF($L258="","",SUMIFS('Per Line'!$W$2:$W$2501,'Per Line'!$D$2:$D$2501,$B258))</f>
        <v/>
      </c>
      <c r="H258" s="5">
        <f>IF($L258="","",SUMIFS('Per Line'!$X$2:$X$2501,'Per Line'!$D$2:$D$2501,$B258))</f>
        <v/>
      </c>
      <c r="I258" s="5">
        <f>IF($L258="","",SUMIFS('Per Line'!$Y$2:$Y$2501,'Per Line'!$D$2:$D$2501,$B258))</f>
        <v/>
      </c>
      <c r="J258" s="5">
        <f>IF($L258="","",G258-H258)</f>
        <v/>
      </c>
      <c r="K258" s="5">
        <f>IF($L258="","",J258-I258)</f>
        <v/>
      </c>
      <c r="L258">
        <f>IF(ROWS($L$2:$L258)&lt;=MAX('Per Line'!$AD$2:$AD$2501),MATCH(ROWS($L$2:$L258),'Per Line'!$AD$2:$AD$2501,0),"")</f>
        <v/>
      </c>
      <c r="M258">
        <f>IF($L258="","",INDEX('Per Line'!$E$2:$E$2501,$L258))</f>
        <v/>
      </c>
    </row>
    <row r="259">
      <c r="A259">
        <f>IF($L259="","",INDEX('Per Line'!$C$2:$C$2501,$L259))</f>
        <v/>
      </c>
      <c r="B259">
        <f>IF($L259="","",INDEX('Per Line'!$D$2:$D$2501,$L259))</f>
        <v/>
      </c>
      <c r="C259">
        <f>IF($L259="","",INDEX('Per Line'!$A$2:$A$2501,$L259))</f>
        <v/>
      </c>
      <c r="F259">
        <f>IF($L259="","",INDEX('Per Line'!$U$2:$U$2501,$L259))</f>
        <v/>
      </c>
      <c r="G259" s="5">
        <f>IF($L259="","",SUMIFS('Per Line'!$W$2:$W$2501,'Per Line'!$D$2:$D$2501,$B259))</f>
        <v/>
      </c>
      <c r="H259" s="5">
        <f>IF($L259="","",SUMIFS('Per Line'!$X$2:$X$2501,'Per Line'!$D$2:$D$2501,$B259))</f>
        <v/>
      </c>
      <c r="I259" s="5">
        <f>IF($L259="","",SUMIFS('Per Line'!$Y$2:$Y$2501,'Per Line'!$D$2:$D$2501,$B259))</f>
        <v/>
      </c>
      <c r="J259" s="5">
        <f>IF($L259="","",G259-H259)</f>
        <v/>
      </c>
      <c r="K259" s="5">
        <f>IF($L259="","",J259-I259)</f>
        <v/>
      </c>
      <c r="L259">
        <f>IF(ROWS($L$2:$L259)&lt;=MAX('Per Line'!$AD$2:$AD$2501),MATCH(ROWS($L$2:$L259),'Per Line'!$AD$2:$AD$2501,0),"")</f>
        <v/>
      </c>
      <c r="M259">
        <f>IF($L259="","",INDEX('Per Line'!$E$2:$E$2501,$L259))</f>
        <v/>
      </c>
    </row>
    <row r="260">
      <c r="A260">
        <f>IF($L260="","",INDEX('Per Line'!$C$2:$C$2501,$L260))</f>
        <v/>
      </c>
      <c r="B260">
        <f>IF($L260="","",INDEX('Per Line'!$D$2:$D$2501,$L260))</f>
        <v/>
      </c>
      <c r="C260">
        <f>IF($L260="","",INDEX('Per Line'!$A$2:$A$2501,$L260))</f>
        <v/>
      </c>
      <c r="F260">
        <f>IF($L260="","",INDEX('Per Line'!$U$2:$U$2501,$L260))</f>
        <v/>
      </c>
      <c r="G260" s="5">
        <f>IF($L260="","",SUMIFS('Per Line'!$W$2:$W$2501,'Per Line'!$D$2:$D$2501,$B260))</f>
        <v/>
      </c>
      <c r="H260" s="5">
        <f>IF($L260="","",SUMIFS('Per Line'!$X$2:$X$2501,'Per Line'!$D$2:$D$2501,$B260))</f>
        <v/>
      </c>
      <c r="I260" s="5">
        <f>IF($L260="","",SUMIFS('Per Line'!$Y$2:$Y$2501,'Per Line'!$D$2:$D$2501,$B260))</f>
        <v/>
      </c>
      <c r="J260" s="5">
        <f>IF($L260="","",G260-H260)</f>
        <v/>
      </c>
      <c r="K260" s="5">
        <f>IF($L260="","",J260-I260)</f>
        <v/>
      </c>
      <c r="L260">
        <f>IF(ROWS($L$2:$L260)&lt;=MAX('Per Line'!$AD$2:$AD$2501),MATCH(ROWS($L$2:$L260),'Per Line'!$AD$2:$AD$2501,0),"")</f>
        <v/>
      </c>
      <c r="M260">
        <f>IF($L260="","",INDEX('Per Line'!$E$2:$E$2501,$L260))</f>
        <v/>
      </c>
    </row>
    <row r="261">
      <c r="A261">
        <f>IF($L261="","",INDEX('Per Line'!$C$2:$C$2501,$L261))</f>
        <v/>
      </c>
      <c r="B261">
        <f>IF($L261="","",INDEX('Per Line'!$D$2:$D$2501,$L261))</f>
        <v/>
      </c>
      <c r="C261">
        <f>IF($L261="","",INDEX('Per Line'!$A$2:$A$2501,$L261))</f>
        <v/>
      </c>
      <c r="F261">
        <f>IF($L261="","",INDEX('Per Line'!$U$2:$U$2501,$L261))</f>
        <v/>
      </c>
      <c r="G261" s="5">
        <f>IF($L261="","",SUMIFS('Per Line'!$W$2:$W$2501,'Per Line'!$D$2:$D$2501,$B261))</f>
        <v/>
      </c>
      <c r="H261" s="5">
        <f>IF($L261="","",SUMIFS('Per Line'!$X$2:$X$2501,'Per Line'!$D$2:$D$2501,$B261))</f>
        <v/>
      </c>
      <c r="I261" s="5">
        <f>IF($L261="","",SUMIFS('Per Line'!$Y$2:$Y$2501,'Per Line'!$D$2:$D$2501,$B261))</f>
        <v/>
      </c>
      <c r="J261" s="5">
        <f>IF($L261="","",G261-H261)</f>
        <v/>
      </c>
      <c r="K261" s="5">
        <f>IF($L261="","",J261-I261)</f>
        <v/>
      </c>
      <c r="L261">
        <f>IF(ROWS($L$2:$L261)&lt;=MAX('Per Line'!$AD$2:$AD$2501),MATCH(ROWS($L$2:$L261),'Per Line'!$AD$2:$AD$2501,0),"")</f>
        <v/>
      </c>
      <c r="M261">
        <f>IF($L261="","",INDEX('Per Line'!$E$2:$E$2501,$L261))</f>
        <v/>
      </c>
    </row>
    <row r="262">
      <c r="A262">
        <f>IF($L262="","",INDEX('Per Line'!$C$2:$C$2501,$L262))</f>
        <v/>
      </c>
      <c r="B262">
        <f>IF($L262="","",INDEX('Per Line'!$D$2:$D$2501,$L262))</f>
        <v/>
      </c>
      <c r="C262">
        <f>IF($L262="","",INDEX('Per Line'!$A$2:$A$2501,$L262))</f>
        <v/>
      </c>
      <c r="F262">
        <f>IF($L262="","",INDEX('Per Line'!$U$2:$U$2501,$L262))</f>
        <v/>
      </c>
      <c r="G262" s="5">
        <f>IF($L262="","",SUMIFS('Per Line'!$W$2:$W$2501,'Per Line'!$D$2:$D$2501,$B262))</f>
        <v/>
      </c>
      <c r="H262" s="5">
        <f>IF($L262="","",SUMIFS('Per Line'!$X$2:$X$2501,'Per Line'!$D$2:$D$2501,$B262))</f>
        <v/>
      </c>
      <c r="I262" s="5">
        <f>IF($L262="","",SUMIFS('Per Line'!$Y$2:$Y$2501,'Per Line'!$D$2:$D$2501,$B262))</f>
        <v/>
      </c>
      <c r="J262" s="5">
        <f>IF($L262="","",G262-H262)</f>
        <v/>
      </c>
      <c r="K262" s="5">
        <f>IF($L262="","",J262-I262)</f>
        <v/>
      </c>
      <c r="L262">
        <f>IF(ROWS($L$2:$L262)&lt;=MAX('Per Line'!$AD$2:$AD$2501),MATCH(ROWS($L$2:$L262),'Per Line'!$AD$2:$AD$2501,0),"")</f>
        <v/>
      </c>
      <c r="M262">
        <f>IF($L262="","",INDEX('Per Line'!$E$2:$E$2501,$L262))</f>
        <v/>
      </c>
    </row>
    <row r="263">
      <c r="A263">
        <f>IF($L263="","",INDEX('Per Line'!$C$2:$C$2501,$L263))</f>
        <v/>
      </c>
      <c r="B263">
        <f>IF($L263="","",INDEX('Per Line'!$D$2:$D$2501,$L263))</f>
        <v/>
      </c>
      <c r="C263">
        <f>IF($L263="","",INDEX('Per Line'!$A$2:$A$2501,$L263))</f>
        <v/>
      </c>
      <c r="F263">
        <f>IF($L263="","",INDEX('Per Line'!$U$2:$U$2501,$L263))</f>
        <v/>
      </c>
      <c r="G263" s="5">
        <f>IF($L263="","",SUMIFS('Per Line'!$W$2:$W$2501,'Per Line'!$D$2:$D$2501,$B263))</f>
        <v/>
      </c>
      <c r="H263" s="5">
        <f>IF($L263="","",SUMIFS('Per Line'!$X$2:$X$2501,'Per Line'!$D$2:$D$2501,$B263))</f>
        <v/>
      </c>
      <c r="I263" s="5">
        <f>IF($L263="","",SUMIFS('Per Line'!$Y$2:$Y$2501,'Per Line'!$D$2:$D$2501,$B263))</f>
        <v/>
      </c>
      <c r="J263" s="5">
        <f>IF($L263="","",G263-H263)</f>
        <v/>
      </c>
      <c r="K263" s="5">
        <f>IF($L263="","",J263-I263)</f>
        <v/>
      </c>
      <c r="L263">
        <f>IF(ROWS($L$2:$L263)&lt;=MAX('Per Line'!$AD$2:$AD$2501),MATCH(ROWS($L$2:$L263),'Per Line'!$AD$2:$AD$2501,0),"")</f>
        <v/>
      </c>
      <c r="M263">
        <f>IF($L263="","",INDEX('Per Line'!$E$2:$E$2501,$L263))</f>
        <v/>
      </c>
    </row>
    <row r="264">
      <c r="A264">
        <f>IF($L264="","",INDEX('Per Line'!$C$2:$C$2501,$L264))</f>
        <v/>
      </c>
      <c r="B264">
        <f>IF($L264="","",INDEX('Per Line'!$D$2:$D$2501,$L264))</f>
        <v/>
      </c>
      <c r="C264">
        <f>IF($L264="","",INDEX('Per Line'!$A$2:$A$2501,$L264))</f>
        <v/>
      </c>
      <c r="F264">
        <f>IF($L264="","",INDEX('Per Line'!$U$2:$U$2501,$L264))</f>
        <v/>
      </c>
      <c r="G264" s="5">
        <f>IF($L264="","",SUMIFS('Per Line'!$W$2:$W$2501,'Per Line'!$D$2:$D$2501,$B264))</f>
        <v/>
      </c>
      <c r="H264" s="5">
        <f>IF($L264="","",SUMIFS('Per Line'!$X$2:$X$2501,'Per Line'!$D$2:$D$2501,$B264))</f>
        <v/>
      </c>
      <c r="I264" s="5">
        <f>IF($L264="","",SUMIFS('Per Line'!$Y$2:$Y$2501,'Per Line'!$D$2:$D$2501,$B264))</f>
        <v/>
      </c>
      <c r="J264" s="5">
        <f>IF($L264="","",G264-H264)</f>
        <v/>
      </c>
      <c r="K264" s="5">
        <f>IF($L264="","",J264-I264)</f>
        <v/>
      </c>
      <c r="L264">
        <f>IF(ROWS($L$2:$L264)&lt;=MAX('Per Line'!$AD$2:$AD$2501),MATCH(ROWS($L$2:$L264),'Per Line'!$AD$2:$AD$2501,0),"")</f>
        <v/>
      </c>
      <c r="M264">
        <f>IF($L264="","",INDEX('Per Line'!$E$2:$E$2501,$L264))</f>
        <v/>
      </c>
    </row>
    <row r="265">
      <c r="A265">
        <f>IF($L265="","",INDEX('Per Line'!$C$2:$C$2501,$L265))</f>
        <v/>
      </c>
      <c r="B265">
        <f>IF($L265="","",INDEX('Per Line'!$D$2:$D$2501,$L265))</f>
        <v/>
      </c>
      <c r="C265">
        <f>IF($L265="","",INDEX('Per Line'!$A$2:$A$2501,$L265))</f>
        <v/>
      </c>
      <c r="F265">
        <f>IF($L265="","",INDEX('Per Line'!$U$2:$U$2501,$L265))</f>
        <v/>
      </c>
      <c r="G265" s="5">
        <f>IF($L265="","",SUMIFS('Per Line'!$W$2:$W$2501,'Per Line'!$D$2:$D$2501,$B265))</f>
        <v/>
      </c>
      <c r="H265" s="5">
        <f>IF($L265="","",SUMIFS('Per Line'!$X$2:$X$2501,'Per Line'!$D$2:$D$2501,$B265))</f>
        <v/>
      </c>
      <c r="I265" s="5">
        <f>IF($L265="","",SUMIFS('Per Line'!$Y$2:$Y$2501,'Per Line'!$D$2:$D$2501,$B265))</f>
        <v/>
      </c>
      <c r="J265" s="5">
        <f>IF($L265="","",G265-H265)</f>
        <v/>
      </c>
      <c r="K265" s="5">
        <f>IF($L265="","",J265-I265)</f>
        <v/>
      </c>
      <c r="L265">
        <f>IF(ROWS($L$2:$L265)&lt;=MAX('Per Line'!$AD$2:$AD$2501),MATCH(ROWS($L$2:$L265),'Per Line'!$AD$2:$AD$2501,0),"")</f>
        <v/>
      </c>
      <c r="M265">
        <f>IF($L265="","",INDEX('Per Line'!$E$2:$E$2501,$L265))</f>
        <v/>
      </c>
    </row>
    <row r="266">
      <c r="A266">
        <f>IF($L266="","",INDEX('Per Line'!$C$2:$C$2501,$L266))</f>
        <v/>
      </c>
      <c r="B266">
        <f>IF($L266="","",INDEX('Per Line'!$D$2:$D$2501,$L266))</f>
        <v/>
      </c>
      <c r="C266">
        <f>IF($L266="","",INDEX('Per Line'!$A$2:$A$2501,$L266))</f>
        <v/>
      </c>
      <c r="F266">
        <f>IF($L266="","",INDEX('Per Line'!$U$2:$U$2501,$L266))</f>
        <v/>
      </c>
      <c r="G266" s="5">
        <f>IF($L266="","",SUMIFS('Per Line'!$W$2:$W$2501,'Per Line'!$D$2:$D$2501,$B266))</f>
        <v/>
      </c>
      <c r="H266" s="5">
        <f>IF($L266="","",SUMIFS('Per Line'!$X$2:$X$2501,'Per Line'!$D$2:$D$2501,$B266))</f>
        <v/>
      </c>
      <c r="I266" s="5">
        <f>IF($L266="","",SUMIFS('Per Line'!$Y$2:$Y$2501,'Per Line'!$D$2:$D$2501,$B266))</f>
        <v/>
      </c>
      <c r="J266" s="5">
        <f>IF($L266="","",G266-H266)</f>
        <v/>
      </c>
      <c r="K266" s="5">
        <f>IF($L266="","",J266-I266)</f>
        <v/>
      </c>
      <c r="L266">
        <f>IF(ROWS($L$2:$L266)&lt;=MAX('Per Line'!$AD$2:$AD$2501),MATCH(ROWS($L$2:$L266),'Per Line'!$AD$2:$AD$2501,0),"")</f>
        <v/>
      </c>
      <c r="M266">
        <f>IF($L266="","",INDEX('Per Line'!$E$2:$E$2501,$L266))</f>
        <v/>
      </c>
    </row>
    <row r="267">
      <c r="A267">
        <f>IF($L267="","",INDEX('Per Line'!$C$2:$C$2501,$L267))</f>
        <v/>
      </c>
      <c r="B267">
        <f>IF($L267="","",INDEX('Per Line'!$D$2:$D$2501,$L267))</f>
        <v/>
      </c>
      <c r="C267">
        <f>IF($L267="","",INDEX('Per Line'!$A$2:$A$2501,$L267))</f>
        <v/>
      </c>
      <c r="F267">
        <f>IF($L267="","",INDEX('Per Line'!$U$2:$U$2501,$L267))</f>
        <v/>
      </c>
      <c r="G267" s="5">
        <f>IF($L267="","",SUMIFS('Per Line'!$W$2:$W$2501,'Per Line'!$D$2:$D$2501,$B267))</f>
        <v/>
      </c>
      <c r="H267" s="5">
        <f>IF($L267="","",SUMIFS('Per Line'!$X$2:$X$2501,'Per Line'!$D$2:$D$2501,$B267))</f>
        <v/>
      </c>
      <c r="I267" s="5">
        <f>IF($L267="","",SUMIFS('Per Line'!$Y$2:$Y$2501,'Per Line'!$D$2:$D$2501,$B267))</f>
        <v/>
      </c>
      <c r="J267" s="5">
        <f>IF($L267="","",G267-H267)</f>
        <v/>
      </c>
      <c r="K267" s="5">
        <f>IF($L267="","",J267-I267)</f>
        <v/>
      </c>
      <c r="L267">
        <f>IF(ROWS($L$2:$L267)&lt;=MAX('Per Line'!$AD$2:$AD$2501),MATCH(ROWS($L$2:$L267),'Per Line'!$AD$2:$AD$2501,0),"")</f>
        <v/>
      </c>
      <c r="M267">
        <f>IF($L267="","",INDEX('Per Line'!$E$2:$E$2501,$L267))</f>
        <v/>
      </c>
    </row>
    <row r="268">
      <c r="A268">
        <f>IF($L268="","",INDEX('Per Line'!$C$2:$C$2501,$L268))</f>
        <v/>
      </c>
      <c r="B268">
        <f>IF($L268="","",INDEX('Per Line'!$D$2:$D$2501,$L268))</f>
        <v/>
      </c>
      <c r="C268">
        <f>IF($L268="","",INDEX('Per Line'!$A$2:$A$2501,$L268))</f>
        <v/>
      </c>
      <c r="F268">
        <f>IF($L268="","",INDEX('Per Line'!$U$2:$U$2501,$L268))</f>
        <v/>
      </c>
      <c r="G268" s="5">
        <f>IF($L268="","",SUMIFS('Per Line'!$W$2:$W$2501,'Per Line'!$D$2:$D$2501,$B268))</f>
        <v/>
      </c>
      <c r="H268" s="5">
        <f>IF($L268="","",SUMIFS('Per Line'!$X$2:$X$2501,'Per Line'!$D$2:$D$2501,$B268))</f>
        <v/>
      </c>
      <c r="I268" s="5">
        <f>IF($L268="","",SUMIFS('Per Line'!$Y$2:$Y$2501,'Per Line'!$D$2:$D$2501,$B268))</f>
        <v/>
      </c>
      <c r="J268" s="5">
        <f>IF($L268="","",G268-H268)</f>
        <v/>
      </c>
      <c r="K268" s="5">
        <f>IF($L268="","",J268-I268)</f>
        <v/>
      </c>
      <c r="L268">
        <f>IF(ROWS($L$2:$L268)&lt;=MAX('Per Line'!$AD$2:$AD$2501),MATCH(ROWS($L$2:$L268),'Per Line'!$AD$2:$AD$2501,0),"")</f>
        <v/>
      </c>
      <c r="M268">
        <f>IF($L268="","",INDEX('Per Line'!$E$2:$E$2501,$L268))</f>
        <v/>
      </c>
    </row>
    <row r="269">
      <c r="A269">
        <f>IF($L269="","",INDEX('Per Line'!$C$2:$C$2501,$L269))</f>
        <v/>
      </c>
      <c r="B269">
        <f>IF($L269="","",INDEX('Per Line'!$D$2:$D$2501,$L269))</f>
        <v/>
      </c>
      <c r="C269">
        <f>IF($L269="","",INDEX('Per Line'!$A$2:$A$2501,$L269))</f>
        <v/>
      </c>
      <c r="F269">
        <f>IF($L269="","",INDEX('Per Line'!$U$2:$U$2501,$L269))</f>
        <v/>
      </c>
      <c r="G269" s="5">
        <f>IF($L269="","",SUMIFS('Per Line'!$W$2:$W$2501,'Per Line'!$D$2:$D$2501,$B269))</f>
        <v/>
      </c>
      <c r="H269" s="5">
        <f>IF($L269="","",SUMIFS('Per Line'!$X$2:$X$2501,'Per Line'!$D$2:$D$2501,$B269))</f>
        <v/>
      </c>
      <c r="I269" s="5">
        <f>IF($L269="","",SUMIFS('Per Line'!$Y$2:$Y$2501,'Per Line'!$D$2:$D$2501,$B269))</f>
        <v/>
      </c>
      <c r="J269" s="5">
        <f>IF($L269="","",G269-H269)</f>
        <v/>
      </c>
      <c r="K269" s="5">
        <f>IF($L269="","",J269-I269)</f>
        <v/>
      </c>
      <c r="L269">
        <f>IF(ROWS($L$2:$L269)&lt;=MAX('Per Line'!$AD$2:$AD$2501),MATCH(ROWS($L$2:$L269),'Per Line'!$AD$2:$AD$2501,0),"")</f>
        <v/>
      </c>
      <c r="M269">
        <f>IF($L269="","",INDEX('Per Line'!$E$2:$E$2501,$L269))</f>
        <v/>
      </c>
    </row>
    <row r="270">
      <c r="A270">
        <f>IF($L270="","",INDEX('Per Line'!$C$2:$C$2501,$L270))</f>
        <v/>
      </c>
      <c r="B270">
        <f>IF($L270="","",INDEX('Per Line'!$D$2:$D$2501,$L270))</f>
        <v/>
      </c>
      <c r="C270">
        <f>IF($L270="","",INDEX('Per Line'!$A$2:$A$2501,$L270))</f>
        <v/>
      </c>
      <c r="F270">
        <f>IF($L270="","",INDEX('Per Line'!$U$2:$U$2501,$L270))</f>
        <v/>
      </c>
      <c r="G270" s="5">
        <f>IF($L270="","",SUMIFS('Per Line'!$W$2:$W$2501,'Per Line'!$D$2:$D$2501,$B270))</f>
        <v/>
      </c>
      <c r="H270" s="5">
        <f>IF($L270="","",SUMIFS('Per Line'!$X$2:$X$2501,'Per Line'!$D$2:$D$2501,$B270))</f>
        <v/>
      </c>
      <c r="I270" s="5">
        <f>IF($L270="","",SUMIFS('Per Line'!$Y$2:$Y$2501,'Per Line'!$D$2:$D$2501,$B270))</f>
        <v/>
      </c>
      <c r="J270" s="5">
        <f>IF($L270="","",G270-H270)</f>
        <v/>
      </c>
      <c r="K270" s="5">
        <f>IF($L270="","",J270-I270)</f>
        <v/>
      </c>
      <c r="L270">
        <f>IF(ROWS($L$2:$L270)&lt;=MAX('Per Line'!$AD$2:$AD$2501),MATCH(ROWS($L$2:$L270),'Per Line'!$AD$2:$AD$2501,0),"")</f>
        <v/>
      </c>
      <c r="M270">
        <f>IF($L270="","",INDEX('Per Line'!$E$2:$E$2501,$L270))</f>
        <v/>
      </c>
    </row>
    <row r="271">
      <c r="A271">
        <f>IF($L271="","",INDEX('Per Line'!$C$2:$C$2501,$L271))</f>
        <v/>
      </c>
      <c r="B271">
        <f>IF($L271="","",INDEX('Per Line'!$D$2:$D$2501,$L271))</f>
        <v/>
      </c>
      <c r="C271">
        <f>IF($L271="","",INDEX('Per Line'!$A$2:$A$2501,$L271))</f>
        <v/>
      </c>
      <c r="F271">
        <f>IF($L271="","",INDEX('Per Line'!$U$2:$U$2501,$L271))</f>
        <v/>
      </c>
      <c r="G271" s="5">
        <f>IF($L271="","",SUMIFS('Per Line'!$W$2:$W$2501,'Per Line'!$D$2:$D$2501,$B271))</f>
        <v/>
      </c>
      <c r="H271" s="5">
        <f>IF($L271="","",SUMIFS('Per Line'!$X$2:$X$2501,'Per Line'!$D$2:$D$2501,$B271))</f>
        <v/>
      </c>
      <c r="I271" s="5">
        <f>IF($L271="","",SUMIFS('Per Line'!$Y$2:$Y$2501,'Per Line'!$D$2:$D$2501,$B271))</f>
        <v/>
      </c>
      <c r="J271" s="5">
        <f>IF($L271="","",G271-H271)</f>
        <v/>
      </c>
      <c r="K271" s="5">
        <f>IF($L271="","",J271-I271)</f>
        <v/>
      </c>
      <c r="L271">
        <f>IF(ROWS($L$2:$L271)&lt;=MAX('Per Line'!$AD$2:$AD$2501),MATCH(ROWS($L$2:$L271),'Per Line'!$AD$2:$AD$2501,0),"")</f>
        <v/>
      </c>
      <c r="M271">
        <f>IF($L271="","",INDEX('Per Line'!$E$2:$E$2501,$L271))</f>
        <v/>
      </c>
    </row>
    <row r="272">
      <c r="A272">
        <f>IF($L272="","",INDEX('Per Line'!$C$2:$C$2501,$L272))</f>
        <v/>
      </c>
      <c r="B272">
        <f>IF($L272="","",INDEX('Per Line'!$D$2:$D$2501,$L272))</f>
        <v/>
      </c>
      <c r="C272">
        <f>IF($L272="","",INDEX('Per Line'!$A$2:$A$2501,$L272))</f>
        <v/>
      </c>
      <c r="F272">
        <f>IF($L272="","",INDEX('Per Line'!$U$2:$U$2501,$L272))</f>
        <v/>
      </c>
      <c r="G272" s="5">
        <f>IF($L272="","",SUMIFS('Per Line'!$W$2:$W$2501,'Per Line'!$D$2:$D$2501,$B272))</f>
        <v/>
      </c>
      <c r="H272" s="5">
        <f>IF($L272="","",SUMIFS('Per Line'!$X$2:$X$2501,'Per Line'!$D$2:$D$2501,$B272))</f>
        <v/>
      </c>
      <c r="I272" s="5">
        <f>IF($L272="","",SUMIFS('Per Line'!$Y$2:$Y$2501,'Per Line'!$D$2:$D$2501,$B272))</f>
        <v/>
      </c>
      <c r="J272" s="5">
        <f>IF($L272="","",G272-H272)</f>
        <v/>
      </c>
      <c r="K272" s="5">
        <f>IF($L272="","",J272-I272)</f>
        <v/>
      </c>
      <c r="L272">
        <f>IF(ROWS($L$2:$L272)&lt;=MAX('Per Line'!$AD$2:$AD$2501),MATCH(ROWS($L$2:$L272),'Per Line'!$AD$2:$AD$2501,0),"")</f>
        <v/>
      </c>
      <c r="M272">
        <f>IF($L272="","",INDEX('Per Line'!$E$2:$E$2501,$L272))</f>
        <v/>
      </c>
    </row>
    <row r="273">
      <c r="A273">
        <f>IF($L273="","",INDEX('Per Line'!$C$2:$C$2501,$L273))</f>
        <v/>
      </c>
      <c r="B273">
        <f>IF($L273="","",INDEX('Per Line'!$D$2:$D$2501,$L273))</f>
        <v/>
      </c>
      <c r="C273">
        <f>IF($L273="","",INDEX('Per Line'!$A$2:$A$2501,$L273))</f>
        <v/>
      </c>
      <c r="F273">
        <f>IF($L273="","",INDEX('Per Line'!$U$2:$U$2501,$L273))</f>
        <v/>
      </c>
      <c r="G273" s="5">
        <f>IF($L273="","",SUMIFS('Per Line'!$W$2:$W$2501,'Per Line'!$D$2:$D$2501,$B273))</f>
        <v/>
      </c>
      <c r="H273" s="5">
        <f>IF($L273="","",SUMIFS('Per Line'!$X$2:$X$2501,'Per Line'!$D$2:$D$2501,$B273))</f>
        <v/>
      </c>
      <c r="I273" s="5">
        <f>IF($L273="","",SUMIFS('Per Line'!$Y$2:$Y$2501,'Per Line'!$D$2:$D$2501,$B273))</f>
        <v/>
      </c>
      <c r="J273" s="5">
        <f>IF($L273="","",G273-H273)</f>
        <v/>
      </c>
      <c r="K273" s="5">
        <f>IF($L273="","",J273-I273)</f>
        <v/>
      </c>
      <c r="L273">
        <f>IF(ROWS($L$2:$L273)&lt;=MAX('Per Line'!$AD$2:$AD$2501),MATCH(ROWS($L$2:$L273),'Per Line'!$AD$2:$AD$2501,0),"")</f>
        <v/>
      </c>
      <c r="M273">
        <f>IF($L273="","",INDEX('Per Line'!$E$2:$E$2501,$L273))</f>
        <v/>
      </c>
    </row>
    <row r="274">
      <c r="A274">
        <f>IF($L274="","",INDEX('Per Line'!$C$2:$C$2501,$L274))</f>
        <v/>
      </c>
      <c r="B274">
        <f>IF($L274="","",INDEX('Per Line'!$D$2:$D$2501,$L274))</f>
        <v/>
      </c>
      <c r="C274">
        <f>IF($L274="","",INDEX('Per Line'!$A$2:$A$2501,$L274))</f>
        <v/>
      </c>
      <c r="F274">
        <f>IF($L274="","",INDEX('Per Line'!$U$2:$U$2501,$L274))</f>
        <v/>
      </c>
      <c r="G274" s="5">
        <f>IF($L274="","",SUMIFS('Per Line'!$W$2:$W$2501,'Per Line'!$D$2:$D$2501,$B274))</f>
        <v/>
      </c>
      <c r="H274" s="5">
        <f>IF($L274="","",SUMIFS('Per Line'!$X$2:$X$2501,'Per Line'!$D$2:$D$2501,$B274))</f>
        <v/>
      </c>
      <c r="I274" s="5">
        <f>IF($L274="","",SUMIFS('Per Line'!$Y$2:$Y$2501,'Per Line'!$D$2:$D$2501,$B274))</f>
        <v/>
      </c>
      <c r="J274" s="5">
        <f>IF($L274="","",G274-H274)</f>
        <v/>
      </c>
      <c r="K274" s="5">
        <f>IF($L274="","",J274-I274)</f>
        <v/>
      </c>
      <c r="L274">
        <f>IF(ROWS($L$2:$L274)&lt;=MAX('Per Line'!$AD$2:$AD$2501),MATCH(ROWS($L$2:$L274),'Per Line'!$AD$2:$AD$2501,0),"")</f>
        <v/>
      </c>
      <c r="M274">
        <f>IF($L274="","",INDEX('Per Line'!$E$2:$E$2501,$L274))</f>
        <v/>
      </c>
    </row>
    <row r="275">
      <c r="A275">
        <f>IF($L275="","",INDEX('Per Line'!$C$2:$C$2501,$L275))</f>
        <v/>
      </c>
      <c r="B275">
        <f>IF($L275="","",INDEX('Per Line'!$D$2:$D$2501,$L275))</f>
        <v/>
      </c>
      <c r="C275">
        <f>IF($L275="","",INDEX('Per Line'!$A$2:$A$2501,$L275))</f>
        <v/>
      </c>
      <c r="F275">
        <f>IF($L275="","",INDEX('Per Line'!$U$2:$U$2501,$L275))</f>
        <v/>
      </c>
      <c r="G275" s="5">
        <f>IF($L275="","",SUMIFS('Per Line'!$W$2:$W$2501,'Per Line'!$D$2:$D$2501,$B275))</f>
        <v/>
      </c>
      <c r="H275" s="5">
        <f>IF($L275="","",SUMIFS('Per Line'!$X$2:$X$2501,'Per Line'!$D$2:$D$2501,$B275))</f>
        <v/>
      </c>
      <c r="I275" s="5">
        <f>IF($L275="","",SUMIFS('Per Line'!$Y$2:$Y$2501,'Per Line'!$D$2:$D$2501,$B275))</f>
        <v/>
      </c>
      <c r="J275" s="5">
        <f>IF($L275="","",G275-H275)</f>
        <v/>
      </c>
      <c r="K275" s="5">
        <f>IF($L275="","",J275-I275)</f>
        <v/>
      </c>
      <c r="L275">
        <f>IF(ROWS($L$2:$L275)&lt;=MAX('Per Line'!$AD$2:$AD$2501),MATCH(ROWS($L$2:$L275),'Per Line'!$AD$2:$AD$2501,0),"")</f>
        <v/>
      </c>
      <c r="M275">
        <f>IF($L275="","",INDEX('Per Line'!$E$2:$E$2501,$L275))</f>
        <v/>
      </c>
    </row>
    <row r="276">
      <c r="A276">
        <f>IF($L276="","",INDEX('Per Line'!$C$2:$C$2501,$L276))</f>
        <v/>
      </c>
      <c r="B276">
        <f>IF($L276="","",INDEX('Per Line'!$D$2:$D$2501,$L276))</f>
        <v/>
      </c>
      <c r="C276">
        <f>IF($L276="","",INDEX('Per Line'!$A$2:$A$2501,$L276))</f>
        <v/>
      </c>
      <c r="F276">
        <f>IF($L276="","",INDEX('Per Line'!$U$2:$U$2501,$L276))</f>
        <v/>
      </c>
      <c r="G276" s="5">
        <f>IF($L276="","",SUMIFS('Per Line'!$W$2:$W$2501,'Per Line'!$D$2:$D$2501,$B276))</f>
        <v/>
      </c>
      <c r="H276" s="5">
        <f>IF($L276="","",SUMIFS('Per Line'!$X$2:$X$2501,'Per Line'!$D$2:$D$2501,$B276))</f>
        <v/>
      </c>
      <c r="I276" s="5">
        <f>IF($L276="","",SUMIFS('Per Line'!$Y$2:$Y$2501,'Per Line'!$D$2:$D$2501,$B276))</f>
        <v/>
      </c>
      <c r="J276" s="5">
        <f>IF($L276="","",G276-H276)</f>
        <v/>
      </c>
      <c r="K276" s="5">
        <f>IF($L276="","",J276-I276)</f>
        <v/>
      </c>
      <c r="L276">
        <f>IF(ROWS($L$2:$L276)&lt;=MAX('Per Line'!$AD$2:$AD$2501),MATCH(ROWS($L$2:$L276),'Per Line'!$AD$2:$AD$2501,0),"")</f>
        <v/>
      </c>
      <c r="M276">
        <f>IF($L276="","",INDEX('Per Line'!$E$2:$E$2501,$L276))</f>
        <v/>
      </c>
    </row>
    <row r="277">
      <c r="A277">
        <f>IF($L277="","",INDEX('Per Line'!$C$2:$C$2501,$L277))</f>
        <v/>
      </c>
      <c r="B277">
        <f>IF($L277="","",INDEX('Per Line'!$D$2:$D$2501,$L277))</f>
        <v/>
      </c>
      <c r="C277">
        <f>IF($L277="","",INDEX('Per Line'!$A$2:$A$2501,$L277))</f>
        <v/>
      </c>
      <c r="F277">
        <f>IF($L277="","",INDEX('Per Line'!$U$2:$U$2501,$L277))</f>
        <v/>
      </c>
      <c r="G277" s="5">
        <f>IF($L277="","",SUMIFS('Per Line'!$W$2:$W$2501,'Per Line'!$D$2:$D$2501,$B277))</f>
        <v/>
      </c>
      <c r="H277" s="5">
        <f>IF($L277="","",SUMIFS('Per Line'!$X$2:$X$2501,'Per Line'!$D$2:$D$2501,$B277))</f>
        <v/>
      </c>
      <c r="I277" s="5">
        <f>IF($L277="","",SUMIFS('Per Line'!$Y$2:$Y$2501,'Per Line'!$D$2:$D$2501,$B277))</f>
        <v/>
      </c>
      <c r="J277" s="5">
        <f>IF($L277="","",G277-H277)</f>
        <v/>
      </c>
      <c r="K277" s="5">
        <f>IF($L277="","",J277-I277)</f>
        <v/>
      </c>
      <c r="L277">
        <f>IF(ROWS($L$2:$L277)&lt;=MAX('Per Line'!$AD$2:$AD$2501),MATCH(ROWS($L$2:$L277),'Per Line'!$AD$2:$AD$2501,0),"")</f>
        <v/>
      </c>
      <c r="M277">
        <f>IF($L277="","",INDEX('Per Line'!$E$2:$E$2501,$L277))</f>
        <v/>
      </c>
    </row>
    <row r="278">
      <c r="A278">
        <f>IF($L278="","",INDEX('Per Line'!$C$2:$C$2501,$L278))</f>
        <v/>
      </c>
      <c r="B278">
        <f>IF($L278="","",INDEX('Per Line'!$D$2:$D$2501,$L278))</f>
        <v/>
      </c>
      <c r="C278">
        <f>IF($L278="","",INDEX('Per Line'!$A$2:$A$2501,$L278))</f>
        <v/>
      </c>
      <c r="F278">
        <f>IF($L278="","",INDEX('Per Line'!$U$2:$U$2501,$L278))</f>
        <v/>
      </c>
      <c r="G278" s="5">
        <f>IF($L278="","",SUMIFS('Per Line'!$W$2:$W$2501,'Per Line'!$D$2:$D$2501,$B278))</f>
        <v/>
      </c>
      <c r="H278" s="5">
        <f>IF($L278="","",SUMIFS('Per Line'!$X$2:$X$2501,'Per Line'!$D$2:$D$2501,$B278))</f>
        <v/>
      </c>
      <c r="I278" s="5">
        <f>IF($L278="","",SUMIFS('Per Line'!$Y$2:$Y$2501,'Per Line'!$D$2:$D$2501,$B278))</f>
        <v/>
      </c>
      <c r="J278" s="5">
        <f>IF($L278="","",G278-H278)</f>
        <v/>
      </c>
      <c r="K278" s="5">
        <f>IF($L278="","",J278-I278)</f>
        <v/>
      </c>
      <c r="L278">
        <f>IF(ROWS($L$2:$L278)&lt;=MAX('Per Line'!$AD$2:$AD$2501),MATCH(ROWS($L$2:$L278),'Per Line'!$AD$2:$AD$2501,0),"")</f>
        <v/>
      </c>
      <c r="M278">
        <f>IF($L278="","",INDEX('Per Line'!$E$2:$E$2501,$L278))</f>
        <v/>
      </c>
    </row>
    <row r="279">
      <c r="A279">
        <f>IF($L279="","",INDEX('Per Line'!$C$2:$C$2501,$L279))</f>
        <v/>
      </c>
      <c r="B279">
        <f>IF($L279="","",INDEX('Per Line'!$D$2:$D$2501,$L279))</f>
        <v/>
      </c>
      <c r="C279">
        <f>IF($L279="","",INDEX('Per Line'!$A$2:$A$2501,$L279))</f>
        <v/>
      </c>
      <c r="F279">
        <f>IF($L279="","",INDEX('Per Line'!$U$2:$U$2501,$L279))</f>
        <v/>
      </c>
      <c r="G279" s="5">
        <f>IF($L279="","",SUMIFS('Per Line'!$W$2:$W$2501,'Per Line'!$D$2:$D$2501,$B279))</f>
        <v/>
      </c>
      <c r="H279" s="5">
        <f>IF($L279="","",SUMIFS('Per Line'!$X$2:$X$2501,'Per Line'!$D$2:$D$2501,$B279))</f>
        <v/>
      </c>
      <c r="I279" s="5">
        <f>IF($L279="","",SUMIFS('Per Line'!$Y$2:$Y$2501,'Per Line'!$D$2:$D$2501,$B279))</f>
        <v/>
      </c>
      <c r="J279" s="5">
        <f>IF($L279="","",G279-H279)</f>
        <v/>
      </c>
      <c r="K279" s="5">
        <f>IF($L279="","",J279-I279)</f>
        <v/>
      </c>
      <c r="L279">
        <f>IF(ROWS($L$2:$L279)&lt;=MAX('Per Line'!$AD$2:$AD$2501),MATCH(ROWS($L$2:$L279),'Per Line'!$AD$2:$AD$2501,0),"")</f>
        <v/>
      </c>
      <c r="M279">
        <f>IF($L279="","",INDEX('Per Line'!$E$2:$E$2501,$L279))</f>
        <v/>
      </c>
    </row>
    <row r="280">
      <c r="A280">
        <f>IF($L280="","",INDEX('Per Line'!$C$2:$C$2501,$L280))</f>
        <v/>
      </c>
      <c r="B280">
        <f>IF($L280="","",INDEX('Per Line'!$D$2:$D$2501,$L280))</f>
        <v/>
      </c>
      <c r="C280">
        <f>IF($L280="","",INDEX('Per Line'!$A$2:$A$2501,$L280))</f>
        <v/>
      </c>
      <c r="F280">
        <f>IF($L280="","",INDEX('Per Line'!$U$2:$U$2501,$L280))</f>
        <v/>
      </c>
      <c r="G280" s="5">
        <f>IF($L280="","",SUMIFS('Per Line'!$W$2:$W$2501,'Per Line'!$D$2:$D$2501,$B280))</f>
        <v/>
      </c>
      <c r="H280" s="5">
        <f>IF($L280="","",SUMIFS('Per Line'!$X$2:$X$2501,'Per Line'!$D$2:$D$2501,$B280))</f>
        <v/>
      </c>
      <c r="I280" s="5">
        <f>IF($L280="","",SUMIFS('Per Line'!$Y$2:$Y$2501,'Per Line'!$D$2:$D$2501,$B280))</f>
        <v/>
      </c>
      <c r="J280" s="5">
        <f>IF($L280="","",G280-H280)</f>
        <v/>
      </c>
      <c r="K280" s="5">
        <f>IF($L280="","",J280-I280)</f>
        <v/>
      </c>
      <c r="L280">
        <f>IF(ROWS($L$2:$L280)&lt;=MAX('Per Line'!$AD$2:$AD$2501),MATCH(ROWS($L$2:$L280),'Per Line'!$AD$2:$AD$2501,0),"")</f>
        <v/>
      </c>
      <c r="M280">
        <f>IF($L280="","",INDEX('Per Line'!$E$2:$E$2501,$L280))</f>
        <v/>
      </c>
    </row>
    <row r="281">
      <c r="A281">
        <f>IF($L281="","",INDEX('Per Line'!$C$2:$C$2501,$L281))</f>
        <v/>
      </c>
      <c r="B281">
        <f>IF($L281="","",INDEX('Per Line'!$D$2:$D$2501,$L281))</f>
        <v/>
      </c>
      <c r="C281">
        <f>IF($L281="","",INDEX('Per Line'!$A$2:$A$2501,$L281))</f>
        <v/>
      </c>
      <c r="F281">
        <f>IF($L281="","",INDEX('Per Line'!$U$2:$U$2501,$L281))</f>
        <v/>
      </c>
      <c r="G281" s="5">
        <f>IF($L281="","",SUMIFS('Per Line'!$W$2:$W$2501,'Per Line'!$D$2:$D$2501,$B281))</f>
        <v/>
      </c>
      <c r="H281" s="5">
        <f>IF($L281="","",SUMIFS('Per Line'!$X$2:$X$2501,'Per Line'!$D$2:$D$2501,$B281))</f>
        <v/>
      </c>
      <c r="I281" s="5">
        <f>IF($L281="","",SUMIFS('Per Line'!$Y$2:$Y$2501,'Per Line'!$D$2:$D$2501,$B281))</f>
        <v/>
      </c>
      <c r="J281" s="5">
        <f>IF($L281="","",G281-H281)</f>
        <v/>
      </c>
      <c r="K281" s="5">
        <f>IF($L281="","",J281-I281)</f>
        <v/>
      </c>
      <c r="L281">
        <f>IF(ROWS($L$2:$L281)&lt;=MAX('Per Line'!$AD$2:$AD$2501),MATCH(ROWS($L$2:$L281),'Per Line'!$AD$2:$AD$2501,0),"")</f>
        <v/>
      </c>
      <c r="M281">
        <f>IF($L281="","",INDEX('Per Line'!$E$2:$E$2501,$L281))</f>
        <v/>
      </c>
    </row>
    <row r="282">
      <c r="A282">
        <f>IF($L282="","",INDEX('Per Line'!$C$2:$C$2501,$L282))</f>
        <v/>
      </c>
      <c r="B282">
        <f>IF($L282="","",INDEX('Per Line'!$D$2:$D$2501,$L282))</f>
        <v/>
      </c>
      <c r="C282">
        <f>IF($L282="","",INDEX('Per Line'!$A$2:$A$2501,$L282))</f>
        <v/>
      </c>
      <c r="F282">
        <f>IF($L282="","",INDEX('Per Line'!$U$2:$U$2501,$L282))</f>
        <v/>
      </c>
      <c r="G282" s="5">
        <f>IF($L282="","",SUMIFS('Per Line'!$W$2:$W$2501,'Per Line'!$D$2:$D$2501,$B282))</f>
        <v/>
      </c>
      <c r="H282" s="5">
        <f>IF($L282="","",SUMIFS('Per Line'!$X$2:$X$2501,'Per Line'!$D$2:$D$2501,$B282))</f>
        <v/>
      </c>
      <c r="I282" s="5">
        <f>IF($L282="","",SUMIFS('Per Line'!$Y$2:$Y$2501,'Per Line'!$D$2:$D$2501,$B282))</f>
        <v/>
      </c>
      <c r="J282" s="5">
        <f>IF($L282="","",G282-H282)</f>
        <v/>
      </c>
      <c r="K282" s="5">
        <f>IF($L282="","",J282-I282)</f>
        <v/>
      </c>
      <c r="L282">
        <f>IF(ROWS($L$2:$L282)&lt;=MAX('Per Line'!$AD$2:$AD$2501),MATCH(ROWS($L$2:$L282),'Per Line'!$AD$2:$AD$2501,0),"")</f>
        <v/>
      </c>
      <c r="M282">
        <f>IF($L282="","",INDEX('Per Line'!$E$2:$E$2501,$L282))</f>
        <v/>
      </c>
    </row>
    <row r="283">
      <c r="A283">
        <f>IF($L283="","",INDEX('Per Line'!$C$2:$C$2501,$L283))</f>
        <v/>
      </c>
      <c r="B283">
        <f>IF($L283="","",INDEX('Per Line'!$D$2:$D$2501,$L283))</f>
        <v/>
      </c>
      <c r="C283">
        <f>IF($L283="","",INDEX('Per Line'!$A$2:$A$2501,$L283))</f>
        <v/>
      </c>
      <c r="F283">
        <f>IF($L283="","",INDEX('Per Line'!$U$2:$U$2501,$L283))</f>
        <v/>
      </c>
      <c r="G283" s="5">
        <f>IF($L283="","",SUMIFS('Per Line'!$W$2:$W$2501,'Per Line'!$D$2:$D$2501,$B283))</f>
        <v/>
      </c>
      <c r="H283" s="5">
        <f>IF($L283="","",SUMIFS('Per Line'!$X$2:$X$2501,'Per Line'!$D$2:$D$2501,$B283))</f>
        <v/>
      </c>
      <c r="I283" s="5">
        <f>IF($L283="","",SUMIFS('Per Line'!$Y$2:$Y$2501,'Per Line'!$D$2:$D$2501,$B283))</f>
        <v/>
      </c>
      <c r="J283" s="5">
        <f>IF($L283="","",G283-H283)</f>
        <v/>
      </c>
      <c r="K283" s="5">
        <f>IF($L283="","",J283-I283)</f>
        <v/>
      </c>
      <c r="L283">
        <f>IF(ROWS($L$2:$L283)&lt;=MAX('Per Line'!$AD$2:$AD$2501),MATCH(ROWS($L$2:$L283),'Per Line'!$AD$2:$AD$2501,0),"")</f>
        <v/>
      </c>
      <c r="M283">
        <f>IF($L283="","",INDEX('Per Line'!$E$2:$E$2501,$L283))</f>
        <v/>
      </c>
    </row>
    <row r="284">
      <c r="A284">
        <f>IF($L284="","",INDEX('Per Line'!$C$2:$C$2501,$L284))</f>
        <v/>
      </c>
      <c r="B284">
        <f>IF($L284="","",INDEX('Per Line'!$D$2:$D$2501,$L284))</f>
        <v/>
      </c>
      <c r="C284">
        <f>IF($L284="","",INDEX('Per Line'!$A$2:$A$2501,$L284))</f>
        <v/>
      </c>
      <c r="F284">
        <f>IF($L284="","",INDEX('Per Line'!$U$2:$U$2501,$L284))</f>
        <v/>
      </c>
      <c r="G284" s="5">
        <f>IF($L284="","",SUMIFS('Per Line'!$W$2:$W$2501,'Per Line'!$D$2:$D$2501,$B284))</f>
        <v/>
      </c>
      <c r="H284" s="5">
        <f>IF($L284="","",SUMIFS('Per Line'!$X$2:$X$2501,'Per Line'!$D$2:$D$2501,$B284))</f>
        <v/>
      </c>
      <c r="I284" s="5">
        <f>IF($L284="","",SUMIFS('Per Line'!$Y$2:$Y$2501,'Per Line'!$D$2:$D$2501,$B284))</f>
        <v/>
      </c>
      <c r="J284" s="5">
        <f>IF($L284="","",G284-H284)</f>
        <v/>
      </c>
      <c r="K284" s="5">
        <f>IF($L284="","",J284-I284)</f>
        <v/>
      </c>
      <c r="L284">
        <f>IF(ROWS($L$2:$L284)&lt;=MAX('Per Line'!$AD$2:$AD$2501),MATCH(ROWS($L$2:$L284),'Per Line'!$AD$2:$AD$2501,0),"")</f>
        <v/>
      </c>
      <c r="M284">
        <f>IF($L284="","",INDEX('Per Line'!$E$2:$E$2501,$L284))</f>
        <v/>
      </c>
    </row>
    <row r="285">
      <c r="A285">
        <f>IF($L285="","",INDEX('Per Line'!$C$2:$C$2501,$L285))</f>
        <v/>
      </c>
      <c r="B285">
        <f>IF($L285="","",INDEX('Per Line'!$D$2:$D$2501,$L285))</f>
        <v/>
      </c>
      <c r="C285">
        <f>IF($L285="","",INDEX('Per Line'!$A$2:$A$2501,$L285))</f>
        <v/>
      </c>
      <c r="F285">
        <f>IF($L285="","",INDEX('Per Line'!$U$2:$U$2501,$L285))</f>
        <v/>
      </c>
      <c r="G285" s="5">
        <f>IF($L285="","",SUMIFS('Per Line'!$W$2:$W$2501,'Per Line'!$D$2:$D$2501,$B285))</f>
        <v/>
      </c>
      <c r="H285" s="5">
        <f>IF($L285="","",SUMIFS('Per Line'!$X$2:$X$2501,'Per Line'!$D$2:$D$2501,$B285))</f>
        <v/>
      </c>
      <c r="I285" s="5">
        <f>IF($L285="","",SUMIFS('Per Line'!$Y$2:$Y$2501,'Per Line'!$D$2:$D$2501,$B285))</f>
        <v/>
      </c>
      <c r="J285" s="5">
        <f>IF($L285="","",G285-H285)</f>
        <v/>
      </c>
      <c r="K285" s="5">
        <f>IF($L285="","",J285-I285)</f>
        <v/>
      </c>
      <c r="L285">
        <f>IF(ROWS($L$2:$L285)&lt;=MAX('Per Line'!$AD$2:$AD$2501),MATCH(ROWS($L$2:$L285),'Per Line'!$AD$2:$AD$2501,0),"")</f>
        <v/>
      </c>
      <c r="M285">
        <f>IF($L285="","",INDEX('Per Line'!$E$2:$E$2501,$L285))</f>
        <v/>
      </c>
    </row>
    <row r="286">
      <c r="A286">
        <f>IF($L286="","",INDEX('Per Line'!$C$2:$C$2501,$L286))</f>
        <v/>
      </c>
      <c r="B286">
        <f>IF($L286="","",INDEX('Per Line'!$D$2:$D$2501,$L286))</f>
        <v/>
      </c>
      <c r="C286">
        <f>IF($L286="","",INDEX('Per Line'!$A$2:$A$2501,$L286))</f>
        <v/>
      </c>
      <c r="F286">
        <f>IF($L286="","",INDEX('Per Line'!$U$2:$U$2501,$L286))</f>
        <v/>
      </c>
      <c r="G286" s="5">
        <f>IF($L286="","",SUMIFS('Per Line'!$W$2:$W$2501,'Per Line'!$D$2:$D$2501,$B286))</f>
        <v/>
      </c>
      <c r="H286" s="5">
        <f>IF($L286="","",SUMIFS('Per Line'!$X$2:$X$2501,'Per Line'!$D$2:$D$2501,$B286))</f>
        <v/>
      </c>
      <c r="I286" s="5">
        <f>IF($L286="","",SUMIFS('Per Line'!$Y$2:$Y$2501,'Per Line'!$D$2:$D$2501,$B286))</f>
        <v/>
      </c>
      <c r="J286" s="5">
        <f>IF($L286="","",G286-H286)</f>
        <v/>
      </c>
      <c r="K286" s="5">
        <f>IF($L286="","",J286-I286)</f>
        <v/>
      </c>
      <c r="L286">
        <f>IF(ROWS($L$2:$L286)&lt;=MAX('Per Line'!$AD$2:$AD$2501),MATCH(ROWS($L$2:$L286),'Per Line'!$AD$2:$AD$2501,0),"")</f>
        <v/>
      </c>
      <c r="M286">
        <f>IF($L286="","",INDEX('Per Line'!$E$2:$E$2501,$L286))</f>
        <v/>
      </c>
    </row>
    <row r="287">
      <c r="A287">
        <f>IF($L287="","",INDEX('Per Line'!$C$2:$C$2501,$L287))</f>
        <v/>
      </c>
      <c r="B287">
        <f>IF($L287="","",INDEX('Per Line'!$D$2:$D$2501,$L287))</f>
        <v/>
      </c>
      <c r="C287">
        <f>IF($L287="","",INDEX('Per Line'!$A$2:$A$2501,$L287))</f>
        <v/>
      </c>
      <c r="F287">
        <f>IF($L287="","",INDEX('Per Line'!$U$2:$U$2501,$L287))</f>
        <v/>
      </c>
      <c r="G287" s="5">
        <f>IF($L287="","",SUMIFS('Per Line'!$W$2:$W$2501,'Per Line'!$D$2:$D$2501,$B287))</f>
        <v/>
      </c>
      <c r="H287" s="5">
        <f>IF($L287="","",SUMIFS('Per Line'!$X$2:$X$2501,'Per Line'!$D$2:$D$2501,$B287))</f>
        <v/>
      </c>
      <c r="I287" s="5">
        <f>IF($L287="","",SUMIFS('Per Line'!$Y$2:$Y$2501,'Per Line'!$D$2:$D$2501,$B287))</f>
        <v/>
      </c>
      <c r="J287" s="5">
        <f>IF($L287="","",G287-H287)</f>
        <v/>
      </c>
      <c r="K287" s="5">
        <f>IF($L287="","",J287-I287)</f>
        <v/>
      </c>
      <c r="L287">
        <f>IF(ROWS($L$2:$L287)&lt;=MAX('Per Line'!$AD$2:$AD$2501),MATCH(ROWS($L$2:$L287),'Per Line'!$AD$2:$AD$2501,0),"")</f>
        <v/>
      </c>
      <c r="M287">
        <f>IF($L287="","",INDEX('Per Line'!$E$2:$E$2501,$L287))</f>
        <v/>
      </c>
    </row>
    <row r="288">
      <c r="A288">
        <f>IF($L288="","",INDEX('Per Line'!$C$2:$C$2501,$L288))</f>
        <v/>
      </c>
      <c r="B288">
        <f>IF($L288="","",INDEX('Per Line'!$D$2:$D$2501,$L288))</f>
        <v/>
      </c>
      <c r="C288">
        <f>IF($L288="","",INDEX('Per Line'!$A$2:$A$2501,$L288))</f>
        <v/>
      </c>
      <c r="F288">
        <f>IF($L288="","",INDEX('Per Line'!$U$2:$U$2501,$L288))</f>
        <v/>
      </c>
      <c r="G288" s="5">
        <f>IF($L288="","",SUMIFS('Per Line'!$W$2:$W$2501,'Per Line'!$D$2:$D$2501,$B288))</f>
        <v/>
      </c>
      <c r="H288" s="5">
        <f>IF($L288="","",SUMIFS('Per Line'!$X$2:$X$2501,'Per Line'!$D$2:$D$2501,$B288))</f>
        <v/>
      </c>
      <c r="I288" s="5">
        <f>IF($L288="","",SUMIFS('Per Line'!$Y$2:$Y$2501,'Per Line'!$D$2:$D$2501,$B288))</f>
        <v/>
      </c>
      <c r="J288" s="5">
        <f>IF($L288="","",G288-H288)</f>
        <v/>
      </c>
      <c r="K288" s="5">
        <f>IF($L288="","",J288-I288)</f>
        <v/>
      </c>
      <c r="L288">
        <f>IF(ROWS($L$2:$L288)&lt;=MAX('Per Line'!$AD$2:$AD$2501),MATCH(ROWS($L$2:$L288),'Per Line'!$AD$2:$AD$2501,0),"")</f>
        <v/>
      </c>
      <c r="M288">
        <f>IF($L288="","",INDEX('Per Line'!$E$2:$E$2501,$L288))</f>
        <v/>
      </c>
    </row>
    <row r="289">
      <c r="A289">
        <f>IF($L289="","",INDEX('Per Line'!$C$2:$C$2501,$L289))</f>
        <v/>
      </c>
      <c r="B289">
        <f>IF($L289="","",INDEX('Per Line'!$D$2:$D$2501,$L289))</f>
        <v/>
      </c>
      <c r="C289">
        <f>IF($L289="","",INDEX('Per Line'!$A$2:$A$2501,$L289))</f>
        <v/>
      </c>
      <c r="F289">
        <f>IF($L289="","",INDEX('Per Line'!$U$2:$U$2501,$L289))</f>
        <v/>
      </c>
      <c r="G289" s="5">
        <f>IF($L289="","",SUMIFS('Per Line'!$W$2:$W$2501,'Per Line'!$D$2:$D$2501,$B289))</f>
        <v/>
      </c>
      <c r="H289" s="5">
        <f>IF($L289="","",SUMIFS('Per Line'!$X$2:$X$2501,'Per Line'!$D$2:$D$2501,$B289))</f>
        <v/>
      </c>
      <c r="I289" s="5">
        <f>IF($L289="","",SUMIFS('Per Line'!$Y$2:$Y$2501,'Per Line'!$D$2:$D$2501,$B289))</f>
        <v/>
      </c>
      <c r="J289" s="5">
        <f>IF($L289="","",G289-H289)</f>
        <v/>
      </c>
      <c r="K289" s="5">
        <f>IF($L289="","",J289-I289)</f>
        <v/>
      </c>
      <c r="L289">
        <f>IF(ROWS($L$2:$L289)&lt;=MAX('Per Line'!$AD$2:$AD$2501),MATCH(ROWS($L$2:$L289),'Per Line'!$AD$2:$AD$2501,0),"")</f>
        <v/>
      </c>
      <c r="M289">
        <f>IF($L289="","",INDEX('Per Line'!$E$2:$E$2501,$L289))</f>
        <v/>
      </c>
    </row>
    <row r="290">
      <c r="A290">
        <f>IF($L290="","",INDEX('Per Line'!$C$2:$C$2501,$L290))</f>
        <v/>
      </c>
      <c r="B290">
        <f>IF($L290="","",INDEX('Per Line'!$D$2:$D$2501,$L290))</f>
        <v/>
      </c>
      <c r="C290">
        <f>IF($L290="","",INDEX('Per Line'!$A$2:$A$2501,$L290))</f>
        <v/>
      </c>
      <c r="F290">
        <f>IF($L290="","",INDEX('Per Line'!$U$2:$U$2501,$L290))</f>
        <v/>
      </c>
      <c r="G290" s="5">
        <f>IF($L290="","",SUMIFS('Per Line'!$W$2:$W$2501,'Per Line'!$D$2:$D$2501,$B290))</f>
        <v/>
      </c>
      <c r="H290" s="5">
        <f>IF($L290="","",SUMIFS('Per Line'!$X$2:$X$2501,'Per Line'!$D$2:$D$2501,$B290))</f>
        <v/>
      </c>
      <c r="I290" s="5">
        <f>IF($L290="","",SUMIFS('Per Line'!$Y$2:$Y$2501,'Per Line'!$D$2:$D$2501,$B290))</f>
        <v/>
      </c>
      <c r="J290" s="5">
        <f>IF($L290="","",G290-H290)</f>
        <v/>
      </c>
      <c r="K290" s="5">
        <f>IF($L290="","",J290-I290)</f>
        <v/>
      </c>
      <c r="L290">
        <f>IF(ROWS($L$2:$L290)&lt;=MAX('Per Line'!$AD$2:$AD$2501),MATCH(ROWS($L$2:$L290),'Per Line'!$AD$2:$AD$2501,0),"")</f>
        <v/>
      </c>
      <c r="M290">
        <f>IF($L290="","",INDEX('Per Line'!$E$2:$E$2501,$L290))</f>
        <v/>
      </c>
    </row>
    <row r="291">
      <c r="A291">
        <f>IF($L291="","",INDEX('Per Line'!$C$2:$C$2501,$L291))</f>
        <v/>
      </c>
      <c r="B291">
        <f>IF($L291="","",INDEX('Per Line'!$D$2:$D$2501,$L291))</f>
        <v/>
      </c>
      <c r="C291">
        <f>IF($L291="","",INDEX('Per Line'!$A$2:$A$2501,$L291))</f>
        <v/>
      </c>
      <c r="F291">
        <f>IF($L291="","",INDEX('Per Line'!$U$2:$U$2501,$L291))</f>
        <v/>
      </c>
      <c r="G291" s="5">
        <f>IF($L291="","",SUMIFS('Per Line'!$W$2:$W$2501,'Per Line'!$D$2:$D$2501,$B291))</f>
        <v/>
      </c>
      <c r="H291" s="5">
        <f>IF($L291="","",SUMIFS('Per Line'!$X$2:$X$2501,'Per Line'!$D$2:$D$2501,$B291))</f>
        <v/>
      </c>
      <c r="I291" s="5">
        <f>IF($L291="","",SUMIFS('Per Line'!$Y$2:$Y$2501,'Per Line'!$D$2:$D$2501,$B291))</f>
        <v/>
      </c>
      <c r="J291" s="5">
        <f>IF($L291="","",G291-H291)</f>
        <v/>
      </c>
      <c r="K291" s="5">
        <f>IF($L291="","",J291-I291)</f>
        <v/>
      </c>
      <c r="L291">
        <f>IF(ROWS($L$2:$L291)&lt;=MAX('Per Line'!$AD$2:$AD$2501),MATCH(ROWS($L$2:$L291),'Per Line'!$AD$2:$AD$2501,0),"")</f>
        <v/>
      </c>
      <c r="M291">
        <f>IF($L291="","",INDEX('Per Line'!$E$2:$E$2501,$L291))</f>
        <v/>
      </c>
    </row>
    <row r="292">
      <c r="A292">
        <f>IF($L292="","",INDEX('Per Line'!$C$2:$C$2501,$L292))</f>
        <v/>
      </c>
      <c r="B292">
        <f>IF($L292="","",INDEX('Per Line'!$D$2:$D$2501,$L292))</f>
        <v/>
      </c>
      <c r="C292">
        <f>IF($L292="","",INDEX('Per Line'!$A$2:$A$2501,$L292))</f>
        <v/>
      </c>
      <c r="F292">
        <f>IF($L292="","",INDEX('Per Line'!$U$2:$U$2501,$L292))</f>
        <v/>
      </c>
      <c r="G292" s="5">
        <f>IF($L292="","",SUMIFS('Per Line'!$W$2:$W$2501,'Per Line'!$D$2:$D$2501,$B292))</f>
        <v/>
      </c>
      <c r="H292" s="5">
        <f>IF($L292="","",SUMIFS('Per Line'!$X$2:$X$2501,'Per Line'!$D$2:$D$2501,$B292))</f>
        <v/>
      </c>
      <c r="I292" s="5">
        <f>IF($L292="","",SUMIFS('Per Line'!$Y$2:$Y$2501,'Per Line'!$D$2:$D$2501,$B292))</f>
        <v/>
      </c>
      <c r="J292" s="5">
        <f>IF($L292="","",G292-H292)</f>
        <v/>
      </c>
      <c r="K292" s="5">
        <f>IF($L292="","",J292-I292)</f>
        <v/>
      </c>
      <c r="L292">
        <f>IF(ROWS($L$2:$L292)&lt;=MAX('Per Line'!$AD$2:$AD$2501),MATCH(ROWS($L$2:$L292),'Per Line'!$AD$2:$AD$2501,0),"")</f>
        <v/>
      </c>
      <c r="M292">
        <f>IF($L292="","",INDEX('Per Line'!$E$2:$E$2501,$L292))</f>
        <v/>
      </c>
    </row>
    <row r="293">
      <c r="A293">
        <f>IF($L293="","",INDEX('Per Line'!$C$2:$C$2501,$L293))</f>
        <v/>
      </c>
      <c r="B293">
        <f>IF($L293="","",INDEX('Per Line'!$D$2:$D$2501,$L293))</f>
        <v/>
      </c>
      <c r="C293">
        <f>IF($L293="","",INDEX('Per Line'!$A$2:$A$2501,$L293))</f>
        <v/>
      </c>
      <c r="F293">
        <f>IF($L293="","",INDEX('Per Line'!$U$2:$U$2501,$L293))</f>
        <v/>
      </c>
      <c r="G293" s="5">
        <f>IF($L293="","",SUMIFS('Per Line'!$W$2:$W$2501,'Per Line'!$D$2:$D$2501,$B293))</f>
        <v/>
      </c>
      <c r="H293" s="5">
        <f>IF($L293="","",SUMIFS('Per Line'!$X$2:$X$2501,'Per Line'!$D$2:$D$2501,$B293))</f>
        <v/>
      </c>
      <c r="I293" s="5">
        <f>IF($L293="","",SUMIFS('Per Line'!$Y$2:$Y$2501,'Per Line'!$D$2:$D$2501,$B293))</f>
        <v/>
      </c>
      <c r="J293" s="5">
        <f>IF($L293="","",G293-H293)</f>
        <v/>
      </c>
      <c r="K293" s="5">
        <f>IF($L293="","",J293-I293)</f>
        <v/>
      </c>
      <c r="L293">
        <f>IF(ROWS($L$2:$L293)&lt;=MAX('Per Line'!$AD$2:$AD$2501),MATCH(ROWS($L$2:$L293),'Per Line'!$AD$2:$AD$2501,0),"")</f>
        <v/>
      </c>
      <c r="M293">
        <f>IF($L293="","",INDEX('Per Line'!$E$2:$E$2501,$L293))</f>
        <v/>
      </c>
    </row>
    <row r="294">
      <c r="A294">
        <f>IF($L294="","",INDEX('Per Line'!$C$2:$C$2501,$L294))</f>
        <v/>
      </c>
      <c r="B294">
        <f>IF($L294="","",INDEX('Per Line'!$D$2:$D$2501,$L294))</f>
        <v/>
      </c>
      <c r="C294">
        <f>IF($L294="","",INDEX('Per Line'!$A$2:$A$2501,$L294))</f>
        <v/>
      </c>
      <c r="F294">
        <f>IF($L294="","",INDEX('Per Line'!$U$2:$U$2501,$L294))</f>
        <v/>
      </c>
      <c r="G294" s="5">
        <f>IF($L294="","",SUMIFS('Per Line'!$W$2:$W$2501,'Per Line'!$D$2:$D$2501,$B294))</f>
        <v/>
      </c>
      <c r="H294" s="5">
        <f>IF($L294="","",SUMIFS('Per Line'!$X$2:$X$2501,'Per Line'!$D$2:$D$2501,$B294))</f>
        <v/>
      </c>
      <c r="I294" s="5">
        <f>IF($L294="","",SUMIFS('Per Line'!$Y$2:$Y$2501,'Per Line'!$D$2:$D$2501,$B294))</f>
        <v/>
      </c>
      <c r="J294" s="5">
        <f>IF($L294="","",G294-H294)</f>
        <v/>
      </c>
      <c r="K294" s="5">
        <f>IF($L294="","",J294-I294)</f>
        <v/>
      </c>
      <c r="L294">
        <f>IF(ROWS($L$2:$L294)&lt;=MAX('Per Line'!$AD$2:$AD$2501),MATCH(ROWS($L$2:$L294),'Per Line'!$AD$2:$AD$2501,0),"")</f>
        <v/>
      </c>
      <c r="M294">
        <f>IF($L294="","",INDEX('Per Line'!$E$2:$E$2501,$L294))</f>
        <v/>
      </c>
    </row>
    <row r="295">
      <c r="A295">
        <f>IF($L295="","",INDEX('Per Line'!$C$2:$C$2501,$L295))</f>
        <v/>
      </c>
      <c r="B295">
        <f>IF($L295="","",INDEX('Per Line'!$D$2:$D$2501,$L295))</f>
        <v/>
      </c>
      <c r="C295">
        <f>IF($L295="","",INDEX('Per Line'!$A$2:$A$2501,$L295))</f>
        <v/>
      </c>
      <c r="F295">
        <f>IF($L295="","",INDEX('Per Line'!$U$2:$U$2501,$L295))</f>
        <v/>
      </c>
      <c r="G295" s="5">
        <f>IF($L295="","",SUMIFS('Per Line'!$W$2:$W$2501,'Per Line'!$D$2:$D$2501,$B295))</f>
        <v/>
      </c>
      <c r="H295" s="5">
        <f>IF($L295="","",SUMIFS('Per Line'!$X$2:$X$2501,'Per Line'!$D$2:$D$2501,$B295))</f>
        <v/>
      </c>
      <c r="I295" s="5">
        <f>IF($L295="","",SUMIFS('Per Line'!$Y$2:$Y$2501,'Per Line'!$D$2:$D$2501,$B295))</f>
        <v/>
      </c>
      <c r="J295" s="5">
        <f>IF($L295="","",G295-H295)</f>
        <v/>
      </c>
      <c r="K295" s="5">
        <f>IF($L295="","",J295-I295)</f>
        <v/>
      </c>
      <c r="L295">
        <f>IF(ROWS($L$2:$L295)&lt;=MAX('Per Line'!$AD$2:$AD$2501),MATCH(ROWS($L$2:$L295),'Per Line'!$AD$2:$AD$2501,0),"")</f>
        <v/>
      </c>
      <c r="M295">
        <f>IF($L295="","",INDEX('Per Line'!$E$2:$E$2501,$L295))</f>
        <v/>
      </c>
    </row>
    <row r="296">
      <c r="A296">
        <f>IF($L296="","",INDEX('Per Line'!$C$2:$C$2501,$L296))</f>
        <v/>
      </c>
      <c r="B296">
        <f>IF($L296="","",INDEX('Per Line'!$D$2:$D$2501,$L296))</f>
        <v/>
      </c>
      <c r="C296">
        <f>IF($L296="","",INDEX('Per Line'!$A$2:$A$2501,$L296))</f>
        <v/>
      </c>
      <c r="F296">
        <f>IF($L296="","",INDEX('Per Line'!$U$2:$U$2501,$L296))</f>
        <v/>
      </c>
      <c r="G296" s="5">
        <f>IF($L296="","",SUMIFS('Per Line'!$W$2:$W$2501,'Per Line'!$D$2:$D$2501,$B296))</f>
        <v/>
      </c>
      <c r="H296" s="5">
        <f>IF($L296="","",SUMIFS('Per Line'!$X$2:$X$2501,'Per Line'!$D$2:$D$2501,$B296))</f>
        <v/>
      </c>
      <c r="I296" s="5">
        <f>IF($L296="","",SUMIFS('Per Line'!$Y$2:$Y$2501,'Per Line'!$D$2:$D$2501,$B296))</f>
        <v/>
      </c>
      <c r="J296" s="5">
        <f>IF($L296="","",G296-H296)</f>
        <v/>
      </c>
      <c r="K296" s="5">
        <f>IF($L296="","",J296-I296)</f>
        <v/>
      </c>
      <c r="L296">
        <f>IF(ROWS($L$2:$L296)&lt;=MAX('Per Line'!$AD$2:$AD$2501),MATCH(ROWS($L$2:$L296),'Per Line'!$AD$2:$AD$2501,0),"")</f>
        <v/>
      </c>
      <c r="M296">
        <f>IF($L296="","",INDEX('Per Line'!$E$2:$E$2501,$L296))</f>
        <v/>
      </c>
    </row>
    <row r="297">
      <c r="A297">
        <f>IF($L297="","",INDEX('Per Line'!$C$2:$C$2501,$L297))</f>
        <v/>
      </c>
      <c r="B297">
        <f>IF($L297="","",INDEX('Per Line'!$D$2:$D$2501,$L297))</f>
        <v/>
      </c>
      <c r="C297">
        <f>IF($L297="","",INDEX('Per Line'!$A$2:$A$2501,$L297))</f>
        <v/>
      </c>
      <c r="F297">
        <f>IF($L297="","",INDEX('Per Line'!$U$2:$U$2501,$L297))</f>
        <v/>
      </c>
      <c r="G297" s="5">
        <f>IF($L297="","",SUMIFS('Per Line'!$W$2:$W$2501,'Per Line'!$D$2:$D$2501,$B297))</f>
        <v/>
      </c>
      <c r="H297" s="5">
        <f>IF($L297="","",SUMIFS('Per Line'!$X$2:$X$2501,'Per Line'!$D$2:$D$2501,$B297))</f>
        <v/>
      </c>
      <c r="I297" s="5">
        <f>IF($L297="","",SUMIFS('Per Line'!$Y$2:$Y$2501,'Per Line'!$D$2:$D$2501,$B297))</f>
        <v/>
      </c>
      <c r="J297" s="5">
        <f>IF($L297="","",G297-H297)</f>
        <v/>
      </c>
      <c r="K297" s="5">
        <f>IF($L297="","",J297-I297)</f>
        <v/>
      </c>
      <c r="L297">
        <f>IF(ROWS($L$2:$L297)&lt;=MAX('Per Line'!$AD$2:$AD$2501),MATCH(ROWS($L$2:$L297),'Per Line'!$AD$2:$AD$2501,0),"")</f>
        <v/>
      </c>
      <c r="M297">
        <f>IF($L297="","",INDEX('Per Line'!$E$2:$E$2501,$L297))</f>
        <v/>
      </c>
    </row>
    <row r="298">
      <c r="A298">
        <f>IF($L298="","",INDEX('Per Line'!$C$2:$C$2501,$L298))</f>
        <v/>
      </c>
      <c r="B298">
        <f>IF($L298="","",INDEX('Per Line'!$D$2:$D$2501,$L298))</f>
        <v/>
      </c>
      <c r="C298">
        <f>IF($L298="","",INDEX('Per Line'!$A$2:$A$2501,$L298))</f>
        <v/>
      </c>
      <c r="F298">
        <f>IF($L298="","",INDEX('Per Line'!$U$2:$U$2501,$L298))</f>
        <v/>
      </c>
      <c r="G298" s="5">
        <f>IF($L298="","",SUMIFS('Per Line'!$W$2:$W$2501,'Per Line'!$D$2:$D$2501,$B298))</f>
        <v/>
      </c>
      <c r="H298" s="5">
        <f>IF($L298="","",SUMIFS('Per Line'!$X$2:$X$2501,'Per Line'!$D$2:$D$2501,$B298))</f>
        <v/>
      </c>
      <c r="I298" s="5">
        <f>IF($L298="","",SUMIFS('Per Line'!$Y$2:$Y$2501,'Per Line'!$D$2:$D$2501,$B298))</f>
        <v/>
      </c>
      <c r="J298" s="5">
        <f>IF($L298="","",G298-H298)</f>
        <v/>
      </c>
      <c r="K298" s="5">
        <f>IF($L298="","",J298-I298)</f>
        <v/>
      </c>
      <c r="L298">
        <f>IF(ROWS($L$2:$L298)&lt;=MAX('Per Line'!$AD$2:$AD$2501),MATCH(ROWS($L$2:$L298),'Per Line'!$AD$2:$AD$2501,0),"")</f>
        <v/>
      </c>
      <c r="M298">
        <f>IF($L298="","",INDEX('Per Line'!$E$2:$E$2501,$L298))</f>
        <v/>
      </c>
    </row>
    <row r="299">
      <c r="A299">
        <f>IF($L299="","",INDEX('Per Line'!$C$2:$C$2501,$L299))</f>
        <v/>
      </c>
      <c r="B299">
        <f>IF($L299="","",INDEX('Per Line'!$D$2:$D$2501,$L299))</f>
        <v/>
      </c>
      <c r="C299">
        <f>IF($L299="","",INDEX('Per Line'!$A$2:$A$2501,$L299))</f>
        <v/>
      </c>
      <c r="F299">
        <f>IF($L299="","",INDEX('Per Line'!$U$2:$U$2501,$L299))</f>
        <v/>
      </c>
      <c r="G299" s="5">
        <f>IF($L299="","",SUMIFS('Per Line'!$W$2:$W$2501,'Per Line'!$D$2:$D$2501,$B299))</f>
        <v/>
      </c>
      <c r="H299" s="5">
        <f>IF($L299="","",SUMIFS('Per Line'!$X$2:$X$2501,'Per Line'!$D$2:$D$2501,$B299))</f>
        <v/>
      </c>
      <c r="I299" s="5">
        <f>IF($L299="","",SUMIFS('Per Line'!$Y$2:$Y$2501,'Per Line'!$D$2:$D$2501,$B299))</f>
        <v/>
      </c>
      <c r="J299" s="5">
        <f>IF($L299="","",G299-H299)</f>
        <v/>
      </c>
      <c r="K299" s="5">
        <f>IF($L299="","",J299-I299)</f>
        <v/>
      </c>
      <c r="L299">
        <f>IF(ROWS($L$2:$L299)&lt;=MAX('Per Line'!$AD$2:$AD$2501),MATCH(ROWS($L$2:$L299),'Per Line'!$AD$2:$AD$2501,0),"")</f>
        <v/>
      </c>
      <c r="M299">
        <f>IF($L299="","",INDEX('Per Line'!$E$2:$E$2501,$L299))</f>
        <v/>
      </c>
    </row>
    <row r="300">
      <c r="A300">
        <f>IF($L300="","",INDEX('Per Line'!$C$2:$C$2501,$L300))</f>
        <v/>
      </c>
      <c r="B300">
        <f>IF($L300="","",INDEX('Per Line'!$D$2:$D$2501,$L300))</f>
        <v/>
      </c>
      <c r="C300">
        <f>IF($L300="","",INDEX('Per Line'!$A$2:$A$2501,$L300))</f>
        <v/>
      </c>
      <c r="F300">
        <f>IF($L300="","",INDEX('Per Line'!$U$2:$U$2501,$L300))</f>
        <v/>
      </c>
      <c r="G300" s="5">
        <f>IF($L300="","",SUMIFS('Per Line'!$W$2:$W$2501,'Per Line'!$D$2:$D$2501,$B300))</f>
        <v/>
      </c>
      <c r="H300" s="5">
        <f>IF($L300="","",SUMIFS('Per Line'!$X$2:$X$2501,'Per Line'!$D$2:$D$2501,$B300))</f>
        <v/>
      </c>
      <c r="I300" s="5">
        <f>IF($L300="","",SUMIFS('Per Line'!$Y$2:$Y$2501,'Per Line'!$D$2:$D$2501,$B300))</f>
        <v/>
      </c>
      <c r="J300" s="5">
        <f>IF($L300="","",G300-H300)</f>
        <v/>
      </c>
      <c r="K300" s="5">
        <f>IF($L300="","",J300-I300)</f>
        <v/>
      </c>
      <c r="L300">
        <f>IF(ROWS($L$2:$L300)&lt;=MAX('Per Line'!$AD$2:$AD$2501),MATCH(ROWS($L$2:$L300),'Per Line'!$AD$2:$AD$2501,0),"")</f>
        <v/>
      </c>
      <c r="M300">
        <f>IF($L300="","",INDEX('Per Line'!$E$2:$E$2501,$L300))</f>
        <v/>
      </c>
    </row>
    <row r="301">
      <c r="A301">
        <f>IF($L301="","",INDEX('Per Line'!$C$2:$C$2501,$L301))</f>
        <v/>
      </c>
      <c r="B301">
        <f>IF($L301="","",INDEX('Per Line'!$D$2:$D$2501,$L301))</f>
        <v/>
      </c>
      <c r="C301">
        <f>IF($L301="","",INDEX('Per Line'!$A$2:$A$2501,$L301))</f>
        <v/>
      </c>
      <c r="F301">
        <f>IF($L301="","",INDEX('Per Line'!$U$2:$U$2501,$L301))</f>
        <v/>
      </c>
      <c r="G301" s="5">
        <f>IF($L301="","",SUMIFS('Per Line'!$W$2:$W$2501,'Per Line'!$D$2:$D$2501,$B301))</f>
        <v/>
      </c>
      <c r="H301" s="5">
        <f>IF($L301="","",SUMIFS('Per Line'!$X$2:$X$2501,'Per Line'!$D$2:$D$2501,$B301))</f>
        <v/>
      </c>
      <c r="I301" s="5">
        <f>IF($L301="","",SUMIFS('Per Line'!$Y$2:$Y$2501,'Per Line'!$D$2:$D$2501,$B301))</f>
        <v/>
      </c>
      <c r="J301" s="5">
        <f>IF($L301="","",G301-H301)</f>
        <v/>
      </c>
      <c r="K301" s="5">
        <f>IF($L301="","",J301-I301)</f>
        <v/>
      </c>
      <c r="L301">
        <f>IF(ROWS($L$2:$L301)&lt;=MAX('Per Line'!$AD$2:$AD$2501),MATCH(ROWS($L$2:$L301),'Per Line'!$AD$2:$AD$2501,0),"")</f>
        <v/>
      </c>
      <c r="M301">
        <f>IF($L301="","",INDEX('Per Line'!$E$2:$E$2501,$L301))</f>
        <v/>
      </c>
    </row>
    <row r="302">
      <c r="A302">
        <f>IF($L302="","",INDEX('Per Line'!$C$2:$C$2501,$L302))</f>
        <v/>
      </c>
      <c r="B302">
        <f>IF($L302="","",INDEX('Per Line'!$D$2:$D$2501,$L302))</f>
        <v/>
      </c>
      <c r="C302">
        <f>IF($L302="","",INDEX('Per Line'!$A$2:$A$2501,$L302))</f>
        <v/>
      </c>
      <c r="F302">
        <f>IF($L302="","",INDEX('Per Line'!$U$2:$U$2501,$L302))</f>
        <v/>
      </c>
      <c r="G302" s="5">
        <f>IF($L302="","",SUMIFS('Per Line'!$W$2:$W$2501,'Per Line'!$D$2:$D$2501,$B302))</f>
        <v/>
      </c>
      <c r="H302" s="5">
        <f>IF($L302="","",SUMIFS('Per Line'!$X$2:$X$2501,'Per Line'!$D$2:$D$2501,$B302))</f>
        <v/>
      </c>
      <c r="I302" s="5">
        <f>IF($L302="","",SUMIFS('Per Line'!$Y$2:$Y$2501,'Per Line'!$D$2:$D$2501,$B302))</f>
        <v/>
      </c>
      <c r="J302" s="5">
        <f>IF($L302="","",G302-H302)</f>
        <v/>
      </c>
      <c r="K302" s="5">
        <f>IF($L302="","",J302-I302)</f>
        <v/>
      </c>
      <c r="L302">
        <f>IF(ROWS($L$2:$L302)&lt;=MAX('Per Line'!$AD$2:$AD$2501),MATCH(ROWS($L$2:$L302),'Per Line'!$AD$2:$AD$2501,0),"")</f>
        <v/>
      </c>
      <c r="M302">
        <f>IF($L302="","",INDEX('Per Line'!$E$2:$E$2501,$L302))</f>
        <v/>
      </c>
    </row>
    <row r="303">
      <c r="A303">
        <f>IF($L303="","",INDEX('Per Line'!$C$2:$C$2501,$L303))</f>
        <v/>
      </c>
      <c r="B303">
        <f>IF($L303="","",INDEX('Per Line'!$D$2:$D$2501,$L303))</f>
        <v/>
      </c>
      <c r="C303">
        <f>IF($L303="","",INDEX('Per Line'!$A$2:$A$2501,$L303))</f>
        <v/>
      </c>
      <c r="F303">
        <f>IF($L303="","",INDEX('Per Line'!$U$2:$U$2501,$L303))</f>
        <v/>
      </c>
      <c r="G303" s="5">
        <f>IF($L303="","",SUMIFS('Per Line'!$W$2:$W$2501,'Per Line'!$D$2:$D$2501,$B303))</f>
        <v/>
      </c>
      <c r="H303" s="5">
        <f>IF($L303="","",SUMIFS('Per Line'!$X$2:$X$2501,'Per Line'!$D$2:$D$2501,$B303))</f>
        <v/>
      </c>
      <c r="I303" s="5">
        <f>IF($L303="","",SUMIFS('Per Line'!$Y$2:$Y$2501,'Per Line'!$D$2:$D$2501,$B303))</f>
        <v/>
      </c>
      <c r="J303" s="5">
        <f>IF($L303="","",G303-H303)</f>
        <v/>
      </c>
      <c r="K303" s="5">
        <f>IF($L303="","",J303-I303)</f>
        <v/>
      </c>
      <c r="L303">
        <f>IF(ROWS($L$2:$L303)&lt;=MAX('Per Line'!$AD$2:$AD$2501),MATCH(ROWS($L$2:$L303),'Per Line'!$AD$2:$AD$2501,0),"")</f>
        <v/>
      </c>
      <c r="M303">
        <f>IF($L303="","",INDEX('Per Line'!$E$2:$E$2501,$L303))</f>
        <v/>
      </c>
    </row>
    <row r="304">
      <c r="A304">
        <f>IF($L304="","",INDEX('Per Line'!$C$2:$C$2501,$L304))</f>
        <v/>
      </c>
      <c r="B304">
        <f>IF($L304="","",INDEX('Per Line'!$D$2:$D$2501,$L304))</f>
        <v/>
      </c>
      <c r="C304">
        <f>IF($L304="","",INDEX('Per Line'!$A$2:$A$2501,$L304))</f>
        <v/>
      </c>
      <c r="F304">
        <f>IF($L304="","",INDEX('Per Line'!$U$2:$U$2501,$L304))</f>
        <v/>
      </c>
      <c r="G304" s="5">
        <f>IF($L304="","",SUMIFS('Per Line'!$W$2:$W$2501,'Per Line'!$D$2:$D$2501,$B304))</f>
        <v/>
      </c>
      <c r="H304" s="5">
        <f>IF($L304="","",SUMIFS('Per Line'!$X$2:$X$2501,'Per Line'!$D$2:$D$2501,$B304))</f>
        <v/>
      </c>
      <c r="I304" s="5">
        <f>IF($L304="","",SUMIFS('Per Line'!$Y$2:$Y$2501,'Per Line'!$D$2:$D$2501,$B304))</f>
        <v/>
      </c>
      <c r="J304" s="5">
        <f>IF($L304="","",G304-H304)</f>
        <v/>
      </c>
      <c r="K304" s="5">
        <f>IF($L304="","",J304-I304)</f>
        <v/>
      </c>
      <c r="L304">
        <f>IF(ROWS($L$2:$L304)&lt;=MAX('Per Line'!$AD$2:$AD$2501),MATCH(ROWS($L$2:$L304),'Per Line'!$AD$2:$AD$2501,0),"")</f>
        <v/>
      </c>
      <c r="M304">
        <f>IF($L304="","",INDEX('Per Line'!$E$2:$E$2501,$L304))</f>
        <v/>
      </c>
    </row>
    <row r="305">
      <c r="A305">
        <f>IF($L305="","",INDEX('Per Line'!$C$2:$C$2501,$L305))</f>
        <v/>
      </c>
      <c r="B305">
        <f>IF($L305="","",INDEX('Per Line'!$D$2:$D$2501,$L305))</f>
        <v/>
      </c>
      <c r="C305">
        <f>IF($L305="","",INDEX('Per Line'!$A$2:$A$2501,$L305))</f>
        <v/>
      </c>
      <c r="F305">
        <f>IF($L305="","",INDEX('Per Line'!$U$2:$U$2501,$L305))</f>
        <v/>
      </c>
      <c r="G305" s="5">
        <f>IF($L305="","",SUMIFS('Per Line'!$W$2:$W$2501,'Per Line'!$D$2:$D$2501,$B305))</f>
        <v/>
      </c>
      <c r="H305" s="5">
        <f>IF($L305="","",SUMIFS('Per Line'!$X$2:$X$2501,'Per Line'!$D$2:$D$2501,$B305))</f>
        <v/>
      </c>
      <c r="I305" s="5">
        <f>IF($L305="","",SUMIFS('Per Line'!$Y$2:$Y$2501,'Per Line'!$D$2:$D$2501,$B305))</f>
        <v/>
      </c>
      <c r="J305" s="5">
        <f>IF($L305="","",G305-H305)</f>
        <v/>
      </c>
      <c r="K305" s="5">
        <f>IF($L305="","",J305-I305)</f>
        <v/>
      </c>
      <c r="L305">
        <f>IF(ROWS($L$2:$L305)&lt;=MAX('Per Line'!$AD$2:$AD$2501),MATCH(ROWS($L$2:$L305),'Per Line'!$AD$2:$AD$2501,0),"")</f>
        <v/>
      </c>
      <c r="M305">
        <f>IF($L305="","",INDEX('Per Line'!$E$2:$E$2501,$L305))</f>
        <v/>
      </c>
    </row>
    <row r="306">
      <c r="A306">
        <f>IF($L306="","",INDEX('Per Line'!$C$2:$C$2501,$L306))</f>
        <v/>
      </c>
      <c r="B306">
        <f>IF($L306="","",INDEX('Per Line'!$D$2:$D$2501,$L306))</f>
        <v/>
      </c>
      <c r="C306">
        <f>IF($L306="","",INDEX('Per Line'!$A$2:$A$2501,$L306))</f>
        <v/>
      </c>
      <c r="F306">
        <f>IF($L306="","",INDEX('Per Line'!$U$2:$U$2501,$L306))</f>
        <v/>
      </c>
      <c r="G306" s="5">
        <f>IF($L306="","",SUMIFS('Per Line'!$W$2:$W$2501,'Per Line'!$D$2:$D$2501,$B306))</f>
        <v/>
      </c>
      <c r="H306" s="5">
        <f>IF($L306="","",SUMIFS('Per Line'!$X$2:$X$2501,'Per Line'!$D$2:$D$2501,$B306))</f>
        <v/>
      </c>
      <c r="I306" s="5">
        <f>IF($L306="","",SUMIFS('Per Line'!$Y$2:$Y$2501,'Per Line'!$D$2:$D$2501,$B306))</f>
        <v/>
      </c>
      <c r="J306" s="5">
        <f>IF($L306="","",G306-H306)</f>
        <v/>
      </c>
      <c r="K306" s="5">
        <f>IF($L306="","",J306-I306)</f>
        <v/>
      </c>
      <c r="L306">
        <f>IF(ROWS($L$2:$L306)&lt;=MAX('Per Line'!$AD$2:$AD$2501),MATCH(ROWS($L$2:$L306),'Per Line'!$AD$2:$AD$2501,0),"")</f>
        <v/>
      </c>
      <c r="M306">
        <f>IF($L306="","",INDEX('Per Line'!$E$2:$E$2501,$L306))</f>
        <v/>
      </c>
    </row>
    <row r="307">
      <c r="A307">
        <f>IF($L307="","",INDEX('Per Line'!$C$2:$C$2501,$L307))</f>
        <v/>
      </c>
      <c r="B307">
        <f>IF($L307="","",INDEX('Per Line'!$D$2:$D$2501,$L307))</f>
        <v/>
      </c>
      <c r="C307">
        <f>IF($L307="","",INDEX('Per Line'!$A$2:$A$2501,$L307))</f>
        <v/>
      </c>
      <c r="F307">
        <f>IF($L307="","",INDEX('Per Line'!$U$2:$U$2501,$L307))</f>
        <v/>
      </c>
      <c r="G307" s="5">
        <f>IF($L307="","",SUMIFS('Per Line'!$W$2:$W$2501,'Per Line'!$D$2:$D$2501,$B307))</f>
        <v/>
      </c>
      <c r="H307" s="5">
        <f>IF($L307="","",SUMIFS('Per Line'!$X$2:$X$2501,'Per Line'!$D$2:$D$2501,$B307))</f>
        <v/>
      </c>
      <c r="I307" s="5">
        <f>IF($L307="","",SUMIFS('Per Line'!$Y$2:$Y$2501,'Per Line'!$D$2:$D$2501,$B307))</f>
        <v/>
      </c>
      <c r="J307" s="5">
        <f>IF($L307="","",G307-H307)</f>
        <v/>
      </c>
      <c r="K307" s="5">
        <f>IF($L307="","",J307-I307)</f>
        <v/>
      </c>
      <c r="L307">
        <f>IF(ROWS($L$2:$L307)&lt;=MAX('Per Line'!$AD$2:$AD$2501),MATCH(ROWS($L$2:$L307),'Per Line'!$AD$2:$AD$2501,0),"")</f>
        <v/>
      </c>
      <c r="M307">
        <f>IF($L307="","",INDEX('Per Line'!$E$2:$E$2501,$L307))</f>
        <v/>
      </c>
    </row>
    <row r="308">
      <c r="A308">
        <f>IF($L308="","",INDEX('Per Line'!$C$2:$C$2501,$L308))</f>
        <v/>
      </c>
      <c r="B308">
        <f>IF($L308="","",INDEX('Per Line'!$D$2:$D$2501,$L308))</f>
        <v/>
      </c>
      <c r="C308">
        <f>IF($L308="","",INDEX('Per Line'!$A$2:$A$2501,$L308))</f>
        <v/>
      </c>
      <c r="F308">
        <f>IF($L308="","",INDEX('Per Line'!$U$2:$U$2501,$L308))</f>
        <v/>
      </c>
      <c r="G308" s="5">
        <f>IF($L308="","",SUMIFS('Per Line'!$W$2:$W$2501,'Per Line'!$D$2:$D$2501,$B308))</f>
        <v/>
      </c>
      <c r="H308" s="5">
        <f>IF($L308="","",SUMIFS('Per Line'!$X$2:$X$2501,'Per Line'!$D$2:$D$2501,$B308))</f>
        <v/>
      </c>
      <c r="I308" s="5">
        <f>IF($L308="","",SUMIFS('Per Line'!$Y$2:$Y$2501,'Per Line'!$D$2:$D$2501,$B308))</f>
        <v/>
      </c>
      <c r="J308" s="5">
        <f>IF($L308="","",G308-H308)</f>
        <v/>
      </c>
      <c r="K308" s="5">
        <f>IF($L308="","",J308-I308)</f>
        <v/>
      </c>
      <c r="L308">
        <f>IF(ROWS($L$2:$L308)&lt;=MAX('Per Line'!$AD$2:$AD$2501),MATCH(ROWS($L$2:$L308),'Per Line'!$AD$2:$AD$2501,0),"")</f>
        <v/>
      </c>
      <c r="M308">
        <f>IF($L308="","",INDEX('Per Line'!$E$2:$E$2501,$L308))</f>
        <v/>
      </c>
    </row>
    <row r="309">
      <c r="A309">
        <f>IF($L309="","",INDEX('Per Line'!$C$2:$C$2501,$L309))</f>
        <v/>
      </c>
      <c r="B309">
        <f>IF($L309="","",INDEX('Per Line'!$D$2:$D$2501,$L309))</f>
        <v/>
      </c>
      <c r="C309">
        <f>IF($L309="","",INDEX('Per Line'!$A$2:$A$2501,$L309))</f>
        <v/>
      </c>
      <c r="F309">
        <f>IF($L309="","",INDEX('Per Line'!$U$2:$U$2501,$L309))</f>
        <v/>
      </c>
      <c r="G309" s="5">
        <f>IF($L309="","",SUMIFS('Per Line'!$W$2:$W$2501,'Per Line'!$D$2:$D$2501,$B309))</f>
        <v/>
      </c>
      <c r="H309" s="5">
        <f>IF($L309="","",SUMIFS('Per Line'!$X$2:$X$2501,'Per Line'!$D$2:$D$2501,$B309))</f>
        <v/>
      </c>
      <c r="I309" s="5">
        <f>IF($L309="","",SUMIFS('Per Line'!$Y$2:$Y$2501,'Per Line'!$D$2:$D$2501,$B309))</f>
        <v/>
      </c>
      <c r="J309" s="5">
        <f>IF($L309="","",G309-H309)</f>
        <v/>
      </c>
      <c r="K309" s="5">
        <f>IF($L309="","",J309-I309)</f>
        <v/>
      </c>
      <c r="L309">
        <f>IF(ROWS($L$2:$L309)&lt;=MAX('Per Line'!$AD$2:$AD$2501),MATCH(ROWS($L$2:$L309),'Per Line'!$AD$2:$AD$2501,0),"")</f>
        <v/>
      </c>
      <c r="M309">
        <f>IF($L309="","",INDEX('Per Line'!$E$2:$E$2501,$L309))</f>
        <v/>
      </c>
    </row>
    <row r="310">
      <c r="A310">
        <f>IF($L310="","",INDEX('Per Line'!$C$2:$C$2501,$L310))</f>
        <v/>
      </c>
      <c r="B310">
        <f>IF($L310="","",INDEX('Per Line'!$D$2:$D$2501,$L310))</f>
        <v/>
      </c>
      <c r="C310">
        <f>IF($L310="","",INDEX('Per Line'!$A$2:$A$2501,$L310))</f>
        <v/>
      </c>
      <c r="F310">
        <f>IF($L310="","",INDEX('Per Line'!$U$2:$U$2501,$L310))</f>
        <v/>
      </c>
      <c r="G310" s="5">
        <f>IF($L310="","",SUMIFS('Per Line'!$W$2:$W$2501,'Per Line'!$D$2:$D$2501,$B310))</f>
        <v/>
      </c>
      <c r="H310" s="5">
        <f>IF($L310="","",SUMIFS('Per Line'!$X$2:$X$2501,'Per Line'!$D$2:$D$2501,$B310))</f>
        <v/>
      </c>
      <c r="I310" s="5">
        <f>IF($L310="","",SUMIFS('Per Line'!$Y$2:$Y$2501,'Per Line'!$D$2:$D$2501,$B310))</f>
        <v/>
      </c>
      <c r="J310" s="5">
        <f>IF($L310="","",G310-H310)</f>
        <v/>
      </c>
      <c r="K310" s="5">
        <f>IF($L310="","",J310-I310)</f>
        <v/>
      </c>
      <c r="L310">
        <f>IF(ROWS($L$2:$L310)&lt;=MAX('Per Line'!$AD$2:$AD$2501),MATCH(ROWS($L$2:$L310),'Per Line'!$AD$2:$AD$2501,0),"")</f>
        <v/>
      </c>
      <c r="M310">
        <f>IF($L310="","",INDEX('Per Line'!$E$2:$E$2501,$L310))</f>
        <v/>
      </c>
    </row>
    <row r="311">
      <c r="A311">
        <f>IF($L311="","",INDEX('Per Line'!$C$2:$C$2501,$L311))</f>
        <v/>
      </c>
      <c r="B311">
        <f>IF($L311="","",INDEX('Per Line'!$D$2:$D$2501,$L311))</f>
        <v/>
      </c>
      <c r="C311">
        <f>IF($L311="","",INDEX('Per Line'!$A$2:$A$2501,$L311))</f>
        <v/>
      </c>
      <c r="F311">
        <f>IF($L311="","",INDEX('Per Line'!$U$2:$U$2501,$L311))</f>
        <v/>
      </c>
      <c r="G311" s="5">
        <f>IF($L311="","",SUMIFS('Per Line'!$W$2:$W$2501,'Per Line'!$D$2:$D$2501,$B311))</f>
        <v/>
      </c>
      <c r="H311" s="5">
        <f>IF($L311="","",SUMIFS('Per Line'!$X$2:$X$2501,'Per Line'!$D$2:$D$2501,$B311))</f>
        <v/>
      </c>
      <c r="I311" s="5">
        <f>IF($L311="","",SUMIFS('Per Line'!$Y$2:$Y$2501,'Per Line'!$D$2:$D$2501,$B311))</f>
        <v/>
      </c>
      <c r="J311" s="5">
        <f>IF($L311="","",G311-H311)</f>
        <v/>
      </c>
      <c r="K311" s="5">
        <f>IF($L311="","",J311-I311)</f>
        <v/>
      </c>
      <c r="L311">
        <f>IF(ROWS($L$2:$L311)&lt;=MAX('Per Line'!$AD$2:$AD$2501),MATCH(ROWS($L$2:$L311),'Per Line'!$AD$2:$AD$2501,0),"")</f>
        <v/>
      </c>
      <c r="M311">
        <f>IF($L311="","",INDEX('Per Line'!$E$2:$E$2501,$L311))</f>
        <v/>
      </c>
    </row>
    <row r="312">
      <c r="A312">
        <f>IF($L312="","",INDEX('Per Line'!$C$2:$C$2501,$L312))</f>
        <v/>
      </c>
      <c r="B312">
        <f>IF($L312="","",INDEX('Per Line'!$D$2:$D$2501,$L312))</f>
        <v/>
      </c>
      <c r="C312">
        <f>IF($L312="","",INDEX('Per Line'!$A$2:$A$2501,$L312))</f>
        <v/>
      </c>
      <c r="F312">
        <f>IF($L312="","",INDEX('Per Line'!$U$2:$U$2501,$L312))</f>
        <v/>
      </c>
      <c r="G312" s="5">
        <f>IF($L312="","",SUMIFS('Per Line'!$W$2:$W$2501,'Per Line'!$D$2:$D$2501,$B312))</f>
        <v/>
      </c>
      <c r="H312" s="5">
        <f>IF($L312="","",SUMIFS('Per Line'!$X$2:$X$2501,'Per Line'!$D$2:$D$2501,$B312))</f>
        <v/>
      </c>
      <c r="I312" s="5">
        <f>IF($L312="","",SUMIFS('Per Line'!$Y$2:$Y$2501,'Per Line'!$D$2:$D$2501,$B312))</f>
        <v/>
      </c>
      <c r="J312" s="5">
        <f>IF($L312="","",G312-H312)</f>
        <v/>
      </c>
      <c r="K312" s="5">
        <f>IF($L312="","",J312-I312)</f>
        <v/>
      </c>
      <c r="L312">
        <f>IF(ROWS($L$2:$L312)&lt;=MAX('Per Line'!$AD$2:$AD$2501),MATCH(ROWS($L$2:$L312),'Per Line'!$AD$2:$AD$2501,0),"")</f>
        <v/>
      </c>
      <c r="M312">
        <f>IF($L312="","",INDEX('Per Line'!$E$2:$E$2501,$L312))</f>
        <v/>
      </c>
    </row>
    <row r="313">
      <c r="A313">
        <f>IF($L313="","",INDEX('Per Line'!$C$2:$C$2501,$L313))</f>
        <v/>
      </c>
      <c r="B313">
        <f>IF($L313="","",INDEX('Per Line'!$D$2:$D$2501,$L313))</f>
        <v/>
      </c>
      <c r="C313">
        <f>IF($L313="","",INDEX('Per Line'!$A$2:$A$2501,$L313))</f>
        <v/>
      </c>
      <c r="F313">
        <f>IF($L313="","",INDEX('Per Line'!$U$2:$U$2501,$L313))</f>
        <v/>
      </c>
      <c r="G313" s="5">
        <f>IF($L313="","",SUMIFS('Per Line'!$W$2:$W$2501,'Per Line'!$D$2:$D$2501,$B313))</f>
        <v/>
      </c>
      <c r="H313" s="5">
        <f>IF($L313="","",SUMIFS('Per Line'!$X$2:$X$2501,'Per Line'!$D$2:$D$2501,$B313))</f>
        <v/>
      </c>
      <c r="I313" s="5">
        <f>IF($L313="","",SUMIFS('Per Line'!$Y$2:$Y$2501,'Per Line'!$D$2:$D$2501,$B313))</f>
        <v/>
      </c>
      <c r="J313" s="5">
        <f>IF($L313="","",G313-H313)</f>
        <v/>
      </c>
      <c r="K313" s="5">
        <f>IF($L313="","",J313-I313)</f>
        <v/>
      </c>
      <c r="L313">
        <f>IF(ROWS($L$2:$L313)&lt;=MAX('Per Line'!$AD$2:$AD$2501),MATCH(ROWS($L$2:$L313),'Per Line'!$AD$2:$AD$2501,0),"")</f>
        <v/>
      </c>
      <c r="M313">
        <f>IF($L313="","",INDEX('Per Line'!$E$2:$E$2501,$L313))</f>
        <v/>
      </c>
    </row>
    <row r="314">
      <c r="A314">
        <f>IF($L314="","",INDEX('Per Line'!$C$2:$C$2501,$L314))</f>
        <v/>
      </c>
      <c r="B314">
        <f>IF($L314="","",INDEX('Per Line'!$D$2:$D$2501,$L314))</f>
        <v/>
      </c>
      <c r="C314">
        <f>IF($L314="","",INDEX('Per Line'!$A$2:$A$2501,$L314))</f>
        <v/>
      </c>
      <c r="F314">
        <f>IF($L314="","",INDEX('Per Line'!$U$2:$U$2501,$L314))</f>
        <v/>
      </c>
      <c r="G314" s="5">
        <f>IF($L314="","",SUMIFS('Per Line'!$W$2:$W$2501,'Per Line'!$D$2:$D$2501,$B314))</f>
        <v/>
      </c>
      <c r="H314" s="5">
        <f>IF($L314="","",SUMIFS('Per Line'!$X$2:$X$2501,'Per Line'!$D$2:$D$2501,$B314))</f>
        <v/>
      </c>
      <c r="I314" s="5">
        <f>IF($L314="","",SUMIFS('Per Line'!$Y$2:$Y$2501,'Per Line'!$D$2:$D$2501,$B314))</f>
        <v/>
      </c>
      <c r="J314" s="5">
        <f>IF($L314="","",G314-H314)</f>
        <v/>
      </c>
      <c r="K314" s="5">
        <f>IF($L314="","",J314-I314)</f>
        <v/>
      </c>
      <c r="L314">
        <f>IF(ROWS($L$2:$L314)&lt;=MAX('Per Line'!$AD$2:$AD$2501),MATCH(ROWS($L$2:$L314),'Per Line'!$AD$2:$AD$2501,0),"")</f>
        <v/>
      </c>
      <c r="M314">
        <f>IF($L314="","",INDEX('Per Line'!$E$2:$E$2501,$L314))</f>
        <v/>
      </c>
    </row>
    <row r="315">
      <c r="A315">
        <f>IF($L315="","",INDEX('Per Line'!$C$2:$C$2501,$L315))</f>
        <v/>
      </c>
      <c r="B315">
        <f>IF($L315="","",INDEX('Per Line'!$D$2:$D$2501,$L315))</f>
        <v/>
      </c>
      <c r="C315">
        <f>IF($L315="","",INDEX('Per Line'!$A$2:$A$2501,$L315))</f>
        <v/>
      </c>
      <c r="F315">
        <f>IF($L315="","",INDEX('Per Line'!$U$2:$U$2501,$L315))</f>
        <v/>
      </c>
      <c r="G315" s="5">
        <f>IF($L315="","",SUMIFS('Per Line'!$W$2:$W$2501,'Per Line'!$D$2:$D$2501,$B315))</f>
        <v/>
      </c>
      <c r="H315" s="5">
        <f>IF($L315="","",SUMIFS('Per Line'!$X$2:$X$2501,'Per Line'!$D$2:$D$2501,$B315))</f>
        <v/>
      </c>
      <c r="I315" s="5">
        <f>IF($L315="","",SUMIFS('Per Line'!$Y$2:$Y$2501,'Per Line'!$D$2:$D$2501,$B315))</f>
        <v/>
      </c>
      <c r="J315" s="5">
        <f>IF($L315="","",G315-H315)</f>
        <v/>
      </c>
      <c r="K315" s="5">
        <f>IF($L315="","",J315-I315)</f>
        <v/>
      </c>
      <c r="L315">
        <f>IF(ROWS($L$2:$L315)&lt;=MAX('Per Line'!$AD$2:$AD$2501),MATCH(ROWS($L$2:$L315),'Per Line'!$AD$2:$AD$2501,0),"")</f>
        <v/>
      </c>
      <c r="M315">
        <f>IF($L315="","",INDEX('Per Line'!$E$2:$E$2501,$L315))</f>
        <v/>
      </c>
    </row>
    <row r="316">
      <c r="A316">
        <f>IF($L316="","",INDEX('Per Line'!$C$2:$C$2501,$L316))</f>
        <v/>
      </c>
      <c r="B316">
        <f>IF($L316="","",INDEX('Per Line'!$D$2:$D$2501,$L316))</f>
        <v/>
      </c>
      <c r="C316">
        <f>IF($L316="","",INDEX('Per Line'!$A$2:$A$2501,$L316))</f>
        <v/>
      </c>
      <c r="F316">
        <f>IF($L316="","",INDEX('Per Line'!$U$2:$U$2501,$L316))</f>
        <v/>
      </c>
      <c r="G316" s="5">
        <f>IF($L316="","",SUMIFS('Per Line'!$W$2:$W$2501,'Per Line'!$D$2:$D$2501,$B316))</f>
        <v/>
      </c>
      <c r="H316" s="5">
        <f>IF($L316="","",SUMIFS('Per Line'!$X$2:$X$2501,'Per Line'!$D$2:$D$2501,$B316))</f>
        <v/>
      </c>
      <c r="I316" s="5">
        <f>IF($L316="","",SUMIFS('Per Line'!$Y$2:$Y$2501,'Per Line'!$D$2:$D$2501,$B316))</f>
        <v/>
      </c>
      <c r="J316" s="5">
        <f>IF($L316="","",G316-H316)</f>
        <v/>
      </c>
      <c r="K316" s="5">
        <f>IF($L316="","",J316-I316)</f>
        <v/>
      </c>
      <c r="L316">
        <f>IF(ROWS($L$2:$L316)&lt;=MAX('Per Line'!$AD$2:$AD$2501),MATCH(ROWS($L$2:$L316),'Per Line'!$AD$2:$AD$2501,0),"")</f>
        <v/>
      </c>
      <c r="M316">
        <f>IF($L316="","",INDEX('Per Line'!$E$2:$E$2501,$L316))</f>
        <v/>
      </c>
    </row>
    <row r="317">
      <c r="A317">
        <f>IF($L317="","",INDEX('Per Line'!$C$2:$C$2501,$L317))</f>
        <v/>
      </c>
      <c r="B317">
        <f>IF($L317="","",INDEX('Per Line'!$D$2:$D$2501,$L317))</f>
        <v/>
      </c>
      <c r="C317">
        <f>IF($L317="","",INDEX('Per Line'!$A$2:$A$2501,$L317))</f>
        <v/>
      </c>
      <c r="F317">
        <f>IF($L317="","",INDEX('Per Line'!$U$2:$U$2501,$L317))</f>
        <v/>
      </c>
      <c r="G317" s="5">
        <f>IF($L317="","",SUMIFS('Per Line'!$W$2:$W$2501,'Per Line'!$D$2:$D$2501,$B317))</f>
        <v/>
      </c>
      <c r="H317" s="5">
        <f>IF($L317="","",SUMIFS('Per Line'!$X$2:$X$2501,'Per Line'!$D$2:$D$2501,$B317))</f>
        <v/>
      </c>
      <c r="I317" s="5">
        <f>IF($L317="","",SUMIFS('Per Line'!$Y$2:$Y$2501,'Per Line'!$D$2:$D$2501,$B317))</f>
        <v/>
      </c>
      <c r="J317" s="5">
        <f>IF($L317="","",G317-H317)</f>
        <v/>
      </c>
      <c r="K317" s="5">
        <f>IF($L317="","",J317-I317)</f>
        <v/>
      </c>
      <c r="L317">
        <f>IF(ROWS($L$2:$L317)&lt;=MAX('Per Line'!$AD$2:$AD$2501),MATCH(ROWS($L$2:$L317),'Per Line'!$AD$2:$AD$2501,0),"")</f>
        <v/>
      </c>
      <c r="M317">
        <f>IF($L317="","",INDEX('Per Line'!$E$2:$E$2501,$L317))</f>
        <v/>
      </c>
    </row>
    <row r="318">
      <c r="A318">
        <f>IF($L318="","",INDEX('Per Line'!$C$2:$C$2501,$L318))</f>
        <v/>
      </c>
      <c r="B318">
        <f>IF($L318="","",INDEX('Per Line'!$D$2:$D$2501,$L318))</f>
        <v/>
      </c>
      <c r="C318">
        <f>IF($L318="","",INDEX('Per Line'!$A$2:$A$2501,$L318))</f>
        <v/>
      </c>
      <c r="F318">
        <f>IF($L318="","",INDEX('Per Line'!$U$2:$U$2501,$L318))</f>
        <v/>
      </c>
      <c r="G318" s="5">
        <f>IF($L318="","",SUMIFS('Per Line'!$W$2:$W$2501,'Per Line'!$D$2:$D$2501,$B318))</f>
        <v/>
      </c>
      <c r="H318" s="5">
        <f>IF($L318="","",SUMIFS('Per Line'!$X$2:$X$2501,'Per Line'!$D$2:$D$2501,$B318))</f>
        <v/>
      </c>
      <c r="I318" s="5">
        <f>IF($L318="","",SUMIFS('Per Line'!$Y$2:$Y$2501,'Per Line'!$D$2:$D$2501,$B318))</f>
        <v/>
      </c>
      <c r="J318" s="5">
        <f>IF($L318="","",G318-H318)</f>
        <v/>
      </c>
      <c r="K318" s="5">
        <f>IF($L318="","",J318-I318)</f>
        <v/>
      </c>
      <c r="L318">
        <f>IF(ROWS($L$2:$L318)&lt;=MAX('Per Line'!$AD$2:$AD$2501),MATCH(ROWS($L$2:$L318),'Per Line'!$AD$2:$AD$2501,0),"")</f>
        <v/>
      </c>
      <c r="M318">
        <f>IF($L318="","",INDEX('Per Line'!$E$2:$E$2501,$L318))</f>
        <v/>
      </c>
    </row>
    <row r="319">
      <c r="A319">
        <f>IF($L319="","",INDEX('Per Line'!$C$2:$C$2501,$L319))</f>
        <v/>
      </c>
      <c r="B319">
        <f>IF($L319="","",INDEX('Per Line'!$D$2:$D$2501,$L319))</f>
        <v/>
      </c>
      <c r="C319">
        <f>IF($L319="","",INDEX('Per Line'!$A$2:$A$2501,$L319))</f>
        <v/>
      </c>
      <c r="F319">
        <f>IF($L319="","",INDEX('Per Line'!$U$2:$U$2501,$L319))</f>
        <v/>
      </c>
      <c r="G319" s="5">
        <f>IF($L319="","",SUMIFS('Per Line'!$W$2:$W$2501,'Per Line'!$D$2:$D$2501,$B319))</f>
        <v/>
      </c>
      <c r="H319" s="5">
        <f>IF($L319="","",SUMIFS('Per Line'!$X$2:$X$2501,'Per Line'!$D$2:$D$2501,$B319))</f>
        <v/>
      </c>
      <c r="I319" s="5">
        <f>IF($L319="","",SUMIFS('Per Line'!$Y$2:$Y$2501,'Per Line'!$D$2:$D$2501,$B319))</f>
        <v/>
      </c>
      <c r="J319" s="5">
        <f>IF($L319="","",G319-H319)</f>
        <v/>
      </c>
      <c r="K319" s="5">
        <f>IF($L319="","",J319-I319)</f>
        <v/>
      </c>
      <c r="L319">
        <f>IF(ROWS($L$2:$L319)&lt;=MAX('Per Line'!$AD$2:$AD$2501),MATCH(ROWS($L$2:$L319),'Per Line'!$AD$2:$AD$2501,0),"")</f>
        <v/>
      </c>
      <c r="M319">
        <f>IF($L319="","",INDEX('Per Line'!$E$2:$E$2501,$L319))</f>
        <v/>
      </c>
    </row>
    <row r="320">
      <c r="A320">
        <f>IF($L320="","",INDEX('Per Line'!$C$2:$C$2501,$L320))</f>
        <v/>
      </c>
      <c r="B320">
        <f>IF($L320="","",INDEX('Per Line'!$D$2:$D$2501,$L320))</f>
        <v/>
      </c>
      <c r="C320">
        <f>IF($L320="","",INDEX('Per Line'!$A$2:$A$2501,$L320))</f>
        <v/>
      </c>
      <c r="F320">
        <f>IF($L320="","",INDEX('Per Line'!$U$2:$U$2501,$L320))</f>
        <v/>
      </c>
      <c r="G320" s="5">
        <f>IF($L320="","",SUMIFS('Per Line'!$W$2:$W$2501,'Per Line'!$D$2:$D$2501,$B320))</f>
        <v/>
      </c>
      <c r="H320" s="5">
        <f>IF($L320="","",SUMIFS('Per Line'!$X$2:$X$2501,'Per Line'!$D$2:$D$2501,$B320))</f>
        <v/>
      </c>
      <c r="I320" s="5">
        <f>IF($L320="","",SUMIFS('Per Line'!$Y$2:$Y$2501,'Per Line'!$D$2:$D$2501,$B320))</f>
        <v/>
      </c>
      <c r="J320" s="5">
        <f>IF($L320="","",G320-H320)</f>
        <v/>
      </c>
      <c r="K320" s="5">
        <f>IF($L320="","",J320-I320)</f>
        <v/>
      </c>
      <c r="L320">
        <f>IF(ROWS($L$2:$L320)&lt;=MAX('Per Line'!$AD$2:$AD$2501),MATCH(ROWS($L$2:$L320),'Per Line'!$AD$2:$AD$2501,0),"")</f>
        <v/>
      </c>
      <c r="M320">
        <f>IF($L320="","",INDEX('Per Line'!$E$2:$E$2501,$L320))</f>
        <v/>
      </c>
    </row>
    <row r="321">
      <c r="A321">
        <f>IF($L321="","",INDEX('Per Line'!$C$2:$C$2501,$L321))</f>
        <v/>
      </c>
      <c r="B321">
        <f>IF($L321="","",INDEX('Per Line'!$D$2:$D$2501,$L321))</f>
        <v/>
      </c>
      <c r="C321">
        <f>IF($L321="","",INDEX('Per Line'!$A$2:$A$2501,$L321))</f>
        <v/>
      </c>
      <c r="F321">
        <f>IF($L321="","",INDEX('Per Line'!$U$2:$U$2501,$L321))</f>
        <v/>
      </c>
      <c r="G321" s="5">
        <f>IF($L321="","",SUMIFS('Per Line'!$W$2:$W$2501,'Per Line'!$D$2:$D$2501,$B321))</f>
        <v/>
      </c>
      <c r="H321" s="5">
        <f>IF($L321="","",SUMIFS('Per Line'!$X$2:$X$2501,'Per Line'!$D$2:$D$2501,$B321))</f>
        <v/>
      </c>
      <c r="I321" s="5">
        <f>IF($L321="","",SUMIFS('Per Line'!$Y$2:$Y$2501,'Per Line'!$D$2:$D$2501,$B321))</f>
        <v/>
      </c>
      <c r="J321" s="5">
        <f>IF($L321="","",G321-H321)</f>
        <v/>
      </c>
      <c r="K321" s="5">
        <f>IF($L321="","",J321-I321)</f>
        <v/>
      </c>
      <c r="L321">
        <f>IF(ROWS($L$2:$L321)&lt;=MAX('Per Line'!$AD$2:$AD$2501),MATCH(ROWS($L$2:$L321),'Per Line'!$AD$2:$AD$2501,0),"")</f>
        <v/>
      </c>
      <c r="M321">
        <f>IF($L321="","",INDEX('Per Line'!$E$2:$E$2501,$L321))</f>
        <v/>
      </c>
    </row>
    <row r="322">
      <c r="A322">
        <f>IF($L322="","",INDEX('Per Line'!$C$2:$C$2501,$L322))</f>
        <v/>
      </c>
      <c r="B322">
        <f>IF($L322="","",INDEX('Per Line'!$D$2:$D$2501,$L322))</f>
        <v/>
      </c>
      <c r="C322">
        <f>IF($L322="","",INDEX('Per Line'!$A$2:$A$2501,$L322))</f>
        <v/>
      </c>
      <c r="F322">
        <f>IF($L322="","",INDEX('Per Line'!$U$2:$U$2501,$L322))</f>
        <v/>
      </c>
      <c r="G322" s="5">
        <f>IF($L322="","",SUMIFS('Per Line'!$W$2:$W$2501,'Per Line'!$D$2:$D$2501,$B322))</f>
        <v/>
      </c>
      <c r="H322" s="5">
        <f>IF($L322="","",SUMIFS('Per Line'!$X$2:$X$2501,'Per Line'!$D$2:$D$2501,$B322))</f>
        <v/>
      </c>
      <c r="I322" s="5">
        <f>IF($L322="","",SUMIFS('Per Line'!$Y$2:$Y$2501,'Per Line'!$D$2:$D$2501,$B322))</f>
        <v/>
      </c>
      <c r="J322" s="5">
        <f>IF($L322="","",G322-H322)</f>
        <v/>
      </c>
      <c r="K322" s="5">
        <f>IF($L322="","",J322-I322)</f>
        <v/>
      </c>
      <c r="L322">
        <f>IF(ROWS($L$2:$L322)&lt;=MAX('Per Line'!$AD$2:$AD$2501),MATCH(ROWS($L$2:$L322),'Per Line'!$AD$2:$AD$2501,0),"")</f>
        <v/>
      </c>
      <c r="M322">
        <f>IF($L322="","",INDEX('Per Line'!$E$2:$E$2501,$L322))</f>
        <v/>
      </c>
    </row>
    <row r="323">
      <c r="A323">
        <f>IF($L323="","",INDEX('Per Line'!$C$2:$C$2501,$L323))</f>
        <v/>
      </c>
      <c r="B323">
        <f>IF($L323="","",INDEX('Per Line'!$D$2:$D$2501,$L323))</f>
        <v/>
      </c>
      <c r="C323">
        <f>IF($L323="","",INDEX('Per Line'!$A$2:$A$2501,$L323))</f>
        <v/>
      </c>
      <c r="F323">
        <f>IF($L323="","",INDEX('Per Line'!$U$2:$U$2501,$L323))</f>
        <v/>
      </c>
      <c r="G323" s="5">
        <f>IF($L323="","",SUMIFS('Per Line'!$W$2:$W$2501,'Per Line'!$D$2:$D$2501,$B323))</f>
        <v/>
      </c>
      <c r="H323" s="5">
        <f>IF($L323="","",SUMIFS('Per Line'!$X$2:$X$2501,'Per Line'!$D$2:$D$2501,$B323))</f>
        <v/>
      </c>
      <c r="I323" s="5">
        <f>IF($L323="","",SUMIFS('Per Line'!$Y$2:$Y$2501,'Per Line'!$D$2:$D$2501,$B323))</f>
        <v/>
      </c>
      <c r="J323" s="5">
        <f>IF($L323="","",G323-H323)</f>
        <v/>
      </c>
      <c r="K323" s="5">
        <f>IF($L323="","",J323-I323)</f>
        <v/>
      </c>
      <c r="L323">
        <f>IF(ROWS($L$2:$L323)&lt;=MAX('Per Line'!$AD$2:$AD$2501),MATCH(ROWS($L$2:$L323),'Per Line'!$AD$2:$AD$2501,0),"")</f>
        <v/>
      </c>
      <c r="M323">
        <f>IF($L323="","",INDEX('Per Line'!$E$2:$E$2501,$L323))</f>
        <v/>
      </c>
    </row>
    <row r="324">
      <c r="A324">
        <f>IF($L324="","",INDEX('Per Line'!$C$2:$C$2501,$L324))</f>
        <v/>
      </c>
      <c r="B324">
        <f>IF($L324="","",INDEX('Per Line'!$D$2:$D$2501,$L324))</f>
        <v/>
      </c>
      <c r="C324">
        <f>IF($L324="","",INDEX('Per Line'!$A$2:$A$2501,$L324))</f>
        <v/>
      </c>
      <c r="F324">
        <f>IF($L324="","",INDEX('Per Line'!$U$2:$U$2501,$L324))</f>
        <v/>
      </c>
      <c r="G324" s="5">
        <f>IF($L324="","",SUMIFS('Per Line'!$W$2:$W$2501,'Per Line'!$D$2:$D$2501,$B324))</f>
        <v/>
      </c>
      <c r="H324" s="5">
        <f>IF($L324="","",SUMIFS('Per Line'!$X$2:$X$2501,'Per Line'!$D$2:$D$2501,$B324))</f>
        <v/>
      </c>
      <c r="I324" s="5">
        <f>IF($L324="","",SUMIFS('Per Line'!$Y$2:$Y$2501,'Per Line'!$D$2:$D$2501,$B324))</f>
        <v/>
      </c>
      <c r="J324" s="5">
        <f>IF($L324="","",G324-H324)</f>
        <v/>
      </c>
      <c r="K324" s="5">
        <f>IF($L324="","",J324-I324)</f>
        <v/>
      </c>
      <c r="L324">
        <f>IF(ROWS($L$2:$L324)&lt;=MAX('Per Line'!$AD$2:$AD$2501),MATCH(ROWS($L$2:$L324),'Per Line'!$AD$2:$AD$2501,0),"")</f>
        <v/>
      </c>
      <c r="M324">
        <f>IF($L324="","",INDEX('Per Line'!$E$2:$E$2501,$L324))</f>
        <v/>
      </c>
    </row>
    <row r="325">
      <c r="A325">
        <f>IF($L325="","",INDEX('Per Line'!$C$2:$C$2501,$L325))</f>
        <v/>
      </c>
      <c r="B325">
        <f>IF($L325="","",INDEX('Per Line'!$D$2:$D$2501,$L325))</f>
        <v/>
      </c>
      <c r="C325">
        <f>IF($L325="","",INDEX('Per Line'!$A$2:$A$2501,$L325))</f>
        <v/>
      </c>
      <c r="F325">
        <f>IF($L325="","",INDEX('Per Line'!$U$2:$U$2501,$L325))</f>
        <v/>
      </c>
      <c r="G325" s="5">
        <f>IF($L325="","",SUMIFS('Per Line'!$W$2:$W$2501,'Per Line'!$D$2:$D$2501,$B325))</f>
        <v/>
      </c>
      <c r="H325" s="5">
        <f>IF($L325="","",SUMIFS('Per Line'!$X$2:$X$2501,'Per Line'!$D$2:$D$2501,$B325))</f>
        <v/>
      </c>
      <c r="I325" s="5">
        <f>IF($L325="","",SUMIFS('Per Line'!$Y$2:$Y$2501,'Per Line'!$D$2:$D$2501,$B325))</f>
        <v/>
      </c>
      <c r="J325" s="5">
        <f>IF($L325="","",G325-H325)</f>
        <v/>
      </c>
      <c r="K325" s="5">
        <f>IF($L325="","",J325-I325)</f>
        <v/>
      </c>
      <c r="L325">
        <f>IF(ROWS($L$2:$L325)&lt;=MAX('Per Line'!$AD$2:$AD$2501),MATCH(ROWS($L$2:$L325),'Per Line'!$AD$2:$AD$2501,0),"")</f>
        <v/>
      </c>
      <c r="M325">
        <f>IF($L325="","",INDEX('Per Line'!$E$2:$E$2501,$L325))</f>
        <v/>
      </c>
    </row>
    <row r="326">
      <c r="A326">
        <f>IF($L326="","",INDEX('Per Line'!$C$2:$C$2501,$L326))</f>
        <v/>
      </c>
      <c r="B326">
        <f>IF($L326="","",INDEX('Per Line'!$D$2:$D$2501,$L326))</f>
        <v/>
      </c>
      <c r="C326">
        <f>IF($L326="","",INDEX('Per Line'!$A$2:$A$2501,$L326))</f>
        <v/>
      </c>
      <c r="F326">
        <f>IF($L326="","",INDEX('Per Line'!$U$2:$U$2501,$L326))</f>
        <v/>
      </c>
      <c r="G326" s="5">
        <f>IF($L326="","",SUMIFS('Per Line'!$W$2:$W$2501,'Per Line'!$D$2:$D$2501,$B326))</f>
        <v/>
      </c>
      <c r="H326" s="5">
        <f>IF($L326="","",SUMIFS('Per Line'!$X$2:$X$2501,'Per Line'!$D$2:$D$2501,$B326))</f>
        <v/>
      </c>
      <c r="I326" s="5">
        <f>IF($L326="","",SUMIFS('Per Line'!$Y$2:$Y$2501,'Per Line'!$D$2:$D$2501,$B326))</f>
        <v/>
      </c>
      <c r="J326" s="5">
        <f>IF($L326="","",G326-H326)</f>
        <v/>
      </c>
      <c r="K326" s="5">
        <f>IF($L326="","",J326-I326)</f>
        <v/>
      </c>
      <c r="L326">
        <f>IF(ROWS($L$2:$L326)&lt;=MAX('Per Line'!$AD$2:$AD$2501),MATCH(ROWS($L$2:$L326),'Per Line'!$AD$2:$AD$2501,0),"")</f>
        <v/>
      </c>
      <c r="M326">
        <f>IF($L326="","",INDEX('Per Line'!$E$2:$E$2501,$L326))</f>
        <v/>
      </c>
    </row>
    <row r="327">
      <c r="A327">
        <f>IF($L327="","",INDEX('Per Line'!$C$2:$C$2501,$L327))</f>
        <v/>
      </c>
      <c r="B327">
        <f>IF($L327="","",INDEX('Per Line'!$D$2:$D$2501,$L327))</f>
        <v/>
      </c>
      <c r="C327">
        <f>IF($L327="","",INDEX('Per Line'!$A$2:$A$2501,$L327))</f>
        <v/>
      </c>
      <c r="F327">
        <f>IF($L327="","",INDEX('Per Line'!$U$2:$U$2501,$L327))</f>
        <v/>
      </c>
      <c r="G327" s="5">
        <f>IF($L327="","",SUMIFS('Per Line'!$W$2:$W$2501,'Per Line'!$D$2:$D$2501,$B327))</f>
        <v/>
      </c>
      <c r="H327" s="5">
        <f>IF($L327="","",SUMIFS('Per Line'!$X$2:$X$2501,'Per Line'!$D$2:$D$2501,$B327))</f>
        <v/>
      </c>
      <c r="I327" s="5">
        <f>IF($L327="","",SUMIFS('Per Line'!$Y$2:$Y$2501,'Per Line'!$D$2:$D$2501,$B327))</f>
        <v/>
      </c>
      <c r="J327" s="5">
        <f>IF($L327="","",G327-H327)</f>
        <v/>
      </c>
      <c r="K327" s="5">
        <f>IF($L327="","",J327-I327)</f>
        <v/>
      </c>
      <c r="L327">
        <f>IF(ROWS($L$2:$L327)&lt;=MAX('Per Line'!$AD$2:$AD$2501),MATCH(ROWS($L$2:$L327),'Per Line'!$AD$2:$AD$2501,0),"")</f>
        <v/>
      </c>
      <c r="M327">
        <f>IF($L327="","",INDEX('Per Line'!$E$2:$E$2501,$L327))</f>
        <v/>
      </c>
    </row>
    <row r="328">
      <c r="A328">
        <f>IF($L328="","",INDEX('Per Line'!$C$2:$C$2501,$L328))</f>
        <v/>
      </c>
      <c r="B328">
        <f>IF($L328="","",INDEX('Per Line'!$D$2:$D$2501,$L328))</f>
        <v/>
      </c>
      <c r="C328">
        <f>IF($L328="","",INDEX('Per Line'!$A$2:$A$2501,$L328))</f>
        <v/>
      </c>
      <c r="F328">
        <f>IF($L328="","",INDEX('Per Line'!$U$2:$U$2501,$L328))</f>
        <v/>
      </c>
      <c r="G328" s="5">
        <f>IF($L328="","",SUMIFS('Per Line'!$W$2:$W$2501,'Per Line'!$D$2:$D$2501,$B328))</f>
        <v/>
      </c>
      <c r="H328" s="5">
        <f>IF($L328="","",SUMIFS('Per Line'!$X$2:$X$2501,'Per Line'!$D$2:$D$2501,$B328))</f>
        <v/>
      </c>
      <c r="I328" s="5">
        <f>IF($L328="","",SUMIFS('Per Line'!$Y$2:$Y$2501,'Per Line'!$D$2:$D$2501,$B328))</f>
        <v/>
      </c>
      <c r="J328" s="5">
        <f>IF($L328="","",G328-H328)</f>
        <v/>
      </c>
      <c r="K328" s="5">
        <f>IF($L328="","",J328-I328)</f>
        <v/>
      </c>
      <c r="L328">
        <f>IF(ROWS($L$2:$L328)&lt;=MAX('Per Line'!$AD$2:$AD$2501),MATCH(ROWS($L$2:$L328),'Per Line'!$AD$2:$AD$2501,0),"")</f>
        <v/>
      </c>
      <c r="M328">
        <f>IF($L328="","",INDEX('Per Line'!$E$2:$E$2501,$L328))</f>
        <v/>
      </c>
    </row>
    <row r="329">
      <c r="A329">
        <f>IF($L329="","",INDEX('Per Line'!$C$2:$C$2501,$L329))</f>
        <v/>
      </c>
      <c r="B329">
        <f>IF($L329="","",INDEX('Per Line'!$D$2:$D$2501,$L329))</f>
        <v/>
      </c>
      <c r="C329">
        <f>IF($L329="","",INDEX('Per Line'!$A$2:$A$2501,$L329))</f>
        <v/>
      </c>
      <c r="F329">
        <f>IF($L329="","",INDEX('Per Line'!$U$2:$U$2501,$L329))</f>
        <v/>
      </c>
      <c r="G329" s="5">
        <f>IF($L329="","",SUMIFS('Per Line'!$W$2:$W$2501,'Per Line'!$D$2:$D$2501,$B329))</f>
        <v/>
      </c>
      <c r="H329" s="5">
        <f>IF($L329="","",SUMIFS('Per Line'!$X$2:$X$2501,'Per Line'!$D$2:$D$2501,$B329))</f>
        <v/>
      </c>
      <c r="I329" s="5">
        <f>IF($L329="","",SUMIFS('Per Line'!$Y$2:$Y$2501,'Per Line'!$D$2:$D$2501,$B329))</f>
        <v/>
      </c>
      <c r="J329" s="5">
        <f>IF($L329="","",G329-H329)</f>
        <v/>
      </c>
      <c r="K329" s="5">
        <f>IF($L329="","",J329-I329)</f>
        <v/>
      </c>
      <c r="L329">
        <f>IF(ROWS($L$2:$L329)&lt;=MAX('Per Line'!$AD$2:$AD$2501),MATCH(ROWS($L$2:$L329),'Per Line'!$AD$2:$AD$2501,0),"")</f>
        <v/>
      </c>
      <c r="M329">
        <f>IF($L329="","",INDEX('Per Line'!$E$2:$E$2501,$L329))</f>
        <v/>
      </c>
    </row>
    <row r="330">
      <c r="A330">
        <f>IF($L330="","",INDEX('Per Line'!$C$2:$C$2501,$L330))</f>
        <v/>
      </c>
      <c r="B330">
        <f>IF($L330="","",INDEX('Per Line'!$D$2:$D$2501,$L330))</f>
        <v/>
      </c>
      <c r="C330">
        <f>IF($L330="","",INDEX('Per Line'!$A$2:$A$2501,$L330))</f>
        <v/>
      </c>
      <c r="F330">
        <f>IF($L330="","",INDEX('Per Line'!$U$2:$U$2501,$L330))</f>
        <v/>
      </c>
      <c r="G330" s="5">
        <f>IF($L330="","",SUMIFS('Per Line'!$W$2:$W$2501,'Per Line'!$D$2:$D$2501,$B330))</f>
        <v/>
      </c>
      <c r="H330" s="5">
        <f>IF($L330="","",SUMIFS('Per Line'!$X$2:$X$2501,'Per Line'!$D$2:$D$2501,$B330))</f>
        <v/>
      </c>
      <c r="I330" s="5">
        <f>IF($L330="","",SUMIFS('Per Line'!$Y$2:$Y$2501,'Per Line'!$D$2:$D$2501,$B330))</f>
        <v/>
      </c>
      <c r="J330" s="5">
        <f>IF($L330="","",G330-H330)</f>
        <v/>
      </c>
      <c r="K330" s="5">
        <f>IF($L330="","",J330-I330)</f>
        <v/>
      </c>
      <c r="L330">
        <f>IF(ROWS($L$2:$L330)&lt;=MAX('Per Line'!$AD$2:$AD$2501),MATCH(ROWS($L$2:$L330),'Per Line'!$AD$2:$AD$2501,0),"")</f>
        <v/>
      </c>
      <c r="M330">
        <f>IF($L330="","",INDEX('Per Line'!$E$2:$E$2501,$L330))</f>
        <v/>
      </c>
    </row>
    <row r="331">
      <c r="A331">
        <f>IF($L331="","",INDEX('Per Line'!$C$2:$C$2501,$L331))</f>
        <v/>
      </c>
      <c r="B331">
        <f>IF($L331="","",INDEX('Per Line'!$D$2:$D$2501,$L331))</f>
        <v/>
      </c>
      <c r="C331">
        <f>IF($L331="","",INDEX('Per Line'!$A$2:$A$2501,$L331))</f>
        <v/>
      </c>
      <c r="F331">
        <f>IF($L331="","",INDEX('Per Line'!$U$2:$U$2501,$L331))</f>
        <v/>
      </c>
      <c r="G331" s="5">
        <f>IF($L331="","",SUMIFS('Per Line'!$W$2:$W$2501,'Per Line'!$D$2:$D$2501,$B331))</f>
        <v/>
      </c>
      <c r="H331" s="5">
        <f>IF($L331="","",SUMIFS('Per Line'!$X$2:$X$2501,'Per Line'!$D$2:$D$2501,$B331))</f>
        <v/>
      </c>
      <c r="I331" s="5">
        <f>IF($L331="","",SUMIFS('Per Line'!$Y$2:$Y$2501,'Per Line'!$D$2:$D$2501,$B331))</f>
        <v/>
      </c>
      <c r="J331" s="5">
        <f>IF($L331="","",G331-H331)</f>
        <v/>
      </c>
      <c r="K331" s="5">
        <f>IF($L331="","",J331-I331)</f>
        <v/>
      </c>
      <c r="L331">
        <f>IF(ROWS($L$2:$L331)&lt;=MAX('Per Line'!$AD$2:$AD$2501),MATCH(ROWS($L$2:$L331),'Per Line'!$AD$2:$AD$2501,0),"")</f>
        <v/>
      </c>
      <c r="M331">
        <f>IF($L331="","",INDEX('Per Line'!$E$2:$E$2501,$L331))</f>
        <v/>
      </c>
    </row>
    <row r="332">
      <c r="A332">
        <f>IF($L332="","",INDEX('Per Line'!$C$2:$C$2501,$L332))</f>
        <v/>
      </c>
      <c r="B332">
        <f>IF($L332="","",INDEX('Per Line'!$D$2:$D$2501,$L332))</f>
        <v/>
      </c>
      <c r="C332">
        <f>IF($L332="","",INDEX('Per Line'!$A$2:$A$2501,$L332))</f>
        <v/>
      </c>
      <c r="F332">
        <f>IF($L332="","",INDEX('Per Line'!$U$2:$U$2501,$L332))</f>
        <v/>
      </c>
      <c r="G332" s="5">
        <f>IF($L332="","",SUMIFS('Per Line'!$W$2:$W$2501,'Per Line'!$D$2:$D$2501,$B332))</f>
        <v/>
      </c>
      <c r="H332" s="5">
        <f>IF($L332="","",SUMIFS('Per Line'!$X$2:$X$2501,'Per Line'!$D$2:$D$2501,$B332))</f>
        <v/>
      </c>
      <c r="I332" s="5">
        <f>IF($L332="","",SUMIFS('Per Line'!$Y$2:$Y$2501,'Per Line'!$D$2:$D$2501,$B332))</f>
        <v/>
      </c>
      <c r="J332" s="5">
        <f>IF($L332="","",G332-H332)</f>
        <v/>
      </c>
      <c r="K332" s="5">
        <f>IF($L332="","",J332-I332)</f>
        <v/>
      </c>
      <c r="L332">
        <f>IF(ROWS($L$2:$L332)&lt;=MAX('Per Line'!$AD$2:$AD$2501),MATCH(ROWS($L$2:$L332),'Per Line'!$AD$2:$AD$2501,0),"")</f>
        <v/>
      </c>
      <c r="M332">
        <f>IF($L332="","",INDEX('Per Line'!$E$2:$E$2501,$L332))</f>
        <v/>
      </c>
    </row>
    <row r="333">
      <c r="A333">
        <f>IF($L333="","",INDEX('Per Line'!$C$2:$C$2501,$L333))</f>
        <v/>
      </c>
      <c r="B333">
        <f>IF($L333="","",INDEX('Per Line'!$D$2:$D$2501,$L333))</f>
        <v/>
      </c>
      <c r="C333">
        <f>IF($L333="","",INDEX('Per Line'!$A$2:$A$2501,$L333))</f>
        <v/>
      </c>
      <c r="F333">
        <f>IF($L333="","",INDEX('Per Line'!$U$2:$U$2501,$L333))</f>
        <v/>
      </c>
      <c r="G333" s="5">
        <f>IF($L333="","",SUMIFS('Per Line'!$W$2:$W$2501,'Per Line'!$D$2:$D$2501,$B333))</f>
        <v/>
      </c>
      <c r="H333" s="5">
        <f>IF($L333="","",SUMIFS('Per Line'!$X$2:$X$2501,'Per Line'!$D$2:$D$2501,$B333))</f>
        <v/>
      </c>
      <c r="I333" s="5">
        <f>IF($L333="","",SUMIFS('Per Line'!$Y$2:$Y$2501,'Per Line'!$D$2:$D$2501,$B333))</f>
        <v/>
      </c>
      <c r="J333" s="5">
        <f>IF($L333="","",G333-H333)</f>
        <v/>
      </c>
      <c r="K333" s="5">
        <f>IF($L333="","",J333-I333)</f>
        <v/>
      </c>
      <c r="L333">
        <f>IF(ROWS($L$2:$L333)&lt;=MAX('Per Line'!$AD$2:$AD$2501),MATCH(ROWS($L$2:$L333),'Per Line'!$AD$2:$AD$2501,0),"")</f>
        <v/>
      </c>
      <c r="M333">
        <f>IF($L333="","",INDEX('Per Line'!$E$2:$E$2501,$L333))</f>
        <v/>
      </c>
    </row>
    <row r="334">
      <c r="A334">
        <f>IF($L334="","",INDEX('Per Line'!$C$2:$C$2501,$L334))</f>
        <v/>
      </c>
      <c r="B334">
        <f>IF($L334="","",INDEX('Per Line'!$D$2:$D$2501,$L334))</f>
        <v/>
      </c>
      <c r="C334">
        <f>IF($L334="","",INDEX('Per Line'!$A$2:$A$2501,$L334))</f>
        <v/>
      </c>
      <c r="F334">
        <f>IF($L334="","",INDEX('Per Line'!$U$2:$U$2501,$L334))</f>
        <v/>
      </c>
      <c r="G334" s="5">
        <f>IF($L334="","",SUMIFS('Per Line'!$W$2:$W$2501,'Per Line'!$D$2:$D$2501,$B334))</f>
        <v/>
      </c>
      <c r="H334" s="5">
        <f>IF($L334="","",SUMIFS('Per Line'!$X$2:$X$2501,'Per Line'!$D$2:$D$2501,$B334))</f>
        <v/>
      </c>
      <c r="I334" s="5">
        <f>IF($L334="","",SUMIFS('Per Line'!$Y$2:$Y$2501,'Per Line'!$D$2:$D$2501,$B334))</f>
        <v/>
      </c>
      <c r="J334" s="5">
        <f>IF($L334="","",G334-H334)</f>
        <v/>
      </c>
      <c r="K334" s="5">
        <f>IF($L334="","",J334-I334)</f>
        <v/>
      </c>
      <c r="L334">
        <f>IF(ROWS($L$2:$L334)&lt;=MAX('Per Line'!$AD$2:$AD$2501),MATCH(ROWS($L$2:$L334),'Per Line'!$AD$2:$AD$2501,0),"")</f>
        <v/>
      </c>
      <c r="M334">
        <f>IF($L334="","",INDEX('Per Line'!$E$2:$E$2501,$L334))</f>
        <v/>
      </c>
    </row>
    <row r="335">
      <c r="A335">
        <f>IF($L335="","",INDEX('Per Line'!$C$2:$C$2501,$L335))</f>
        <v/>
      </c>
      <c r="B335">
        <f>IF($L335="","",INDEX('Per Line'!$D$2:$D$2501,$L335))</f>
        <v/>
      </c>
      <c r="C335">
        <f>IF($L335="","",INDEX('Per Line'!$A$2:$A$2501,$L335))</f>
        <v/>
      </c>
      <c r="F335">
        <f>IF($L335="","",INDEX('Per Line'!$U$2:$U$2501,$L335))</f>
        <v/>
      </c>
      <c r="G335" s="5">
        <f>IF($L335="","",SUMIFS('Per Line'!$W$2:$W$2501,'Per Line'!$D$2:$D$2501,$B335))</f>
        <v/>
      </c>
      <c r="H335" s="5">
        <f>IF($L335="","",SUMIFS('Per Line'!$X$2:$X$2501,'Per Line'!$D$2:$D$2501,$B335))</f>
        <v/>
      </c>
      <c r="I335" s="5">
        <f>IF($L335="","",SUMIFS('Per Line'!$Y$2:$Y$2501,'Per Line'!$D$2:$D$2501,$B335))</f>
        <v/>
      </c>
      <c r="J335" s="5">
        <f>IF($L335="","",G335-H335)</f>
        <v/>
      </c>
      <c r="K335" s="5">
        <f>IF($L335="","",J335-I335)</f>
        <v/>
      </c>
      <c r="L335">
        <f>IF(ROWS($L$2:$L335)&lt;=MAX('Per Line'!$AD$2:$AD$2501),MATCH(ROWS($L$2:$L335),'Per Line'!$AD$2:$AD$2501,0),"")</f>
        <v/>
      </c>
      <c r="M335">
        <f>IF($L335="","",INDEX('Per Line'!$E$2:$E$2501,$L335))</f>
        <v/>
      </c>
    </row>
    <row r="336">
      <c r="A336">
        <f>IF($L336="","",INDEX('Per Line'!$C$2:$C$2501,$L336))</f>
        <v/>
      </c>
      <c r="B336">
        <f>IF($L336="","",INDEX('Per Line'!$D$2:$D$2501,$L336))</f>
        <v/>
      </c>
      <c r="C336">
        <f>IF($L336="","",INDEX('Per Line'!$A$2:$A$2501,$L336))</f>
        <v/>
      </c>
      <c r="F336">
        <f>IF($L336="","",INDEX('Per Line'!$U$2:$U$2501,$L336))</f>
        <v/>
      </c>
      <c r="G336" s="5">
        <f>IF($L336="","",SUMIFS('Per Line'!$W$2:$W$2501,'Per Line'!$D$2:$D$2501,$B336))</f>
        <v/>
      </c>
      <c r="H336" s="5">
        <f>IF($L336="","",SUMIFS('Per Line'!$X$2:$X$2501,'Per Line'!$D$2:$D$2501,$B336))</f>
        <v/>
      </c>
      <c r="I336" s="5">
        <f>IF($L336="","",SUMIFS('Per Line'!$Y$2:$Y$2501,'Per Line'!$D$2:$D$2501,$B336))</f>
        <v/>
      </c>
      <c r="J336" s="5">
        <f>IF($L336="","",G336-H336)</f>
        <v/>
      </c>
      <c r="K336" s="5">
        <f>IF($L336="","",J336-I336)</f>
        <v/>
      </c>
      <c r="L336">
        <f>IF(ROWS($L$2:$L336)&lt;=MAX('Per Line'!$AD$2:$AD$2501),MATCH(ROWS($L$2:$L336),'Per Line'!$AD$2:$AD$2501,0),"")</f>
        <v/>
      </c>
      <c r="M336">
        <f>IF($L336="","",INDEX('Per Line'!$E$2:$E$2501,$L336))</f>
        <v/>
      </c>
    </row>
    <row r="337">
      <c r="A337">
        <f>IF($L337="","",INDEX('Per Line'!$C$2:$C$2501,$L337))</f>
        <v/>
      </c>
      <c r="B337">
        <f>IF($L337="","",INDEX('Per Line'!$D$2:$D$2501,$L337))</f>
        <v/>
      </c>
      <c r="C337">
        <f>IF($L337="","",INDEX('Per Line'!$A$2:$A$2501,$L337))</f>
        <v/>
      </c>
      <c r="F337">
        <f>IF($L337="","",INDEX('Per Line'!$U$2:$U$2501,$L337))</f>
        <v/>
      </c>
      <c r="G337" s="5">
        <f>IF($L337="","",SUMIFS('Per Line'!$W$2:$W$2501,'Per Line'!$D$2:$D$2501,$B337))</f>
        <v/>
      </c>
      <c r="H337" s="5">
        <f>IF($L337="","",SUMIFS('Per Line'!$X$2:$X$2501,'Per Line'!$D$2:$D$2501,$B337))</f>
        <v/>
      </c>
      <c r="I337" s="5">
        <f>IF($L337="","",SUMIFS('Per Line'!$Y$2:$Y$2501,'Per Line'!$D$2:$D$2501,$B337))</f>
        <v/>
      </c>
      <c r="J337" s="5">
        <f>IF($L337="","",G337-H337)</f>
        <v/>
      </c>
      <c r="K337" s="5">
        <f>IF($L337="","",J337-I337)</f>
        <v/>
      </c>
      <c r="L337">
        <f>IF(ROWS($L$2:$L337)&lt;=MAX('Per Line'!$AD$2:$AD$2501),MATCH(ROWS($L$2:$L337),'Per Line'!$AD$2:$AD$2501,0),"")</f>
        <v/>
      </c>
      <c r="M337">
        <f>IF($L337="","",INDEX('Per Line'!$E$2:$E$2501,$L337))</f>
        <v/>
      </c>
    </row>
    <row r="338">
      <c r="A338">
        <f>IF($L338="","",INDEX('Per Line'!$C$2:$C$2501,$L338))</f>
        <v/>
      </c>
      <c r="B338">
        <f>IF($L338="","",INDEX('Per Line'!$D$2:$D$2501,$L338))</f>
        <v/>
      </c>
      <c r="C338">
        <f>IF($L338="","",INDEX('Per Line'!$A$2:$A$2501,$L338))</f>
        <v/>
      </c>
      <c r="F338">
        <f>IF($L338="","",INDEX('Per Line'!$U$2:$U$2501,$L338))</f>
        <v/>
      </c>
      <c r="G338" s="5">
        <f>IF($L338="","",SUMIFS('Per Line'!$W$2:$W$2501,'Per Line'!$D$2:$D$2501,$B338))</f>
        <v/>
      </c>
      <c r="H338" s="5">
        <f>IF($L338="","",SUMIFS('Per Line'!$X$2:$X$2501,'Per Line'!$D$2:$D$2501,$B338))</f>
        <v/>
      </c>
      <c r="I338" s="5">
        <f>IF($L338="","",SUMIFS('Per Line'!$Y$2:$Y$2501,'Per Line'!$D$2:$D$2501,$B338))</f>
        <v/>
      </c>
      <c r="J338" s="5">
        <f>IF($L338="","",G338-H338)</f>
        <v/>
      </c>
      <c r="K338" s="5">
        <f>IF($L338="","",J338-I338)</f>
        <v/>
      </c>
      <c r="L338">
        <f>IF(ROWS($L$2:$L338)&lt;=MAX('Per Line'!$AD$2:$AD$2501),MATCH(ROWS($L$2:$L338),'Per Line'!$AD$2:$AD$2501,0),"")</f>
        <v/>
      </c>
      <c r="M338">
        <f>IF($L338="","",INDEX('Per Line'!$E$2:$E$2501,$L338))</f>
        <v/>
      </c>
    </row>
    <row r="339">
      <c r="A339">
        <f>IF($L339="","",INDEX('Per Line'!$C$2:$C$2501,$L339))</f>
        <v/>
      </c>
      <c r="B339">
        <f>IF($L339="","",INDEX('Per Line'!$D$2:$D$2501,$L339))</f>
        <v/>
      </c>
      <c r="C339">
        <f>IF($L339="","",INDEX('Per Line'!$A$2:$A$2501,$L339))</f>
        <v/>
      </c>
      <c r="F339">
        <f>IF($L339="","",INDEX('Per Line'!$U$2:$U$2501,$L339))</f>
        <v/>
      </c>
      <c r="G339" s="5">
        <f>IF($L339="","",SUMIFS('Per Line'!$W$2:$W$2501,'Per Line'!$D$2:$D$2501,$B339))</f>
        <v/>
      </c>
      <c r="H339" s="5">
        <f>IF($L339="","",SUMIFS('Per Line'!$X$2:$X$2501,'Per Line'!$D$2:$D$2501,$B339))</f>
        <v/>
      </c>
      <c r="I339" s="5">
        <f>IF($L339="","",SUMIFS('Per Line'!$Y$2:$Y$2501,'Per Line'!$D$2:$D$2501,$B339))</f>
        <v/>
      </c>
      <c r="J339" s="5">
        <f>IF($L339="","",G339-H339)</f>
        <v/>
      </c>
      <c r="K339" s="5">
        <f>IF($L339="","",J339-I339)</f>
        <v/>
      </c>
      <c r="L339">
        <f>IF(ROWS($L$2:$L339)&lt;=MAX('Per Line'!$AD$2:$AD$2501),MATCH(ROWS($L$2:$L339),'Per Line'!$AD$2:$AD$2501,0),"")</f>
        <v/>
      </c>
      <c r="M339">
        <f>IF($L339="","",INDEX('Per Line'!$E$2:$E$2501,$L339))</f>
        <v/>
      </c>
    </row>
    <row r="340">
      <c r="A340">
        <f>IF($L340="","",INDEX('Per Line'!$C$2:$C$2501,$L340))</f>
        <v/>
      </c>
      <c r="B340">
        <f>IF($L340="","",INDEX('Per Line'!$D$2:$D$2501,$L340))</f>
        <v/>
      </c>
      <c r="C340">
        <f>IF($L340="","",INDEX('Per Line'!$A$2:$A$2501,$L340))</f>
        <v/>
      </c>
      <c r="F340">
        <f>IF($L340="","",INDEX('Per Line'!$U$2:$U$2501,$L340))</f>
        <v/>
      </c>
      <c r="G340" s="5">
        <f>IF($L340="","",SUMIFS('Per Line'!$W$2:$W$2501,'Per Line'!$D$2:$D$2501,$B340))</f>
        <v/>
      </c>
      <c r="H340" s="5">
        <f>IF($L340="","",SUMIFS('Per Line'!$X$2:$X$2501,'Per Line'!$D$2:$D$2501,$B340))</f>
        <v/>
      </c>
      <c r="I340" s="5">
        <f>IF($L340="","",SUMIFS('Per Line'!$Y$2:$Y$2501,'Per Line'!$D$2:$D$2501,$B340))</f>
        <v/>
      </c>
      <c r="J340" s="5">
        <f>IF($L340="","",G340-H340)</f>
        <v/>
      </c>
      <c r="K340" s="5">
        <f>IF($L340="","",J340-I340)</f>
        <v/>
      </c>
      <c r="L340">
        <f>IF(ROWS($L$2:$L340)&lt;=MAX('Per Line'!$AD$2:$AD$2501),MATCH(ROWS($L$2:$L340),'Per Line'!$AD$2:$AD$2501,0),"")</f>
        <v/>
      </c>
      <c r="M340">
        <f>IF($L340="","",INDEX('Per Line'!$E$2:$E$2501,$L340))</f>
        <v/>
      </c>
    </row>
    <row r="341">
      <c r="A341">
        <f>IF($L341="","",INDEX('Per Line'!$C$2:$C$2501,$L341))</f>
        <v/>
      </c>
      <c r="B341">
        <f>IF($L341="","",INDEX('Per Line'!$D$2:$D$2501,$L341))</f>
        <v/>
      </c>
      <c r="C341">
        <f>IF($L341="","",INDEX('Per Line'!$A$2:$A$2501,$L341))</f>
        <v/>
      </c>
      <c r="F341">
        <f>IF($L341="","",INDEX('Per Line'!$U$2:$U$2501,$L341))</f>
        <v/>
      </c>
      <c r="G341" s="5">
        <f>IF($L341="","",SUMIFS('Per Line'!$W$2:$W$2501,'Per Line'!$D$2:$D$2501,$B341))</f>
        <v/>
      </c>
      <c r="H341" s="5">
        <f>IF($L341="","",SUMIFS('Per Line'!$X$2:$X$2501,'Per Line'!$D$2:$D$2501,$B341))</f>
        <v/>
      </c>
      <c r="I341" s="5">
        <f>IF($L341="","",SUMIFS('Per Line'!$Y$2:$Y$2501,'Per Line'!$D$2:$D$2501,$B341))</f>
        <v/>
      </c>
      <c r="J341" s="5">
        <f>IF($L341="","",G341-H341)</f>
        <v/>
      </c>
      <c r="K341" s="5">
        <f>IF($L341="","",J341-I341)</f>
        <v/>
      </c>
      <c r="L341">
        <f>IF(ROWS($L$2:$L341)&lt;=MAX('Per Line'!$AD$2:$AD$2501),MATCH(ROWS($L$2:$L341),'Per Line'!$AD$2:$AD$2501,0),"")</f>
        <v/>
      </c>
      <c r="M341">
        <f>IF($L341="","",INDEX('Per Line'!$E$2:$E$2501,$L341))</f>
        <v/>
      </c>
    </row>
    <row r="342">
      <c r="A342">
        <f>IF($L342="","",INDEX('Per Line'!$C$2:$C$2501,$L342))</f>
        <v/>
      </c>
      <c r="B342">
        <f>IF($L342="","",INDEX('Per Line'!$D$2:$D$2501,$L342))</f>
        <v/>
      </c>
      <c r="C342">
        <f>IF($L342="","",INDEX('Per Line'!$A$2:$A$2501,$L342))</f>
        <v/>
      </c>
      <c r="F342">
        <f>IF($L342="","",INDEX('Per Line'!$U$2:$U$2501,$L342))</f>
        <v/>
      </c>
      <c r="G342" s="5">
        <f>IF($L342="","",SUMIFS('Per Line'!$W$2:$W$2501,'Per Line'!$D$2:$D$2501,$B342))</f>
        <v/>
      </c>
      <c r="H342" s="5">
        <f>IF($L342="","",SUMIFS('Per Line'!$X$2:$X$2501,'Per Line'!$D$2:$D$2501,$B342))</f>
        <v/>
      </c>
      <c r="I342" s="5">
        <f>IF($L342="","",SUMIFS('Per Line'!$Y$2:$Y$2501,'Per Line'!$D$2:$D$2501,$B342))</f>
        <v/>
      </c>
      <c r="J342" s="5">
        <f>IF($L342="","",G342-H342)</f>
        <v/>
      </c>
      <c r="K342" s="5">
        <f>IF($L342="","",J342-I342)</f>
        <v/>
      </c>
      <c r="L342">
        <f>IF(ROWS($L$2:$L342)&lt;=MAX('Per Line'!$AD$2:$AD$2501),MATCH(ROWS($L$2:$L342),'Per Line'!$AD$2:$AD$2501,0),"")</f>
        <v/>
      </c>
      <c r="M342">
        <f>IF($L342="","",INDEX('Per Line'!$E$2:$E$2501,$L342))</f>
        <v/>
      </c>
    </row>
    <row r="343">
      <c r="A343">
        <f>IF($L343="","",INDEX('Per Line'!$C$2:$C$2501,$L343))</f>
        <v/>
      </c>
      <c r="B343">
        <f>IF($L343="","",INDEX('Per Line'!$D$2:$D$2501,$L343))</f>
        <v/>
      </c>
      <c r="C343">
        <f>IF($L343="","",INDEX('Per Line'!$A$2:$A$2501,$L343))</f>
        <v/>
      </c>
      <c r="F343">
        <f>IF($L343="","",INDEX('Per Line'!$U$2:$U$2501,$L343))</f>
        <v/>
      </c>
      <c r="G343" s="5">
        <f>IF($L343="","",SUMIFS('Per Line'!$W$2:$W$2501,'Per Line'!$D$2:$D$2501,$B343))</f>
        <v/>
      </c>
      <c r="H343" s="5">
        <f>IF($L343="","",SUMIFS('Per Line'!$X$2:$X$2501,'Per Line'!$D$2:$D$2501,$B343))</f>
        <v/>
      </c>
      <c r="I343" s="5">
        <f>IF($L343="","",SUMIFS('Per Line'!$Y$2:$Y$2501,'Per Line'!$D$2:$D$2501,$B343))</f>
        <v/>
      </c>
      <c r="J343" s="5">
        <f>IF($L343="","",G343-H343)</f>
        <v/>
      </c>
      <c r="K343" s="5">
        <f>IF($L343="","",J343-I343)</f>
        <v/>
      </c>
      <c r="L343">
        <f>IF(ROWS($L$2:$L343)&lt;=MAX('Per Line'!$AD$2:$AD$2501),MATCH(ROWS($L$2:$L343),'Per Line'!$AD$2:$AD$2501,0),"")</f>
        <v/>
      </c>
      <c r="M343">
        <f>IF($L343="","",INDEX('Per Line'!$E$2:$E$2501,$L343))</f>
        <v/>
      </c>
    </row>
    <row r="344">
      <c r="A344">
        <f>IF($L344="","",INDEX('Per Line'!$C$2:$C$2501,$L344))</f>
        <v/>
      </c>
      <c r="B344">
        <f>IF($L344="","",INDEX('Per Line'!$D$2:$D$2501,$L344))</f>
        <v/>
      </c>
      <c r="C344">
        <f>IF($L344="","",INDEX('Per Line'!$A$2:$A$2501,$L344))</f>
        <v/>
      </c>
      <c r="F344">
        <f>IF($L344="","",INDEX('Per Line'!$U$2:$U$2501,$L344))</f>
        <v/>
      </c>
      <c r="G344" s="5">
        <f>IF($L344="","",SUMIFS('Per Line'!$W$2:$W$2501,'Per Line'!$D$2:$D$2501,$B344))</f>
        <v/>
      </c>
      <c r="H344" s="5">
        <f>IF($L344="","",SUMIFS('Per Line'!$X$2:$X$2501,'Per Line'!$D$2:$D$2501,$B344))</f>
        <v/>
      </c>
      <c r="I344" s="5">
        <f>IF($L344="","",SUMIFS('Per Line'!$Y$2:$Y$2501,'Per Line'!$D$2:$D$2501,$B344))</f>
        <v/>
      </c>
      <c r="J344" s="5">
        <f>IF($L344="","",G344-H344)</f>
        <v/>
      </c>
      <c r="K344" s="5">
        <f>IF($L344="","",J344-I344)</f>
        <v/>
      </c>
      <c r="L344">
        <f>IF(ROWS($L$2:$L344)&lt;=MAX('Per Line'!$AD$2:$AD$2501),MATCH(ROWS($L$2:$L344),'Per Line'!$AD$2:$AD$2501,0),"")</f>
        <v/>
      </c>
      <c r="M344">
        <f>IF($L344="","",INDEX('Per Line'!$E$2:$E$2501,$L344))</f>
        <v/>
      </c>
    </row>
    <row r="345">
      <c r="A345">
        <f>IF($L345="","",INDEX('Per Line'!$C$2:$C$2501,$L345))</f>
        <v/>
      </c>
      <c r="B345">
        <f>IF($L345="","",INDEX('Per Line'!$D$2:$D$2501,$L345))</f>
        <v/>
      </c>
      <c r="C345">
        <f>IF($L345="","",INDEX('Per Line'!$A$2:$A$2501,$L345))</f>
        <v/>
      </c>
      <c r="F345">
        <f>IF($L345="","",INDEX('Per Line'!$U$2:$U$2501,$L345))</f>
        <v/>
      </c>
      <c r="G345" s="5">
        <f>IF($L345="","",SUMIFS('Per Line'!$W$2:$W$2501,'Per Line'!$D$2:$D$2501,$B345))</f>
        <v/>
      </c>
      <c r="H345" s="5">
        <f>IF($L345="","",SUMIFS('Per Line'!$X$2:$X$2501,'Per Line'!$D$2:$D$2501,$B345))</f>
        <v/>
      </c>
      <c r="I345" s="5">
        <f>IF($L345="","",SUMIFS('Per Line'!$Y$2:$Y$2501,'Per Line'!$D$2:$D$2501,$B345))</f>
        <v/>
      </c>
      <c r="J345" s="5">
        <f>IF($L345="","",G345-H345)</f>
        <v/>
      </c>
      <c r="K345" s="5">
        <f>IF($L345="","",J345-I345)</f>
        <v/>
      </c>
      <c r="L345">
        <f>IF(ROWS($L$2:$L345)&lt;=MAX('Per Line'!$AD$2:$AD$2501),MATCH(ROWS($L$2:$L345),'Per Line'!$AD$2:$AD$2501,0),"")</f>
        <v/>
      </c>
      <c r="M345">
        <f>IF($L345="","",INDEX('Per Line'!$E$2:$E$2501,$L345))</f>
        <v/>
      </c>
    </row>
    <row r="346">
      <c r="A346">
        <f>IF($L346="","",INDEX('Per Line'!$C$2:$C$2501,$L346))</f>
        <v/>
      </c>
      <c r="B346">
        <f>IF($L346="","",INDEX('Per Line'!$D$2:$D$2501,$L346))</f>
        <v/>
      </c>
      <c r="C346">
        <f>IF($L346="","",INDEX('Per Line'!$A$2:$A$2501,$L346))</f>
        <v/>
      </c>
      <c r="F346">
        <f>IF($L346="","",INDEX('Per Line'!$U$2:$U$2501,$L346))</f>
        <v/>
      </c>
      <c r="G346" s="5">
        <f>IF($L346="","",SUMIFS('Per Line'!$W$2:$W$2501,'Per Line'!$D$2:$D$2501,$B346))</f>
        <v/>
      </c>
      <c r="H346" s="5">
        <f>IF($L346="","",SUMIFS('Per Line'!$X$2:$X$2501,'Per Line'!$D$2:$D$2501,$B346))</f>
        <v/>
      </c>
      <c r="I346" s="5">
        <f>IF($L346="","",SUMIFS('Per Line'!$Y$2:$Y$2501,'Per Line'!$D$2:$D$2501,$B346))</f>
        <v/>
      </c>
      <c r="J346" s="5">
        <f>IF($L346="","",G346-H346)</f>
        <v/>
      </c>
      <c r="K346" s="5">
        <f>IF($L346="","",J346-I346)</f>
        <v/>
      </c>
      <c r="L346">
        <f>IF(ROWS($L$2:$L346)&lt;=MAX('Per Line'!$AD$2:$AD$2501),MATCH(ROWS($L$2:$L346),'Per Line'!$AD$2:$AD$2501,0),"")</f>
        <v/>
      </c>
      <c r="M346">
        <f>IF($L346="","",INDEX('Per Line'!$E$2:$E$2501,$L346))</f>
        <v/>
      </c>
    </row>
    <row r="347">
      <c r="A347">
        <f>IF($L347="","",INDEX('Per Line'!$C$2:$C$2501,$L347))</f>
        <v/>
      </c>
      <c r="B347">
        <f>IF($L347="","",INDEX('Per Line'!$D$2:$D$2501,$L347))</f>
        <v/>
      </c>
      <c r="C347">
        <f>IF($L347="","",INDEX('Per Line'!$A$2:$A$2501,$L347))</f>
        <v/>
      </c>
      <c r="F347">
        <f>IF($L347="","",INDEX('Per Line'!$U$2:$U$2501,$L347))</f>
        <v/>
      </c>
      <c r="G347" s="5">
        <f>IF($L347="","",SUMIFS('Per Line'!$W$2:$W$2501,'Per Line'!$D$2:$D$2501,$B347))</f>
        <v/>
      </c>
      <c r="H347" s="5">
        <f>IF($L347="","",SUMIFS('Per Line'!$X$2:$X$2501,'Per Line'!$D$2:$D$2501,$B347))</f>
        <v/>
      </c>
      <c r="I347" s="5">
        <f>IF($L347="","",SUMIFS('Per Line'!$Y$2:$Y$2501,'Per Line'!$D$2:$D$2501,$B347))</f>
        <v/>
      </c>
      <c r="J347" s="5">
        <f>IF($L347="","",G347-H347)</f>
        <v/>
      </c>
      <c r="K347" s="5">
        <f>IF($L347="","",J347-I347)</f>
        <v/>
      </c>
      <c r="L347">
        <f>IF(ROWS($L$2:$L347)&lt;=MAX('Per Line'!$AD$2:$AD$2501),MATCH(ROWS($L$2:$L347),'Per Line'!$AD$2:$AD$2501,0),"")</f>
        <v/>
      </c>
      <c r="M347">
        <f>IF($L347="","",INDEX('Per Line'!$E$2:$E$2501,$L347))</f>
        <v/>
      </c>
    </row>
    <row r="348">
      <c r="A348">
        <f>IF($L348="","",INDEX('Per Line'!$C$2:$C$2501,$L348))</f>
        <v/>
      </c>
      <c r="B348">
        <f>IF($L348="","",INDEX('Per Line'!$D$2:$D$2501,$L348))</f>
        <v/>
      </c>
      <c r="C348">
        <f>IF($L348="","",INDEX('Per Line'!$A$2:$A$2501,$L348))</f>
        <v/>
      </c>
      <c r="F348">
        <f>IF($L348="","",INDEX('Per Line'!$U$2:$U$2501,$L348))</f>
        <v/>
      </c>
      <c r="G348" s="5">
        <f>IF($L348="","",SUMIFS('Per Line'!$W$2:$W$2501,'Per Line'!$D$2:$D$2501,$B348))</f>
        <v/>
      </c>
      <c r="H348" s="5">
        <f>IF($L348="","",SUMIFS('Per Line'!$X$2:$X$2501,'Per Line'!$D$2:$D$2501,$B348))</f>
        <v/>
      </c>
      <c r="I348" s="5">
        <f>IF($L348="","",SUMIFS('Per Line'!$Y$2:$Y$2501,'Per Line'!$D$2:$D$2501,$B348))</f>
        <v/>
      </c>
      <c r="J348" s="5">
        <f>IF($L348="","",G348-H348)</f>
        <v/>
      </c>
      <c r="K348" s="5">
        <f>IF($L348="","",J348-I348)</f>
        <v/>
      </c>
      <c r="L348">
        <f>IF(ROWS($L$2:$L348)&lt;=MAX('Per Line'!$AD$2:$AD$2501),MATCH(ROWS($L$2:$L348),'Per Line'!$AD$2:$AD$2501,0),"")</f>
        <v/>
      </c>
      <c r="M348">
        <f>IF($L348="","",INDEX('Per Line'!$E$2:$E$2501,$L348))</f>
        <v/>
      </c>
    </row>
    <row r="349">
      <c r="A349">
        <f>IF($L349="","",INDEX('Per Line'!$C$2:$C$2501,$L349))</f>
        <v/>
      </c>
      <c r="B349">
        <f>IF($L349="","",INDEX('Per Line'!$D$2:$D$2501,$L349))</f>
        <v/>
      </c>
      <c r="C349">
        <f>IF($L349="","",INDEX('Per Line'!$A$2:$A$2501,$L349))</f>
        <v/>
      </c>
      <c r="F349">
        <f>IF($L349="","",INDEX('Per Line'!$U$2:$U$2501,$L349))</f>
        <v/>
      </c>
      <c r="G349" s="5">
        <f>IF($L349="","",SUMIFS('Per Line'!$W$2:$W$2501,'Per Line'!$D$2:$D$2501,$B349))</f>
        <v/>
      </c>
      <c r="H349" s="5">
        <f>IF($L349="","",SUMIFS('Per Line'!$X$2:$X$2501,'Per Line'!$D$2:$D$2501,$B349))</f>
        <v/>
      </c>
      <c r="I349" s="5">
        <f>IF($L349="","",SUMIFS('Per Line'!$Y$2:$Y$2501,'Per Line'!$D$2:$D$2501,$B349))</f>
        <v/>
      </c>
      <c r="J349" s="5">
        <f>IF($L349="","",G349-H349)</f>
        <v/>
      </c>
      <c r="K349" s="5">
        <f>IF($L349="","",J349-I349)</f>
        <v/>
      </c>
      <c r="L349">
        <f>IF(ROWS($L$2:$L349)&lt;=MAX('Per Line'!$AD$2:$AD$2501),MATCH(ROWS($L$2:$L349),'Per Line'!$AD$2:$AD$2501,0),"")</f>
        <v/>
      </c>
      <c r="M349">
        <f>IF($L349="","",INDEX('Per Line'!$E$2:$E$2501,$L349))</f>
        <v/>
      </c>
    </row>
    <row r="350">
      <c r="A350">
        <f>IF($L350="","",INDEX('Per Line'!$C$2:$C$2501,$L350))</f>
        <v/>
      </c>
      <c r="B350">
        <f>IF($L350="","",INDEX('Per Line'!$D$2:$D$2501,$L350))</f>
        <v/>
      </c>
      <c r="C350">
        <f>IF($L350="","",INDEX('Per Line'!$A$2:$A$2501,$L350))</f>
        <v/>
      </c>
      <c r="F350">
        <f>IF($L350="","",INDEX('Per Line'!$U$2:$U$2501,$L350))</f>
        <v/>
      </c>
      <c r="G350" s="5">
        <f>IF($L350="","",SUMIFS('Per Line'!$W$2:$W$2501,'Per Line'!$D$2:$D$2501,$B350))</f>
        <v/>
      </c>
      <c r="H350" s="5">
        <f>IF($L350="","",SUMIFS('Per Line'!$X$2:$X$2501,'Per Line'!$D$2:$D$2501,$B350))</f>
        <v/>
      </c>
      <c r="I350" s="5">
        <f>IF($L350="","",SUMIFS('Per Line'!$Y$2:$Y$2501,'Per Line'!$D$2:$D$2501,$B350))</f>
        <v/>
      </c>
      <c r="J350" s="5">
        <f>IF($L350="","",G350-H350)</f>
        <v/>
      </c>
      <c r="K350" s="5">
        <f>IF($L350="","",J350-I350)</f>
        <v/>
      </c>
      <c r="L350">
        <f>IF(ROWS($L$2:$L350)&lt;=MAX('Per Line'!$AD$2:$AD$2501),MATCH(ROWS($L$2:$L350),'Per Line'!$AD$2:$AD$2501,0),"")</f>
        <v/>
      </c>
      <c r="M350">
        <f>IF($L350="","",INDEX('Per Line'!$E$2:$E$2501,$L350))</f>
        <v/>
      </c>
    </row>
    <row r="351">
      <c r="A351">
        <f>IF($L351="","",INDEX('Per Line'!$C$2:$C$2501,$L351))</f>
        <v/>
      </c>
      <c r="B351">
        <f>IF($L351="","",INDEX('Per Line'!$D$2:$D$2501,$L351))</f>
        <v/>
      </c>
      <c r="C351">
        <f>IF($L351="","",INDEX('Per Line'!$A$2:$A$2501,$L351))</f>
        <v/>
      </c>
      <c r="F351">
        <f>IF($L351="","",INDEX('Per Line'!$U$2:$U$2501,$L351))</f>
        <v/>
      </c>
      <c r="G351" s="5">
        <f>IF($L351="","",SUMIFS('Per Line'!$W$2:$W$2501,'Per Line'!$D$2:$D$2501,$B351))</f>
        <v/>
      </c>
      <c r="H351" s="5">
        <f>IF($L351="","",SUMIFS('Per Line'!$X$2:$X$2501,'Per Line'!$D$2:$D$2501,$B351))</f>
        <v/>
      </c>
      <c r="I351" s="5">
        <f>IF($L351="","",SUMIFS('Per Line'!$Y$2:$Y$2501,'Per Line'!$D$2:$D$2501,$B351))</f>
        <v/>
      </c>
      <c r="J351" s="5">
        <f>IF($L351="","",G351-H351)</f>
        <v/>
      </c>
      <c r="K351" s="5">
        <f>IF($L351="","",J351-I351)</f>
        <v/>
      </c>
      <c r="L351">
        <f>IF(ROWS($L$2:$L351)&lt;=MAX('Per Line'!$AD$2:$AD$2501),MATCH(ROWS($L$2:$L351),'Per Line'!$AD$2:$AD$2501,0),"")</f>
        <v/>
      </c>
      <c r="M351">
        <f>IF($L351="","",INDEX('Per Line'!$E$2:$E$2501,$L351))</f>
        <v/>
      </c>
    </row>
    <row r="352">
      <c r="A352">
        <f>IF($L352="","",INDEX('Per Line'!$C$2:$C$2501,$L352))</f>
        <v/>
      </c>
      <c r="B352">
        <f>IF($L352="","",INDEX('Per Line'!$D$2:$D$2501,$L352))</f>
        <v/>
      </c>
      <c r="C352">
        <f>IF($L352="","",INDEX('Per Line'!$A$2:$A$2501,$L352))</f>
        <v/>
      </c>
      <c r="F352">
        <f>IF($L352="","",INDEX('Per Line'!$U$2:$U$2501,$L352))</f>
        <v/>
      </c>
      <c r="G352" s="5">
        <f>IF($L352="","",SUMIFS('Per Line'!$W$2:$W$2501,'Per Line'!$D$2:$D$2501,$B352))</f>
        <v/>
      </c>
      <c r="H352" s="5">
        <f>IF($L352="","",SUMIFS('Per Line'!$X$2:$X$2501,'Per Line'!$D$2:$D$2501,$B352))</f>
        <v/>
      </c>
      <c r="I352" s="5">
        <f>IF($L352="","",SUMIFS('Per Line'!$Y$2:$Y$2501,'Per Line'!$D$2:$D$2501,$B352))</f>
        <v/>
      </c>
      <c r="J352" s="5">
        <f>IF($L352="","",G352-H352)</f>
        <v/>
      </c>
      <c r="K352" s="5">
        <f>IF($L352="","",J352-I352)</f>
        <v/>
      </c>
      <c r="L352">
        <f>IF(ROWS($L$2:$L352)&lt;=MAX('Per Line'!$AD$2:$AD$2501),MATCH(ROWS($L$2:$L352),'Per Line'!$AD$2:$AD$2501,0),"")</f>
        <v/>
      </c>
      <c r="M352">
        <f>IF($L352="","",INDEX('Per Line'!$E$2:$E$2501,$L352))</f>
        <v/>
      </c>
    </row>
    <row r="353">
      <c r="A353">
        <f>IF($L353="","",INDEX('Per Line'!$C$2:$C$2501,$L353))</f>
        <v/>
      </c>
      <c r="B353">
        <f>IF($L353="","",INDEX('Per Line'!$D$2:$D$2501,$L353))</f>
        <v/>
      </c>
      <c r="C353">
        <f>IF($L353="","",INDEX('Per Line'!$A$2:$A$2501,$L353))</f>
        <v/>
      </c>
      <c r="F353">
        <f>IF($L353="","",INDEX('Per Line'!$U$2:$U$2501,$L353))</f>
        <v/>
      </c>
      <c r="G353" s="5">
        <f>IF($L353="","",SUMIFS('Per Line'!$W$2:$W$2501,'Per Line'!$D$2:$D$2501,$B353))</f>
        <v/>
      </c>
      <c r="H353" s="5">
        <f>IF($L353="","",SUMIFS('Per Line'!$X$2:$X$2501,'Per Line'!$D$2:$D$2501,$B353))</f>
        <v/>
      </c>
      <c r="I353" s="5">
        <f>IF($L353="","",SUMIFS('Per Line'!$Y$2:$Y$2501,'Per Line'!$D$2:$D$2501,$B353))</f>
        <v/>
      </c>
      <c r="J353" s="5">
        <f>IF($L353="","",G353-H353)</f>
        <v/>
      </c>
      <c r="K353" s="5">
        <f>IF($L353="","",J353-I353)</f>
        <v/>
      </c>
      <c r="L353">
        <f>IF(ROWS($L$2:$L353)&lt;=MAX('Per Line'!$AD$2:$AD$2501),MATCH(ROWS($L$2:$L353),'Per Line'!$AD$2:$AD$2501,0),"")</f>
        <v/>
      </c>
      <c r="M353">
        <f>IF($L353="","",INDEX('Per Line'!$E$2:$E$2501,$L353))</f>
        <v/>
      </c>
    </row>
    <row r="354">
      <c r="A354">
        <f>IF($L354="","",INDEX('Per Line'!$C$2:$C$2501,$L354))</f>
        <v/>
      </c>
      <c r="B354">
        <f>IF($L354="","",INDEX('Per Line'!$D$2:$D$2501,$L354))</f>
        <v/>
      </c>
      <c r="C354">
        <f>IF($L354="","",INDEX('Per Line'!$A$2:$A$2501,$L354))</f>
        <v/>
      </c>
      <c r="F354">
        <f>IF($L354="","",INDEX('Per Line'!$U$2:$U$2501,$L354))</f>
        <v/>
      </c>
      <c r="G354" s="5">
        <f>IF($L354="","",SUMIFS('Per Line'!$W$2:$W$2501,'Per Line'!$D$2:$D$2501,$B354))</f>
        <v/>
      </c>
      <c r="H354" s="5">
        <f>IF($L354="","",SUMIFS('Per Line'!$X$2:$X$2501,'Per Line'!$D$2:$D$2501,$B354))</f>
        <v/>
      </c>
      <c r="I354" s="5">
        <f>IF($L354="","",SUMIFS('Per Line'!$Y$2:$Y$2501,'Per Line'!$D$2:$D$2501,$B354))</f>
        <v/>
      </c>
      <c r="J354" s="5">
        <f>IF($L354="","",G354-H354)</f>
        <v/>
      </c>
      <c r="K354" s="5">
        <f>IF($L354="","",J354-I354)</f>
        <v/>
      </c>
      <c r="L354">
        <f>IF(ROWS($L$2:$L354)&lt;=MAX('Per Line'!$AD$2:$AD$2501),MATCH(ROWS($L$2:$L354),'Per Line'!$AD$2:$AD$2501,0),"")</f>
        <v/>
      </c>
      <c r="M354">
        <f>IF($L354="","",INDEX('Per Line'!$E$2:$E$2501,$L354))</f>
        <v/>
      </c>
    </row>
    <row r="355">
      <c r="A355">
        <f>IF($L355="","",INDEX('Per Line'!$C$2:$C$2501,$L355))</f>
        <v/>
      </c>
      <c r="B355">
        <f>IF($L355="","",INDEX('Per Line'!$D$2:$D$2501,$L355))</f>
        <v/>
      </c>
      <c r="C355">
        <f>IF($L355="","",INDEX('Per Line'!$A$2:$A$2501,$L355))</f>
        <v/>
      </c>
      <c r="F355">
        <f>IF($L355="","",INDEX('Per Line'!$U$2:$U$2501,$L355))</f>
        <v/>
      </c>
      <c r="G355" s="5">
        <f>IF($L355="","",SUMIFS('Per Line'!$W$2:$W$2501,'Per Line'!$D$2:$D$2501,$B355))</f>
        <v/>
      </c>
      <c r="H355" s="5">
        <f>IF($L355="","",SUMIFS('Per Line'!$X$2:$X$2501,'Per Line'!$D$2:$D$2501,$B355))</f>
        <v/>
      </c>
      <c r="I355" s="5">
        <f>IF($L355="","",SUMIFS('Per Line'!$Y$2:$Y$2501,'Per Line'!$D$2:$D$2501,$B355))</f>
        <v/>
      </c>
      <c r="J355" s="5">
        <f>IF($L355="","",G355-H355)</f>
        <v/>
      </c>
      <c r="K355" s="5">
        <f>IF($L355="","",J355-I355)</f>
        <v/>
      </c>
      <c r="L355">
        <f>IF(ROWS($L$2:$L355)&lt;=MAX('Per Line'!$AD$2:$AD$2501),MATCH(ROWS($L$2:$L355),'Per Line'!$AD$2:$AD$2501,0),"")</f>
        <v/>
      </c>
      <c r="M355">
        <f>IF($L355="","",INDEX('Per Line'!$E$2:$E$2501,$L355))</f>
        <v/>
      </c>
    </row>
    <row r="356">
      <c r="A356">
        <f>IF($L356="","",INDEX('Per Line'!$C$2:$C$2501,$L356))</f>
        <v/>
      </c>
      <c r="B356">
        <f>IF($L356="","",INDEX('Per Line'!$D$2:$D$2501,$L356))</f>
        <v/>
      </c>
      <c r="C356">
        <f>IF($L356="","",INDEX('Per Line'!$A$2:$A$2501,$L356))</f>
        <v/>
      </c>
      <c r="F356">
        <f>IF($L356="","",INDEX('Per Line'!$U$2:$U$2501,$L356))</f>
        <v/>
      </c>
      <c r="G356" s="5">
        <f>IF($L356="","",SUMIFS('Per Line'!$W$2:$W$2501,'Per Line'!$D$2:$D$2501,$B356))</f>
        <v/>
      </c>
      <c r="H356" s="5">
        <f>IF($L356="","",SUMIFS('Per Line'!$X$2:$X$2501,'Per Line'!$D$2:$D$2501,$B356))</f>
        <v/>
      </c>
      <c r="I356" s="5">
        <f>IF($L356="","",SUMIFS('Per Line'!$Y$2:$Y$2501,'Per Line'!$D$2:$D$2501,$B356))</f>
        <v/>
      </c>
      <c r="J356" s="5">
        <f>IF($L356="","",G356-H356)</f>
        <v/>
      </c>
      <c r="K356" s="5">
        <f>IF($L356="","",J356-I356)</f>
        <v/>
      </c>
      <c r="L356">
        <f>IF(ROWS($L$2:$L356)&lt;=MAX('Per Line'!$AD$2:$AD$2501),MATCH(ROWS($L$2:$L356),'Per Line'!$AD$2:$AD$2501,0),"")</f>
        <v/>
      </c>
      <c r="M356">
        <f>IF($L356="","",INDEX('Per Line'!$E$2:$E$2501,$L356))</f>
        <v/>
      </c>
    </row>
    <row r="357">
      <c r="A357">
        <f>IF($L357="","",INDEX('Per Line'!$C$2:$C$2501,$L357))</f>
        <v/>
      </c>
      <c r="B357">
        <f>IF($L357="","",INDEX('Per Line'!$D$2:$D$2501,$L357))</f>
        <v/>
      </c>
      <c r="C357">
        <f>IF($L357="","",INDEX('Per Line'!$A$2:$A$2501,$L357))</f>
        <v/>
      </c>
      <c r="F357">
        <f>IF($L357="","",INDEX('Per Line'!$U$2:$U$2501,$L357))</f>
        <v/>
      </c>
      <c r="G357" s="5">
        <f>IF($L357="","",SUMIFS('Per Line'!$W$2:$W$2501,'Per Line'!$D$2:$D$2501,$B357))</f>
        <v/>
      </c>
      <c r="H357" s="5">
        <f>IF($L357="","",SUMIFS('Per Line'!$X$2:$X$2501,'Per Line'!$D$2:$D$2501,$B357))</f>
        <v/>
      </c>
      <c r="I357" s="5">
        <f>IF($L357="","",SUMIFS('Per Line'!$Y$2:$Y$2501,'Per Line'!$D$2:$D$2501,$B357))</f>
        <v/>
      </c>
      <c r="J357" s="5">
        <f>IF($L357="","",G357-H357)</f>
        <v/>
      </c>
      <c r="K357" s="5">
        <f>IF($L357="","",J357-I357)</f>
        <v/>
      </c>
      <c r="L357">
        <f>IF(ROWS($L$2:$L357)&lt;=MAX('Per Line'!$AD$2:$AD$2501),MATCH(ROWS($L$2:$L357),'Per Line'!$AD$2:$AD$2501,0),"")</f>
        <v/>
      </c>
      <c r="M357">
        <f>IF($L357="","",INDEX('Per Line'!$E$2:$E$2501,$L357))</f>
        <v/>
      </c>
    </row>
    <row r="358">
      <c r="A358">
        <f>IF($L358="","",INDEX('Per Line'!$C$2:$C$2501,$L358))</f>
        <v/>
      </c>
      <c r="B358">
        <f>IF($L358="","",INDEX('Per Line'!$D$2:$D$2501,$L358))</f>
        <v/>
      </c>
      <c r="C358">
        <f>IF($L358="","",INDEX('Per Line'!$A$2:$A$2501,$L358))</f>
        <v/>
      </c>
      <c r="F358">
        <f>IF($L358="","",INDEX('Per Line'!$U$2:$U$2501,$L358))</f>
        <v/>
      </c>
      <c r="G358" s="5">
        <f>IF($L358="","",SUMIFS('Per Line'!$W$2:$W$2501,'Per Line'!$D$2:$D$2501,$B358))</f>
        <v/>
      </c>
      <c r="H358" s="5">
        <f>IF($L358="","",SUMIFS('Per Line'!$X$2:$X$2501,'Per Line'!$D$2:$D$2501,$B358))</f>
        <v/>
      </c>
      <c r="I358" s="5">
        <f>IF($L358="","",SUMIFS('Per Line'!$Y$2:$Y$2501,'Per Line'!$D$2:$D$2501,$B358))</f>
        <v/>
      </c>
      <c r="J358" s="5">
        <f>IF($L358="","",G358-H358)</f>
        <v/>
      </c>
      <c r="K358" s="5">
        <f>IF($L358="","",J358-I358)</f>
        <v/>
      </c>
      <c r="L358">
        <f>IF(ROWS($L$2:$L358)&lt;=MAX('Per Line'!$AD$2:$AD$2501),MATCH(ROWS($L$2:$L358),'Per Line'!$AD$2:$AD$2501,0),"")</f>
        <v/>
      </c>
      <c r="M358">
        <f>IF($L358="","",INDEX('Per Line'!$E$2:$E$2501,$L358))</f>
        <v/>
      </c>
    </row>
    <row r="359">
      <c r="A359">
        <f>IF($L359="","",INDEX('Per Line'!$C$2:$C$2501,$L359))</f>
        <v/>
      </c>
      <c r="B359">
        <f>IF($L359="","",INDEX('Per Line'!$D$2:$D$2501,$L359))</f>
        <v/>
      </c>
      <c r="C359">
        <f>IF($L359="","",INDEX('Per Line'!$A$2:$A$2501,$L359))</f>
        <v/>
      </c>
      <c r="F359">
        <f>IF($L359="","",INDEX('Per Line'!$U$2:$U$2501,$L359))</f>
        <v/>
      </c>
      <c r="G359" s="5">
        <f>IF($L359="","",SUMIFS('Per Line'!$W$2:$W$2501,'Per Line'!$D$2:$D$2501,$B359))</f>
        <v/>
      </c>
      <c r="H359" s="5">
        <f>IF($L359="","",SUMIFS('Per Line'!$X$2:$X$2501,'Per Line'!$D$2:$D$2501,$B359))</f>
        <v/>
      </c>
      <c r="I359" s="5">
        <f>IF($L359="","",SUMIFS('Per Line'!$Y$2:$Y$2501,'Per Line'!$D$2:$D$2501,$B359))</f>
        <v/>
      </c>
      <c r="J359" s="5">
        <f>IF($L359="","",G359-H359)</f>
        <v/>
      </c>
      <c r="K359" s="5">
        <f>IF($L359="","",J359-I359)</f>
        <v/>
      </c>
      <c r="L359">
        <f>IF(ROWS($L$2:$L359)&lt;=MAX('Per Line'!$AD$2:$AD$2501),MATCH(ROWS($L$2:$L359),'Per Line'!$AD$2:$AD$2501,0),"")</f>
        <v/>
      </c>
      <c r="M359">
        <f>IF($L359="","",INDEX('Per Line'!$E$2:$E$2501,$L359))</f>
        <v/>
      </c>
    </row>
    <row r="360">
      <c r="A360">
        <f>IF($L360="","",INDEX('Per Line'!$C$2:$C$2501,$L360))</f>
        <v/>
      </c>
      <c r="B360">
        <f>IF($L360="","",INDEX('Per Line'!$D$2:$D$2501,$L360))</f>
        <v/>
      </c>
      <c r="C360">
        <f>IF($L360="","",INDEX('Per Line'!$A$2:$A$2501,$L360))</f>
        <v/>
      </c>
      <c r="F360">
        <f>IF($L360="","",INDEX('Per Line'!$U$2:$U$2501,$L360))</f>
        <v/>
      </c>
      <c r="G360" s="5">
        <f>IF($L360="","",SUMIFS('Per Line'!$W$2:$W$2501,'Per Line'!$D$2:$D$2501,$B360))</f>
        <v/>
      </c>
      <c r="H360" s="5">
        <f>IF($L360="","",SUMIFS('Per Line'!$X$2:$X$2501,'Per Line'!$D$2:$D$2501,$B360))</f>
        <v/>
      </c>
      <c r="I360" s="5">
        <f>IF($L360="","",SUMIFS('Per Line'!$Y$2:$Y$2501,'Per Line'!$D$2:$D$2501,$B360))</f>
        <v/>
      </c>
      <c r="J360" s="5">
        <f>IF($L360="","",G360-H360)</f>
        <v/>
      </c>
      <c r="K360" s="5">
        <f>IF($L360="","",J360-I360)</f>
        <v/>
      </c>
      <c r="L360">
        <f>IF(ROWS($L$2:$L360)&lt;=MAX('Per Line'!$AD$2:$AD$2501),MATCH(ROWS($L$2:$L360),'Per Line'!$AD$2:$AD$2501,0),"")</f>
        <v/>
      </c>
      <c r="M360">
        <f>IF($L360="","",INDEX('Per Line'!$E$2:$E$2501,$L360))</f>
        <v/>
      </c>
    </row>
    <row r="361">
      <c r="A361">
        <f>IF($L361="","",INDEX('Per Line'!$C$2:$C$2501,$L361))</f>
        <v/>
      </c>
      <c r="B361">
        <f>IF($L361="","",INDEX('Per Line'!$D$2:$D$2501,$L361))</f>
        <v/>
      </c>
      <c r="C361">
        <f>IF($L361="","",INDEX('Per Line'!$A$2:$A$2501,$L361))</f>
        <v/>
      </c>
      <c r="F361">
        <f>IF($L361="","",INDEX('Per Line'!$U$2:$U$2501,$L361))</f>
        <v/>
      </c>
      <c r="G361" s="5">
        <f>IF($L361="","",SUMIFS('Per Line'!$W$2:$W$2501,'Per Line'!$D$2:$D$2501,$B361))</f>
        <v/>
      </c>
      <c r="H361" s="5">
        <f>IF($L361="","",SUMIFS('Per Line'!$X$2:$X$2501,'Per Line'!$D$2:$D$2501,$B361))</f>
        <v/>
      </c>
      <c r="I361" s="5">
        <f>IF($L361="","",SUMIFS('Per Line'!$Y$2:$Y$2501,'Per Line'!$D$2:$D$2501,$B361))</f>
        <v/>
      </c>
      <c r="J361" s="5">
        <f>IF($L361="","",G361-H361)</f>
        <v/>
      </c>
      <c r="K361" s="5">
        <f>IF($L361="","",J361-I361)</f>
        <v/>
      </c>
      <c r="L361">
        <f>IF(ROWS($L$2:$L361)&lt;=MAX('Per Line'!$AD$2:$AD$2501),MATCH(ROWS($L$2:$L361),'Per Line'!$AD$2:$AD$2501,0),"")</f>
        <v/>
      </c>
      <c r="M361">
        <f>IF($L361="","",INDEX('Per Line'!$E$2:$E$2501,$L361))</f>
        <v/>
      </c>
    </row>
    <row r="362">
      <c r="A362">
        <f>IF($L362="","",INDEX('Per Line'!$C$2:$C$2501,$L362))</f>
        <v/>
      </c>
      <c r="B362">
        <f>IF($L362="","",INDEX('Per Line'!$D$2:$D$2501,$L362))</f>
        <v/>
      </c>
      <c r="C362">
        <f>IF($L362="","",INDEX('Per Line'!$A$2:$A$2501,$L362))</f>
        <v/>
      </c>
      <c r="F362">
        <f>IF($L362="","",INDEX('Per Line'!$U$2:$U$2501,$L362))</f>
        <v/>
      </c>
      <c r="G362" s="5">
        <f>IF($L362="","",SUMIFS('Per Line'!$W$2:$W$2501,'Per Line'!$D$2:$D$2501,$B362))</f>
        <v/>
      </c>
      <c r="H362" s="5">
        <f>IF($L362="","",SUMIFS('Per Line'!$X$2:$X$2501,'Per Line'!$D$2:$D$2501,$B362))</f>
        <v/>
      </c>
      <c r="I362" s="5">
        <f>IF($L362="","",SUMIFS('Per Line'!$Y$2:$Y$2501,'Per Line'!$D$2:$D$2501,$B362))</f>
        <v/>
      </c>
      <c r="J362" s="5">
        <f>IF($L362="","",G362-H362)</f>
        <v/>
      </c>
      <c r="K362" s="5">
        <f>IF($L362="","",J362-I362)</f>
        <v/>
      </c>
      <c r="L362">
        <f>IF(ROWS($L$2:$L362)&lt;=MAX('Per Line'!$AD$2:$AD$2501),MATCH(ROWS($L$2:$L362),'Per Line'!$AD$2:$AD$2501,0),"")</f>
        <v/>
      </c>
      <c r="M362">
        <f>IF($L362="","",INDEX('Per Line'!$E$2:$E$2501,$L362))</f>
        <v/>
      </c>
    </row>
    <row r="363">
      <c r="A363">
        <f>IF($L363="","",INDEX('Per Line'!$C$2:$C$2501,$L363))</f>
        <v/>
      </c>
      <c r="B363">
        <f>IF($L363="","",INDEX('Per Line'!$D$2:$D$2501,$L363))</f>
        <v/>
      </c>
      <c r="C363">
        <f>IF($L363="","",INDEX('Per Line'!$A$2:$A$2501,$L363))</f>
        <v/>
      </c>
      <c r="F363">
        <f>IF($L363="","",INDEX('Per Line'!$U$2:$U$2501,$L363))</f>
        <v/>
      </c>
      <c r="G363" s="5">
        <f>IF($L363="","",SUMIFS('Per Line'!$W$2:$W$2501,'Per Line'!$D$2:$D$2501,$B363))</f>
        <v/>
      </c>
      <c r="H363" s="5">
        <f>IF($L363="","",SUMIFS('Per Line'!$X$2:$X$2501,'Per Line'!$D$2:$D$2501,$B363))</f>
        <v/>
      </c>
      <c r="I363" s="5">
        <f>IF($L363="","",SUMIFS('Per Line'!$Y$2:$Y$2501,'Per Line'!$D$2:$D$2501,$B363))</f>
        <v/>
      </c>
      <c r="J363" s="5">
        <f>IF($L363="","",G363-H363)</f>
        <v/>
      </c>
      <c r="K363" s="5">
        <f>IF($L363="","",J363-I363)</f>
        <v/>
      </c>
      <c r="L363">
        <f>IF(ROWS($L$2:$L363)&lt;=MAX('Per Line'!$AD$2:$AD$2501),MATCH(ROWS($L$2:$L363),'Per Line'!$AD$2:$AD$2501,0),"")</f>
        <v/>
      </c>
      <c r="M363">
        <f>IF($L363="","",INDEX('Per Line'!$E$2:$E$2501,$L363))</f>
        <v/>
      </c>
    </row>
    <row r="364">
      <c r="A364">
        <f>IF($L364="","",INDEX('Per Line'!$C$2:$C$2501,$L364))</f>
        <v/>
      </c>
      <c r="B364">
        <f>IF($L364="","",INDEX('Per Line'!$D$2:$D$2501,$L364))</f>
        <v/>
      </c>
      <c r="C364">
        <f>IF($L364="","",INDEX('Per Line'!$A$2:$A$2501,$L364))</f>
        <v/>
      </c>
      <c r="F364">
        <f>IF($L364="","",INDEX('Per Line'!$U$2:$U$2501,$L364))</f>
        <v/>
      </c>
      <c r="G364" s="5">
        <f>IF($L364="","",SUMIFS('Per Line'!$W$2:$W$2501,'Per Line'!$D$2:$D$2501,$B364))</f>
        <v/>
      </c>
      <c r="H364" s="5">
        <f>IF($L364="","",SUMIFS('Per Line'!$X$2:$X$2501,'Per Line'!$D$2:$D$2501,$B364))</f>
        <v/>
      </c>
      <c r="I364" s="5">
        <f>IF($L364="","",SUMIFS('Per Line'!$Y$2:$Y$2501,'Per Line'!$D$2:$D$2501,$B364))</f>
        <v/>
      </c>
      <c r="J364" s="5">
        <f>IF($L364="","",G364-H364)</f>
        <v/>
      </c>
      <c r="K364" s="5">
        <f>IF($L364="","",J364-I364)</f>
        <v/>
      </c>
      <c r="L364">
        <f>IF(ROWS($L$2:$L364)&lt;=MAX('Per Line'!$AD$2:$AD$2501),MATCH(ROWS($L$2:$L364),'Per Line'!$AD$2:$AD$2501,0),"")</f>
        <v/>
      </c>
      <c r="M364">
        <f>IF($L364="","",INDEX('Per Line'!$E$2:$E$2501,$L364))</f>
        <v/>
      </c>
    </row>
    <row r="365">
      <c r="A365">
        <f>IF($L365="","",INDEX('Per Line'!$C$2:$C$2501,$L365))</f>
        <v/>
      </c>
      <c r="B365">
        <f>IF($L365="","",INDEX('Per Line'!$D$2:$D$2501,$L365))</f>
        <v/>
      </c>
      <c r="C365">
        <f>IF($L365="","",INDEX('Per Line'!$A$2:$A$2501,$L365))</f>
        <v/>
      </c>
      <c r="F365">
        <f>IF($L365="","",INDEX('Per Line'!$U$2:$U$2501,$L365))</f>
        <v/>
      </c>
      <c r="G365" s="5">
        <f>IF($L365="","",SUMIFS('Per Line'!$W$2:$W$2501,'Per Line'!$D$2:$D$2501,$B365))</f>
        <v/>
      </c>
      <c r="H365" s="5">
        <f>IF($L365="","",SUMIFS('Per Line'!$X$2:$X$2501,'Per Line'!$D$2:$D$2501,$B365))</f>
        <v/>
      </c>
      <c r="I365" s="5">
        <f>IF($L365="","",SUMIFS('Per Line'!$Y$2:$Y$2501,'Per Line'!$D$2:$D$2501,$B365))</f>
        <v/>
      </c>
      <c r="J365" s="5">
        <f>IF($L365="","",G365-H365)</f>
        <v/>
      </c>
      <c r="K365" s="5">
        <f>IF($L365="","",J365-I365)</f>
        <v/>
      </c>
      <c r="L365">
        <f>IF(ROWS($L$2:$L365)&lt;=MAX('Per Line'!$AD$2:$AD$2501),MATCH(ROWS($L$2:$L365),'Per Line'!$AD$2:$AD$2501,0),"")</f>
        <v/>
      </c>
      <c r="M365">
        <f>IF($L365="","",INDEX('Per Line'!$E$2:$E$2501,$L365))</f>
        <v/>
      </c>
    </row>
    <row r="366">
      <c r="A366">
        <f>IF($L366="","",INDEX('Per Line'!$C$2:$C$2501,$L366))</f>
        <v/>
      </c>
      <c r="B366">
        <f>IF($L366="","",INDEX('Per Line'!$D$2:$D$2501,$L366))</f>
        <v/>
      </c>
      <c r="C366">
        <f>IF($L366="","",INDEX('Per Line'!$A$2:$A$2501,$L366))</f>
        <v/>
      </c>
      <c r="F366">
        <f>IF($L366="","",INDEX('Per Line'!$U$2:$U$2501,$L366))</f>
        <v/>
      </c>
      <c r="G366" s="5">
        <f>IF($L366="","",SUMIFS('Per Line'!$W$2:$W$2501,'Per Line'!$D$2:$D$2501,$B366))</f>
        <v/>
      </c>
      <c r="H366" s="5">
        <f>IF($L366="","",SUMIFS('Per Line'!$X$2:$X$2501,'Per Line'!$D$2:$D$2501,$B366))</f>
        <v/>
      </c>
      <c r="I366" s="5">
        <f>IF($L366="","",SUMIFS('Per Line'!$Y$2:$Y$2501,'Per Line'!$D$2:$D$2501,$B366))</f>
        <v/>
      </c>
      <c r="J366" s="5">
        <f>IF($L366="","",G366-H366)</f>
        <v/>
      </c>
      <c r="K366" s="5">
        <f>IF($L366="","",J366-I366)</f>
        <v/>
      </c>
      <c r="L366">
        <f>IF(ROWS($L$2:$L366)&lt;=MAX('Per Line'!$AD$2:$AD$2501),MATCH(ROWS($L$2:$L366),'Per Line'!$AD$2:$AD$2501,0),"")</f>
        <v/>
      </c>
      <c r="M366">
        <f>IF($L366="","",INDEX('Per Line'!$E$2:$E$2501,$L366))</f>
        <v/>
      </c>
    </row>
    <row r="367">
      <c r="A367">
        <f>IF($L367="","",INDEX('Per Line'!$C$2:$C$2501,$L367))</f>
        <v/>
      </c>
      <c r="B367">
        <f>IF($L367="","",INDEX('Per Line'!$D$2:$D$2501,$L367))</f>
        <v/>
      </c>
      <c r="C367">
        <f>IF($L367="","",INDEX('Per Line'!$A$2:$A$2501,$L367))</f>
        <v/>
      </c>
      <c r="F367">
        <f>IF($L367="","",INDEX('Per Line'!$U$2:$U$2501,$L367))</f>
        <v/>
      </c>
      <c r="G367" s="5">
        <f>IF($L367="","",SUMIFS('Per Line'!$W$2:$W$2501,'Per Line'!$D$2:$D$2501,$B367))</f>
        <v/>
      </c>
      <c r="H367" s="5">
        <f>IF($L367="","",SUMIFS('Per Line'!$X$2:$X$2501,'Per Line'!$D$2:$D$2501,$B367))</f>
        <v/>
      </c>
      <c r="I367" s="5">
        <f>IF($L367="","",SUMIFS('Per Line'!$Y$2:$Y$2501,'Per Line'!$D$2:$D$2501,$B367))</f>
        <v/>
      </c>
      <c r="J367" s="5">
        <f>IF($L367="","",G367-H367)</f>
        <v/>
      </c>
      <c r="K367" s="5">
        <f>IF($L367="","",J367-I367)</f>
        <v/>
      </c>
      <c r="L367">
        <f>IF(ROWS($L$2:$L367)&lt;=MAX('Per Line'!$AD$2:$AD$2501),MATCH(ROWS($L$2:$L367),'Per Line'!$AD$2:$AD$2501,0),"")</f>
        <v/>
      </c>
      <c r="M367">
        <f>IF($L367="","",INDEX('Per Line'!$E$2:$E$2501,$L367))</f>
        <v/>
      </c>
    </row>
    <row r="368">
      <c r="A368">
        <f>IF($L368="","",INDEX('Per Line'!$C$2:$C$2501,$L368))</f>
        <v/>
      </c>
      <c r="B368">
        <f>IF($L368="","",INDEX('Per Line'!$D$2:$D$2501,$L368))</f>
        <v/>
      </c>
      <c r="C368">
        <f>IF($L368="","",INDEX('Per Line'!$A$2:$A$2501,$L368))</f>
        <v/>
      </c>
      <c r="F368">
        <f>IF($L368="","",INDEX('Per Line'!$U$2:$U$2501,$L368))</f>
        <v/>
      </c>
      <c r="G368" s="5">
        <f>IF($L368="","",SUMIFS('Per Line'!$W$2:$W$2501,'Per Line'!$D$2:$D$2501,$B368))</f>
        <v/>
      </c>
      <c r="H368" s="5">
        <f>IF($L368="","",SUMIFS('Per Line'!$X$2:$X$2501,'Per Line'!$D$2:$D$2501,$B368))</f>
        <v/>
      </c>
      <c r="I368" s="5">
        <f>IF($L368="","",SUMIFS('Per Line'!$Y$2:$Y$2501,'Per Line'!$D$2:$D$2501,$B368))</f>
        <v/>
      </c>
      <c r="J368" s="5">
        <f>IF($L368="","",G368-H368)</f>
        <v/>
      </c>
      <c r="K368" s="5">
        <f>IF($L368="","",J368-I368)</f>
        <v/>
      </c>
      <c r="L368">
        <f>IF(ROWS($L$2:$L368)&lt;=MAX('Per Line'!$AD$2:$AD$2501),MATCH(ROWS($L$2:$L368),'Per Line'!$AD$2:$AD$2501,0),"")</f>
        <v/>
      </c>
      <c r="M368">
        <f>IF($L368="","",INDEX('Per Line'!$E$2:$E$2501,$L368))</f>
        <v/>
      </c>
    </row>
    <row r="369">
      <c r="A369">
        <f>IF($L369="","",INDEX('Per Line'!$C$2:$C$2501,$L369))</f>
        <v/>
      </c>
      <c r="B369">
        <f>IF($L369="","",INDEX('Per Line'!$D$2:$D$2501,$L369))</f>
        <v/>
      </c>
      <c r="C369">
        <f>IF($L369="","",INDEX('Per Line'!$A$2:$A$2501,$L369))</f>
        <v/>
      </c>
      <c r="F369">
        <f>IF($L369="","",INDEX('Per Line'!$U$2:$U$2501,$L369))</f>
        <v/>
      </c>
      <c r="G369" s="5">
        <f>IF($L369="","",SUMIFS('Per Line'!$W$2:$W$2501,'Per Line'!$D$2:$D$2501,$B369))</f>
        <v/>
      </c>
      <c r="H369" s="5">
        <f>IF($L369="","",SUMIFS('Per Line'!$X$2:$X$2501,'Per Line'!$D$2:$D$2501,$B369))</f>
        <v/>
      </c>
      <c r="I369" s="5">
        <f>IF($L369="","",SUMIFS('Per Line'!$Y$2:$Y$2501,'Per Line'!$D$2:$D$2501,$B369))</f>
        <v/>
      </c>
      <c r="J369" s="5">
        <f>IF($L369="","",G369-H369)</f>
        <v/>
      </c>
      <c r="K369" s="5">
        <f>IF($L369="","",J369-I369)</f>
        <v/>
      </c>
      <c r="L369">
        <f>IF(ROWS($L$2:$L369)&lt;=MAX('Per Line'!$AD$2:$AD$2501),MATCH(ROWS($L$2:$L369),'Per Line'!$AD$2:$AD$2501,0),"")</f>
        <v/>
      </c>
      <c r="M369">
        <f>IF($L369="","",INDEX('Per Line'!$E$2:$E$2501,$L369))</f>
        <v/>
      </c>
    </row>
    <row r="370">
      <c r="A370">
        <f>IF($L370="","",INDEX('Per Line'!$C$2:$C$2501,$L370))</f>
        <v/>
      </c>
      <c r="B370">
        <f>IF($L370="","",INDEX('Per Line'!$D$2:$D$2501,$L370))</f>
        <v/>
      </c>
      <c r="C370">
        <f>IF($L370="","",INDEX('Per Line'!$A$2:$A$2501,$L370))</f>
        <v/>
      </c>
      <c r="F370">
        <f>IF($L370="","",INDEX('Per Line'!$U$2:$U$2501,$L370))</f>
        <v/>
      </c>
      <c r="G370" s="5">
        <f>IF($L370="","",SUMIFS('Per Line'!$W$2:$W$2501,'Per Line'!$D$2:$D$2501,$B370))</f>
        <v/>
      </c>
      <c r="H370" s="5">
        <f>IF($L370="","",SUMIFS('Per Line'!$X$2:$X$2501,'Per Line'!$D$2:$D$2501,$B370))</f>
        <v/>
      </c>
      <c r="I370" s="5">
        <f>IF($L370="","",SUMIFS('Per Line'!$Y$2:$Y$2501,'Per Line'!$D$2:$D$2501,$B370))</f>
        <v/>
      </c>
      <c r="J370" s="5">
        <f>IF($L370="","",G370-H370)</f>
        <v/>
      </c>
      <c r="K370" s="5">
        <f>IF($L370="","",J370-I370)</f>
        <v/>
      </c>
      <c r="L370">
        <f>IF(ROWS($L$2:$L370)&lt;=MAX('Per Line'!$AD$2:$AD$2501),MATCH(ROWS($L$2:$L370),'Per Line'!$AD$2:$AD$2501,0),"")</f>
        <v/>
      </c>
      <c r="M370">
        <f>IF($L370="","",INDEX('Per Line'!$E$2:$E$2501,$L370))</f>
        <v/>
      </c>
    </row>
    <row r="371">
      <c r="A371">
        <f>IF($L371="","",INDEX('Per Line'!$C$2:$C$2501,$L371))</f>
        <v/>
      </c>
      <c r="B371">
        <f>IF($L371="","",INDEX('Per Line'!$D$2:$D$2501,$L371))</f>
        <v/>
      </c>
      <c r="C371">
        <f>IF($L371="","",INDEX('Per Line'!$A$2:$A$2501,$L371))</f>
        <v/>
      </c>
      <c r="F371">
        <f>IF($L371="","",INDEX('Per Line'!$U$2:$U$2501,$L371))</f>
        <v/>
      </c>
      <c r="G371" s="5">
        <f>IF($L371="","",SUMIFS('Per Line'!$W$2:$W$2501,'Per Line'!$D$2:$D$2501,$B371))</f>
        <v/>
      </c>
      <c r="H371" s="5">
        <f>IF($L371="","",SUMIFS('Per Line'!$X$2:$X$2501,'Per Line'!$D$2:$D$2501,$B371))</f>
        <v/>
      </c>
      <c r="I371" s="5">
        <f>IF($L371="","",SUMIFS('Per Line'!$Y$2:$Y$2501,'Per Line'!$D$2:$D$2501,$B371))</f>
        <v/>
      </c>
      <c r="J371" s="5">
        <f>IF($L371="","",G371-H371)</f>
        <v/>
      </c>
      <c r="K371" s="5">
        <f>IF($L371="","",J371-I371)</f>
        <v/>
      </c>
      <c r="L371">
        <f>IF(ROWS($L$2:$L371)&lt;=MAX('Per Line'!$AD$2:$AD$2501),MATCH(ROWS($L$2:$L371),'Per Line'!$AD$2:$AD$2501,0),"")</f>
        <v/>
      </c>
      <c r="M371">
        <f>IF($L371="","",INDEX('Per Line'!$E$2:$E$2501,$L371))</f>
        <v/>
      </c>
    </row>
    <row r="372">
      <c r="A372">
        <f>IF($L372="","",INDEX('Per Line'!$C$2:$C$2501,$L372))</f>
        <v/>
      </c>
      <c r="B372">
        <f>IF($L372="","",INDEX('Per Line'!$D$2:$D$2501,$L372))</f>
        <v/>
      </c>
      <c r="C372">
        <f>IF($L372="","",INDEX('Per Line'!$A$2:$A$2501,$L372))</f>
        <v/>
      </c>
      <c r="F372">
        <f>IF($L372="","",INDEX('Per Line'!$U$2:$U$2501,$L372))</f>
        <v/>
      </c>
      <c r="G372" s="5">
        <f>IF($L372="","",SUMIFS('Per Line'!$W$2:$W$2501,'Per Line'!$D$2:$D$2501,$B372))</f>
        <v/>
      </c>
      <c r="H372" s="5">
        <f>IF($L372="","",SUMIFS('Per Line'!$X$2:$X$2501,'Per Line'!$D$2:$D$2501,$B372))</f>
        <v/>
      </c>
      <c r="I372" s="5">
        <f>IF($L372="","",SUMIFS('Per Line'!$Y$2:$Y$2501,'Per Line'!$D$2:$D$2501,$B372))</f>
        <v/>
      </c>
      <c r="J372" s="5">
        <f>IF($L372="","",G372-H372)</f>
        <v/>
      </c>
      <c r="K372" s="5">
        <f>IF($L372="","",J372-I372)</f>
        <v/>
      </c>
      <c r="L372">
        <f>IF(ROWS($L$2:$L372)&lt;=MAX('Per Line'!$AD$2:$AD$2501),MATCH(ROWS($L$2:$L372),'Per Line'!$AD$2:$AD$2501,0),"")</f>
        <v/>
      </c>
      <c r="M372">
        <f>IF($L372="","",INDEX('Per Line'!$E$2:$E$2501,$L372))</f>
        <v/>
      </c>
    </row>
    <row r="373">
      <c r="A373">
        <f>IF($L373="","",INDEX('Per Line'!$C$2:$C$2501,$L373))</f>
        <v/>
      </c>
      <c r="B373">
        <f>IF($L373="","",INDEX('Per Line'!$D$2:$D$2501,$L373))</f>
        <v/>
      </c>
      <c r="C373">
        <f>IF($L373="","",INDEX('Per Line'!$A$2:$A$2501,$L373))</f>
        <v/>
      </c>
      <c r="F373">
        <f>IF($L373="","",INDEX('Per Line'!$U$2:$U$2501,$L373))</f>
        <v/>
      </c>
      <c r="G373" s="5">
        <f>IF($L373="","",SUMIFS('Per Line'!$W$2:$W$2501,'Per Line'!$D$2:$D$2501,$B373))</f>
        <v/>
      </c>
      <c r="H373" s="5">
        <f>IF($L373="","",SUMIFS('Per Line'!$X$2:$X$2501,'Per Line'!$D$2:$D$2501,$B373))</f>
        <v/>
      </c>
      <c r="I373" s="5">
        <f>IF($L373="","",SUMIFS('Per Line'!$Y$2:$Y$2501,'Per Line'!$D$2:$D$2501,$B373))</f>
        <v/>
      </c>
      <c r="J373" s="5">
        <f>IF($L373="","",G373-H373)</f>
        <v/>
      </c>
      <c r="K373" s="5">
        <f>IF($L373="","",J373-I373)</f>
        <v/>
      </c>
      <c r="L373">
        <f>IF(ROWS($L$2:$L373)&lt;=MAX('Per Line'!$AD$2:$AD$2501),MATCH(ROWS($L$2:$L373),'Per Line'!$AD$2:$AD$2501,0),"")</f>
        <v/>
      </c>
      <c r="M373">
        <f>IF($L373="","",INDEX('Per Line'!$E$2:$E$2501,$L373))</f>
        <v/>
      </c>
    </row>
    <row r="374">
      <c r="A374">
        <f>IF($L374="","",INDEX('Per Line'!$C$2:$C$2501,$L374))</f>
        <v/>
      </c>
      <c r="B374">
        <f>IF($L374="","",INDEX('Per Line'!$D$2:$D$2501,$L374))</f>
        <v/>
      </c>
      <c r="C374">
        <f>IF($L374="","",INDEX('Per Line'!$A$2:$A$2501,$L374))</f>
        <v/>
      </c>
      <c r="F374">
        <f>IF($L374="","",INDEX('Per Line'!$U$2:$U$2501,$L374))</f>
        <v/>
      </c>
      <c r="G374" s="5">
        <f>IF($L374="","",SUMIFS('Per Line'!$W$2:$W$2501,'Per Line'!$D$2:$D$2501,$B374))</f>
        <v/>
      </c>
      <c r="H374" s="5">
        <f>IF($L374="","",SUMIFS('Per Line'!$X$2:$X$2501,'Per Line'!$D$2:$D$2501,$B374))</f>
        <v/>
      </c>
      <c r="I374" s="5">
        <f>IF($L374="","",SUMIFS('Per Line'!$Y$2:$Y$2501,'Per Line'!$D$2:$D$2501,$B374))</f>
        <v/>
      </c>
      <c r="J374" s="5">
        <f>IF($L374="","",G374-H374)</f>
        <v/>
      </c>
      <c r="K374" s="5">
        <f>IF($L374="","",J374-I374)</f>
        <v/>
      </c>
      <c r="L374">
        <f>IF(ROWS($L$2:$L374)&lt;=MAX('Per Line'!$AD$2:$AD$2501),MATCH(ROWS($L$2:$L374),'Per Line'!$AD$2:$AD$2501,0),"")</f>
        <v/>
      </c>
      <c r="M374">
        <f>IF($L374="","",INDEX('Per Line'!$E$2:$E$2501,$L374))</f>
        <v/>
      </c>
    </row>
    <row r="375">
      <c r="A375">
        <f>IF($L375="","",INDEX('Per Line'!$C$2:$C$2501,$L375))</f>
        <v/>
      </c>
      <c r="B375">
        <f>IF($L375="","",INDEX('Per Line'!$D$2:$D$2501,$L375))</f>
        <v/>
      </c>
      <c r="C375">
        <f>IF($L375="","",INDEX('Per Line'!$A$2:$A$2501,$L375))</f>
        <v/>
      </c>
      <c r="F375">
        <f>IF($L375="","",INDEX('Per Line'!$U$2:$U$2501,$L375))</f>
        <v/>
      </c>
      <c r="G375" s="5">
        <f>IF($L375="","",SUMIFS('Per Line'!$W$2:$W$2501,'Per Line'!$D$2:$D$2501,$B375))</f>
        <v/>
      </c>
      <c r="H375" s="5">
        <f>IF($L375="","",SUMIFS('Per Line'!$X$2:$X$2501,'Per Line'!$D$2:$D$2501,$B375))</f>
        <v/>
      </c>
      <c r="I375" s="5">
        <f>IF($L375="","",SUMIFS('Per Line'!$Y$2:$Y$2501,'Per Line'!$D$2:$D$2501,$B375))</f>
        <v/>
      </c>
      <c r="J375" s="5">
        <f>IF($L375="","",G375-H375)</f>
        <v/>
      </c>
      <c r="K375" s="5">
        <f>IF($L375="","",J375-I375)</f>
        <v/>
      </c>
      <c r="L375">
        <f>IF(ROWS($L$2:$L375)&lt;=MAX('Per Line'!$AD$2:$AD$2501),MATCH(ROWS($L$2:$L375),'Per Line'!$AD$2:$AD$2501,0),"")</f>
        <v/>
      </c>
      <c r="M375">
        <f>IF($L375="","",INDEX('Per Line'!$E$2:$E$2501,$L375))</f>
        <v/>
      </c>
    </row>
    <row r="376">
      <c r="A376">
        <f>IF($L376="","",INDEX('Per Line'!$C$2:$C$2501,$L376))</f>
        <v/>
      </c>
      <c r="B376">
        <f>IF($L376="","",INDEX('Per Line'!$D$2:$D$2501,$L376))</f>
        <v/>
      </c>
      <c r="C376">
        <f>IF($L376="","",INDEX('Per Line'!$A$2:$A$2501,$L376))</f>
        <v/>
      </c>
      <c r="F376">
        <f>IF($L376="","",INDEX('Per Line'!$U$2:$U$2501,$L376))</f>
        <v/>
      </c>
      <c r="G376" s="5">
        <f>IF($L376="","",SUMIFS('Per Line'!$W$2:$W$2501,'Per Line'!$D$2:$D$2501,$B376))</f>
        <v/>
      </c>
      <c r="H376" s="5">
        <f>IF($L376="","",SUMIFS('Per Line'!$X$2:$X$2501,'Per Line'!$D$2:$D$2501,$B376))</f>
        <v/>
      </c>
      <c r="I376" s="5">
        <f>IF($L376="","",SUMIFS('Per Line'!$Y$2:$Y$2501,'Per Line'!$D$2:$D$2501,$B376))</f>
        <v/>
      </c>
      <c r="J376" s="5">
        <f>IF($L376="","",G376-H376)</f>
        <v/>
      </c>
      <c r="K376" s="5">
        <f>IF($L376="","",J376-I376)</f>
        <v/>
      </c>
      <c r="L376">
        <f>IF(ROWS($L$2:$L376)&lt;=MAX('Per Line'!$AD$2:$AD$2501),MATCH(ROWS($L$2:$L376),'Per Line'!$AD$2:$AD$2501,0),"")</f>
        <v/>
      </c>
      <c r="M376">
        <f>IF($L376="","",INDEX('Per Line'!$E$2:$E$2501,$L376))</f>
        <v/>
      </c>
    </row>
    <row r="377">
      <c r="A377">
        <f>IF($L377="","",INDEX('Per Line'!$C$2:$C$2501,$L377))</f>
        <v/>
      </c>
      <c r="B377">
        <f>IF($L377="","",INDEX('Per Line'!$D$2:$D$2501,$L377))</f>
        <v/>
      </c>
      <c r="C377">
        <f>IF($L377="","",INDEX('Per Line'!$A$2:$A$2501,$L377))</f>
        <v/>
      </c>
      <c r="F377">
        <f>IF($L377="","",INDEX('Per Line'!$U$2:$U$2501,$L377))</f>
        <v/>
      </c>
      <c r="G377" s="5">
        <f>IF($L377="","",SUMIFS('Per Line'!$W$2:$W$2501,'Per Line'!$D$2:$D$2501,$B377))</f>
        <v/>
      </c>
      <c r="H377" s="5">
        <f>IF($L377="","",SUMIFS('Per Line'!$X$2:$X$2501,'Per Line'!$D$2:$D$2501,$B377))</f>
        <v/>
      </c>
      <c r="I377" s="5">
        <f>IF($L377="","",SUMIFS('Per Line'!$Y$2:$Y$2501,'Per Line'!$D$2:$D$2501,$B377))</f>
        <v/>
      </c>
      <c r="J377" s="5">
        <f>IF($L377="","",G377-H377)</f>
        <v/>
      </c>
      <c r="K377" s="5">
        <f>IF($L377="","",J377-I377)</f>
        <v/>
      </c>
      <c r="L377">
        <f>IF(ROWS($L$2:$L377)&lt;=MAX('Per Line'!$AD$2:$AD$2501),MATCH(ROWS($L$2:$L377),'Per Line'!$AD$2:$AD$2501,0),"")</f>
        <v/>
      </c>
      <c r="M377">
        <f>IF($L377="","",INDEX('Per Line'!$E$2:$E$2501,$L377))</f>
        <v/>
      </c>
    </row>
    <row r="378">
      <c r="A378">
        <f>IF($L378="","",INDEX('Per Line'!$C$2:$C$2501,$L378))</f>
        <v/>
      </c>
      <c r="B378">
        <f>IF($L378="","",INDEX('Per Line'!$D$2:$D$2501,$L378))</f>
        <v/>
      </c>
      <c r="C378">
        <f>IF($L378="","",INDEX('Per Line'!$A$2:$A$2501,$L378))</f>
        <v/>
      </c>
      <c r="F378">
        <f>IF($L378="","",INDEX('Per Line'!$U$2:$U$2501,$L378))</f>
        <v/>
      </c>
      <c r="G378" s="5">
        <f>IF($L378="","",SUMIFS('Per Line'!$W$2:$W$2501,'Per Line'!$D$2:$D$2501,$B378))</f>
        <v/>
      </c>
      <c r="H378" s="5">
        <f>IF($L378="","",SUMIFS('Per Line'!$X$2:$X$2501,'Per Line'!$D$2:$D$2501,$B378))</f>
        <v/>
      </c>
      <c r="I378" s="5">
        <f>IF($L378="","",SUMIFS('Per Line'!$Y$2:$Y$2501,'Per Line'!$D$2:$D$2501,$B378))</f>
        <v/>
      </c>
      <c r="J378" s="5">
        <f>IF($L378="","",G378-H378)</f>
        <v/>
      </c>
      <c r="K378" s="5">
        <f>IF($L378="","",J378-I378)</f>
        <v/>
      </c>
      <c r="L378">
        <f>IF(ROWS($L$2:$L378)&lt;=MAX('Per Line'!$AD$2:$AD$2501),MATCH(ROWS($L$2:$L378),'Per Line'!$AD$2:$AD$2501,0),"")</f>
        <v/>
      </c>
      <c r="M378">
        <f>IF($L378="","",INDEX('Per Line'!$E$2:$E$2501,$L378))</f>
        <v/>
      </c>
    </row>
    <row r="379">
      <c r="A379">
        <f>IF($L379="","",INDEX('Per Line'!$C$2:$C$2501,$L379))</f>
        <v/>
      </c>
      <c r="B379">
        <f>IF($L379="","",INDEX('Per Line'!$D$2:$D$2501,$L379))</f>
        <v/>
      </c>
      <c r="C379">
        <f>IF($L379="","",INDEX('Per Line'!$A$2:$A$2501,$L379))</f>
        <v/>
      </c>
      <c r="F379">
        <f>IF($L379="","",INDEX('Per Line'!$U$2:$U$2501,$L379))</f>
        <v/>
      </c>
      <c r="G379" s="5">
        <f>IF($L379="","",SUMIFS('Per Line'!$W$2:$W$2501,'Per Line'!$D$2:$D$2501,$B379))</f>
        <v/>
      </c>
      <c r="H379" s="5">
        <f>IF($L379="","",SUMIFS('Per Line'!$X$2:$X$2501,'Per Line'!$D$2:$D$2501,$B379))</f>
        <v/>
      </c>
      <c r="I379" s="5">
        <f>IF($L379="","",SUMIFS('Per Line'!$Y$2:$Y$2501,'Per Line'!$D$2:$D$2501,$B379))</f>
        <v/>
      </c>
      <c r="J379" s="5">
        <f>IF($L379="","",G379-H379)</f>
        <v/>
      </c>
      <c r="K379" s="5">
        <f>IF($L379="","",J379-I379)</f>
        <v/>
      </c>
      <c r="L379">
        <f>IF(ROWS($L$2:$L379)&lt;=MAX('Per Line'!$AD$2:$AD$2501),MATCH(ROWS($L$2:$L379),'Per Line'!$AD$2:$AD$2501,0),"")</f>
        <v/>
      </c>
      <c r="M379">
        <f>IF($L379="","",INDEX('Per Line'!$E$2:$E$2501,$L379))</f>
        <v/>
      </c>
    </row>
    <row r="380">
      <c r="A380">
        <f>IF($L380="","",INDEX('Per Line'!$C$2:$C$2501,$L380))</f>
        <v/>
      </c>
      <c r="B380">
        <f>IF($L380="","",INDEX('Per Line'!$D$2:$D$2501,$L380))</f>
        <v/>
      </c>
      <c r="C380">
        <f>IF($L380="","",INDEX('Per Line'!$A$2:$A$2501,$L380))</f>
        <v/>
      </c>
      <c r="F380">
        <f>IF($L380="","",INDEX('Per Line'!$U$2:$U$2501,$L380))</f>
        <v/>
      </c>
      <c r="G380" s="5">
        <f>IF($L380="","",SUMIFS('Per Line'!$W$2:$W$2501,'Per Line'!$D$2:$D$2501,$B380))</f>
        <v/>
      </c>
      <c r="H380" s="5">
        <f>IF($L380="","",SUMIFS('Per Line'!$X$2:$X$2501,'Per Line'!$D$2:$D$2501,$B380))</f>
        <v/>
      </c>
      <c r="I380" s="5">
        <f>IF($L380="","",SUMIFS('Per Line'!$Y$2:$Y$2501,'Per Line'!$D$2:$D$2501,$B380))</f>
        <v/>
      </c>
      <c r="J380" s="5">
        <f>IF($L380="","",G380-H380)</f>
        <v/>
      </c>
      <c r="K380" s="5">
        <f>IF($L380="","",J380-I380)</f>
        <v/>
      </c>
      <c r="L380">
        <f>IF(ROWS($L$2:$L380)&lt;=MAX('Per Line'!$AD$2:$AD$2501),MATCH(ROWS($L$2:$L380),'Per Line'!$AD$2:$AD$2501,0),"")</f>
        <v/>
      </c>
      <c r="M380">
        <f>IF($L380="","",INDEX('Per Line'!$E$2:$E$2501,$L380))</f>
        <v/>
      </c>
    </row>
    <row r="381">
      <c r="A381">
        <f>IF($L381="","",INDEX('Per Line'!$C$2:$C$2501,$L381))</f>
        <v/>
      </c>
      <c r="B381">
        <f>IF($L381="","",INDEX('Per Line'!$D$2:$D$2501,$L381))</f>
        <v/>
      </c>
      <c r="C381">
        <f>IF($L381="","",INDEX('Per Line'!$A$2:$A$2501,$L381))</f>
        <v/>
      </c>
      <c r="F381">
        <f>IF($L381="","",INDEX('Per Line'!$U$2:$U$2501,$L381))</f>
        <v/>
      </c>
      <c r="G381" s="5">
        <f>IF($L381="","",SUMIFS('Per Line'!$W$2:$W$2501,'Per Line'!$D$2:$D$2501,$B381))</f>
        <v/>
      </c>
      <c r="H381" s="5">
        <f>IF($L381="","",SUMIFS('Per Line'!$X$2:$X$2501,'Per Line'!$D$2:$D$2501,$B381))</f>
        <v/>
      </c>
      <c r="I381" s="5">
        <f>IF($L381="","",SUMIFS('Per Line'!$Y$2:$Y$2501,'Per Line'!$D$2:$D$2501,$B381))</f>
        <v/>
      </c>
      <c r="J381" s="5">
        <f>IF($L381="","",G381-H381)</f>
        <v/>
      </c>
      <c r="K381" s="5">
        <f>IF($L381="","",J381-I381)</f>
        <v/>
      </c>
      <c r="L381">
        <f>IF(ROWS($L$2:$L381)&lt;=MAX('Per Line'!$AD$2:$AD$2501),MATCH(ROWS($L$2:$L381),'Per Line'!$AD$2:$AD$2501,0),"")</f>
        <v/>
      </c>
      <c r="M381">
        <f>IF($L381="","",INDEX('Per Line'!$E$2:$E$2501,$L381))</f>
        <v/>
      </c>
    </row>
    <row r="382">
      <c r="A382">
        <f>IF($L382="","",INDEX('Per Line'!$C$2:$C$2501,$L382))</f>
        <v/>
      </c>
      <c r="B382">
        <f>IF($L382="","",INDEX('Per Line'!$D$2:$D$2501,$L382))</f>
        <v/>
      </c>
      <c r="C382">
        <f>IF($L382="","",INDEX('Per Line'!$A$2:$A$2501,$L382))</f>
        <v/>
      </c>
      <c r="F382">
        <f>IF($L382="","",INDEX('Per Line'!$U$2:$U$2501,$L382))</f>
        <v/>
      </c>
      <c r="G382" s="5">
        <f>IF($L382="","",SUMIFS('Per Line'!$W$2:$W$2501,'Per Line'!$D$2:$D$2501,$B382))</f>
        <v/>
      </c>
      <c r="H382" s="5">
        <f>IF($L382="","",SUMIFS('Per Line'!$X$2:$X$2501,'Per Line'!$D$2:$D$2501,$B382))</f>
        <v/>
      </c>
      <c r="I382" s="5">
        <f>IF($L382="","",SUMIFS('Per Line'!$Y$2:$Y$2501,'Per Line'!$D$2:$D$2501,$B382))</f>
        <v/>
      </c>
      <c r="J382" s="5">
        <f>IF($L382="","",G382-H382)</f>
        <v/>
      </c>
      <c r="K382" s="5">
        <f>IF($L382="","",J382-I382)</f>
        <v/>
      </c>
      <c r="L382">
        <f>IF(ROWS($L$2:$L382)&lt;=MAX('Per Line'!$AD$2:$AD$2501),MATCH(ROWS($L$2:$L382),'Per Line'!$AD$2:$AD$2501,0),"")</f>
        <v/>
      </c>
      <c r="M382">
        <f>IF($L382="","",INDEX('Per Line'!$E$2:$E$2501,$L382))</f>
        <v/>
      </c>
    </row>
    <row r="383">
      <c r="A383">
        <f>IF($L383="","",INDEX('Per Line'!$C$2:$C$2501,$L383))</f>
        <v/>
      </c>
      <c r="B383">
        <f>IF($L383="","",INDEX('Per Line'!$D$2:$D$2501,$L383))</f>
        <v/>
      </c>
      <c r="C383">
        <f>IF($L383="","",INDEX('Per Line'!$A$2:$A$2501,$L383))</f>
        <v/>
      </c>
      <c r="F383">
        <f>IF($L383="","",INDEX('Per Line'!$U$2:$U$2501,$L383))</f>
        <v/>
      </c>
      <c r="G383" s="5">
        <f>IF($L383="","",SUMIFS('Per Line'!$W$2:$W$2501,'Per Line'!$D$2:$D$2501,$B383))</f>
        <v/>
      </c>
      <c r="H383" s="5">
        <f>IF($L383="","",SUMIFS('Per Line'!$X$2:$X$2501,'Per Line'!$D$2:$D$2501,$B383))</f>
        <v/>
      </c>
      <c r="I383" s="5">
        <f>IF($L383="","",SUMIFS('Per Line'!$Y$2:$Y$2501,'Per Line'!$D$2:$D$2501,$B383))</f>
        <v/>
      </c>
      <c r="J383" s="5">
        <f>IF($L383="","",G383-H383)</f>
        <v/>
      </c>
      <c r="K383" s="5">
        <f>IF($L383="","",J383-I383)</f>
        <v/>
      </c>
      <c r="L383">
        <f>IF(ROWS($L$2:$L383)&lt;=MAX('Per Line'!$AD$2:$AD$2501),MATCH(ROWS($L$2:$L383),'Per Line'!$AD$2:$AD$2501,0),"")</f>
        <v/>
      </c>
      <c r="M383">
        <f>IF($L383="","",INDEX('Per Line'!$E$2:$E$2501,$L383))</f>
        <v/>
      </c>
    </row>
    <row r="384">
      <c r="A384">
        <f>IF($L384="","",INDEX('Per Line'!$C$2:$C$2501,$L384))</f>
        <v/>
      </c>
      <c r="B384">
        <f>IF($L384="","",INDEX('Per Line'!$D$2:$D$2501,$L384))</f>
        <v/>
      </c>
      <c r="C384">
        <f>IF($L384="","",INDEX('Per Line'!$A$2:$A$2501,$L384))</f>
        <v/>
      </c>
      <c r="F384">
        <f>IF($L384="","",INDEX('Per Line'!$U$2:$U$2501,$L384))</f>
        <v/>
      </c>
      <c r="G384" s="5">
        <f>IF($L384="","",SUMIFS('Per Line'!$W$2:$W$2501,'Per Line'!$D$2:$D$2501,$B384))</f>
        <v/>
      </c>
      <c r="H384" s="5">
        <f>IF($L384="","",SUMIFS('Per Line'!$X$2:$X$2501,'Per Line'!$D$2:$D$2501,$B384))</f>
        <v/>
      </c>
      <c r="I384" s="5">
        <f>IF($L384="","",SUMIFS('Per Line'!$Y$2:$Y$2501,'Per Line'!$D$2:$D$2501,$B384))</f>
        <v/>
      </c>
      <c r="J384" s="5">
        <f>IF($L384="","",G384-H384)</f>
        <v/>
      </c>
      <c r="K384" s="5">
        <f>IF($L384="","",J384-I384)</f>
        <v/>
      </c>
      <c r="L384">
        <f>IF(ROWS($L$2:$L384)&lt;=MAX('Per Line'!$AD$2:$AD$2501),MATCH(ROWS($L$2:$L384),'Per Line'!$AD$2:$AD$2501,0),"")</f>
        <v/>
      </c>
      <c r="M384">
        <f>IF($L384="","",INDEX('Per Line'!$E$2:$E$2501,$L384))</f>
        <v/>
      </c>
    </row>
    <row r="385">
      <c r="A385">
        <f>IF($L385="","",INDEX('Per Line'!$C$2:$C$2501,$L385))</f>
        <v/>
      </c>
      <c r="B385">
        <f>IF($L385="","",INDEX('Per Line'!$D$2:$D$2501,$L385))</f>
        <v/>
      </c>
      <c r="C385">
        <f>IF($L385="","",INDEX('Per Line'!$A$2:$A$2501,$L385))</f>
        <v/>
      </c>
      <c r="F385">
        <f>IF($L385="","",INDEX('Per Line'!$U$2:$U$2501,$L385))</f>
        <v/>
      </c>
      <c r="G385" s="5">
        <f>IF($L385="","",SUMIFS('Per Line'!$W$2:$W$2501,'Per Line'!$D$2:$D$2501,$B385))</f>
        <v/>
      </c>
      <c r="H385" s="5">
        <f>IF($L385="","",SUMIFS('Per Line'!$X$2:$X$2501,'Per Line'!$D$2:$D$2501,$B385))</f>
        <v/>
      </c>
      <c r="I385" s="5">
        <f>IF($L385="","",SUMIFS('Per Line'!$Y$2:$Y$2501,'Per Line'!$D$2:$D$2501,$B385))</f>
        <v/>
      </c>
      <c r="J385" s="5">
        <f>IF($L385="","",G385-H385)</f>
        <v/>
      </c>
      <c r="K385" s="5">
        <f>IF($L385="","",J385-I385)</f>
        <v/>
      </c>
      <c r="L385">
        <f>IF(ROWS($L$2:$L385)&lt;=MAX('Per Line'!$AD$2:$AD$2501),MATCH(ROWS($L$2:$L385),'Per Line'!$AD$2:$AD$2501,0),"")</f>
        <v/>
      </c>
      <c r="M385">
        <f>IF($L385="","",INDEX('Per Line'!$E$2:$E$2501,$L385))</f>
        <v/>
      </c>
    </row>
    <row r="386">
      <c r="A386">
        <f>IF($L386="","",INDEX('Per Line'!$C$2:$C$2501,$L386))</f>
        <v/>
      </c>
      <c r="B386">
        <f>IF($L386="","",INDEX('Per Line'!$D$2:$D$2501,$L386))</f>
        <v/>
      </c>
      <c r="C386">
        <f>IF($L386="","",INDEX('Per Line'!$A$2:$A$2501,$L386))</f>
        <v/>
      </c>
      <c r="F386">
        <f>IF($L386="","",INDEX('Per Line'!$U$2:$U$2501,$L386))</f>
        <v/>
      </c>
      <c r="G386" s="5">
        <f>IF($L386="","",SUMIFS('Per Line'!$W$2:$W$2501,'Per Line'!$D$2:$D$2501,$B386))</f>
        <v/>
      </c>
      <c r="H386" s="5">
        <f>IF($L386="","",SUMIFS('Per Line'!$X$2:$X$2501,'Per Line'!$D$2:$D$2501,$B386))</f>
        <v/>
      </c>
      <c r="I386" s="5">
        <f>IF($L386="","",SUMIFS('Per Line'!$Y$2:$Y$2501,'Per Line'!$D$2:$D$2501,$B386))</f>
        <v/>
      </c>
      <c r="J386" s="5">
        <f>IF($L386="","",G386-H386)</f>
        <v/>
      </c>
      <c r="K386" s="5">
        <f>IF($L386="","",J386-I386)</f>
        <v/>
      </c>
      <c r="L386">
        <f>IF(ROWS($L$2:$L386)&lt;=MAX('Per Line'!$AD$2:$AD$2501),MATCH(ROWS($L$2:$L386),'Per Line'!$AD$2:$AD$2501,0),"")</f>
        <v/>
      </c>
      <c r="M386">
        <f>IF($L386="","",INDEX('Per Line'!$E$2:$E$2501,$L386))</f>
        <v/>
      </c>
    </row>
    <row r="387">
      <c r="A387">
        <f>IF($L387="","",INDEX('Per Line'!$C$2:$C$2501,$L387))</f>
        <v/>
      </c>
      <c r="B387">
        <f>IF($L387="","",INDEX('Per Line'!$D$2:$D$2501,$L387))</f>
        <v/>
      </c>
      <c r="C387">
        <f>IF($L387="","",INDEX('Per Line'!$A$2:$A$2501,$L387))</f>
        <v/>
      </c>
      <c r="F387">
        <f>IF($L387="","",INDEX('Per Line'!$U$2:$U$2501,$L387))</f>
        <v/>
      </c>
      <c r="G387" s="5">
        <f>IF($L387="","",SUMIFS('Per Line'!$W$2:$W$2501,'Per Line'!$D$2:$D$2501,$B387))</f>
        <v/>
      </c>
      <c r="H387" s="5">
        <f>IF($L387="","",SUMIFS('Per Line'!$X$2:$X$2501,'Per Line'!$D$2:$D$2501,$B387))</f>
        <v/>
      </c>
      <c r="I387" s="5">
        <f>IF($L387="","",SUMIFS('Per Line'!$Y$2:$Y$2501,'Per Line'!$D$2:$D$2501,$B387))</f>
        <v/>
      </c>
      <c r="J387" s="5">
        <f>IF($L387="","",G387-H387)</f>
        <v/>
      </c>
      <c r="K387" s="5">
        <f>IF($L387="","",J387-I387)</f>
        <v/>
      </c>
      <c r="L387">
        <f>IF(ROWS($L$2:$L387)&lt;=MAX('Per Line'!$AD$2:$AD$2501),MATCH(ROWS($L$2:$L387),'Per Line'!$AD$2:$AD$2501,0),"")</f>
        <v/>
      </c>
      <c r="M387">
        <f>IF($L387="","",INDEX('Per Line'!$E$2:$E$2501,$L387))</f>
        <v/>
      </c>
    </row>
    <row r="388">
      <c r="A388">
        <f>IF($L388="","",INDEX('Per Line'!$C$2:$C$2501,$L388))</f>
        <v/>
      </c>
      <c r="B388">
        <f>IF($L388="","",INDEX('Per Line'!$D$2:$D$2501,$L388))</f>
        <v/>
      </c>
      <c r="C388">
        <f>IF($L388="","",INDEX('Per Line'!$A$2:$A$2501,$L388))</f>
        <v/>
      </c>
      <c r="F388">
        <f>IF($L388="","",INDEX('Per Line'!$U$2:$U$2501,$L388))</f>
        <v/>
      </c>
      <c r="G388" s="5">
        <f>IF($L388="","",SUMIFS('Per Line'!$W$2:$W$2501,'Per Line'!$D$2:$D$2501,$B388))</f>
        <v/>
      </c>
      <c r="H388" s="5">
        <f>IF($L388="","",SUMIFS('Per Line'!$X$2:$X$2501,'Per Line'!$D$2:$D$2501,$B388))</f>
        <v/>
      </c>
      <c r="I388" s="5">
        <f>IF($L388="","",SUMIFS('Per Line'!$Y$2:$Y$2501,'Per Line'!$D$2:$D$2501,$B388))</f>
        <v/>
      </c>
      <c r="J388" s="5">
        <f>IF($L388="","",G388-H388)</f>
        <v/>
      </c>
      <c r="K388" s="5">
        <f>IF($L388="","",J388-I388)</f>
        <v/>
      </c>
      <c r="L388">
        <f>IF(ROWS($L$2:$L388)&lt;=MAX('Per Line'!$AD$2:$AD$2501),MATCH(ROWS($L$2:$L388),'Per Line'!$AD$2:$AD$2501,0),"")</f>
        <v/>
      </c>
      <c r="M388">
        <f>IF($L388="","",INDEX('Per Line'!$E$2:$E$2501,$L388))</f>
        <v/>
      </c>
    </row>
    <row r="389">
      <c r="A389">
        <f>IF($L389="","",INDEX('Per Line'!$C$2:$C$2501,$L389))</f>
        <v/>
      </c>
      <c r="B389">
        <f>IF($L389="","",INDEX('Per Line'!$D$2:$D$2501,$L389))</f>
        <v/>
      </c>
      <c r="C389">
        <f>IF($L389="","",INDEX('Per Line'!$A$2:$A$2501,$L389))</f>
        <v/>
      </c>
      <c r="F389">
        <f>IF($L389="","",INDEX('Per Line'!$U$2:$U$2501,$L389))</f>
        <v/>
      </c>
      <c r="G389" s="5">
        <f>IF($L389="","",SUMIFS('Per Line'!$W$2:$W$2501,'Per Line'!$D$2:$D$2501,$B389))</f>
        <v/>
      </c>
      <c r="H389" s="5">
        <f>IF($L389="","",SUMIFS('Per Line'!$X$2:$X$2501,'Per Line'!$D$2:$D$2501,$B389))</f>
        <v/>
      </c>
      <c r="I389" s="5">
        <f>IF($L389="","",SUMIFS('Per Line'!$Y$2:$Y$2501,'Per Line'!$D$2:$D$2501,$B389))</f>
        <v/>
      </c>
      <c r="J389" s="5">
        <f>IF($L389="","",G389-H389)</f>
        <v/>
      </c>
      <c r="K389" s="5">
        <f>IF($L389="","",J389-I389)</f>
        <v/>
      </c>
      <c r="L389">
        <f>IF(ROWS($L$2:$L389)&lt;=MAX('Per Line'!$AD$2:$AD$2501),MATCH(ROWS($L$2:$L389),'Per Line'!$AD$2:$AD$2501,0),"")</f>
        <v/>
      </c>
      <c r="M389">
        <f>IF($L389="","",INDEX('Per Line'!$E$2:$E$2501,$L389))</f>
        <v/>
      </c>
    </row>
    <row r="390">
      <c r="A390">
        <f>IF($L390="","",INDEX('Per Line'!$C$2:$C$2501,$L390))</f>
        <v/>
      </c>
      <c r="B390">
        <f>IF($L390="","",INDEX('Per Line'!$D$2:$D$2501,$L390))</f>
        <v/>
      </c>
      <c r="C390">
        <f>IF($L390="","",INDEX('Per Line'!$A$2:$A$2501,$L390))</f>
        <v/>
      </c>
      <c r="F390">
        <f>IF($L390="","",INDEX('Per Line'!$U$2:$U$2501,$L390))</f>
        <v/>
      </c>
      <c r="G390" s="5">
        <f>IF($L390="","",SUMIFS('Per Line'!$W$2:$W$2501,'Per Line'!$D$2:$D$2501,$B390))</f>
        <v/>
      </c>
      <c r="H390" s="5">
        <f>IF($L390="","",SUMIFS('Per Line'!$X$2:$X$2501,'Per Line'!$D$2:$D$2501,$B390))</f>
        <v/>
      </c>
      <c r="I390" s="5">
        <f>IF($L390="","",SUMIFS('Per Line'!$Y$2:$Y$2501,'Per Line'!$D$2:$D$2501,$B390))</f>
        <v/>
      </c>
      <c r="J390" s="5">
        <f>IF($L390="","",G390-H390)</f>
        <v/>
      </c>
      <c r="K390" s="5">
        <f>IF($L390="","",J390-I390)</f>
        <v/>
      </c>
      <c r="L390">
        <f>IF(ROWS($L$2:$L390)&lt;=MAX('Per Line'!$AD$2:$AD$2501),MATCH(ROWS($L$2:$L390),'Per Line'!$AD$2:$AD$2501,0),"")</f>
        <v/>
      </c>
      <c r="M390">
        <f>IF($L390="","",INDEX('Per Line'!$E$2:$E$2501,$L390))</f>
        <v/>
      </c>
    </row>
    <row r="391">
      <c r="A391">
        <f>IF($L391="","",INDEX('Per Line'!$C$2:$C$2501,$L391))</f>
        <v/>
      </c>
      <c r="B391">
        <f>IF($L391="","",INDEX('Per Line'!$D$2:$D$2501,$L391))</f>
        <v/>
      </c>
      <c r="C391">
        <f>IF($L391="","",INDEX('Per Line'!$A$2:$A$2501,$L391))</f>
        <v/>
      </c>
      <c r="F391">
        <f>IF($L391="","",INDEX('Per Line'!$U$2:$U$2501,$L391))</f>
        <v/>
      </c>
      <c r="G391" s="5">
        <f>IF($L391="","",SUMIFS('Per Line'!$W$2:$W$2501,'Per Line'!$D$2:$D$2501,$B391))</f>
        <v/>
      </c>
      <c r="H391" s="5">
        <f>IF($L391="","",SUMIFS('Per Line'!$X$2:$X$2501,'Per Line'!$D$2:$D$2501,$B391))</f>
        <v/>
      </c>
      <c r="I391" s="5">
        <f>IF($L391="","",SUMIFS('Per Line'!$Y$2:$Y$2501,'Per Line'!$D$2:$D$2501,$B391))</f>
        <v/>
      </c>
      <c r="J391" s="5">
        <f>IF($L391="","",G391-H391)</f>
        <v/>
      </c>
      <c r="K391" s="5">
        <f>IF($L391="","",J391-I391)</f>
        <v/>
      </c>
      <c r="L391">
        <f>IF(ROWS($L$2:$L391)&lt;=MAX('Per Line'!$AD$2:$AD$2501),MATCH(ROWS($L$2:$L391),'Per Line'!$AD$2:$AD$2501,0),"")</f>
        <v/>
      </c>
      <c r="M391">
        <f>IF($L391="","",INDEX('Per Line'!$E$2:$E$2501,$L391))</f>
        <v/>
      </c>
    </row>
    <row r="392">
      <c r="A392">
        <f>IF($L392="","",INDEX('Per Line'!$C$2:$C$2501,$L392))</f>
        <v/>
      </c>
      <c r="B392">
        <f>IF($L392="","",INDEX('Per Line'!$D$2:$D$2501,$L392))</f>
        <v/>
      </c>
      <c r="C392">
        <f>IF($L392="","",INDEX('Per Line'!$A$2:$A$2501,$L392))</f>
        <v/>
      </c>
      <c r="F392">
        <f>IF($L392="","",INDEX('Per Line'!$U$2:$U$2501,$L392))</f>
        <v/>
      </c>
      <c r="G392" s="5">
        <f>IF($L392="","",SUMIFS('Per Line'!$W$2:$W$2501,'Per Line'!$D$2:$D$2501,$B392))</f>
        <v/>
      </c>
      <c r="H392" s="5">
        <f>IF($L392="","",SUMIFS('Per Line'!$X$2:$X$2501,'Per Line'!$D$2:$D$2501,$B392))</f>
        <v/>
      </c>
      <c r="I392" s="5">
        <f>IF($L392="","",SUMIFS('Per Line'!$Y$2:$Y$2501,'Per Line'!$D$2:$D$2501,$B392))</f>
        <v/>
      </c>
      <c r="J392" s="5">
        <f>IF($L392="","",G392-H392)</f>
        <v/>
      </c>
      <c r="K392" s="5">
        <f>IF($L392="","",J392-I392)</f>
        <v/>
      </c>
      <c r="L392">
        <f>IF(ROWS($L$2:$L392)&lt;=MAX('Per Line'!$AD$2:$AD$2501),MATCH(ROWS($L$2:$L392),'Per Line'!$AD$2:$AD$2501,0),"")</f>
        <v/>
      </c>
      <c r="M392">
        <f>IF($L392="","",INDEX('Per Line'!$E$2:$E$2501,$L392))</f>
        <v/>
      </c>
    </row>
    <row r="393">
      <c r="A393">
        <f>IF($L393="","",INDEX('Per Line'!$C$2:$C$2501,$L393))</f>
        <v/>
      </c>
      <c r="B393">
        <f>IF($L393="","",INDEX('Per Line'!$D$2:$D$2501,$L393))</f>
        <v/>
      </c>
      <c r="C393">
        <f>IF($L393="","",INDEX('Per Line'!$A$2:$A$2501,$L393))</f>
        <v/>
      </c>
      <c r="F393">
        <f>IF($L393="","",INDEX('Per Line'!$U$2:$U$2501,$L393))</f>
        <v/>
      </c>
      <c r="G393" s="5">
        <f>IF($L393="","",SUMIFS('Per Line'!$W$2:$W$2501,'Per Line'!$D$2:$D$2501,$B393))</f>
        <v/>
      </c>
      <c r="H393" s="5">
        <f>IF($L393="","",SUMIFS('Per Line'!$X$2:$X$2501,'Per Line'!$D$2:$D$2501,$B393))</f>
        <v/>
      </c>
      <c r="I393" s="5">
        <f>IF($L393="","",SUMIFS('Per Line'!$Y$2:$Y$2501,'Per Line'!$D$2:$D$2501,$B393))</f>
        <v/>
      </c>
      <c r="J393" s="5">
        <f>IF($L393="","",G393-H393)</f>
        <v/>
      </c>
      <c r="K393" s="5">
        <f>IF($L393="","",J393-I393)</f>
        <v/>
      </c>
      <c r="L393">
        <f>IF(ROWS($L$2:$L393)&lt;=MAX('Per Line'!$AD$2:$AD$2501),MATCH(ROWS($L$2:$L393),'Per Line'!$AD$2:$AD$2501,0),"")</f>
        <v/>
      </c>
      <c r="M393">
        <f>IF($L393="","",INDEX('Per Line'!$E$2:$E$2501,$L393))</f>
        <v/>
      </c>
    </row>
    <row r="394">
      <c r="A394">
        <f>IF($L394="","",INDEX('Per Line'!$C$2:$C$2501,$L394))</f>
        <v/>
      </c>
      <c r="B394">
        <f>IF($L394="","",INDEX('Per Line'!$D$2:$D$2501,$L394))</f>
        <v/>
      </c>
      <c r="C394">
        <f>IF($L394="","",INDEX('Per Line'!$A$2:$A$2501,$L394))</f>
        <v/>
      </c>
      <c r="F394">
        <f>IF($L394="","",INDEX('Per Line'!$U$2:$U$2501,$L394))</f>
        <v/>
      </c>
      <c r="G394" s="5">
        <f>IF($L394="","",SUMIFS('Per Line'!$W$2:$W$2501,'Per Line'!$D$2:$D$2501,$B394))</f>
        <v/>
      </c>
      <c r="H394" s="5">
        <f>IF($L394="","",SUMIFS('Per Line'!$X$2:$X$2501,'Per Line'!$D$2:$D$2501,$B394))</f>
        <v/>
      </c>
      <c r="I394" s="5">
        <f>IF($L394="","",SUMIFS('Per Line'!$Y$2:$Y$2501,'Per Line'!$D$2:$D$2501,$B394))</f>
        <v/>
      </c>
      <c r="J394" s="5">
        <f>IF($L394="","",G394-H394)</f>
        <v/>
      </c>
      <c r="K394" s="5">
        <f>IF($L394="","",J394-I394)</f>
        <v/>
      </c>
      <c r="L394">
        <f>IF(ROWS($L$2:$L394)&lt;=MAX('Per Line'!$AD$2:$AD$2501),MATCH(ROWS($L$2:$L394),'Per Line'!$AD$2:$AD$2501,0),"")</f>
        <v/>
      </c>
      <c r="M394">
        <f>IF($L394="","",INDEX('Per Line'!$E$2:$E$2501,$L394))</f>
        <v/>
      </c>
    </row>
    <row r="395">
      <c r="A395">
        <f>IF($L395="","",INDEX('Per Line'!$C$2:$C$2501,$L395))</f>
        <v/>
      </c>
      <c r="B395">
        <f>IF($L395="","",INDEX('Per Line'!$D$2:$D$2501,$L395))</f>
        <v/>
      </c>
      <c r="C395">
        <f>IF($L395="","",INDEX('Per Line'!$A$2:$A$2501,$L395))</f>
        <v/>
      </c>
      <c r="F395">
        <f>IF($L395="","",INDEX('Per Line'!$U$2:$U$2501,$L395))</f>
        <v/>
      </c>
      <c r="G395" s="5">
        <f>IF($L395="","",SUMIFS('Per Line'!$W$2:$W$2501,'Per Line'!$D$2:$D$2501,$B395))</f>
        <v/>
      </c>
      <c r="H395" s="5">
        <f>IF($L395="","",SUMIFS('Per Line'!$X$2:$X$2501,'Per Line'!$D$2:$D$2501,$B395))</f>
        <v/>
      </c>
      <c r="I395" s="5">
        <f>IF($L395="","",SUMIFS('Per Line'!$Y$2:$Y$2501,'Per Line'!$D$2:$D$2501,$B395))</f>
        <v/>
      </c>
      <c r="J395" s="5">
        <f>IF($L395="","",G395-H395)</f>
        <v/>
      </c>
      <c r="K395" s="5">
        <f>IF($L395="","",J395-I395)</f>
        <v/>
      </c>
      <c r="L395">
        <f>IF(ROWS($L$2:$L395)&lt;=MAX('Per Line'!$AD$2:$AD$2501),MATCH(ROWS($L$2:$L395),'Per Line'!$AD$2:$AD$2501,0),"")</f>
        <v/>
      </c>
      <c r="M395">
        <f>IF($L395="","",INDEX('Per Line'!$E$2:$E$2501,$L395))</f>
        <v/>
      </c>
    </row>
    <row r="396">
      <c r="A396">
        <f>IF($L396="","",INDEX('Per Line'!$C$2:$C$2501,$L396))</f>
        <v/>
      </c>
      <c r="B396">
        <f>IF($L396="","",INDEX('Per Line'!$D$2:$D$2501,$L396))</f>
        <v/>
      </c>
      <c r="C396">
        <f>IF($L396="","",INDEX('Per Line'!$A$2:$A$2501,$L396))</f>
        <v/>
      </c>
      <c r="F396">
        <f>IF($L396="","",INDEX('Per Line'!$U$2:$U$2501,$L396))</f>
        <v/>
      </c>
      <c r="G396" s="5">
        <f>IF($L396="","",SUMIFS('Per Line'!$W$2:$W$2501,'Per Line'!$D$2:$D$2501,$B396))</f>
        <v/>
      </c>
      <c r="H396" s="5">
        <f>IF($L396="","",SUMIFS('Per Line'!$X$2:$X$2501,'Per Line'!$D$2:$D$2501,$B396))</f>
        <v/>
      </c>
      <c r="I396" s="5">
        <f>IF($L396="","",SUMIFS('Per Line'!$Y$2:$Y$2501,'Per Line'!$D$2:$D$2501,$B396))</f>
        <v/>
      </c>
      <c r="J396" s="5">
        <f>IF($L396="","",G396-H396)</f>
        <v/>
      </c>
      <c r="K396" s="5">
        <f>IF($L396="","",J396-I396)</f>
        <v/>
      </c>
      <c r="L396">
        <f>IF(ROWS($L$2:$L396)&lt;=MAX('Per Line'!$AD$2:$AD$2501),MATCH(ROWS($L$2:$L396),'Per Line'!$AD$2:$AD$2501,0),"")</f>
        <v/>
      </c>
      <c r="M396">
        <f>IF($L396="","",INDEX('Per Line'!$E$2:$E$2501,$L396))</f>
        <v/>
      </c>
    </row>
    <row r="397">
      <c r="A397">
        <f>IF($L397="","",INDEX('Per Line'!$C$2:$C$2501,$L397))</f>
        <v/>
      </c>
      <c r="B397">
        <f>IF($L397="","",INDEX('Per Line'!$D$2:$D$2501,$L397))</f>
        <v/>
      </c>
      <c r="C397">
        <f>IF($L397="","",INDEX('Per Line'!$A$2:$A$2501,$L397))</f>
        <v/>
      </c>
      <c r="F397">
        <f>IF($L397="","",INDEX('Per Line'!$U$2:$U$2501,$L397))</f>
        <v/>
      </c>
      <c r="G397" s="5">
        <f>IF($L397="","",SUMIFS('Per Line'!$W$2:$W$2501,'Per Line'!$D$2:$D$2501,$B397))</f>
        <v/>
      </c>
      <c r="H397" s="5">
        <f>IF($L397="","",SUMIFS('Per Line'!$X$2:$X$2501,'Per Line'!$D$2:$D$2501,$B397))</f>
        <v/>
      </c>
      <c r="I397" s="5">
        <f>IF($L397="","",SUMIFS('Per Line'!$Y$2:$Y$2501,'Per Line'!$D$2:$D$2501,$B397))</f>
        <v/>
      </c>
      <c r="J397" s="5">
        <f>IF($L397="","",G397-H397)</f>
        <v/>
      </c>
      <c r="K397" s="5">
        <f>IF($L397="","",J397-I397)</f>
        <v/>
      </c>
      <c r="L397">
        <f>IF(ROWS($L$2:$L397)&lt;=MAX('Per Line'!$AD$2:$AD$2501),MATCH(ROWS($L$2:$L397),'Per Line'!$AD$2:$AD$2501,0),"")</f>
        <v/>
      </c>
      <c r="M397">
        <f>IF($L397="","",INDEX('Per Line'!$E$2:$E$2501,$L397))</f>
        <v/>
      </c>
    </row>
    <row r="398">
      <c r="A398">
        <f>IF($L398="","",INDEX('Per Line'!$C$2:$C$2501,$L398))</f>
        <v/>
      </c>
      <c r="B398">
        <f>IF($L398="","",INDEX('Per Line'!$D$2:$D$2501,$L398))</f>
        <v/>
      </c>
      <c r="C398">
        <f>IF($L398="","",INDEX('Per Line'!$A$2:$A$2501,$L398))</f>
        <v/>
      </c>
      <c r="F398">
        <f>IF($L398="","",INDEX('Per Line'!$U$2:$U$2501,$L398))</f>
        <v/>
      </c>
      <c r="G398" s="5">
        <f>IF($L398="","",SUMIFS('Per Line'!$W$2:$W$2501,'Per Line'!$D$2:$D$2501,$B398))</f>
        <v/>
      </c>
      <c r="H398" s="5">
        <f>IF($L398="","",SUMIFS('Per Line'!$X$2:$X$2501,'Per Line'!$D$2:$D$2501,$B398))</f>
        <v/>
      </c>
      <c r="I398" s="5">
        <f>IF($L398="","",SUMIFS('Per Line'!$Y$2:$Y$2501,'Per Line'!$D$2:$D$2501,$B398))</f>
        <v/>
      </c>
      <c r="J398" s="5">
        <f>IF($L398="","",G398-H398)</f>
        <v/>
      </c>
      <c r="K398" s="5">
        <f>IF($L398="","",J398-I398)</f>
        <v/>
      </c>
      <c r="L398">
        <f>IF(ROWS($L$2:$L398)&lt;=MAX('Per Line'!$AD$2:$AD$2501),MATCH(ROWS($L$2:$L398),'Per Line'!$AD$2:$AD$2501,0),"")</f>
        <v/>
      </c>
      <c r="M398">
        <f>IF($L398="","",INDEX('Per Line'!$E$2:$E$2501,$L398))</f>
        <v/>
      </c>
    </row>
    <row r="399">
      <c r="A399">
        <f>IF($L399="","",INDEX('Per Line'!$C$2:$C$2501,$L399))</f>
        <v/>
      </c>
      <c r="B399">
        <f>IF($L399="","",INDEX('Per Line'!$D$2:$D$2501,$L399))</f>
        <v/>
      </c>
      <c r="C399">
        <f>IF($L399="","",INDEX('Per Line'!$A$2:$A$2501,$L399))</f>
        <v/>
      </c>
      <c r="F399">
        <f>IF($L399="","",INDEX('Per Line'!$U$2:$U$2501,$L399))</f>
        <v/>
      </c>
      <c r="G399" s="5">
        <f>IF($L399="","",SUMIFS('Per Line'!$W$2:$W$2501,'Per Line'!$D$2:$D$2501,$B399))</f>
        <v/>
      </c>
      <c r="H399" s="5">
        <f>IF($L399="","",SUMIFS('Per Line'!$X$2:$X$2501,'Per Line'!$D$2:$D$2501,$B399))</f>
        <v/>
      </c>
      <c r="I399" s="5">
        <f>IF($L399="","",SUMIFS('Per Line'!$Y$2:$Y$2501,'Per Line'!$D$2:$D$2501,$B399))</f>
        <v/>
      </c>
      <c r="J399" s="5">
        <f>IF($L399="","",G399-H399)</f>
        <v/>
      </c>
      <c r="K399" s="5">
        <f>IF($L399="","",J399-I399)</f>
        <v/>
      </c>
      <c r="L399">
        <f>IF(ROWS($L$2:$L399)&lt;=MAX('Per Line'!$AD$2:$AD$2501),MATCH(ROWS($L$2:$L399),'Per Line'!$AD$2:$AD$2501,0),"")</f>
        <v/>
      </c>
      <c r="M399">
        <f>IF($L399="","",INDEX('Per Line'!$E$2:$E$2501,$L399))</f>
        <v/>
      </c>
    </row>
    <row r="400">
      <c r="A400">
        <f>IF($L400="","",INDEX('Per Line'!$C$2:$C$2501,$L400))</f>
        <v/>
      </c>
      <c r="B400">
        <f>IF($L400="","",INDEX('Per Line'!$D$2:$D$2501,$L400))</f>
        <v/>
      </c>
      <c r="C400">
        <f>IF($L400="","",INDEX('Per Line'!$A$2:$A$2501,$L400))</f>
        <v/>
      </c>
      <c r="F400">
        <f>IF($L400="","",INDEX('Per Line'!$U$2:$U$2501,$L400))</f>
        <v/>
      </c>
      <c r="G400" s="5">
        <f>IF($L400="","",SUMIFS('Per Line'!$W$2:$W$2501,'Per Line'!$D$2:$D$2501,$B400))</f>
        <v/>
      </c>
      <c r="H400" s="5">
        <f>IF($L400="","",SUMIFS('Per Line'!$X$2:$X$2501,'Per Line'!$D$2:$D$2501,$B400))</f>
        <v/>
      </c>
      <c r="I400" s="5">
        <f>IF($L400="","",SUMIFS('Per Line'!$Y$2:$Y$2501,'Per Line'!$D$2:$D$2501,$B400))</f>
        <v/>
      </c>
      <c r="J400" s="5">
        <f>IF($L400="","",G400-H400)</f>
        <v/>
      </c>
      <c r="K400" s="5">
        <f>IF($L400="","",J400-I400)</f>
        <v/>
      </c>
      <c r="L400">
        <f>IF(ROWS($L$2:$L400)&lt;=MAX('Per Line'!$AD$2:$AD$2501),MATCH(ROWS($L$2:$L400),'Per Line'!$AD$2:$AD$2501,0),"")</f>
        <v/>
      </c>
      <c r="M400">
        <f>IF($L400="","",INDEX('Per Line'!$E$2:$E$2501,$L400))</f>
        <v/>
      </c>
    </row>
    <row r="401">
      <c r="A401">
        <f>IF($L401="","",INDEX('Per Line'!$C$2:$C$2501,$L401))</f>
        <v/>
      </c>
      <c r="B401">
        <f>IF($L401="","",INDEX('Per Line'!$D$2:$D$2501,$L401))</f>
        <v/>
      </c>
      <c r="C401">
        <f>IF($L401="","",INDEX('Per Line'!$A$2:$A$2501,$L401))</f>
        <v/>
      </c>
      <c r="F401">
        <f>IF($L401="","",INDEX('Per Line'!$U$2:$U$2501,$L401))</f>
        <v/>
      </c>
      <c r="G401" s="5">
        <f>IF($L401="","",SUMIFS('Per Line'!$W$2:$W$2501,'Per Line'!$D$2:$D$2501,$B401))</f>
        <v/>
      </c>
      <c r="H401" s="5">
        <f>IF($L401="","",SUMIFS('Per Line'!$X$2:$X$2501,'Per Line'!$D$2:$D$2501,$B401))</f>
        <v/>
      </c>
      <c r="I401" s="5">
        <f>IF($L401="","",SUMIFS('Per Line'!$Y$2:$Y$2501,'Per Line'!$D$2:$D$2501,$B401))</f>
        <v/>
      </c>
      <c r="J401" s="5">
        <f>IF($L401="","",G401-H401)</f>
        <v/>
      </c>
      <c r="K401" s="5">
        <f>IF($L401="","",J401-I401)</f>
        <v/>
      </c>
      <c r="L401">
        <f>IF(ROWS($L$2:$L401)&lt;=MAX('Per Line'!$AD$2:$AD$2501),MATCH(ROWS($L$2:$L401),'Per Line'!$AD$2:$AD$2501,0),"")</f>
        <v/>
      </c>
      <c r="M401">
        <f>IF($L401="","",INDEX('Per Line'!$E$2:$E$2501,$L401))</f>
        <v/>
      </c>
    </row>
    <row r="402">
      <c r="A402">
        <f>IF($L402="","",INDEX('Per Line'!$C$2:$C$2501,$L402))</f>
        <v/>
      </c>
      <c r="B402">
        <f>IF($L402="","",INDEX('Per Line'!$D$2:$D$2501,$L402))</f>
        <v/>
      </c>
      <c r="C402">
        <f>IF($L402="","",INDEX('Per Line'!$A$2:$A$2501,$L402))</f>
        <v/>
      </c>
      <c r="F402">
        <f>IF($L402="","",INDEX('Per Line'!$U$2:$U$2501,$L402))</f>
        <v/>
      </c>
      <c r="G402" s="5">
        <f>IF($L402="","",SUMIFS('Per Line'!$W$2:$W$2501,'Per Line'!$D$2:$D$2501,$B402))</f>
        <v/>
      </c>
      <c r="H402" s="5">
        <f>IF($L402="","",SUMIFS('Per Line'!$X$2:$X$2501,'Per Line'!$D$2:$D$2501,$B402))</f>
        <v/>
      </c>
      <c r="I402" s="5">
        <f>IF($L402="","",SUMIFS('Per Line'!$Y$2:$Y$2501,'Per Line'!$D$2:$D$2501,$B402))</f>
        <v/>
      </c>
      <c r="J402" s="5">
        <f>IF($L402="","",G402-H402)</f>
        <v/>
      </c>
      <c r="K402" s="5">
        <f>IF($L402="","",J402-I402)</f>
        <v/>
      </c>
      <c r="L402">
        <f>IF(ROWS($L$2:$L402)&lt;=MAX('Per Line'!$AD$2:$AD$2501),MATCH(ROWS($L$2:$L402),'Per Line'!$AD$2:$AD$2501,0),"")</f>
        <v/>
      </c>
      <c r="M402">
        <f>IF($L402="","",INDEX('Per Line'!$E$2:$E$2501,$L402))</f>
        <v/>
      </c>
    </row>
    <row r="403">
      <c r="A403">
        <f>IF($L403="","",INDEX('Per Line'!$C$2:$C$2501,$L403))</f>
        <v/>
      </c>
      <c r="B403">
        <f>IF($L403="","",INDEX('Per Line'!$D$2:$D$2501,$L403))</f>
        <v/>
      </c>
      <c r="C403">
        <f>IF($L403="","",INDEX('Per Line'!$A$2:$A$2501,$L403))</f>
        <v/>
      </c>
      <c r="F403">
        <f>IF($L403="","",INDEX('Per Line'!$U$2:$U$2501,$L403))</f>
        <v/>
      </c>
      <c r="G403" s="5">
        <f>IF($L403="","",SUMIFS('Per Line'!$W$2:$W$2501,'Per Line'!$D$2:$D$2501,$B403))</f>
        <v/>
      </c>
      <c r="H403" s="5">
        <f>IF($L403="","",SUMIFS('Per Line'!$X$2:$X$2501,'Per Line'!$D$2:$D$2501,$B403))</f>
        <v/>
      </c>
      <c r="I403" s="5">
        <f>IF($L403="","",SUMIFS('Per Line'!$Y$2:$Y$2501,'Per Line'!$D$2:$D$2501,$B403))</f>
        <v/>
      </c>
      <c r="J403" s="5">
        <f>IF($L403="","",G403-H403)</f>
        <v/>
      </c>
      <c r="K403" s="5">
        <f>IF($L403="","",J403-I403)</f>
        <v/>
      </c>
      <c r="L403">
        <f>IF(ROWS($L$2:$L403)&lt;=MAX('Per Line'!$AD$2:$AD$2501),MATCH(ROWS($L$2:$L403),'Per Line'!$AD$2:$AD$2501,0),"")</f>
        <v/>
      </c>
      <c r="M403">
        <f>IF($L403="","",INDEX('Per Line'!$E$2:$E$2501,$L403))</f>
        <v/>
      </c>
    </row>
    <row r="404">
      <c r="A404">
        <f>IF($L404="","",INDEX('Per Line'!$C$2:$C$2501,$L404))</f>
        <v/>
      </c>
      <c r="B404">
        <f>IF($L404="","",INDEX('Per Line'!$D$2:$D$2501,$L404))</f>
        <v/>
      </c>
      <c r="C404">
        <f>IF($L404="","",INDEX('Per Line'!$A$2:$A$2501,$L404))</f>
        <v/>
      </c>
      <c r="F404">
        <f>IF($L404="","",INDEX('Per Line'!$U$2:$U$2501,$L404))</f>
        <v/>
      </c>
      <c r="G404" s="5">
        <f>IF($L404="","",SUMIFS('Per Line'!$W$2:$W$2501,'Per Line'!$D$2:$D$2501,$B404))</f>
        <v/>
      </c>
      <c r="H404" s="5">
        <f>IF($L404="","",SUMIFS('Per Line'!$X$2:$X$2501,'Per Line'!$D$2:$D$2501,$B404))</f>
        <v/>
      </c>
      <c r="I404" s="5">
        <f>IF($L404="","",SUMIFS('Per Line'!$Y$2:$Y$2501,'Per Line'!$D$2:$D$2501,$B404))</f>
        <v/>
      </c>
      <c r="J404" s="5">
        <f>IF($L404="","",G404-H404)</f>
        <v/>
      </c>
      <c r="K404" s="5">
        <f>IF($L404="","",J404-I404)</f>
        <v/>
      </c>
      <c r="L404">
        <f>IF(ROWS($L$2:$L404)&lt;=MAX('Per Line'!$AD$2:$AD$2501),MATCH(ROWS($L$2:$L404),'Per Line'!$AD$2:$AD$2501,0),"")</f>
        <v/>
      </c>
      <c r="M404">
        <f>IF($L404="","",INDEX('Per Line'!$E$2:$E$2501,$L404))</f>
        <v/>
      </c>
    </row>
    <row r="405">
      <c r="A405">
        <f>IF($L405="","",INDEX('Per Line'!$C$2:$C$2501,$L405))</f>
        <v/>
      </c>
      <c r="B405">
        <f>IF($L405="","",INDEX('Per Line'!$D$2:$D$2501,$L405))</f>
        <v/>
      </c>
      <c r="C405">
        <f>IF($L405="","",INDEX('Per Line'!$A$2:$A$2501,$L405))</f>
        <v/>
      </c>
      <c r="F405">
        <f>IF($L405="","",INDEX('Per Line'!$U$2:$U$2501,$L405))</f>
        <v/>
      </c>
      <c r="G405" s="5">
        <f>IF($L405="","",SUMIFS('Per Line'!$W$2:$W$2501,'Per Line'!$D$2:$D$2501,$B405))</f>
        <v/>
      </c>
      <c r="H405" s="5">
        <f>IF($L405="","",SUMIFS('Per Line'!$X$2:$X$2501,'Per Line'!$D$2:$D$2501,$B405))</f>
        <v/>
      </c>
      <c r="I405" s="5">
        <f>IF($L405="","",SUMIFS('Per Line'!$Y$2:$Y$2501,'Per Line'!$D$2:$D$2501,$B405))</f>
        <v/>
      </c>
      <c r="J405" s="5">
        <f>IF($L405="","",G405-H405)</f>
        <v/>
      </c>
      <c r="K405" s="5">
        <f>IF($L405="","",J405-I405)</f>
        <v/>
      </c>
      <c r="L405">
        <f>IF(ROWS($L$2:$L405)&lt;=MAX('Per Line'!$AD$2:$AD$2501),MATCH(ROWS($L$2:$L405),'Per Line'!$AD$2:$AD$2501,0),"")</f>
        <v/>
      </c>
      <c r="M405">
        <f>IF($L405="","",INDEX('Per Line'!$E$2:$E$2501,$L405))</f>
        <v/>
      </c>
    </row>
    <row r="406">
      <c r="A406">
        <f>IF($L406="","",INDEX('Per Line'!$C$2:$C$2501,$L406))</f>
        <v/>
      </c>
      <c r="B406">
        <f>IF($L406="","",INDEX('Per Line'!$D$2:$D$2501,$L406))</f>
        <v/>
      </c>
      <c r="C406">
        <f>IF($L406="","",INDEX('Per Line'!$A$2:$A$2501,$L406))</f>
        <v/>
      </c>
      <c r="F406">
        <f>IF($L406="","",INDEX('Per Line'!$U$2:$U$2501,$L406))</f>
        <v/>
      </c>
      <c r="G406" s="5">
        <f>IF($L406="","",SUMIFS('Per Line'!$W$2:$W$2501,'Per Line'!$D$2:$D$2501,$B406))</f>
        <v/>
      </c>
      <c r="H406" s="5">
        <f>IF($L406="","",SUMIFS('Per Line'!$X$2:$X$2501,'Per Line'!$D$2:$D$2501,$B406))</f>
        <v/>
      </c>
      <c r="I406" s="5">
        <f>IF($L406="","",SUMIFS('Per Line'!$Y$2:$Y$2501,'Per Line'!$D$2:$D$2501,$B406))</f>
        <v/>
      </c>
      <c r="J406" s="5">
        <f>IF($L406="","",G406-H406)</f>
        <v/>
      </c>
      <c r="K406" s="5">
        <f>IF($L406="","",J406-I406)</f>
        <v/>
      </c>
      <c r="L406">
        <f>IF(ROWS($L$2:$L406)&lt;=MAX('Per Line'!$AD$2:$AD$2501),MATCH(ROWS($L$2:$L406),'Per Line'!$AD$2:$AD$2501,0),"")</f>
        <v/>
      </c>
      <c r="M406">
        <f>IF($L406="","",INDEX('Per Line'!$E$2:$E$2501,$L406))</f>
        <v/>
      </c>
    </row>
    <row r="407">
      <c r="A407">
        <f>IF($L407="","",INDEX('Per Line'!$C$2:$C$2501,$L407))</f>
        <v/>
      </c>
      <c r="B407">
        <f>IF($L407="","",INDEX('Per Line'!$D$2:$D$2501,$L407))</f>
        <v/>
      </c>
      <c r="C407">
        <f>IF($L407="","",INDEX('Per Line'!$A$2:$A$2501,$L407))</f>
        <v/>
      </c>
      <c r="F407">
        <f>IF($L407="","",INDEX('Per Line'!$U$2:$U$2501,$L407))</f>
        <v/>
      </c>
      <c r="G407" s="5">
        <f>IF($L407="","",SUMIFS('Per Line'!$W$2:$W$2501,'Per Line'!$D$2:$D$2501,$B407))</f>
        <v/>
      </c>
      <c r="H407" s="5">
        <f>IF($L407="","",SUMIFS('Per Line'!$X$2:$X$2501,'Per Line'!$D$2:$D$2501,$B407))</f>
        <v/>
      </c>
      <c r="I407" s="5">
        <f>IF($L407="","",SUMIFS('Per Line'!$Y$2:$Y$2501,'Per Line'!$D$2:$D$2501,$B407))</f>
        <v/>
      </c>
      <c r="J407" s="5">
        <f>IF($L407="","",G407-H407)</f>
        <v/>
      </c>
      <c r="K407" s="5">
        <f>IF($L407="","",J407-I407)</f>
        <v/>
      </c>
      <c r="L407">
        <f>IF(ROWS($L$2:$L407)&lt;=MAX('Per Line'!$AD$2:$AD$2501),MATCH(ROWS($L$2:$L407),'Per Line'!$AD$2:$AD$2501,0),"")</f>
        <v/>
      </c>
      <c r="M407">
        <f>IF($L407="","",INDEX('Per Line'!$E$2:$E$2501,$L407))</f>
        <v/>
      </c>
    </row>
    <row r="408">
      <c r="A408">
        <f>IF($L408="","",INDEX('Per Line'!$C$2:$C$2501,$L408))</f>
        <v/>
      </c>
      <c r="B408">
        <f>IF($L408="","",INDEX('Per Line'!$D$2:$D$2501,$L408))</f>
        <v/>
      </c>
      <c r="C408">
        <f>IF($L408="","",INDEX('Per Line'!$A$2:$A$2501,$L408))</f>
        <v/>
      </c>
      <c r="F408">
        <f>IF($L408="","",INDEX('Per Line'!$U$2:$U$2501,$L408))</f>
        <v/>
      </c>
      <c r="G408" s="5">
        <f>IF($L408="","",SUMIFS('Per Line'!$W$2:$W$2501,'Per Line'!$D$2:$D$2501,$B408))</f>
        <v/>
      </c>
      <c r="H408" s="5">
        <f>IF($L408="","",SUMIFS('Per Line'!$X$2:$X$2501,'Per Line'!$D$2:$D$2501,$B408))</f>
        <v/>
      </c>
      <c r="I408" s="5">
        <f>IF($L408="","",SUMIFS('Per Line'!$Y$2:$Y$2501,'Per Line'!$D$2:$D$2501,$B408))</f>
        <v/>
      </c>
      <c r="J408" s="5">
        <f>IF($L408="","",G408-H408)</f>
        <v/>
      </c>
      <c r="K408" s="5">
        <f>IF($L408="","",J408-I408)</f>
        <v/>
      </c>
      <c r="L408">
        <f>IF(ROWS($L$2:$L408)&lt;=MAX('Per Line'!$AD$2:$AD$2501),MATCH(ROWS($L$2:$L408),'Per Line'!$AD$2:$AD$2501,0),"")</f>
        <v/>
      </c>
      <c r="M408">
        <f>IF($L408="","",INDEX('Per Line'!$E$2:$E$2501,$L408))</f>
        <v/>
      </c>
    </row>
    <row r="409">
      <c r="A409">
        <f>IF($L409="","",INDEX('Per Line'!$C$2:$C$2501,$L409))</f>
        <v/>
      </c>
      <c r="B409">
        <f>IF($L409="","",INDEX('Per Line'!$D$2:$D$2501,$L409))</f>
        <v/>
      </c>
      <c r="C409">
        <f>IF($L409="","",INDEX('Per Line'!$A$2:$A$2501,$L409))</f>
        <v/>
      </c>
      <c r="F409">
        <f>IF($L409="","",INDEX('Per Line'!$U$2:$U$2501,$L409))</f>
        <v/>
      </c>
      <c r="G409" s="5">
        <f>IF($L409="","",SUMIFS('Per Line'!$W$2:$W$2501,'Per Line'!$D$2:$D$2501,$B409))</f>
        <v/>
      </c>
      <c r="H409" s="5">
        <f>IF($L409="","",SUMIFS('Per Line'!$X$2:$X$2501,'Per Line'!$D$2:$D$2501,$B409))</f>
        <v/>
      </c>
      <c r="I409" s="5">
        <f>IF($L409="","",SUMIFS('Per Line'!$Y$2:$Y$2501,'Per Line'!$D$2:$D$2501,$B409))</f>
        <v/>
      </c>
      <c r="J409" s="5">
        <f>IF($L409="","",G409-H409)</f>
        <v/>
      </c>
      <c r="K409" s="5">
        <f>IF($L409="","",J409-I409)</f>
        <v/>
      </c>
      <c r="L409">
        <f>IF(ROWS($L$2:$L409)&lt;=MAX('Per Line'!$AD$2:$AD$2501),MATCH(ROWS($L$2:$L409),'Per Line'!$AD$2:$AD$2501,0),"")</f>
        <v/>
      </c>
      <c r="M409">
        <f>IF($L409="","",INDEX('Per Line'!$E$2:$E$2501,$L409))</f>
        <v/>
      </c>
    </row>
    <row r="410">
      <c r="A410">
        <f>IF($L410="","",INDEX('Per Line'!$C$2:$C$2501,$L410))</f>
        <v/>
      </c>
      <c r="B410">
        <f>IF($L410="","",INDEX('Per Line'!$D$2:$D$2501,$L410))</f>
        <v/>
      </c>
      <c r="C410">
        <f>IF($L410="","",INDEX('Per Line'!$A$2:$A$2501,$L410))</f>
        <v/>
      </c>
      <c r="F410">
        <f>IF($L410="","",INDEX('Per Line'!$U$2:$U$2501,$L410))</f>
        <v/>
      </c>
      <c r="G410" s="5">
        <f>IF($L410="","",SUMIFS('Per Line'!$W$2:$W$2501,'Per Line'!$D$2:$D$2501,$B410))</f>
        <v/>
      </c>
      <c r="H410" s="5">
        <f>IF($L410="","",SUMIFS('Per Line'!$X$2:$X$2501,'Per Line'!$D$2:$D$2501,$B410))</f>
        <v/>
      </c>
      <c r="I410" s="5">
        <f>IF($L410="","",SUMIFS('Per Line'!$Y$2:$Y$2501,'Per Line'!$D$2:$D$2501,$B410))</f>
        <v/>
      </c>
      <c r="J410" s="5">
        <f>IF($L410="","",G410-H410)</f>
        <v/>
      </c>
      <c r="K410" s="5">
        <f>IF($L410="","",J410-I410)</f>
        <v/>
      </c>
      <c r="L410">
        <f>IF(ROWS($L$2:$L410)&lt;=MAX('Per Line'!$AD$2:$AD$2501),MATCH(ROWS($L$2:$L410),'Per Line'!$AD$2:$AD$2501,0),"")</f>
        <v/>
      </c>
      <c r="M410">
        <f>IF($L410="","",INDEX('Per Line'!$E$2:$E$2501,$L410))</f>
        <v/>
      </c>
    </row>
    <row r="411">
      <c r="A411">
        <f>IF($L411="","",INDEX('Per Line'!$C$2:$C$2501,$L411))</f>
        <v/>
      </c>
      <c r="B411">
        <f>IF($L411="","",INDEX('Per Line'!$D$2:$D$2501,$L411))</f>
        <v/>
      </c>
      <c r="C411">
        <f>IF($L411="","",INDEX('Per Line'!$A$2:$A$2501,$L411))</f>
        <v/>
      </c>
      <c r="F411">
        <f>IF($L411="","",INDEX('Per Line'!$U$2:$U$2501,$L411))</f>
        <v/>
      </c>
      <c r="G411" s="5">
        <f>IF($L411="","",SUMIFS('Per Line'!$W$2:$W$2501,'Per Line'!$D$2:$D$2501,$B411))</f>
        <v/>
      </c>
      <c r="H411" s="5">
        <f>IF($L411="","",SUMIFS('Per Line'!$X$2:$X$2501,'Per Line'!$D$2:$D$2501,$B411))</f>
        <v/>
      </c>
      <c r="I411" s="5">
        <f>IF($L411="","",SUMIFS('Per Line'!$Y$2:$Y$2501,'Per Line'!$D$2:$D$2501,$B411))</f>
        <v/>
      </c>
      <c r="J411" s="5">
        <f>IF($L411="","",G411-H411)</f>
        <v/>
      </c>
      <c r="K411" s="5">
        <f>IF($L411="","",J411-I411)</f>
        <v/>
      </c>
      <c r="L411">
        <f>IF(ROWS($L$2:$L411)&lt;=MAX('Per Line'!$AD$2:$AD$2501),MATCH(ROWS($L$2:$L411),'Per Line'!$AD$2:$AD$2501,0),"")</f>
        <v/>
      </c>
      <c r="M411">
        <f>IF($L411="","",INDEX('Per Line'!$E$2:$E$2501,$L411))</f>
        <v/>
      </c>
    </row>
    <row r="412">
      <c r="A412">
        <f>IF($L412="","",INDEX('Per Line'!$C$2:$C$2501,$L412))</f>
        <v/>
      </c>
      <c r="B412">
        <f>IF($L412="","",INDEX('Per Line'!$D$2:$D$2501,$L412))</f>
        <v/>
      </c>
      <c r="C412">
        <f>IF($L412="","",INDEX('Per Line'!$A$2:$A$2501,$L412))</f>
        <v/>
      </c>
      <c r="F412">
        <f>IF($L412="","",INDEX('Per Line'!$U$2:$U$2501,$L412))</f>
        <v/>
      </c>
      <c r="G412" s="5">
        <f>IF($L412="","",SUMIFS('Per Line'!$W$2:$W$2501,'Per Line'!$D$2:$D$2501,$B412))</f>
        <v/>
      </c>
      <c r="H412" s="5">
        <f>IF($L412="","",SUMIFS('Per Line'!$X$2:$X$2501,'Per Line'!$D$2:$D$2501,$B412))</f>
        <v/>
      </c>
      <c r="I412" s="5">
        <f>IF($L412="","",SUMIFS('Per Line'!$Y$2:$Y$2501,'Per Line'!$D$2:$D$2501,$B412))</f>
        <v/>
      </c>
      <c r="J412" s="5">
        <f>IF($L412="","",G412-H412)</f>
        <v/>
      </c>
      <c r="K412" s="5">
        <f>IF($L412="","",J412-I412)</f>
        <v/>
      </c>
      <c r="L412">
        <f>IF(ROWS($L$2:$L412)&lt;=MAX('Per Line'!$AD$2:$AD$2501),MATCH(ROWS($L$2:$L412),'Per Line'!$AD$2:$AD$2501,0),"")</f>
        <v/>
      </c>
      <c r="M412">
        <f>IF($L412="","",INDEX('Per Line'!$E$2:$E$2501,$L412))</f>
        <v/>
      </c>
    </row>
    <row r="413">
      <c r="A413">
        <f>IF($L413="","",INDEX('Per Line'!$C$2:$C$2501,$L413))</f>
        <v/>
      </c>
      <c r="B413">
        <f>IF($L413="","",INDEX('Per Line'!$D$2:$D$2501,$L413))</f>
        <v/>
      </c>
      <c r="C413">
        <f>IF($L413="","",INDEX('Per Line'!$A$2:$A$2501,$L413))</f>
        <v/>
      </c>
      <c r="F413">
        <f>IF($L413="","",INDEX('Per Line'!$U$2:$U$2501,$L413))</f>
        <v/>
      </c>
      <c r="G413" s="5">
        <f>IF($L413="","",SUMIFS('Per Line'!$W$2:$W$2501,'Per Line'!$D$2:$D$2501,$B413))</f>
        <v/>
      </c>
      <c r="H413" s="5">
        <f>IF($L413="","",SUMIFS('Per Line'!$X$2:$X$2501,'Per Line'!$D$2:$D$2501,$B413))</f>
        <v/>
      </c>
      <c r="I413" s="5">
        <f>IF($L413="","",SUMIFS('Per Line'!$Y$2:$Y$2501,'Per Line'!$D$2:$D$2501,$B413))</f>
        <v/>
      </c>
      <c r="J413" s="5">
        <f>IF($L413="","",G413-H413)</f>
        <v/>
      </c>
      <c r="K413" s="5">
        <f>IF($L413="","",J413-I413)</f>
        <v/>
      </c>
      <c r="L413">
        <f>IF(ROWS($L$2:$L413)&lt;=MAX('Per Line'!$AD$2:$AD$2501),MATCH(ROWS($L$2:$L413),'Per Line'!$AD$2:$AD$2501,0),"")</f>
        <v/>
      </c>
      <c r="M413">
        <f>IF($L413="","",INDEX('Per Line'!$E$2:$E$2501,$L413))</f>
        <v/>
      </c>
    </row>
    <row r="414">
      <c r="A414">
        <f>IF($L414="","",INDEX('Per Line'!$C$2:$C$2501,$L414))</f>
        <v/>
      </c>
      <c r="B414">
        <f>IF($L414="","",INDEX('Per Line'!$D$2:$D$2501,$L414))</f>
        <v/>
      </c>
      <c r="C414">
        <f>IF($L414="","",INDEX('Per Line'!$A$2:$A$2501,$L414))</f>
        <v/>
      </c>
      <c r="F414">
        <f>IF($L414="","",INDEX('Per Line'!$U$2:$U$2501,$L414))</f>
        <v/>
      </c>
      <c r="G414" s="5">
        <f>IF($L414="","",SUMIFS('Per Line'!$W$2:$W$2501,'Per Line'!$D$2:$D$2501,$B414))</f>
        <v/>
      </c>
      <c r="H414" s="5">
        <f>IF($L414="","",SUMIFS('Per Line'!$X$2:$X$2501,'Per Line'!$D$2:$D$2501,$B414))</f>
        <v/>
      </c>
      <c r="I414" s="5">
        <f>IF($L414="","",SUMIFS('Per Line'!$Y$2:$Y$2501,'Per Line'!$D$2:$D$2501,$B414))</f>
        <v/>
      </c>
      <c r="J414" s="5">
        <f>IF($L414="","",G414-H414)</f>
        <v/>
      </c>
      <c r="K414" s="5">
        <f>IF($L414="","",J414-I414)</f>
        <v/>
      </c>
      <c r="L414">
        <f>IF(ROWS($L$2:$L414)&lt;=MAX('Per Line'!$AD$2:$AD$2501),MATCH(ROWS($L$2:$L414),'Per Line'!$AD$2:$AD$2501,0),"")</f>
        <v/>
      </c>
      <c r="M414">
        <f>IF($L414="","",INDEX('Per Line'!$E$2:$E$2501,$L414))</f>
        <v/>
      </c>
    </row>
    <row r="415">
      <c r="A415">
        <f>IF($L415="","",INDEX('Per Line'!$C$2:$C$2501,$L415))</f>
        <v/>
      </c>
      <c r="B415">
        <f>IF($L415="","",INDEX('Per Line'!$D$2:$D$2501,$L415))</f>
        <v/>
      </c>
      <c r="C415">
        <f>IF($L415="","",INDEX('Per Line'!$A$2:$A$2501,$L415))</f>
        <v/>
      </c>
      <c r="F415">
        <f>IF($L415="","",INDEX('Per Line'!$U$2:$U$2501,$L415))</f>
        <v/>
      </c>
      <c r="G415" s="5">
        <f>IF($L415="","",SUMIFS('Per Line'!$W$2:$W$2501,'Per Line'!$D$2:$D$2501,$B415))</f>
        <v/>
      </c>
      <c r="H415" s="5">
        <f>IF($L415="","",SUMIFS('Per Line'!$X$2:$X$2501,'Per Line'!$D$2:$D$2501,$B415))</f>
        <v/>
      </c>
      <c r="I415" s="5">
        <f>IF($L415="","",SUMIFS('Per Line'!$Y$2:$Y$2501,'Per Line'!$D$2:$D$2501,$B415))</f>
        <v/>
      </c>
      <c r="J415" s="5">
        <f>IF($L415="","",G415-H415)</f>
        <v/>
      </c>
      <c r="K415" s="5">
        <f>IF($L415="","",J415-I415)</f>
        <v/>
      </c>
      <c r="L415">
        <f>IF(ROWS($L$2:$L415)&lt;=MAX('Per Line'!$AD$2:$AD$2501),MATCH(ROWS($L$2:$L415),'Per Line'!$AD$2:$AD$2501,0),"")</f>
        <v/>
      </c>
      <c r="M415">
        <f>IF($L415="","",INDEX('Per Line'!$E$2:$E$2501,$L415))</f>
        <v/>
      </c>
    </row>
    <row r="416">
      <c r="A416">
        <f>IF($L416="","",INDEX('Per Line'!$C$2:$C$2501,$L416))</f>
        <v/>
      </c>
      <c r="B416">
        <f>IF($L416="","",INDEX('Per Line'!$D$2:$D$2501,$L416))</f>
        <v/>
      </c>
      <c r="C416">
        <f>IF($L416="","",INDEX('Per Line'!$A$2:$A$2501,$L416))</f>
        <v/>
      </c>
      <c r="F416">
        <f>IF($L416="","",INDEX('Per Line'!$U$2:$U$2501,$L416))</f>
        <v/>
      </c>
      <c r="G416" s="5">
        <f>IF($L416="","",SUMIFS('Per Line'!$W$2:$W$2501,'Per Line'!$D$2:$D$2501,$B416))</f>
        <v/>
      </c>
      <c r="H416" s="5">
        <f>IF($L416="","",SUMIFS('Per Line'!$X$2:$X$2501,'Per Line'!$D$2:$D$2501,$B416))</f>
        <v/>
      </c>
      <c r="I416" s="5">
        <f>IF($L416="","",SUMIFS('Per Line'!$Y$2:$Y$2501,'Per Line'!$D$2:$D$2501,$B416))</f>
        <v/>
      </c>
      <c r="J416" s="5">
        <f>IF($L416="","",G416-H416)</f>
        <v/>
      </c>
      <c r="K416" s="5">
        <f>IF($L416="","",J416-I416)</f>
        <v/>
      </c>
      <c r="L416">
        <f>IF(ROWS($L$2:$L416)&lt;=MAX('Per Line'!$AD$2:$AD$2501),MATCH(ROWS($L$2:$L416),'Per Line'!$AD$2:$AD$2501,0),"")</f>
        <v/>
      </c>
      <c r="M416">
        <f>IF($L416="","",INDEX('Per Line'!$E$2:$E$2501,$L416))</f>
        <v/>
      </c>
    </row>
    <row r="417">
      <c r="A417">
        <f>IF($L417="","",INDEX('Per Line'!$C$2:$C$2501,$L417))</f>
        <v/>
      </c>
      <c r="B417">
        <f>IF($L417="","",INDEX('Per Line'!$D$2:$D$2501,$L417))</f>
        <v/>
      </c>
      <c r="C417">
        <f>IF($L417="","",INDEX('Per Line'!$A$2:$A$2501,$L417))</f>
        <v/>
      </c>
      <c r="F417">
        <f>IF($L417="","",INDEX('Per Line'!$U$2:$U$2501,$L417))</f>
        <v/>
      </c>
      <c r="G417" s="5">
        <f>IF($L417="","",SUMIFS('Per Line'!$W$2:$W$2501,'Per Line'!$D$2:$D$2501,$B417))</f>
        <v/>
      </c>
      <c r="H417" s="5">
        <f>IF($L417="","",SUMIFS('Per Line'!$X$2:$X$2501,'Per Line'!$D$2:$D$2501,$B417))</f>
        <v/>
      </c>
      <c r="I417" s="5">
        <f>IF($L417="","",SUMIFS('Per Line'!$Y$2:$Y$2501,'Per Line'!$D$2:$D$2501,$B417))</f>
        <v/>
      </c>
      <c r="J417" s="5">
        <f>IF($L417="","",G417-H417)</f>
        <v/>
      </c>
      <c r="K417" s="5">
        <f>IF($L417="","",J417-I417)</f>
        <v/>
      </c>
      <c r="L417">
        <f>IF(ROWS($L$2:$L417)&lt;=MAX('Per Line'!$AD$2:$AD$2501),MATCH(ROWS($L$2:$L417),'Per Line'!$AD$2:$AD$2501,0),"")</f>
        <v/>
      </c>
      <c r="M417">
        <f>IF($L417="","",INDEX('Per Line'!$E$2:$E$2501,$L417))</f>
        <v/>
      </c>
    </row>
    <row r="418">
      <c r="A418">
        <f>IF($L418="","",INDEX('Per Line'!$C$2:$C$2501,$L418))</f>
        <v/>
      </c>
      <c r="B418">
        <f>IF($L418="","",INDEX('Per Line'!$D$2:$D$2501,$L418))</f>
        <v/>
      </c>
      <c r="C418">
        <f>IF($L418="","",INDEX('Per Line'!$A$2:$A$2501,$L418))</f>
        <v/>
      </c>
      <c r="F418">
        <f>IF($L418="","",INDEX('Per Line'!$U$2:$U$2501,$L418))</f>
        <v/>
      </c>
      <c r="G418" s="5">
        <f>IF($L418="","",SUMIFS('Per Line'!$W$2:$W$2501,'Per Line'!$D$2:$D$2501,$B418))</f>
        <v/>
      </c>
      <c r="H418" s="5">
        <f>IF($L418="","",SUMIFS('Per Line'!$X$2:$X$2501,'Per Line'!$D$2:$D$2501,$B418))</f>
        <v/>
      </c>
      <c r="I418" s="5">
        <f>IF($L418="","",SUMIFS('Per Line'!$Y$2:$Y$2501,'Per Line'!$D$2:$D$2501,$B418))</f>
        <v/>
      </c>
      <c r="J418" s="5">
        <f>IF($L418="","",G418-H418)</f>
        <v/>
      </c>
      <c r="K418" s="5">
        <f>IF($L418="","",J418-I418)</f>
        <v/>
      </c>
      <c r="L418">
        <f>IF(ROWS($L$2:$L418)&lt;=MAX('Per Line'!$AD$2:$AD$2501),MATCH(ROWS($L$2:$L418),'Per Line'!$AD$2:$AD$2501,0),"")</f>
        <v/>
      </c>
      <c r="M418">
        <f>IF($L418="","",INDEX('Per Line'!$E$2:$E$2501,$L418))</f>
        <v/>
      </c>
    </row>
    <row r="419">
      <c r="A419">
        <f>IF($L419="","",INDEX('Per Line'!$C$2:$C$2501,$L419))</f>
        <v/>
      </c>
      <c r="B419">
        <f>IF($L419="","",INDEX('Per Line'!$D$2:$D$2501,$L419))</f>
        <v/>
      </c>
      <c r="C419">
        <f>IF($L419="","",INDEX('Per Line'!$A$2:$A$2501,$L419))</f>
        <v/>
      </c>
      <c r="F419">
        <f>IF($L419="","",INDEX('Per Line'!$U$2:$U$2501,$L419))</f>
        <v/>
      </c>
      <c r="G419" s="5">
        <f>IF($L419="","",SUMIFS('Per Line'!$W$2:$W$2501,'Per Line'!$D$2:$D$2501,$B419))</f>
        <v/>
      </c>
      <c r="H419" s="5">
        <f>IF($L419="","",SUMIFS('Per Line'!$X$2:$X$2501,'Per Line'!$D$2:$D$2501,$B419))</f>
        <v/>
      </c>
      <c r="I419" s="5">
        <f>IF($L419="","",SUMIFS('Per Line'!$Y$2:$Y$2501,'Per Line'!$D$2:$D$2501,$B419))</f>
        <v/>
      </c>
      <c r="J419" s="5">
        <f>IF($L419="","",G419-H419)</f>
        <v/>
      </c>
      <c r="K419" s="5">
        <f>IF($L419="","",J419-I419)</f>
        <v/>
      </c>
      <c r="L419">
        <f>IF(ROWS($L$2:$L419)&lt;=MAX('Per Line'!$AD$2:$AD$2501),MATCH(ROWS($L$2:$L419),'Per Line'!$AD$2:$AD$2501,0),"")</f>
        <v/>
      </c>
      <c r="M419">
        <f>IF($L419="","",INDEX('Per Line'!$E$2:$E$2501,$L419))</f>
        <v/>
      </c>
    </row>
    <row r="420">
      <c r="A420">
        <f>IF($L420="","",INDEX('Per Line'!$C$2:$C$2501,$L420))</f>
        <v/>
      </c>
      <c r="B420">
        <f>IF($L420="","",INDEX('Per Line'!$D$2:$D$2501,$L420))</f>
        <v/>
      </c>
      <c r="C420">
        <f>IF($L420="","",INDEX('Per Line'!$A$2:$A$2501,$L420))</f>
        <v/>
      </c>
      <c r="F420">
        <f>IF($L420="","",INDEX('Per Line'!$U$2:$U$2501,$L420))</f>
        <v/>
      </c>
      <c r="G420" s="5">
        <f>IF($L420="","",SUMIFS('Per Line'!$W$2:$W$2501,'Per Line'!$D$2:$D$2501,$B420))</f>
        <v/>
      </c>
      <c r="H420" s="5">
        <f>IF($L420="","",SUMIFS('Per Line'!$X$2:$X$2501,'Per Line'!$D$2:$D$2501,$B420))</f>
        <v/>
      </c>
      <c r="I420" s="5">
        <f>IF($L420="","",SUMIFS('Per Line'!$Y$2:$Y$2501,'Per Line'!$D$2:$D$2501,$B420))</f>
        <v/>
      </c>
      <c r="J420" s="5">
        <f>IF($L420="","",G420-H420)</f>
        <v/>
      </c>
      <c r="K420" s="5">
        <f>IF($L420="","",J420-I420)</f>
        <v/>
      </c>
      <c r="L420">
        <f>IF(ROWS($L$2:$L420)&lt;=MAX('Per Line'!$AD$2:$AD$2501),MATCH(ROWS($L$2:$L420),'Per Line'!$AD$2:$AD$2501,0),"")</f>
        <v/>
      </c>
      <c r="M420">
        <f>IF($L420="","",INDEX('Per Line'!$E$2:$E$2501,$L420))</f>
        <v/>
      </c>
    </row>
    <row r="421">
      <c r="A421">
        <f>IF($L421="","",INDEX('Per Line'!$C$2:$C$2501,$L421))</f>
        <v/>
      </c>
      <c r="B421">
        <f>IF($L421="","",INDEX('Per Line'!$D$2:$D$2501,$L421))</f>
        <v/>
      </c>
      <c r="C421">
        <f>IF($L421="","",INDEX('Per Line'!$A$2:$A$2501,$L421))</f>
        <v/>
      </c>
      <c r="F421">
        <f>IF($L421="","",INDEX('Per Line'!$U$2:$U$2501,$L421))</f>
        <v/>
      </c>
      <c r="G421" s="5">
        <f>IF($L421="","",SUMIFS('Per Line'!$W$2:$W$2501,'Per Line'!$D$2:$D$2501,$B421))</f>
        <v/>
      </c>
      <c r="H421" s="5">
        <f>IF($L421="","",SUMIFS('Per Line'!$X$2:$X$2501,'Per Line'!$D$2:$D$2501,$B421))</f>
        <v/>
      </c>
      <c r="I421" s="5">
        <f>IF($L421="","",SUMIFS('Per Line'!$Y$2:$Y$2501,'Per Line'!$D$2:$D$2501,$B421))</f>
        <v/>
      </c>
      <c r="J421" s="5">
        <f>IF($L421="","",G421-H421)</f>
        <v/>
      </c>
      <c r="K421" s="5">
        <f>IF($L421="","",J421-I421)</f>
        <v/>
      </c>
      <c r="L421">
        <f>IF(ROWS($L$2:$L421)&lt;=MAX('Per Line'!$AD$2:$AD$2501),MATCH(ROWS($L$2:$L421),'Per Line'!$AD$2:$AD$2501,0),"")</f>
        <v/>
      </c>
      <c r="M421">
        <f>IF($L421="","",INDEX('Per Line'!$E$2:$E$2501,$L421))</f>
        <v/>
      </c>
    </row>
    <row r="422">
      <c r="A422">
        <f>IF($L422="","",INDEX('Per Line'!$C$2:$C$2501,$L422))</f>
        <v/>
      </c>
      <c r="B422">
        <f>IF($L422="","",INDEX('Per Line'!$D$2:$D$2501,$L422))</f>
        <v/>
      </c>
      <c r="C422">
        <f>IF($L422="","",INDEX('Per Line'!$A$2:$A$2501,$L422))</f>
        <v/>
      </c>
      <c r="F422">
        <f>IF($L422="","",INDEX('Per Line'!$U$2:$U$2501,$L422))</f>
        <v/>
      </c>
      <c r="G422" s="5">
        <f>IF($L422="","",SUMIFS('Per Line'!$W$2:$W$2501,'Per Line'!$D$2:$D$2501,$B422))</f>
        <v/>
      </c>
      <c r="H422" s="5">
        <f>IF($L422="","",SUMIFS('Per Line'!$X$2:$X$2501,'Per Line'!$D$2:$D$2501,$B422))</f>
        <v/>
      </c>
      <c r="I422" s="5">
        <f>IF($L422="","",SUMIFS('Per Line'!$Y$2:$Y$2501,'Per Line'!$D$2:$D$2501,$B422))</f>
        <v/>
      </c>
      <c r="J422" s="5">
        <f>IF($L422="","",G422-H422)</f>
        <v/>
      </c>
      <c r="K422" s="5">
        <f>IF($L422="","",J422-I422)</f>
        <v/>
      </c>
      <c r="L422">
        <f>IF(ROWS($L$2:$L422)&lt;=MAX('Per Line'!$AD$2:$AD$2501),MATCH(ROWS($L$2:$L422),'Per Line'!$AD$2:$AD$2501,0),"")</f>
        <v/>
      </c>
      <c r="M422">
        <f>IF($L422="","",INDEX('Per Line'!$E$2:$E$2501,$L422))</f>
        <v/>
      </c>
    </row>
    <row r="423">
      <c r="A423">
        <f>IF($L423="","",INDEX('Per Line'!$C$2:$C$2501,$L423))</f>
        <v/>
      </c>
      <c r="B423">
        <f>IF($L423="","",INDEX('Per Line'!$D$2:$D$2501,$L423))</f>
        <v/>
      </c>
      <c r="C423">
        <f>IF($L423="","",INDEX('Per Line'!$A$2:$A$2501,$L423))</f>
        <v/>
      </c>
      <c r="F423">
        <f>IF($L423="","",INDEX('Per Line'!$U$2:$U$2501,$L423))</f>
        <v/>
      </c>
      <c r="G423" s="5">
        <f>IF($L423="","",SUMIFS('Per Line'!$W$2:$W$2501,'Per Line'!$D$2:$D$2501,$B423))</f>
        <v/>
      </c>
      <c r="H423" s="5">
        <f>IF($L423="","",SUMIFS('Per Line'!$X$2:$X$2501,'Per Line'!$D$2:$D$2501,$B423))</f>
        <v/>
      </c>
      <c r="I423" s="5">
        <f>IF($L423="","",SUMIFS('Per Line'!$Y$2:$Y$2501,'Per Line'!$D$2:$D$2501,$B423))</f>
        <v/>
      </c>
      <c r="J423" s="5">
        <f>IF($L423="","",G423-H423)</f>
        <v/>
      </c>
      <c r="K423" s="5">
        <f>IF($L423="","",J423-I423)</f>
        <v/>
      </c>
      <c r="L423">
        <f>IF(ROWS($L$2:$L423)&lt;=MAX('Per Line'!$AD$2:$AD$2501),MATCH(ROWS($L$2:$L423),'Per Line'!$AD$2:$AD$2501,0),"")</f>
        <v/>
      </c>
      <c r="M423">
        <f>IF($L423="","",INDEX('Per Line'!$E$2:$E$2501,$L423))</f>
        <v/>
      </c>
    </row>
    <row r="424">
      <c r="A424">
        <f>IF($L424="","",INDEX('Per Line'!$C$2:$C$2501,$L424))</f>
        <v/>
      </c>
      <c r="B424">
        <f>IF($L424="","",INDEX('Per Line'!$D$2:$D$2501,$L424))</f>
        <v/>
      </c>
      <c r="C424">
        <f>IF($L424="","",INDEX('Per Line'!$A$2:$A$2501,$L424))</f>
        <v/>
      </c>
      <c r="F424">
        <f>IF($L424="","",INDEX('Per Line'!$U$2:$U$2501,$L424))</f>
        <v/>
      </c>
      <c r="G424" s="5">
        <f>IF($L424="","",SUMIFS('Per Line'!$W$2:$W$2501,'Per Line'!$D$2:$D$2501,$B424))</f>
        <v/>
      </c>
      <c r="H424" s="5">
        <f>IF($L424="","",SUMIFS('Per Line'!$X$2:$X$2501,'Per Line'!$D$2:$D$2501,$B424))</f>
        <v/>
      </c>
      <c r="I424" s="5">
        <f>IF($L424="","",SUMIFS('Per Line'!$Y$2:$Y$2501,'Per Line'!$D$2:$D$2501,$B424))</f>
        <v/>
      </c>
      <c r="J424" s="5">
        <f>IF($L424="","",G424-H424)</f>
        <v/>
      </c>
      <c r="K424" s="5">
        <f>IF($L424="","",J424-I424)</f>
        <v/>
      </c>
      <c r="L424">
        <f>IF(ROWS($L$2:$L424)&lt;=MAX('Per Line'!$AD$2:$AD$2501),MATCH(ROWS($L$2:$L424),'Per Line'!$AD$2:$AD$2501,0),"")</f>
        <v/>
      </c>
      <c r="M424">
        <f>IF($L424="","",INDEX('Per Line'!$E$2:$E$2501,$L424))</f>
        <v/>
      </c>
    </row>
    <row r="425">
      <c r="A425">
        <f>IF($L425="","",INDEX('Per Line'!$C$2:$C$2501,$L425))</f>
        <v/>
      </c>
      <c r="B425">
        <f>IF($L425="","",INDEX('Per Line'!$D$2:$D$2501,$L425))</f>
        <v/>
      </c>
      <c r="C425">
        <f>IF($L425="","",INDEX('Per Line'!$A$2:$A$2501,$L425))</f>
        <v/>
      </c>
      <c r="F425">
        <f>IF($L425="","",INDEX('Per Line'!$U$2:$U$2501,$L425))</f>
        <v/>
      </c>
      <c r="G425" s="5">
        <f>IF($L425="","",SUMIFS('Per Line'!$W$2:$W$2501,'Per Line'!$D$2:$D$2501,$B425))</f>
        <v/>
      </c>
      <c r="H425" s="5">
        <f>IF($L425="","",SUMIFS('Per Line'!$X$2:$X$2501,'Per Line'!$D$2:$D$2501,$B425))</f>
        <v/>
      </c>
      <c r="I425" s="5">
        <f>IF($L425="","",SUMIFS('Per Line'!$Y$2:$Y$2501,'Per Line'!$D$2:$D$2501,$B425))</f>
        <v/>
      </c>
      <c r="J425" s="5">
        <f>IF($L425="","",G425-H425)</f>
        <v/>
      </c>
      <c r="K425" s="5">
        <f>IF($L425="","",J425-I425)</f>
        <v/>
      </c>
      <c r="L425">
        <f>IF(ROWS($L$2:$L425)&lt;=MAX('Per Line'!$AD$2:$AD$2501),MATCH(ROWS($L$2:$L425),'Per Line'!$AD$2:$AD$2501,0),"")</f>
        <v/>
      </c>
      <c r="M425">
        <f>IF($L425="","",INDEX('Per Line'!$E$2:$E$2501,$L425))</f>
        <v/>
      </c>
    </row>
    <row r="426">
      <c r="A426">
        <f>IF($L426="","",INDEX('Per Line'!$C$2:$C$2501,$L426))</f>
        <v/>
      </c>
      <c r="B426">
        <f>IF($L426="","",INDEX('Per Line'!$D$2:$D$2501,$L426))</f>
        <v/>
      </c>
      <c r="C426">
        <f>IF($L426="","",INDEX('Per Line'!$A$2:$A$2501,$L426))</f>
        <v/>
      </c>
      <c r="F426">
        <f>IF($L426="","",INDEX('Per Line'!$U$2:$U$2501,$L426))</f>
        <v/>
      </c>
      <c r="G426" s="5">
        <f>IF($L426="","",SUMIFS('Per Line'!$W$2:$W$2501,'Per Line'!$D$2:$D$2501,$B426))</f>
        <v/>
      </c>
      <c r="H426" s="5">
        <f>IF($L426="","",SUMIFS('Per Line'!$X$2:$X$2501,'Per Line'!$D$2:$D$2501,$B426))</f>
        <v/>
      </c>
      <c r="I426" s="5">
        <f>IF($L426="","",SUMIFS('Per Line'!$Y$2:$Y$2501,'Per Line'!$D$2:$D$2501,$B426))</f>
        <v/>
      </c>
      <c r="J426" s="5">
        <f>IF($L426="","",G426-H426)</f>
        <v/>
      </c>
      <c r="K426" s="5">
        <f>IF($L426="","",J426-I426)</f>
        <v/>
      </c>
      <c r="L426">
        <f>IF(ROWS($L$2:$L426)&lt;=MAX('Per Line'!$AD$2:$AD$2501),MATCH(ROWS($L$2:$L426),'Per Line'!$AD$2:$AD$2501,0),"")</f>
        <v/>
      </c>
      <c r="M426">
        <f>IF($L426="","",INDEX('Per Line'!$E$2:$E$2501,$L426))</f>
        <v/>
      </c>
    </row>
    <row r="427">
      <c r="A427">
        <f>IF($L427="","",INDEX('Per Line'!$C$2:$C$2501,$L427))</f>
        <v/>
      </c>
      <c r="B427">
        <f>IF($L427="","",INDEX('Per Line'!$D$2:$D$2501,$L427))</f>
        <v/>
      </c>
      <c r="C427">
        <f>IF($L427="","",INDEX('Per Line'!$A$2:$A$2501,$L427))</f>
        <v/>
      </c>
      <c r="F427">
        <f>IF($L427="","",INDEX('Per Line'!$U$2:$U$2501,$L427))</f>
        <v/>
      </c>
      <c r="G427" s="5">
        <f>IF($L427="","",SUMIFS('Per Line'!$W$2:$W$2501,'Per Line'!$D$2:$D$2501,$B427))</f>
        <v/>
      </c>
      <c r="H427" s="5">
        <f>IF($L427="","",SUMIFS('Per Line'!$X$2:$X$2501,'Per Line'!$D$2:$D$2501,$B427))</f>
        <v/>
      </c>
      <c r="I427" s="5">
        <f>IF($L427="","",SUMIFS('Per Line'!$Y$2:$Y$2501,'Per Line'!$D$2:$D$2501,$B427))</f>
        <v/>
      </c>
      <c r="J427" s="5">
        <f>IF($L427="","",G427-H427)</f>
        <v/>
      </c>
      <c r="K427" s="5">
        <f>IF($L427="","",J427-I427)</f>
        <v/>
      </c>
      <c r="L427">
        <f>IF(ROWS($L$2:$L427)&lt;=MAX('Per Line'!$AD$2:$AD$2501),MATCH(ROWS($L$2:$L427),'Per Line'!$AD$2:$AD$2501,0),"")</f>
        <v/>
      </c>
      <c r="M427">
        <f>IF($L427="","",INDEX('Per Line'!$E$2:$E$2501,$L427))</f>
        <v/>
      </c>
    </row>
    <row r="428">
      <c r="A428">
        <f>IF($L428="","",INDEX('Per Line'!$C$2:$C$2501,$L428))</f>
        <v/>
      </c>
      <c r="B428">
        <f>IF($L428="","",INDEX('Per Line'!$D$2:$D$2501,$L428))</f>
        <v/>
      </c>
      <c r="C428">
        <f>IF($L428="","",INDEX('Per Line'!$A$2:$A$2501,$L428))</f>
        <v/>
      </c>
      <c r="F428">
        <f>IF($L428="","",INDEX('Per Line'!$U$2:$U$2501,$L428))</f>
        <v/>
      </c>
      <c r="G428" s="5">
        <f>IF($L428="","",SUMIFS('Per Line'!$W$2:$W$2501,'Per Line'!$D$2:$D$2501,$B428))</f>
        <v/>
      </c>
      <c r="H428" s="5">
        <f>IF($L428="","",SUMIFS('Per Line'!$X$2:$X$2501,'Per Line'!$D$2:$D$2501,$B428))</f>
        <v/>
      </c>
      <c r="I428" s="5">
        <f>IF($L428="","",SUMIFS('Per Line'!$Y$2:$Y$2501,'Per Line'!$D$2:$D$2501,$B428))</f>
        <v/>
      </c>
      <c r="J428" s="5">
        <f>IF($L428="","",G428-H428)</f>
        <v/>
      </c>
      <c r="K428" s="5">
        <f>IF($L428="","",J428-I428)</f>
        <v/>
      </c>
      <c r="L428">
        <f>IF(ROWS($L$2:$L428)&lt;=MAX('Per Line'!$AD$2:$AD$2501),MATCH(ROWS($L$2:$L428),'Per Line'!$AD$2:$AD$2501,0),"")</f>
        <v/>
      </c>
      <c r="M428">
        <f>IF($L428="","",INDEX('Per Line'!$E$2:$E$2501,$L428))</f>
        <v/>
      </c>
    </row>
    <row r="429">
      <c r="A429">
        <f>IF($L429="","",INDEX('Per Line'!$C$2:$C$2501,$L429))</f>
        <v/>
      </c>
      <c r="B429">
        <f>IF($L429="","",INDEX('Per Line'!$D$2:$D$2501,$L429))</f>
        <v/>
      </c>
      <c r="C429">
        <f>IF($L429="","",INDEX('Per Line'!$A$2:$A$2501,$L429))</f>
        <v/>
      </c>
      <c r="F429">
        <f>IF($L429="","",INDEX('Per Line'!$U$2:$U$2501,$L429))</f>
        <v/>
      </c>
      <c r="G429" s="5">
        <f>IF($L429="","",SUMIFS('Per Line'!$W$2:$W$2501,'Per Line'!$D$2:$D$2501,$B429))</f>
        <v/>
      </c>
      <c r="H429" s="5">
        <f>IF($L429="","",SUMIFS('Per Line'!$X$2:$X$2501,'Per Line'!$D$2:$D$2501,$B429))</f>
        <v/>
      </c>
      <c r="I429" s="5">
        <f>IF($L429="","",SUMIFS('Per Line'!$Y$2:$Y$2501,'Per Line'!$D$2:$D$2501,$B429))</f>
        <v/>
      </c>
      <c r="J429" s="5">
        <f>IF($L429="","",G429-H429)</f>
        <v/>
      </c>
      <c r="K429" s="5">
        <f>IF($L429="","",J429-I429)</f>
        <v/>
      </c>
      <c r="L429">
        <f>IF(ROWS($L$2:$L429)&lt;=MAX('Per Line'!$AD$2:$AD$2501),MATCH(ROWS($L$2:$L429),'Per Line'!$AD$2:$AD$2501,0),"")</f>
        <v/>
      </c>
      <c r="M429">
        <f>IF($L429="","",INDEX('Per Line'!$E$2:$E$2501,$L429))</f>
        <v/>
      </c>
    </row>
    <row r="430">
      <c r="A430">
        <f>IF($L430="","",INDEX('Per Line'!$C$2:$C$2501,$L430))</f>
        <v/>
      </c>
      <c r="B430">
        <f>IF($L430="","",INDEX('Per Line'!$D$2:$D$2501,$L430))</f>
        <v/>
      </c>
      <c r="C430">
        <f>IF($L430="","",INDEX('Per Line'!$A$2:$A$2501,$L430))</f>
        <v/>
      </c>
      <c r="F430">
        <f>IF($L430="","",INDEX('Per Line'!$U$2:$U$2501,$L430))</f>
        <v/>
      </c>
      <c r="G430" s="5">
        <f>IF($L430="","",SUMIFS('Per Line'!$W$2:$W$2501,'Per Line'!$D$2:$D$2501,$B430))</f>
        <v/>
      </c>
      <c r="H430" s="5">
        <f>IF($L430="","",SUMIFS('Per Line'!$X$2:$X$2501,'Per Line'!$D$2:$D$2501,$B430))</f>
        <v/>
      </c>
      <c r="I430" s="5">
        <f>IF($L430="","",SUMIFS('Per Line'!$Y$2:$Y$2501,'Per Line'!$D$2:$D$2501,$B430))</f>
        <v/>
      </c>
      <c r="J430" s="5">
        <f>IF($L430="","",G430-H430)</f>
        <v/>
      </c>
      <c r="K430" s="5">
        <f>IF($L430="","",J430-I430)</f>
        <v/>
      </c>
      <c r="L430">
        <f>IF(ROWS($L$2:$L430)&lt;=MAX('Per Line'!$AD$2:$AD$2501),MATCH(ROWS($L$2:$L430),'Per Line'!$AD$2:$AD$2501,0),"")</f>
        <v/>
      </c>
      <c r="M430">
        <f>IF($L430="","",INDEX('Per Line'!$E$2:$E$2501,$L430))</f>
        <v/>
      </c>
    </row>
    <row r="431">
      <c r="A431">
        <f>IF($L431="","",INDEX('Per Line'!$C$2:$C$2501,$L431))</f>
        <v/>
      </c>
      <c r="B431">
        <f>IF($L431="","",INDEX('Per Line'!$D$2:$D$2501,$L431))</f>
        <v/>
      </c>
      <c r="C431">
        <f>IF($L431="","",INDEX('Per Line'!$A$2:$A$2501,$L431))</f>
        <v/>
      </c>
      <c r="F431">
        <f>IF($L431="","",INDEX('Per Line'!$U$2:$U$2501,$L431))</f>
        <v/>
      </c>
      <c r="G431" s="5">
        <f>IF($L431="","",SUMIFS('Per Line'!$W$2:$W$2501,'Per Line'!$D$2:$D$2501,$B431))</f>
        <v/>
      </c>
      <c r="H431" s="5">
        <f>IF($L431="","",SUMIFS('Per Line'!$X$2:$X$2501,'Per Line'!$D$2:$D$2501,$B431))</f>
        <v/>
      </c>
      <c r="I431" s="5">
        <f>IF($L431="","",SUMIFS('Per Line'!$Y$2:$Y$2501,'Per Line'!$D$2:$D$2501,$B431))</f>
        <v/>
      </c>
      <c r="J431" s="5">
        <f>IF($L431="","",G431-H431)</f>
        <v/>
      </c>
      <c r="K431" s="5">
        <f>IF($L431="","",J431-I431)</f>
        <v/>
      </c>
      <c r="L431">
        <f>IF(ROWS($L$2:$L431)&lt;=MAX('Per Line'!$AD$2:$AD$2501),MATCH(ROWS($L$2:$L431),'Per Line'!$AD$2:$AD$2501,0),"")</f>
        <v/>
      </c>
      <c r="M431">
        <f>IF($L431="","",INDEX('Per Line'!$E$2:$E$2501,$L431))</f>
        <v/>
      </c>
    </row>
    <row r="432">
      <c r="A432">
        <f>IF($L432="","",INDEX('Per Line'!$C$2:$C$2501,$L432))</f>
        <v/>
      </c>
      <c r="B432">
        <f>IF($L432="","",INDEX('Per Line'!$D$2:$D$2501,$L432))</f>
        <v/>
      </c>
      <c r="C432">
        <f>IF($L432="","",INDEX('Per Line'!$A$2:$A$2501,$L432))</f>
        <v/>
      </c>
      <c r="F432">
        <f>IF($L432="","",INDEX('Per Line'!$U$2:$U$2501,$L432))</f>
        <v/>
      </c>
      <c r="G432" s="5">
        <f>IF($L432="","",SUMIFS('Per Line'!$W$2:$W$2501,'Per Line'!$D$2:$D$2501,$B432))</f>
        <v/>
      </c>
      <c r="H432" s="5">
        <f>IF($L432="","",SUMIFS('Per Line'!$X$2:$X$2501,'Per Line'!$D$2:$D$2501,$B432))</f>
        <v/>
      </c>
      <c r="I432" s="5">
        <f>IF($L432="","",SUMIFS('Per Line'!$Y$2:$Y$2501,'Per Line'!$D$2:$D$2501,$B432))</f>
        <v/>
      </c>
      <c r="J432" s="5">
        <f>IF($L432="","",G432-H432)</f>
        <v/>
      </c>
      <c r="K432" s="5">
        <f>IF($L432="","",J432-I432)</f>
        <v/>
      </c>
      <c r="L432">
        <f>IF(ROWS($L$2:$L432)&lt;=MAX('Per Line'!$AD$2:$AD$2501),MATCH(ROWS($L$2:$L432),'Per Line'!$AD$2:$AD$2501,0),"")</f>
        <v/>
      </c>
      <c r="M432">
        <f>IF($L432="","",INDEX('Per Line'!$E$2:$E$2501,$L432))</f>
        <v/>
      </c>
    </row>
    <row r="433">
      <c r="A433">
        <f>IF($L433="","",INDEX('Per Line'!$C$2:$C$2501,$L433))</f>
        <v/>
      </c>
      <c r="B433">
        <f>IF($L433="","",INDEX('Per Line'!$D$2:$D$2501,$L433))</f>
        <v/>
      </c>
      <c r="C433">
        <f>IF($L433="","",INDEX('Per Line'!$A$2:$A$2501,$L433))</f>
        <v/>
      </c>
      <c r="F433">
        <f>IF($L433="","",INDEX('Per Line'!$U$2:$U$2501,$L433))</f>
        <v/>
      </c>
      <c r="G433" s="5">
        <f>IF($L433="","",SUMIFS('Per Line'!$W$2:$W$2501,'Per Line'!$D$2:$D$2501,$B433))</f>
        <v/>
      </c>
      <c r="H433" s="5">
        <f>IF($L433="","",SUMIFS('Per Line'!$X$2:$X$2501,'Per Line'!$D$2:$D$2501,$B433))</f>
        <v/>
      </c>
      <c r="I433" s="5">
        <f>IF($L433="","",SUMIFS('Per Line'!$Y$2:$Y$2501,'Per Line'!$D$2:$D$2501,$B433))</f>
        <v/>
      </c>
      <c r="J433" s="5">
        <f>IF($L433="","",G433-H433)</f>
        <v/>
      </c>
      <c r="K433" s="5">
        <f>IF($L433="","",J433-I433)</f>
        <v/>
      </c>
      <c r="L433">
        <f>IF(ROWS($L$2:$L433)&lt;=MAX('Per Line'!$AD$2:$AD$2501),MATCH(ROWS($L$2:$L433),'Per Line'!$AD$2:$AD$2501,0),"")</f>
        <v/>
      </c>
      <c r="M433">
        <f>IF($L433="","",INDEX('Per Line'!$E$2:$E$2501,$L433))</f>
        <v/>
      </c>
    </row>
    <row r="434">
      <c r="A434">
        <f>IF($L434="","",INDEX('Per Line'!$C$2:$C$2501,$L434))</f>
        <v/>
      </c>
      <c r="B434">
        <f>IF($L434="","",INDEX('Per Line'!$D$2:$D$2501,$L434))</f>
        <v/>
      </c>
      <c r="C434">
        <f>IF($L434="","",INDEX('Per Line'!$A$2:$A$2501,$L434))</f>
        <v/>
      </c>
      <c r="F434">
        <f>IF($L434="","",INDEX('Per Line'!$U$2:$U$2501,$L434))</f>
        <v/>
      </c>
      <c r="G434" s="5">
        <f>IF($L434="","",SUMIFS('Per Line'!$W$2:$W$2501,'Per Line'!$D$2:$D$2501,$B434))</f>
        <v/>
      </c>
      <c r="H434" s="5">
        <f>IF($L434="","",SUMIFS('Per Line'!$X$2:$X$2501,'Per Line'!$D$2:$D$2501,$B434))</f>
        <v/>
      </c>
      <c r="I434" s="5">
        <f>IF($L434="","",SUMIFS('Per Line'!$Y$2:$Y$2501,'Per Line'!$D$2:$D$2501,$B434))</f>
        <v/>
      </c>
      <c r="J434" s="5">
        <f>IF($L434="","",G434-H434)</f>
        <v/>
      </c>
      <c r="K434" s="5">
        <f>IF($L434="","",J434-I434)</f>
        <v/>
      </c>
      <c r="L434">
        <f>IF(ROWS($L$2:$L434)&lt;=MAX('Per Line'!$AD$2:$AD$2501),MATCH(ROWS($L$2:$L434),'Per Line'!$AD$2:$AD$2501,0),"")</f>
        <v/>
      </c>
      <c r="M434">
        <f>IF($L434="","",INDEX('Per Line'!$E$2:$E$2501,$L434))</f>
        <v/>
      </c>
    </row>
    <row r="435">
      <c r="A435">
        <f>IF($L435="","",INDEX('Per Line'!$C$2:$C$2501,$L435))</f>
        <v/>
      </c>
      <c r="B435">
        <f>IF($L435="","",INDEX('Per Line'!$D$2:$D$2501,$L435))</f>
        <v/>
      </c>
      <c r="C435">
        <f>IF($L435="","",INDEX('Per Line'!$A$2:$A$2501,$L435))</f>
        <v/>
      </c>
      <c r="F435">
        <f>IF($L435="","",INDEX('Per Line'!$U$2:$U$2501,$L435))</f>
        <v/>
      </c>
      <c r="G435" s="5">
        <f>IF($L435="","",SUMIFS('Per Line'!$W$2:$W$2501,'Per Line'!$D$2:$D$2501,$B435))</f>
        <v/>
      </c>
      <c r="H435" s="5">
        <f>IF($L435="","",SUMIFS('Per Line'!$X$2:$X$2501,'Per Line'!$D$2:$D$2501,$B435))</f>
        <v/>
      </c>
      <c r="I435" s="5">
        <f>IF($L435="","",SUMIFS('Per Line'!$Y$2:$Y$2501,'Per Line'!$D$2:$D$2501,$B435))</f>
        <v/>
      </c>
      <c r="J435" s="5">
        <f>IF($L435="","",G435-H435)</f>
        <v/>
      </c>
      <c r="K435" s="5">
        <f>IF($L435="","",J435-I435)</f>
        <v/>
      </c>
      <c r="L435">
        <f>IF(ROWS($L$2:$L435)&lt;=MAX('Per Line'!$AD$2:$AD$2501),MATCH(ROWS($L$2:$L435),'Per Line'!$AD$2:$AD$2501,0),"")</f>
        <v/>
      </c>
      <c r="M435">
        <f>IF($L435="","",INDEX('Per Line'!$E$2:$E$2501,$L435))</f>
        <v/>
      </c>
    </row>
    <row r="436">
      <c r="A436">
        <f>IF($L436="","",INDEX('Per Line'!$C$2:$C$2501,$L436))</f>
        <v/>
      </c>
      <c r="B436">
        <f>IF($L436="","",INDEX('Per Line'!$D$2:$D$2501,$L436))</f>
        <v/>
      </c>
      <c r="C436">
        <f>IF($L436="","",INDEX('Per Line'!$A$2:$A$2501,$L436))</f>
        <v/>
      </c>
      <c r="F436">
        <f>IF($L436="","",INDEX('Per Line'!$U$2:$U$2501,$L436))</f>
        <v/>
      </c>
      <c r="G436" s="5">
        <f>IF($L436="","",SUMIFS('Per Line'!$W$2:$W$2501,'Per Line'!$D$2:$D$2501,$B436))</f>
        <v/>
      </c>
      <c r="H436" s="5">
        <f>IF($L436="","",SUMIFS('Per Line'!$X$2:$X$2501,'Per Line'!$D$2:$D$2501,$B436))</f>
        <v/>
      </c>
      <c r="I436" s="5">
        <f>IF($L436="","",SUMIFS('Per Line'!$Y$2:$Y$2501,'Per Line'!$D$2:$D$2501,$B436))</f>
        <v/>
      </c>
      <c r="J436" s="5">
        <f>IF($L436="","",G436-H436)</f>
        <v/>
      </c>
      <c r="K436" s="5">
        <f>IF($L436="","",J436-I436)</f>
        <v/>
      </c>
      <c r="L436">
        <f>IF(ROWS($L$2:$L436)&lt;=MAX('Per Line'!$AD$2:$AD$2501),MATCH(ROWS($L$2:$L436),'Per Line'!$AD$2:$AD$2501,0),"")</f>
        <v/>
      </c>
      <c r="M436">
        <f>IF($L436="","",INDEX('Per Line'!$E$2:$E$2501,$L436))</f>
        <v/>
      </c>
    </row>
    <row r="437">
      <c r="A437">
        <f>IF($L437="","",INDEX('Per Line'!$C$2:$C$2501,$L437))</f>
        <v/>
      </c>
      <c r="B437">
        <f>IF($L437="","",INDEX('Per Line'!$D$2:$D$2501,$L437))</f>
        <v/>
      </c>
      <c r="C437">
        <f>IF($L437="","",INDEX('Per Line'!$A$2:$A$2501,$L437))</f>
        <v/>
      </c>
      <c r="F437">
        <f>IF($L437="","",INDEX('Per Line'!$U$2:$U$2501,$L437))</f>
        <v/>
      </c>
      <c r="G437" s="5">
        <f>IF($L437="","",SUMIFS('Per Line'!$W$2:$W$2501,'Per Line'!$D$2:$D$2501,$B437))</f>
        <v/>
      </c>
      <c r="H437" s="5">
        <f>IF($L437="","",SUMIFS('Per Line'!$X$2:$X$2501,'Per Line'!$D$2:$D$2501,$B437))</f>
        <v/>
      </c>
      <c r="I437" s="5">
        <f>IF($L437="","",SUMIFS('Per Line'!$Y$2:$Y$2501,'Per Line'!$D$2:$D$2501,$B437))</f>
        <v/>
      </c>
      <c r="J437" s="5">
        <f>IF($L437="","",G437-H437)</f>
        <v/>
      </c>
      <c r="K437" s="5">
        <f>IF($L437="","",J437-I437)</f>
        <v/>
      </c>
      <c r="L437">
        <f>IF(ROWS($L$2:$L437)&lt;=MAX('Per Line'!$AD$2:$AD$2501),MATCH(ROWS($L$2:$L437),'Per Line'!$AD$2:$AD$2501,0),"")</f>
        <v/>
      </c>
      <c r="M437">
        <f>IF($L437="","",INDEX('Per Line'!$E$2:$E$2501,$L437))</f>
        <v/>
      </c>
    </row>
    <row r="438">
      <c r="A438">
        <f>IF($L438="","",INDEX('Per Line'!$C$2:$C$2501,$L438))</f>
        <v/>
      </c>
      <c r="B438">
        <f>IF($L438="","",INDEX('Per Line'!$D$2:$D$2501,$L438))</f>
        <v/>
      </c>
      <c r="C438">
        <f>IF($L438="","",INDEX('Per Line'!$A$2:$A$2501,$L438))</f>
        <v/>
      </c>
      <c r="F438">
        <f>IF($L438="","",INDEX('Per Line'!$U$2:$U$2501,$L438))</f>
        <v/>
      </c>
      <c r="G438" s="5">
        <f>IF($L438="","",SUMIFS('Per Line'!$W$2:$W$2501,'Per Line'!$D$2:$D$2501,$B438))</f>
        <v/>
      </c>
      <c r="H438" s="5">
        <f>IF($L438="","",SUMIFS('Per Line'!$X$2:$X$2501,'Per Line'!$D$2:$D$2501,$B438))</f>
        <v/>
      </c>
      <c r="I438" s="5">
        <f>IF($L438="","",SUMIFS('Per Line'!$Y$2:$Y$2501,'Per Line'!$D$2:$D$2501,$B438))</f>
        <v/>
      </c>
      <c r="J438" s="5">
        <f>IF($L438="","",G438-H438)</f>
        <v/>
      </c>
      <c r="K438" s="5">
        <f>IF($L438="","",J438-I438)</f>
        <v/>
      </c>
      <c r="L438">
        <f>IF(ROWS($L$2:$L438)&lt;=MAX('Per Line'!$AD$2:$AD$2501),MATCH(ROWS($L$2:$L438),'Per Line'!$AD$2:$AD$2501,0),"")</f>
        <v/>
      </c>
      <c r="M438">
        <f>IF($L438="","",INDEX('Per Line'!$E$2:$E$2501,$L438))</f>
        <v/>
      </c>
    </row>
    <row r="439">
      <c r="A439">
        <f>IF($L439="","",INDEX('Per Line'!$C$2:$C$2501,$L439))</f>
        <v/>
      </c>
      <c r="B439">
        <f>IF($L439="","",INDEX('Per Line'!$D$2:$D$2501,$L439))</f>
        <v/>
      </c>
      <c r="C439">
        <f>IF($L439="","",INDEX('Per Line'!$A$2:$A$2501,$L439))</f>
        <v/>
      </c>
      <c r="F439">
        <f>IF($L439="","",INDEX('Per Line'!$U$2:$U$2501,$L439))</f>
        <v/>
      </c>
      <c r="G439" s="5">
        <f>IF($L439="","",SUMIFS('Per Line'!$W$2:$W$2501,'Per Line'!$D$2:$D$2501,$B439))</f>
        <v/>
      </c>
      <c r="H439" s="5">
        <f>IF($L439="","",SUMIFS('Per Line'!$X$2:$X$2501,'Per Line'!$D$2:$D$2501,$B439))</f>
        <v/>
      </c>
      <c r="I439" s="5">
        <f>IF($L439="","",SUMIFS('Per Line'!$Y$2:$Y$2501,'Per Line'!$D$2:$D$2501,$B439))</f>
        <v/>
      </c>
      <c r="J439" s="5">
        <f>IF($L439="","",G439-H439)</f>
        <v/>
      </c>
      <c r="K439" s="5">
        <f>IF($L439="","",J439-I439)</f>
        <v/>
      </c>
      <c r="L439">
        <f>IF(ROWS($L$2:$L439)&lt;=MAX('Per Line'!$AD$2:$AD$2501),MATCH(ROWS($L$2:$L439),'Per Line'!$AD$2:$AD$2501,0),"")</f>
        <v/>
      </c>
      <c r="M439">
        <f>IF($L439="","",INDEX('Per Line'!$E$2:$E$2501,$L439))</f>
        <v/>
      </c>
    </row>
    <row r="440">
      <c r="A440">
        <f>IF($L440="","",INDEX('Per Line'!$C$2:$C$2501,$L440))</f>
        <v/>
      </c>
      <c r="B440">
        <f>IF($L440="","",INDEX('Per Line'!$D$2:$D$2501,$L440))</f>
        <v/>
      </c>
      <c r="C440">
        <f>IF($L440="","",INDEX('Per Line'!$A$2:$A$2501,$L440))</f>
        <v/>
      </c>
      <c r="F440">
        <f>IF($L440="","",INDEX('Per Line'!$U$2:$U$2501,$L440))</f>
        <v/>
      </c>
      <c r="G440" s="5">
        <f>IF($L440="","",SUMIFS('Per Line'!$W$2:$W$2501,'Per Line'!$D$2:$D$2501,$B440))</f>
        <v/>
      </c>
      <c r="H440" s="5">
        <f>IF($L440="","",SUMIFS('Per Line'!$X$2:$X$2501,'Per Line'!$D$2:$D$2501,$B440))</f>
        <v/>
      </c>
      <c r="I440" s="5">
        <f>IF($L440="","",SUMIFS('Per Line'!$Y$2:$Y$2501,'Per Line'!$D$2:$D$2501,$B440))</f>
        <v/>
      </c>
      <c r="J440" s="5">
        <f>IF($L440="","",G440-H440)</f>
        <v/>
      </c>
      <c r="K440" s="5">
        <f>IF($L440="","",J440-I440)</f>
        <v/>
      </c>
      <c r="L440">
        <f>IF(ROWS($L$2:$L440)&lt;=MAX('Per Line'!$AD$2:$AD$2501),MATCH(ROWS($L$2:$L440),'Per Line'!$AD$2:$AD$2501,0),"")</f>
        <v/>
      </c>
      <c r="M440">
        <f>IF($L440="","",INDEX('Per Line'!$E$2:$E$2501,$L440))</f>
        <v/>
      </c>
    </row>
    <row r="441">
      <c r="A441">
        <f>IF($L441="","",INDEX('Per Line'!$C$2:$C$2501,$L441))</f>
        <v/>
      </c>
      <c r="B441">
        <f>IF($L441="","",INDEX('Per Line'!$D$2:$D$2501,$L441))</f>
        <v/>
      </c>
      <c r="C441">
        <f>IF($L441="","",INDEX('Per Line'!$A$2:$A$2501,$L441))</f>
        <v/>
      </c>
      <c r="F441">
        <f>IF($L441="","",INDEX('Per Line'!$U$2:$U$2501,$L441))</f>
        <v/>
      </c>
      <c r="G441" s="5">
        <f>IF($L441="","",SUMIFS('Per Line'!$W$2:$W$2501,'Per Line'!$D$2:$D$2501,$B441))</f>
        <v/>
      </c>
      <c r="H441" s="5">
        <f>IF($L441="","",SUMIFS('Per Line'!$X$2:$X$2501,'Per Line'!$D$2:$D$2501,$B441))</f>
        <v/>
      </c>
      <c r="I441" s="5">
        <f>IF($L441="","",SUMIFS('Per Line'!$Y$2:$Y$2501,'Per Line'!$D$2:$D$2501,$B441))</f>
        <v/>
      </c>
      <c r="J441" s="5">
        <f>IF($L441="","",G441-H441)</f>
        <v/>
      </c>
      <c r="K441" s="5">
        <f>IF($L441="","",J441-I441)</f>
        <v/>
      </c>
      <c r="L441">
        <f>IF(ROWS($L$2:$L441)&lt;=MAX('Per Line'!$AD$2:$AD$2501),MATCH(ROWS($L$2:$L441),'Per Line'!$AD$2:$AD$2501,0),"")</f>
        <v/>
      </c>
      <c r="M441">
        <f>IF($L441="","",INDEX('Per Line'!$E$2:$E$2501,$L441))</f>
        <v/>
      </c>
    </row>
    <row r="442">
      <c r="A442">
        <f>IF($L442="","",INDEX('Per Line'!$C$2:$C$2501,$L442))</f>
        <v/>
      </c>
      <c r="B442">
        <f>IF($L442="","",INDEX('Per Line'!$D$2:$D$2501,$L442))</f>
        <v/>
      </c>
      <c r="C442">
        <f>IF($L442="","",INDEX('Per Line'!$A$2:$A$2501,$L442))</f>
        <v/>
      </c>
      <c r="F442">
        <f>IF($L442="","",INDEX('Per Line'!$U$2:$U$2501,$L442))</f>
        <v/>
      </c>
      <c r="G442" s="5">
        <f>IF($L442="","",SUMIFS('Per Line'!$W$2:$W$2501,'Per Line'!$D$2:$D$2501,$B442))</f>
        <v/>
      </c>
      <c r="H442" s="5">
        <f>IF($L442="","",SUMIFS('Per Line'!$X$2:$X$2501,'Per Line'!$D$2:$D$2501,$B442))</f>
        <v/>
      </c>
      <c r="I442" s="5">
        <f>IF($L442="","",SUMIFS('Per Line'!$Y$2:$Y$2501,'Per Line'!$D$2:$D$2501,$B442))</f>
        <v/>
      </c>
      <c r="J442" s="5">
        <f>IF($L442="","",G442-H442)</f>
        <v/>
      </c>
      <c r="K442" s="5">
        <f>IF($L442="","",J442-I442)</f>
        <v/>
      </c>
      <c r="L442">
        <f>IF(ROWS($L$2:$L442)&lt;=MAX('Per Line'!$AD$2:$AD$2501),MATCH(ROWS($L$2:$L442),'Per Line'!$AD$2:$AD$2501,0),"")</f>
        <v/>
      </c>
      <c r="M442">
        <f>IF($L442="","",INDEX('Per Line'!$E$2:$E$2501,$L442))</f>
        <v/>
      </c>
    </row>
    <row r="443">
      <c r="A443">
        <f>IF($L443="","",INDEX('Per Line'!$C$2:$C$2501,$L443))</f>
        <v/>
      </c>
      <c r="B443">
        <f>IF($L443="","",INDEX('Per Line'!$D$2:$D$2501,$L443))</f>
        <v/>
      </c>
      <c r="C443">
        <f>IF($L443="","",INDEX('Per Line'!$A$2:$A$2501,$L443))</f>
        <v/>
      </c>
      <c r="F443">
        <f>IF($L443="","",INDEX('Per Line'!$U$2:$U$2501,$L443))</f>
        <v/>
      </c>
      <c r="G443" s="5">
        <f>IF($L443="","",SUMIFS('Per Line'!$W$2:$W$2501,'Per Line'!$D$2:$D$2501,$B443))</f>
        <v/>
      </c>
      <c r="H443" s="5">
        <f>IF($L443="","",SUMIFS('Per Line'!$X$2:$X$2501,'Per Line'!$D$2:$D$2501,$B443))</f>
        <v/>
      </c>
      <c r="I443" s="5">
        <f>IF($L443="","",SUMIFS('Per Line'!$Y$2:$Y$2501,'Per Line'!$D$2:$D$2501,$B443))</f>
        <v/>
      </c>
      <c r="J443" s="5">
        <f>IF($L443="","",G443-H443)</f>
        <v/>
      </c>
      <c r="K443" s="5">
        <f>IF($L443="","",J443-I443)</f>
        <v/>
      </c>
      <c r="L443">
        <f>IF(ROWS($L$2:$L443)&lt;=MAX('Per Line'!$AD$2:$AD$2501),MATCH(ROWS($L$2:$L443),'Per Line'!$AD$2:$AD$2501,0),"")</f>
        <v/>
      </c>
      <c r="M443">
        <f>IF($L443="","",INDEX('Per Line'!$E$2:$E$2501,$L443))</f>
        <v/>
      </c>
    </row>
    <row r="444">
      <c r="A444">
        <f>IF($L444="","",INDEX('Per Line'!$C$2:$C$2501,$L444))</f>
        <v/>
      </c>
      <c r="B444">
        <f>IF($L444="","",INDEX('Per Line'!$D$2:$D$2501,$L444))</f>
        <v/>
      </c>
      <c r="C444">
        <f>IF($L444="","",INDEX('Per Line'!$A$2:$A$2501,$L444))</f>
        <v/>
      </c>
      <c r="F444">
        <f>IF($L444="","",INDEX('Per Line'!$U$2:$U$2501,$L444))</f>
        <v/>
      </c>
      <c r="G444" s="5">
        <f>IF($L444="","",SUMIFS('Per Line'!$W$2:$W$2501,'Per Line'!$D$2:$D$2501,$B444))</f>
        <v/>
      </c>
      <c r="H444" s="5">
        <f>IF($L444="","",SUMIFS('Per Line'!$X$2:$X$2501,'Per Line'!$D$2:$D$2501,$B444))</f>
        <v/>
      </c>
      <c r="I444" s="5">
        <f>IF($L444="","",SUMIFS('Per Line'!$Y$2:$Y$2501,'Per Line'!$D$2:$D$2501,$B444))</f>
        <v/>
      </c>
      <c r="J444" s="5">
        <f>IF($L444="","",G444-H444)</f>
        <v/>
      </c>
      <c r="K444" s="5">
        <f>IF($L444="","",J444-I444)</f>
        <v/>
      </c>
      <c r="L444">
        <f>IF(ROWS($L$2:$L444)&lt;=MAX('Per Line'!$AD$2:$AD$2501),MATCH(ROWS($L$2:$L444),'Per Line'!$AD$2:$AD$2501,0),"")</f>
        <v/>
      </c>
      <c r="M444">
        <f>IF($L444="","",INDEX('Per Line'!$E$2:$E$2501,$L444))</f>
        <v/>
      </c>
    </row>
    <row r="445">
      <c r="A445">
        <f>IF($L445="","",INDEX('Per Line'!$C$2:$C$2501,$L445))</f>
        <v/>
      </c>
      <c r="B445">
        <f>IF($L445="","",INDEX('Per Line'!$D$2:$D$2501,$L445))</f>
        <v/>
      </c>
      <c r="C445">
        <f>IF($L445="","",INDEX('Per Line'!$A$2:$A$2501,$L445))</f>
        <v/>
      </c>
      <c r="F445">
        <f>IF($L445="","",INDEX('Per Line'!$U$2:$U$2501,$L445))</f>
        <v/>
      </c>
      <c r="G445" s="5">
        <f>IF($L445="","",SUMIFS('Per Line'!$W$2:$W$2501,'Per Line'!$D$2:$D$2501,$B445))</f>
        <v/>
      </c>
      <c r="H445" s="5">
        <f>IF($L445="","",SUMIFS('Per Line'!$X$2:$X$2501,'Per Line'!$D$2:$D$2501,$B445))</f>
        <v/>
      </c>
      <c r="I445" s="5">
        <f>IF($L445="","",SUMIFS('Per Line'!$Y$2:$Y$2501,'Per Line'!$D$2:$D$2501,$B445))</f>
        <v/>
      </c>
      <c r="J445" s="5">
        <f>IF($L445="","",G445-H445)</f>
        <v/>
      </c>
      <c r="K445" s="5">
        <f>IF($L445="","",J445-I445)</f>
        <v/>
      </c>
      <c r="L445">
        <f>IF(ROWS($L$2:$L445)&lt;=MAX('Per Line'!$AD$2:$AD$2501),MATCH(ROWS($L$2:$L445),'Per Line'!$AD$2:$AD$2501,0),"")</f>
        <v/>
      </c>
      <c r="M445">
        <f>IF($L445="","",INDEX('Per Line'!$E$2:$E$2501,$L445))</f>
        <v/>
      </c>
    </row>
    <row r="446">
      <c r="A446">
        <f>IF($L446="","",INDEX('Per Line'!$C$2:$C$2501,$L446))</f>
        <v/>
      </c>
      <c r="B446">
        <f>IF($L446="","",INDEX('Per Line'!$D$2:$D$2501,$L446))</f>
        <v/>
      </c>
      <c r="C446">
        <f>IF($L446="","",INDEX('Per Line'!$A$2:$A$2501,$L446))</f>
        <v/>
      </c>
      <c r="F446">
        <f>IF($L446="","",INDEX('Per Line'!$U$2:$U$2501,$L446))</f>
        <v/>
      </c>
      <c r="G446" s="5">
        <f>IF($L446="","",SUMIFS('Per Line'!$W$2:$W$2501,'Per Line'!$D$2:$D$2501,$B446))</f>
        <v/>
      </c>
      <c r="H446" s="5">
        <f>IF($L446="","",SUMIFS('Per Line'!$X$2:$X$2501,'Per Line'!$D$2:$D$2501,$B446))</f>
        <v/>
      </c>
      <c r="I446" s="5">
        <f>IF($L446="","",SUMIFS('Per Line'!$Y$2:$Y$2501,'Per Line'!$D$2:$D$2501,$B446))</f>
        <v/>
      </c>
      <c r="J446" s="5">
        <f>IF($L446="","",G446-H446)</f>
        <v/>
      </c>
      <c r="K446" s="5">
        <f>IF($L446="","",J446-I446)</f>
        <v/>
      </c>
      <c r="L446">
        <f>IF(ROWS($L$2:$L446)&lt;=MAX('Per Line'!$AD$2:$AD$2501),MATCH(ROWS($L$2:$L446),'Per Line'!$AD$2:$AD$2501,0),"")</f>
        <v/>
      </c>
      <c r="M446">
        <f>IF($L446="","",INDEX('Per Line'!$E$2:$E$2501,$L446))</f>
        <v/>
      </c>
    </row>
    <row r="447">
      <c r="A447">
        <f>IF($L447="","",INDEX('Per Line'!$C$2:$C$2501,$L447))</f>
        <v/>
      </c>
      <c r="B447">
        <f>IF($L447="","",INDEX('Per Line'!$D$2:$D$2501,$L447))</f>
        <v/>
      </c>
      <c r="C447">
        <f>IF($L447="","",INDEX('Per Line'!$A$2:$A$2501,$L447))</f>
        <v/>
      </c>
      <c r="F447">
        <f>IF($L447="","",INDEX('Per Line'!$U$2:$U$2501,$L447))</f>
        <v/>
      </c>
      <c r="G447" s="5">
        <f>IF($L447="","",SUMIFS('Per Line'!$W$2:$W$2501,'Per Line'!$D$2:$D$2501,$B447))</f>
        <v/>
      </c>
      <c r="H447" s="5">
        <f>IF($L447="","",SUMIFS('Per Line'!$X$2:$X$2501,'Per Line'!$D$2:$D$2501,$B447))</f>
        <v/>
      </c>
      <c r="I447" s="5">
        <f>IF($L447="","",SUMIFS('Per Line'!$Y$2:$Y$2501,'Per Line'!$D$2:$D$2501,$B447))</f>
        <v/>
      </c>
      <c r="J447" s="5">
        <f>IF($L447="","",G447-H447)</f>
        <v/>
      </c>
      <c r="K447" s="5">
        <f>IF($L447="","",J447-I447)</f>
        <v/>
      </c>
      <c r="L447">
        <f>IF(ROWS($L$2:$L447)&lt;=MAX('Per Line'!$AD$2:$AD$2501),MATCH(ROWS($L$2:$L447),'Per Line'!$AD$2:$AD$2501,0),"")</f>
        <v/>
      </c>
      <c r="M447">
        <f>IF($L447="","",INDEX('Per Line'!$E$2:$E$2501,$L447))</f>
        <v/>
      </c>
    </row>
    <row r="448">
      <c r="A448">
        <f>IF($L448="","",INDEX('Per Line'!$C$2:$C$2501,$L448))</f>
        <v/>
      </c>
      <c r="B448">
        <f>IF($L448="","",INDEX('Per Line'!$D$2:$D$2501,$L448))</f>
        <v/>
      </c>
      <c r="C448">
        <f>IF($L448="","",INDEX('Per Line'!$A$2:$A$2501,$L448))</f>
        <v/>
      </c>
      <c r="F448">
        <f>IF($L448="","",INDEX('Per Line'!$U$2:$U$2501,$L448))</f>
        <v/>
      </c>
      <c r="G448" s="5">
        <f>IF($L448="","",SUMIFS('Per Line'!$W$2:$W$2501,'Per Line'!$D$2:$D$2501,$B448))</f>
        <v/>
      </c>
      <c r="H448" s="5">
        <f>IF($L448="","",SUMIFS('Per Line'!$X$2:$X$2501,'Per Line'!$D$2:$D$2501,$B448))</f>
        <v/>
      </c>
      <c r="I448" s="5">
        <f>IF($L448="","",SUMIFS('Per Line'!$Y$2:$Y$2501,'Per Line'!$D$2:$D$2501,$B448))</f>
        <v/>
      </c>
      <c r="J448" s="5">
        <f>IF($L448="","",G448-H448)</f>
        <v/>
      </c>
      <c r="K448" s="5">
        <f>IF($L448="","",J448-I448)</f>
        <v/>
      </c>
      <c r="L448">
        <f>IF(ROWS($L$2:$L448)&lt;=MAX('Per Line'!$AD$2:$AD$2501),MATCH(ROWS($L$2:$L448),'Per Line'!$AD$2:$AD$2501,0),"")</f>
        <v/>
      </c>
      <c r="M448">
        <f>IF($L448="","",INDEX('Per Line'!$E$2:$E$2501,$L448))</f>
        <v/>
      </c>
    </row>
    <row r="449">
      <c r="A449">
        <f>IF($L449="","",INDEX('Per Line'!$C$2:$C$2501,$L449))</f>
        <v/>
      </c>
      <c r="B449">
        <f>IF($L449="","",INDEX('Per Line'!$D$2:$D$2501,$L449))</f>
        <v/>
      </c>
      <c r="C449">
        <f>IF($L449="","",INDEX('Per Line'!$A$2:$A$2501,$L449))</f>
        <v/>
      </c>
      <c r="F449">
        <f>IF($L449="","",INDEX('Per Line'!$U$2:$U$2501,$L449))</f>
        <v/>
      </c>
      <c r="G449" s="5">
        <f>IF($L449="","",SUMIFS('Per Line'!$W$2:$W$2501,'Per Line'!$D$2:$D$2501,$B449))</f>
        <v/>
      </c>
      <c r="H449" s="5">
        <f>IF($L449="","",SUMIFS('Per Line'!$X$2:$X$2501,'Per Line'!$D$2:$D$2501,$B449))</f>
        <v/>
      </c>
      <c r="I449" s="5">
        <f>IF($L449="","",SUMIFS('Per Line'!$Y$2:$Y$2501,'Per Line'!$D$2:$D$2501,$B449))</f>
        <v/>
      </c>
      <c r="J449" s="5">
        <f>IF($L449="","",G449-H449)</f>
        <v/>
      </c>
      <c r="K449" s="5">
        <f>IF($L449="","",J449-I449)</f>
        <v/>
      </c>
      <c r="L449">
        <f>IF(ROWS($L$2:$L449)&lt;=MAX('Per Line'!$AD$2:$AD$2501),MATCH(ROWS($L$2:$L449),'Per Line'!$AD$2:$AD$2501,0),"")</f>
        <v/>
      </c>
      <c r="M449">
        <f>IF($L449="","",INDEX('Per Line'!$E$2:$E$2501,$L449))</f>
        <v/>
      </c>
    </row>
    <row r="450">
      <c r="A450">
        <f>IF($L450="","",INDEX('Per Line'!$C$2:$C$2501,$L450))</f>
        <v/>
      </c>
      <c r="B450">
        <f>IF($L450="","",INDEX('Per Line'!$D$2:$D$2501,$L450))</f>
        <v/>
      </c>
      <c r="C450">
        <f>IF($L450="","",INDEX('Per Line'!$A$2:$A$2501,$L450))</f>
        <v/>
      </c>
      <c r="F450">
        <f>IF($L450="","",INDEX('Per Line'!$U$2:$U$2501,$L450))</f>
        <v/>
      </c>
      <c r="G450" s="5">
        <f>IF($L450="","",SUMIFS('Per Line'!$W$2:$W$2501,'Per Line'!$D$2:$D$2501,$B450))</f>
        <v/>
      </c>
      <c r="H450" s="5">
        <f>IF($L450="","",SUMIFS('Per Line'!$X$2:$X$2501,'Per Line'!$D$2:$D$2501,$B450))</f>
        <v/>
      </c>
      <c r="I450" s="5">
        <f>IF($L450="","",SUMIFS('Per Line'!$Y$2:$Y$2501,'Per Line'!$D$2:$D$2501,$B450))</f>
        <v/>
      </c>
      <c r="J450" s="5">
        <f>IF($L450="","",G450-H450)</f>
        <v/>
      </c>
      <c r="K450" s="5">
        <f>IF($L450="","",J450-I450)</f>
        <v/>
      </c>
      <c r="L450">
        <f>IF(ROWS($L$2:$L450)&lt;=MAX('Per Line'!$AD$2:$AD$2501),MATCH(ROWS($L$2:$L450),'Per Line'!$AD$2:$AD$2501,0),"")</f>
        <v/>
      </c>
      <c r="M450">
        <f>IF($L450="","",INDEX('Per Line'!$E$2:$E$2501,$L450))</f>
        <v/>
      </c>
    </row>
    <row r="451">
      <c r="A451">
        <f>IF($L451="","",INDEX('Per Line'!$C$2:$C$2501,$L451))</f>
        <v/>
      </c>
      <c r="B451">
        <f>IF($L451="","",INDEX('Per Line'!$D$2:$D$2501,$L451))</f>
        <v/>
      </c>
      <c r="C451">
        <f>IF($L451="","",INDEX('Per Line'!$A$2:$A$2501,$L451))</f>
        <v/>
      </c>
      <c r="F451">
        <f>IF($L451="","",INDEX('Per Line'!$U$2:$U$2501,$L451))</f>
        <v/>
      </c>
      <c r="G451" s="5">
        <f>IF($L451="","",SUMIFS('Per Line'!$W$2:$W$2501,'Per Line'!$D$2:$D$2501,$B451))</f>
        <v/>
      </c>
      <c r="H451" s="5">
        <f>IF($L451="","",SUMIFS('Per Line'!$X$2:$X$2501,'Per Line'!$D$2:$D$2501,$B451))</f>
        <v/>
      </c>
      <c r="I451" s="5">
        <f>IF($L451="","",SUMIFS('Per Line'!$Y$2:$Y$2501,'Per Line'!$D$2:$D$2501,$B451))</f>
        <v/>
      </c>
      <c r="J451" s="5">
        <f>IF($L451="","",G451-H451)</f>
        <v/>
      </c>
      <c r="K451" s="5">
        <f>IF($L451="","",J451-I451)</f>
        <v/>
      </c>
      <c r="L451">
        <f>IF(ROWS($L$2:$L451)&lt;=MAX('Per Line'!$AD$2:$AD$2501),MATCH(ROWS($L$2:$L451),'Per Line'!$AD$2:$AD$2501,0),"")</f>
        <v/>
      </c>
      <c r="M451">
        <f>IF($L451="","",INDEX('Per Line'!$E$2:$E$2501,$L451))</f>
        <v/>
      </c>
    </row>
    <row r="452">
      <c r="A452">
        <f>IF($L452="","",INDEX('Per Line'!$C$2:$C$2501,$L452))</f>
        <v/>
      </c>
      <c r="B452">
        <f>IF($L452="","",INDEX('Per Line'!$D$2:$D$2501,$L452))</f>
        <v/>
      </c>
      <c r="C452">
        <f>IF($L452="","",INDEX('Per Line'!$A$2:$A$2501,$L452))</f>
        <v/>
      </c>
      <c r="F452">
        <f>IF($L452="","",INDEX('Per Line'!$U$2:$U$2501,$L452))</f>
        <v/>
      </c>
      <c r="G452" s="5">
        <f>IF($L452="","",SUMIFS('Per Line'!$W$2:$W$2501,'Per Line'!$D$2:$D$2501,$B452))</f>
        <v/>
      </c>
      <c r="H452" s="5">
        <f>IF($L452="","",SUMIFS('Per Line'!$X$2:$X$2501,'Per Line'!$D$2:$D$2501,$B452))</f>
        <v/>
      </c>
      <c r="I452" s="5">
        <f>IF($L452="","",SUMIFS('Per Line'!$Y$2:$Y$2501,'Per Line'!$D$2:$D$2501,$B452))</f>
        <v/>
      </c>
      <c r="J452" s="5">
        <f>IF($L452="","",G452-H452)</f>
        <v/>
      </c>
      <c r="K452" s="5">
        <f>IF($L452="","",J452-I452)</f>
        <v/>
      </c>
      <c r="L452">
        <f>IF(ROWS($L$2:$L452)&lt;=MAX('Per Line'!$AD$2:$AD$2501),MATCH(ROWS($L$2:$L452),'Per Line'!$AD$2:$AD$2501,0),"")</f>
        <v/>
      </c>
      <c r="M452">
        <f>IF($L452="","",INDEX('Per Line'!$E$2:$E$2501,$L452))</f>
        <v/>
      </c>
    </row>
    <row r="453">
      <c r="A453">
        <f>IF($L453="","",INDEX('Per Line'!$C$2:$C$2501,$L453))</f>
        <v/>
      </c>
      <c r="B453">
        <f>IF($L453="","",INDEX('Per Line'!$D$2:$D$2501,$L453))</f>
        <v/>
      </c>
      <c r="C453">
        <f>IF($L453="","",INDEX('Per Line'!$A$2:$A$2501,$L453))</f>
        <v/>
      </c>
      <c r="F453">
        <f>IF($L453="","",INDEX('Per Line'!$U$2:$U$2501,$L453))</f>
        <v/>
      </c>
      <c r="G453" s="5">
        <f>IF($L453="","",SUMIFS('Per Line'!$W$2:$W$2501,'Per Line'!$D$2:$D$2501,$B453))</f>
        <v/>
      </c>
      <c r="H453" s="5">
        <f>IF($L453="","",SUMIFS('Per Line'!$X$2:$X$2501,'Per Line'!$D$2:$D$2501,$B453))</f>
        <v/>
      </c>
      <c r="I453" s="5">
        <f>IF($L453="","",SUMIFS('Per Line'!$Y$2:$Y$2501,'Per Line'!$D$2:$D$2501,$B453))</f>
        <v/>
      </c>
      <c r="J453" s="5">
        <f>IF($L453="","",G453-H453)</f>
        <v/>
      </c>
      <c r="K453" s="5">
        <f>IF($L453="","",J453-I453)</f>
        <v/>
      </c>
      <c r="L453">
        <f>IF(ROWS($L$2:$L453)&lt;=MAX('Per Line'!$AD$2:$AD$2501),MATCH(ROWS($L$2:$L453),'Per Line'!$AD$2:$AD$2501,0),"")</f>
        <v/>
      </c>
      <c r="M453">
        <f>IF($L453="","",INDEX('Per Line'!$E$2:$E$2501,$L453))</f>
        <v/>
      </c>
    </row>
    <row r="454">
      <c r="A454">
        <f>IF($L454="","",INDEX('Per Line'!$C$2:$C$2501,$L454))</f>
        <v/>
      </c>
      <c r="B454">
        <f>IF($L454="","",INDEX('Per Line'!$D$2:$D$2501,$L454))</f>
        <v/>
      </c>
      <c r="C454">
        <f>IF($L454="","",INDEX('Per Line'!$A$2:$A$2501,$L454))</f>
        <v/>
      </c>
      <c r="F454">
        <f>IF($L454="","",INDEX('Per Line'!$U$2:$U$2501,$L454))</f>
        <v/>
      </c>
      <c r="G454" s="5">
        <f>IF($L454="","",SUMIFS('Per Line'!$W$2:$W$2501,'Per Line'!$D$2:$D$2501,$B454))</f>
        <v/>
      </c>
      <c r="H454" s="5">
        <f>IF($L454="","",SUMIFS('Per Line'!$X$2:$X$2501,'Per Line'!$D$2:$D$2501,$B454))</f>
        <v/>
      </c>
      <c r="I454" s="5">
        <f>IF($L454="","",SUMIFS('Per Line'!$Y$2:$Y$2501,'Per Line'!$D$2:$D$2501,$B454))</f>
        <v/>
      </c>
      <c r="J454" s="5">
        <f>IF($L454="","",G454-H454)</f>
        <v/>
      </c>
      <c r="K454" s="5">
        <f>IF($L454="","",J454-I454)</f>
        <v/>
      </c>
      <c r="L454">
        <f>IF(ROWS($L$2:$L454)&lt;=MAX('Per Line'!$AD$2:$AD$2501),MATCH(ROWS($L$2:$L454),'Per Line'!$AD$2:$AD$2501,0),"")</f>
        <v/>
      </c>
      <c r="M454">
        <f>IF($L454="","",INDEX('Per Line'!$E$2:$E$2501,$L454))</f>
        <v/>
      </c>
    </row>
    <row r="455">
      <c r="A455">
        <f>IF($L455="","",INDEX('Per Line'!$C$2:$C$2501,$L455))</f>
        <v/>
      </c>
      <c r="B455">
        <f>IF($L455="","",INDEX('Per Line'!$D$2:$D$2501,$L455))</f>
        <v/>
      </c>
      <c r="C455">
        <f>IF($L455="","",INDEX('Per Line'!$A$2:$A$2501,$L455))</f>
        <v/>
      </c>
      <c r="F455">
        <f>IF($L455="","",INDEX('Per Line'!$U$2:$U$2501,$L455))</f>
        <v/>
      </c>
      <c r="G455" s="5">
        <f>IF($L455="","",SUMIFS('Per Line'!$W$2:$W$2501,'Per Line'!$D$2:$D$2501,$B455))</f>
        <v/>
      </c>
      <c r="H455" s="5">
        <f>IF($L455="","",SUMIFS('Per Line'!$X$2:$X$2501,'Per Line'!$D$2:$D$2501,$B455))</f>
        <v/>
      </c>
      <c r="I455" s="5">
        <f>IF($L455="","",SUMIFS('Per Line'!$Y$2:$Y$2501,'Per Line'!$D$2:$D$2501,$B455))</f>
        <v/>
      </c>
      <c r="J455" s="5">
        <f>IF($L455="","",G455-H455)</f>
        <v/>
      </c>
      <c r="K455" s="5">
        <f>IF($L455="","",J455-I455)</f>
        <v/>
      </c>
      <c r="L455">
        <f>IF(ROWS($L$2:$L455)&lt;=MAX('Per Line'!$AD$2:$AD$2501),MATCH(ROWS($L$2:$L455),'Per Line'!$AD$2:$AD$2501,0),"")</f>
        <v/>
      </c>
      <c r="M455">
        <f>IF($L455="","",INDEX('Per Line'!$E$2:$E$2501,$L455))</f>
        <v/>
      </c>
    </row>
    <row r="456">
      <c r="A456">
        <f>IF($L456="","",INDEX('Per Line'!$C$2:$C$2501,$L456))</f>
        <v/>
      </c>
      <c r="B456">
        <f>IF($L456="","",INDEX('Per Line'!$D$2:$D$2501,$L456))</f>
        <v/>
      </c>
      <c r="C456">
        <f>IF($L456="","",INDEX('Per Line'!$A$2:$A$2501,$L456))</f>
        <v/>
      </c>
      <c r="F456">
        <f>IF($L456="","",INDEX('Per Line'!$U$2:$U$2501,$L456))</f>
        <v/>
      </c>
      <c r="G456" s="5">
        <f>IF($L456="","",SUMIFS('Per Line'!$W$2:$W$2501,'Per Line'!$D$2:$D$2501,$B456))</f>
        <v/>
      </c>
      <c r="H456" s="5">
        <f>IF($L456="","",SUMIFS('Per Line'!$X$2:$X$2501,'Per Line'!$D$2:$D$2501,$B456))</f>
        <v/>
      </c>
      <c r="I456" s="5">
        <f>IF($L456="","",SUMIFS('Per Line'!$Y$2:$Y$2501,'Per Line'!$D$2:$D$2501,$B456))</f>
        <v/>
      </c>
      <c r="J456" s="5">
        <f>IF($L456="","",G456-H456)</f>
        <v/>
      </c>
      <c r="K456" s="5">
        <f>IF($L456="","",J456-I456)</f>
        <v/>
      </c>
      <c r="L456">
        <f>IF(ROWS($L$2:$L456)&lt;=MAX('Per Line'!$AD$2:$AD$2501),MATCH(ROWS($L$2:$L456),'Per Line'!$AD$2:$AD$2501,0),"")</f>
        <v/>
      </c>
      <c r="M456">
        <f>IF($L456="","",INDEX('Per Line'!$E$2:$E$2501,$L456))</f>
        <v/>
      </c>
    </row>
    <row r="457">
      <c r="A457">
        <f>IF($L457="","",INDEX('Per Line'!$C$2:$C$2501,$L457))</f>
        <v/>
      </c>
      <c r="B457">
        <f>IF($L457="","",INDEX('Per Line'!$D$2:$D$2501,$L457))</f>
        <v/>
      </c>
      <c r="C457">
        <f>IF($L457="","",INDEX('Per Line'!$A$2:$A$2501,$L457))</f>
        <v/>
      </c>
      <c r="F457">
        <f>IF($L457="","",INDEX('Per Line'!$U$2:$U$2501,$L457))</f>
        <v/>
      </c>
      <c r="G457" s="5">
        <f>IF($L457="","",SUMIFS('Per Line'!$W$2:$W$2501,'Per Line'!$D$2:$D$2501,$B457))</f>
        <v/>
      </c>
      <c r="H457" s="5">
        <f>IF($L457="","",SUMIFS('Per Line'!$X$2:$X$2501,'Per Line'!$D$2:$D$2501,$B457))</f>
        <v/>
      </c>
      <c r="I457" s="5">
        <f>IF($L457="","",SUMIFS('Per Line'!$Y$2:$Y$2501,'Per Line'!$D$2:$D$2501,$B457))</f>
        <v/>
      </c>
      <c r="J457" s="5">
        <f>IF($L457="","",G457-H457)</f>
        <v/>
      </c>
      <c r="K457" s="5">
        <f>IF($L457="","",J457-I457)</f>
        <v/>
      </c>
      <c r="L457">
        <f>IF(ROWS($L$2:$L457)&lt;=MAX('Per Line'!$AD$2:$AD$2501),MATCH(ROWS($L$2:$L457),'Per Line'!$AD$2:$AD$2501,0),"")</f>
        <v/>
      </c>
      <c r="M457">
        <f>IF($L457="","",INDEX('Per Line'!$E$2:$E$2501,$L457))</f>
        <v/>
      </c>
    </row>
    <row r="458">
      <c r="A458">
        <f>IF($L458="","",INDEX('Per Line'!$C$2:$C$2501,$L458))</f>
        <v/>
      </c>
      <c r="B458">
        <f>IF($L458="","",INDEX('Per Line'!$D$2:$D$2501,$L458))</f>
        <v/>
      </c>
      <c r="C458">
        <f>IF($L458="","",INDEX('Per Line'!$A$2:$A$2501,$L458))</f>
        <v/>
      </c>
      <c r="F458">
        <f>IF($L458="","",INDEX('Per Line'!$U$2:$U$2501,$L458))</f>
        <v/>
      </c>
      <c r="G458" s="5">
        <f>IF($L458="","",SUMIFS('Per Line'!$W$2:$W$2501,'Per Line'!$D$2:$D$2501,$B458))</f>
        <v/>
      </c>
      <c r="H458" s="5">
        <f>IF($L458="","",SUMIFS('Per Line'!$X$2:$X$2501,'Per Line'!$D$2:$D$2501,$B458))</f>
        <v/>
      </c>
      <c r="I458" s="5">
        <f>IF($L458="","",SUMIFS('Per Line'!$Y$2:$Y$2501,'Per Line'!$D$2:$D$2501,$B458))</f>
        <v/>
      </c>
      <c r="J458" s="5">
        <f>IF($L458="","",G458-H458)</f>
        <v/>
      </c>
      <c r="K458" s="5">
        <f>IF($L458="","",J458-I458)</f>
        <v/>
      </c>
      <c r="L458">
        <f>IF(ROWS($L$2:$L458)&lt;=MAX('Per Line'!$AD$2:$AD$2501),MATCH(ROWS($L$2:$L458),'Per Line'!$AD$2:$AD$2501,0),"")</f>
        <v/>
      </c>
      <c r="M458">
        <f>IF($L458="","",INDEX('Per Line'!$E$2:$E$2501,$L458))</f>
        <v/>
      </c>
    </row>
    <row r="459">
      <c r="A459">
        <f>IF($L459="","",INDEX('Per Line'!$C$2:$C$2501,$L459))</f>
        <v/>
      </c>
      <c r="B459">
        <f>IF($L459="","",INDEX('Per Line'!$D$2:$D$2501,$L459))</f>
        <v/>
      </c>
      <c r="C459">
        <f>IF($L459="","",INDEX('Per Line'!$A$2:$A$2501,$L459))</f>
        <v/>
      </c>
      <c r="F459">
        <f>IF($L459="","",INDEX('Per Line'!$U$2:$U$2501,$L459))</f>
        <v/>
      </c>
      <c r="G459" s="5">
        <f>IF($L459="","",SUMIFS('Per Line'!$W$2:$W$2501,'Per Line'!$D$2:$D$2501,$B459))</f>
        <v/>
      </c>
      <c r="H459" s="5">
        <f>IF($L459="","",SUMIFS('Per Line'!$X$2:$X$2501,'Per Line'!$D$2:$D$2501,$B459))</f>
        <v/>
      </c>
      <c r="I459" s="5">
        <f>IF($L459="","",SUMIFS('Per Line'!$Y$2:$Y$2501,'Per Line'!$D$2:$D$2501,$B459))</f>
        <v/>
      </c>
      <c r="J459" s="5">
        <f>IF($L459="","",G459-H459)</f>
        <v/>
      </c>
      <c r="K459" s="5">
        <f>IF($L459="","",J459-I459)</f>
        <v/>
      </c>
      <c r="L459">
        <f>IF(ROWS($L$2:$L459)&lt;=MAX('Per Line'!$AD$2:$AD$2501),MATCH(ROWS($L$2:$L459),'Per Line'!$AD$2:$AD$2501,0),"")</f>
        <v/>
      </c>
      <c r="M459">
        <f>IF($L459="","",INDEX('Per Line'!$E$2:$E$2501,$L459))</f>
        <v/>
      </c>
    </row>
    <row r="460">
      <c r="A460">
        <f>IF($L460="","",INDEX('Per Line'!$C$2:$C$2501,$L460))</f>
        <v/>
      </c>
      <c r="B460">
        <f>IF($L460="","",INDEX('Per Line'!$D$2:$D$2501,$L460))</f>
        <v/>
      </c>
      <c r="C460">
        <f>IF($L460="","",INDEX('Per Line'!$A$2:$A$2501,$L460))</f>
        <v/>
      </c>
      <c r="F460">
        <f>IF($L460="","",INDEX('Per Line'!$U$2:$U$2501,$L460))</f>
        <v/>
      </c>
      <c r="G460" s="5">
        <f>IF($L460="","",SUMIFS('Per Line'!$W$2:$W$2501,'Per Line'!$D$2:$D$2501,$B460))</f>
        <v/>
      </c>
      <c r="H460" s="5">
        <f>IF($L460="","",SUMIFS('Per Line'!$X$2:$X$2501,'Per Line'!$D$2:$D$2501,$B460))</f>
        <v/>
      </c>
      <c r="I460" s="5">
        <f>IF($L460="","",SUMIFS('Per Line'!$Y$2:$Y$2501,'Per Line'!$D$2:$D$2501,$B460))</f>
        <v/>
      </c>
      <c r="J460" s="5">
        <f>IF($L460="","",G460-H460)</f>
        <v/>
      </c>
      <c r="K460" s="5">
        <f>IF($L460="","",J460-I460)</f>
        <v/>
      </c>
      <c r="L460">
        <f>IF(ROWS($L$2:$L460)&lt;=MAX('Per Line'!$AD$2:$AD$2501),MATCH(ROWS($L$2:$L460),'Per Line'!$AD$2:$AD$2501,0),"")</f>
        <v/>
      </c>
      <c r="M460">
        <f>IF($L460="","",INDEX('Per Line'!$E$2:$E$2501,$L460))</f>
        <v/>
      </c>
    </row>
    <row r="461">
      <c r="A461">
        <f>IF($L461="","",INDEX('Per Line'!$C$2:$C$2501,$L461))</f>
        <v/>
      </c>
      <c r="B461">
        <f>IF($L461="","",INDEX('Per Line'!$D$2:$D$2501,$L461))</f>
        <v/>
      </c>
      <c r="C461">
        <f>IF($L461="","",INDEX('Per Line'!$A$2:$A$2501,$L461))</f>
        <v/>
      </c>
      <c r="F461">
        <f>IF($L461="","",INDEX('Per Line'!$U$2:$U$2501,$L461))</f>
        <v/>
      </c>
      <c r="G461" s="5">
        <f>IF($L461="","",SUMIFS('Per Line'!$W$2:$W$2501,'Per Line'!$D$2:$D$2501,$B461))</f>
        <v/>
      </c>
      <c r="H461" s="5">
        <f>IF($L461="","",SUMIFS('Per Line'!$X$2:$X$2501,'Per Line'!$D$2:$D$2501,$B461))</f>
        <v/>
      </c>
      <c r="I461" s="5">
        <f>IF($L461="","",SUMIFS('Per Line'!$Y$2:$Y$2501,'Per Line'!$D$2:$D$2501,$B461))</f>
        <v/>
      </c>
      <c r="J461" s="5">
        <f>IF($L461="","",G461-H461)</f>
        <v/>
      </c>
      <c r="K461" s="5">
        <f>IF($L461="","",J461-I461)</f>
        <v/>
      </c>
      <c r="L461">
        <f>IF(ROWS($L$2:$L461)&lt;=MAX('Per Line'!$AD$2:$AD$2501),MATCH(ROWS($L$2:$L461),'Per Line'!$AD$2:$AD$2501,0),"")</f>
        <v/>
      </c>
      <c r="M461">
        <f>IF($L461="","",INDEX('Per Line'!$E$2:$E$2501,$L461))</f>
        <v/>
      </c>
    </row>
    <row r="462">
      <c r="A462">
        <f>IF($L462="","",INDEX('Per Line'!$C$2:$C$2501,$L462))</f>
        <v/>
      </c>
      <c r="B462">
        <f>IF($L462="","",INDEX('Per Line'!$D$2:$D$2501,$L462))</f>
        <v/>
      </c>
      <c r="C462">
        <f>IF($L462="","",INDEX('Per Line'!$A$2:$A$2501,$L462))</f>
        <v/>
      </c>
      <c r="F462">
        <f>IF($L462="","",INDEX('Per Line'!$U$2:$U$2501,$L462))</f>
        <v/>
      </c>
      <c r="G462" s="5">
        <f>IF($L462="","",SUMIFS('Per Line'!$W$2:$W$2501,'Per Line'!$D$2:$D$2501,$B462))</f>
        <v/>
      </c>
      <c r="H462" s="5">
        <f>IF($L462="","",SUMIFS('Per Line'!$X$2:$X$2501,'Per Line'!$D$2:$D$2501,$B462))</f>
        <v/>
      </c>
      <c r="I462" s="5">
        <f>IF($L462="","",SUMIFS('Per Line'!$Y$2:$Y$2501,'Per Line'!$D$2:$D$2501,$B462))</f>
        <v/>
      </c>
      <c r="J462" s="5">
        <f>IF($L462="","",G462-H462)</f>
        <v/>
      </c>
      <c r="K462" s="5">
        <f>IF($L462="","",J462-I462)</f>
        <v/>
      </c>
      <c r="L462">
        <f>IF(ROWS($L$2:$L462)&lt;=MAX('Per Line'!$AD$2:$AD$2501),MATCH(ROWS($L$2:$L462),'Per Line'!$AD$2:$AD$2501,0),"")</f>
        <v/>
      </c>
      <c r="M462">
        <f>IF($L462="","",INDEX('Per Line'!$E$2:$E$2501,$L462))</f>
        <v/>
      </c>
    </row>
    <row r="463">
      <c r="A463">
        <f>IF($L463="","",INDEX('Per Line'!$C$2:$C$2501,$L463))</f>
        <v/>
      </c>
      <c r="B463">
        <f>IF($L463="","",INDEX('Per Line'!$D$2:$D$2501,$L463))</f>
        <v/>
      </c>
      <c r="C463">
        <f>IF($L463="","",INDEX('Per Line'!$A$2:$A$2501,$L463))</f>
        <v/>
      </c>
      <c r="F463">
        <f>IF($L463="","",INDEX('Per Line'!$U$2:$U$2501,$L463))</f>
        <v/>
      </c>
      <c r="G463" s="5">
        <f>IF($L463="","",SUMIFS('Per Line'!$W$2:$W$2501,'Per Line'!$D$2:$D$2501,$B463))</f>
        <v/>
      </c>
      <c r="H463" s="5">
        <f>IF($L463="","",SUMIFS('Per Line'!$X$2:$X$2501,'Per Line'!$D$2:$D$2501,$B463))</f>
        <v/>
      </c>
      <c r="I463" s="5">
        <f>IF($L463="","",SUMIFS('Per Line'!$Y$2:$Y$2501,'Per Line'!$D$2:$D$2501,$B463))</f>
        <v/>
      </c>
      <c r="J463" s="5">
        <f>IF($L463="","",G463-H463)</f>
        <v/>
      </c>
      <c r="K463" s="5">
        <f>IF($L463="","",J463-I463)</f>
        <v/>
      </c>
      <c r="L463">
        <f>IF(ROWS($L$2:$L463)&lt;=MAX('Per Line'!$AD$2:$AD$2501),MATCH(ROWS($L$2:$L463),'Per Line'!$AD$2:$AD$2501,0),"")</f>
        <v/>
      </c>
      <c r="M463">
        <f>IF($L463="","",INDEX('Per Line'!$E$2:$E$2501,$L463))</f>
        <v/>
      </c>
    </row>
    <row r="464">
      <c r="A464">
        <f>IF($L464="","",INDEX('Per Line'!$C$2:$C$2501,$L464))</f>
        <v/>
      </c>
      <c r="B464">
        <f>IF($L464="","",INDEX('Per Line'!$D$2:$D$2501,$L464))</f>
        <v/>
      </c>
      <c r="C464">
        <f>IF($L464="","",INDEX('Per Line'!$A$2:$A$2501,$L464))</f>
        <v/>
      </c>
      <c r="F464">
        <f>IF($L464="","",INDEX('Per Line'!$U$2:$U$2501,$L464))</f>
        <v/>
      </c>
      <c r="G464" s="5">
        <f>IF($L464="","",SUMIFS('Per Line'!$W$2:$W$2501,'Per Line'!$D$2:$D$2501,$B464))</f>
        <v/>
      </c>
      <c r="H464" s="5">
        <f>IF($L464="","",SUMIFS('Per Line'!$X$2:$X$2501,'Per Line'!$D$2:$D$2501,$B464))</f>
        <v/>
      </c>
      <c r="I464" s="5">
        <f>IF($L464="","",SUMIFS('Per Line'!$Y$2:$Y$2501,'Per Line'!$D$2:$D$2501,$B464))</f>
        <v/>
      </c>
      <c r="J464" s="5">
        <f>IF($L464="","",G464-H464)</f>
        <v/>
      </c>
      <c r="K464" s="5">
        <f>IF($L464="","",J464-I464)</f>
        <v/>
      </c>
      <c r="L464">
        <f>IF(ROWS($L$2:$L464)&lt;=MAX('Per Line'!$AD$2:$AD$2501),MATCH(ROWS($L$2:$L464),'Per Line'!$AD$2:$AD$2501,0),"")</f>
        <v/>
      </c>
      <c r="M464">
        <f>IF($L464="","",INDEX('Per Line'!$E$2:$E$2501,$L464))</f>
        <v/>
      </c>
    </row>
    <row r="465">
      <c r="A465">
        <f>IF($L465="","",INDEX('Per Line'!$C$2:$C$2501,$L465))</f>
        <v/>
      </c>
      <c r="B465">
        <f>IF($L465="","",INDEX('Per Line'!$D$2:$D$2501,$L465))</f>
        <v/>
      </c>
      <c r="C465">
        <f>IF($L465="","",INDEX('Per Line'!$A$2:$A$2501,$L465))</f>
        <v/>
      </c>
      <c r="F465">
        <f>IF($L465="","",INDEX('Per Line'!$U$2:$U$2501,$L465))</f>
        <v/>
      </c>
      <c r="G465" s="5">
        <f>IF($L465="","",SUMIFS('Per Line'!$W$2:$W$2501,'Per Line'!$D$2:$D$2501,$B465))</f>
        <v/>
      </c>
      <c r="H465" s="5">
        <f>IF($L465="","",SUMIFS('Per Line'!$X$2:$X$2501,'Per Line'!$D$2:$D$2501,$B465))</f>
        <v/>
      </c>
      <c r="I465" s="5">
        <f>IF($L465="","",SUMIFS('Per Line'!$Y$2:$Y$2501,'Per Line'!$D$2:$D$2501,$B465))</f>
        <v/>
      </c>
      <c r="J465" s="5">
        <f>IF($L465="","",G465-H465)</f>
        <v/>
      </c>
      <c r="K465" s="5">
        <f>IF($L465="","",J465-I465)</f>
        <v/>
      </c>
      <c r="L465">
        <f>IF(ROWS($L$2:$L465)&lt;=MAX('Per Line'!$AD$2:$AD$2501),MATCH(ROWS($L$2:$L465),'Per Line'!$AD$2:$AD$2501,0),"")</f>
        <v/>
      </c>
      <c r="M465">
        <f>IF($L465="","",INDEX('Per Line'!$E$2:$E$2501,$L465))</f>
        <v/>
      </c>
    </row>
    <row r="466">
      <c r="A466">
        <f>IF($L466="","",INDEX('Per Line'!$C$2:$C$2501,$L466))</f>
        <v/>
      </c>
      <c r="B466">
        <f>IF($L466="","",INDEX('Per Line'!$D$2:$D$2501,$L466))</f>
        <v/>
      </c>
      <c r="C466">
        <f>IF($L466="","",INDEX('Per Line'!$A$2:$A$2501,$L466))</f>
        <v/>
      </c>
      <c r="F466">
        <f>IF($L466="","",INDEX('Per Line'!$U$2:$U$2501,$L466))</f>
        <v/>
      </c>
      <c r="G466" s="5">
        <f>IF($L466="","",SUMIFS('Per Line'!$W$2:$W$2501,'Per Line'!$D$2:$D$2501,$B466))</f>
        <v/>
      </c>
      <c r="H466" s="5">
        <f>IF($L466="","",SUMIFS('Per Line'!$X$2:$X$2501,'Per Line'!$D$2:$D$2501,$B466))</f>
        <v/>
      </c>
      <c r="I466" s="5">
        <f>IF($L466="","",SUMIFS('Per Line'!$Y$2:$Y$2501,'Per Line'!$D$2:$D$2501,$B466))</f>
        <v/>
      </c>
      <c r="J466" s="5">
        <f>IF($L466="","",G466-H466)</f>
        <v/>
      </c>
      <c r="K466" s="5">
        <f>IF($L466="","",J466-I466)</f>
        <v/>
      </c>
      <c r="L466">
        <f>IF(ROWS($L$2:$L466)&lt;=MAX('Per Line'!$AD$2:$AD$2501),MATCH(ROWS($L$2:$L466),'Per Line'!$AD$2:$AD$2501,0),"")</f>
        <v/>
      </c>
      <c r="M466">
        <f>IF($L466="","",INDEX('Per Line'!$E$2:$E$2501,$L466))</f>
        <v/>
      </c>
    </row>
    <row r="467">
      <c r="A467">
        <f>IF($L467="","",INDEX('Per Line'!$C$2:$C$2501,$L467))</f>
        <v/>
      </c>
      <c r="B467">
        <f>IF($L467="","",INDEX('Per Line'!$D$2:$D$2501,$L467))</f>
        <v/>
      </c>
      <c r="C467">
        <f>IF($L467="","",INDEX('Per Line'!$A$2:$A$2501,$L467))</f>
        <v/>
      </c>
      <c r="F467">
        <f>IF($L467="","",INDEX('Per Line'!$U$2:$U$2501,$L467))</f>
        <v/>
      </c>
      <c r="G467" s="5">
        <f>IF($L467="","",SUMIFS('Per Line'!$W$2:$W$2501,'Per Line'!$D$2:$D$2501,$B467))</f>
        <v/>
      </c>
      <c r="H467" s="5">
        <f>IF($L467="","",SUMIFS('Per Line'!$X$2:$X$2501,'Per Line'!$D$2:$D$2501,$B467))</f>
        <v/>
      </c>
      <c r="I467" s="5">
        <f>IF($L467="","",SUMIFS('Per Line'!$Y$2:$Y$2501,'Per Line'!$D$2:$D$2501,$B467))</f>
        <v/>
      </c>
      <c r="J467" s="5">
        <f>IF($L467="","",G467-H467)</f>
        <v/>
      </c>
      <c r="K467" s="5">
        <f>IF($L467="","",J467-I467)</f>
        <v/>
      </c>
      <c r="L467">
        <f>IF(ROWS($L$2:$L467)&lt;=MAX('Per Line'!$AD$2:$AD$2501),MATCH(ROWS($L$2:$L467),'Per Line'!$AD$2:$AD$2501,0),"")</f>
        <v/>
      </c>
      <c r="M467">
        <f>IF($L467="","",INDEX('Per Line'!$E$2:$E$2501,$L467))</f>
        <v/>
      </c>
    </row>
    <row r="468">
      <c r="A468">
        <f>IF($L468="","",INDEX('Per Line'!$C$2:$C$2501,$L468))</f>
        <v/>
      </c>
      <c r="B468">
        <f>IF($L468="","",INDEX('Per Line'!$D$2:$D$2501,$L468))</f>
        <v/>
      </c>
      <c r="C468">
        <f>IF($L468="","",INDEX('Per Line'!$A$2:$A$2501,$L468))</f>
        <v/>
      </c>
      <c r="F468">
        <f>IF($L468="","",INDEX('Per Line'!$U$2:$U$2501,$L468))</f>
        <v/>
      </c>
      <c r="G468" s="5">
        <f>IF($L468="","",SUMIFS('Per Line'!$W$2:$W$2501,'Per Line'!$D$2:$D$2501,$B468))</f>
        <v/>
      </c>
      <c r="H468" s="5">
        <f>IF($L468="","",SUMIFS('Per Line'!$X$2:$X$2501,'Per Line'!$D$2:$D$2501,$B468))</f>
        <v/>
      </c>
      <c r="I468" s="5">
        <f>IF($L468="","",SUMIFS('Per Line'!$Y$2:$Y$2501,'Per Line'!$D$2:$D$2501,$B468))</f>
        <v/>
      </c>
      <c r="J468" s="5">
        <f>IF($L468="","",G468-H468)</f>
        <v/>
      </c>
      <c r="K468" s="5">
        <f>IF($L468="","",J468-I468)</f>
        <v/>
      </c>
      <c r="L468">
        <f>IF(ROWS($L$2:$L468)&lt;=MAX('Per Line'!$AD$2:$AD$2501),MATCH(ROWS($L$2:$L468),'Per Line'!$AD$2:$AD$2501,0),"")</f>
        <v/>
      </c>
      <c r="M468">
        <f>IF($L468="","",INDEX('Per Line'!$E$2:$E$2501,$L468))</f>
        <v/>
      </c>
    </row>
    <row r="469">
      <c r="A469">
        <f>IF($L469="","",INDEX('Per Line'!$C$2:$C$2501,$L469))</f>
        <v/>
      </c>
      <c r="B469">
        <f>IF($L469="","",INDEX('Per Line'!$D$2:$D$2501,$L469))</f>
        <v/>
      </c>
      <c r="C469">
        <f>IF($L469="","",INDEX('Per Line'!$A$2:$A$2501,$L469))</f>
        <v/>
      </c>
      <c r="F469">
        <f>IF($L469="","",INDEX('Per Line'!$U$2:$U$2501,$L469))</f>
        <v/>
      </c>
      <c r="G469" s="5">
        <f>IF($L469="","",SUMIFS('Per Line'!$W$2:$W$2501,'Per Line'!$D$2:$D$2501,$B469))</f>
        <v/>
      </c>
      <c r="H469" s="5">
        <f>IF($L469="","",SUMIFS('Per Line'!$X$2:$X$2501,'Per Line'!$D$2:$D$2501,$B469))</f>
        <v/>
      </c>
      <c r="I469" s="5">
        <f>IF($L469="","",SUMIFS('Per Line'!$Y$2:$Y$2501,'Per Line'!$D$2:$D$2501,$B469))</f>
        <v/>
      </c>
      <c r="J469" s="5">
        <f>IF($L469="","",G469-H469)</f>
        <v/>
      </c>
      <c r="K469" s="5">
        <f>IF($L469="","",J469-I469)</f>
        <v/>
      </c>
      <c r="L469">
        <f>IF(ROWS($L$2:$L469)&lt;=MAX('Per Line'!$AD$2:$AD$2501),MATCH(ROWS($L$2:$L469),'Per Line'!$AD$2:$AD$2501,0),"")</f>
        <v/>
      </c>
      <c r="M469">
        <f>IF($L469="","",INDEX('Per Line'!$E$2:$E$2501,$L469))</f>
        <v/>
      </c>
    </row>
    <row r="470">
      <c r="A470">
        <f>IF($L470="","",INDEX('Per Line'!$C$2:$C$2501,$L470))</f>
        <v/>
      </c>
      <c r="B470">
        <f>IF($L470="","",INDEX('Per Line'!$D$2:$D$2501,$L470))</f>
        <v/>
      </c>
      <c r="C470">
        <f>IF($L470="","",INDEX('Per Line'!$A$2:$A$2501,$L470))</f>
        <v/>
      </c>
      <c r="F470">
        <f>IF($L470="","",INDEX('Per Line'!$U$2:$U$2501,$L470))</f>
        <v/>
      </c>
      <c r="G470" s="5">
        <f>IF($L470="","",SUMIFS('Per Line'!$W$2:$W$2501,'Per Line'!$D$2:$D$2501,$B470))</f>
        <v/>
      </c>
      <c r="H470" s="5">
        <f>IF($L470="","",SUMIFS('Per Line'!$X$2:$X$2501,'Per Line'!$D$2:$D$2501,$B470))</f>
        <v/>
      </c>
      <c r="I470" s="5">
        <f>IF($L470="","",SUMIFS('Per Line'!$Y$2:$Y$2501,'Per Line'!$D$2:$D$2501,$B470))</f>
        <v/>
      </c>
      <c r="J470" s="5">
        <f>IF($L470="","",G470-H470)</f>
        <v/>
      </c>
      <c r="K470" s="5">
        <f>IF($L470="","",J470-I470)</f>
        <v/>
      </c>
      <c r="L470">
        <f>IF(ROWS($L$2:$L470)&lt;=MAX('Per Line'!$AD$2:$AD$2501),MATCH(ROWS($L$2:$L470),'Per Line'!$AD$2:$AD$2501,0),"")</f>
        <v/>
      </c>
      <c r="M470">
        <f>IF($L470="","",INDEX('Per Line'!$E$2:$E$2501,$L470))</f>
        <v/>
      </c>
    </row>
    <row r="471">
      <c r="A471">
        <f>IF($L471="","",INDEX('Per Line'!$C$2:$C$2501,$L471))</f>
        <v/>
      </c>
      <c r="B471">
        <f>IF($L471="","",INDEX('Per Line'!$D$2:$D$2501,$L471))</f>
        <v/>
      </c>
      <c r="C471">
        <f>IF($L471="","",INDEX('Per Line'!$A$2:$A$2501,$L471))</f>
        <v/>
      </c>
      <c r="F471">
        <f>IF($L471="","",INDEX('Per Line'!$U$2:$U$2501,$L471))</f>
        <v/>
      </c>
      <c r="G471" s="5">
        <f>IF($L471="","",SUMIFS('Per Line'!$W$2:$W$2501,'Per Line'!$D$2:$D$2501,$B471))</f>
        <v/>
      </c>
      <c r="H471" s="5">
        <f>IF($L471="","",SUMIFS('Per Line'!$X$2:$X$2501,'Per Line'!$D$2:$D$2501,$B471))</f>
        <v/>
      </c>
      <c r="I471" s="5">
        <f>IF($L471="","",SUMIFS('Per Line'!$Y$2:$Y$2501,'Per Line'!$D$2:$D$2501,$B471))</f>
        <v/>
      </c>
      <c r="J471" s="5">
        <f>IF($L471="","",G471-H471)</f>
        <v/>
      </c>
      <c r="K471" s="5">
        <f>IF($L471="","",J471-I471)</f>
        <v/>
      </c>
      <c r="L471">
        <f>IF(ROWS($L$2:$L471)&lt;=MAX('Per Line'!$AD$2:$AD$2501),MATCH(ROWS($L$2:$L471),'Per Line'!$AD$2:$AD$2501,0),"")</f>
        <v/>
      </c>
      <c r="M471">
        <f>IF($L471="","",INDEX('Per Line'!$E$2:$E$2501,$L471))</f>
        <v/>
      </c>
    </row>
    <row r="472">
      <c r="A472">
        <f>IF($L472="","",INDEX('Per Line'!$C$2:$C$2501,$L472))</f>
        <v/>
      </c>
      <c r="B472">
        <f>IF($L472="","",INDEX('Per Line'!$D$2:$D$2501,$L472))</f>
        <v/>
      </c>
      <c r="C472">
        <f>IF($L472="","",INDEX('Per Line'!$A$2:$A$2501,$L472))</f>
        <v/>
      </c>
      <c r="F472">
        <f>IF($L472="","",INDEX('Per Line'!$U$2:$U$2501,$L472))</f>
        <v/>
      </c>
      <c r="G472" s="5">
        <f>IF($L472="","",SUMIFS('Per Line'!$W$2:$W$2501,'Per Line'!$D$2:$D$2501,$B472))</f>
        <v/>
      </c>
      <c r="H472" s="5">
        <f>IF($L472="","",SUMIFS('Per Line'!$X$2:$X$2501,'Per Line'!$D$2:$D$2501,$B472))</f>
        <v/>
      </c>
      <c r="I472" s="5">
        <f>IF($L472="","",SUMIFS('Per Line'!$Y$2:$Y$2501,'Per Line'!$D$2:$D$2501,$B472))</f>
        <v/>
      </c>
      <c r="J472" s="5">
        <f>IF($L472="","",G472-H472)</f>
        <v/>
      </c>
      <c r="K472" s="5">
        <f>IF($L472="","",J472-I472)</f>
        <v/>
      </c>
      <c r="L472">
        <f>IF(ROWS($L$2:$L472)&lt;=MAX('Per Line'!$AD$2:$AD$2501),MATCH(ROWS($L$2:$L472),'Per Line'!$AD$2:$AD$2501,0),"")</f>
        <v/>
      </c>
      <c r="M472">
        <f>IF($L472="","",INDEX('Per Line'!$E$2:$E$2501,$L472))</f>
        <v/>
      </c>
    </row>
    <row r="473">
      <c r="A473">
        <f>IF($L473="","",INDEX('Per Line'!$C$2:$C$2501,$L473))</f>
        <v/>
      </c>
      <c r="B473">
        <f>IF($L473="","",INDEX('Per Line'!$D$2:$D$2501,$L473))</f>
        <v/>
      </c>
      <c r="C473">
        <f>IF($L473="","",INDEX('Per Line'!$A$2:$A$2501,$L473))</f>
        <v/>
      </c>
      <c r="F473">
        <f>IF($L473="","",INDEX('Per Line'!$U$2:$U$2501,$L473))</f>
        <v/>
      </c>
      <c r="G473" s="5">
        <f>IF($L473="","",SUMIFS('Per Line'!$W$2:$W$2501,'Per Line'!$D$2:$D$2501,$B473))</f>
        <v/>
      </c>
      <c r="H473" s="5">
        <f>IF($L473="","",SUMIFS('Per Line'!$X$2:$X$2501,'Per Line'!$D$2:$D$2501,$B473))</f>
        <v/>
      </c>
      <c r="I473" s="5">
        <f>IF($L473="","",SUMIFS('Per Line'!$Y$2:$Y$2501,'Per Line'!$D$2:$D$2501,$B473))</f>
        <v/>
      </c>
      <c r="J473" s="5">
        <f>IF($L473="","",G473-H473)</f>
        <v/>
      </c>
      <c r="K473" s="5">
        <f>IF($L473="","",J473-I473)</f>
        <v/>
      </c>
      <c r="L473">
        <f>IF(ROWS($L$2:$L473)&lt;=MAX('Per Line'!$AD$2:$AD$2501),MATCH(ROWS($L$2:$L473),'Per Line'!$AD$2:$AD$2501,0),"")</f>
        <v/>
      </c>
      <c r="M473">
        <f>IF($L473="","",INDEX('Per Line'!$E$2:$E$2501,$L473))</f>
        <v/>
      </c>
    </row>
    <row r="474">
      <c r="A474">
        <f>IF($L474="","",INDEX('Per Line'!$C$2:$C$2501,$L474))</f>
        <v/>
      </c>
      <c r="B474">
        <f>IF($L474="","",INDEX('Per Line'!$D$2:$D$2501,$L474))</f>
        <v/>
      </c>
      <c r="C474">
        <f>IF($L474="","",INDEX('Per Line'!$A$2:$A$2501,$L474))</f>
        <v/>
      </c>
      <c r="F474">
        <f>IF($L474="","",INDEX('Per Line'!$U$2:$U$2501,$L474))</f>
        <v/>
      </c>
      <c r="G474" s="5">
        <f>IF($L474="","",SUMIFS('Per Line'!$W$2:$W$2501,'Per Line'!$D$2:$D$2501,$B474))</f>
        <v/>
      </c>
      <c r="H474" s="5">
        <f>IF($L474="","",SUMIFS('Per Line'!$X$2:$X$2501,'Per Line'!$D$2:$D$2501,$B474))</f>
        <v/>
      </c>
      <c r="I474" s="5">
        <f>IF($L474="","",SUMIFS('Per Line'!$Y$2:$Y$2501,'Per Line'!$D$2:$D$2501,$B474))</f>
        <v/>
      </c>
      <c r="J474" s="5">
        <f>IF($L474="","",G474-H474)</f>
        <v/>
      </c>
      <c r="K474" s="5">
        <f>IF($L474="","",J474-I474)</f>
        <v/>
      </c>
      <c r="L474">
        <f>IF(ROWS($L$2:$L474)&lt;=MAX('Per Line'!$AD$2:$AD$2501),MATCH(ROWS($L$2:$L474),'Per Line'!$AD$2:$AD$2501,0),"")</f>
        <v/>
      </c>
      <c r="M474">
        <f>IF($L474="","",INDEX('Per Line'!$E$2:$E$2501,$L474))</f>
        <v/>
      </c>
    </row>
    <row r="475">
      <c r="A475">
        <f>IF($L475="","",INDEX('Per Line'!$C$2:$C$2501,$L475))</f>
        <v/>
      </c>
      <c r="B475">
        <f>IF($L475="","",INDEX('Per Line'!$D$2:$D$2501,$L475))</f>
        <v/>
      </c>
      <c r="C475">
        <f>IF($L475="","",INDEX('Per Line'!$A$2:$A$2501,$L475))</f>
        <v/>
      </c>
      <c r="F475">
        <f>IF($L475="","",INDEX('Per Line'!$U$2:$U$2501,$L475))</f>
        <v/>
      </c>
      <c r="G475" s="5">
        <f>IF($L475="","",SUMIFS('Per Line'!$W$2:$W$2501,'Per Line'!$D$2:$D$2501,$B475))</f>
        <v/>
      </c>
      <c r="H475" s="5">
        <f>IF($L475="","",SUMIFS('Per Line'!$X$2:$X$2501,'Per Line'!$D$2:$D$2501,$B475))</f>
        <v/>
      </c>
      <c r="I475" s="5">
        <f>IF($L475="","",SUMIFS('Per Line'!$Y$2:$Y$2501,'Per Line'!$D$2:$D$2501,$B475))</f>
        <v/>
      </c>
      <c r="J475" s="5">
        <f>IF($L475="","",G475-H475)</f>
        <v/>
      </c>
      <c r="K475" s="5">
        <f>IF($L475="","",J475-I475)</f>
        <v/>
      </c>
      <c r="L475">
        <f>IF(ROWS($L$2:$L475)&lt;=MAX('Per Line'!$AD$2:$AD$2501),MATCH(ROWS($L$2:$L475),'Per Line'!$AD$2:$AD$2501,0),"")</f>
        <v/>
      </c>
      <c r="M475">
        <f>IF($L475="","",INDEX('Per Line'!$E$2:$E$2501,$L475))</f>
        <v/>
      </c>
    </row>
    <row r="476">
      <c r="A476">
        <f>IF($L476="","",INDEX('Per Line'!$C$2:$C$2501,$L476))</f>
        <v/>
      </c>
      <c r="B476">
        <f>IF($L476="","",INDEX('Per Line'!$D$2:$D$2501,$L476))</f>
        <v/>
      </c>
      <c r="C476">
        <f>IF($L476="","",INDEX('Per Line'!$A$2:$A$2501,$L476))</f>
        <v/>
      </c>
      <c r="F476">
        <f>IF($L476="","",INDEX('Per Line'!$U$2:$U$2501,$L476))</f>
        <v/>
      </c>
      <c r="G476" s="5">
        <f>IF($L476="","",SUMIFS('Per Line'!$W$2:$W$2501,'Per Line'!$D$2:$D$2501,$B476))</f>
        <v/>
      </c>
      <c r="H476" s="5">
        <f>IF($L476="","",SUMIFS('Per Line'!$X$2:$X$2501,'Per Line'!$D$2:$D$2501,$B476))</f>
        <v/>
      </c>
      <c r="I476" s="5">
        <f>IF($L476="","",SUMIFS('Per Line'!$Y$2:$Y$2501,'Per Line'!$D$2:$D$2501,$B476))</f>
        <v/>
      </c>
      <c r="J476" s="5">
        <f>IF($L476="","",G476-H476)</f>
        <v/>
      </c>
      <c r="K476" s="5">
        <f>IF($L476="","",J476-I476)</f>
        <v/>
      </c>
      <c r="L476">
        <f>IF(ROWS($L$2:$L476)&lt;=MAX('Per Line'!$AD$2:$AD$2501),MATCH(ROWS($L$2:$L476),'Per Line'!$AD$2:$AD$2501,0),"")</f>
        <v/>
      </c>
      <c r="M476">
        <f>IF($L476="","",INDEX('Per Line'!$E$2:$E$2501,$L476))</f>
        <v/>
      </c>
    </row>
    <row r="477">
      <c r="A477">
        <f>IF($L477="","",INDEX('Per Line'!$C$2:$C$2501,$L477))</f>
        <v/>
      </c>
      <c r="B477">
        <f>IF($L477="","",INDEX('Per Line'!$D$2:$D$2501,$L477))</f>
        <v/>
      </c>
      <c r="C477">
        <f>IF($L477="","",INDEX('Per Line'!$A$2:$A$2501,$L477))</f>
        <v/>
      </c>
      <c r="F477">
        <f>IF($L477="","",INDEX('Per Line'!$U$2:$U$2501,$L477))</f>
        <v/>
      </c>
      <c r="G477" s="5">
        <f>IF($L477="","",SUMIFS('Per Line'!$W$2:$W$2501,'Per Line'!$D$2:$D$2501,$B477))</f>
        <v/>
      </c>
      <c r="H477" s="5">
        <f>IF($L477="","",SUMIFS('Per Line'!$X$2:$X$2501,'Per Line'!$D$2:$D$2501,$B477))</f>
        <v/>
      </c>
      <c r="I477" s="5">
        <f>IF($L477="","",SUMIFS('Per Line'!$Y$2:$Y$2501,'Per Line'!$D$2:$D$2501,$B477))</f>
        <v/>
      </c>
      <c r="J477" s="5">
        <f>IF($L477="","",G477-H477)</f>
        <v/>
      </c>
      <c r="K477" s="5">
        <f>IF($L477="","",J477-I477)</f>
        <v/>
      </c>
      <c r="L477">
        <f>IF(ROWS($L$2:$L477)&lt;=MAX('Per Line'!$AD$2:$AD$2501),MATCH(ROWS($L$2:$L477),'Per Line'!$AD$2:$AD$2501,0),"")</f>
        <v/>
      </c>
      <c r="M477">
        <f>IF($L477="","",INDEX('Per Line'!$E$2:$E$2501,$L477))</f>
        <v/>
      </c>
    </row>
    <row r="478">
      <c r="A478">
        <f>IF($L478="","",INDEX('Per Line'!$C$2:$C$2501,$L478))</f>
        <v/>
      </c>
      <c r="B478">
        <f>IF($L478="","",INDEX('Per Line'!$D$2:$D$2501,$L478))</f>
        <v/>
      </c>
      <c r="C478">
        <f>IF($L478="","",INDEX('Per Line'!$A$2:$A$2501,$L478))</f>
        <v/>
      </c>
      <c r="F478">
        <f>IF($L478="","",INDEX('Per Line'!$U$2:$U$2501,$L478))</f>
        <v/>
      </c>
      <c r="G478" s="5">
        <f>IF($L478="","",SUMIFS('Per Line'!$W$2:$W$2501,'Per Line'!$D$2:$D$2501,$B478))</f>
        <v/>
      </c>
      <c r="H478" s="5">
        <f>IF($L478="","",SUMIFS('Per Line'!$X$2:$X$2501,'Per Line'!$D$2:$D$2501,$B478))</f>
        <v/>
      </c>
      <c r="I478" s="5">
        <f>IF($L478="","",SUMIFS('Per Line'!$Y$2:$Y$2501,'Per Line'!$D$2:$D$2501,$B478))</f>
        <v/>
      </c>
      <c r="J478" s="5">
        <f>IF($L478="","",G478-H478)</f>
        <v/>
      </c>
      <c r="K478" s="5">
        <f>IF($L478="","",J478-I478)</f>
        <v/>
      </c>
      <c r="L478">
        <f>IF(ROWS($L$2:$L478)&lt;=MAX('Per Line'!$AD$2:$AD$2501),MATCH(ROWS($L$2:$L478),'Per Line'!$AD$2:$AD$2501,0),"")</f>
        <v/>
      </c>
      <c r="M478">
        <f>IF($L478="","",INDEX('Per Line'!$E$2:$E$2501,$L478))</f>
        <v/>
      </c>
    </row>
    <row r="479">
      <c r="A479">
        <f>IF($L479="","",INDEX('Per Line'!$C$2:$C$2501,$L479))</f>
        <v/>
      </c>
      <c r="B479">
        <f>IF($L479="","",INDEX('Per Line'!$D$2:$D$2501,$L479))</f>
        <v/>
      </c>
      <c r="C479">
        <f>IF($L479="","",INDEX('Per Line'!$A$2:$A$2501,$L479))</f>
        <v/>
      </c>
      <c r="F479">
        <f>IF($L479="","",INDEX('Per Line'!$U$2:$U$2501,$L479))</f>
        <v/>
      </c>
      <c r="G479" s="5">
        <f>IF($L479="","",SUMIFS('Per Line'!$W$2:$W$2501,'Per Line'!$D$2:$D$2501,$B479))</f>
        <v/>
      </c>
      <c r="H479" s="5">
        <f>IF($L479="","",SUMIFS('Per Line'!$X$2:$X$2501,'Per Line'!$D$2:$D$2501,$B479))</f>
        <v/>
      </c>
      <c r="I479" s="5">
        <f>IF($L479="","",SUMIFS('Per Line'!$Y$2:$Y$2501,'Per Line'!$D$2:$D$2501,$B479))</f>
        <v/>
      </c>
      <c r="J479" s="5">
        <f>IF($L479="","",G479-H479)</f>
        <v/>
      </c>
      <c r="K479" s="5">
        <f>IF($L479="","",J479-I479)</f>
        <v/>
      </c>
      <c r="L479">
        <f>IF(ROWS($L$2:$L479)&lt;=MAX('Per Line'!$AD$2:$AD$2501),MATCH(ROWS($L$2:$L479),'Per Line'!$AD$2:$AD$2501,0),"")</f>
        <v/>
      </c>
      <c r="M479">
        <f>IF($L479="","",INDEX('Per Line'!$E$2:$E$2501,$L479))</f>
        <v/>
      </c>
    </row>
    <row r="480">
      <c r="A480">
        <f>IF($L480="","",INDEX('Per Line'!$C$2:$C$2501,$L480))</f>
        <v/>
      </c>
      <c r="B480">
        <f>IF($L480="","",INDEX('Per Line'!$D$2:$D$2501,$L480))</f>
        <v/>
      </c>
      <c r="C480">
        <f>IF($L480="","",INDEX('Per Line'!$A$2:$A$2501,$L480))</f>
        <v/>
      </c>
      <c r="F480">
        <f>IF($L480="","",INDEX('Per Line'!$U$2:$U$2501,$L480))</f>
        <v/>
      </c>
      <c r="G480" s="5">
        <f>IF($L480="","",SUMIFS('Per Line'!$W$2:$W$2501,'Per Line'!$D$2:$D$2501,$B480))</f>
        <v/>
      </c>
      <c r="H480" s="5">
        <f>IF($L480="","",SUMIFS('Per Line'!$X$2:$X$2501,'Per Line'!$D$2:$D$2501,$B480))</f>
        <v/>
      </c>
      <c r="I480" s="5">
        <f>IF($L480="","",SUMIFS('Per Line'!$Y$2:$Y$2501,'Per Line'!$D$2:$D$2501,$B480))</f>
        <v/>
      </c>
      <c r="J480" s="5">
        <f>IF($L480="","",G480-H480)</f>
        <v/>
      </c>
      <c r="K480" s="5">
        <f>IF($L480="","",J480-I480)</f>
        <v/>
      </c>
      <c r="L480">
        <f>IF(ROWS($L$2:$L480)&lt;=MAX('Per Line'!$AD$2:$AD$2501),MATCH(ROWS($L$2:$L480),'Per Line'!$AD$2:$AD$2501,0),"")</f>
        <v/>
      </c>
      <c r="M480">
        <f>IF($L480="","",INDEX('Per Line'!$E$2:$E$2501,$L480))</f>
        <v/>
      </c>
    </row>
    <row r="481">
      <c r="A481">
        <f>IF($L481="","",INDEX('Per Line'!$C$2:$C$2501,$L481))</f>
        <v/>
      </c>
      <c r="B481">
        <f>IF($L481="","",INDEX('Per Line'!$D$2:$D$2501,$L481))</f>
        <v/>
      </c>
      <c r="C481">
        <f>IF($L481="","",INDEX('Per Line'!$A$2:$A$2501,$L481))</f>
        <v/>
      </c>
      <c r="F481">
        <f>IF($L481="","",INDEX('Per Line'!$U$2:$U$2501,$L481))</f>
        <v/>
      </c>
      <c r="G481" s="5">
        <f>IF($L481="","",SUMIFS('Per Line'!$W$2:$W$2501,'Per Line'!$D$2:$D$2501,$B481))</f>
        <v/>
      </c>
      <c r="H481" s="5">
        <f>IF($L481="","",SUMIFS('Per Line'!$X$2:$X$2501,'Per Line'!$D$2:$D$2501,$B481))</f>
        <v/>
      </c>
      <c r="I481" s="5">
        <f>IF($L481="","",SUMIFS('Per Line'!$Y$2:$Y$2501,'Per Line'!$D$2:$D$2501,$B481))</f>
        <v/>
      </c>
      <c r="J481" s="5">
        <f>IF($L481="","",G481-H481)</f>
        <v/>
      </c>
      <c r="K481" s="5">
        <f>IF($L481="","",J481-I481)</f>
        <v/>
      </c>
      <c r="L481">
        <f>IF(ROWS($L$2:$L481)&lt;=MAX('Per Line'!$AD$2:$AD$2501),MATCH(ROWS($L$2:$L481),'Per Line'!$AD$2:$AD$2501,0),"")</f>
        <v/>
      </c>
      <c r="M481">
        <f>IF($L481="","",INDEX('Per Line'!$E$2:$E$2501,$L481))</f>
        <v/>
      </c>
    </row>
    <row r="482">
      <c r="A482">
        <f>IF($L482="","",INDEX('Per Line'!$C$2:$C$2501,$L482))</f>
        <v/>
      </c>
      <c r="B482">
        <f>IF($L482="","",INDEX('Per Line'!$D$2:$D$2501,$L482))</f>
        <v/>
      </c>
      <c r="C482">
        <f>IF($L482="","",INDEX('Per Line'!$A$2:$A$2501,$L482))</f>
        <v/>
      </c>
      <c r="F482">
        <f>IF($L482="","",INDEX('Per Line'!$U$2:$U$2501,$L482))</f>
        <v/>
      </c>
      <c r="G482" s="5">
        <f>IF($L482="","",SUMIFS('Per Line'!$W$2:$W$2501,'Per Line'!$D$2:$D$2501,$B482))</f>
        <v/>
      </c>
      <c r="H482" s="5">
        <f>IF($L482="","",SUMIFS('Per Line'!$X$2:$X$2501,'Per Line'!$D$2:$D$2501,$B482))</f>
        <v/>
      </c>
      <c r="I482" s="5">
        <f>IF($L482="","",SUMIFS('Per Line'!$Y$2:$Y$2501,'Per Line'!$D$2:$D$2501,$B482))</f>
        <v/>
      </c>
      <c r="J482" s="5">
        <f>IF($L482="","",G482-H482)</f>
        <v/>
      </c>
      <c r="K482" s="5">
        <f>IF($L482="","",J482-I482)</f>
        <v/>
      </c>
      <c r="L482">
        <f>IF(ROWS($L$2:$L482)&lt;=MAX('Per Line'!$AD$2:$AD$2501),MATCH(ROWS($L$2:$L482),'Per Line'!$AD$2:$AD$2501,0),"")</f>
        <v/>
      </c>
      <c r="M482">
        <f>IF($L482="","",INDEX('Per Line'!$E$2:$E$2501,$L482))</f>
        <v/>
      </c>
    </row>
    <row r="483">
      <c r="A483">
        <f>IF($L483="","",INDEX('Per Line'!$C$2:$C$2501,$L483))</f>
        <v/>
      </c>
      <c r="B483">
        <f>IF($L483="","",INDEX('Per Line'!$D$2:$D$2501,$L483))</f>
        <v/>
      </c>
      <c r="C483">
        <f>IF($L483="","",INDEX('Per Line'!$A$2:$A$2501,$L483))</f>
        <v/>
      </c>
      <c r="F483">
        <f>IF($L483="","",INDEX('Per Line'!$U$2:$U$2501,$L483))</f>
        <v/>
      </c>
      <c r="G483" s="5">
        <f>IF($L483="","",SUMIFS('Per Line'!$W$2:$W$2501,'Per Line'!$D$2:$D$2501,$B483))</f>
        <v/>
      </c>
      <c r="H483" s="5">
        <f>IF($L483="","",SUMIFS('Per Line'!$X$2:$X$2501,'Per Line'!$D$2:$D$2501,$B483))</f>
        <v/>
      </c>
      <c r="I483" s="5">
        <f>IF($L483="","",SUMIFS('Per Line'!$Y$2:$Y$2501,'Per Line'!$D$2:$D$2501,$B483))</f>
        <v/>
      </c>
      <c r="J483" s="5">
        <f>IF($L483="","",G483-H483)</f>
        <v/>
      </c>
      <c r="K483" s="5">
        <f>IF($L483="","",J483-I483)</f>
        <v/>
      </c>
      <c r="L483">
        <f>IF(ROWS($L$2:$L483)&lt;=MAX('Per Line'!$AD$2:$AD$2501),MATCH(ROWS($L$2:$L483),'Per Line'!$AD$2:$AD$2501,0),"")</f>
        <v/>
      </c>
      <c r="M483">
        <f>IF($L483="","",INDEX('Per Line'!$E$2:$E$2501,$L483))</f>
        <v/>
      </c>
    </row>
    <row r="484">
      <c r="A484">
        <f>IF($L484="","",INDEX('Per Line'!$C$2:$C$2501,$L484))</f>
        <v/>
      </c>
      <c r="B484">
        <f>IF($L484="","",INDEX('Per Line'!$D$2:$D$2501,$L484))</f>
        <v/>
      </c>
      <c r="C484">
        <f>IF($L484="","",INDEX('Per Line'!$A$2:$A$2501,$L484))</f>
        <v/>
      </c>
      <c r="F484">
        <f>IF($L484="","",INDEX('Per Line'!$U$2:$U$2501,$L484))</f>
        <v/>
      </c>
      <c r="G484" s="5">
        <f>IF($L484="","",SUMIFS('Per Line'!$W$2:$W$2501,'Per Line'!$D$2:$D$2501,$B484))</f>
        <v/>
      </c>
      <c r="H484" s="5">
        <f>IF($L484="","",SUMIFS('Per Line'!$X$2:$X$2501,'Per Line'!$D$2:$D$2501,$B484))</f>
        <v/>
      </c>
      <c r="I484" s="5">
        <f>IF($L484="","",SUMIFS('Per Line'!$Y$2:$Y$2501,'Per Line'!$D$2:$D$2501,$B484))</f>
        <v/>
      </c>
      <c r="J484" s="5">
        <f>IF($L484="","",G484-H484)</f>
        <v/>
      </c>
      <c r="K484" s="5">
        <f>IF($L484="","",J484-I484)</f>
        <v/>
      </c>
      <c r="L484">
        <f>IF(ROWS($L$2:$L484)&lt;=MAX('Per Line'!$AD$2:$AD$2501),MATCH(ROWS($L$2:$L484),'Per Line'!$AD$2:$AD$2501,0),"")</f>
        <v/>
      </c>
      <c r="M484">
        <f>IF($L484="","",INDEX('Per Line'!$E$2:$E$2501,$L484))</f>
        <v/>
      </c>
    </row>
    <row r="485">
      <c r="A485">
        <f>IF($L485="","",INDEX('Per Line'!$C$2:$C$2501,$L485))</f>
        <v/>
      </c>
      <c r="B485">
        <f>IF($L485="","",INDEX('Per Line'!$D$2:$D$2501,$L485))</f>
        <v/>
      </c>
      <c r="C485">
        <f>IF($L485="","",INDEX('Per Line'!$A$2:$A$2501,$L485))</f>
        <v/>
      </c>
      <c r="F485">
        <f>IF($L485="","",INDEX('Per Line'!$U$2:$U$2501,$L485))</f>
        <v/>
      </c>
      <c r="G485" s="5">
        <f>IF($L485="","",SUMIFS('Per Line'!$W$2:$W$2501,'Per Line'!$D$2:$D$2501,$B485))</f>
        <v/>
      </c>
      <c r="H485" s="5">
        <f>IF($L485="","",SUMIFS('Per Line'!$X$2:$X$2501,'Per Line'!$D$2:$D$2501,$B485))</f>
        <v/>
      </c>
      <c r="I485" s="5">
        <f>IF($L485="","",SUMIFS('Per Line'!$Y$2:$Y$2501,'Per Line'!$D$2:$D$2501,$B485))</f>
        <v/>
      </c>
      <c r="J485" s="5">
        <f>IF($L485="","",G485-H485)</f>
        <v/>
      </c>
      <c r="K485" s="5">
        <f>IF($L485="","",J485-I485)</f>
        <v/>
      </c>
      <c r="L485">
        <f>IF(ROWS($L$2:$L485)&lt;=MAX('Per Line'!$AD$2:$AD$2501),MATCH(ROWS($L$2:$L485),'Per Line'!$AD$2:$AD$2501,0),"")</f>
        <v/>
      </c>
      <c r="M485">
        <f>IF($L485="","",INDEX('Per Line'!$E$2:$E$2501,$L485))</f>
        <v/>
      </c>
    </row>
    <row r="486">
      <c r="A486">
        <f>IF($L486="","",INDEX('Per Line'!$C$2:$C$2501,$L486))</f>
        <v/>
      </c>
      <c r="B486">
        <f>IF($L486="","",INDEX('Per Line'!$D$2:$D$2501,$L486))</f>
        <v/>
      </c>
      <c r="C486">
        <f>IF($L486="","",INDEX('Per Line'!$A$2:$A$2501,$L486))</f>
        <v/>
      </c>
      <c r="F486">
        <f>IF($L486="","",INDEX('Per Line'!$U$2:$U$2501,$L486))</f>
        <v/>
      </c>
      <c r="G486" s="5">
        <f>IF($L486="","",SUMIFS('Per Line'!$W$2:$W$2501,'Per Line'!$D$2:$D$2501,$B486))</f>
        <v/>
      </c>
      <c r="H486" s="5">
        <f>IF($L486="","",SUMIFS('Per Line'!$X$2:$X$2501,'Per Line'!$D$2:$D$2501,$B486))</f>
        <v/>
      </c>
      <c r="I486" s="5">
        <f>IF($L486="","",SUMIFS('Per Line'!$Y$2:$Y$2501,'Per Line'!$D$2:$D$2501,$B486))</f>
        <v/>
      </c>
      <c r="J486" s="5">
        <f>IF($L486="","",G486-H486)</f>
        <v/>
      </c>
      <c r="K486" s="5">
        <f>IF($L486="","",J486-I486)</f>
        <v/>
      </c>
      <c r="L486">
        <f>IF(ROWS($L$2:$L486)&lt;=MAX('Per Line'!$AD$2:$AD$2501),MATCH(ROWS($L$2:$L486),'Per Line'!$AD$2:$AD$2501,0),"")</f>
        <v/>
      </c>
      <c r="M486">
        <f>IF($L486="","",INDEX('Per Line'!$E$2:$E$2501,$L486))</f>
        <v/>
      </c>
    </row>
    <row r="487">
      <c r="A487">
        <f>IF($L487="","",INDEX('Per Line'!$C$2:$C$2501,$L487))</f>
        <v/>
      </c>
      <c r="B487">
        <f>IF($L487="","",INDEX('Per Line'!$D$2:$D$2501,$L487))</f>
        <v/>
      </c>
      <c r="C487">
        <f>IF($L487="","",INDEX('Per Line'!$A$2:$A$2501,$L487))</f>
        <v/>
      </c>
      <c r="F487">
        <f>IF($L487="","",INDEX('Per Line'!$U$2:$U$2501,$L487))</f>
        <v/>
      </c>
      <c r="G487" s="5">
        <f>IF($L487="","",SUMIFS('Per Line'!$W$2:$W$2501,'Per Line'!$D$2:$D$2501,$B487))</f>
        <v/>
      </c>
      <c r="H487" s="5">
        <f>IF($L487="","",SUMIFS('Per Line'!$X$2:$X$2501,'Per Line'!$D$2:$D$2501,$B487))</f>
        <v/>
      </c>
      <c r="I487" s="5">
        <f>IF($L487="","",SUMIFS('Per Line'!$Y$2:$Y$2501,'Per Line'!$D$2:$D$2501,$B487))</f>
        <v/>
      </c>
      <c r="J487" s="5">
        <f>IF($L487="","",G487-H487)</f>
        <v/>
      </c>
      <c r="K487" s="5">
        <f>IF($L487="","",J487-I487)</f>
        <v/>
      </c>
      <c r="L487">
        <f>IF(ROWS($L$2:$L487)&lt;=MAX('Per Line'!$AD$2:$AD$2501),MATCH(ROWS($L$2:$L487),'Per Line'!$AD$2:$AD$2501,0),"")</f>
        <v/>
      </c>
      <c r="M487">
        <f>IF($L487="","",INDEX('Per Line'!$E$2:$E$2501,$L487))</f>
        <v/>
      </c>
    </row>
    <row r="488">
      <c r="A488">
        <f>IF($L488="","",INDEX('Per Line'!$C$2:$C$2501,$L488))</f>
        <v/>
      </c>
      <c r="B488">
        <f>IF($L488="","",INDEX('Per Line'!$D$2:$D$2501,$L488))</f>
        <v/>
      </c>
      <c r="C488">
        <f>IF($L488="","",INDEX('Per Line'!$A$2:$A$2501,$L488))</f>
        <v/>
      </c>
      <c r="F488">
        <f>IF($L488="","",INDEX('Per Line'!$U$2:$U$2501,$L488))</f>
        <v/>
      </c>
      <c r="G488" s="5">
        <f>IF($L488="","",SUMIFS('Per Line'!$W$2:$W$2501,'Per Line'!$D$2:$D$2501,$B488))</f>
        <v/>
      </c>
      <c r="H488" s="5">
        <f>IF($L488="","",SUMIFS('Per Line'!$X$2:$X$2501,'Per Line'!$D$2:$D$2501,$B488))</f>
        <v/>
      </c>
      <c r="I488" s="5">
        <f>IF($L488="","",SUMIFS('Per Line'!$Y$2:$Y$2501,'Per Line'!$D$2:$D$2501,$B488))</f>
        <v/>
      </c>
      <c r="J488" s="5">
        <f>IF($L488="","",G488-H488)</f>
        <v/>
      </c>
      <c r="K488" s="5">
        <f>IF($L488="","",J488-I488)</f>
        <v/>
      </c>
      <c r="L488">
        <f>IF(ROWS($L$2:$L488)&lt;=MAX('Per Line'!$AD$2:$AD$2501),MATCH(ROWS($L$2:$L488),'Per Line'!$AD$2:$AD$2501,0),"")</f>
        <v/>
      </c>
      <c r="M488">
        <f>IF($L488="","",INDEX('Per Line'!$E$2:$E$2501,$L488))</f>
        <v/>
      </c>
    </row>
    <row r="489">
      <c r="A489">
        <f>IF($L489="","",INDEX('Per Line'!$C$2:$C$2501,$L489))</f>
        <v/>
      </c>
      <c r="B489">
        <f>IF($L489="","",INDEX('Per Line'!$D$2:$D$2501,$L489))</f>
        <v/>
      </c>
      <c r="C489">
        <f>IF($L489="","",INDEX('Per Line'!$A$2:$A$2501,$L489))</f>
        <v/>
      </c>
      <c r="F489">
        <f>IF($L489="","",INDEX('Per Line'!$U$2:$U$2501,$L489))</f>
        <v/>
      </c>
      <c r="G489" s="5">
        <f>IF($L489="","",SUMIFS('Per Line'!$W$2:$W$2501,'Per Line'!$D$2:$D$2501,$B489))</f>
        <v/>
      </c>
      <c r="H489" s="5">
        <f>IF($L489="","",SUMIFS('Per Line'!$X$2:$X$2501,'Per Line'!$D$2:$D$2501,$B489))</f>
        <v/>
      </c>
      <c r="I489" s="5">
        <f>IF($L489="","",SUMIFS('Per Line'!$Y$2:$Y$2501,'Per Line'!$D$2:$D$2501,$B489))</f>
        <v/>
      </c>
      <c r="J489" s="5">
        <f>IF($L489="","",G489-H489)</f>
        <v/>
      </c>
      <c r="K489" s="5">
        <f>IF($L489="","",J489-I489)</f>
        <v/>
      </c>
      <c r="L489">
        <f>IF(ROWS($L$2:$L489)&lt;=MAX('Per Line'!$AD$2:$AD$2501),MATCH(ROWS($L$2:$L489),'Per Line'!$AD$2:$AD$2501,0),"")</f>
        <v/>
      </c>
      <c r="M489">
        <f>IF($L489="","",INDEX('Per Line'!$E$2:$E$2501,$L489))</f>
        <v/>
      </c>
    </row>
    <row r="490">
      <c r="A490">
        <f>IF($L490="","",INDEX('Per Line'!$C$2:$C$2501,$L490))</f>
        <v/>
      </c>
      <c r="B490">
        <f>IF($L490="","",INDEX('Per Line'!$D$2:$D$2501,$L490))</f>
        <v/>
      </c>
      <c r="C490">
        <f>IF($L490="","",INDEX('Per Line'!$A$2:$A$2501,$L490))</f>
        <v/>
      </c>
      <c r="F490">
        <f>IF($L490="","",INDEX('Per Line'!$U$2:$U$2501,$L490))</f>
        <v/>
      </c>
      <c r="G490" s="5">
        <f>IF($L490="","",SUMIFS('Per Line'!$W$2:$W$2501,'Per Line'!$D$2:$D$2501,$B490))</f>
        <v/>
      </c>
      <c r="H490" s="5">
        <f>IF($L490="","",SUMIFS('Per Line'!$X$2:$X$2501,'Per Line'!$D$2:$D$2501,$B490))</f>
        <v/>
      </c>
      <c r="I490" s="5">
        <f>IF($L490="","",SUMIFS('Per Line'!$Y$2:$Y$2501,'Per Line'!$D$2:$D$2501,$B490))</f>
        <v/>
      </c>
      <c r="J490" s="5">
        <f>IF($L490="","",G490-H490)</f>
        <v/>
      </c>
      <c r="K490" s="5">
        <f>IF($L490="","",J490-I490)</f>
        <v/>
      </c>
      <c r="L490">
        <f>IF(ROWS($L$2:$L490)&lt;=MAX('Per Line'!$AD$2:$AD$2501),MATCH(ROWS($L$2:$L490),'Per Line'!$AD$2:$AD$2501,0),"")</f>
        <v/>
      </c>
      <c r="M490">
        <f>IF($L490="","",INDEX('Per Line'!$E$2:$E$2501,$L490))</f>
        <v/>
      </c>
    </row>
    <row r="491">
      <c r="A491">
        <f>IF($L491="","",INDEX('Per Line'!$C$2:$C$2501,$L491))</f>
        <v/>
      </c>
      <c r="B491">
        <f>IF($L491="","",INDEX('Per Line'!$D$2:$D$2501,$L491))</f>
        <v/>
      </c>
      <c r="C491">
        <f>IF($L491="","",INDEX('Per Line'!$A$2:$A$2501,$L491))</f>
        <v/>
      </c>
      <c r="F491">
        <f>IF($L491="","",INDEX('Per Line'!$U$2:$U$2501,$L491))</f>
        <v/>
      </c>
      <c r="G491" s="5">
        <f>IF($L491="","",SUMIFS('Per Line'!$W$2:$W$2501,'Per Line'!$D$2:$D$2501,$B491))</f>
        <v/>
      </c>
      <c r="H491" s="5">
        <f>IF($L491="","",SUMIFS('Per Line'!$X$2:$X$2501,'Per Line'!$D$2:$D$2501,$B491))</f>
        <v/>
      </c>
      <c r="I491" s="5">
        <f>IF($L491="","",SUMIFS('Per Line'!$Y$2:$Y$2501,'Per Line'!$D$2:$D$2501,$B491))</f>
        <v/>
      </c>
      <c r="J491" s="5">
        <f>IF($L491="","",G491-H491)</f>
        <v/>
      </c>
      <c r="K491" s="5">
        <f>IF($L491="","",J491-I491)</f>
        <v/>
      </c>
      <c r="L491">
        <f>IF(ROWS($L$2:$L491)&lt;=MAX('Per Line'!$AD$2:$AD$2501),MATCH(ROWS($L$2:$L491),'Per Line'!$AD$2:$AD$2501,0),"")</f>
        <v/>
      </c>
      <c r="M491">
        <f>IF($L491="","",INDEX('Per Line'!$E$2:$E$2501,$L491))</f>
        <v/>
      </c>
    </row>
    <row r="492">
      <c r="A492">
        <f>IF($L492="","",INDEX('Per Line'!$C$2:$C$2501,$L492))</f>
        <v/>
      </c>
      <c r="B492">
        <f>IF($L492="","",INDEX('Per Line'!$D$2:$D$2501,$L492))</f>
        <v/>
      </c>
      <c r="C492">
        <f>IF($L492="","",INDEX('Per Line'!$A$2:$A$2501,$L492))</f>
        <v/>
      </c>
      <c r="F492">
        <f>IF($L492="","",INDEX('Per Line'!$U$2:$U$2501,$L492))</f>
        <v/>
      </c>
      <c r="G492" s="5">
        <f>IF($L492="","",SUMIFS('Per Line'!$W$2:$W$2501,'Per Line'!$D$2:$D$2501,$B492))</f>
        <v/>
      </c>
      <c r="H492" s="5">
        <f>IF($L492="","",SUMIFS('Per Line'!$X$2:$X$2501,'Per Line'!$D$2:$D$2501,$B492))</f>
        <v/>
      </c>
      <c r="I492" s="5">
        <f>IF($L492="","",SUMIFS('Per Line'!$Y$2:$Y$2501,'Per Line'!$D$2:$D$2501,$B492))</f>
        <v/>
      </c>
      <c r="J492" s="5">
        <f>IF($L492="","",G492-H492)</f>
        <v/>
      </c>
      <c r="K492" s="5">
        <f>IF($L492="","",J492-I492)</f>
        <v/>
      </c>
      <c r="L492">
        <f>IF(ROWS($L$2:$L492)&lt;=MAX('Per Line'!$AD$2:$AD$2501),MATCH(ROWS($L$2:$L492),'Per Line'!$AD$2:$AD$2501,0),"")</f>
        <v/>
      </c>
      <c r="M492">
        <f>IF($L492="","",INDEX('Per Line'!$E$2:$E$2501,$L492))</f>
        <v/>
      </c>
    </row>
    <row r="493">
      <c r="A493">
        <f>IF($L493="","",INDEX('Per Line'!$C$2:$C$2501,$L493))</f>
        <v/>
      </c>
      <c r="B493">
        <f>IF($L493="","",INDEX('Per Line'!$D$2:$D$2501,$L493))</f>
        <v/>
      </c>
      <c r="C493">
        <f>IF($L493="","",INDEX('Per Line'!$A$2:$A$2501,$L493))</f>
        <v/>
      </c>
      <c r="F493">
        <f>IF($L493="","",INDEX('Per Line'!$U$2:$U$2501,$L493))</f>
        <v/>
      </c>
      <c r="G493" s="5">
        <f>IF($L493="","",SUMIFS('Per Line'!$W$2:$W$2501,'Per Line'!$D$2:$D$2501,$B493))</f>
        <v/>
      </c>
      <c r="H493" s="5">
        <f>IF($L493="","",SUMIFS('Per Line'!$X$2:$X$2501,'Per Line'!$D$2:$D$2501,$B493))</f>
        <v/>
      </c>
      <c r="I493" s="5">
        <f>IF($L493="","",SUMIFS('Per Line'!$Y$2:$Y$2501,'Per Line'!$D$2:$D$2501,$B493))</f>
        <v/>
      </c>
      <c r="J493" s="5">
        <f>IF($L493="","",G493-H493)</f>
        <v/>
      </c>
      <c r="K493" s="5">
        <f>IF($L493="","",J493-I493)</f>
        <v/>
      </c>
      <c r="L493">
        <f>IF(ROWS($L$2:$L493)&lt;=MAX('Per Line'!$AD$2:$AD$2501),MATCH(ROWS($L$2:$L493),'Per Line'!$AD$2:$AD$2501,0),"")</f>
        <v/>
      </c>
      <c r="M493">
        <f>IF($L493="","",INDEX('Per Line'!$E$2:$E$2501,$L493))</f>
        <v/>
      </c>
    </row>
    <row r="494">
      <c r="A494">
        <f>IF($L494="","",INDEX('Per Line'!$C$2:$C$2501,$L494))</f>
        <v/>
      </c>
      <c r="B494">
        <f>IF($L494="","",INDEX('Per Line'!$D$2:$D$2501,$L494))</f>
        <v/>
      </c>
      <c r="C494">
        <f>IF($L494="","",INDEX('Per Line'!$A$2:$A$2501,$L494))</f>
        <v/>
      </c>
      <c r="F494">
        <f>IF($L494="","",INDEX('Per Line'!$U$2:$U$2501,$L494))</f>
        <v/>
      </c>
      <c r="G494" s="5">
        <f>IF($L494="","",SUMIFS('Per Line'!$W$2:$W$2501,'Per Line'!$D$2:$D$2501,$B494))</f>
        <v/>
      </c>
      <c r="H494" s="5">
        <f>IF($L494="","",SUMIFS('Per Line'!$X$2:$X$2501,'Per Line'!$D$2:$D$2501,$B494))</f>
        <v/>
      </c>
      <c r="I494" s="5">
        <f>IF($L494="","",SUMIFS('Per Line'!$Y$2:$Y$2501,'Per Line'!$D$2:$D$2501,$B494))</f>
        <v/>
      </c>
      <c r="J494" s="5">
        <f>IF($L494="","",G494-H494)</f>
        <v/>
      </c>
      <c r="K494" s="5">
        <f>IF($L494="","",J494-I494)</f>
        <v/>
      </c>
      <c r="L494">
        <f>IF(ROWS($L$2:$L494)&lt;=MAX('Per Line'!$AD$2:$AD$2501),MATCH(ROWS($L$2:$L494),'Per Line'!$AD$2:$AD$2501,0),"")</f>
        <v/>
      </c>
      <c r="M494">
        <f>IF($L494="","",INDEX('Per Line'!$E$2:$E$2501,$L494))</f>
        <v/>
      </c>
    </row>
    <row r="495">
      <c r="A495">
        <f>IF($L495="","",INDEX('Per Line'!$C$2:$C$2501,$L495))</f>
        <v/>
      </c>
      <c r="B495">
        <f>IF($L495="","",INDEX('Per Line'!$D$2:$D$2501,$L495))</f>
        <v/>
      </c>
      <c r="C495">
        <f>IF($L495="","",INDEX('Per Line'!$A$2:$A$2501,$L495))</f>
        <v/>
      </c>
      <c r="F495">
        <f>IF($L495="","",INDEX('Per Line'!$U$2:$U$2501,$L495))</f>
        <v/>
      </c>
      <c r="G495" s="5">
        <f>IF($L495="","",SUMIFS('Per Line'!$W$2:$W$2501,'Per Line'!$D$2:$D$2501,$B495))</f>
        <v/>
      </c>
      <c r="H495" s="5">
        <f>IF($L495="","",SUMIFS('Per Line'!$X$2:$X$2501,'Per Line'!$D$2:$D$2501,$B495))</f>
        <v/>
      </c>
      <c r="I495" s="5">
        <f>IF($L495="","",SUMIFS('Per Line'!$Y$2:$Y$2501,'Per Line'!$D$2:$D$2501,$B495))</f>
        <v/>
      </c>
      <c r="J495" s="5">
        <f>IF($L495="","",G495-H495)</f>
        <v/>
      </c>
      <c r="K495" s="5">
        <f>IF($L495="","",J495-I495)</f>
        <v/>
      </c>
      <c r="L495">
        <f>IF(ROWS($L$2:$L495)&lt;=MAX('Per Line'!$AD$2:$AD$2501),MATCH(ROWS($L$2:$L495),'Per Line'!$AD$2:$AD$2501,0),"")</f>
        <v/>
      </c>
      <c r="M495">
        <f>IF($L495="","",INDEX('Per Line'!$E$2:$E$2501,$L495))</f>
        <v/>
      </c>
    </row>
    <row r="496">
      <c r="A496">
        <f>IF($L496="","",INDEX('Per Line'!$C$2:$C$2501,$L496))</f>
        <v/>
      </c>
      <c r="B496">
        <f>IF($L496="","",INDEX('Per Line'!$D$2:$D$2501,$L496))</f>
        <v/>
      </c>
      <c r="C496">
        <f>IF($L496="","",INDEX('Per Line'!$A$2:$A$2501,$L496))</f>
        <v/>
      </c>
      <c r="F496">
        <f>IF($L496="","",INDEX('Per Line'!$U$2:$U$2501,$L496))</f>
        <v/>
      </c>
      <c r="G496" s="5">
        <f>IF($L496="","",SUMIFS('Per Line'!$W$2:$W$2501,'Per Line'!$D$2:$D$2501,$B496))</f>
        <v/>
      </c>
      <c r="H496" s="5">
        <f>IF($L496="","",SUMIFS('Per Line'!$X$2:$X$2501,'Per Line'!$D$2:$D$2501,$B496))</f>
        <v/>
      </c>
      <c r="I496" s="5">
        <f>IF($L496="","",SUMIFS('Per Line'!$Y$2:$Y$2501,'Per Line'!$D$2:$D$2501,$B496))</f>
        <v/>
      </c>
      <c r="J496" s="5">
        <f>IF($L496="","",G496-H496)</f>
        <v/>
      </c>
      <c r="K496" s="5">
        <f>IF($L496="","",J496-I496)</f>
        <v/>
      </c>
      <c r="L496">
        <f>IF(ROWS($L$2:$L496)&lt;=MAX('Per Line'!$AD$2:$AD$2501),MATCH(ROWS($L$2:$L496),'Per Line'!$AD$2:$AD$2501,0),"")</f>
        <v/>
      </c>
      <c r="M496">
        <f>IF($L496="","",INDEX('Per Line'!$E$2:$E$2501,$L496))</f>
        <v/>
      </c>
    </row>
    <row r="497">
      <c r="A497">
        <f>IF($L497="","",INDEX('Per Line'!$C$2:$C$2501,$L497))</f>
        <v/>
      </c>
      <c r="B497">
        <f>IF($L497="","",INDEX('Per Line'!$D$2:$D$2501,$L497))</f>
        <v/>
      </c>
      <c r="C497">
        <f>IF($L497="","",INDEX('Per Line'!$A$2:$A$2501,$L497))</f>
        <v/>
      </c>
      <c r="F497">
        <f>IF($L497="","",INDEX('Per Line'!$U$2:$U$2501,$L497))</f>
        <v/>
      </c>
      <c r="G497" s="5">
        <f>IF($L497="","",SUMIFS('Per Line'!$W$2:$W$2501,'Per Line'!$D$2:$D$2501,$B497))</f>
        <v/>
      </c>
      <c r="H497" s="5">
        <f>IF($L497="","",SUMIFS('Per Line'!$X$2:$X$2501,'Per Line'!$D$2:$D$2501,$B497))</f>
        <v/>
      </c>
      <c r="I497" s="5">
        <f>IF($L497="","",SUMIFS('Per Line'!$Y$2:$Y$2501,'Per Line'!$D$2:$D$2501,$B497))</f>
        <v/>
      </c>
      <c r="J497" s="5">
        <f>IF($L497="","",G497-H497)</f>
        <v/>
      </c>
      <c r="K497" s="5">
        <f>IF($L497="","",J497-I497)</f>
        <v/>
      </c>
      <c r="L497">
        <f>IF(ROWS($L$2:$L497)&lt;=MAX('Per Line'!$AD$2:$AD$2501),MATCH(ROWS($L$2:$L497),'Per Line'!$AD$2:$AD$2501,0),"")</f>
        <v/>
      </c>
      <c r="M497">
        <f>IF($L497="","",INDEX('Per Line'!$E$2:$E$2501,$L497))</f>
        <v/>
      </c>
    </row>
    <row r="498">
      <c r="A498">
        <f>IF($L498="","",INDEX('Per Line'!$C$2:$C$2501,$L498))</f>
        <v/>
      </c>
      <c r="B498">
        <f>IF($L498="","",INDEX('Per Line'!$D$2:$D$2501,$L498))</f>
        <v/>
      </c>
      <c r="C498">
        <f>IF($L498="","",INDEX('Per Line'!$A$2:$A$2501,$L498))</f>
        <v/>
      </c>
      <c r="F498">
        <f>IF($L498="","",INDEX('Per Line'!$U$2:$U$2501,$L498))</f>
        <v/>
      </c>
      <c r="G498" s="5">
        <f>IF($L498="","",SUMIFS('Per Line'!$W$2:$W$2501,'Per Line'!$D$2:$D$2501,$B498))</f>
        <v/>
      </c>
      <c r="H498" s="5">
        <f>IF($L498="","",SUMIFS('Per Line'!$X$2:$X$2501,'Per Line'!$D$2:$D$2501,$B498))</f>
        <v/>
      </c>
      <c r="I498" s="5">
        <f>IF($L498="","",SUMIFS('Per Line'!$Y$2:$Y$2501,'Per Line'!$D$2:$D$2501,$B498))</f>
        <v/>
      </c>
      <c r="J498" s="5">
        <f>IF($L498="","",G498-H498)</f>
        <v/>
      </c>
      <c r="K498" s="5">
        <f>IF($L498="","",J498-I498)</f>
        <v/>
      </c>
      <c r="L498">
        <f>IF(ROWS($L$2:$L498)&lt;=MAX('Per Line'!$AD$2:$AD$2501),MATCH(ROWS($L$2:$L498),'Per Line'!$AD$2:$AD$2501,0),"")</f>
        <v/>
      </c>
      <c r="M498">
        <f>IF($L498="","",INDEX('Per Line'!$E$2:$E$2501,$L498))</f>
        <v/>
      </c>
    </row>
    <row r="499">
      <c r="A499">
        <f>IF($L499="","",INDEX('Per Line'!$C$2:$C$2501,$L499))</f>
        <v/>
      </c>
      <c r="B499">
        <f>IF($L499="","",INDEX('Per Line'!$D$2:$D$2501,$L499))</f>
        <v/>
      </c>
      <c r="C499">
        <f>IF($L499="","",INDEX('Per Line'!$A$2:$A$2501,$L499))</f>
        <v/>
      </c>
      <c r="F499">
        <f>IF($L499="","",INDEX('Per Line'!$U$2:$U$2501,$L499))</f>
        <v/>
      </c>
      <c r="G499" s="5">
        <f>IF($L499="","",SUMIFS('Per Line'!$W$2:$W$2501,'Per Line'!$D$2:$D$2501,$B499))</f>
        <v/>
      </c>
      <c r="H499" s="5">
        <f>IF($L499="","",SUMIFS('Per Line'!$X$2:$X$2501,'Per Line'!$D$2:$D$2501,$B499))</f>
        <v/>
      </c>
      <c r="I499" s="5">
        <f>IF($L499="","",SUMIFS('Per Line'!$Y$2:$Y$2501,'Per Line'!$D$2:$D$2501,$B499))</f>
        <v/>
      </c>
      <c r="J499" s="5">
        <f>IF($L499="","",G499-H499)</f>
        <v/>
      </c>
      <c r="K499" s="5">
        <f>IF($L499="","",J499-I499)</f>
        <v/>
      </c>
      <c r="L499">
        <f>IF(ROWS($L$2:$L499)&lt;=MAX('Per Line'!$AD$2:$AD$2501),MATCH(ROWS($L$2:$L499),'Per Line'!$AD$2:$AD$2501,0),"")</f>
        <v/>
      </c>
      <c r="M499">
        <f>IF($L499="","",INDEX('Per Line'!$E$2:$E$2501,$L499))</f>
        <v/>
      </c>
    </row>
    <row r="500">
      <c r="A500">
        <f>IF($L500="","",INDEX('Per Line'!$C$2:$C$2501,$L500))</f>
        <v/>
      </c>
      <c r="B500">
        <f>IF($L500="","",INDEX('Per Line'!$D$2:$D$2501,$L500))</f>
        <v/>
      </c>
      <c r="C500">
        <f>IF($L500="","",INDEX('Per Line'!$A$2:$A$2501,$L500))</f>
        <v/>
      </c>
      <c r="F500">
        <f>IF($L500="","",INDEX('Per Line'!$U$2:$U$2501,$L500))</f>
        <v/>
      </c>
      <c r="G500" s="5">
        <f>IF($L500="","",SUMIFS('Per Line'!$W$2:$W$2501,'Per Line'!$D$2:$D$2501,$B500))</f>
        <v/>
      </c>
      <c r="H500" s="5">
        <f>IF($L500="","",SUMIFS('Per Line'!$X$2:$X$2501,'Per Line'!$D$2:$D$2501,$B500))</f>
        <v/>
      </c>
      <c r="I500" s="5">
        <f>IF($L500="","",SUMIFS('Per Line'!$Y$2:$Y$2501,'Per Line'!$D$2:$D$2501,$B500))</f>
        <v/>
      </c>
      <c r="J500" s="5">
        <f>IF($L500="","",G500-H500)</f>
        <v/>
      </c>
      <c r="K500" s="5">
        <f>IF($L500="","",J500-I500)</f>
        <v/>
      </c>
      <c r="L500">
        <f>IF(ROWS($L$2:$L500)&lt;=MAX('Per Line'!$AD$2:$AD$2501),MATCH(ROWS($L$2:$L500),'Per Line'!$AD$2:$AD$2501,0),"")</f>
        <v/>
      </c>
      <c r="M500">
        <f>IF($L500="","",INDEX('Per Line'!$E$2:$E$2501,$L500))</f>
        <v/>
      </c>
    </row>
    <row r="501">
      <c r="A501">
        <f>IF($L501="","",INDEX('Per Line'!$C$2:$C$2501,$L501))</f>
        <v/>
      </c>
      <c r="B501">
        <f>IF($L501="","",INDEX('Per Line'!$D$2:$D$2501,$L501))</f>
        <v/>
      </c>
      <c r="C501">
        <f>IF($L501="","",INDEX('Per Line'!$A$2:$A$2501,$L501))</f>
        <v/>
      </c>
      <c r="F501">
        <f>IF($L501="","",INDEX('Per Line'!$U$2:$U$2501,$L501))</f>
        <v/>
      </c>
      <c r="G501" s="5">
        <f>IF($L501="","",SUMIFS('Per Line'!$W$2:$W$2501,'Per Line'!$D$2:$D$2501,$B501))</f>
        <v/>
      </c>
      <c r="H501" s="5">
        <f>IF($L501="","",SUMIFS('Per Line'!$X$2:$X$2501,'Per Line'!$D$2:$D$2501,$B501))</f>
        <v/>
      </c>
      <c r="I501" s="5">
        <f>IF($L501="","",SUMIFS('Per Line'!$Y$2:$Y$2501,'Per Line'!$D$2:$D$2501,$B501))</f>
        <v/>
      </c>
      <c r="J501" s="5">
        <f>IF($L501="","",G501-H501)</f>
        <v/>
      </c>
      <c r="K501" s="5">
        <f>IF($L501="","",J501-I501)</f>
        <v/>
      </c>
      <c r="L501">
        <f>IF(ROWS($L$2:$L501)&lt;=MAX('Per Line'!$AD$2:$AD$2501),MATCH(ROWS($L$2:$L501),'Per Line'!$AD$2:$AD$2501,0),"")</f>
        <v/>
      </c>
      <c r="M501">
        <f>IF($L501="","",INDEX('Per Line'!$E$2:$E$2501,$L501))</f>
        <v/>
      </c>
    </row>
    <row r="502">
      <c r="A502">
        <f>IF($L502="","",INDEX('Per Line'!$C$2:$C$2501,$L502))</f>
        <v/>
      </c>
      <c r="B502">
        <f>IF($L502="","",INDEX('Per Line'!$D$2:$D$2501,$L502))</f>
        <v/>
      </c>
      <c r="C502">
        <f>IF($L502="","",INDEX('Per Line'!$A$2:$A$2501,$L502))</f>
        <v/>
      </c>
      <c r="F502">
        <f>IF($L502="","",INDEX('Per Line'!$U$2:$U$2501,$L502))</f>
        <v/>
      </c>
      <c r="G502" s="5">
        <f>IF($L502="","",SUMIFS('Per Line'!$W$2:$W$2501,'Per Line'!$D$2:$D$2501,$B502))</f>
        <v/>
      </c>
      <c r="H502" s="5">
        <f>IF($L502="","",SUMIFS('Per Line'!$X$2:$X$2501,'Per Line'!$D$2:$D$2501,$B502))</f>
        <v/>
      </c>
      <c r="I502" s="5">
        <f>IF($L502="","",SUMIFS('Per Line'!$Y$2:$Y$2501,'Per Line'!$D$2:$D$2501,$B502))</f>
        <v/>
      </c>
      <c r="J502" s="5">
        <f>IF($L502="","",G502-H502)</f>
        <v/>
      </c>
      <c r="K502" s="5">
        <f>IF($L502="","",J502-I502)</f>
        <v/>
      </c>
      <c r="L502">
        <f>IF(ROWS($L$2:$L502)&lt;=MAX('Per Line'!$AD$2:$AD$2501),MATCH(ROWS($L$2:$L502),'Per Line'!$AD$2:$AD$2501,0),"")</f>
        <v/>
      </c>
      <c r="M502">
        <f>IF($L502="","",INDEX('Per Line'!$E$2:$E$2501,$L502))</f>
        <v/>
      </c>
    </row>
    <row r="503">
      <c r="A503">
        <f>IF($L503="","",INDEX('Per Line'!$C$2:$C$2501,$L503))</f>
        <v/>
      </c>
      <c r="B503">
        <f>IF($L503="","",INDEX('Per Line'!$D$2:$D$2501,$L503))</f>
        <v/>
      </c>
      <c r="C503">
        <f>IF($L503="","",INDEX('Per Line'!$A$2:$A$2501,$L503))</f>
        <v/>
      </c>
      <c r="F503">
        <f>IF($L503="","",INDEX('Per Line'!$U$2:$U$2501,$L503))</f>
        <v/>
      </c>
      <c r="G503" s="5">
        <f>IF($L503="","",SUMIFS('Per Line'!$W$2:$W$2501,'Per Line'!$D$2:$D$2501,$B503))</f>
        <v/>
      </c>
      <c r="H503" s="5">
        <f>IF($L503="","",SUMIFS('Per Line'!$X$2:$X$2501,'Per Line'!$D$2:$D$2501,$B503))</f>
        <v/>
      </c>
      <c r="I503" s="5">
        <f>IF($L503="","",SUMIFS('Per Line'!$Y$2:$Y$2501,'Per Line'!$D$2:$D$2501,$B503))</f>
        <v/>
      </c>
      <c r="J503" s="5">
        <f>IF($L503="","",G503-H503)</f>
        <v/>
      </c>
      <c r="K503" s="5">
        <f>IF($L503="","",J503-I503)</f>
        <v/>
      </c>
      <c r="L503">
        <f>IF(ROWS($L$2:$L503)&lt;=MAX('Per Line'!$AD$2:$AD$2501),MATCH(ROWS($L$2:$L503),'Per Line'!$AD$2:$AD$2501,0),"")</f>
        <v/>
      </c>
      <c r="M503">
        <f>IF($L503="","",INDEX('Per Line'!$E$2:$E$2501,$L503))</f>
        <v/>
      </c>
    </row>
    <row r="504">
      <c r="A504">
        <f>IF($L504="","",INDEX('Per Line'!$C$2:$C$2501,$L504))</f>
        <v/>
      </c>
      <c r="B504">
        <f>IF($L504="","",INDEX('Per Line'!$D$2:$D$2501,$L504))</f>
        <v/>
      </c>
      <c r="C504">
        <f>IF($L504="","",INDEX('Per Line'!$A$2:$A$2501,$L504))</f>
        <v/>
      </c>
      <c r="F504">
        <f>IF($L504="","",INDEX('Per Line'!$U$2:$U$2501,$L504))</f>
        <v/>
      </c>
      <c r="G504" s="5">
        <f>IF($L504="","",SUMIFS('Per Line'!$W$2:$W$2501,'Per Line'!$D$2:$D$2501,$B504))</f>
        <v/>
      </c>
      <c r="H504" s="5">
        <f>IF($L504="","",SUMIFS('Per Line'!$X$2:$X$2501,'Per Line'!$D$2:$D$2501,$B504))</f>
        <v/>
      </c>
      <c r="I504" s="5">
        <f>IF($L504="","",SUMIFS('Per Line'!$Y$2:$Y$2501,'Per Line'!$D$2:$D$2501,$B504))</f>
        <v/>
      </c>
      <c r="J504" s="5">
        <f>IF($L504="","",G504-H504)</f>
        <v/>
      </c>
      <c r="K504" s="5">
        <f>IF($L504="","",J504-I504)</f>
        <v/>
      </c>
      <c r="L504">
        <f>IF(ROWS($L$2:$L504)&lt;=MAX('Per Line'!$AD$2:$AD$2501),MATCH(ROWS($L$2:$L504),'Per Line'!$AD$2:$AD$2501,0),"")</f>
        <v/>
      </c>
      <c r="M504">
        <f>IF($L504="","",INDEX('Per Line'!$E$2:$E$2501,$L504))</f>
        <v/>
      </c>
    </row>
    <row r="505">
      <c r="A505">
        <f>IF($L505="","",INDEX('Per Line'!$C$2:$C$2501,$L505))</f>
        <v/>
      </c>
      <c r="B505">
        <f>IF($L505="","",INDEX('Per Line'!$D$2:$D$2501,$L505))</f>
        <v/>
      </c>
      <c r="C505">
        <f>IF($L505="","",INDEX('Per Line'!$A$2:$A$2501,$L505))</f>
        <v/>
      </c>
      <c r="F505">
        <f>IF($L505="","",INDEX('Per Line'!$U$2:$U$2501,$L505))</f>
        <v/>
      </c>
      <c r="G505" s="5">
        <f>IF($L505="","",SUMIFS('Per Line'!$W$2:$W$2501,'Per Line'!$D$2:$D$2501,$B505))</f>
        <v/>
      </c>
      <c r="H505" s="5">
        <f>IF($L505="","",SUMIFS('Per Line'!$X$2:$X$2501,'Per Line'!$D$2:$D$2501,$B505))</f>
        <v/>
      </c>
      <c r="I505" s="5">
        <f>IF($L505="","",SUMIFS('Per Line'!$Y$2:$Y$2501,'Per Line'!$D$2:$D$2501,$B505))</f>
        <v/>
      </c>
      <c r="J505" s="5">
        <f>IF($L505="","",G505-H505)</f>
        <v/>
      </c>
      <c r="K505" s="5">
        <f>IF($L505="","",J505-I505)</f>
        <v/>
      </c>
      <c r="L505">
        <f>IF(ROWS($L$2:$L505)&lt;=MAX('Per Line'!$AD$2:$AD$2501),MATCH(ROWS($L$2:$L505),'Per Line'!$AD$2:$AD$2501,0),"")</f>
        <v/>
      </c>
      <c r="M505">
        <f>IF($L505="","",INDEX('Per Line'!$E$2:$E$2501,$L505))</f>
        <v/>
      </c>
    </row>
    <row r="506">
      <c r="A506">
        <f>IF($L506="","",INDEX('Per Line'!$C$2:$C$2501,$L506))</f>
        <v/>
      </c>
      <c r="B506">
        <f>IF($L506="","",INDEX('Per Line'!$D$2:$D$2501,$L506))</f>
        <v/>
      </c>
      <c r="C506">
        <f>IF($L506="","",INDEX('Per Line'!$A$2:$A$2501,$L506))</f>
        <v/>
      </c>
      <c r="F506">
        <f>IF($L506="","",INDEX('Per Line'!$U$2:$U$2501,$L506))</f>
        <v/>
      </c>
      <c r="G506" s="5">
        <f>IF($L506="","",SUMIFS('Per Line'!$W$2:$W$2501,'Per Line'!$D$2:$D$2501,$B506))</f>
        <v/>
      </c>
      <c r="H506" s="5">
        <f>IF($L506="","",SUMIFS('Per Line'!$X$2:$X$2501,'Per Line'!$D$2:$D$2501,$B506))</f>
        <v/>
      </c>
      <c r="I506" s="5">
        <f>IF($L506="","",SUMIFS('Per Line'!$Y$2:$Y$2501,'Per Line'!$D$2:$D$2501,$B506))</f>
        <v/>
      </c>
      <c r="J506" s="5">
        <f>IF($L506="","",G506-H506)</f>
        <v/>
      </c>
      <c r="K506" s="5">
        <f>IF($L506="","",J506-I506)</f>
        <v/>
      </c>
      <c r="L506">
        <f>IF(ROWS($L$2:$L506)&lt;=MAX('Per Line'!$AD$2:$AD$2501),MATCH(ROWS($L$2:$L506),'Per Line'!$AD$2:$AD$2501,0),"")</f>
        <v/>
      </c>
      <c r="M506">
        <f>IF($L506="","",INDEX('Per Line'!$E$2:$E$2501,$L506))</f>
        <v/>
      </c>
    </row>
    <row r="507">
      <c r="A507">
        <f>IF($L507="","",INDEX('Per Line'!$C$2:$C$2501,$L507))</f>
        <v/>
      </c>
      <c r="B507">
        <f>IF($L507="","",INDEX('Per Line'!$D$2:$D$2501,$L507))</f>
        <v/>
      </c>
      <c r="C507">
        <f>IF($L507="","",INDEX('Per Line'!$A$2:$A$2501,$L507))</f>
        <v/>
      </c>
      <c r="F507">
        <f>IF($L507="","",INDEX('Per Line'!$U$2:$U$2501,$L507))</f>
        <v/>
      </c>
      <c r="G507" s="5">
        <f>IF($L507="","",SUMIFS('Per Line'!$W$2:$W$2501,'Per Line'!$D$2:$D$2501,$B507))</f>
        <v/>
      </c>
      <c r="H507" s="5">
        <f>IF($L507="","",SUMIFS('Per Line'!$X$2:$X$2501,'Per Line'!$D$2:$D$2501,$B507))</f>
        <v/>
      </c>
      <c r="I507" s="5">
        <f>IF($L507="","",SUMIFS('Per Line'!$Y$2:$Y$2501,'Per Line'!$D$2:$D$2501,$B507))</f>
        <v/>
      </c>
      <c r="J507" s="5">
        <f>IF($L507="","",G507-H507)</f>
        <v/>
      </c>
      <c r="K507" s="5">
        <f>IF($L507="","",J507-I507)</f>
        <v/>
      </c>
      <c r="L507">
        <f>IF(ROWS($L$2:$L507)&lt;=MAX('Per Line'!$AD$2:$AD$2501),MATCH(ROWS($L$2:$L507),'Per Line'!$AD$2:$AD$2501,0),"")</f>
        <v/>
      </c>
      <c r="M507">
        <f>IF($L507="","",INDEX('Per Line'!$E$2:$E$2501,$L507))</f>
        <v/>
      </c>
    </row>
    <row r="508">
      <c r="A508">
        <f>IF($L508="","",INDEX('Per Line'!$C$2:$C$2501,$L508))</f>
        <v/>
      </c>
      <c r="B508">
        <f>IF($L508="","",INDEX('Per Line'!$D$2:$D$2501,$L508))</f>
        <v/>
      </c>
      <c r="C508">
        <f>IF($L508="","",INDEX('Per Line'!$A$2:$A$2501,$L508))</f>
        <v/>
      </c>
      <c r="F508">
        <f>IF($L508="","",INDEX('Per Line'!$U$2:$U$2501,$L508))</f>
        <v/>
      </c>
      <c r="G508" s="5">
        <f>IF($L508="","",SUMIFS('Per Line'!$W$2:$W$2501,'Per Line'!$D$2:$D$2501,$B508))</f>
        <v/>
      </c>
      <c r="H508" s="5">
        <f>IF($L508="","",SUMIFS('Per Line'!$X$2:$X$2501,'Per Line'!$D$2:$D$2501,$B508))</f>
        <v/>
      </c>
      <c r="I508" s="5">
        <f>IF($L508="","",SUMIFS('Per Line'!$Y$2:$Y$2501,'Per Line'!$D$2:$D$2501,$B508))</f>
        <v/>
      </c>
      <c r="J508" s="5">
        <f>IF($L508="","",G508-H508)</f>
        <v/>
      </c>
      <c r="K508" s="5">
        <f>IF($L508="","",J508-I508)</f>
        <v/>
      </c>
      <c r="L508">
        <f>IF(ROWS($L$2:$L508)&lt;=MAX('Per Line'!$AD$2:$AD$2501),MATCH(ROWS($L$2:$L508),'Per Line'!$AD$2:$AD$2501,0),"")</f>
        <v/>
      </c>
      <c r="M508">
        <f>IF($L508="","",INDEX('Per Line'!$E$2:$E$2501,$L508))</f>
        <v/>
      </c>
    </row>
    <row r="509">
      <c r="A509">
        <f>IF($L509="","",INDEX('Per Line'!$C$2:$C$2501,$L509))</f>
        <v/>
      </c>
      <c r="B509">
        <f>IF($L509="","",INDEX('Per Line'!$D$2:$D$2501,$L509))</f>
        <v/>
      </c>
      <c r="C509">
        <f>IF($L509="","",INDEX('Per Line'!$A$2:$A$2501,$L509))</f>
        <v/>
      </c>
      <c r="F509">
        <f>IF($L509="","",INDEX('Per Line'!$U$2:$U$2501,$L509))</f>
        <v/>
      </c>
      <c r="G509" s="5">
        <f>IF($L509="","",SUMIFS('Per Line'!$W$2:$W$2501,'Per Line'!$D$2:$D$2501,$B509))</f>
        <v/>
      </c>
      <c r="H509" s="5">
        <f>IF($L509="","",SUMIFS('Per Line'!$X$2:$X$2501,'Per Line'!$D$2:$D$2501,$B509))</f>
        <v/>
      </c>
      <c r="I509" s="5">
        <f>IF($L509="","",SUMIFS('Per Line'!$Y$2:$Y$2501,'Per Line'!$D$2:$D$2501,$B509))</f>
        <v/>
      </c>
      <c r="J509" s="5">
        <f>IF($L509="","",G509-H509)</f>
        <v/>
      </c>
      <c r="K509" s="5">
        <f>IF($L509="","",J509-I509)</f>
        <v/>
      </c>
      <c r="L509">
        <f>IF(ROWS($L$2:$L509)&lt;=MAX('Per Line'!$AD$2:$AD$2501),MATCH(ROWS($L$2:$L509),'Per Line'!$AD$2:$AD$2501,0),"")</f>
        <v/>
      </c>
      <c r="M509">
        <f>IF($L509="","",INDEX('Per Line'!$E$2:$E$2501,$L509))</f>
        <v/>
      </c>
    </row>
    <row r="510">
      <c r="A510">
        <f>IF($L510="","",INDEX('Per Line'!$C$2:$C$2501,$L510))</f>
        <v/>
      </c>
      <c r="B510">
        <f>IF($L510="","",INDEX('Per Line'!$D$2:$D$2501,$L510))</f>
        <v/>
      </c>
      <c r="C510">
        <f>IF($L510="","",INDEX('Per Line'!$A$2:$A$2501,$L510))</f>
        <v/>
      </c>
      <c r="F510">
        <f>IF($L510="","",INDEX('Per Line'!$U$2:$U$2501,$L510))</f>
        <v/>
      </c>
      <c r="G510" s="5">
        <f>IF($L510="","",SUMIFS('Per Line'!$W$2:$W$2501,'Per Line'!$D$2:$D$2501,$B510))</f>
        <v/>
      </c>
      <c r="H510" s="5">
        <f>IF($L510="","",SUMIFS('Per Line'!$X$2:$X$2501,'Per Line'!$D$2:$D$2501,$B510))</f>
        <v/>
      </c>
      <c r="I510" s="5">
        <f>IF($L510="","",SUMIFS('Per Line'!$Y$2:$Y$2501,'Per Line'!$D$2:$D$2501,$B510))</f>
        <v/>
      </c>
      <c r="J510" s="5">
        <f>IF($L510="","",G510-H510)</f>
        <v/>
      </c>
      <c r="K510" s="5">
        <f>IF($L510="","",J510-I510)</f>
        <v/>
      </c>
      <c r="L510">
        <f>IF(ROWS($L$2:$L510)&lt;=MAX('Per Line'!$AD$2:$AD$2501),MATCH(ROWS($L$2:$L510),'Per Line'!$AD$2:$AD$2501,0),"")</f>
        <v/>
      </c>
      <c r="M510">
        <f>IF($L510="","",INDEX('Per Line'!$E$2:$E$2501,$L510))</f>
        <v/>
      </c>
    </row>
    <row r="511">
      <c r="A511">
        <f>IF($L511="","",INDEX('Per Line'!$C$2:$C$2501,$L511))</f>
        <v/>
      </c>
      <c r="B511">
        <f>IF($L511="","",INDEX('Per Line'!$D$2:$D$2501,$L511))</f>
        <v/>
      </c>
      <c r="C511">
        <f>IF($L511="","",INDEX('Per Line'!$A$2:$A$2501,$L511))</f>
        <v/>
      </c>
      <c r="F511">
        <f>IF($L511="","",INDEX('Per Line'!$U$2:$U$2501,$L511))</f>
        <v/>
      </c>
      <c r="G511" s="5">
        <f>IF($L511="","",SUMIFS('Per Line'!$W$2:$W$2501,'Per Line'!$D$2:$D$2501,$B511))</f>
        <v/>
      </c>
      <c r="H511" s="5">
        <f>IF($L511="","",SUMIFS('Per Line'!$X$2:$X$2501,'Per Line'!$D$2:$D$2501,$B511))</f>
        <v/>
      </c>
      <c r="I511" s="5">
        <f>IF($L511="","",SUMIFS('Per Line'!$Y$2:$Y$2501,'Per Line'!$D$2:$D$2501,$B511))</f>
        <v/>
      </c>
      <c r="J511" s="5">
        <f>IF($L511="","",G511-H511)</f>
        <v/>
      </c>
      <c r="K511" s="5">
        <f>IF($L511="","",J511-I511)</f>
        <v/>
      </c>
      <c r="L511">
        <f>IF(ROWS($L$2:$L511)&lt;=MAX('Per Line'!$AD$2:$AD$2501),MATCH(ROWS($L$2:$L511),'Per Line'!$AD$2:$AD$2501,0),"")</f>
        <v/>
      </c>
      <c r="M511">
        <f>IF($L511="","",INDEX('Per Line'!$E$2:$E$2501,$L511))</f>
        <v/>
      </c>
    </row>
    <row r="512">
      <c r="A512">
        <f>IF($L512="","",INDEX('Per Line'!$C$2:$C$2501,$L512))</f>
        <v/>
      </c>
      <c r="B512">
        <f>IF($L512="","",INDEX('Per Line'!$D$2:$D$2501,$L512))</f>
        <v/>
      </c>
      <c r="C512">
        <f>IF($L512="","",INDEX('Per Line'!$A$2:$A$2501,$L512))</f>
        <v/>
      </c>
      <c r="F512">
        <f>IF($L512="","",INDEX('Per Line'!$U$2:$U$2501,$L512))</f>
        <v/>
      </c>
      <c r="G512" s="5">
        <f>IF($L512="","",SUMIFS('Per Line'!$W$2:$W$2501,'Per Line'!$D$2:$D$2501,$B512))</f>
        <v/>
      </c>
      <c r="H512" s="5">
        <f>IF($L512="","",SUMIFS('Per Line'!$X$2:$X$2501,'Per Line'!$D$2:$D$2501,$B512))</f>
        <v/>
      </c>
      <c r="I512" s="5">
        <f>IF($L512="","",SUMIFS('Per Line'!$Y$2:$Y$2501,'Per Line'!$D$2:$D$2501,$B512))</f>
        <v/>
      </c>
      <c r="J512" s="5">
        <f>IF($L512="","",G512-H512)</f>
        <v/>
      </c>
      <c r="K512" s="5">
        <f>IF($L512="","",J512-I512)</f>
        <v/>
      </c>
      <c r="L512">
        <f>IF(ROWS($L$2:$L512)&lt;=MAX('Per Line'!$AD$2:$AD$2501),MATCH(ROWS($L$2:$L512),'Per Line'!$AD$2:$AD$2501,0),"")</f>
        <v/>
      </c>
      <c r="M512">
        <f>IF($L512="","",INDEX('Per Line'!$E$2:$E$2501,$L512))</f>
        <v/>
      </c>
    </row>
    <row r="513">
      <c r="A513">
        <f>IF($L513="","",INDEX('Per Line'!$C$2:$C$2501,$L513))</f>
        <v/>
      </c>
      <c r="B513">
        <f>IF($L513="","",INDEX('Per Line'!$D$2:$D$2501,$L513))</f>
        <v/>
      </c>
      <c r="C513">
        <f>IF($L513="","",INDEX('Per Line'!$A$2:$A$2501,$L513))</f>
        <v/>
      </c>
      <c r="F513">
        <f>IF($L513="","",INDEX('Per Line'!$U$2:$U$2501,$L513))</f>
        <v/>
      </c>
      <c r="G513" s="5">
        <f>IF($L513="","",SUMIFS('Per Line'!$W$2:$W$2501,'Per Line'!$D$2:$D$2501,$B513))</f>
        <v/>
      </c>
      <c r="H513" s="5">
        <f>IF($L513="","",SUMIFS('Per Line'!$X$2:$X$2501,'Per Line'!$D$2:$D$2501,$B513))</f>
        <v/>
      </c>
      <c r="I513" s="5">
        <f>IF($L513="","",SUMIFS('Per Line'!$Y$2:$Y$2501,'Per Line'!$D$2:$D$2501,$B513))</f>
        <v/>
      </c>
      <c r="J513" s="5">
        <f>IF($L513="","",G513-H513)</f>
        <v/>
      </c>
      <c r="K513" s="5">
        <f>IF($L513="","",J513-I513)</f>
        <v/>
      </c>
      <c r="L513">
        <f>IF(ROWS($L$2:$L513)&lt;=MAX('Per Line'!$AD$2:$AD$2501),MATCH(ROWS($L$2:$L513),'Per Line'!$AD$2:$AD$2501,0),"")</f>
        <v/>
      </c>
      <c r="M513">
        <f>IF($L513="","",INDEX('Per Line'!$E$2:$E$2501,$L513))</f>
        <v/>
      </c>
    </row>
    <row r="514">
      <c r="A514">
        <f>IF($L514="","",INDEX('Per Line'!$C$2:$C$2501,$L514))</f>
        <v/>
      </c>
      <c r="B514">
        <f>IF($L514="","",INDEX('Per Line'!$D$2:$D$2501,$L514))</f>
        <v/>
      </c>
      <c r="C514">
        <f>IF($L514="","",INDEX('Per Line'!$A$2:$A$2501,$L514))</f>
        <v/>
      </c>
      <c r="F514">
        <f>IF($L514="","",INDEX('Per Line'!$U$2:$U$2501,$L514))</f>
        <v/>
      </c>
      <c r="G514" s="5">
        <f>IF($L514="","",SUMIFS('Per Line'!$W$2:$W$2501,'Per Line'!$D$2:$D$2501,$B514))</f>
        <v/>
      </c>
      <c r="H514" s="5">
        <f>IF($L514="","",SUMIFS('Per Line'!$X$2:$X$2501,'Per Line'!$D$2:$D$2501,$B514))</f>
        <v/>
      </c>
      <c r="I514" s="5">
        <f>IF($L514="","",SUMIFS('Per Line'!$Y$2:$Y$2501,'Per Line'!$D$2:$D$2501,$B514))</f>
        <v/>
      </c>
      <c r="J514" s="5">
        <f>IF($L514="","",G514-H514)</f>
        <v/>
      </c>
      <c r="K514" s="5">
        <f>IF($L514="","",J514-I514)</f>
        <v/>
      </c>
      <c r="L514">
        <f>IF(ROWS($L$2:$L514)&lt;=MAX('Per Line'!$AD$2:$AD$2501),MATCH(ROWS($L$2:$L514),'Per Line'!$AD$2:$AD$2501,0),"")</f>
        <v/>
      </c>
      <c r="M514">
        <f>IF($L514="","",INDEX('Per Line'!$E$2:$E$2501,$L514))</f>
        <v/>
      </c>
    </row>
    <row r="515">
      <c r="A515">
        <f>IF($L515="","",INDEX('Per Line'!$C$2:$C$2501,$L515))</f>
        <v/>
      </c>
      <c r="B515">
        <f>IF($L515="","",INDEX('Per Line'!$D$2:$D$2501,$L515))</f>
        <v/>
      </c>
      <c r="C515">
        <f>IF($L515="","",INDEX('Per Line'!$A$2:$A$2501,$L515))</f>
        <v/>
      </c>
      <c r="F515">
        <f>IF($L515="","",INDEX('Per Line'!$U$2:$U$2501,$L515))</f>
        <v/>
      </c>
      <c r="G515" s="5">
        <f>IF($L515="","",SUMIFS('Per Line'!$W$2:$W$2501,'Per Line'!$D$2:$D$2501,$B515))</f>
        <v/>
      </c>
      <c r="H515" s="5">
        <f>IF($L515="","",SUMIFS('Per Line'!$X$2:$X$2501,'Per Line'!$D$2:$D$2501,$B515))</f>
        <v/>
      </c>
      <c r="I515" s="5">
        <f>IF($L515="","",SUMIFS('Per Line'!$Y$2:$Y$2501,'Per Line'!$D$2:$D$2501,$B515))</f>
        <v/>
      </c>
      <c r="J515" s="5">
        <f>IF($L515="","",G515-H515)</f>
        <v/>
      </c>
      <c r="K515" s="5">
        <f>IF($L515="","",J515-I515)</f>
        <v/>
      </c>
      <c r="L515">
        <f>IF(ROWS($L$2:$L515)&lt;=MAX('Per Line'!$AD$2:$AD$2501),MATCH(ROWS($L$2:$L515),'Per Line'!$AD$2:$AD$2501,0),"")</f>
        <v/>
      </c>
      <c r="M515">
        <f>IF($L515="","",INDEX('Per Line'!$E$2:$E$2501,$L515))</f>
        <v/>
      </c>
    </row>
    <row r="516">
      <c r="A516">
        <f>IF($L516="","",INDEX('Per Line'!$C$2:$C$2501,$L516))</f>
        <v/>
      </c>
      <c r="B516">
        <f>IF($L516="","",INDEX('Per Line'!$D$2:$D$2501,$L516))</f>
        <v/>
      </c>
      <c r="C516">
        <f>IF($L516="","",INDEX('Per Line'!$A$2:$A$2501,$L516))</f>
        <v/>
      </c>
      <c r="F516">
        <f>IF($L516="","",INDEX('Per Line'!$U$2:$U$2501,$L516))</f>
        <v/>
      </c>
      <c r="G516" s="5">
        <f>IF($L516="","",SUMIFS('Per Line'!$W$2:$W$2501,'Per Line'!$D$2:$D$2501,$B516))</f>
        <v/>
      </c>
      <c r="H516" s="5">
        <f>IF($L516="","",SUMIFS('Per Line'!$X$2:$X$2501,'Per Line'!$D$2:$D$2501,$B516))</f>
        <v/>
      </c>
      <c r="I516" s="5">
        <f>IF($L516="","",SUMIFS('Per Line'!$Y$2:$Y$2501,'Per Line'!$D$2:$D$2501,$B516))</f>
        <v/>
      </c>
      <c r="J516" s="5">
        <f>IF($L516="","",G516-H516)</f>
        <v/>
      </c>
      <c r="K516" s="5">
        <f>IF($L516="","",J516-I516)</f>
        <v/>
      </c>
      <c r="L516">
        <f>IF(ROWS($L$2:$L516)&lt;=MAX('Per Line'!$AD$2:$AD$2501),MATCH(ROWS($L$2:$L516),'Per Line'!$AD$2:$AD$2501,0),"")</f>
        <v/>
      </c>
      <c r="M516">
        <f>IF($L516="","",INDEX('Per Line'!$E$2:$E$2501,$L516))</f>
        <v/>
      </c>
    </row>
    <row r="517">
      <c r="A517">
        <f>IF($L517="","",INDEX('Per Line'!$C$2:$C$2501,$L517))</f>
        <v/>
      </c>
      <c r="B517">
        <f>IF($L517="","",INDEX('Per Line'!$D$2:$D$2501,$L517))</f>
        <v/>
      </c>
      <c r="C517">
        <f>IF($L517="","",INDEX('Per Line'!$A$2:$A$2501,$L517))</f>
        <v/>
      </c>
      <c r="F517">
        <f>IF($L517="","",INDEX('Per Line'!$U$2:$U$2501,$L517))</f>
        <v/>
      </c>
      <c r="G517" s="5">
        <f>IF($L517="","",SUMIFS('Per Line'!$W$2:$W$2501,'Per Line'!$D$2:$D$2501,$B517))</f>
        <v/>
      </c>
      <c r="H517" s="5">
        <f>IF($L517="","",SUMIFS('Per Line'!$X$2:$X$2501,'Per Line'!$D$2:$D$2501,$B517))</f>
        <v/>
      </c>
      <c r="I517" s="5">
        <f>IF($L517="","",SUMIFS('Per Line'!$Y$2:$Y$2501,'Per Line'!$D$2:$D$2501,$B517))</f>
        <v/>
      </c>
      <c r="J517" s="5">
        <f>IF($L517="","",G517-H517)</f>
        <v/>
      </c>
      <c r="K517" s="5">
        <f>IF($L517="","",J517-I517)</f>
        <v/>
      </c>
      <c r="L517">
        <f>IF(ROWS($L$2:$L517)&lt;=MAX('Per Line'!$AD$2:$AD$2501),MATCH(ROWS($L$2:$L517),'Per Line'!$AD$2:$AD$2501,0),"")</f>
        <v/>
      </c>
      <c r="M517">
        <f>IF($L517="","",INDEX('Per Line'!$E$2:$E$2501,$L517))</f>
        <v/>
      </c>
    </row>
    <row r="518">
      <c r="A518">
        <f>IF($L518="","",INDEX('Per Line'!$C$2:$C$2501,$L518))</f>
        <v/>
      </c>
      <c r="B518">
        <f>IF($L518="","",INDEX('Per Line'!$D$2:$D$2501,$L518))</f>
        <v/>
      </c>
      <c r="C518">
        <f>IF($L518="","",INDEX('Per Line'!$A$2:$A$2501,$L518))</f>
        <v/>
      </c>
      <c r="F518">
        <f>IF($L518="","",INDEX('Per Line'!$U$2:$U$2501,$L518))</f>
        <v/>
      </c>
      <c r="G518" s="5">
        <f>IF($L518="","",SUMIFS('Per Line'!$W$2:$W$2501,'Per Line'!$D$2:$D$2501,$B518))</f>
        <v/>
      </c>
      <c r="H518" s="5">
        <f>IF($L518="","",SUMIFS('Per Line'!$X$2:$X$2501,'Per Line'!$D$2:$D$2501,$B518))</f>
        <v/>
      </c>
      <c r="I518" s="5">
        <f>IF($L518="","",SUMIFS('Per Line'!$Y$2:$Y$2501,'Per Line'!$D$2:$D$2501,$B518))</f>
        <v/>
      </c>
      <c r="J518" s="5">
        <f>IF($L518="","",G518-H518)</f>
        <v/>
      </c>
      <c r="K518" s="5">
        <f>IF($L518="","",J518-I518)</f>
        <v/>
      </c>
      <c r="L518">
        <f>IF(ROWS($L$2:$L518)&lt;=MAX('Per Line'!$AD$2:$AD$2501),MATCH(ROWS($L$2:$L518),'Per Line'!$AD$2:$AD$2501,0),"")</f>
        <v/>
      </c>
      <c r="M518">
        <f>IF($L518="","",INDEX('Per Line'!$E$2:$E$2501,$L518))</f>
        <v/>
      </c>
    </row>
    <row r="519">
      <c r="A519">
        <f>IF($L519="","",INDEX('Per Line'!$C$2:$C$2501,$L519))</f>
        <v/>
      </c>
      <c r="B519">
        <f>IF($L519="","",INDEX('Per Line'!$D$2:$D$2501,$L519))</f>
        <v/>
      </c>
      <c r="C519">
        <f>IF($L519="","",INDEX('Per Line'!$A$2:$A$2501,$L519))</f>
        <v/>
      </c>
      <c r="F519">
        <f>IF($L519="","",INDEX('Per Line'!$U$2:$U$2501,$L519))</f>
        <v/>
      </c>
      <c r="G519" s="5">
        <f>IF($L519="","",SUMIFS('Per Line'!$W$2:$W$2501,'Per Line'!$D$2:$D$2501,$B519))</f>
        <v/>
      </c>
      <c r="H519" s="5">
        <f>IF($L519="","",SUMIFS('Per Line'!$X$2:$X$2501,'Per Line'!$D$2:$D$2501,$B519))</f>
        <v/>
      </c>
      <c r="I519" s="5">
        <f>IF($L519="","",SUMIFS('Per Line'!$Y$2:$Y$2501,'Per Line'!$D$2:$D$2501,$B519))</f>
        <v/>
      </c>
      <c r="J519" s="5">
        <f>IF($L519="","",G519-H519)</f>
        <v/>
      </c>
      <c r="K519" s="5">
        <f>IF($L519="","",J519-I519)</f>
        <v/>
      </c>
      <c r="L519">
        <f>IF(ROWS($L$2:$L519)&lt;=MAX('Per Line'!$AD$2:$AD$2501),MATCH(ROWS($L$2:$L519),'Per Line'!$AD$2:$AD$2501,0),"")</f>
        <v/>
      </c>
      <c r="M519">
        <f>IF($L519="","",INDEX('Per Line'!$E$2:$E$2501,$L519))</f>
        <v/>
      </c>
    </row>
    <row r="520">
      <c r="A520">
        <f>IF($L520="","",INDEX('Per Line'!$C$2:$C$2501,$L520))</f>
        <v/>
      </c>
      <c r="B520">
        <f>IF($L520="","",INDEX('Per Line'!$D$2:$D$2501,$L520))</f>
        <v/>
      </c>
      <c r="C520">
        <f>IF($L520="","",INDEX('Per Line'!$A$2:$A$2501,$L520))</f>
        <v/>
      </c>
      <c r="F520">
        <f>IF($L520="","",INDEX('Per Line'!$U$2:$U$2501,$L520))</f>
        <v/>
      </c>
      <c r="G520" s="5">
        <f>IF($L520="","",SUMIFS('Per Line'!$W$2:$W$2501,'Per Line'!$D$2:$D$2501,$B520))</f>
        <v/>
      </c>
      <c r="H520" s="5">
        <f>IF($L520="","",SUMIFS('Per Line'!$X$2:$X$2501,'Per Line'!$D$2:$D$2501,$B520))</f>
        <v/>
      </c>
      <c r="I520" s="5">
        <f>IF($L520="","",SUMIFS('Per Line'!$Y$2:$Y$2501,'Per Line'!$D$2:$D$2501,$B520))</f>
        <v/>
      </c>
      <c r="J520" s="5">
        <f>IF($L520="","",G520-H520)</f>
        <v/>
      </c>
      <c r="K520" s="5">
        <f>IF($L520="","",J520-I520)</f>
        <v/>
      </c>
      <c r="L520">
        <f>IF(ROWS($L$2:$L520)&lt;=MAX('Per Line'!$AD$2:$AD$2501),MATCH(ROWS($L$2:$L520),'Per Line'!$AD$2:$AD$2501,0),"")</f>
        <v/>
      </c>
      <c r="M520">
        <f>IF($L520="","",INDEX('Per Line'!$E$2:$E$2501,$L520))</f>
        <v/>
      </c>
    </row>
    <row r="521">
      <c r="A521">
        <f>IF($L521="","",INDEX('Per Line'!$C$2:$C$2501,$L521))</f>
        <v/>
      </c>
      <c r="B521">
        <f>IF($L521="","",INDEX('Per Line'!$D$2:$D$2501,$L521))</f>
        <v/>
      </c>
      <c r="C521">
        <f>IF($L521="","",INDEX('Per Line'!$A$2:$A$2501,$L521))</f>
        <v/>
      </c>
      <c r="F521">
        <f>IF($L521="","",INDEX('Per Line'!$U$2:$U$2501,$L521))</f>
        <v/>
      </c>
      <c r="G521" s="5">
        <f>IF($L521="","",SUMIFS('Per Line'!$W$2:$W$2501,'Per Line'!$D$2:$D$2501,$B521))</f>
        <v/>
      </c>
      <c r="H521" s="5">
        <f>IF($L521="","",SUMIFS('Per Line'!$X$2:$X$2501,'Per Line'!$D$2:$D$2501,$B521))</f>
        <v/>
      </c>
      <c r="I521" s="5">
        <f>IF($L521="","",SUMIFS('Per Line'!$Y$2:$Y$2501,'Per Line'!$D$2:$D$2501,$B521))</f>
        <v/>
      </c>
      <c r="J521" s="5">
        <f>IF($L521="","",G521-H521)</f>
        <v/>
      </c>
      <c r="K521" s="5">
        <f>IF($L521="","",J521-I521)</f>
        <v/>
      </c>
      <c r="L521">
        <f>IF(ROWS($L$2:$L521)&lt;=MAX('Per Line'!$AD$2:$AD$2501),MATCH(ROWS($L$2:$L521),'Per Line'!$AD$2:$AD$2501,0),"")</f>
        <v/>
      </c>
      <c r="M521">
        <f>IF($L521="","",INDEX('Per Line'!$E$2:$E$2501,$L521))</f>
        <v/>
      </c>
    </row>
    <row r="522">
      <c r="A522">
        <f>IF($L522="","",INDEX('Per Line'!$C$2:$C$2501,$L522))</f>
        <v/>
      </c>
      <c r="B522">
        <f>IF($L522="","",INDEX('Per Line'!$D$2:$D$2501,$L522))</f>
        <v/>
      </c>
      <c r="C522">
        <f>IF($L522="","",INDEX('Per Line'!$A$2:$A$2501,$L522))</f>
        <v/>
      </c>
      <c r="F522">
        <f>IF($L522="","",INDEX('Per Line'!$U$2:$U$2501,$L522))</f>
        <v/>
      </c>
      <c r="G522" s="5">
        <f>IF($L522="","",SUMIFS('Per Line'!$W$2:$W$2501,'Per Line'!$D$2:$D$2501,$B522))</f>
        <v/>
      </c>
      <c r="H522" s="5">
        <f>IF($L522="","",SUMIFS('Per Line'!$X$2:$X$2501,'Per Line'!$D$2:$D$2501,$B522))</f>
        <v/>
      </c>
      <c r="I522" s="5">
        <f>IF($L522="","",SUMIFS('Per Line'!$Y$2:$Y$2501,'Per Line'!$D$2:$D$2501,$B522))</f>
        <v/>
      </c>
      <c r="J522" s="5">
        <f>IF($L522="","",G522-H522)</f>
        <v/>
      </c>
      <c r="K522" s="5">
        <f>IF($L522="","",J522-I522)</f>
        <v/>
      </c>
      <c r="L522">
        <f>IF(ROWS($L$2:$L522)&lt;=MAX('Per Line'!$AD$2:$AD$2501),MATCH(ROWS($L$2:$L522),'Per Line'!$AD$2:$AD$2501,0),"")</f>
        <v/>
      </c>
      <c r="M522">
        <f>IF($L522="","",INDEX('Per Line'!$E$2:$E$2501,$L522))</f>
        <v/>
      </c>
    </row>
    <row r="523">
      <c r="A523">
        <f>IF($L523="","",INDEX('Per Line'!$C$2:$C$2501,$L523))</f>
        <v/>
      </c>
      <c r="B523">
        <f>IF($L523="","",INDEX('Per Line'!$D$2:$D$2501,$L523))</f>
        <v/>
      </c>
      <c r="C523">
        <f>IF($L523="","",INDEX('Per Line'!$A$2:$A$2501,$L523))</f>
        <v/>
      </c>
      <c r="F523">
        <f>IF($L523="","",INDEX('Per Line'!$U$2:$U$2501,$L523))</f>
        <v/>
      </c>
      <c r="G523" s="5">
        <f>IF($L523="","",SUMIFS('Per Line'!$W$2:$W$2501,'Per Line'!$D$2:$D$2501,$B523))</f>
        <v/>
      </c>
      <c r="H523" s="5">
        <f>IF($L523="","",SUMIFS('Per Line'!$X$2:$X$2501,'Per Line'!$D$2:$D$2501,$B523))</f>
        <v/>
      </c>
      <c r="I523" s="5">
        <f>IF($L523="","",SUMIFS('Per Line'!$Y$2:$Y$2501,'Per Line'!$D$2:$D$2501,$B523))</f>
        <v/>
      </c>
      <c r="J523" s="5">
        <f>IF($L523="","",G523-H523)</f>
        <v/>
      </c>
      <c r="K523" s="5">
        <f>IF($L523="","",J523-I523)</f>
        <v/>
      </c>
      <c r="L523">
        <f>IF(ROWS($L$2:$L523)&lt;=MAX('Per Line'!$AD$2:$AD$2501),MATCH(ROWS($L$2:$L523),'Per Line'!$AD$2:$AD$2501,0),"")</f>
        <v/>
      </c>
      <c r="M523">
        <f>IF($L523="","",INDEX('Per Line'!$E$2:$E$2501,$L523))</f>
        <v/>
      </c>
    </row>
    <row r="524">
      <c r="A524">
        <f>IF($L524="","",INDEX('Per Line'!$C$2:$C$2501,$L524))</f>
        <v/>
      </c>
      <c r="B524">
        <f>IF($L524="","",INDEX('Per Line'!$D$2:$D$2501,$L524))</f>
        <v/>
      </c>
      <c r="C524">
        <f>IF($L524="","",INDEX('Per Line'!$A$2:$A$2501,$L524))</f>
        <v/>
      </c>
      <c r="F524">
        <f>IF($L524="","",INDEX('Per Line'!$U$2:$U$2501,$L524))</f>
        <v/>
      </c>
      <c r="G524" s="5">
        <f>IF($L524="","",SUMIFS('Per Line'!$W$2:$W$2501,'Per Line'!$D$2:$D$2501,$B524))</f>
        <v/>
      </c>
      <c r="H524" s="5">
        <f>IF($L524="","",SUMIFS('Per Line'!$X$2:$X$2501,'Per Line'!$D$2:$D$2501,$B524))</f>
        <v/>
      </c>
      <c r="I524" s="5">
        <f>IF($L524="","",SUMIFS('Per Line'!$Y$2:$Y$2501,'Per Line'!$D$2:$D$2501,$B524))</f>
        <v/>
      </c>
      <c r="J524" s="5">
        <f>IF($L524="","",G524-H524)</f>
        <v/>
      </c>
      <c r="K524" s="5">
        <f>IF($L524="","",J524-I524)</f>
        <v/>
      </c>
      <c r="L524">
        <f>IF(ROWS($L$2:$L524)&lt;=MAX('Per Line'!$AD$2:$AD$2501),MATCH(ROWS($L$2:$L524),'Per Line'!$AD$2:$AD$2501,0),"")</f>
        <v/>
      </c>
      <c r="M524">
        <f>IF($L524="","",INDEX('Per Line'!$E$2:$E$2501,$L524))</f>
        <v/>
      </c>
    </row>
    <row r="525">
      <c r="A525">
        <f>IF($L525="","",INDEX('Per Line'!$C$2:$C$2501,$L525))</f>
        <v/>
      </c>
      <c r="B525">
        <f>IF($L525="","",INDEX('Per Line'!$D$2:$D$2501,$L525))</f>
        <v/>
      </c>
      <c r="C525">
        <f>IF($L525="","",INDEX('Per Line'!$A$2:$A$2501,$L525))</f>
        <v/>
      </c>
      <c r="F525">
        <f>IF($L525="","",INDEX('Per Line'!$U$2:$U$2501,$L525))</f>
        <v/>
      </c>
      <c r="G525" s="5">
        <f>IF($L525="","",SUMIFS('Per Line'!$W$2:$W$2501,'Per Line'!$D$2:$D$2501,$B525))</f>
        <v/>
      </c>
      <c r="H525" s="5">
        <f>IF($L525="","",SUMIFS('Per Line'!$X$2:$X$2501,'Per Line'!$D$2:$D$2501,$B525))</f>
        <v/>
      </c>
      <c r="I525" s="5">
        <f>IF($L525="","",SUMIFS('Per Line'!$Y$2:$Y$2501,'Per Line'!$D$2:$D$2501,$B525))</f>
        <v/>
      </c>
      <c r="J525" s="5">
        <f>IF($L525="","",G525-H525)</f>
        <v/>
      </c>
      <c r="K525" s="5">
        <f>IF($L525="","",J525-I525)</f>
        <v/>
      </c>
      <c r="L525">
        <f>IF(ROWS($L$2:$L525)&lt;=MAX('Per Line'!$AD$2:$AD$2501),MATCH(ROWS($L$2:$L525),'Per Line'!$AD$2:$AD$2501,0),"")</f>
        <v/>
      </c>
      <c r="M525">
        <f>IF($L525="","",INDEX('Per Line'!$E$2:$E$2501,$L525))</f>
        <v/>
      </c>
    </row>
    <row r="526">
      <c r="A526">
        <f>IF($L526="","",INDEX('Per Line'!$C$2:$C$2501,$L526))</f>
        <v/>
      </c>
      <c r="B526">
        <f>IF($L526="","",INDEX('Per Line'!$D$2:$D$2501,$L526))</f>
        <v/>
      </c>
      <c r="C526">
        <f>IF($L526="","",INDEX('Per Line'!$A$2:$A$2501,$L526))</f>
        <v/>
      </c>
      <c r="F526">
        <f>IF($L526="","",INDEX('Per Line'!$U$2:$U$2501,$L526))</f>
        <v/>
      </c>
      <c r="G526" s="5">
        <f>IF($L526="","",SUMIFS('Per Line'!$W$2:$W$2501,'Per Line'!$D$2:$D$2501,$B526))</f>
        <v/>
      </c>
      <c r="H526" s="5">
        <f>IF($L526="","",SUMIFS('Per Line'!$X$2:$X$2501,'Per Line'!$D$2:$D$2501,$B526))</f>
        <v/>
      </c>
      <c r="I526" s="5">
        <f>IF($L526="","",SUMIFS('Per Line'!$Y$2:$Y$2501,'Per Line'!$D$2:$D$2501,$B526))</f>
        <v/>
      </c>
      <c r="J526" s="5">
        <f>IF($L526="","",G526-H526)</f>
        <v/>
      </c>
      <c r="K526" s="5">
        <f>IF($L526="","",J526-I526)</f>
        <v/>
      </c>
      <c r="L526">
        <f>IF(ROWS($L$2:$L526)&lt;=MAX('Per Line'!$AD$2:$AD$2501),MATCH(ROWS($L$2:$L526),'Per Line'!$AD$2:$AD$2501,0),"")</f>
        <v/>
      </c>
      <c r="M526">
        <f>IF($L526="","",INDEX('Per Line'!$E$2:$E$2501,$L526))</f>
        <v/>
      </c>
    </row>
    <row r="527">
      <c r="A527">
        <f>IF($L527="","",INDEX('Per Line'!$C$2:$C$2501,$L527))</f>
        <v/>
      </c>
      <c r="B527">
        <f>IF($L527="","",INDEX('Per Line'!$D$2:$D$2501,$L527))</f>
        <v/>
      </c>
      <c r="C527">
        <f>IF($L527="","",INDEX('Per Line'!$A$2:$A$2501,$L527))</f>
        <v/>
      </c>
      <c r="F527">
        <f>IF($L527="","",INDEX('Per Line'!$U$2:$U$2501,$L527))</f>
        <v/>
      </c>
      <c r="G527" s="5">
        <f>IF($L527="","",SUMIFS('Per Line'!$W$2:$W$2501,'Per Line'!$D$2:$D$2501,$B527))</f>
        <v/>
      </c>
      <c r="H527" s="5">
        <f>IF($L527="","",SUMIFS('Per Line'!$X$2:$X$2501,'Per Line'!$D$2:$D$2501,$B527))</f>
        <v/>
      </c>
      <c r="I527" s="5">
        <f>IF($L527="","",SUMIFS('Per Line'!$Y$2:$Y$2501,'Per Line'!$D$2:$D$2501,$B527))</f>
        <v/>
      </c>
      <c r="J527" s="5">
        <f>IF($L527="","",G527-H527)</f>
        <v/>
      </c>
      <c r="K527" s="5">
        <f>IF($L527="","",J527-I527)</f>
        <v/>
      </c>
      <c r="L527">
        <f>IF(ROWS($L$2:$L527)&lt;=MAX('Per Line'!$AD$2:$AD$2501),MATCH(ROWS($L$2:$L527),'Per Line'!$AD$2:$AD$2501,0),"")</f>
        <v/>
      </c>
      <c r="M527">
        <f>IF($L527="","",INDEX('Per Line'!$E$2:$E$2501,$L527))</f>
        <v/>
      </c>
    </row>
    <row r="528">
      <c r="A528">
        <f>IF($L528="","",INDEX('Per Line'!$C$2:$C$2501,$L528))</f>
        <v/>
      </c>
      <c r="B528">
        <f>IF($L528="","",INDEX('Per Line'!$D$2:$D$2501,$L528))</f>
        <v/>
      </c>
      <c r="C528">
        <f>IF($L528="","",INDEX('Per Line'!$A$2:$A$2501,$L528))</f>
        <v/>
      </c>
      <c r="F528">
        <f>IF($L528="","",INDEX('Per Line'!$U$2:$U$2501,$L528))</f>
        <v/>
      </c>
      <c r="G528" s="5">
        <f>IF($L528="","",SUMIFS('Per Line'!$W$2:$W$2501,'Per Line'!$D$2:$D$2501,$B528))</f>
        <v/>
      </c>
      <c r="H528" s="5">
        <f>IF($L528="","",SUMIFS('Per Line'!$X$2:$X$2501,'Per Line'!$D$2:$D$2501,$B528))</f>
        <v/>
      </c>
      <c r="I528" s="5">
        <f>IF($L528="","",SUMIFS('Per Line'!$Y$2:$Y$2501,'Per Line'!$D$2:$D$2501,$B528))</f>
        <v/>
      </c>
      <c r="J528" s="5">
        <f>IF($L528="","",G528-H528)</f>
        <v/>
      </c>
      <c r="K528" s="5">
        <f>IF($L528="","",J528-I528)</f>
        <v/>
      </c>
      <c r="L528">
        <f>IF(ROWS($L$2:$L528)&lt;=MAX('Per Line'!$AD$2:$AD$2501),MATCH(ROWS($L$2:$L528),'Per Line'!$AD$2:$AD$2501,0),"")</f>
        <v/>
      </c>
      <c r="M528">
        <f>IF($L528="","",INDEX('Per Line'!$E$2:$E$2501,$L528))</f>
        <v/>
      </c>
    </row>
    <row r="529">
      <c r="A529">
        <f>IF($L529="","",INDEX('Per Line'!$C$2:$C$2501,$L529))</f>
        <v/>
      </c>
      <c r="B529">
        <f>IF($L529="","",INDEX('Per Line'!$D$2:$D$2501,$L529))</f>
        <v/>
      </c>
      <c r="C529">
        <f>IF($L529="","",INDEX('Per Line'!$A$2:$A$2501,$L529))</f>
        <v/>
      </c>
      <c r="F529">
        <f>IF($L529="","",INDEX('Per Line'!$U$2:$U$2501,$L529))</f>
        <v/>
      </c>
      <c r="G529" s="5">
        <f>IF($L529="","",SUMIFS('Per Line'!$W$2:$W$2501,'Per Line'!$D$2:$D$2501,$B529))</f>
        <v/>
      </c>
      <c r="H529" s="5">
        <f>IF($L529="","",SUMIFS('Per Line'!$X$2:$X$2501,'Per Line'!$D$2:$D$2501,$B529))</f>
        <v/>
      </c>
      <c r="I529" s="5">
        <f>IF($L529="","",SUMIFS('Per Line'!$Y$2:$Y$2501,'Per Line'!$D$2:$D$2501,$B529))</f>
        <v/>
      </c>
      <c r="J529" s="5">
        <f>IF($L529="","",G529-H529)</f>
        <v/>
      </c>
      <c r="K529" s="5">
        <f>IF($L529="","",J529-I529)</f>
        <v/>
      </c>
      <c r="L529">
        <f>IF(ROWS($L$2:$L529)&lt;=MAX('Per Line'!$AD$2:$AD$2501),MATCH(ROWS($L$2:$L529),'Per Line'!$AD$2:$AD$2501,0),"")</f>
        <v/>
      </c>
      <c r="M529">
        <f>IF($L529="","",INDEX('Per Line'!$E$2:$E$2501,$L529))</f>
        <v/>
      </c>
    </row>
    <row r="530">
      <c r="A530">
        <f>IF($L530="","",INDEX('Per Line'!$C$2:$C$2501,$L530))</f>
        <v/>
      </c>
      <c r="B530">
        <f>IF($L530="","",INDEX('Per Line'!$D$2:$D$2501,$L530))</f>
        <v/>
      </c>
      <c r="C530">
        <f>IF($L530="","",INDEX('Per Line'!$A$2:$A$2501,$L530))</f>
        <v/>
      </c>
      <c r="F530">
        <f>IF($L530="","",INDEX('Per Line'!$U$2:$U$2501,$L530))</f>
        <v/>
      </c>
      <c r="G530" s="5">
        <f>IF($L530="","",SUMIFS('Per Line'!$W$2:$W$2501,'Per Line'!$D$2:$D$2501,$B530))</f>
        <v/>
      </c>
      <c r="H530" s="5">
        <f>IF($L530="","",SUMIFS('Per Line'!$X$2:$X$2501,'Per Line'!$D$2:$D$2501,$B530))</f>
        <v/>
      </c>
      <c r="I530" s="5">
        <f>IF($L530="","",SUMIFS('Per Line'!$Y$2:$Y$2501,'Per Line'!$D$2:$D$2501,$B530))</f>
        <v/>
      </c>
      <c r="J530" s="5">
        <f>IF($L530="","",G530-H530)</f>
        <v/>
      </c>
      <c r="K530" s="5">
        <f>IF($L530="","",J530-I530)</f>
        <v/>
      </c>
      <c r="L530">
        <f>IF(ROWS($L$2:$L530)&lt;=MAX('Per Line'!$AD$2:$AD$2501),MATCH(ROWS($L$2:$L530),'Per Line'!$AD$2:$AD$2501,0),"")</f>
        <v/>
      </c>
      <c r="M530">
        <f>IF($L530="","",INDEX('Per Line'!$E$2:$E$2501,$L530))</f>
        <v/>
      </c>
    </row>
    <row r="531">
      <c r="A531">
        <f>IF($L531="","",INDEX('Per Line'!$C$2:$C$2501,$L531))</f>
        <v/>
      </c>
      <c r="B531">
        <f>IF($L531="","",INDEX('Per Line'!$D$2:$D$2501,$L531))</f>
        <v/>
      </c>
      <c r="C531">
        <f>IF($L531="","",INDEX('Per Line'!$A$2:$A$2501,$L531))</f>
        <v/>
      </c>
      <c r="F531">
        <f>IF($L531="","",INDEX('Per Line'!$U$2:$U$2501,$L531))</f>
        <v/>
      </c>
      <c r="G531" s="5">
        <f>IF($L531="","",SUMIFS('Per Line'!$W$2:$W$2501,'Per Line'!$D$2:$D$2501,$B531))</f>
        <v/>
      </c>
      <c r="H531" s="5">
        <f>IF($L531="","",SUMIFS('Per Line'!$X$2:$X$2501,'Per Line'!$D$2:$D$2501,$B531))</f>
        <v/>
      </c>
      <c r="I531" s="5">
        <f>IF($L531="","",SUMIFS('Per Line'!$Y$2:$Y$2501,'Per Line'!$D$2:$D$2501,$B531))</f>
        <v/>
      </c>
      <c r="J531" s="5">
        <f>IF($L531="","",G531-H531)</f>
        <v/>
      </c>
      <c r="K531" s="5">
        <f>IF($L531="","",J531-I531)</f>
        <v/>
      </c>
      <c r="L531">
        <f>IF(ROWS($L$2:$L531)&lt;=MAX('Per Line'!$AD$2:$AD$2501),MATCH(ROWS($L$2:$L531),'Per Line'!$AD$2:$AD$2501,0),"")</f>
        <v/>
      </c>
      <c r="M531">
        <f>IF($L531="","",INDEX('Per Line'!$E$2:$E$2501,$L531))</f>
        <v/>
      </c>
    </row>
    <row r="532">
      <c r="A532">
        <f>IF($L532="","",INDEX('Per Line'!$C$2:$C$2501,$L532))</f>
        <v/>
      </c>
      <c r="B532">
        <f>IF($L532="","",INDEX('Per Line'!$D$2:$D$2501,$L532))</f>
        <v/>
      </c>
      <c r="C532">
        <f>IF($L532="","",INDEX('Per Line'!$A$2:$A$2501,$L532))</f>
        <v/>
      </c>
      <c r="F532">
        <f>IF($L532="","",INDEX('Per Line'!$U$2:$U$2501,$L532))</f>
        <v/>
      </c>
      <c r="G532" s="5">
        <f>IF($L532="","",SUMIFS('Per Line'!$W$2:$W$2501,'Per Line'!$D$2:$D$2501,$B532))</f>
        <v/>
      </c>
      <c r="H532" s="5">
        <f>IF($L532="","",SUMIFS('Per Line'!$X$2:$X$2501,'Per Line'!$D$2:$D$2501,$B532))</f>
        <v/>
      </c>
      <c r="I532" s="5">
        <f>IF($L532="","",SUMIFS('Per Line'!$Y$2:$Y$2501,'Per Line'!$D$2:$D$2501,$B532))</f>
        <v/>
      </c>
      <c r="J532" s="5">
        <f>IF($L532="","",G532-H532)</f>
        <v/>
      </c>
      <c r="K532" s="5">
        <f>IF($L532="","",J532-I532)</f>
        <v/>
      </c>
      <c r="L532">
        <f>IF(ROWS($L$2:$L532)&lt;=MAX('Per Line'!$AD$2:$AD$2501),MATCH(ROWS($L$2:$L532),'Per Line'!$AD$2:$AD$2501,0),"")</f>
        <v/>
      </c>
      <c r="M532">
        <f>IF($L532="","",INDEX('Per Line'!$E$2:$E$2501,$L532))</f>
        <v/>
      </c>
    </row>
    <row r="533">
      <c r="A533">
        <f>IF($L533="","",INDEX('Per Line'!$C$2:$C$2501,$L533))</f>
        <v/>
      </c>
      <c r="B533">
        <f>IF($L533="","",INDEX('Per Line'!$D$2:$D$2501,$L533))</f>
        <v/>
      </c>
      <c r="C533">
        <f>IF($L533="","",INDEX('Per Line'!$A$2:$A$2501,$L533))</f>
        <v/>
      </c>
      <c r="F533">
        <f>IF($L533="","",INDEX('Per Line'!$U$2:$U$2501,$L533))</f>
        <v/>
      </c>
      <c r="G533" s="5">
        <f>IF($L533="","",SUMIFS('Per Line'!$W$2:$W$2501,'Per Line'!$D$2:$D$2501,$B533))</f>
        <v/>
      </c>
      <c r="H533" s="5">
        <f>IF($L533="","",SUMIFS('Per Line'!$X$2:$X$2501,'Per Line'!$D$2:$D$2501,$B533))</f>
        <v/>
      </c>
      <c r="I533" s="5">
        <f>IF($L533="","",SUMIFS('Per Line'!$Y$2:$Y$2501,'Per Line'!$D$2:$D$2501,$B533))</f>
        <v/>
      </c>
      <c r="J533" s="5">
        <f>IF($L533="","",G533-H533)</f>
        <v/>
      </c>
      <c r="K533" s="5">
        <f>IF($L533="","",J533-I533)</f>
        <v/>
      </c>
      <c r="L533">
        <f>IF(ROWS($L$2:$L533)&lt;=MAX('Per Line'!$AD$2:$AD$2501),MATCH(ROWS($L$2:$L533),'Per Line'!$AD$2:$AD$2501,0),"")</f>
        <v/>
      </c>
      <c r="M533">
        <f>IF($L533="","",INDEX('Per Line'!$E$2:$E$2501,$L533))</f>
        <v/>
      </c>
    </row>
    <row r="534">
      <c r="A534">
        <f>IF($L534="","",INDEX('Per Line'!$C$2:$C$2501,$L534))</f>
        <v/>
      </c>
      <c r="B534">
        <f>IF($L534="","",INDEX('Per Line'!$D$2:$D$2501,$L534))</f>
        <v/>
      </c>
      <c r="C534">
        <f>IF($L534="","",INDEX('Per Line'!$A$2:$A$2501,$L534))</f>
        <v/>
      </c>
      <c r="F534">
        <f>IF($L534="","",INDEX('Per Line'!$U$2:$U$2501,$L534))</f>
        <v/>
      </c>
      <c r="G534" s="5">
        <f>IF($L534="","",SUMIFS('Per Line'!$W$2:$W$2501,'Per Line'!$D$2:$D$2501,$B534))</f>
        <v/>
      </c>
      <c r="H534" s="5">
        <f>IF($L534="","",SUMIFS('Per Line'!$X$2:$X$2501,'Per Line'!$D$2:$D$2501,$B534))</f>
        <v/>
      </c>
      <c r="I534" s="5">
        <f>IF($L534="","",SUMIFS('Per Line'!$Y$2:$Y$2501,'Per Line'!$D$2:$D$2501,$B534))</f>
        <v/>
      </c>
      <c r="J534" s="5">
        <f>IF($L534="","",G534-H534)</f>
        <v/>
      </c>
      <c r="K534" s="5">
        <f>IF($L534="","",J534-I534)</f>
        <v/>
      </c>
      <c r="L534">
        <f>IF(ROWS($L$2:$L534)&lt;=MAX('Per Line'!$AD$2:$AD$2501),MATCH(ROWS($L$2:$L534),'Per Line'!$AD$2:$AD$2501,0),"")</f>
        <v/>
      </c>
      <c r="M534">
        <f>IF($L534="","",INDEX('Per Line'!$E$2:$E$2501,$L534))</f>
        <v/>
      </c>
    </row>
    <row r="535">
      <c r="A535">
        <f>IF($L535="","",INDEX('Per Line'!$C$2:$C$2501,$L535))</f>
        <v/>
      </c>
      <c r="B535">
        <f>IF($L535="","",INDEX('Per Line'!$D$2:$D$2501,$L535))</f>
        <v/>
      </c>
      <c r="C535">
        <f>IF($L535="","",INDEX('Per Line'!$A$2:$A$2501,$L535))</f>
        <v/>
      </c>
      <c r="F535">
        <f>IF($L535="","",INDEX('Per Line'!$U$2:$U$2501,$L535))</f>
        <v/>
      </c>
      <c r="G535" s="5">
        <f>IF($L535="","",SUMIFS('Per Line'!$W$2:$W$2501,'Per Line'!$D$2:$D$2501,$B535))</f>
        <v/>
      </c>
      <c r="H535" s="5">
        <f>IF($L535="","",SUMIFS('Per Line'!$X$2:$X$2501,'Per Line'!$D$2:$D$2501,$B535))</f>
        <v/>
      </c>
      <c r="I535" s="5">
        <f>IF($L535="","",SUMIFS('Per Line'!$Y$2:$Y$2501,'Per Line'!$D$2:$D$2501,$B535))</f>
        <v/>
      </c>
      <c r="J535" s="5">
        <f>IF($L535="","",G535-H535)</f>
        <v/>
      </c>
      <c r="K535" s="5">
        <f>IF($L535="","",J535-I535)</f>
        <v/>
      </c>
      <c r="L535">
        <f>IF(ROWS($L$2:$L535)&lt;=MAX('Per Line'!$AD$2:$AD$2501),MATCH(ROWS($L$2:$L535),'Per Line'!$AD$2:$AD$2501,0),"")</f>
        <v/>
      </c>
      <c r="M535">
        <f>IF($L535="","",INDEX('Per Line'!$E$2:$E$2501,$L535))</f>
        <v/>
      </c>
    </row>
    <row r="536">
      <c r="A536">
        <f>IF($L536="","",INDEX('Per Line'!$C$2:$C$2501,$L536))</f>
        <v/>
      </c>
      <c r="B536">
        <f>IF($L536="","",INDEX('Per Line'!$D$2:$D$2501,$L536))</f>
        <v/>
      </c>
      <c r="C536">
        <f>IF($L536="","",INDEX('Per Line'!$A$2:$A$2501,$L536))</f>
        <v/>
      </c>
      <c r="F536">
        <f>IF($L536="","",INDEX('Per Line'!$U$2:$U$2501,$L536))</f>
        <v/>
      </c>
      <c r="G536" s="5">
        <f>IF($L536="","",SUMIFS('Per Line'!$W$2:$W$2501,'Per Line'!$D$2:$D$2501,$B536))</f>
        <v/>
      </c>
      <c r="H536" s="5">
        <f>IF($L536="","",SUMIFS('Per Line'!$X$2:$X$2501,'Per Line'!$D$2:$D$2501,$B536))</f>
        <v/>
      </c>
      <c r="I536" s="5">
        <f>IF($L536="","",SUMIFS('Per Line'!$Y$2:$Y$2501,'Per Line'!$D$2:$D$2501,$B536))</f>
        <v/>
      </c>
      <c r="J536" s="5">
        <f>IF($L536="","",G536-H536)</f>
        <v/>
      </c>
      <c r="K536" s="5">
        <f>IF($L536="","",J536-I536)</f>
        <v/>
      </c>
      <c r="L536">
        <f>IF(ROWS($L$2:$L536)&lt;=MAX('Per Line'!$AD$2:$AD$2501),MATCH(ROWS($L$2:$L536),'Per Line'!$AD$2:$AD$2501,0),"")</f>
        <v/>
      </c>
      <c r="M536">
        <f>IF($L536="","",INDEX('Per Line'!$E$2:$E$2501,$L536))</f>
        <v/>
      </c>
    </row>
    <row r="537">
      <c r="A537">
        <f>IF($L537="","",INDEX('Per Line'!$C$2:$C$2501,$L537))</f>
        <v/>
      </c>
      <c r="B537">
        <f>IF($L537="","",INDEX('Per Line'!$D$2:$D$2501,$L537))</f>
        <v/>
      </c>
      <c r="C537">
        <f>IF($L537="","",INDEX('Per Line'!$A$2:$A$2501,$L537))</f>
        <v/>
      </c>
      <c r="F537">
        <f>IF($L537="","",INDEX('Per Line'!$U$2:$U$2501,$L537))</f>
        <v/>
      </c>
      <c r="G537" s="5">
        <f>IF($L537="","",SUMIFS('Per Line'!$W$2:$W$2501,'Per Line'!$D$2:$D$2501,$B537))</f>
        <v/>
      </c>
      <c r="H537" s="5">
        <f>IF($L537="","",SUMIFS('Per Line'!$X$2:$X$2501,'Per Line'!$D$2:$D$2501,$B537))</f>
        <v/>
      </c>
      <c r="I537" s="5">
        <f>IF($L537="","",SUMIFS('Per Line'!$Y$2:$Y$2501,'Per Line'!$D$2:$D$2501,$B537))</f>
        <v/>
      </c>
      <c r="J537" s="5">
        <f>IF($L537="","",G537-H537)</f>
        <v/>
      </c>
      <c r="K537" s="5">
        <f>IF($L537="","",J537-I537)</f>
        <v/>
      </c>
      <c r="L537">
        <f>IF(ROWS($L$2:$L537)&lt;=MAX('Per Line'!$AD$2:$AD$2501),MATCH(ROWS($L$2:$L537),'Per Line'!$AD$2:$AD$2501,0),"")</f>
        <v/>
      </c>
      <c r="M537">
        <f>IF($L537="","",INDEX('Per Line'!$E$2:$E$2501,$L537))</f>
        <v/>
      </c>
    </row>
    <row r="538">
      <c r="A538">
        <f>IF($L538="","",INDEX('Per Line'!$C$2:$C$2501,$L538))</f>
        <v/>
      </c>
      <c r="B538">
        <f>IF($L538="","",INDEX('Per Line'!$D$2:$D$2501,$L538))</f>
        <v/>
      </c>
      <c r="C538">
        <f>IF($L538="","",INDEX('Per Line'!$A$2:$A$2501,$L538))</f>
        <v/>
      </c>
      <c r="F538">
        <f>IF($L538="","",INDEX('Per Line'!$U$2:$U$2501,$L538))</f>
        <v/>
      </c>
      <c r="G538" s="5">
        <f>IF($L538="","",SUMIFS('Per Line'!$W$2:$W$2501,'Per Line'!$D$2:$D$2501,$B538))</f>
        <v/>
      </c>
      <c r="H538" s="5">
        <f>IF($L538="","",SUMIFS('Per Line'!$X$2:$X$2501,'Per Line'!$D$2:$D$2501,$B538))</f>
        <v/>
      </c>
      <c r="I538" s="5">
        <f>IF($L538="","",SUMIFS('Per Line'!$Y$2:$Y$2501,'Per Line'!$D$2:$D$2501,$B538))</f>
        <v/>
      </c>
      <c r="J538" s="5">
        <f>IF($L538="","",G538-H538)</f>
        <v/>
      </c>
      <c r="K538" s="5">
        <f>IF($L538="","",J538-I538)</f>
        <v/>
      </c>
      <c r="L538">
        <f>IF(ROWS($L$2:$L538)&lt;=MAX('Per Line'!$AD$2:$AD$2501),MATCH(ROWS($L$2:$L538),'Per Line'!$AD$2:$AD$2501,0),"")</f>
        <v/>
      </c>
      <c r="M538">
        <f>IF($L538="","",INDEX('Per Line'!$E$2:$E$2501,$L538))</f>
        <v/>
      </c>
    </row>
    <row r="539">
      <c r="A539">
        <f>IF($L539="","",INDEX('Per Line'!$C$2:$C$2501,$L539))</f>
        <v/>
      </c>
      <c r="B539">
        <f>IF($L539="","",INDEX('Per Line'!$D$2:$D$2501,$L539))</f>
        <v/>
      </c>
      <c r="C539">
        <f>IF($L539="","",INDEX('Per Line'!$A$2:$A$2501,$L539))</f>
        <v/>
      </c>
      <c r="F539">
        <f>IF($L539="","",INDEX('Per Line'!$U$2:$U$2501,$L539))</f>
        <v/>
      </c>
      <c r="G539" s="5">
        <f>IF($L539="","",SUMIFS('Per Line'!$W$2:$W$2501,'Per Line'!$D$2:$D$2501,$B539))</f>
        <v/>
      </c>
      <c r="H539" s="5">
        <f>IF($L539="","",SUMIFS('Per Line'!$X$2:$X$2501,'Per Line'!$D$2:$D$2501,$B539))</f>
        <v/>
      </c>
      <c r="I539" s="5">
        <f>IF($L539="","",SUMIFS('Per Line'!$Y$2:$Y$2501,'Per Line'!$D$2:$D$2501,$B539))</f>
        <v/>
      </c>
      <c r="J539" s="5">
        <f>IF($L539="","",G539-H539)</f>
        <v/>
      </c>
      <c r="K539" s="5">
        <f>IF($L539="","",J539-I539)</f>
        <v/>
      </c>
      <c r="L539">
        <f>IF(ROWS($L$2:$L539)&lt;=MAX('Per Line'!$AD$2:$AD$2501),MATCH(ROWS($L$2:$L539),'Per Line'!$AD$2:$AD$2501,0),"")</f>
        <v/>
      </c>
      <c r="M539">
        <f>IF($L539="","",INDEX('Per Line'!$E$2:$E$2501,$L539))</f>
        <v/>
      </c>
    </row>
    <row r="540">
      <c r="A540">
        <f>IF($L540="","",INDEX('Per Line'!$C$2:$C$2501,$L540))</f>
        <v/>
      </c>
      <c r="B540">
        <f>IF($L540="","",INDEX('Per Line'!$D$2:$D$2501,$L540))</f>
        <v/>
      </c>
      <c r="C540">
        <f>IF($L540="","",INDEX('Per Line'!$A$2:$A$2501,$L540))</f>
        <v/>
      </c>
      <c r="F540">
        <f>IF($L540="","",INDEX('Per Line'!$U$2:$U$2501,$L540))</f>
        <v/>
      </c>
      <c r="G540" s="5">
        <f>IF($L540="","",SUMIFS('Per Line'!$W$2:$W$2501,'Per Line'!$D$2:$D$2501,$B540))</f>
        <v/>
      </c>
      <c r="H540" s="5">
        <f>IF($L540="","",SUMIFS('Per Line'!$X$2:$X$2501,'Per Line'!$D$2:$D$2501,$B540))</f>
        <v/>
      </c>
      <c r="I540" s="5">
        <f>IF($L540="","",SUMIFS('Per Line'!$Y$2:$Y$2501,'Per Line'!$D$2:$D$2501,$B540))</f>
        <v/>
      </c>
      <c r="J540" s="5">
        <f>IF($L540="","",G540-H540)</f>
        <v/>
      </c>
      <c r="K540" s="5">
        <f>IF($L540="","",J540-I540)</f>
        <v/>
      </c>
      <c r="L540">
        <f>IF(ROWS($L$2:$L540)&lt;=MAX('Per Line'!$AD$2:$AD$2501),MATCH(ROWS($L$2:$L540),'Per Line'!$AD$2:$AD$2501,0),"")</f>
        <v/>
      </c>
      <c r="M540">
        <f>IF($L540="","",INDEX('Per Line'!$E$2:$E$2501,$L540))</f>
        <v/>
      </c>
    </row>
    <row r="541">
      <c r="A541">
        <f>IF($L541="","",INDEX('Per Line'!$C$2:$C$2501,$L541))</f>
        <v/>
      </c>
      <c r="B541">
        <f>IF($L541="","",INDEX('Per Line'!$D$2:$D$2501,$L541))</f>
        <v/>
      </c>
      <c r="C541">
        <f>IF($L541="","",INDEX('Per Line'!$A$2:$A$2501,$L541))</f>
        <v/>
      </c>
      <c r="F541">
        <f>IF($L541="","",INDEX('Per Line'!$U$2:$U$2501,$L541))</f>
        <v/>
      </c>
      <c r="G541" s="5">
        <f>IF($L541="","",SUMIFS('Per Line'!$W$2:$W$2501,'Per Line'!$D$2:$D$2501,$B541))</f>
        <v/>
      </c>
      <c r="H541" s="5">
        <f>IF($L541="","",SUMIFS('Per Line'!$X$2:$X$2501,'Per Line'!$D$2:$D$2501,$B541))</f>
        <v/>
      </c>
      <c r="I541" s="5">
        <f>IF($L541="","",SUMIFS('Per Line'!$Y$2:$Y$2501,'Per Line'!$D$2:$D$2501,$B541))</f>
        <v/>
      </c>
      <c r="J541" s="5">
        <f>IF($L541="","",G541-H541)</f>
        <v/>
      </c>
      <c r="K541" s="5">
        <f>IF($L541="","",J541-I541)</f>
        <v/>
      </c>
      <c r="L541">
        <f>IF(ROWS($L$2:$L541)&lt;=MAX('Per Line'!$AD$2:$AD$2501),MATCH(ROWS($L$2:$L541),'Per Line'!$AD$2:$AD$2501,0),"")</f>
        <v/>
      </c>
      <c r="M541">
        <f>IF($L541="","",INDEX('Per Line'!$E$2:$E$2501,$L541))</f>
        <v/>
      </c>
    </row>
    <row r="542">
      <c r="A542">
        <f>IF($L542="","",INDEX('Per Line'!$C$2:$C$2501,$L542))</f>
        <v/>
      </c>
      <c r="B542">
        <f>IF($L542="","",INDEX('Per Line'!$D$2:$D$2501,$L542))</f>
        <v/>
      </c>
      <c r="C542">
        <f>IF($L542="","",INDEX('Per Line'!$A$2:$A$2501,$L542))</f>
        <v/>
      </c>
      <c r="F542">
        <f>IF($L542="","",INDEX('Per Line'!$U$2:$U$2501,$L542))</f>
        <v/>
      </c>
      <c r="G542" s="5">
        <f>IF($L542="","",SUMIFS('Per Line'!$W$2:$W$2501,'Per Line'!$D$2:$D$2501,$B542))</f>
        <v/>
      </c>
      <c r="H542" s="5">
        <f>IF($L542="","",SUMIFS('Per Line'!$X$2:$X$2501,'Per Line'!$D$2:$D$2501,$B542))</f>
        <v/>
      </c>
      <c r="I542" s="5">
        <f>IF($L542="","",SUMIFS('Per Line'!$Y$2:$Y$2501,'Per Line'!$D$2:$D$2501,$B542))</f>
        <v/>
      </c>
      <c r="J542" s="5">
        <f>IF($L542="","",G542-H542)</f>
        <v/>
      </c>
      <c r="K542" s="5">
        <f>IF($L542="","",J542-I542)</f>
        <v/>
      </c>
      <c r="L542">
        <f>IF(ROWS($L$2:$L542)&lt;=MAX('Per Line'!$AD$2:$AD$2501),MATCH(ROWS($L$2:$L542),'Per Line'!$AD$2:$AD$2501,0),"")</f>
        <v/>
      </c>
      <c r="M542">
        <f>IF($L542="","",INDEX('Per Line'!$E$2:$E$2501,$L542))</f>
        <v/>
      </c>
    </row>
    <row r="543">
      <c r="A543">
        <f>IF($L543="","",INDEX('Per Line'!$C$2:$C$2501,$L543))</f>
        <v/>
      </c>
      <c r="B543">
        <f>IF($L543="","",INDEX('Per Line'!$D$2:$D$2501,$L543))</f>
        <v/>
      </c>
      <c r="C543">
        <f>IF($L543="","",INDEX('Per Line'!$A$2:$A$2501,$L543))</f>
        <v/>
      </c>
      <c r="F543">
        <f>IF($L543="","",INDEX('Per Line'!$U$2:$U$2501,$L543))</f>
        <v/>
      </c>
      <c r="G543" s="5">
        <f>IF($L543="","",SUMIFS('Per Line'!$W$2:$W$2501,'Per Line'!$D$2:$D$2501,$B543))</f>
        <v/>
      </c>
      <c r="H543" s="5">
        <f>IF($L543="","",SUMIFS('Per Line'!$X$2:$X$2501,'Per Line'!$D$2:$D$2501,$B543))</f>
        <v/>
      </c>
      <c r="I543" s="5">
        <f>IF($L543="","",SUMIFS('Per Line'!$Y$2:$Y$2501,'Per Line'!$D$2:$D$2501,$B543))</f>
        <v/>
      </c>
      <c r="J543" s="5">
        <f>IF($L543="","",G543-H543)</f>
        <v/>
      </c>
      <c r="K543" s="5">
        <f>IF($L543="","",J543-I543)</f>
        <v/>
      </c>
      <c r="L543">
        <f>IF(ROWS($L$2:$L543)&lt;=MAX('Per Line'!$AD$2:$AD$2501),MATCH(ROWS($L$2:$L543),'Per Line'!$AD$2:$AD$2501,0),"")</f>
        <v/>
      </c>
      <c r="M543">
        <f>IF($L543="","",INDEX('Per Line'!$E$2:$E$2501,$L543))</f>
        <v/>
      </c>
    </row>
    <row r="544">
      <c r="A544">
        <f>IF($L544="","",INDEX('Per Line'!$C$2:$C$2501,$L544))</f>
        <v/>
      </c>
      <c r="B544">
        <f>IF($L544="","",INDEX('Per Line'!$D$2:$D$2501,$L544))</f>
        <v/>
      </c>
      <c r="C544">
        <f>IF($L544="","",INDEX('Per Line'!$A$2:$A$2501,$L544))</f>
        <v/>
      </c>
      <c r="F544">
        <f>IF($L544="","",INDEX('Per Line'!$U$2:$U$2501,$L544))</f>
        <v/>
      </c>
      <c r="G544" s="5">
        <f>IF($L544="","",SUMIFS('Per Line'!$W$2:$W$2501,'Per Line'!$D$2:$D$2501,$B544))</f>
        <v/>
      </c>
      <c r="H544" s="5">
        <f>IF($L544="","",SUMIFS('Per Line'!$X$2:$X$2501,'Per Line'!$D$2:$D$2501,$B544))</f>
        <v/>
      </c>
      <c r="I544" s="5">
        <f>IF($L544="","",SUMIFS('Per Line'!$Y$2:$Y$2501,'Per Line'!$D$2:$D$2501,$B544))</f>
        <v/>
      </c>
      <c r="J544" s="5">
        <f>IF($L544="","",G544-H544)</f>
        <v/>
      </c>
      <c r="K544" s="5">
        <f>IF($L544="","",J544-I544)</f>
        <v/>
      </c>
      <c r="L544">
        <f>IF(ROWS($L$2:$L544)&lt;=MAX('Per Line'!$AD$2:$AD$2501),MATCH(ROWS($L$2:$L544),'Per Line'!$AD$2:$AD$2501,0),"")</f>
        <v/>
      </c>
      <c r="M544">
        <f>IF($L544="","",INDEX('Per Line'!$E$2:$E$2501,$L544))</f>
        <v/>
      </c>
    </row>
    <row r="545">
      <c r="A545">
        <f>IF($L545="","",INDEX('Per Line'!$C$2:$C$2501,$L545))</f>
        <v/>
      </c>
      <c r="B545">
        <f>IF($L545="","",INDEX('Per Line'!$D$2:$D$2501,$L545))</f>
        <v/>
      </c>
      <c r="C545">
        <f>IF($L545="","",INDEX('Per Line'!$A$2:$A$2501,$L545))</f>
        <v/>
      </c>
      <c r="F545">
        <f>IF($L545="","",INDEX('Per Line'!$U$2:$U$2501,$L545))</f>
        <v/>
      </c>
      <c r="G545" s="5">
        <f>IF($L545="","",SUMIFS('Per Line'!$W$2:$W$2501,'Per Line'!$D$2:$D$2501,$B545))</f>
        <v/>
      </c>
      <c r="H545" s="5">
        <f>IF($L545="","",SUMIFS('Per Line'!$X$2:$X$2501,'Per Line'!$D$2:$D$2501,$B545))</f>
        <v/>
      </c>
      <c r="I545" s="5">
        <f>IF($L545="","",SUMIFS('Per Line'!$Y$2:$Y$2501,'Per Line'!$D$2:$D$2501,$B545))</f>
        <v/>
      </c>
      <c r="J545" s="5">
        <f>IF($L545="","",G545-H545)</f>
        <v/>
      </c>
      <c r="K545" s="5">
        <f>IF($L545="","",J545-I545)</f>
        <v/>
      </c>
      <c r="L545">
        <f>IF(ROWS($L$2:$L545)&lt;=MAX('Per Line'!$AD$2:$AD$2501),MATCH(ROWS($L$2:$L545),'Per Line'!$AD$2:$AD$2501,0),"")</f>
        <v/>
      </c>
      <c r="M545">
        <f>IF($L545="","",INDEX('Per Line'!$E$2:$E$2501,$L545))</f>
        <v/>
      </c>
    </row>
    <row r="546">
      <c r="A546">
        <f>IF($L546="","",INDEX('Per Line'!$C$2:$C$2501,$L546))</f>
        <v/>
      </c>
      <c r="B546">
        <f>IF($L546="","",INDEX('Per Line'!$D$2:$D$2501,$L546))</f>
        <v/>
      </c>
      <c r="C546">
        <f>IF($L546="","",INDEX('Per Line'!$A$2:$A$2501,$L546))</f>
        <v/>
      </c>
      <c r="F546">
        <f>IF($L546="","",INDEX('Per Line'!$U$2:$U$2501,$L546))</f>
        <v/>
      </c>
      <c r="G546" s="5">
        <f>IF($L546="","",SUMIFS('Per Line'!$W$2:$W$2501,'Per Line'!$D$2:$D$2501,$B546))</f>
        <v/>
      </c>
      <c r="H546" s="5">
        <f>IF($L546="","",SUMIFS('Per Line'!$X$2:$X$2501,'Per Line'!$D$2:$D$2501,$B546))</f>
        <v/>
      </c>
      <c r="I546" s="5">
        <f>IF($L546="","",SUMIFS('Per Line'!$Y$2:$Y$2501,'Per Line'!$D$2:$D$2501,$B546))</f>
        <v/>
      </c>
      <c r="J546" s="5">
        <f>IF($L546="","",G546-H546)</f>
        <v/>
      </c>
      <c r="K546" s="5">
        <f>IF($L546="","",J546-I546)</f>
        <v/>
      </c>
      <c r="L546">
        <f>IF(ROWS($L$2:$L546)&lt;=MAX('Per Line'!$AD$2:$AD$2501),MATCH(ROWS($L$2:$L546),'Per Line'!$AD$2:$AD$2501,0),"")</f>
        <v/>
      </c>
      <c r="M546">
        <f>IF($L546="","",INDEX('Per Line'!$E$2:$E$2501,$L546))</f>
        <v/>
      </c>
    </row>
    <row r="547">
      <c r="A547">
        <f>IF($L547="","",INDEX('Per Line'!$C$2:$C$2501,$L547))</f>
        <v/>
      </c>
      <c r="B547">
        <f>IF($L547="","",INDEX('Per Line'!$D$2:$D$2501,$L547))</f>
        <v/>
      </c>
      <c r="C547">
        <f>IF($L547="","",INDEX('Per Line'!$A$2:$A$2501,$L547))</f>
        <v/>
      </c>
      <c r="F547">
        <f>IF($L547="","",INDEX('Per Line'!$U$2:$U$2501,$L547))</f>
        <v/>
      </c>
      <c r="G547" s="5">
        <f>IF($L547="","",SUMIFS('Per Line'!$W$2:$W$2501,'Per Line'!$D$2:$D$2501,$B547))</f>
        <v/>
      </c>
      <c r="H547" s="5">
        <f>IF($L547="","",SUMIFS('Per Line'!$X$2:$X$2501,'Per Line'!$D$2:$D$2501,$B547))</f>
        <v/>
      </c>
      <c r="I547" s="5">
        <f>IF($L547="","",SUMIFS('Per Line'!$Y$2:$Y$2501,'Per Line'!$D$2:$D$2501,$B547))</f>
        <v/>
      </c>
      <c r="J547" s="5">
        <f>IF($L547="","",G547-H547)</f>
        <v/>
      </c>
      <c r="K547" s="5">
        <f>IF($L547="","",J547-I547)</f>
        <v/>
      </c>
      <c r="L547">
        <f>IF(ROWS($L$2:$L547)&lt;=MAX('Per Line'!$AD$2:$AD$2501),MATCH(ROWS($L$2:$L547),'Per Line'!$AD$2:$AD$2501,0),"")</f>
        <v/>
      </c>
      <c r="M547">
        <f>IF($L547="","",INDEX('Per Line'!$E$2:$E$2501,$L547))</f>
        <v/>
      </c>
    </row>
    <row r="548">
      <c r="A548">
        <f>IF($L548="","",INDEX('Per Line'!$C$2:$C$2501,$L548))</f>
        <v/>
      </c>
      <c r="B548">
        <f>IF($L548="","",INDEX('Per Line'!$D$2:$D$2501,$L548))</f>
        <v/>
      </c>
      <c r="C548">
        <f>IF($L548="","",INDEX('Per Line'!$A$2:$A$2501,$L548))</f>
        <v/>
      </c>
      <c r="F548">
        <f>IF($L548="","",INDEX('Per Line'!$U$2:$U$2501,$L548))</f>
        <v/>
      </c>
      <c r="G548" s="5">
        <f>IF($L548="","",SUMIFS('Per Line'!$W$2:$W$2501,'Per Line'!$D$2:$D$2501,$B548))</f>
        <v/>
      </c>
      <c r="H548" s="5">
        <f>IF($L548="","",SUMIFS('Per Line'!$X$2:$X$2501,'Per Line'!$D$2:$D$2501,$B548))</f>
        <v/>
      </c>
      <c r="I548" s="5">
        <f>IF($L548="","",SUMIFS('Per Line'!$Y$2:$Y$2501,'Per Line'!$D$2:$D$2501,$B548))</f>
        <v/>
      </c>
      <c r="J548" s="5">
        <f>IF($L548="","",G548-H548)</f>
        <v/>
      </c>
      <c r="K548" s="5">
        <f>IF($L548="","",J548-I548)</f>
        <v/>
      </c>
      <c r="L548">
        <f>IF(ROWS($L$2:$L548)&lt;=MAX('Per Line'!$AD$2:$AD$2501),MATCH(ROWS($L$2:$L548),'Per Line'!$AD$2:$AD$2501,0),"")</f>
        <v/>
      </c>
      <c r="M548">
        <f>IF($L548="","",INDEX('Per Line'!$E$2:$E$2501,$L548))</f>
        <v/>
      </c>
    </row>
    <row r="549">
      <c r="A549">
        <f>IF($L549="","",INDEX('Per Line'!$C$2:$C$2501,$L549))</f>
        <v/>
      </c>
      <c r="B549">
        <f>IF($L549="","",INDEX('Per Line'!$D$2:$D$2501,$L549))</f>
        <v/>
      </c>
      <c r="C549">
        <f>IF($L549="","",INDEX('Per Line'!$A$2:$A$2501,$L549))</f>
        <v/>
      </c>
      <c r="F549">
        <f>IF($L549="","",INDEX('Per Line'!$U$2:$U$2501,$L549))</f>
        <v/>
      </c>
      <c r="G549" s="5">
        <f>IF($L549="","",SUMIFS('Per Line'!$W$2:$W$2501,'Per Line'!$D$2:$D$2501,$B549))</f>
        <v/>
      </c>
      <c r="H549" s="5">
        <f>IF($L549="","",SUMIFS('Per Line'!$X$2:$X$2501,'Per Line'!$D$2:$D$2501,$B549))</f>
        <v/>
      </c>
      <c r="I549" s="5">
        <f>IF($L549="","",SUMIFS('Per Line'!$Y$2:$Y$2501,'Per Line'!$D$2:$D$2501,$B549))</f>
        <v/>
      </c>
      <c r="J549" s="5">
        <f>IF($L549="","",G549-H549)</f>
        <v/>
      </c>
      <c r="K549" s="5">
        <f>IF($L549="","",J549-I549)</f>
        <v/>
      </c>
      <c r="L549">
        <f>IF(ROWS($L$2:$L549)&lt;=MAX('Per Line'!$AD$2:$AD$2501),MATCH(ROWS($L$2:$L549),'Per Line'!$AD$2:$AD$2501,0),"")</f>
        <v/>
      </c>
      <c r="M549">
        <f>IF($L549="","",INDEX('Per Line'!$E$2:$E$2501,$L549))</f>
        <v/>
      </c>
    </row>
    <row r="550">
      <c r="A550">
        <f>IF($L550="","",INDEX('Per Line'!$C$2:$C$2501,$L550))</f>
        <v/>
      </c>
      <c r="B550">
        <f>IF($L550="","",INDEX('Per Line'!$D$2:$D$2501,$L550))</f>
        <v/>
      </c>
      <c r="C550">
        <f>IF($L550="","",INDEX('Per Line'!$A$2:$A$2501,$L550))</f>
        <v/>
      </c>
      <c r="F550">
        <f>IF($L550="","",INDEX('Per Line'!$U$2:$U$2501,$L550))</f>
        <v/>
      </c>
      <c r="G550" s="5">
        <f>IF($L550="","",SUMIFS('Per Line'!$W$2:$W$2501,'Per Line'!$D$2:$D$2501,$B550))</f>
        <v/>
      </c>
      <c r="H550" s="5">
        <f>IF($L550="","",SUMIFS('Per Line'!$X$2:$X$2501,'Per Line'!$D$2:$D$2501,$B550))</f>
        <v/>
      </c>
      <c r="I550" s="5">
        <f>IF($L550="","",SUMIFS('Per Line'!$Y$2:$Y$2501,'Per Line'!$D$2:$D$2501,$B550))</f>
        <v/>
      </c>
      <c r="J550" s="5">
        <f>IF($L550="","",G550-H550)</f>
        <v/>
      </c>
      <c r="K550" s="5">
        <f>IF($L550="","",J550-I550)</f>
        <v/>
      </c>
      <c r="L550">
        <f>IF(ROWS($L$2:$L550)&lt;=MAX('Per Line'!$AD$2:$AD$2501),MATCH(ROWS($L$2:$L550),'Per Line'!$AD$2:$AD$2501,0),"")</f>
        <v/>
      </c>
      <c r="M550">
        <f>IF($L550="","",INDEX('Per Line'!$E$2:$E$2501,$L550))</f>
        <v/>
      </c>
    </row>
    <row r="551">
      <c r="A551">
        <f>IF($L551="","",INDEX('Per Line'!$C$2:$C$2501,$L551))</f>
        <v/>
      </c>
      <c r="B551">
        <f>IF($L551="","",INDEX('Per Line'!$D$2:$D$2501,$L551))</f>
        <v/>
      </c>
      <c r="C551">
        <f>IF($L551="","",INDEX('Per Line'!$A$2:$A$2501,$L551))</f>
        <v/>
      </c>
      <c r="F551">
        <f>IF($L551="","",INDEX('Per Line'!$U$2:$U$2501,$L551))</f>
        <v/>
      </c>
      <c r="G551" s="5">
        <f>IF($L551="","",SUMIFS('Per Line'!$W$2:$W$2501,'Per Line'!$D$2:$D$2501,$B551))</f>
        <v/>
      </c>
      <c r="H551" s="5">
        <f>IF($L551="","",SUMIFS('Per Line'!$X$2:$X$2501,'Per Line'!$D$2:$D$2501,$B551))</f>
        <v/>
      </c>
      <c r="I551" s="5">
        <f>IF($L551="","",SUMIFS('Per Line'!$Y$2:$Y$2501,'Per Line'!$D$2:$D$2501,$B551))</f>
        <v/>
      </c>
      <c r="J551" s="5">
        <f>IF($L551="","",G551-H551)</f>
        <v/>
      </c>
      <c r="K551" s="5">
        <f>IF($L551="","",J551-I551)</f>
        <v/>
      </c>
      <c r="L551">
        <f>IF(ROWS($L$2:$L551)&lt;=MAX('Per Line'!$AD$2:$AD$2501),MATCH(ROWS($L$2:$L551),'Per Line'!$AD$2:$AD$2501,0),"")</f>
        <v/>
      </c>
      <c r="M551">
        <f>IF($L551="","",INDEX('Per Line'!$E$2:$E$2501,$L551))</f>
        <v/>
      </c>
    </row>
    <row r="552">
      <c r="A552">
        <f>IF($L552="","",INDEX('Per Line'!$C$2:$C$2501,$L552))</f>
        <v/>
      </c>
      <c r="B552">
        <f>IF($L552="","",INDEX('Per Line'!$D$2:$D$2501,$L552))</f>
        <v/>
      </c>
      <c r="C552">
        <f>IF($L552="","",INDEX('Per Line'!$A$2:$A$2501,$L552))</f>
        <v/>
      </c>
      <c r="F552">
        <f>IF($L552="","",INDEX('Per Line'!$U$2:$U$2501,$L552))</f>
        <v/>
      </c>
      <c r="G552" s="5">
        <f>IF($L552="","",SUMIFS('Per Line'!$W$2:$W$2501,'Per Line'!$D$2:$D$2501,$B552))</f>
        <v/>
      </c>
      <c r="H552" s="5">
        <f>IF($L552="","",SUMIFS('Per Line'!$X$2:$X$2501,'Per Line'!$D$2:$D$2501,$B552))</f>
        <v/>
      </c>
      <c r="I552" s="5">
        <f>IF($L552="","",SUMIFS('Per Line'!$Y$2:$Y$2501,'Per Line'!$D$2:$D$2501,$B552))</f>
        <v/>
      </c>
      <c r="J552" s="5">
        <f>IF($L552="","",G552-H552)</f>
        <v/>
      </c>
      <c r="K552" s="5">
        <f>IF($L552="","",J552-I552)</f>
        <v/>
      </c>
      <c r="L552">
        <f>IF(ROWS($L$2:$L552)&lt;=MAX('Per Line'!$AD$2:$AD$2501),MATCH(ROWS($L$2:$L552),'Per Line'!$AD$2:$AD$2501,0),"")</f>
        <v/>
      </c>
      <c r="M552">
        <f>IF($L552="","",INDEX('Per Line'!$E$2:$E$2501,$L552))</f>
        <v/>
      </c>
    </row>
    <row r="553">
      <c r="A553">
        <f>IF($L553="","",INDEX('Per Line'!$C$2:$C$2501,$L553))</f>
        <v/>
      </c>
      <c r="B553">
        <f>IF($L553="","",INDEX('Per Line'!$D$2:$D$2501,$L553))</f>
        <v/>
      </c>
      <c r="C553">
        <f>IF($L553="","",INDEX('Per Line'!$A$2:$A$2501,$L553))</f>
        <v/>
      </c>
      <c r="F553">
        <f>IF($L553="","",INDEX('Per Line'!$U$2:$U$2501,$L553))</f>
        <v/>
      </c>
      <c r="G553" s="5">
        <f>IF($L553="","",SUMIFS('Per Line'!$W$2:$W$2501,'Per Line'!$D$2:$D$2501,$B553))</f>
        <v/>
      </c>
      <c r="H553" s="5">
        <f>IF($L553="","",SUMIFS('Per Line'!$X$2:$X$2501,'Per Line'!$D$2:$D$2501,$B553))</f>
        <v/>
      </c>
      <c r="I553" s="5">
        <f>IF($L553="","",SUMIFS('Per Line'!$Y$2:$Y$2501,'Per Line'!$D$2:$D$2501,$B553))</f>
        <v/>
      </c>
      <c r="J553" s="5">
        <f>IF($L553="","",G553-H553)</f>
        <v/>
      </c>
      <c r="K553" s="5">
        <f>IF($L553="","",J553-I553)</f>
        <v/>
      </c>
      <c r="L553">
        <f>IF(ROWS($L$2:$L553)&lt;=MAX('Per Line'!$AD$2:$AD$2501),MATCH(ROWS($L$2:$L553),'Per Line'!$AD$2:$AD$2501,0),"")</f>
        <v/>
      </c>
      <c r="M553">
        <f>IF($L553="","",INDEX('Per Line'!$E$2:$E$2501,$L553))</f>
        <v/>
      </c>
    </row>
    <row r="554">
      <c r="A554">
        <f>IF($L554="","",INDEX('Per Line'!$C$2:$C$2501,$L554))</f>
        <v/>
      </c>
      <c r="B554">
        <f>IF($L554="","",INDEX('Per Line'!$D$2:$D$2501,$L554))</f>
        <v/>
      </c>
      <c r="C554">
        <f>IF($L554="","",INDEX('Per Line'!$A$2:$A$2501,$L554))</f>
        <v/>
      </c>
      <c r="F554">
        <f>IF($L554="","",INDEX('Per Line'!$U$2:$U$2501,$L554))</f>
        <v/>
      </c>
      <c r="G554" s="5">
        <f>IF($L554="","",SUMIFS('Per Line'!$W$2:$W$2501,'Per Line'!$D$2:$D$2501,$B554))</f>
        <v/>
      </c>
      <c r="H554" s="5">
        <f>IF($L554="","",SUMIFS('Per Line'!$X$2:$X$2501,'Per Line'!$D$2:$D$2501,$B554))</f>
        <v/>
      </c>
      <c r="I554" s="5">
        <f>IF($L554="","",SUMIFS('Per Line'!$Y$2:$Y$2501,'Per Line'!$D$2:$D$2501,$B554))</f>
        <v/>
      </c>
      <c r="J554" s="5">
        <f>IF($L554="","",G554-H554)</f>
        <v/>
      </c>
      <c r="K554" s="5">
        <f>IF($L554="","",J554-I554)</f>
        <v/>
      </c>
      <c r="L554">
        <f>IF(ROWS($L$2:$L554)&lt;=MAX('Per Line'!$AD$2:$AD$2501),MATCH(ROWS($L$2:$L554),'Per Line'!$AD$2:$AD$2501,0),"")</f>
        <v/>
      </c>
      <c r="M554">
        <f>IF($L554="","",INDEX('Per Line'!$E$2:$E$2501,$L554))</f>
        <v/>
      </c>
    </row>
    <row r="555">
      <c r="A555">
        <f>IF($L555="","",INDEX('Per Line'!$C$2:$C$2501,$L555))</f>
        <v/>
      </c>
      <c r="B555">
        <f>IF($L555="","",INDEX('Per Line'!$D$2:$D$2501,$L555))</f>
        <v/>
      </c>
      <c r="C555">
        <f>IF($L555="","",INDEX('Per Line'!$A$2:$A$2501,$L555))</f>
        <v/>
      </c>
      <c r="F555">
        <f>IF($L555="","",INDEX('Per Line'!$U$2:$U$2501,$L555))</f>
        <v/>
      </c>
      <c r="G555" s="5">
        <f>IF($L555="","",SUMIFS('Per Line'!$W$2:$W$2501,'Per Line'!$D$2:$D$2501,$B555))</f>
        <v/>
      </c>
      <c r="H555" s="5">
        <f>IF($L555="","",SUMIFS('Per Line'!$X$2:$X$2501,'Per Line'!$D$2:$D$2501,$B555))</f>
        <v/>
      </c>
      <c r="I555" s="5">
        <f>IF($L555="","",SUMIFS('Per Line'!$Y$2:$Y$2501,'Per Line'!$D$2:$D$2501,$B555))</f>
        <v/>
      </c>
      <c r="J555" s="5">
        <f>IF($L555="","",G555-H555)</f>
        <v/>
      </c>
      <c r="K555" s="5">
        <f>IF($L555="","",J555-I555)</f>
        <v/>
      </c>
      <c r="L555">
        <f>IF(ROWS($L$2:$L555)&lt;=MAX('Per Line'!$AD$2:$AD$2501),MATCH(ROWS($L$2:$L555),'Per Line'!$AD$2:$AD$2501,0),"")</f>
        <v/>
      </c>
      <c r="M555">
        <f>IF($L555="","",INDEX('Per Line'!$E$2:$E$2501,$L555))</f>
        <v/>
      </c>
    </row>
    <row r="556">
      <c r="A556">
        <f>IF($L556="","",INDEX('Per Line'!$C$2:$C$2501,$L556))</f>
        <v/>
      </c>
      <c r="B556">
        <f>IF($L556="","",INDEX('Per Line'!$D$2:$D$2501,$L556))</f>
        <v/>
      </c>
      <c r="C556">
        <f>IF($L556="","",INDEX('Per Line'!$A$2:$A$2501,$L556))</f>
        <v/>
      </c>
      <c r="F556">
        <f>IF($L556="","",INDEX('Per Line'!$U$2:$U$2501,$L556))</f>
        <v/>
      </c>
      <c r="G556" s="5">
        <f>IF($L556="","",SUMIFS('Per Line'!$W$2:$W$2501,'Per Line'!$D$2:$D$2501,$B556))</f>
        <v/>
      </c>
      <c r="H556" s="5">
        <f>IF($L556="","",SUMIFS('Per Line'!$X$2:$X$2501,'Per Line'!$D$2:$D$2501,$B556))</f>
        <v/>
      </c>
      <c r="I556" s="5">
        <f>IF($L556="","",SUMIFS('Per Line'!$Y$2:$Y$2501,'Per Line'!$D$2:$D$2501,$B556))</f>
        <v/>
      </c>
      <c r="J556" s="5">
        <f>IF($L556="","",G556-H556)</f>
        <v/>
      </c>
      <c r="K556" s="5">
        <f>IF($L556="","",J556-I556)</f>
        <v/>
      </c>
      <c r="L556">
        <f>IF(ROWS($L$2:$L556)&lt;=MAX('Per Line'!$AD$2:$AD$2501),MATCH(ROWS($L$2:$L556),'Per Line'!$AD$2:$AD$2501,0),"")</f>
        <v/>
      </c>
      <c r="M556">
        <f>IF($L556="","",INDEX('Per Line'!$E$2:$E$2501,$L556))</f>
        <v/>
      </c>
    </row>
    <row r="557">
      <c r="A557">
        <f>IF($L557="","",INDEX('Per Line'!$C$2:$C$2501,$L557))</f>
        <v/>
      </c>
      <c r="B557">
        <f>IF($L557="","",INDEX('Per Line'!$D$2:$D$2501,$L557))</f>
        <v/>
      </c>
      <c r="C557">
        <f>IF($L557="","",INDEX('Per Line'!$A$2:$A$2501,$L557))</f>
        <v/>
      </c>
      <c r="F557">
        <f>IF($L557="","",INDEX('Per Line'!$U$2:$U$2501,$L557))</f>
        <v/>
      </c>
      <c r="G557" s="5">
        <f>IF($L557="","",SUMIFS('Per Line'!$W$2:$W$2501,'Per Line'!$D$2:$D$2501,$B557))</f>
        <v/>
      </c>
      <c r="H557" s="5">
        <f>IF($L557="","",SUMIFS('Per Line'!$X$2:$X$2501,'Per Line'!$D$2:$D$2501,$B557))</f>
        <v/>
      </c>
      <c r="I557" s="5">
        <f>IF($L557="","",SUMIFS('Per Line'!$Y$2:$Y$2501,'Per Line'!$D$2:$D$2501,$B557))</f>
        <v/>
      </c>
      <c r="J557" s="5">
        <f>IF($L557="","",G557-H557)</f>
        <v/>
      </c>
      <c r="K557" s="5">
        <f>IF($L557="","",J557-I557)</f>
        <v/>
      </c>
      <c r="L557">
        <f>IF(ROWS($L$2:$L557)&lt;=MAX('Per Line'!$AD$2:$AD$2501),MATCH(ROWS($L$2:$L557),'Per Line'!$AD$2:$AD$2501,0),"")</f>
        <v/>
      </c>
      <c r="M557">
        <f>IF($L557="","",INDEX('Per Line'!$E$2:$E$2501,$L557))</f>
        <v/>
      </c>
    </row>
    <row r="558">
      <c r="A558">
        <f>IF($L558="","",INDEX('Per Line'!$C$2:$C$2501,$L558))</f>
        <v/>
      </c>
      <c r="B558">
        <f>IF($L558="","",INDEX('Per Line'!$D$2:$D$2501,$L558))</f>
        <v/>
      </c>
      <c r="C558">
        <f>IF($L558="","",INDEX('Per Line'!$A$2:$A$2501,$L558))</f>
        <v/>
      </c>
      <c r="F558">
        <f>IF($L558="","",INDEX('Per Line'!$U$2:$U$2501,$L558))</f>
        <v/>
      </c>
      <c r="G558" s="5">
        <f>IF($L558="","",SUMIFS('Per Line'!$W$2:$W$2501,'Per Line'!$D$2:$D$2501,$B558))</f>
        <v/>
      </c>
      <c r="H558" s="5">
        <f>IF($L558="","",SUMIFS('Per Line'!$X$2:$X$2501,'Per Line'!$D$2:$D$2501,$B558))</f>
        <v/>
      </c>
      <c r="I558" s="5">
        <f>IF($L558="","",SUMIFS('Per Line'!$Y$2:$Y$2501,'Per Line'!$D$2:$D$2501,$B558))</f>
        <v/>
      </c>
      <c r="J558" s="5">
        <f>IF($L558="","",G558-H558)</f>
        <v/>
      </c>
      <c r="K558" s="5">
        <f>IF($L558="","",J558-I558)</f>
        <v/>
      </c>
      <c r="L558">
        <f>IF(ROWS($L$2:$L558)&lt;=MAX('Per Line'!$AD$2:$AD$2501),MATCH(ROWS($L$2:$L558),'Per Line'!$AD$2:$AD$2501,0),"")</f>
        <v/>
      </c>
      <c r="M558">
        <f>IF($L558="","",INDEX('Per Line'!$E$2:$E$2501,$L558))</f>
        <v/>
      </c>
    </row>
    <row r="559">
      <c r="A559">
        <f>IF($L559="","",INDEX('Per Line'!$C$2:$C$2501,$L559))</f>
        <v/>
      </c>
      <c r="B559">
        <f>IF($L559="","",INDEX('Per Line'!$D$2:$D$2501,$L559))</f>
        <v/>
      </c>
      <c r="C559">
        <f>IF($L559="","",INDEX('Per Line'!$A$2:$A$2501,$L559))</f>
        <v/>
      </c>
      <c r="F559">
        <f>IF($L559="","",INDEX('Per Line'!$U$2:$U$2501,$L559))</f>
        <v/>
      </c>
      <c r="G559" s="5">
        <f>IF($L559="","",SUMIFS('Per Line'!$W$2:$W$2501,'Per Line'!$D$2:$D$2501,$B559))</f>
        <v/>
      </c>
      <c r="H559" s="5">
        <f>IF($L559="","",SUMIFS('Per Line'!$X$2:$X$2501,'Per Line'!$D$2:$D$2501,$B559))</f>
        <v/>
      </c>
      <c r="I559" s="5">
        <f>IF($L559="","",SUMIFS('Per Line'!$Y$2:$Y$2501,'Per Line'!$D$2:$D$2501,$B559))</f>
        <v/>
      </c>
      <c r="J559" s="5">
        <f>IF($L559="","",G559-H559)</f>
        <v/>
      </c>
      <c r="K559" s="5">
        <f>IF($L559="","",J559-I559)</f>
        <v/>
      </c>
      <c r="L559">
        <f>IF(ROWS($L$2:$L559)&lt;=MAX('Per Line'!$AD$2:$AD$2501),MATCH(ROWS($L$2:$L559),'Per Line'!$AD$2:$AD$2501,0),"")</f>
        <v/>
      </c>
      <c r="M559">
        <f>IF($L559="","",INDEX('Per Line'!$E$2:$E$2501,$L559))</f>
        <v/>
      </c>
    </row>
    <row r="560">
      <c r="A560">
        <f>IF($L560="","",INDEX('Per Line'!$C$2:$C$2501,$L560))</f>
        <v/>
      </c>
      <c r="B560">
        <f>IF($L560="","",INDEX('Per Line'!$D$2:$D$2501,$L560))</f>
        <v/>
      </c>
      <c r="C560">
        <f>IF($L560="","",INDEX('Per Line'!$A$2:$A$2501,$L560))</f>
        <v/>
      </c>
      <c r="F560">
        <f>IF($L560="","",INDEX('Per Line'!$U$2:$U$2501,$L560))</f>
        <v/>
      </c>
      <c r="G560" s="5">
        <f>IF($L560="","",SUMIFS('Per Line'!$W$2:$W$2501,'Per Line'!$D$2:$D$2501,$B560))</f>
        <v/>
      </c>
      <c r="H560" s="5">
        <f>IF($L560="","",SUMIFS('Per Line'!$X$2:$X$2501,'Per Line'!$D$2:$D$2501,$B560))</f>
        <v/>
      </c>
      <c r="I560" s="5">
        <f>IF($L560="","",SUMIFS('Per Line'!$Y$2:$Y$2501,'Per Line'!$D$2:$D$2501,$B560))</f>
        <v/>
      </c>
      <c r="J560" s="5">
        <f>IF($L560="","",G560-H560)</f>
        <v/>
      </c>
      <c r="K560" s="5">
        <f>IF($L560="","",J560-I560)</f>
        <v/>
      </c>
      <c r="L560">
        <f>IF(ROWS($L$2:$L560)&lt;=MAX('Per Line'!$AD$2:$AD$2501),MATCH(ROWS($L$2:$L560),'Per Line'!$AD$2:$AD$2501,0),"")</f>
        <v/>
      </c>
      <c r="M560">
        <f>IF($L560="","",INDEX('Per Line'!$E$2:$E$2501,$L560))</f>
        <v/>
      </c>
    </row>
    <row r="561">
      <c r="A561">
        <f>IF($L561="","",INDEX('Per Line'!$C$2:$C$2501,$L561))</f>
        <v/>
      </c>
      <c r="B561">
        <f>IF($L561="","",INDEX('Per Line'!$D$2:$D$2501,$L561))</f>
        <v/>
      </c>
      <c r="C561">
        <f>IF($L561="","",INDEX('Per Line'!$A$2:$A$2501,$L561))</f>
        <v/>
      </c>
      <c r="F561">
        <f>IF($L561="","",INDEX('Per Line'!$U$2:$U$2501,$L561))</f>
        <v/>
      </c>
      <c r="G561" s="5">
        <f>IF($L561="","",SUMIFS('Per Line'!$W$2:$W$2501,'Per Line'!$D$2:$D$2501,$B561))</f>
        <v/>
      </c>
      <c r="H561" s="5">
        <f>IF($L561="","",SUMIFS('Per Line'!$X$2:$X$2501,'Per Line'!$D$2:$D$2501,$B561))</f>
        <v/>
      </c>
      <c r="I561" s="5">
        <f>IF($L561="","",SUMIFS('Per Line'!$Y$2:$Y$2501,'Per Line'!$D$2:$D$2501,$B561))</f>
        <v/>
      </c>
      <c r="J561" s="5">
        <f>IF($L561="","",G561-H561)</f>
        <v/>
      </c>
      <c r="K561" s="5">
        <f>IF($L561="","",J561-I561)</f>
        <v/>
      </c>
      <c r="L561">
        <f>IF(ROWS($L$2:$L561)&lt;=MAX('Per Line'!$AD$2:$AD$2501),MATCH(ROWS($L$2:$L561),'Per Line'!$AD$2:$AD$2501,0),"")</f>
        <v/>
      </c>
      <c r="M561">
        <f>IF($L561="","",INDEX('Per Line'!$E$2:$E$2501,$L561))</f>
        <v/>
      </c>
    </row>
    <row r="562">
      <c r="A562">
        <f>IF($L562="","",INDEX('Per Line'!$C$2:$C$2501,$L562))</f>
        <v/>
      </c>
      <c r="B562">
        <f>IF($L562="","",INDEX('Per Line'!$D$2:$D$2501,$L562))</f>
        <v/>
      </c>
      <c r="C562">
        <f>IF($L562="","",INDEX('Per Line'!$A$2:$A$2501,$L562))</f>
        <v/>
      </c>
      <c r="F562">
        <f>IF($L562="","",INDEX('Per Line'!$U$2:$U$2501,$L562))</f>
        <v/>
      </c>
      <c r="G562" s="5">
        <f>IF($L562="","",SUMIFS('Per Line'!$W$2:$W$2501,'Per Line'!$D$2:$D$2501,$B562))</f>
        <v/>
      </c>
      <c r="H562" s="5">
        <f>IF($L562="","",SUMIFS('Per Line'!$X$2:$X$2501,'Per Line'!$D$2:$D$2501,$B562))</f>
        <v/>
      </c>
      <c r="I562" s="5">
        <f>IF($L562="","",SUMIFS('Per Line'!$Y$2:$Y$2501,'Per Line'!$D$2:$D$2501,$B562))</f>
        <v/>
      </c>
      <c r="J562" s="5">
        <f>IF($L562="","",G562-H562)</f>
        <v/>
      </c>
      <c r="K562" s="5">
        <f>IF($L562="","",J562-I562)</f>
        <v/>
      </c>
      <c r="L562">
        <f>IF(ROWS($L$2:$L562)&lt;=MAX('Per Line'!$AD$2:$AD$2501),MATCH(ROWS($L$2:$L562),'Per Line'!$AD$2:$AD$2501,0),"")</f>
        <v/>
      </c>
      <c r="M562">
        <f>IF($L562="","",INDEX('Per Line'!$E$2:$E$2501,$L562))</f>
        <v/>
      </c>
    </row>
    <row r="563">
      <c r="A563">
        <f>IF($L563="","",INDEX('Per Line'!$C$2:$C$2501,$L563))</f>
        <v/>
      </c>
      <c r="B563">
        <f>IF($L563="","",INDEX('Per Line'!$D$2:$D$2501,$L563))</f>
        <v/>
      </c>
      <c r="C563">
        <f>IF($L563="","",INDEX('Per Line'!$A$2:$A$2501,$L563))</f>
        <v/>
      </c>
      <c r="F563">
        <f>IF($L563="","",INDEX('Per Line'!$U$2:$U$2501,$L563))</f>
        <v/>
      </c>
      <c r="G563" s="5">
        <f>IF($L563="","",SUMIFS('Per Line'!$W$2:$W$2501,'Per Line'!$D$2:$D$2501,$B563))</f>
        <v/>
      </c>
      <c r="H563" s="5">
        <f>IF($L563="","",SUMIFS('Per Line'!$X$2:$X$2501,'Per Line'!$D$2:$D$2501,$B563))</f>
        <v/>
      </c>
      <c r="I563" s="5">
        <f>IF($L563="","",SUMIFS('Per Line'!$Y$2:$Y$2501,'Per Line'!$D$2:$D$2501,$B563))</f>
        <v/>
      </c>
      <c r="J563" s="5">
        <f>IF($L563="","",G563-H563)</f>
        <v/>
      </c>
      <c r="K563" s="5">
        <f>IF($L563="","",J563-I563)</f>
        <v/>
      </c>
      <c r="L563">
        <f>IF(ROWS($L$2:$L563)&lt;=MAX('Per Line'!$AD$2:$AD$2501),MATCH(ROWS($L$2:$L563),'Per Line'!$AD$2:$AD$2501,0),"")</f>
        <v/>
      </c>
      <c r="M563">
        <f>IF($L563="","",INDEX('Per Line'!$E$2:$E$2501,$L563))</f>
        <v/>
      </c>
    </row>
    <row r="564">
      <c r="A564">
        <f>IF($L564="","",INDEX('Per Line'!$C$2:$C$2501,$L564))</f>
        <v/>
      </c>
      <c r="B564">
        <f>IF($L564="","",INDEX('Per Line'!$D$2:$D$2501,$L564))</f>
        <v/>
      </c>
      <c r="C564">
        <f>IF($L564="","",INDEX('Per Line'!$A$2:$A$2501,$L564))</f>
        <v/>
      </c>
      <c r="F564">
        <f>IF($L564="","",INDEX('Per Line'!$U$2:$U$2501,$L564))</f>
        <v/>
      </c>
      <c r="G564" s="5">
        <f>IF($L564="","",SUMIFS('Per Line'!$W$2:$W$2501,'Per Line'!$D$2:$D$2501,$B564))</f>
        <v/>
      </c>
      <c r="H564" s="5">
        <f>IF($L564="","",SUMIFS('Per Line'!$X$2:$X$2501,'Per Line'!$D$2:$D$2501,$B564))</f>
        <v/>
      </c>
      <c r="I564" s="5">
        <f>IF($L564="","",SUMIFS('Per Line'!$Y$2:$Y$2501,'Per Line'!$D$2:$D$2501,$B564))</f>
        <v/>
      </c>
      <c r="J564" s="5">
        <f>IF($L564="","",G564-H564)</f>
        <v/>
      </c>
      <c r="K564" s="5">
        <f>IF($L564="","",J564-I564)</f>
        <v/>
      </c>
      <c r="L564">
        <f>IF(ROWS($L$2:$L564)&lt;=MAX('Per Line'!$AD$2:$AD$2501),MATCH(ROWS($L$2:$L564),'Per Line'!$AD$2:$AD$2501,0),"")</f>
        <v/>
      </c>
      <c r="M564">
        <f>IF($L564="","",INDEX('Per Line'!$E$2:$E$2501,$L564))</f>
        <v/>
      </c>
    </row>
    <row r="565">
      <c r="A565">
        <f>IF($L565="","",INDEX('Per Line'!$C$2:$C$2501,$L565))</f>
        <v/>
      </c>
      <c r="B565">
        <f>IF($L565="","",INDEX('Per Line'!$D$2:$D$2501,$L565))</f>
        <v/>
      </c>
      <c r="C565">
        <f>IF($L565="","",INDEX('Per Line'!$A$2:$A$2501,$L565))</f>
        <v/>
      </c>
      <c r="F565">
        <f>IF($L565="","",INDEX('Per Line'!$U$2:$U$2501,$L565))</f>
        <v/>
      </c>
      <c r="G565" s="5">
        <f>IF($L565="","",SUMIFS('Per Line'!$W$2:$W$2501,'Per Line'!$D$2:$D$2501,$B565))</f>
        <v/>
      </c>
      <c r="H565" s="5">
        <f>IF($L565="","",SUMIFS('Per Line'!$X$2:$X$2501,'Per Line'!$D$2:$D$2501,$B565))</f>
        <v/>
      </c>
      <c r="I565" s="5">
        <f>IF($L565="","",SUMIFS('Per Line'!$Y$2:$Y$2501,'Per Line'!$D$2:$D$2501,$B565))</f>
        <v/>
      </c>
      <c r="J565" s="5">
        <f>IF($L565="","",G565-H565)</f>
        <v/>
      </c>
      <c r="K565" s="5">
        <f>IF($L565="","",J565-I565)</f>
        <v/>
      </c>
      <c r="L565">
        <f>IF(ROWS($L$2:$L565)&lt;=MAX('Per Line'!$AD$2:$AD$2501),MATCH(ROWS($L$2:$L565),'Per Line'!$AD$2:$AD$2501,0),"")</f>
        <v/>
      </c>
      <c r="M565">
        <f>IF($L565="","",INDEX('Per Line'!$E$2:$E$2501,$L565))</f>
        <v/>
      </c>
    </row>
    <row r="566">
      <c r="A566">
        <f>IF($L566="","",INDEX('Per Line'!$C$2:$C$2501,$L566))</f>
        <v/>
      </c>
      <c r="B566">
        <f>IF($L566="","",INDEX('Per Line'!$D$2:$D$2501,$L566))</f>
        <v/>
      </c>
      <c r="C566">
        <f>IF($L566="","",INDEX('Per Line'!$A$2:$A$2501,$L566))</f>
        <v/>
      </c>
      <c r="F566">
        <f>IF($L566="","",INDEX('Per Line'!$U$2:$U$2501,$L566))</f>
        <v/>
      </c>
      <c r="G566" s="5">
        <f>IF($L566="","",SUMIFS('Per Line'!$W$2:$W$2501,'Per Line'!$D$2:$D$2501,$B566))</f>
        <v/>
      </c>
      <c r="H566" s="5">
        <f>IF($L566="","",SUMIFS('Per Line'!$X$2:$X$2501,'Per Line'!$D$2:$D$2501,$B566))</f>
        <v/>
      </c>
      <c r="I566" s="5">
        <f>IF($L566="","",SUMIFS('Per Line'!$Y$2:$Y$2501,'Per Line'!$D$2:$D$2501,$B566))</f>
        <v/>
      </c>
      <c r="J566" s="5">
        <f>IF($L566="","",G566-H566)</f>
        <v/>
      </c>
      <c r="K566" s="5">
        <f>IF($L566="","",J566-I566)</f>
        <v/>
      </c>
      <c r="L566">
        <f>IF(ROWS($L$2:$L566)&lt;=MAX('Per Line'!$AD$2:$AD$2501),MATCH(ROWS($L$2:$L566),'Per Line'!$AD$2:$AD$2501,0),"")</f>
        <v/>
      </c>
      <c r="M566">
        <f>IF($L566="","",INDEX('Per Line'!$E$2:$E$2501,$L566))</f>
        <v/>
      </c>
    </row>
    <row r="567">
      <c r="A567">
        <f>IF($L567="","",INDEX('Per Line'!$C$2:$C$2501,$L567))</f>
        <v/>
      </c>
      <c r="B567">
        <f>IF($L567="","",INDEX('Per Line'!$D$2:$D$2501,$L567))</f>
        <v/>
      </c>
      <c r="C567">
        <f>IF($L567="","",INDEX('Per Line'!$A$2:$A$2501,$L567))</f>
        <v/>
      </c>
      <c r="F567">
        <f>IF($L567="","",INDEX('Per Line'!$U$2:$U$2501,$L567))</f>
        <v/>
      </c>
      <c r="G567" s="5">
        <f>IF($L567="","",SUMIFS('Per Line'!$W$2:$W$2501,'Per Line'!$D$2:$D$2501,$B567))</f>
        <v/>
      </c>
      <c r="H567" s="5">
        <f>IF($L567="","",SUMIFS('Per Line'!$X$2:$X$2501,'Per Line'!$D$2:$D$2501,$B567))</f>
        <v/>
      </c>
      <c r="I567" s="5">
        <f>IF($L567="","",SUMIFS('Per Line'!$Y$2:$Y$2501,'Per Line'!$D$2:$D$2501,$B567))</f>
        <v/>
      </c>
      <c r="J567" s="5">
        <f>IF($L567="","",G567-H567)</f>
        <v/>
      </c>
      <c r="K567" s="5">
        <f>IF($L567="","",J567-I567)</f>
        <v/>
      </c>
      <c r="L567">
        <f>IF(ROWS($L$2:$L567)&lt;=MAX('Per Line'!$AD$2:$AD$2501),MATCH(ROWS($L$2:$L567),'Per Line'!$AD$2:$AD$2501,0),"")</f>
        <v/>
      </c>
      <c r="M567">
        <f>IF($L567="","",INDEX('Per Line'!$E$2:$E$2501,$L567))</f>
        <v/>
      </c>
    </row>
    <row r="568">
      <c r="A568">
        <f>IF($L568="","",INDEX('Per Line'!$C$2:$C$2501,$L568))</f>
        <v/>
      </c>
      <c r="B568">
        <f>IF($L568="","",INDEX('Per Line'!$D$2:$D$2501,$L568))</f>
        <v/>
      </c>
      <c r="C568">
        <f>IF($L568="","",INDEX('Per Line'!$A$2:$A$2501,$L568))</f>
        <v/>
      </c>
      <c r="F568">
        <f>IF($L568="","",INDEX('Per Line'!$U$2:$U$2501,$L568))</f>
        <v/>
      </c>
      <c r="G568" s="5">
        <f>IF($L568="","",SUMIFS('Per Line'!$W$2:$W$2501,'Per Line'!$D$2:$D$2501,$B568))</f>
        <v/>
      </c>
      <c r="H568" s="5">
        <f>IF($L568="","",SUMIFS('Per Line'!$X$2:$X$2501,'Per Line'!$D$2:$D$2501,$B568))</f>
        <v/>
      </c>
      <c r="I568" s="5">
        <f>IF($L568="","",SUMIFS('Per Line'!$Y$2:$Y$2501,'Per Line'!$D$2:$D$2501,$B568))</f>
        <v/>
      </c>
      <c r="J568" s="5">
        <f>IF($L568="","",G568-H568)</f>
        <v/>
      </c>
      <c r="K568" s="5">
        <f>IF($L568="","",J568-I568)</f>
        <v/>
      </c>
      <c r="L568">
        <f>IF(ROWS($L$2:$L568)&lt;=MAX('Per Line'!$AD$2:$AD$2501),MATCH(ROWS($L$2:$L568),'Per Line'!$AD$2:$AD$2501,0),"")</f>
        <v/>
      </c>
      <c r="M568">
        <f>IF($L568="","",INDEX('Per Line'!$E$2:$E$2501,$L568))</f>
        <v/>
      </c>
    </row>
    <row r="569">
      <c r="A569">
        <f>IF($L569="","",INDEX('Per Line'!$C$2:$C$2501,$L569))</f>
        <v/>
      </c>
      <c r="B569">
        <f>IF($L569="","",INDEX('Per Line'!$D$2:$D$2501,$L569))</f>
        <v/>
      </c>
      <c r="C569">
        <f>IF($L569="","",INDEX('Per Line'!$A$2:$A$2501,$L569))</f>
        <v/>
      </c>
      <c r="F569">
        <f>IF($L569="","",INDEX('Per Line'!$U$2:$U$2501,$L569))</f>
        <v/>
      </c>
      <c r="G569" s="5">
        <f>IF($L569="","",SUMIFS('Per Line'!$W$2:$W$2501,'Per Line'!$D$2:$D$2501,$B569))</f>
        <v/>
      </c>
      <c r="H569" s="5">
        <f>IF($L569="","",SUMIFS('Per Line'!$X$2:$X$2501,'Per Line'!$D$2:$D$2501,$B569))</f>
        <v/>
      </c>
      <c r="I569" s="5">
        <f>IF($L569="","",SUMIFS('Per Line'!$Y$2:$Y$2501,'Per Line'!$D$2:$D$2501,$B569))</f>
        <v/>
      </c>
      <c r="J569" s="5">
        <f>IF($L569="","",G569-H569)</f>
        <v/>
      </c>
      <c r="K569" s="5">
        <f>IF($L569="","",J569-I569)</f>
        <v/>
      </c>
      <c r="L569">
        <f>IF(ROWS($L$2:$L569)&lt;=MAX('Per Line'!$AD$2:$AD$2501),MATCH(ROWS($L$2:$L569),'Per Line'!$AD$2:$AD$2501,0),"")</f>
        <v/>
      </c>
      <c r="M569">
        <f>IF($L569="","",INDEX('Per Line'!$E$2:$E$2501,$L569))</f>
        <v/>
      </c>
    </row>
    <row r="570">
      <c r="A570">
        <f>IF($L570="","",INDEX('Per Line'!$C$2:$C$2501,$L570))</f>
        <v/>
      </c>
      <c r="B570">
        <f>IF($L570="","",INDEX('Per Line'!$D$2:$D$2501,$L570))</f>
        <v/>
      </c>
      <c r="C570">
        <f>IF($L570="","",INDEX('Per Line'!$A$2:$A$2501,$L570))</f>
        <v/>
      </c>
      <c r="F570">
        <f>IF($L570="","",INDEX('Per Line'!$U$2:$U$2501,$L570))</f>
        <v/>
      </c>
      <c r="G570" s="5">
        <f>IF($L570="","",SUMIFS('Per Line'!$W$2:$W$2501,'Per Line'!$D$2:$D$2501,$B570))</f>
        <v/>
      </c>
      <c r="H570" s="5">
        <f>IF($L570="","",SUMIFS('Per Line'!$X$2:$X$2501,'Per Line'!$D$2:$D$2501,$B570))</f>
        <v/>
      </c>
      <c r="I570" s="5">
        <f>IF($L570="","",SUMIFS('Per Line'!$Y$2:$Y$2501,'Per Line'!$D$2:$D$2501,$B570))</f>
        <v/>
      </c>
      <c r="J570" s="5">
        <f>IF($L570="","",G570-H570)</f>
        <v/>
      </c>
      <c r="K570" s="5">
        <f>IF($L570="","",J570-I570)</f>
        <v/>
      </c>
      <c r="L570">
        <f>IF(ROWS($L$2:$L570)&lt;=MAX('Per Line'!$AD$2:$AD$2501),MATCH(ROWS($L$2:$L570),'Per Line'!$AD$2:$AD$2501,0),"")</f>
        <v/>
      </c>
      <c r="M570">
        <f>IF($L570="","",INDEX('Per Line'!$E$2:$E$2501,$L570))</f>
        <v/>
      </c>
    </row>
    <row r="571">
      <c r="A571">
        <f>IF($L571="","",INDEX('Per Line'!$C$2:$C$2501,$L571))</f>
        <v/>
      </c>
      <c r="B571">
        <f>IF($L571="","",INDEX('Per Line'!$D$2:$D$2501,$L571))</f>
        <v/>
      </c>
      <c r="C571">
        <f>IF($L571="","",INDEX('Per Line'!$A$2:$A$2501,$L571))</f>
        <v/>
      </c>
      <c r="F571">
        <f>IF($L571="","",INDEX('Per Line'!$U$2:$U$2501,$L571))</f>
        <v/>
      </c>
      <c r="G571" s="5">
        <f>IF($L571="","",SUMIFS('Per Line'!$W$2:$W$2501,'Per Line'!$D$2:$D$2501,$B571))</f>
        <v/>
      </c>
      <c r="H571" s="5">
        <f>IF($L571="","",SUMIFS('Per Line'!$X$2:$X$2501,'Per Line'!$D$2:$D$2501,$B571))</f>
        <v/>
      </c>
      <c r="I571" s="5">
        <f>IF($L571="","",SUMIFS('Per Line'!$Y$2:$Y$2501,'Per Line'!$D$2:$D$2501,$B571))</f>
        <v/>
      </c>
      <c r="J571" s="5">
        <f>IF($L571="","",G571-H571)</f>
        <v/>
      </c>
      <c r="K571" s="5">
        <f>IF($L571="","",J571-I571)</f>
        <v/>
      </c>
      <c r="L571">
        <f>IF(ROWS($L$2:$L571)&lt;=MAX('Per Line'!$AD$2:$AD$2501),MATCH(ROWS($L$2:$L571),'Per Line'!$AD$2:$AD$2501,0),"")</f>
        <v/>
      </c>
      <c r="M571">
        <f>IF($L571="","",INDEX('Per Line'!$E$2:$E$2501,$L571))</f>
        <v/>
      </c>
    </row>
    <row r="572">
      <c r="A572">
        <f>IF($L572="","",INDEX('Per Line'!$C$2:$C$2501,$L572))</f>
        <v/>
      </c>
      <c r="B572">
        <f>IF($L572="","",INDEX('Per Line'!$D$2:$D$2501,$L572))</f>
        <v/>
      </c>
      <c r="C572">
        <f>IF($L572="","",INDEX('Per Line'!$A$2:$A$2501,$L572))</f>
        <v/>
      </c>
      <c r="F572">
        <f>IF($L572="","",INDEX('Per Line'!$U$2:$U$2501,$L572))</f>
        <v/>
      </c>
      <c r="G572" s="5">
        <f>IF($L572="","",SUMIFS('Per Line'!$W$2:$W$2501,'Per Line'!$D$2:$D$2501,$B572))</f>
        <v/>
      </c>
      <c r="H572" s="5">
        <f>IF($L572="","",SUMIFS('Per Line'!$X$2:$X$2501,'Per Line'!$D$2:$D$2501,$B572))</f>
        <v/>
      </c>
      <c r="I572" s="5">
        <f>IF($L572="","",SUMIFS('Per Line'!$Y$2:$Y$2501,'Per Line'!$D$2:$D$2501,$B572))</f>
        <v/>
      </c>
      <c r="J572" s="5">
        <f>IF($L572="","",G572-H572)</f>
        <v/>
      </c>
      <c r="K572" s="5">
        <f>IF($L572="","",J572-I572)</f>
        <v/>
      </c>
      <c r="L572">
        <f>IF(ROWS($L$2:$L572)&lt;=MAX('Per Line'!$AD$2:$AD$2501),MATCH(ROWS($L$2:$L572),'Per Line'!$AD$2:$AD$2501,0),"")</f>
        <v/>
      </c>
      <c r="M572">
        <f>IF($L572="","",INDEX('Per Line'!$E$2:$E$2501,$L572))</f>
        <v/>
      </c>
    </row>
    <row r="573">
      <c r="A573">
        <f>IF($L573="","",INDEX('Per Line'!$C$2:$C$2501,$L573))</f>
        <v/>
      </c>
      <c r="B573">
        <f>IF($L573="","",INDEX('Per Line'!$D$2:$D$2501,$L573))</f>
        <v/>
      </c>
      <c r="C573">
        <f>IF($L573="","",INDEX('Per Line'!$A$2:$A$2501,$L573))</f>
        <v/>
      </c>
      <c r="F573">
        <f>IF($L573="","",INDEX('Per Line'!$U$2:$U$2501,$L573))</f>
        <v/>
      </c>
      <c r="G573" s="5">
        <f>IF($L573="","",SUMIFS('Per Line'!$W$2:$W$2501,'Per Line'!$D$2:$D$2501,$B573))</f>
        <v/>
      </c>
      <c r="H573" s="5">
        <f>IF($L573="","",SUMIFS('Per Line'!$X$2:$X$2501,'Per Line'!$D$2:$D$2501,$B573))</f>
        <v/>
      </c>
      <c r="I573" s="5">
        <f>IF($L573="","",SUMIFS('Per Line'!$Y$2:$Y$2501,'Per Line'!$D$2:$D$2501,$B573))</f>
        <v/>
      </c>
      <c r="J573" s="5">
        <f>IF($L573="","",G573-H573)</f>
        <v/>
      </c>
      <c r="K573" s="5">
        <f>IF($L573="","",J573-I573)</f>
        <v/>
      </c>
      <c r="L573">
        <f>IF(ROWS($L$2:$L573)&lt;=MAX('Per Line'!$AD$2:$AD$2501),MATCH(ROWS($L$2:$L573),'Per Line'!$AD$2:$AD$2501,0),"")</f>
        <v/>
      </c>
      <c r="M573">
        <f>IF($L573="","",INDEX('Per Line'!$E$2:$E$2501,$L573))</f>
        <v/>
      </c>
    </row>
    <row r="574">
      <c r="A574">
        <f>IF($L574="","",INDEX('Per Line'!$C$2:$C$2501,$L574))</f>
        <v/>
      </c>
      <c r="B574">
        <f>IF($L574="","",INDEX('Per Line'!$D$2:$D$2501,$L574))</f>
        <v/>
      </c>
      <c r="C574">
        <f>IF($L574="","",INDEX('Per Line'!$A$2:$A$2501,$L574))</f>
        <v/>
      </c>
      <c r="F574">
        <f>IF($L574="","",INDEX('Per Line'!$U$2:$U$2501,$L574))</f>
        <v/>
      </c>
      <c r="G574" s="5">
        <f>IF($L574="","",SUMIFS('Per Line'!$W$2:$W$2501,'Per Line'!$D$2:$D$2501,$B574))</f>
        <v/>
      </c>
      <c r="H574" s="5">
        <f>IF($L574="","",SUMIFS('Per Line'!$X$2:$X$2501,'Per Line'!$D$2:$D$2501,$B574))</f>
        <v/>
      </c>
      <c r="I574" s="5">
        <f>IF($L574="","",SUMIFS('Per Line'!$Y$2:$Y$2501,'Per Line'!$D$2:$D$2501,$B574))</f>
        <v/>
      </c>
      <c r="J574" s="5">
        <f>IF($L574="","",G574-H574)</f>
        <v/>
      </c>
      <c r="K574" s="5">
        <f>IF($L574="","",J574-I574)</f>
        <v/>
      </c>
      <c r="L574">
        <f>IF(ROWS($L$2:$L574)&lt;=MAX('Per Line'!$AD$2:$AD$2501),MATCH(ROWS($L$2:$L574),'Per Line'!$AD$2:$AD$2501,0),"")</f>
        <v/>
      </c>
      <c r="M574">
        <f>IF($L574="","",INDEX('Per Line'!$E$2:$E$2501,$L574))</f>
        <v/>
      </c>
    </row>
    <row r="575">
      <c r="A575">
        <f>IF($L575="","",INDEX('Per Line'!$C$2:$C$2501,$L575))</f>
        <v/>
      </c>
      <c r="B575">
        <f>IF($L575="","",INDEX('Per Line'!$D$2:$D$2501,$L575))</f>
        <v/>
      </c>
      <c r="C575">
        <f>IF($L575="","",INDEX('Per Line'!$A$2:$A$2501,$L575))</f>
        <v/>
      </c>
      <c r="F575">
        <f>IF($L575="","",INDEX('Per Line'!$U$2:$U$2501,$L575))</f>
        <v/>
      </c>
      <c r="G575" s="5">
        <f>IF($L575="","",SUMIFS('Per Line'!$W$2:$W$2501,'Per Line'!$D$2:$D$2501,$B575))</f>
        <v/>
      </c>
      <c r="H575" s="5">
        <f>IF($L575="","",SUMIFS('Per Line'!$X$2:$X$2501,'Per Line'!$D$2:$D$2501,$B575))</f>
        <v/>
      </c>
      <c r="I575" s="5">
        <f>IF($L575="","",SUMIFS('Per Line'!$Y$2:$Y$2501,'Per Line'!$D$2:$D$2501,$B575))</f>
        <v/>
      </c>
      <c r="J575" s="5">
        <f>IF($L575="","",G575-H575)</f>
        <v/>
      </c>
      <c r="K575" s="5">
        <f>IF($L575="","",J575-I575)</f>
        <v/>
      </c>
      <c r="L575">
        <f>IF(ROWS($L$2:$L575)&lt;=MAX('Per Line'!$AD$2:$AD$2501),MATCH(ROWS($L$2:$L575),'Per Line'!$AD$2:$AD$2501,0),"")</f>
        <v/>
      </c>
      <c r="M575">
        <f>IF($L575="","",INDEX('Per Line'!$E$2:$E$2501,$L575))</f>
        <v/>
      </c>
    </row>
    <row r="576">
      <c r="A576">
        <f>IF($L576="","",INDEX('Per Line'!$C$2:$C$2501,$L576))</f>
        <v/>
      </c>
      <c r="B576">
        <f>IF($L576="","",INDEX('Per Line'!$D$2:$D$2501,$L576))</f>
        <v/>
      </c>
      <c r="C576">
        <f>IF($L576="","",INDEX('Per Line'!$A$2:$A$2501,$L576))</f>
        <v/>
      </c>
      <c r="F576">
        <f>IF($L576="","",INDEX('Per Line'!$U$2:$U$2501,$L576))</f>
        <v/>
      </c>
      <c r="G576" s="5">
        <f>IF($L576="","",SUMIFS('Per Line'!$W$2:$W$2501,'Per Line'!$D$2:$D$2501,$B576))</f>
        <v/>
      </c>
      <c r="H576" s="5">
        <f>IF($L576="","",SUMIFS('Per Line'!$X$2:$X$2501,'Per Line'!$D$2:$D$2501,$B576))</f>
        <v/>
      </c>
      <c r="I576" s="5">
        <f>IF($L576="","",SUMIFS('Per Line'!$Y$2:$Y$2501,'Per Line'!$D$2:$D$2501,$B576))</f>
        <v/>
      </c>
      <c r="J576" s="5">
        <f>IF($L576="","",G576-H576)</f>
        <v/>
      </c>
      <c r="K576" s="5">
        <f>IF($L576="","",J576-I576)</f>
        <v/>
      </c>
      <c r="L576">
        <f>IF(ROWS($L$2:$L576)&lt;=MAX('Per Line'!$AD$2:$AD$2501),MATCH(ROWS($L$2:$L576),'Per Line'!$AD$2:$AD$2501,0),"")</f>
        <v/>
      </c>
      <c r="M576">
        <f>IF($L576="","",INDEX('Per Line'!$E$2:$E$2501,$L576))</f>
        <v/>
      </c>
    </row>
    <row r="577">
      <c r="A577">
        <f>IF($L577="","",INDEX('Per Line'!$C$2:$C$2501,$L577))</f>
        <v/>
      </c>
      <c r="B577">
        <f>IF($L577="","",INDEX('Per Line'!$D$2:$D$2501,$L577))</f>
        <v/>
      </c>
      <c r="C577">
        <f>IF($L577="","",INDEX('Per Line'!$A$2:$A$2501,$L577))</f>
        <v/>
      </c>
      <c r="F577">
        <f>IF($L577="","",INDEX('Per Line'!$U$2:$U$2501,$L577))</f>
        <v/>
      </c>
      <c r="G577" s="5">
        <f>IF($L577="","",SUMIFS('Per Line'!$W$2:$W$2501,'Per Line'!$D$2:$D$2501,$B577))</f>
        <v/>
      </c>
      <c r="H577" s="5">
        <f>IF($L577="","",SUMIFS('Per Line'!$X$2:$X$2501,'Per Line'!$D$2:$D$2501,$B577))</f>
        <v/>
      </c>
      <c r="I577" s="5">
        <f>IF($L577="","",SUMIFS('Per Line'!$Y$2:$Y$2501,'Per Line'!$D$2:$D$2501,$B577))</f>
        <v/>
      </c>
      <c r="J577" s="5">
        <f>IF($L577="","",G577-H577)</f>
        <v/>
      </c>
      <c r="K577" s="5">
        <f>IF($L577="","",J577-I577)</f>
        <v/>
      </c>
      <c r="L577">
        <f>IF(ROWS($L$2:$L577)&lt;=MAX('Per Line'!$AD$2:$AD$2501),MATCH(ROWS($L$2:$L577),'Per Line'!$AD$2:$AD$2501,0),"")</f>
        <v/>
      </c>
      <c r="M577">
        <f>IF($L577="","",INDEX('Per Line'!$E$2:$E$2501,$L577))</f>
        <v/>
      </c>
    </row>
    <row r="578">
      <c r="A578">
        <f>IF($L578="","",INDEX('Per Line'!$C$2:$C$2501,$L578))</f>
        <v/>
      </c>
      <c r="B578">
        <f>IF($L578="","",INDEX('Per Line'!$D$2:$D$2501,$L578))</f>
        <v/>
      </c>
      <c r="C578">
        <f>IF($L578="","",INDEX('Per Line'!$A$2:$A$2501,$L578))</f>
        <v/>
      </c>
      <c r="F578">
        <f>IF($L578="","",INDEX('Per Line'!$U$2:$U$2501,$L578))</f>
        <v/>
      </c>
      <c r="G578" s="5">
        <f>IF($L578="","",SUMIFS('Per Line'!$W$2:$W$2501,'Per Line'!$D$2:$D$2501,$B578))</f>
        <v/>
      </c>
      <c r="H578" s="5">
        <f>IF($L578="","",SUMIFS('Per Line'!$X$2:$X$2501,'Per Line'!$D$2:$D$2501,$B578))</f>
        <v/>
      </c>
      <c r="I578" s="5">
        <f>IF($L578="","",SUMIFS('Per Line'!$Y$2:$Y$2501,'Per Line'!$D$2:$D$2501,$B578))</f>
        <v/>
      </c>
      <c r="J578" s="5">
        <f>IF($L578="","",G578-H578)</f>
        <v/>
      </c>
      <c r="K578" s="5">
        <f>IF($L578="","",J578-I578)</f>
        <v/>
      </c>
      <c r="L578">
        <f>IF(ROWS($L$2:$L578)&lt;=MAX('Per Line'!$AD$2:$AD$2501),MATCH(ROWS($L$2:$L578),'Per Line'!$AD$2:$AD$2501,0),"")</f>
        <v/>
      </c>
      <c r="M578">
        <f>IF($L578="","",INDEX('Per Line'!$E$2:$E$2501,$L578))</f>
        <v/>
      </c>
    </row>
    <row r="579">
      <c r="A579">
        <f>IF($L579="","",INDEX('Per Line'!$C$2:$C$2501,$L579))</f>
        <v/>
      </c>
      <c r="B579">
        <f>IF($L579="","",INDEX('Per Line'!$D$2:$D$2501,$L579))</f>
        <v/>
      </c>
      <c r="C579">
        <f>IF($L579="","",INDEX('Per Line'!$A$2:$A$2501,$L579))</f>
        <v/>
      </c>
      <c r="F579">
        <f>IF($L579="","",INDEX('Per Line'!$U$2:$U$2501,$L579))</f>
        <v/>
      </c>
      <c r="G579" s="5">
        <f>IF($L579="","",SUMIFS('Per Line'!$W$2:$W$2501,'Per Line'!$D$2:$D$2501,$B579))</f>
        <v/>
      </c>
      <c r="H579" s="5">
        <f>IF($L579="","",SUMIFS('Per Line'!$X$2:$X$2501,'Per Line'!$D$2:$D$2501,$B579))</f>
        <v/>
      </c>
      <c r="I579" s="5">
        <f>IF($L579="","",SUMIFS('Per Line'!$Y$2:$Y$2501,'Per Line'!$D$2:$D$2501,$B579))</f>
        <v/>
      </c>
      <c r="J579" s="5">
        <f>IF($L579="","",G579-H579)</f>
        <v/>
      </c>
      <c r="K579" s="5">
        <f>IF($L579="","",J579-I579)</f>
        <v/>
      </c>
      <c r="L579">
        <f>IF(ROWS($L$2:$L579)&lt;=MAX('Per Line'!$AD$2:$AD$2501),MATCH(ROWS($L$2:$L579),'Per Line'!$AD$2:$AD$2501,0),"")</f>
        <v/>
      </c>
      <c r="M579">
        <f>IF($L579="","",INDEX('Per Line'!$E$2:$E$2501,$L579))</f>
        <v/>
      </c>
    </row>
    <row r="580">
      <c r="A580">
        <f>IF($L580="","",INDEX('Per Line'!$C$2:$C$2501,$L580))</f>
        <v/>
      </c>
      <c r="B580">
        <f>IF($L580="","",INDEX('Per Line'!$D$2:$D$2501,$L580))</f>
        <v/>
      </c>
      <c r="C580">
        <f>IF($L580="","",INDEX('Per Line'!$A$2:$A$2501,$L580))</f>
        <v/>
      </c>
      <c r="F580">
        <f>IF($L580="","",INDEX('Per Line'!$U$2:$U$2501,$L580))</f>
        <v/>
      </c>
      <c r="G580" s="5">
        <f>IF($L580="","",SUMIFS('Per Line'!$W$2:$W$2501,'Per Line'!$D$2:$D$2501,$B580))</f>
        <v/>
      </c>
      <c r="H580" s="5">
        <f>IF($L580="","",SUMIFS('Per Line'!$X$2:$X$2501,'Per Line'!$D$2:$D$2501,$B580))</f>
        <v/>
      </c>
      <c r="I580" s="5">
        <f>IF($L580="","",SUMIFS('Per Line'!$Y$2:$Y$2501,'Per Line'!$D$2:$D$2501,$B580))</f>
        <v/>
      </c>
      <c r="J580" s="5">
        <f>IF($L580="","",G580-H580)</f>
        <v/>
      </c>
      <c r="K580" s="5">
        <f>IF($L580="","",J580-I580)</f>
        <v/>
      </c>
      <c r="L580">
        <f>IF(ROWS($L$2:$L580)&lt;=MAX('Per Line'!$AD$2:$AD$2501),MATCH(ROWS($L$2:$L580),'Per Line'!$AD$2:$AD$2501,0),"")</f>
        <v/>
      </c>
      <c r="M580">
        <f>IF($L580="","",INDEX('Per Line'!$E$2:$E$2501,$L580))</f>
        <v/>
      </c>
    </row>
    <row r="581">
      <c r="A581">
        <f>IF($L581="","",INDEX('Per Line'!$C$2:$C$2501,$L581))</f>
        <v/>
      </c>
      <c r="B581">
        <f>IF($L581="","",INDEX('Per Line'!$D$2:$D$2501,$L581))</f>
        <v/>
      </c>
      <c r="C581">
        <f>IF($L581="","",INDEX('Per Line'!$A$2:$A$2501,$L581))</f>
        <v/>
      </c>
      <c r="F581">
        <f>IF($L581="","",INDEX('Per Line'!$U$2:$U$2501,$L581))</f>
        <v/>
      </c>
      <c r="G581" s="5">
        <f>IF($L581="","",SUMIFS('Per Line'!$W$2:$W$2501,'Per Line'!$D$2:$D$2501,$B581))</f>
        <v/>
      </c>
      <c r="H581" s="5">
        <f>IF($L581="","",SUMIFS('Per Line'!$X$2:$X$2501,'Per Line'!$D$2:$D$2501,$B581))</f>
        <v/>
      </c>
      <c r="I581" s="5">
        <f>IF($L581="","",SUMIFS('Per Line'!$Y$2:$Y$2501,'Per Line'!$D$2:$D$2501,$B581))</f>
        <v/>
      </c>
      <c r="J581" s="5">
        <f>IF($L581="","",G581-H581)</f>
        <v/>
      </c>
      <c r="K581" s="5">
        <f>IF($L581="","",J581-I581)</f>
        <v/>
      </c>
      <c r="L581">
        <f>IF(ROWS($L$2:$L581)&lt;=MAX('Per Line'!$AD$2:$AD$2501),MATCH(ROWS($L$2:$L581),'Per Line'!$AD$2:$AD$2501,0),"")</f>
        <v/>
      </c>
      <c r="M581">
        <f>IF($L581="","",INDEX('Per Line'!$E$2:$E$2501,$L581))</f>
        <v/>
      </c>
    </row>
    <row r="582">
      <c r="A582">
        <f>IF($L582="","",INDEX('Per Line'!$C$2:$C$2501,$L582))</f>
        <v/>
      </c>
      <c r="B582">
        <f>IF($L582="","",INDEX('Per Line'!$D$2:$D$2501,$L582))</f>
        <v/>
      </c>
      <c r="C582">
        <f>IF($L582="","",INDEX('Per Line'!$A$2:$A$2501,$L582))</f>
        <v/>
      </c>
      <c r="F582">
        <f>IF($L582="","",INDEX('Per Line'!$U$2:$U$2501,$L582))</f>
        <v/>
      </c>
      <c r="G582" s="5">
        <f>IF($L582="","",SUMIFS('Per Line'!$W$2:$W$2501,'Per Line'!$D$2:$D$2501,$B582))</f>
        <v/>
      </c>
      <c r="H582" s="5">
        <f>IF($L582="","",SUMIFS('Per Line'!$X$2:$X$2501,'Per Line'!$D$2:$D$2501,$B582))</f>
        <v/>
      </c>
      <c r="I582" s="5">
        <f>IF($L582="","",SUMIFS('Per Line'!$Y$2:$Y$2501,'Per Line'!$D$2:$D$2501,$B582))</f>
        <v/>
      </c>
      <c r="J582" s="5">
        <f>IF($L582="","",G582-H582)</f>
        <v/>
      </c>
      <c r="K582" s="5">
        <f>IF($L582="","",J582-I582)</f>
        <v/>
      </c>
      <c r="L582">
        <f>IF(ROWS($L$2:$L582)&lt;=MAX('Per Line'!$AD$2:$AD$2501),MATCH(ROWS($L$2:$L582),'Per Line'!$AD$2:$AD$2501,0),"")</f>
        <v/>
      </c>
      <c r="M582">
        <f>IF($L582="","",INDEX('Per Line'!$E$2:$E$2501,$L582))</f>
        <v/>
      </c>
    </row>
    <row r="583">
      <c r="A583">
        <f>IF($L583="","",INDEX('Per Line'!$C$2:$C$2501,$L583))</f>
        <v/>
      </c>
      <c r="B583">
        <f>IF($L583="","",INDEX('Per Line'!$D$2:$D$2501,$L583))</f>
        <v/>
      </c>
      <c r="C583">
        <f>IF($L583="","",INDEX('Per Line'!$A$2:$A$2501,$L583))</f>
        <v/>
      </c>
      <c r="F583">
        <f>IF($L583="","",INDEX('Per Line'!$U$2:$U$2501,$L583))</f>
        <v/>
      </c>
      <c r="G583" s="5">
        <f>IF($L583="","",SUMIFS('Per Line'!$W$2:$W$2501,'Per Line'!$D$2:$D$2501,$B583))</f>
        <v/>
      </c>
      <c r="H583" s="5">
        <f>IF($L583="","",SUMIFS('Per Line'!$X$2:$X$2501,'Per Line'!$D$2:$D$2501,$B583))</f>
        <v/>
      </c>
      <c r="I583" s="5">
        <f>IF($L583="","",SUMIFS('Per Line'!$Y$2:$Y$2501,'Per Line'!$D$2:$D$2501,$B583))</f>
        <v/>
      </c>
      <c r="J583" s="5">
        <f>IF($L583="","",G583-H583)</f>
        <v/>
      </c>
      <c r="K583" s="5">
        <f>IF($L583="","",J583-I583)</f>
        <v/>
      </c>
      <c r="L583">
        <f>IF(ROWS($L$2:$L583)&lt;=MAX('Per Line'!$AD$2:$AD$2501),MATCH(ROWS($L$2:$L583),'Per Line'!$AD$2:$AD$2501,0),"")</f>
        <v/>
      </c>
      <c r="M583">
        <f>IF($L583="","",INDEX('Per Line'!$E$2:$E$2501,$L583))</f>
        <v/>
      </c>
    </row>
    <row r="584">
      <c r="A584">
        <f>IF($L584="","",INDEX('Per Line'!$C$2:$C$2501,$L584))</f>
        <v/>
      </c>
      <c r="B584">
        <f>IF($L584="","",INDEX('Per Line'!$D$2:$D$2501,$L584))</f>
        <v/>
      </c>
      <c r="C584">
        <f>IF($L584="","",INDEX('Per Line'!$A$2:$A$2501,$L584))</f>
        <v/>
      </c>
      <c r="F584">
        <f>IF($L584="","",INDEX('Per Line'!$U$2:$U$2501,$L584))</f>
        <v/>
      </c>
      <c r="G584" s="5">
        <f>IF($L584="","",SUMIFS('Per Line'!$W$2:$W$2501,'Per Line'!$D$2:$D$2501,$B584))</f>
        <v/>
      </c>
      <c r="H584" s="5">
        <f>IF($L584="","",SUMIFS('Per Line'!$X$2:$X$2501,'Per Line'!$D$2:$D$2501,$B584))</f>
        <v/>
      </c>
      <c r="I584" s="5">
        <f>IF($L584="","",SUMIFS('Per Line'!$Y$2:$Y$2501,'Per Line'!$D$2:$D$2501,$B584))</f>
        <v/>
      </c>
      <c r="J584" s="5">
        <f>IF($L584="","",G584-H584)</f>
        <v/>
      </c>
      <c r="K584" s="5">
        <f>IF($L584="","",J584-I584)</f>
        <v/>
      </c>
      <c r="L584">
        <f>IF(ROWS($L$2:$L584)&lt;=MAX('Per Line'!$AD$2:$AD$2501),MATCH(ROWS($L$2:$L584),'Per Line'!$AD$2:$AD$2501,0),"")</f>
        <v/>
      </c>
      <c r="M584">
        <f>IF($L584="","",INDEX('Per Line'!$E$2:$E$2501,$L584))</f>
        <v/>
      </c>
    </row>
    <row r="585">
      <c r="A585">
        <f>IF($L585="","",INDEX('Per Line'!$C$2:$C$2501,$L585))</f>
        <v/>
      </c>
      <c r="B585">
        <f>IF($L585="","",INDEX('Per Line'!$D$2:$D$2501,$L585))</f>
        <v/>
      </c>
      <c r="C585">
        <f>IF($L585="","",INDEX('Per Line'!$A$2:$A$2501,$L585))</f>
        <v/>
      </c>
      <c r="F585">
        <f>IF($L585="","",INDEX('Per Line'!$U$2:$U$2501,$L585))</f>
        <v/>
      </c>
      <c r="G585" s="5">
        <f>IF($L585="","",SUMIFS('Per Line'!$W$2:$W$2501,'Per Line'!$D$2:$D$2501,$B585))</f>
        <v/>
      </c>
      <c r="H585" s="5">
        <f>IF($L585="","",SUMIFS('Per Line'!$X$2:$X$2501,'Per Line'!$D$2:$D$2501,$B585))</f>
        <v/>
      </c>
      <c r="I585" s="5">
        <f>IF($L585="","",SUMIFS('Per Line'!$Y$2:$Y$2501,'Per Line'!$D$2:$D$2501,$B585))</f>
        <v/>
      </c>
      <c r="J585" s="5">
        <f>IF($L585="","",G585-H585)</f>
        <v/>
      </c>
      <c r="K585" s="5">
        <f>IF($L585="","",J585-I585)</f>
        <v/>
      </c>
      <c r="L585">
        <f>IF(ROWS($L$2:$L585)&lt;=MAX('Per Line'!$AD$2:$AD$2501),MATCH(ROWS($L$2:$L585),'Per Line'!$AD$2:$AD$2501,0),"")</f>
        <v/>
      </c>
      <c r="M585">
        <f>IF($L585="","",INDEX('Per Line'!$E$2:$E$2501,$L585))</f>
        <v/>
      </c>
    </row>
    <row r="586">
      <c r="A586">
        <f>IF($L586="","",INDEX('Per Line'!$C$2:$C$2501,$L586))</f>
        <v/>
      </c>
      <c r="B586">
        <f>IF($L586="","",INDEX('Per Line'!$D$2:$D$2501,$L586))</f>
        <v/>
      </c>
      <c r="C586">
        <f>IF($L586="","",INDEX('Per Line'!$A$2:$A$2501,$L586))</f>
        <v/>
      </c>
      <c r="F586">
        <f>IF($L586="","",INDEX('Per Line'!$U$2:$U$2501,$L586))</f>
        <v/>
      </c>
      <c r="G586" s="5">
        <f>IF($L586="","",SUMIFS('Per Line'!$W$2:$W$2501,'Per Line'!$D$2:$D$2501,$B586))</f>
        <v/>
      </c>
      <c r="H586" s="5">
        <f>IF($L586="","",SUMIFS('Per Line'!$X$2:$X$2501,'Per Line'!$D$2:$D$2501,$B586))</f>
        <v/>
      </c>
      <c r="I586" s="5">
        <f>IF($L586="","",SUMIFS('Per Line'!$Y$2:$Y$2501,'Per Line'!$D$2:$D$2501,$B586))</f>
        <v/>
      </c>
      <c r="J586" s="5">
        <f>IF($L586="","",G586-H586)</f>
        <v/>
      </c>
      <c r="K586" s="5">
        <f>IF($L586="","",J586-I586)</f>
        <v/>
      </c>
      <c r="L586">
        <f>IF(ROWS($L$2:$L586)&lt;=MAX('Per Line'!$AD$2:$AD$2501),MATCH(ROWS($L$2:$L586),'Per Line'!$AD$2:$AD$2501,0),"")</f>
        <v/>
      </c>
      <c r="M586">
        <f>IF($L586="","",INDEX('Per Line'!$E$2:$E$2501,$L586))</f>
        <v/>
      </c>
    </row>
    <row r="587">
      <c r="A587">
        <f>IF($L587="","",INDEX('Per Line'!$C$2:$C$2501,$L587))</f>
        <v/>
      </c>
      <c r="B587">
        <f>IF($L587="","",INDEX('Per Line'!$D$2:$D$2501,$L587))</f>
        <v/>
      </c>
      <c r="C587">
        <f>IF($L587="","",INDEX('Per Line'!$A$2:$A$2501,$L587))</f>
        <v/>
      </c>
      <c r="F587">
        <f>IF($L587="","",INDEX('Per Line'!$U$2:$U$2501,$L587))</f>
        <v/>
      </c>
      <c r="G587" s="5">
        <f>IF($L587="","",SUMIFS('Per Line'!$W$2:$W$2501,'Per Line'!$D$2:$D$2501,$B587))</f>
        <v/>
      </c>
      <c r="H587" s="5">
        <f>IF($L587="","",SUMIFS('Per Line'!$X$2:$X$2501,'Per Line'!$D$2:$D$2501,$B587))</f>
        <v/>
      </c>
      <c r="I587" s="5">
        <f>IF($L587="","",SUMIFS('Per Line'!$Y$2:$Y$2501,'Per Line'!$D$2:$D$2501,$B587))</f>
        <v/>
      </c>
      <c r="J587" s="5">
        <f>IF($L587="","",G587-H587)</f>
        <v/>
      </c>
      <c r="K587" s="5">
        <f>IF($L587="","",J587-I587)</f>
        <v/>
      </c>
      <c r="L587">
        <f>IF(ROWS($L$2:$L587)&lt;=MAX('Per Line'!$AD$2:$AD$2501),MATCH(ROWS($L$2:$L587),'Per Line'!$AD$2:$AD$2501,0),"")</f>
        <v/>
      </c>
      <c r="M587">
        <f>IF($L587="","",INDEX('Per Line'!$E$2:$E$2501,$L587))</f>
        <v/>
      </c>
    </row>
    <row r="588">
      <c r="A588">
        <f>IF($L588="","",INDEX('Per Line'!$C$2:$C$2501,$L588))</f>
        <v/>
      </c>
      <c r="B588">
        <f>IF($L588="","",INDEX('Per Line'!$D$2:$D$2501,$L588))</f>
        <v/>
      </c>
      <c r="C588">
        <f>IF($L588="","",INDEX('Per Line'!$A$2:$A$2501,$L588))</f>
        <v/>
      </c>
      <c r="F588">
        <f>IF($L588="","",INDEX('Per Line'!$U$2:$U$2501,$L588))</f>
        <v/>
      </c>
      <c r="G588" s="5">
        <f>IF($L588="","",SUMIFS('Per Line'!$W$2:$W$2501,'Per Line'!$D$2:$D$2501,$B588))</f>
        <v/>
      </c>
      <c r="H588" s="5">
        <f>IF($L588="","",SUMIFS('Per Line'!$X$2:$X$2501,'Per Line'!$D$2:$D$2501,$B588))</f>
        <v/>
      </c>
      <c r="I588" s="5">
        <f>IF($L588="","",SUMIFS('Per Line'!$Y$2:$Y$2501,'Per Line'!$D$2:$D$2501,$B588))</f>
        <v/>
      </c>
      <c r="J588" s="5">
        <f>IF($L588="","",G588-H588)</f>
        <v/>
      </c>
      <c r="K588" s="5">
        <f>IF($L588="","",J588-I588)</f>
        <v/>
      </c>
      <c r="L588">
        <f>IF(ROWS($L$2:$L588)&lt;=MAX('Per Line'!$AD$2:$AD$2501),MATCH(ROWS($L$2:$L588),'Per Line'!$AD$2:$AD$2501,0),"")</f>
        <v/>
      </c>
      <c r="M588">
        <f>IF($L588="","",INDEX('Per Line'!$E$2:$E$2501,$L588))</f>
        <v/>
      </c>
    </row>
    <row r="589">
      <c r="A589">
        <f>IF($L589="","",INDEX('Per Line'!$C$2:$C$2501,$L589))</f>
        <v/>
      </c>
      <c r="B589">
        <f>IF($L589="","",INDEX('Per Line'!$D$2:$D$2501,$L589))</f>
        <v/>
      </c>
      <c r="C589">
        <f>IF($L589="","",INDEX('Per Line'!$A$2:$A$2501,$L589))</f>
        <v/>
      </c>
      <c r="F589">
        <f>IF($L589="","",INDEX('Per Line'!$U$2:$U$2501,$L589))</f>
        <v/>
      </c>
      <c r="G589" s="5">
        <f>IF($L589="","",SUMIFS('Per Line'!$W$2:$W$2501,'Per Line'!$D$2:$D$2501,$B589))</f>
        <v/>
      </c>
      <c r="H589" s="5">
        <f>IF($L589="","",SUMIFS('Per Line'!$X$2:$X$2501,'Per Line'!$D$2:$D$2501,$B589))</f>
        <v/>
      </c>
      <c r="I589" s="5">
        <f>IF($L589="","",SUMIFS('Per Line'!$Y$2:$Y$2501,'Per Line'!$D$2:$D$2501,$B589))</f>
        <v/>
      </c>
      <c r="J589" s="5">
        <f>IF($L589="","",G589-H589)</f>
        <v/>
      </c>
      <c r="K589" s="5">
        <f>IF($L589="","",J589-I589)</f>
        <v/>
      </c>
      <c r="L589">
        <f>IF(ROWS($L$2:$L589)&lt;=MAX('Per Line'!$AD$2:$AD$2501),MATCH(ROWS($L$2:$L589),'Per Line'!$AD$2:$AD$2501,0),"")</f>
        <v/>
      </c>
      <c r="M589">
        <f>IF($L589="","",INDEX('Per Line'!$E$2:$E$2501,$L589))</f>
        <v/>
      </c>
    </row>
    <row r="590">
      <c r="A590">
        <f>IF($L590="","",INDEX('Per Line'!$C$2:$C$2501,$L590))</f>
        <v/>
      </c>
      <c r="B590">
        <f>IF($L590="","",INDEX('Per Line'!$D$2:$D$2501,$L590))</f>
        <v/>
      </c>
      <c r="C590">
        <f>IF($L590="","",INDEX('Per Line'!$A$2:$A$2501,$L590))</f>
        <v/>
      </c>
      <c r="F590">
        <f>IF($L590="","",INDEX('Per Line'!$U$2:$U$2501,$L590))</f>
        <v/>
      </c>
      <c r="G590" s="5">
        <f>IF($L590="","",SUMIFS('Per Line'!$W$2:$W$2501,'Per Line'!$D$2:$D$2501,$B590))</f>
        <v/>
      </c>
      <c r="H590" s="5">
        <f>IF($L590="","",SUMIFS('Per Line'!$X$2:$X$2501,'Per Line'!$D$2:$D$2501,$B590))</f>
        <v/>
      </c>
      <c r="I590" s="5">
        <f>IF($L590="","",SUMIFS('Per Line'!$Y$2:$Y$2501,'Per Line'!$D$2:$D$2501,$B590))</f>
        <v/>
      </c>
      <c r="J590" s="5">
        <f>IF($L590="","",G590-H590)</f>
        <v/>
      </c>
      <c r="K590" s="5">
        <f>IF($L590="","",J590-I590)</f>
        <v/>
      </c>
      <c r="L590">
        <f>IF(ROWS($L$2:$L590)&lt;=MAX('Per Line'!$AD$2:$AD$2501),MATCH(ROWS($L$2:$L590),'Per Line'!$AD$2:$AD$2501,0),"")</f>
        <v/>
      </c>
      <c r="M590">
        <f>IF($L590="","",INDEX('Per Line'!$E$2:$E$2501,$L590))</f>
        <v/>
      </c>
    </row>
    <row r="591">
      <c r="A591">
        <f>IF($L591="","",INDEX('Per Line'!$C$2:$C$2501,$L591))</f>
        <v/>
      </c>
      <c r="B591">
        <f>IF($L591="","",INDEX('Per Line'!$D$2:$D$2501,$L591))</f>
        <v/>
      </c>
      <c r="C591">
        <f>IF($L591="","",INDEX('Per Line'!$A$2:$A$2501,$L591))</f>
        <v/>
      </c>
      <c r="F591">
        <f>IF($L591="","",INDEX('Per Line'!$U$2:$U$2501,$L591))</f>
        <v/>
      </c>
      <c r="G591" s="5">
        <f>IF($L591="","",SUMIFS('Per Line'!$W$2:$W$2501,'Per Line'!$D$2:$D$2501,$B591))</f>
        <v/>
      </c>
      <c r="H591" s="5">
        <f>IF($L591="","",SUMIFS('Per Line'!$X$2:$X$2501,'Per Line'!$D$2:$D$2501,$B591))</f>
        <v/>
      </c>
      <c r="I591" s="5">
        <f>IF($L591="","",SUMIFS('Per Line'!$Y$2:$Y$2501,'Per Line'!$D$2:$D$2501,$B591))</f>
        <v/>
      </c>
      <c r="J591" s="5">
        <f>IF($L591="","",G591-H591)</f>
        <v/>
      </c>
      <c r="K591" s="5">
        <f>IF($L591="","",J591-I591)</f>
        <v/>
      </c>
      <c r="L591">
        <f>IF(ROWS($L$2:$L591)&lt;=MAX('Per Line'!$AD$2:$AD$2501),MATCH(ROWS($L$2:$L591),'Per Line'!$AD$2:$AD$2501,0),"")</f>
        <v/>
      </c>
      <c r="M591">
        <f>IF($L591="","",INDEX('Per Line'!$E$2:$E$2501,$L591))</f>
        <v/>
      </c>
    </row>
    <row r="592">
      <c r="A592">
        <f>IF($L592="","",INDEX('Per Line'!$C$2:$C$2501,$L592))</f>
        <v/>
      </c>
      <c r="B592">
        <f>IF($L592="","",INDEX('Per Line'!$D$2:$D$2501,$L592))</f>
        <v/>
      </c>
      <c r="C592">
        <f>IF($L592="","",INDEX('Per Line'!$A$2:$A$2501,$L592))</f>
        <v/>
      </c>
      <c r="F592">
        <f>IF($L592="","",INDEX('Per Line'!$U$2:$U$2501,$L592))</f>
        <v/>
      </c>
      <c r="G592" s="5">
        <f>IF($L592="","",SUMIFS('Per Line'!$W$2:$W$2501,'Per Line'!$D$2:$D$2501,$B592))</f>
        <v/>
      </c>
      <c r="H592" s="5">
        <f>IF($L592="","",SUMIFS('Per Line'!$X$2:$X$2501,'Per Line'!$D$2:$D$2501,$B592))</f>
        <v/>
      </c>
      <c r="I592" s="5">
        <f>IF($L592="","",SUMIFS('Per Line'!$Y$2:$Y$2501,'Per Line'!$D$2:$D$2501,$B592))</f>
        <v/>
      </c>
      <c r="J592" s="5">
        <f>IF($L592="","",G592-H592)</f>
        <v/>
      </c>
      <c r="K592" s="5">
        <f>IF($L592="","",J592-I592)</f>
        <v/>
      </c>
      <c r="L592">
        <f>IF(ROWS($L$2:$L592)&lt;=MAX('Per Line'!$AD$2:$AD$2501),MATCH(ROWS($L$2:$L592),'Per Line'!$AD$2:$AD$2501,0),"")</f>
        <v/>
      </c>
      <c r="M592">
        <f>IF($L592="","",INDEX('Per Line'!$E$2:$E$2501,$L592))</f>
        <v/>
      </c>
    </row>
    <row r="593">
      <c r="A593">
        <f>IF($L593="","",INDEX('Per Line'!$C$2:$C$2501,$L593))</f>
        <v/>
      </c>
      <c r="B593">
        <f>IF($L593="","",INDEX('Per Line'!$D$2:$D$2501,$L593))</f>
        <v/>
      </c>
      <c r="C593">
        <f>IF($L593="","",INDEX('Per Line'!$A$2:$A$2501,$L593))</f>
        <v/>
      </c>
      <c r="F593">
        <f>IF($L593="","",INDEX('Per Line'!$U$2:$U$2501,$L593))</f>
        <v/>
      </c>
      <c r="G593" s="5">
        <f>IF($L593="","",SUMIFS('Per Line'!$W$2:$W$2501,'Per Line'!$D$2:$D$2501,$B593))</f>
        <v/>
      </c>
      <c r="H593" s="5">
        <f>IF($L593="","",SUMIFS('Per Line'!$X$2:$X$2501,'Per Line'!$D$2:$D$2501,$B593))</f>
        <v/>
      </c>
      <c r="I593" s="5">
        <f>IF($L593="","",SUMIFS('Per Line'!$Y$2:$Y$2501,'Per Line'!$D$2:$D$2501,$B593))</f>
        <v/>
      </c>
      <c r="J593" s="5">
        <f>IF($L593="","",G593-H593)</f>
        <v/>
      </c>
      <c r="K593" s="5">
        <f>IF($L593="","",J593-I593)</f>
        <v/>
      </c>
      <c r="L593">
        <f>IF(ROWS($L$2:$L593)&lt;=MAX('Per Line'!$AD$2:$AD$2501),MATCH(ROWS($L$2:$L593),'Per Line'!$AD$2:$AD$2501,0),"")</f>
        <v/>
      </c>
      <c r="M593">
        <f>IF($L593="","",INDEX('Per Line'!$E$2:$E$2501,$L593))</f>
        <v/>
      </c>
    </row>
    <row r="594">
      <c r="A594">
        <f>IF($L594="","",INDEX('Per Line'!$C$2:$C$2501,$L594))</f>
        <v/>
      </c>
      <c r="B594">
        <f>IF($L594="","",INDEX('Per Line'!$D$2:$D$2501,$L594))</f>
        <v/>
      </c>
      <c r="C594">
        <f>IF($L594="","",INDEX('Per Line'!$A$2:$A$2501,$L594))</f>
        <v/>
      </c>
      <c r="F594">
        <f>IF($L594="","",INDEX('Per Line'!$U$2:$U$2501,$L594))</f>
        <v/>
      </c>
      <c r="G594" s="5">
        <f>IF($L594="","",SUMIFS('Per Line'!$W$2:$W$2501,'Per Line'!$D$2:$D$2501,$B594))</f>
        <v/>
      </c>
      <c r="H594" s="5">
        <f>IF($L594="","",SUMIFS('Per Line'!$X$2:$X$2501,'Per Line'!$D$2:$D$2501,$B594))</f>
        <v/>
      </c>
      <c r="I594" s="5">
        <f>IF($L594="","",SUMIFS('Per Line'!$Y$2:$Y$2501,'Per Line'!$D$2:$D$2501,$B594))</f>
        <v/>
      </c>
      <c r="J594" s="5">
        <f>IF($L594="","",G594-H594)</f>
        <v/>
      </c>
      <c r="K594" s="5">
        <f>IF($L594="","",J594-I594)</f>
        <v/>
      </c>
      <c r="L594">
        <f>IF(ROWS($L$2:$L594)&lt;=MAX('Per Line'!$AD$2:$AD$2501),MATCH(ROWS($L$2:$L594),'Per Line'!$AD$2:$AD$2501,0),"")</f>
        <v/>
      </c>
      <c r="M594">
        <f>IF($L594="","",INDEX('Per Line'!$E$2:$E$2501,$L594))</f>
        <v/>
      </c>
    </row>
    <row r="595">
      <c r="A595">
        <f>IF($L595="","",INDEX('Per Line'!$C$2:$C$2501,$L595))</f>
        <v/>
      </c>
      <c r="B595">
        <f>IF($L595="","",INDEX('Per Line'!$D$2:$D$2501,$L595))</f>
        <v/>
      </c>
      <c r="C595">
        <f>IF($L595="","",INDEX('Per Line'!$A$2:$A$2501,$L595))</f>
        <v/>
      </c>
      <c r="F595">
        <f>IF($L595="","",INDEX('Per Line'!$U$2:$U$2501,$L595))</f>
        <v/>
      </c>
      <c r="G595" s="5">
        <f>IF($L595="","",SUMIFS('Per Line'!$W$2:$W$2501,'Per Line'!$D$2:$D$2501,$B595))</f>
        <v/>
      </c>
      <c r="H595" s="5">
        <f>IF($L595="","",SUMIFS('Per Line'!$X$2:$X$2501,'Per Line'!$D$2:$D$2501,$B595))</f>
        <v/>
      </c>
      <c r="I595" s="5">
        <f>IF($L595="","",SUMIFS('Per Line'!$Y$2:$Y$2501,'Per Line'!$D$2:$D$2501,$B595))</f>
        <v/>
      </c>
      <c r="J595" s="5">
        <f>IF($L595="","",G595-H595)</f>
        <v/>
      </c>
      <c r="K595" s="5">
        <f>IF($L595="","",J595-I595)</f>
        <v/>
      </c>
      <c r="L595">
        <f>IF(ROWS($L$2:$L595)&lt;=MAX('Per Line'!$AD$2:$AD$2501),MATCH(ROWS($L$2:$L595),'Per Line'!$AD$2:$AD$2501,0),"")</f>
        <v/>
      </c>
      <c r="M595">
        <f>IF($L595="","",INDEX('Per Line'!$E$2:$E$2501,$L595))</f>
        <v/>
      </c>
    </row>
    <row r="596">
      <c r="A596">
        <f>IF($L596="","",INDEX('Per Line'!$C$2:$C$2501,$L596))</f>
        <v/>
      </c>
      <c r="B596">
        <f>IF($L596="","",INDEX('Per Line'!$D$2:$D$2501,$L596))</f>
        <v/>
      </c>
      <c r="C596">
        <f>IF($L596="","",INDEX('Per Line'!$A$2:$A$2501,$L596))</f>
        <v/>
      </c>
      <c r="F596">
        <f>IF($L596="","",INDEX('Per Line'!$U$2:$U$2501,$L596))</f>
        <v/>
      </c>
      <c r="G596" s="5">
        <f>IF($L596="","",SUMIFS('Per Line'!$W$2:$W$2501,'Per Line'!$D$2:$D$2501,$B596))</f>
        <v/>
      </c>
      <c r="H596" s="5">
        <f>IF($L596="","",SUMIFS('Per Line'!$X$2:$X$2501,'Per Line'!$D$2:$D$2501,$B596))</f>
        <v/>
      </c>
      <c r="I596" s="5">
        <f>IF($L596="","",SUMIFS('Per Line'!$Y$2:$Y$2501,'Per Line'!$D$2:$D$2501,$B596))</f>
        <v/>
      </c>
      <c r="J596" s="5">
        <f>IF($L596="","",G596-H596)</f>
        <v/>
      </c>
      <c r="K596" s="5">
        <f>IF($L596="","",J596-I596)</f>
        <v/>
      </c>
      <c r="L596">
        <f>IF(ROWS($L$2:$L596)&lt;=MAX('Per Line'!$AD$2:$AD$2501),MATCH(ROWS($L$2:$L596),'Per Line'!$AD$2:$AD$2501,0),"")</f>
        <v/>
      </c>
      <c r="M596">
        <f>IF($L596="","",INDEX('Per Line'!$E$2:$E$2501,$L596))</f>
        <v/>
      </c>
    </row>
    <row r="597">
      <c r="A597">
        <f>IF($L597="","",INDEX('Per Line'!$C$2:$C$2501,$L597))</f>
        <v/>
      </c>
      <c r="B597">
        <f>IF($L597="","",INDEX('Per Line'!$D$2:$D$2501,$L597))</f>
        <v/>
      </c>
      <c r="C597">
        <f>IF($L597="","",INDEX('Per Line'!$A$2:$A$2501,$L597))</f>
        <v/>
      </c>
      <c r="F597">
        <f>IF($L597="","",INDEX('Per Line'!$U$2:$U$2501,$L597))</f>
        <v/>
      </c>
      <c r="G597" s="5">
        <f>IF($L597="","",SUMIFS('Per Line'!$W$2:$W$2501,'Per Line'!$D$2:$D$2501,$B597))</f>
        <v/>
      </c>
      <c r="H597" s="5">
        <f>IF($L597="","",SUMIFS('Per Line'!$X$2:$X$2501,'Per Line'!$D$2:$D$2501,$B597))</f>
        <v/>
      </c>
      <c r="I597" s="5">
        <f>IF($L597="","",SUMIFS('Per Line'!$Y$2:$Y$2501,'Per Line'!$D$2:$D$2501,$B597))</f>
        <v/>
      </c>
      <c r="J597" s="5">
        <f>IF($L597="","",G597-H597)</f>
        <v/>
      </c>
      <c r="K597" s="5">
        <f>IF($L597="","",J597-I597)</f>
        <v/>
      </c>
      <c r="L597">
        <f>IF(ROWS($L$2:$L597)&lt;=MAX('Per Line'!$AD$2:$AD$2501),MATCH(ROWS($L$2:$L597),'Per Line'!$AD$2:$AD$2501,0),"")</f>
        <v/>
      </c>
      <c r="M597">
        <f>IF($L597="","",INDEX('Per Line'!$E$2:$E$2501,$L597))</f>
        <v/>
      </c>
    </row>
    <row r="598">
      <c r="A598">
        <f>IF($L598="","",INDEX('Per Line'!$C$2:$C$2501,$L598))</f>
        <v/>
      </c>
      <c r="B598">
        <f>IF($L598="","",INDEX('Per Line'!$D$2:$D$2501,$L598))</f>
        <v/>
      </c>
      <c r="C598">
        <f>IF($L598="","",INDEX('Per Line'!$A$2:$A$2501,$L598))</f>
        <v/>
      </c>
      <c r="F598">
        <f>IF($L598="","",INDEX('Per Line'!$U$2:$U$2501,$L598))</f>
        <v/>
      </c>
      <c r="G598" s="5">
        <f>IF($L598="","",SUMIFS('Per Line'!$W$2:$W$2501,'Per Line'!$D$2:$D$2501,$B598))</f>
        <v/>
      </c>
      <c r="H598" s="5">
        <f>IF($L598="","",SUMIFS('Per Line'!$X$2:$X$2501,'Per Line'!$D$2:$D$2501,$B598))</f>
        <v/>
      </c>
      <c r="I598" s="5">
        <f>IF($L598="","",SUMIFS('Per Line'!$Y$2:$Y$2501,'Per Line'!$D$2:$D$2501,$B598))</f>
        <v/>
      </c>
      <c r="J598" s="5">
        <f>IF($L598="","",G598-H598)</f>
        <v/>
      </c>
      <c r="K598" s="5">
        <f>IF($L598="","",J598-I598)</f>
        <v/>
      </c>
      <c r="L598">
        <f>IF(ROWS($L$2:$L598)&lt;=MAX('Per Line'!$AD$2:$AD$2501),MATCH(ROWS($L$2:$L598),'Per Line'!$AD$2:$AD$2501,0),"")</f>
        <v/>
      </c>
      <c r="M598">
        <f>IF($L598="","",INDEX('Per Line'!$E$2:$E$2501,$L598))</f>
        <v/>
      </c>
    </row>
    <row r="599">
      <c r="A599">
        <f>IF($L599="","",INDEX('Per Line'!$C$2:$C$2501,$L599))</f>
        <v/>
      </c>
      <c r="B599">
        <f>IF($L599="","",INDEX('Per Line'!$D$2:$D$2501,$L599))</f>
        <v/>
      </c>
      <c r="C599">
        <f>IF($L599="","",INDEX('Per Line'!$A$2:$A$2501,$L599))</f>
        <v/>
      </c>
      <c r="F599">
        <f>IF($L599="","",INDEX('Per Line'!$U$2:$U$2501,$L599))</f>
        <v/>
      </c>
      <c r="G599" s="5">
        <f>IF($L599="","",SUMIFS('Per Line'!$W$2:$W$2501,'Per Line'!$D$2:$D$2501,$B599))</f>
        <v/>
      </c>
      <c r="H599" s="5">
        <f>IF($L599="","",SUMIFS('Per Line'!$X$2:$X$2501,'Per Line'!$D$2:$D$2501,$B599))</f>
        <v/>
      </c>
      <c r="I599" s="5">
        <f>IF($L599="","",SUMIFS('Per Line'!$Y$2:$Y$2501,'Per Line'!$D$2:$D$2501,$B599))</f>
        <v/>
      </c>
      <c r="J599" s="5">
        <f>IF($L599="","",G599-H599)</f>
        <v/>
      </c>
      <c r="K599" s="5">
        <f>IF($L599="","",J599-I599)</f>
        <v/>
      </c>
      <c r="L599">
        <f>IF(ROWS($L$2:$L599)&lt;=MAX('Per Line'!$AD$2:$AD$2501),MATCH(ROWS($L$2:$L599),'Per Line'!$AD$2:$AD$2501,0),"")</f>
        <v/>
      </c>
      <c r="M599">
        <f>IF($L599="","",INDEX('Per Line'!$E$2:$E$2501,$L599))</f>
        <v/>
      </c>
    </row>
    <row r="600">
      <c r="A600">
        <f>IF($L600="","",INDEX('Per Line'!$C$2:$C$2501,$L600))</f>
        <v/>
      </c>
      <c r="B600">
        <f>IF($L600="","",INDEX('Per Line'!$D$2:$D$2501,$L600))</f>
        <v/>
      </c>
      <c r="C600">
        <f>IF($L600="","",INDEX('Per Line'!$A$2:$A$2501,$L600))</f>
        <v/>
      </c>
      <c r="F600">
        <f>IF($L600="","",INDEX('Per Line'!$U$2:$U$2501,$L600))</f>
        <v/>
      </c>
      <c r="G600" s="5">
        <f>IF($L600="","",SUMIFS('Per Line'!$W$2:$W$2501,'Per Line'!$D$2:$D$2501,$B600))</f>
        <v/>
      </c>
      <c r="H600" s="5">
        <f>IF($L600="","",SUMIFS('Per Line'!$X$2:$X$2501,'Per Line'!$D$2:$D$2501,$B600))</f>
        <v/>
      </c>
      <c r="I600" s="5">
        <f>IF($L600="","",SUMIFS('Per Line'!$Y$2:$Y$2501,'Per Line'!$D$2:$D$2501,$B600))</f>
        <v/>
      </c>
      <c r="J600" s="5">
        <f>IF($L600="","",G600-H600)</f>
        <v/>
      </c>
      <c r="K600" s="5">
        <f>IF($L600="","",J600-I600)</f>
        <v/>
      </c>
      <c r="L600">
        <f>IF(ROWS($L$2:$L600)&lt;=MAX('Per Line'!$AD$2:$AD$2501),MATCH(ROWS($L$2:$L600),'Per Line'!$AD$2:$AD$2501,0),"")</f>
        <v/>
      </c>
      <c r="M600">
        <f>IF($L600="","",INDEX('Per Line'!$E$2:$E$2501,$L600))</f>
        <v/>
      </c>
    </row>
    <row r="601">
      <c r="A601">
        <f>IF($L601="","",INDEX('Per Line'!$C$2:$C$2501,$L601))</f>
        <v/>
      </c>
      <c r="B601">
        <f>IF($L601="","",INDEX('Per Line'!$D$2:$D$2501,$L601))</f>
        <v/>
      </c>
      <c r="C601">
        <f>IF($L601="","",INDEX('Per Line'!$A$2:$A$2501,$L601))</f>
        <v/>
      </c>
      <c r="F601">
        <f>IF($L601="","",INDEX('Per Line'!$U$2:$U$2501,$L601))</f>
        <v/>
      </c>
      <c r="G601" s="5">
        <f>IF($L601="","",SUMIFS('Per Line'!$W$2:$W$2501,'Per Line'!$D$2:$D$2501,$B601))</f>
        <v/>
      </c>
      <c r="H601" s="5">
        <f>IF($L601="","",SUMIFS('Per Line'!$X$2:$X$2501,'Per Line'!$D$2:$D$2501,$B601))</f>
        <v/>
      </c>
      <c r="I601" s="5">
        <f>IF($L601="","",SUMIFS('Per Line'!$Y$2:$Y$2501,'Per Line'!$D$2:$D$2501,$B601))</f>
        <v/>
      </c>
      <c r="J601" s="5">
        <f>IF($L601="","",G601-H601)</f>
        <v/>
      </c>
      <c r="K601" s="5">
        <f>IF($L601="","",J601-I601)</f>
        <v/>
      </c>
      <c r="L601">
        <f>IF(ROWS($L$2:$L601)&lt;=MAX('Per Line'!$AD$2:$AD$2501),MATCH(ROWS($L$2:$L601),'Per Line'!$AD$2:$AD$2501,0),"")</f>
        <v/>
      </c>
      <c r="M601">
        <f>IF($L601="","",INDEX('Per Line'!$E$2:$E$2501,$L601))</f>
        <v/>
      </c>
    </row>
    <row r="602">
      <c r="A602">
        <f>IF($L602="","",INDEX('Per Line'!$C$2:$C$2501,$L602))</f>
        <v/>
      </c>
      <c r="B602">
        <f>IF($L602="","",INDEX('Per Line'!$D$2:$D$2501,$L602))</f>
        <v/>
      </c>
      <c r="C602">
        <f>IF($L602="","",INDEX('Per Line'!$A$2:$A$2501,$L602))</f>
        <v/>
      </c>
      <c r="F602">
        <f>IF($L602="","",INDEX('Per Line'!$U$2:$U$2501,$L602))</f>
        <v/>
      </c>
      <c r="G602" s="5">
        <f>IF($L602="","",SUMIFS('Per Line'!$W$2:$W$2501,'Per Line'!$D$2:$D$2501,$B602))</f>
        <v/>
      </c>
      <c r="H602" s="5">
        <f>IF($L602="","",SUMIFS('Per Line'!$X$2:$X$2501,'Per Line'!$D$2:$D$2501,$B602))</f>
        <v/>
      </c>
      <c r="I602" s="5">
        <f>IF($L602="","",SUMIFS('Per Line'!$Y$2:$Y$2501,'Per Line'!$D$2:$D$2501,$B602))</f>
        <v/>
      </c>
      <c r="J602" s="5">
        <f>IF($L602="","",G602-H602)</f>
        <v/>
      </c>
      <c r="K602" s="5">
        <f>IF($L602="","",J602-I602)</f>
        <v/>
      </c>
      <c r="L602">
        <f>IF(ROWS($L$2:$L602)&lt;=MAX('Per Line'!$AD$2:$AD$2501),MATCH(ROWS($L$2:$L602),'Per Line'!$AD$2:$AD$2501,0),"")</f>
        <v/>
      </c>
      <c r="M602">
        <f>IF($L602="","",INDEX('Per Line'!$E$2:$E$2501,$L602))</f>
        <v/>
      </c>
    </row>
    <row r="603">
      <c r="A603">
        <f>IF($L603="","",INDEX('Per Line'!$C$2:$C$2501,$L603))</f>
        <v/>
      </c>
      <c r="B603">
        <f>IF($L603="","",INDEX('Per Line'!$D$2:$D$2501,$L603))</f>
        <v/>
      </c>
      <c r="C603">
        <f>IF($L603="","",INDEX('Per Line'!$A$2:$A$2501,$L603))</f>
        <v/>
      </c>
      <c r="F603">
        <f>IF($L603="","",INDEX('Per Line'!$U$2:$U$2501,$L603))</f>
        <v/>
      </c>
      <c r="G603" s="5">
        <f>IF($L603="","",SUMIFS('Per Line'!$W$2:$W$2501,'Per Line'!$D$2:$D$2501,$B603))</f>
        <v/>
      </c>
      <c r="H603" s="5">
        <f>IF($L603="","",SUMIFS('Per Line'!$X$2:$X$2501,'Per Line'!$D$2:$D$2501,$B603))</f>
        <v/>
      </c>
      <c r="I603" s="5">
        <f>IF($L603="","",SUMIFS('Per Line'!$Y$2:$Y$2501,'Per Line'!$D$2:$D$2501,$B603))</f>
        <v/>
      </c>
      <c r="J603" s="5">
        <f>IF($L603="","",G603-H603)</f>
        <v/>
      </c>
      <c r="K603" s="5">
        <f>IF($L603="","",J603-I603)</f>
        <v/>
      </c>
      <c r="L603">
        <f>IF(ROWS($L$2:$L603)&lt;=MAX('Per Line'!$AD$2:$AD$2501),MATCH(ROWS($L$2:$L603),'Per Line'!$AD$2:$AD$2501,0),"")</f>
        <v/>
      </c>
      <c r="M603">
        <f>IF($L603="","",INDEX('Per Line'!$E$2:$E$2501,$L603))</f>
        <v/>
      </c>
    </row>
    <row r="604">
      <c r="A604">
        <f>IF($L604="","",INDEX('Per Line'!$C$2:$C$2501,$L604))</f>
        <v/>
      </c>
      <c r="B604">
        <f>IF($L604="","",INDEX('Per Line'!$D$2:$D$2501,$L604))</f>
        <v/>
      </c>
      <c r="C604">
        <f>IF($L604="","",INDEX('Per Line'!$A$2:$A$2501,$L604))</f>
        <v/>
      </c>
      <c r="F604">
        <f>IF($L604="","",INDEX('Per Line'!$U$2:$U$2501,$L604))</f>
        <v/>
      </c>
      <c r="G604" s="5">
        <f>IF($L604="","",SUMIFS('Per Line'!$W$2:$W$2501,'Per Line'!$D$2:$D$2501,$B604))</f>
        <v/>
      </c>
      <c r="H604" s="5">
        <f>IF($L604="","",SUMIFS('Per Line'!$X$2:$X$2501,'Per Line'!$D$2:$D$2501,$B604))</f>
        <v/>
      </c>
      <c r="I604" s="5">
        <f>IF($L604="","",SUMIFS('Per Line'!$Y$2:$Y$2501,'Per Line'!$D$2:$D$2501,$B604))</f>
        <v/>
      </c>
      <c r="J604" s="5">
        <f>IF($L604="","",G604-H604)</f>
        <v/>
      </c>
      <c r="K604" s="5">
        <f>IF($L604="","",J604-I604)</f>
        <v/>
      </c>
      <c r="L604">
        <f>IF(ROWS($L$2:$L604)&lt;=MAX('Per Line'!$AD$2:$AD$2501),MATCH(ROWS($L$2:$L604),'Per Line'!$AD$2:$AD$2501,0),"")</f>
        <v/>
      </c>
      <c r="M604">
        <f>IF($L604="","",INDEX('Per Line'!$E$2:$E$2501,$L604))</f>
        <v/>
      </c>
    </row>
    <row r="605">
      <c r="A605">
        <f>IF($L605="","",INDEX('Per Line'!$C$2:$C$2501,$L605))</f>
        <v/>
      </c>
      <c r="B605">
        <f>IF($L605="","",INDEX('Per Line'!$D$2:$D$2501,$L605))</f>
        <v/>
      </c>
      <c r="C605">
        <f>IF($L605="","",INDEX('Per Line'!$A$2:$A$2501,$L605))</f>
        <v/>
      </c>
      <c r="F605">
        <f>IF($L605="","",INDEX('Per Line'!$U$2:$U$2501,$L605))</f>
        <v/>
      </c>
      <c r="G605" s="5">
        <f>IF($L605="","",SUMIFS('Per Line'!$W$2:$W$2501,'Per Line'!$D$2:$D$2501,$B605))</f>
        <v/>
      </c>
      <c r="H605" s="5">
        <f>IF($L605="","",SUMIFS('Per Line'!$X$2:$X$2501,'Per Line'!$D$2:$D$2501,$B605))</f>
        <v/>
      </c>
      <c r="I605" s="5">
        <f>IF($L605="","",SUMIFS('Per Line'!$Y$2:$Y$2501,'Per Line'!$D$2:$D$2501,$B605))</f>
        <v/>
      </c>
      <c r="J605" s="5">
        <f>IF($L605="","",G605-H605)</f>
        <v/>
      </c>
      <c r="K605" s="5">
        <f>IF($L605="","",J605-I605)</f>
        <v/>
      </c>
      <c r="L605">
        <f>IF(ROWS($L$2:$L605)&lt;=MAX('Per Line'!$AD$2:$AD$2501),MATCH(ROWS($L$2:$L605),'Per Line'!$AD$2:$AD$2501,0),"")</f>
        <v/>
      </c>
      <c r="M605">
        <f>IF($L605="","",INDEX('Per Line'!$E$2:$E$2501,$L605))</f>
        <v/>
      </c>
    </row>
    <row r="606">
      <c r="A606">
        <f>IF($L606="","",INDEX('Per Line'!$C$2:$C$2501,$L606))</f>
        <v/>
      </c>
      <c r="B606">
        <f>IF($L606="","",INDEX('Per Line'!$D$2:$D$2501,$L606))</f>
        <v/>
      </c>
      <c r="C606">
        <f>IF($L606="","",INDEX('Per Line'!$A$2:$A$2501,$L606))</f>
        <v/>
      </c>
      <c r="F606">
        <f>IF($L606="","",INDEX('Per Line'!$U$2:$U$2501,$L606))</f>
        <v/>
      </c>
      <c r="G606" s="5">
        <f>IF($L606="","",SUMIFS('Per Line'!$W$2:$W$2501,'Per Line'!$D$2:$D$2501,$B606))</f>
        <v/>
      </c>
      <c r="H606" s="5">
        <f>IF($L606="","",SUMIFS('Per Line'!$X$2:$X$2501,'Per Line'!$D$2:$D$2501,$B606))</f>
        <v/>
      </c>
      <c r="I606" s="5">
        <f>IF($L606="","",SUMIFS('Per Line'!$Y$2:$Y$2501,'Per Line'!$D$2:$D$2501,$B606))</f>
        <v/>
      </c>
      <c r="J606" s="5">
        <f>IF($L606="","",G606-H606)</f>
        <v/>
      </c>
      <c r="K606" s="5">
        <f>IF($L606="","",J606-I606)</f>
        <v/>
      </c>
      <c r="L606">
        <f>IF(ROWS($L$2:$L606)&lt;=MAX('Per Line'!$AD$2:$AD$2501),MATCH(ROWS($L$2:$L606),'Per Line'!$AD$2:$AD$2501,0),"")</f>
        <v/>
      </c>
      <c r="M606">
        <f>IF($L606="","",INDEX('Per Line'!$E$2:$E$2501,$L606))</f>
        <v/>
      </c>
    </row>
    <row r="607">
      <c r="A607">
        <f>IF($L607="","",INDEX('Per Line'!$C$2:$C$2501,$L607))</f>
        <v/>
      </c>
      <c r="B607">
        <f>IF($L607="","",INDEX('Per Line'!$D$2:$D$2501,$L607))</f>
        <v/>
      </c>
      <c r="C607">
        <f>IF($L607="","",INDEX('Per Line'!$A$2:$A$2501,$L607))</f>
        <v/>
      </c>
      <c r="F607">
        <f>IF($L607="","",INDEX('Per Line'!$U$2:$U$2501,$L607))</f>
        <v/>
      </c>
      <c r="G607" s="5">
        <f>IF($L607="","",SUMIFS('Per Line'!$W$2:$W$2501,'Per Line'!$D$2:$D$2501,$B607))</f>
        <v/>
      </c>
      <c r="H607" s="5">
        <f>IF($L607="","",SUMIFS('Per Line'!$X$2:$X$2501,'Per Line'!$D$2:$D$2501,$B607))</f>
        <v/>
      </c>
      <c r="I607" s="5">
        <f>IF($L607="","",SUMIFS('Per Line'!$Y$2:$Y$2501,'Per Line'!$D$2:$D$2501,$B607))</f>
        <v/>
      </c>
      <c r="J607" s="5">
        <f>IF($L607="","",G607-H607)</f>
        <v/>
      </c>
      <c r="K607" s="5">
        <f>IF($L607="","",J607-I607)</f>
        <v/>
      </c>
      <c r="L607">
        <f>IF(ROWS($L$2:$L607)&lt;=MAX('Per Line'!$AD$2:$AD$2501),MATCH(ROWS($L$2:$L607),'Per Line'!$AD$2:$AD$2501,0),"")</f>
        <v/>
      </c>
      <c r="M607">
        <f>IF($L607="","",INDEX('Per Line'!$E$2:$E$2501,$L607))</f>
        <v/>
      </c>
    </row>
    <row r="608">
      <c r="A608">
        <f>IF($L608="","",INDEX('Per Line'!$C$2:$C$2501,$L608))</f>
        <v/>
      </c>
      <c r="B608">
        <f>IF($L608="","",INDEX('Per Line'!$D$2:$D$2501,$L608))</f>
        <v/>
      </c>
      <c r="C608">
        <f>IF($L608="","",INDEX('Per Line'!$A$2:$A$2501,$L608))</f>
        <v/>
      </c>
      <c r="F608">
        <f>IF($L608="","",INDEX('Per Line'!$U$2:$U$2501,$L608))</f>
        <v/>
      </c>
      <c r="G608" s="5">
        <f>IF($L608="","",SUMIFS('Per Line'!$W$2:$W$2501,'Per Line'!$D$2:$D$2501,$B608))</f>
        <v/>
      </c>
      <c r="H608" s="5">
        <f>IF($L608="","",SUMIFS('Per Line'!$X$2:$X$2501,'Per Line'!$D$2:$D$2501,$B608))</f>
        <v/>
      </c>
      <c r="I608" s="5">
        <f>IF($L608="","",SUMIFS('Per Line'!$Y$2:$Y$2501,'Per Line'!$D$2:$D$2501,$B608))</f>
        <v/>
      </c>
      <c r="J608" s="5">
        <f>IF($L608="","",G608-H608)</f>
        <v/>
      </c>
      <c r="K608" s="5">
        <f>IF($L608="","",J608-I608)</f>
        <v/>
      </c>
      <c r="L608">
        <f>IF(ROWS($L$2:$L608)&lt;=MAX('Per Line'!$AD$2:$AD$2501),MATCH(ROWS($L$2:$L608),'Per Line'!$AD$2:$AD$2501,0),"")</f>
        <v/>
      </c>
      <c r="M608">
        <f>IF($L608="","",INDEX('Per Line'!$E$2:$E$2501,$L608))</f>
        <v/>
      </c>
    </row>
    <row r="609">
      <c r="A609">
        <f>IF($L609="","",INDEX('Per Line'!$C$2:$C$2501,$L609))</f>
        <v/>
      </c>
      <c r="B609">
        <f>IF($L609="","",INDEX('Per Line'!$D$2:$D$2501,$L609))</f>
        <v/>
      </c>
      <c r="C609">
        <f>IF($L609="","",INDEX('Per Line'!$A$2:$A$2501,$L609))</f>
        <v/>
      </c>
      <c r="F609">
        <f>IF($L609="","",INDEX('Per Line'!$U$2:$U$2501,$L609))</f>
        <v/>
      </c>
      <c r="G609" s="5">
        <f>IF($L609="","",SUMIFS('Per Line'!$W$2:$W$2501,'Per Line'!$D$2:$D$2501,$B609))</f>
        <v/>
      </c>
      <c r="H609" s="5">
        <f>IF($L609="","",SUMIFS('Per Line'!$X$2:$X$2501,'Per Line'!$D$2:$D$2501,$B609))</f>
        <v/>
      </c>
      <c r="I609" s="5">
        <f>IF($L609="","",SUMIFS('Per Line'!$Y$2:$Y$2501,'Per Line'!$D$2:$D$2501,$B609))</f>
        <v/>
      </c>
      <c r="J609" s="5">
        <f>IF($L609="","",G609-H609)</f>
        <v/>
      </c>
      <c r="K609" s="5">
        <f>IF($L609="","",J609-I609)</f>
        <v/>
      </c>
      <c r="L609">
        <f>IF(ROWS($L$2:$L609)&lt;=MAX('Per Line'!$AD$2:$AD$2501),MATCH(ROWS($L$2:$L609),'Per Line'!$AD$2:$AD$2501,0),"")</f>
        <v/>
      </c>
      <c r="M609">
        <f>IF($L609="","",INDEX('Per Line'!$E$2:$E$2501,$L609))</f>
        <v/>
      </c>
    </row>
    <row r="610">
      <c r="A610">
        <f>IF($L610="","",INDEX('Per Line'!$C$2:$C$2501,$L610))</f>
        <v/>
      </c>
      <c r="B610">
        <f>IF($L610="","",INDEX('Per Line'!$D$2:$D$2501,$L610))</f>
        <v/>
      </c>
      <c r="C610">
        <f>IF($L610="","",INDEX('Per Line'!$A$2:$A$2501,$L610))</f>
        <v/>
      </c>
      <c r="F610">
        <f>IF($L610="","",INDEX('Per Line'!$U$2:$U$2501,$L610))</f>
        <v/>
      </c>
      <c r="G610" s="5">
        <f>IF($L610="","",SUMIFS('Per Line'!$W$2:$W$2501,'Per Line'!$D$2:$D$2501,$B610))</f>
        <v/>
      </c>
      <c r="H610" s="5">
        <f>IF($L610="","",SUMIFS('Per Line'!$X$2:$X$2501,'Per Line'!$D$2:$D$2501,$B610))</f>
        <v/>
      </c>
      <c r="I610" s="5">
        <f>IF($L610="","",SUMIFS('Per Line'!$Y$2:$Y$2501,'Per Line'!$D$2:$D$2501,$B610))</f>
        <v/>
      </c>
      <c r="J610" s="5">
        <f>IF($L610="","",G610-H610)</f>
        <v/>
      </c>
      <c r="K610" s="5">
        <f>IF($L610="","",J610-I610)</f>
        <v/>
      </c>
      <c r="L610">
        <f>IF(ROWS($L$2:$L610)&lt;=MAX('Per Line'!$AD$2:$AD$2501),MATCH(ROWS($L$2:$L610),'Per Line'!$AD$2:$AD$2501,0),"")</f>
        <v/>
      </c>
      <c r="M610">
        <f>IF($L610="","",INDEX('Per Line'!$E$2:$E$2501,$L610))</f>
        <v/>
      </c>
    </row>
    <row r="611">
      <c r="A611">
        <f>IF($L611="","",INDEX('Per Line'!$C$2:$C$2501,$L611))</f>
        <v/>
      </c>
      <c r="B611">
        <f>IF($L611="","",INDEX('Per Line'!$D$2:$D$2501,$L611))</f>
        <v/>
      </c>
      <c r="C611">
        <f>IF($L611="","",INDEX('Per Line'!$A$2:$A$2501,$L611))</f>
        <v/>
      </c>
      <c r="F611">
        <f>IF($L611="","",INDEX('Per Line'!$U$2:$U$2501,$L611))</f>
        <v/>
      </c>
      <c r="G611" s="5">
        <f>IF($L611="","",SUMIFS('Per Line'!$W$2:$W$2501,'Per Line'!$D$2:$D$2501,$B611))</f>
        <v/>
      </c>
      <c r="H611" s="5">
        <f>IF($L611="","",SUMIFS('Per Line'!$X$2:$X$2501,'Per Line'!$D$2:$D$2501,$B611))</f>
        <v/>
      </c>
      <c r="I611" s="5">
        <f>IF($L611="","",SUMIFS('Per Line'!$Y$2:$Y$2501,'Per Line'!$D$2:$D$2501,$B611))</f>
        <v/>
      </c>
      <c r="J611" s="5">
        <f>IF($L611="","",G611-H611)</f>
        <v/>
      </c>
      <c r="K611" s="5">
        <f>IF($L611="","",J611-I611)</f>
        <v/>
      </c>
      <c r="L611">
        <f>IF(ROWS($L$2:$L611)&lt;=MAX('Per Line'!$AD$2:$AD$2501),MATCH(ROWS($L$2:$L611),'Per Line'!$AD$2:$AD$2501,0),"")</f>
        <v/>
      </c>
      <c r="M611">
        <f>IF($L611="","",INDEX('Per Line'!$E$2:$E$2501,$L611))</f>
        <v/>
      </c>
    </row>
    <row r="612">
      <c r="A612">
        <f>IF($L612="","",INDEX('Per Line'!$C$2:$C$2501,$L612))</f>
        <v/>
      </c>
      <c r="B612">
        <f>IF($L612="","",INDEX('Per Line'!$D$2:$D$2501,$L612))</f>
        <v/>
      </c>
      <c r="C612">
        <f>IF($L612="","",INDEX('Per Line'!$A$2:$A$2501,$L612))</f>
        <v/>
      </c>
      <c r="F612">
        <f>IF($L612="","",INDEX('Per Line'!$U$2:$U$2501,$L612))</f>
        <v/>
      </c>
      <c r="G612" s="5">
        <f>IF($L612="","",SUMIFS('Per Line'!$W$2:$W$2501,'Per Line'!$D$2:$D$2501,$B612))</f>
        <v/>
      </c>
      <c r="H612" s="5">
        <f>IF($L612="","",SUMIFS('Per Line'!$X$2:$X$2501,'Per Line'!$D$2:$D$2501,$B612))</f>
        <v/>
      </c>
      <c r="I612" s="5">
        <f>IF($L612="","",SUMIFS('Per Line'!$Y$2:$Y$2501,'Per Line'!$D$2:$D$2501,$B612))</f>
        <v/>
      </c>
      <c r="J612" s="5">
        <f>IF($L612="","",G612-H612)</f>
        <v/>
      </c>
      <c r="K612" s="5">
        <f>IF($L612="","",J612-I612)</f>
        <v/>
      </c>
      <c r="L612">
        <f>IF(ROWS($L$2:$L612)&lt;=MAX('Per Line'!$AD$2:$AD$2501),MATCH(ROWS($L$2:$L612),'Per Line'!$AD$2:$AD$2501,0),"")</f>
        <v/>
      </c>
      <c r="M612">
        <f>IF($L612="","",INDEX('Per Line'!$E$2:$E$2501,$L612))</f>
        <v/>
      </c>
    </row>
    <row r="613">
      <c r="A613">
        <f>IF($L613="","",INDEX('Per Line'!$C$2:$C$2501,$L613))</f>
        <v/>
      </c>
      <c r="B613">
        <f>IF($L613="","",INDEX('Per Line'!$D$2:$D$2501,$L613))</f>
        <v/>
      </c>
      <c r="C613">
        <f>IF($L613="","",INDEX('Per Line'!$A$2:$A$2501,$L613))</f>
        <v/>
      </c>
      <c r="F613">
        <f>IF($L613="","",INDEX('Per Line'!$U$2:$U$2501,$L613))</f>
        <v/>
      </c>
      <c r="G613" s="5">
        <f>IF($L613="","",SUMIFS('Per Line'!$W$2:$W$2501,'Per Line'!$D$2:$D$2501,$B613))</f>
        <v/>
      </c>
      <c r="H613" s="5">
        <f>IF($L613="","",SUMIFS('Per Line'!$X$2:$X$2501,'Per Line'!$D$2:$D$2501,$B613))</f>
        <v/>
      </c>
      <c r="I613" s="5">
        <f>IF($L613="","",SUMIFS('Per Line'!$Y$2:$Y$2501,'Per Line'!$D$2:$D$2501,$B613))</f>
        <v/>
      </c>
      <c r="J613" s="5">
        <f>IF($L613="","",G613-H613)</f>
        <v/>
      </c>
      <c r="K613" s="5">
        <f>IF($L613="","",J613-I613)</f>
        <v/>
      </c>
      <c r="L613">
        <f>IF(ROWS($L$2:$L613)&lt;=MAX('Per Line'!$AD$2:$AD$2501),MATCH(ROWS($L$2:$L613),'Per Line'!$AD$2:$AD$2501,0),"")</f>
        <v/>
      </c>
      <c r="M613">
        <f>IF($L613="","",INDEX('Per Line'!$E$2:$E$2501,$L613))</f>
        <v/>
      </c>
    </row>
    <row r="614">
      <c r="A614">
        <f>IF($L614="","",INDEX('Per Line'!$C$2:$C$2501,$L614))</f>
        <v/>
      </c>
      <c r="B614">
        <f>IF($L614="","",INDEX('Per Line'!$D$2:$D$2501,$L614))</f>
        <v/>
      </c>
      <c r="C614">
        <f>IF($L614="","",INDEX('Per Line'!$A$2:$A$2501,$L614))</f>
        <v/>
      </c>
      <c r="F614">
        <f>IF($L614="","",INDEX('Per Line'!$U$2:$U$2501,$L614))</f>
        <v/>
      </c>
      <c r="G614" s="5">
        <f>IF($L614="","",SUMIFS('Per Line'!$W$2:$W$2501,'Per Line'!$D$2:$D$2501,$B614))</f>
        <v/>
      </c>
      <c r="H614" s="5">
        <f>IF($L614="","",SUMIFS('Per Line'!$X$2:$X$2501,'Per Line'!$D$2:$D$2501,$B614))</f>
        <v/>
      </c>
      <c r="I614" s="5">
        <f>IF($L614="","",SUMIFS('Per Line'!$Y$2:$Y$2501,'Per Line'!$D$2:$D$2501,$B614))</f>
        <v/>
      </c>
      <c r="J614" s="5">
        <f>IF($L614="","",G614-H614)</f>
        <v/>
      </c>
      <c r="K614" s="5">
        <f>IF($L614="","",J614-I614)</f>
        <v/>
      </c>
      <c r="L614">
        <f>IF(ROWS($L$2:$L614)&lt;=MAX('Per Line'!$AD$2:$AD$2501),MATCH(ROWS($L$2:$L614),'Per Line'!$AD$2:$AD$2501,0),"")</f>
        <v/>
      </c>
      <c r="M614">
        <f>IF($L614="","",INDEX('Per Line'!$E$2:$E$2501,$L614))</f>
        <v/>
      </c>
    </row>
    <row r="615">
      <c r="A615">
        <f>IF($L615="","",INDEX('Per Line'!$C$2:$C$2501,$L615))</f>
        <v/>
      </c>
      <c r="B615">
        <f>IF($L615="","",INDEX('Per Line'!$D$2:$D$2501,$L615))</f>
        <v/>
      </c>
      <c r="C615">
        <f>IF($L615="","",INDEX('Per Line'!$A$2:$A$2501,$L615))</f>
        <v/>
      </c>
      <c r="F615">
        <f>IF($L615="","",INDEX('Per Line'!$U$2:$U$2501,$L615))</f>
        <v/>
      </c>
      <c r="G615" s="5">
        <f>IF($L615="","",SUMIFS('Per Line'!$W$2:$W$2501,'Per Line'!$D$2:$D$2501,$B615))</f>
        <v/>
      </c>
      <c r="H615" s="5">
        <f>IF($L615="","",SUMIFS('Per Line'!$X$2:$X$2501,'Per Line'!$D$2:$D$2501,$B615))</f>
        <v/>
      </c>
      <c r="I615" s="5">
        <f>IF($L615="","",SUMIFS('Per Line'!$Y$2:$Y$2501,'Per Line'!$D$2:$D$2501,$B615))</f>
        <v/>
      </c>
      <c r="J615" s="5">
        <f>IF($L615="","",G615-H615)</f>
        <v/>
      </c>
      <c r="K615" s="5">
        <f>IF($L615="","",J615-I615)</f>
        <v/>
      </c>
      <c r="L615">
        <f>IF(ROWS($L$2:$L615)&lt;=MAX('Per Line'!$AD$2:$AD$2501),MATCH(ROWS($L$2:$L615),'Per Line'!$AD$2:$AD$2501,0),"")</f>
        <v/>
      </c>
      <c r="M615">
        <f>IF($L615="","",INDEX('Per Line'!$E$2:$E$2501,$L615))</f>
        <v/>
      </c>
    </row>
    <row r="616">
      <c r="A616">
        <f>IF($L616="","",INDEX('Per Line'!$C$2:$C$2501,$L616))</f>
        <v/>
      </c>
      <c r="B616">
        <f>IF($L616="","",INDEX('Per Line'!$D$2:$D$2501,$L616))</f>
        <v/>
      </c>
      <c r="C616">
        <f>IF($L616="","",INDEX('Per Line'!$A$2:$A$2501,$L616))</f>
        <v/>
      </c>
      <c r="F616">
        <f>IF($L616="","",INDEX('Per Line'!$U$2:$U$2501,$L616))</f>
        <v/>
      </c>
      <c r="G616" s="5">
        <f>IF($L616="","",SUMIFS('Per Line'!$W$2:$W$2501,'Per Line'!$D$2:$D$2501,$B616))</f>
        <v/>
      </c>
      <c r="H616" s="5">
        <f>IF($L616="","",SUMIFS('Per Line'!$X$2:$X$2501,'Per Line'!$D$2:$D$2501,$B616))</f>
        <v/>
      </c>
      <c r="I616" s="5">
        <f>IF($L616="","",SUMIFS('Per Line'!$Y$2:$Y$2501,'Per Line'!$D$2:$D$2501,$B616))</f>
        <v/>
      </c>
      <c r="J616" s="5">
        <f>IF($L616="","",G616-H616)</f>
        <v/>
      </c>
      <c r="K616" s="5">
        <f>IF($L616="","",J616-I616)</f>
        <v/>
      </c>
      <c r="L616">
        <f>IF(ROWS($L$2:$L616)&lt;=MAX('Per Line'!$AD$2:$AD$2501),MATCH(ROWS($L$2:$L616),'Per Line'!$AD$2:$AD$2501,0),"")</f>
        <v/>
      </c>
      <c r="M616">
        <f>IF($L616="","",INDEX('Per Line'!$E$2:$E$2501,$L616))</f>
        <v/>
      </c>
    </row>
    <row r="617">
      <c r="A617">
        <f>IF($L617="","",INDEX('Per Line'!$C$2:$C$2501,$L617))</f>
        <v/>
      </c>
      <c r="B617">
        <f>IF($L617="","",INDEX('Per Line'!$D$2:$D$2501,$L617))</f>
        <v/>
      </c>
      <c r="C617">
        <f>IF($L617="","",INDEX('Per Line'!$A$2:$A$2501,$L617))</f>
        <v/>
      </c>
      <c r="F617">
        <f>IF($L617="","",INDEX('Per Line'!$U$2:$U$2501,$L617))</f>
        <v/>
      </c>
      <c r="G617" s="5">
        <f>IF($L617="","",SUMIFS('Per Line'!$W$2:$W$2501,'Per Line'!$D$2:$D$2501,$B617))</f>
        <v/>
      </c>
      <c r="H617" s="5">
        <f>IF($L617="","",SUMIFS('Per Line'!$X$2:$X$2501,'Per Line'!$D$2:$D$2501,$B617))</f>
        <v/>
      </c>
      <c r="I617" s="5">
        <f>IF($L617="","",SUMIFS('Per Line'!$Y$2:$Y$2501,'Per Line'!$D$2:$D$2501,$B617))</f>
        <v/>
      </c>
      <c r="J617" s="5">
        <f>IF($L617="","",G617-H617)</f>
        <v/>
      </c>
      <c r="K617" s="5">
        <f>IF($L617="","",J617-I617)</f>
        <v/>
      </c>
      <c r="L617">
        <f>IF(ROWS($L$2:$L617)&lt;=MAX('Per Line'!$AD$2:$AD$2501),MATCH(ROWS($L$2:$L617),'Per Line'!$AD$2:$AD$2501,0),"")</f>
        <v/>
      </c>
      <c r="M617">
        <f>IF($L617="","",INDEX('Per Line'!$E$2:$E$2501,$L617))</f>
        <v/>
      </c>
    </row>
    <row r="618">
      <c r="A618">
        <f>IF($L618="","",INDEX('Per Line'!$C$2:$C$2501,$L618))</f>
        <v/>
      </c>
      <c r="B618">
        <f>IF($L618="","",INDEX('Per Line'!$D$2:$D$2501,$L618))</f>
        <v/>
      </c>
      <c r="C618">
        <f>IF($L618="","",INDEX('Per Line'!$A$2:$A$2501,$L618))</f>
        <v/>
      </c>
      <c r="F618">
        <f>IF($L618="","",INDEX('Per Line'!$U$2:$U$2501,$L618))</f>
        <v/>
      </c>
      <c r="G618" s="5">
        <f>IF($L618="","",SUMIFS('Per Line'!$W$2:$W$2501,'Per Line'!$D$2:$D$2501,$B618))</f>
        <v/>
      </c>
      <c r="H618" s="5">
        <f>IF($L618="","",SUMIFS('Per Line'!$X$2:$X$2501,'Per Line'!$D$2:$D$2501,$B618))</f>
        <v/>
      </c>
      <c r="I618" s="5">
        <f>IF($L618="","",SUMIFS('Per Line'!$Y$2:$Y$2501,'Per Line'!$D$2:$D$2501,$B618))</f>
        <v/>
      </c>
      <c r="J618" s="5">
        <f>IF($L618="","",G618-H618)</f>
        <v/>
      </c>
      <c r="K618" s="5">
        <f>IF($L618="","",J618-I618)</f>
        <v/>
      </c>
      <c r="L618">
        <f>IF(ROWS($L$2:$L618)&lt;=MAX('Per Line'!$AD$2:$AD$2501),MATCH(ROWS($L$2:$L618),'Per Line'!$AD$2:$AD$2501,0),"")</f>
        <v/>
      </c>
      <c r="M618">
        <f>IF($L618="","",INDEX('Per Line'!$E$2:$E$2501,$L618))</f>
        <v/>
      </c>
    </row>
    <row r="619">
      <c r="A619">
        <f>IF($L619="","",INDEX('Per Line'!$C$2:$C$2501,$L619))</f>
        <v/>
      </c>
      <c r="B619">
        <f>IF($L619="","",INDEX('Per Line'!$D$2:$D$2501,$L619))</f>
        <v/>
      </c>
      <c r="C619">
        <f>IF($L619="","",INDEX('Per Line'!$A$2:$A$2501,$L619))</f>
        <v/>
      </c>
      <c r="F619">
        <f>IF($L619="","",INDEX('Per Line'!$U$2:$U$2501,$L619))</f>
        <v/>
      </c>
      <c r="G619" s="5">
        <f>IF($L619="","",SUMIFS('Per Line'!$W$2:$W$2501,'Per Line'!$D$2:$D$2501,$B619))</f>
        <v/>
      </c>
      <c r="H619" s="5">
        <f>IF($L619="","",SUMIFS('Per Line'!$X$2:$X$2501,'Per Line'!$D$2:$D$2501,$B619))</f>
        <v/>
      </c>
      <c r="I619" s="5">
        <f>IF($L619="","",SUMIFS('Per Line'!$Y$2:$Y$2501,'Per Line'!$D$2:$D$2501,$B619))</f>
        <v/>
      </c>
      <c r="J619" s="5">
        <f>IF($L619="","",G619-H619)</f>
        <v/>
      </c>
      <c r="K619" s="5">
        <f>IF($L619="","",J619-I619)</f>
        <v/>
      </c>
      <c r="L619">
        <f>IF(ROWS($L$2:$L619)&lt;=MAX('Per Line'!$AD$2:$AD$2501),MATCH(ROWS($L$2:$L619),'Per Line'!$AD$2:$AD$2501,0),"")</f>
        <v/>
      </c>
      <c r="M619">
        <f>IF($L619="","",INDEX('Per Line'!$E$2:$E$2501,$L619))</f>
        <v/>
      </c>
    </row>
    <row r="620">
      <c r="A620">
        <f>IF($L620="","",INDEX('Per Line'!$C$2:$C$2501,$L620))</f>
        <v/>
      </c>
      <c r="B620">
        <f>IF($L620="","",INDEX('Per Line'!$D$2:$D$2501,$L620))</f>
        <v/>
      </c>
      <c r="C620">
        <f>IF($L620="","",INDEX('Per Line'!$A$2:$A$2501,$L620))</f>
        <v/>
      </c>
      <c r="F620">
        <f>IF($L620="","",INDEX('Per Line'!$U$2:$U$2501,$L620))</f>
        <v/>
      </c>
      <c r="G620" s="5">
        <f>IF($L620="","",SUMIFS('Per Line'!$W$2:$W$2501,'Per Line'!$D$2:$D$2501,$B620))</f>
        <v/>
      </c>
      <c r="H620" s="5">
        <f>IF($L620="","",SUMIFS('Per Line'!$X$2:$X$2501,'Per Line'!$D$2:$D$2501,$B620))</f>
        <v/>
      </c>
      <c r="I620" s="5">
        <f>IF($L620="","",SUMIFS('Per Line'!$Y$2:$Y$2501,'Per Line'!$D$2:$D$2501,$B620))</f>
        <v/>
      </c>
      <c r="J620" s="5">
        <f>IF($L620="","",G620-H620)</f>
        <v/>
      </c>
      <c r="K620" s="5">
        <f>IF($L620="","",J620-I620)</f>
        <v/>
      </c>
      <c r="L620">
        <f>IF(ROWS($L$2:$L620)&lt;=MAX('Per Line'!$AD$2:$AD$2501),MATCH(ROWS($L$2:$L620),'Per Line'!$AD$2:$AD$2501,0),"")</f>
        <v/>
      </c>
      <c r="M620">
        <f>IF($L620="","",INDEX('Per Line'!$E$2:$E$2501,$L620))</f>
        <v/>
      </c>
    </row>
    <row r="621">
      <c r="A621">
        <f>IF($L621="","",INDEX('Per Line'!$C$2:$C$2501,$L621))</f>
        <v/>
      </c>
      <c r="B621">
        <f>IF($L621="","",INDEX('Per Line'!$D$2:$D$2501,$L621))</f>
        <v/>
      </c>
      <c r="C621">
        <f>IF($L621="","",INDEX('Per Line'!$A$2:$A$2501,$L621))</f>
        <v/>
      </c>
      <c r="F621">
        <f>IF($L621="","",INDEX('Per Line'!$U$2:$U$2501,$L621))</f>
        <v/>
      </c>
      <c r="G621" s="5">
        <f>IF($L621="","",SUMIFS('Per Line'!$W$2:$W$2501,'Per Line'!$D$2:$D$2501,$B621))</f>
        <v/>
      </c>
      <c r="H621" s="5">
        <f>IF($L621="","",SUMIFS('Per Line'!$X$2:$X$2501,'Per Line'!$D$2:$D$2501,$B621))</f>
        <v/>
      </c>
      <c r="I621" s="5">
        <f>IF($L621="","",SUMIFS('Per Line'!$Y$2:$Y$2501,'Per Line'!$D$2:$D$2501,$B621))</f>
        <v/>
      </c>
      <c r="J621" s="5">
        <f>IF($L621="","",G621-H621)</f>
        <v/>
      </c>
      <c r="K621" s="5">
        <f>IF($L621="","",J621-I621)</f>
        <v/>
      </c>
      <c r="L621">
        <f>IF(ROWS($L$2:$L621)&lt;=MAX('Per Line'!$AD$2:$AD$2501),MATCH(ROWS($L$2:$L621),'Per Line'!$AD$2:$AD$2501,0),"")</f>
        <v/>
      </c>
      <c r="M621">
        <f>IF($L621="","",INDEX('Per Line'!$E$2:$E$2501,$L621))</f>
        <v/>
      </c>
    </row>
    <row r="622">
      <c r="A622">
        <f>IF($L622="","",INDEX('Per Line'!$C$2:$C$2501,$L622))</f>
        <v/>
      </c>
      <c r="B622">
        <f>IF($L622="","",INDEX('Per Line'!$D$2:$D$2501,$L622))</f>
        <v/>
      </c>
      <c r="C622">
        <f>IF($L622="","",INDEX('Per Line'!$A$2:$A$2501,$L622))</f>
        <v/>
      </c>
      <c r="F622">
        <f>IF($L622="","",INDEX('Per Line'!$U$2:$U$2501,$L622))</f>
        <v/>
      </c>
      <c r="G622" s="5">
        <f>IF($L622="","",SUMIFS('Per Line'!$W$2:$W$2501,'Per Line'!$D$2:$D$2501,$B622))</f>
        <v/>
      </c>
      <c r="H622" s="5">
        <f>IF($L622="","",SUMIFS('Per Line'!$X$2:$X$2501,'Per Line'!$D$2:$D$2501,$B622))</f>
        <v/>
      </c>
      <c r="I622" s="5">
        <f>IF($L622="","",SUMIFS('Per Line'!$Y$2:$Y$2501,'Per Line'!$D$2:$D$2501,$B622))</f>
        <v/>
      </c>
      <c r="J622" s="5">
        <f>IF($L622="","",G622-H622)</f>
        <v/>
      </c>
      <c r="K622" s="5">
        <f>IF($L622="","",J622-I622)</f>
        <v/>
      </c>
      <c r="L622">
        <f>IF(ROWS($L$2:$L622)&lt;=MAX('Per Line'!$AD$2:$AD$2501),MATCH(ROWS($L$2:$L622),'Per Line'!$AD$2:$AD$2501,0),"")</f>
        <v/>
      </c>
      <c r="M622">
        <f>IF($L622="","",INDEX('Per Line'!$E$2:$E$2501,$L622))</f>
        <v/>
      </c>
    </row>
    <row r="623">
      <c r="A623">
        <f>IF($L623="","",INDEX('Per Line'!$C$2:$C$2501,$L623))</f>
        <v/>
      </c>
      <c r="B623">
        <f>IF($L623="","",INDEX('Per Line'!$D$2:$D$2501,$L623))</f>
        <v/>
      </c>
      <c r="C623">
        <f>IF($L623="","",INDEX('Per Line'!$A$2:$A$2501,$L623))</f>
        <v/>
      </c>
      <c r="F623">
        <f>IF($L623="","",INDEX('Per Line'!$U$2:$U$2501,$L623))</f>
        <v/>
      </c>
      <c r="G623" s="5">
        <f>IF($L623="","",SUMIFS('Per Line'!$W$2:$W$2501,'Per Line'!$D$2:$D$2501,$B623))</f>
        <v/>
      </c>
      <c r="H623" s="5">
        <f>IF($L623="","",SUMIFS('Per Line'!$X$2:$X$2501,'Per Line'!$D$2:$D$2501,$B623))</f>
        <v/>
      </c>
      <c r="I623" s="5">
        <f>IF($L623="","",SUMIFS('Per Line'!$Y$2:$Y$2501,'Per Line'!$D$2:$D$2501,$B623))</f>
        <v/>
      </c>
      <c r="J623" s="5">
        <f>IF($L623="","",G623-H623)</f>
        <v/>
      </c>
      <c r="K623" s="5">
        <f>IF($L623="","",J623-I623)</f>
        <v/>
      </c>
      <c r="L623">
        <f>IF(ROWS($L$2:$L623)&lt;=MAX('Per Line'!$AD$2:$AD$2501),MATCH(ROWS($L$2:$L623),'Per Line'!$AD$2:$AD$2501,0),"")</f>
        <v/>
      </c>
      <c r="M623">
        <f>IF($L623="","",INDEX('Per Line'!$E$2:$E$2501,$L623))</f>
        <v/>
      </c>
    </row>
    <row r="624">
      <c r="A624">
        <f>IF($L624="","",INDEX('Per Line'!$C$2:$C$2501,$L624))</f>
        <v/>
      </c>
      <c r="B624">
        <f>IF($L624="","",INDEX('Per Line'!$D$2:$D$2501,$L624))</f>
        <v/>
      </c>
      <c r="C624">
        <f>IF($L624="","",INDEX('Per Line'!$A$2:$A$2501,$L624))</f>
        <v/>
      </c>
      <c r="F624">
        <f>IF($L624="","",INDEX('Per Line'!$U$2:$U$2501,$L624))</f>
        <v/>
      </c>
      <c r="G624" s="5">
        <f>IF($L624="","",SUMIFS('Per Line'!$W$2:$W$2501,'Per Line'!$D$2:$D$2501,$B624))</f>
        <v/>
      </c>
      <c r="H624" s="5">
        <f>IF($L624="","",SUMIFS('Per Line'!$X$2:$X$2501,'Per Line'!$D$2:$D$2501,$B624))</f>
        <v/>
      </c>
      <c r="I624" s="5">
        <f>IF($L624="","",SUMIFS('Per Line'!$Y$2:$Y$2501,'Per Line'!$D$2:$D$2501,$B624))</f>
        <v/>
      </c>
      <c r="J624" s="5">
        <f>IF($L624="","",G624-H624)</f>
        <v/>
      </c>
      <c r="K624" s="5">
        <f>IF($L624="","",J624-I624)</f>
        <v/>
      </c>
      <c r="L624">
        <f>IF(ROWS($L$2:$L624)&lt;=MAX('Per Line'!$AD$2:$AD$2501),MATCH(ROWS($L$2:$L624),'Per Line'!$AD$2:$AD$2501,0),"")</f>
        <v/>
      </c>
      <c r="M624">
        <f>IF($L624="","",INDEX('Per Line'!$E$2:$E$2501,$L624))</f>
        <v/>
      </c>
    </row>
    <row r="625">
      <c r="A625">
        <f>IF($L625="","",INDEX('Per Line'!$C$2:$C$2501,$L625))</f>
        <v/>
      </c>
      <c r="B625">
        <f>IF($L625="","",INDEX('Per Line'!$D$2:$D$2501,$L625))</f>
        <v/>
      </c>
      <c r="C625">
        <f>IF($L625="","",INDEX('Per Line'!$A$2:$A$2501,$L625))</f>
        <v/>
      </c>
      <c r="F625">
        <f>IF($L625="","",INDEX('Per Line'!$U$2:$U$2501,$L625))</f>
        <v/>
      </c>
      <c r="G625" s="5">
        <f>IF($L625="","",SUMIFS('Per Line'!$W$2:$W$2501,'Per Line'!$D$2:$D$2501,$B625))</f>
        <v/>
      </c>
      <c r="H625" s="5">
        <f>IF($L625="","",SUMIFS('Per Line'!$X$2:$X$2501,'Per Line'!$D$2:$D$2501,$B625))</f>
        <v/>
      </c>
      <c r="I625" s="5">
        <f>IF($L625="","",SUMIFS('Per Line'!$Y$2:$Y$2501,'Per Line'!$D$2:$D$2501,$B625))</f>
        <v/>
      </c>
      <c r="J625" s="5">
        <f>IF($L625="","",G625-H625)</f>
        <v/>
      </c>
      <c r="K625" s="5">
        <f>IF($L625="","",J625-I625)</f>
        <v/>
      </c>
      <c r="L625">
        <f>IF(ROWS($L$2:$L625)&lt;=MAX('Per Line'!$AD$2:$AD$2501),MATCH(ROWS($L$2:$L625),'Per Line'!$AD$2:$AD$2501,0),"")</f>
        <v/>
      </c>
      <c r="M625">
        <f>IF($L625="","",INDEX('Per Line'!$E$2:$E$2501,$L625))</f>
        <v/>
      </c>
    </row>
    <row r="626">
      <c r="A626">
        <f>IF($L626="","",INDEX('Per Line'!$C$2:$C$2501,$L626))</f>
        <v/>
      </c>
      <c r="B626">
        <f>IF($L626="","",INDEX('Per Line'!$D$2:$D$2501,$L626))</f>
        <v/>
      </c>
      <c r="C626">
        <f>IF($L626="","",INDEX('Per Line'!$A$2:$A$2501,$L626))</f>
        <v/>
      </c>
      <c r="F626">
        <f>IF($L626="","",INDEX('Per Line'!$U$2:$U$2501,$L626))</f>
        <v/>
      </c>
      <c r="G626" s="5">
        <f>IF($L626="","",SUMIFS('Per Line'!$W$2:$W$2501,'Per Line'!$D$2:$D$2501,$B626))</f>
        <v/>
      </c>
      <c r="H626" s="5">
        <f>IF($L626="","",SUMIFS('Per Line'!$X$2:$X$2501,'Per Line'!$D$2:$D$2501,$B626))</f>
        <v/>
      </c>
      <c r="I626" s="5">
        <f>IF($L626="","",SUMIFS('Per Line'!$Y$2:$Y$2501,'Per Line'!$D$2:$D$2501,$B626))</f>
        <v/>
      </c>
      <c r="J626" s="5">
        <f>IF($L626="","",G626-H626)</f>
        <v/>
      </c>
      <c r="K626" s="5">
        <f>IF($L626="","",J626-I626)</f>
        <v/>
      </c>
      <c r="L626">
        <f>IF(ROWS($L$2:$L626)&lt;=MAX('Per Line'!$AD$2:$AD$2501),MATCH(ROWS($L$2:$L626),'Per Line'!$AD$2:$AD$2501,0),"")</f>
        <v/>
      </c>
      <c r="M626">
        <f>IF($L626="","",INDEX('Per Line'!$E$2:$E$2501,$L626))</f>
        <v/>
      </c>
    </row>
    <row r="627">
      <c r="A627">
        <f>IF($L627="","",INDEX('Per Line'!$C$2:$C$2501,$L627))</f>
        <v/>
      </c>
      <c r="B627">
        <f>IF($L627="","",INDEX('Per Line'!$D$2:$D$2501,$L627))</f>
        <v/>
      </c>
      <c r="C627">
        <f>IF($L627="","",INDEX('Per Line'!$A$2:$A$2501,$L627))</f>
        <v/>
      </c>
      <c r="F627">
        <f>IF($L627="","",INDEX('Per Line'!$U$2:$U$2501,$L627))</f>
        <v/>
      </c>
      <c r="G627" s="5">
        <f>IF($L627="","",SUMIFS('Per Line'!$W$2:$W$2501,'Per Line'!$D$2:$D$2501,$B627))</f>
        <v/>
      </c>
      <c r="H627" s="5">
        <f>IF($L627="","",SUMIFS('Per Line'!$X$2:$X$2501,'Per Line'!$D$2:$D$2501,$B627))</f>
        <v/>
      </c>
      <c r="I627" s="5">
        <f>IF($L627="","",SUMIFS('Per Line'!$Y$2:$Y$2501,'Per Line'!$D$2:$D$2501,$B627))</f>
        <v/>
      </c>
      <c r="J627" s="5">
        <f>IF($L627="","",G627-H627)</f>
        <v/>
      </c>
      <c r="K627" s="5">
        <f>IF($L627="","",J627-I627)</f>
        <v/>
      </c>
      <c r="L627">
        <f>IF(ROWS($L$2:$L627)&lt;=MAX('Per Line'!$AD$2:$AD$2501),MATCH(ROWS($L$2:$L627),'Per Line'!$AD$2:$AD$2501,0),"")</f>
        <v/>
      </c>
      <c r="M627">
        <f>IF($L627="","",INDEX('Per Line'!$E$2:$E$2501,$L627))</f>
        <v/>
      </c>
    </row>
    <row r="628">
      <c r="A628">
        <f>IF($L628="","",INDEX('Per Line'!$C$2:$C$2501,$L628))</f>
        <v/>
      </c>
      <c r="B628">
        <f>IF($L628="","",INDEX('Per Line'!$D$2:$D$2501,$L628))</f>
        <v/>
      </c>
      <c r="C628">
        <f>IF($L628="","",INDEX('Per Line'!$A$2:$A$2501,$L628))</f>
        <v/>
      </c>
      <c r="F628">
        <f>IF($L628="","",INDEX('Per Line'!$U$2:$U$2501,$L628))</f>
        <v/>
      </c>
      <c r="G628" s="5">
        <f>IF($L628="","",SUMIFS('Per Line'!$W$2:$W$2501,'Per Line'!$D$2:$D$2501,$B628))</f>
        <v/>
      </c>
      <c r="H628" s="5">
        <f>IF($L628="","",SUMIFS('Per Line'!$X$2:$X$2501,'Per Line'!$D$2:$D$2501,$B628))</f>
        <v/>
      </c>
      <c r="I628" s="5">
        <f>IF($L628="","",SUMIFS('Per Line'!$Y$2:$Y$2501,'Per Line'!$D$2:$D$2501,$B628))</f>
        <v/>
      </c>
      <c r="J628" s="5">
        <f>IF($L628="","",G628-H628)</f>
        <v/>
      </c>
      <c r="K628" s="5">
        <f>IF($L628="","",J628-I628)</f>
        <v/>
      </c>
      <c r="L628">
        <f>IF(ROWS($L$2:$L628)&lt;=MAX('Per Line'!$AD$2:$AD$2501),MATCH(ROWS($L$2:$L628),'Per Line'!$AD$2:$AD$2501,0),"")</f>
        <v/>
      </c>
      <c r="M628">
        <f>IF($L628="","",INDEX('Per Line'!$E$2:$E$2501,$L628))</f>
        <v/>
      </c>
    </row>
    <row r="629">
      <c r="A629">
        <f>IF($L629="","",INDEX('Per Line'!$C$2:$C$2501,$L629))</f>
        <v/>
      </c>
      <c r="B629">
        <f>IF($L629="","",INDEX('Per Line'!$D$2:$D$2501,$L629))</f>
        <v/>
      </c>
      <c r="C629">
        <f>IF($L629="","",INDEX('Per Line'!$A$2:$A$2501,$L629))</f>
        <v/>
      </c>
      <c r="F629">
        <f>IF($L629="","",INDEX('Per Line'!$U$2:$U$2501,$L629))</f>
        <v/>
      </c>
      <c r="G629" s="5">
        <f>IF($L629="","",SUMIFS('Per Line'!$W$2:$W$2501,'Per Line'!$D$2:$D$2501,$B629))</f>
        <v/>
      </c>
      <c r="H629" s="5">
        <f>IF($L629="","",SUMIFS('Per Line'!$X$2:$X$2501,'Per Line'!$D$2:$D$2501,$B629))</f>
        <v/>
      </c>
      <c r="I629" s="5">
        <f>IF($L629="","",SUMIFS('Per Line'!$Y$2:$Y$2501,'Per Line'!$D$2:$D$2501,$B629))</f>
        <v/>
      </c>
      <c r="J629" s="5">
        <f>IF($L629="","",G629-H629)</f>
        <v/>
      </c>
      <c r="K629" s="5">
        <f>IF($L629="","",J629-I629)</f>
        <v/>
      </c>
      <c r="L629">
        <f>IF(ROWS($L$2:$L629)&lt;=MAX('Per Line'!$AD$2:$AD$2501),MATCH(ROWS($L$2:$L629),'Per Line'!$AD$2:$AD$2501,0),"")</f>
        <v/>
      </c>
      <c r="M629">
        <f>IF($L629="","",INDEX('Per Line'!$E$2:$E$2501,$L629))</f>
        <v/>
      </c>
    </row>
    <row r="630">
      <c r="A630">
        <f>IF($L630="","",INDEX('Per Line'!$C$2:$C$2501,$L630))</f>
        <v/>
      </c>
      <c r="B630">
        <f>IF($L630="","",INDEX('Per Line'!$D$2:$D$2501,$L630))</f>
        <v/>
      </c>
      <c r="C630">
        <f>IF($L630="","",INDEX('Per Line'!$A$2:$A$2501,$L630))</f>
        <v/>
      </c>
      <c r="F630">
        <f>IF($L630="","",INDEX('Per Line'!$U$2:$U$2501,$L630))</f>
        <v/>
      </c>
      <c r="G630" s="5">
        <f>IF($L630="","",SUMIFS('Per Line'!$W$2:$W$2501,'Per Line'!$D$2:$D$2501,$B630))</f>
        <v/>
      </c>
      <c r="H630" s="5">
        <f>IF($L630="","",SUMIFS('Per Line'!$X$2:$X$2501,'Per Line'!$D$2:$D$2501,$B630))</f>
        <v/>
      </c>
      <c r="I630" s="5">
        <f>IF($L630="","",SUMIFS('Per Line'!$Y$2:$Y$2501,'Per Line'!$D$2:$D$2501,$B630))</f>
        <v/>
      </c>
      <c r="J630" s="5">
        <f>IF($L630="","",G630-H630)</f>
        <v/>
      </c>
      <c r="K630" s="5">
        <f>IF($L630="","",J630-I630)</f>
        <v/>
      </c>
      <c r="L630">
        <f>IF(ROWS($L$2:$L630)&lt;=MAX('Per Line'!$AD$2:$AD$2501),MATCH(ROWS($L$2:$L630),'Per Line'!$AD$2:$AD$2501,0),"")</f>
        <v/>
      </c>
      <c r="M630">
        <f>IF($L630="","",INDEX('Per Line'!$E$2:$E$2501,$L630))</f>
        <v/>
      </c>
    </row>
    <row r="631">
      <c r="A631">
        <f>IF($L631="","",INDEX('Per Line'!$C$2:$C$2501,$L631))</f>
        <v/>
      </c>
      <c r="B631">
        <f>IF($L631="","",INDEX('Per Line'!$D$2:$D$2501,$L631))</f>
        <v/>
      </c>
      <c r="C631">
        <f>IF($L631="","",INDEX('Per Line'!$A$2:$A$2501,$L631))</f>
        <v/>
      </c>
      <c r="F631">
        <f>IF($L631="","",INDEX('Per Line'!$U$2:$U$2501,$L631))</f>
        <v/>
      </c>
      <c r="G631" s="5">
        <f>IF($L631="","",SUMIFS('Per Line'!$W$2:$W$2501,'Per Line'!$D$2:$D$2501,$B631))</f>
        <v/>
      </c>
      <c r="H631" s="5">
        <f>IF($L631="","",SUMIFS('Per Line'!$X$2:$X$2501,'Per Line'!$D$2:$D$2501,$B631))</f>
        <v/>
      </c>
      <c r="I631" s="5">
        <f>IF($L631="","",SUMIFS('Per Line'!$Y$2:$Y$2501,'Per Line'!$D$2:$D$2501,$B631))</f>
        <v/>
      </c>
      <c r="J631" s="5">
        <f>IF($L631="","",G631-H631)</f>
        <v/>
      </c>
      <c r="K631" s="5">
        <f>IF($L631="","",J631-I631)</f>
        <v/>
      </c>
      <c r="L631">
        <f>IF(ROWS($L$2:$L631)&lt;=MAX('Per Line'!$AD$2:$AD$2501),MATCH(ROWS($L$2:$L631),'Per Line'!$AD$2:$AD$2501,0),"")</f>
        <v/>
      </c>
      <c r="M631">
        <f>IF($L631="","",INDEX('Per Line'!$E$2:$E$2501,$L631))</f>
        <v/>
      </c>
    </row>
    <row r="632">
      <c r="A632">
        <f>IF($L632="","",INDEX('Per Line'!$C$2:$C$2501,$L632))</f>
        <v/>
      </c>
      <c r="B632">
        <f>IF($L632="","",INDEX('Per Line'!$D$2:$D$2501,$L632))</f>
        <v/>
      </c>
      <c r="C632">
        <f>IF($L632="","",INDEX('Per Line'!$A$2:$A$2501,$L632))</f>
        <v/>
      </c>
      <c r="F632">
        <f>IF($L632="","",INDEX('Per Line'!$U$2:$U$2501,$L632))</f>
        <v/>
      </c>
      <c r="G632" s="5">
        <f>IF($L632="","",SUMIFS('Per Line'!$W$2:$W$2501,'Per Line'!$D$2:$D$2501,$B632))</f>
        <v/>
      </c>
      <c r="H632" s="5">
        <f>IF($L632="","",SUMIFS('Per Line'!$X$2:$X$2501,'Per Line'!$D$2:$D$2501,$B632))</f>
        <v/>
      </c>
      <c r="I632" s="5">
        <f>IF($L632="","",SUMIFS('Per Line'!$Y$2:$Y$2501,'Per Line'!$D$2:$D$2501,$B632))</f>
        <v/>
      </c>
      <c r="J632" s="5">
        <f>IF($L632="","",G632-H632)</f>
        <v/>
      </c>
      <c r="K632" s="5">
        <f>IF($L632="","",J632-I632)</f>
        <v/>
      </c>
      <c r="L632">
        <f>IF(ROWS($L$2:$L632)&lt;=MAX('Per Line'!$AD$2:$AD$2501),MATCH(ROWS($L$2:$L632),'Per Line'!$AD$2:$AD$2501,0),"")</f>
        <v/>
      </c>
      <c r="M632">
        <f>IF($L632="","",INDEX('Per Line'!$E$2:$E$2501,$L632))</f>
        <v/>
      </c>
    </row>
    <row r="633">
      <c r="A633">
        <f>IF($L633="","",INDEX('Per Line'!$C$2:$C$2501,$L633))</f>
        <v/>
      </c>
      <c r="B633">
        <f>IF($L633="","",INDEX('Per Line'!$D$2:$D$2501,$L633))</f>
        <v/>
      </c>
      <c r="C633">
        <f>IF($L633="","",INDEX('Per Line'!$A$2:$A$2501,$L633))</f>
        <v/>
      </c>
      <c r="F633">
        <f>IF($L633="","",INDEX('Per Line'!$U$2:$U$2501,$L633))</f>
        <v/>
      </c>
      <c r="G633" s="5">
        <f>IF($L633="","",SUMIFS('Per Line'!$W$2:$W$2501,'Per Line'!$D$2:$D$2501,$B633))</f>
        <v/>
      </c>
      <c r="H633" s="5">
        <f>IF($L633="","",SUMIFS('Per Line'!$X$2:$X$2501,'Per Line'!$D$2:$D$2501,$B633))</f>
        <v/>
      </c>
      <c r="I633" s="5">
        <f>IF($L633="","",SUMIFS('Per Line'!$Y$2:$Y$2501,'Per Line'!$D$2:$D$2501,$B633))</f>
        <v/>
      </c>
      <c r="J633" s="5">
        <f>IF($L633="","",G633-H633)</f>
        <v/>
      </c>
      <c r="K633" s="5">
        <f>IF($L633="","",J633-I633)</f>
        <v/>
      </c>
      <c r="L633">
        <f>IF(ROWS($L$2:$L633)&lt;=MAX('Per Line'!$AD$2:$AD$2501),MATCH(ROWS($L$2:$L633),'Per Line'!$AD$2:$AD$2501,0),"")</f>
        <v/>
      </c>
      <c r="M633">
        <f>IF($L633="","",INDEX('Per Line'!$E$2:$E$2501,$L633))</f>
        <v/>
      </c>
    </row>
    <row r="634">
      <c r="A634">
        <f>IF($L634="","",INDEX('Per Line'!$C$2:$C$2501,$L634))</f>
        <v/>
      </c>
      <c r="B634">
        <f>IF($L634="","",INDEX('Per Line'!$D$2:$D$2501,$L634))</f>
        <v/>
      </c>
      <c r="C634">
        <f>IF($L634="","",INDEX('Per Line'!$A$2:$A$2501,$L634))</f>
        <v/>
      </c>
      <c r="F634">
        <f>IF($L634="","",INDEX('Per Line'!$U$2:$U$2501,$L634))</f>
        <v/>
      </c>
      <c r="G634" s="5">
        <f>IF($L634="","",SUMIFS('Per Line'!$W$2:$W$2501,'Per Line'!$D$2:$D$2501,$B634))</f>
        <v/>
      </c>
      <c r="H634" s="5">
        <f>IF($L634="","",SUMIFS('Per Line'!$X$2:$X$2501,'Per Line'!$D$2:$D$2501,$B634))</f>
        <v/>
      </c>
      <c r="I634" s="5">
        <f>IF($L634="","",SUMIFS('Per Line'!$Y$2:$Y$2501,'Per Line'!$D$2:$D$2501,$B634))</f>
        <v/>
      </c>
      <c r="J634" s="5">
        <f>IF($L634="","",G634-H634)</f>
        <v/>
      </c>
      <c r="K634" s="5">
        <f>IF($L634="","",J634-I634)</f>
        <v/>
      </c>
      <c r="L634">
        <f>IF(ROWS($L$2:$L634)&lt;=MAX('Per Line'!$AD$2:$AD$2501),MATCH(ROWS($L$2:$L634),'Per Line'!$AD$2:$AD$2501,0),"")</f>
        <v/>
      </c>
      <c r="M634">
        <f>IF($L634="","",INDEX('Per Line'!$E$2:$E$2501,$L634))</f>
        <v/>
      </c>
    </row>
    <row r="635">
      <c r="A635">
        <f>IF($L635="","",INDEX('Per Line'!$C$2:$C$2501,$L635))</f>
        <v/>
      </c>
      <c r="B635">
        <f>IF($L635="","",INDEX('Per Line'!$D$2:$D$2501,$L635))</f>
        <v/>
      </c>
      <c r="C635">
        <f>IF($L635="","",INDEX('Per Line'!$A$2:$A$2501,$L635))</f>
        <v/>
      </c>
      <c r="F635">
        <f>IF($L635="","",INDEX('Per Line'!$U$2:$U$2501,$L635))</f>
        <v/>
      </c>
      <c r="G635" s="5">
        <f>IF($L635="","",SUMIFS('Per Line'!$W$2:$W$2501,'Per Line'!$D$2:$D$2501,$B635))</f>
        <v/>
      </c>
      <c r="H635" s="5">
        <f>IF($L635="","",SUMIFS('Per Line'!$X$2:$X$2501,'Per Line'!$D$2:$D$2501,$B635))</f>
        <v/>
      </c>
      <c r="I635" s="5">
        <f>IF($L635="","",SUMIFS('Per Line'!$Y$2:$Y$2501,'Per Line'!$D$2:$D$2501,$B635))</f>
        <v/>
      </c>
      <c r="J635" s="5">
        <f>IF($L635="","",G635-H635)</f>
        <v/>
      </c>
      <c r="K635" s="5">
        <f>IF($L635="","",J635-I635)</f>
        <v/>
      </c>
      <c r="L635">
        <f>IF(ROWS($L$2:$L635)&lt;=MAX('Per Line'!$AD$2:$AD$2501),MATCH(ROWS($L$2:$L635),'Per Line'!$AD$2:$AD$2501,0),"")</f>
        <v/>
      </c>
      <c r="M635">
        <f>IF($L635="","",INDEX('Per Line'!$E$2:$E$2501,$L635))</f>
        <v/>
      </c>
    </row>
    <row r="636">
      <c r="A636">
        <f>IF($L636="","",INDEX('Per Line'!$C$2:$C$2501,$L636))</f>
        <v/>
      </c>
      <c r="B636">
        <f>IF($L636="","",INDEX('Per Line'!$D$2:$D$2501,$L636))</f>
        <v/>
      </c>
      <c r="C636">
        <f>IF($L636="","",INDEX('Per Line'!$A$2:$A$2501,$L636))</f>
        <v/>
      </c>
      <c r="F636">
        <f>IF($L636="","",INDEX('Per Line'!$U$2:$U$2501,$L636))</f>
        <v/>
      </c>
      <c r="G636" s="5">
        <f>IF($L636="","",SUMIFS('Per Line'!$W$2:$W$2501,'Per Line'!$D$2:$D$2501,$B636))</f>
        <v/>
      </c>
      <c r="H636" s="5">
        <f>IF($L636="","",SUMIFS('Per Line'!$X$2:$X$2501,'Per Line'!$D$2:$D$2501,$B636))</f>
        <v/>
      </c>
      <c r="I636" s="5">
        <f>IF($L636="","",SUMIFS('Per Line'!$Y$2:$Y$2501,'Per Line'!$D$2:$D$2501,$B636))</f>
        <v/>
      </c>
      <c r="J636" s="5">
        <f>IF($L636="","",G636-H636)</f>
        <v/>
      </c>
      <c r="K636" s="5">
        <f>IF($L636="","",J636-I636)</f>
        <v/>
      </c>
      <c r="L636">
        <f>IF(ROWS($L$2:$L636)&lt;=MAX('Per Line'!$AD$2:$AD$2501),MATCH(ROWS($L$2:$L636),'Per Line'!$AD$2:$AD$2501,0),"")</f>
        <v/>
      </c>
      <c r="M636">
        <f>IF($L636="","",INDEX('Per Line'!$E$2:$E$2501,$L636))</f>
        <v/>
      </c>
    </row>
    <row r="637">
      <c r="A637">
        <f>IF($L637="","",INDEX('Per Line'!$C$2:$C$2501,$L637))</f>
        <v/>
      </c>
      <c r="B637">
        <f>IF($L637="","",INDEX('Per Line'!$D$2:$D$2501,$L637))</f>
        <v/>
      </c>
      <c r="C637">
        <f>IF($L637="","",INDEX('Per Line'!$A$2:$A$2501,$L637))</f>
        <v/>
      </c>
      <c r="F637">
        <f>IF($L637="","",INDEX('Per Line'!$U$2:$U$2501,$L637))</f>
        <v/>
      </c>
      <c r="G637" s="5">
        <f>IF($L637="","",SUMIFS('Per Line'!$W$2:$W$2501,'Per Line'!$D$2:$D$2501,$B637))</f>
        <v/>
      </c>
      <c r="H637" s="5">
        <f>IF($L637="","",SUMIFS('Per Line'!$X$2:$X$2501,'Per Line'!$D$2:$D$2501,$B637))</f>
        <v/>
      </c>
      <c r="I637" s="5">
        <f>IF($L637="","",SUMIFS('Per Line'!$Y$2:$Y$2501,'Per Line'!$D$2:$D$2501,$B637))</f>
        <v/>
      </c>
      <c r="J637" s="5">
        <f>IF($L637="","",G637-H637)</f>
        <v/>
      </c>
      <c r="K637" s="5">
        <f>IF($L637="","",J637-I637)</f>
        <v/>
      </c>
      <c r="L637">
        <f>IF(ROWS($L$2:$L637)&lt;=MAX('Per Line'!$AD$2:$AD$2501),MATCH(ROWS($L$2:$L637),'Per Line'!$AD$2:$AD$2501,0),"")</f>
        <v/>
      </c>
      <c r="M637">
        <f>IF($L637="","",INDEX('Per Line'!$E$2:$E$2501,$L637))</f>
        <v/>
      </c>
    </row>
    <row r="638">
      <c r="A638">
        <f>IF($L638="","",INDEX('Per Line'!$C$2:$C$2501,$L638))</f>
        <v/>
      </c>
      <c r="B638">
        <f>IF($L638="","",INDEX('Per Line'!$D$2:$D$2501,$L638))</f>
        <v/>
      </c>
      <c r="C638">
        <f>IF($L638="","",INDEX('Per Line'!$A$2:$A$2501,$L638))</f>
        <v/>
      </c>
      <c r="F638">
        <f>IF($L638="","",INDEX('Per Line'!$U$2:$U$2501,$L638))</f>
        <v/>
      </c>
      <c r="G638" s="5">
        <f>IF($L638="","",SUMIFS('Per Line'!$W$2:$W$2501,'Per Line'!$D$2:$D$2501,$B638))</f>
        <v/>
      </c>
      <c r="H638" s="5">
        <f>IF($L638="","",SUMIFS('Per Line'!$X$2:$X$2501,'Per Line'!$D$2:$D$2501,$B638))</f>
        <v/>
      </c>
      <c r="I638" s="5">
        <f>IF($L638="","",SUMIFS('Per Line'!$Y$2:$Y$2501,'Per Line'!$D$2:$D$2501,$B638))</f>
        <v/>
      </c>
      <c r="J638" s="5">
        <f>IF($L638="","",G638-H638)</f>
        <v/>
      </c>
      <c r="K638" s="5">
        <f>IF($L638="","",J638-I638)</f>
        <v/>
      </c>
      <c r="L638">
        <f>IF(ROWS($L$2:$L638)&lt;=MAX('Per Line'!$AD$2:$AD$2501),MATCH(ROWS($L$2:$L638),'Per Line'!$AD$2:$AD$2501,0),"")</f>
        <v/>
      </c>
      <c r="M638">
        <f>IF($L638="","",INDEX('Per Line'!$E$2:$E$2501,$L638))</f>
        <v/>
      </c>
    </row>
    <row r="639">
      <c r="A639">
        <f>IF($L639="","",INDEX('Per Line'!$C$2:$C$2501,$L639))</f>
        <v/>
      </c>
      <c r="B639">
        <f>IF($L639="","",INDEX('Per Line'!$D$2:$D$2501,$L639))</f>
        <v/>
      </c>
      <c r="C639">
        <f>IF($L639="","",INDEX('Per Line'!$A$2:$A$2501,$L639))</f>
        <v/>
      </c>
      <c r="F639">
        <f>IF($L639="","",INDEX('Per Line'!$U$2:$U$2501,$L639))</f>
        <v/>
      </c>
      <c r="G639" s="5">
        <f>IF($L639="","",SUMIFS('Per Line'!$W$2:$W$2501,'Per Line'!$D$2:$D$2501,$B639))</f>
        <v/>
      </c>
      <c r="H639" s="5">
        <f>IF($L639="","",SUMIFS('Per Line'!$X$2:$X$2501,'Per Line'!$D$2:$D$2501,$B639))</f>
        <v/>
      </c>
      <c r="I639" s="5">
        <f>IF($L639="","",SUMIFS('Per Line'!$Y$2:$Y$2501,'Per Line'!$D$2:$D$2501,$B639))</f>
        <v/>
      </c>
      <c r="J639" s="5">
        <f>IF($L639="","",G639-H639)</f>
        <v/>
      </c>
      <c r="K639" s="5">
        <f>IF($L639="","",J639-I639)</f>
        <v/>
      </c>
      <c r="L639">
        <f>IF(ROWS($L$2:$L639)&lt;=MAX('Per Line'!$AD$2:$AD$2501),MATCH(ROWS($L$2:$L639),'Per Line'!$AD$2:$AD$2501,0),"")</f>
        <v/>
      </c>
      <c r="M639">
        <f>IF($L639="","",INDEX('Per Line'!$E$2:$E$2501,$L639))</f>
        <v/>
      </c>
    </row>
    <row r="640">
      <c r="A640">
        <f>IF($L640="","",INDEX('Per Line'!$C$2:$C$2501,$L640))</f>
        <v/>
      </c>
      <c r="B640">
        <f>IF($L640="","",INDEX('Per Line'!$D$2:$D$2501,$L640))</f>
        <v/>
      </c>
      <c r="C640">
        <f>IF($L640="","",INDEX('Per Line'!$A$2:$A$2501,$L640))</f>
        <v/>
      </c>
      <c r="F640">
        <f>IF($L640="","",INDEX('Per Line'!$U$2:$U$2501,$L640))</f>
        <v/>
      </c>
      <c r="G640" s="5">
        <f>IF($L640="","",SUMIFS('Per Line'!$W$2:$W$2501,'Per Line'!$D$2:$D$2501,$B640))</f>
        <v/>
      </c>
      <c r="H640" s="5">
        <f>IF($L640="","",SUMIFS('Per Line'!$X$2:$X$2501,'Per Line'!$D$2:$D$2501,$B640))</f>
        <v/>
      </c>
      <c r="I640" s="5">
        <f>IF($L640="","",SUMIFS('Per Line'!$Y$2:$Y$2501,'Per Line'!$D$2:$D$2501,$B640))</f>
        <v/>
      </c>
      <c r="J640" s="5">
        <f>IF($L640="","",G640-H640)</f>
        <v/>
      </c>
      <c r="K640" s="5">
        <f>IF($L640="","",J640-I640)</f>
        <v/>
      </c>
      <c r="L640">
        <f>IF(ROWS($L$2:$L640)&lt;=MAX('Per Line'!$AD$2:$AD$2501),MATCH(ROWS($L$2:$L640),'Per Line'!$AD$2:$AD$2501,0),"")</f>
        <v/>
      </c>
      <c r="M640">
        <f>IF($L640="","",INDEX('Per Line'!$E$2:$E$2501,$L640))</f>
        <v/>
      </c>
    </row>
    <row r="641">
      <c r="A641">
        <f>IF($L641="","",INDEX('Per Line'!$C$2:$C$2501,$L641))</f>
        <v/>
      </c>
      <c r="B641">
        <f>IF($L641="","",INDEX('Per Line'!$D$2:$D$2501,$L641))</f>
        <v/>
      </c>
      <c r="C641">
        <f>IF($L641="","",INDEX('Per Line'!$A$2:$A$2501,$L641))</f>
        <v/>
      </c>
      <c r="F641">
        <f>IF($L641="","",INDEX('Per Line'!$U$2:$U$2501,$L641))</f>
        <v/>
      </c>
      <c r="G641" s="5">
        <f>IF($L641="","",SUMIFS('Per Line'!$W$2:$W$2501,'Per Line'!$D$2:$D$2501,$B641))</f>
        <v/>
      </c>
      <c r="H641" s="5">
        <f>IF($L641="","",SUMIFS('Per Line'!$X$2:$X$2501,'Per Line'!$D$2:$D$2501,$B641))</f>
        <v/>
      </c>
      <c r="I641" s="5">
        <f>IF($L641="","",SUMIFS('Per Line'!$Y$2:$Y$2501,'Per Line'!$D$2:$D$2501,$B641))</f>
        <v/>
      </c>
      <c r="J641" s="5">
        <f>IF($L641="","",G641-H641)</f>
        <v/>
      </c>
      <c r="K641" s="5">
        <f>IF($L641="","",J641-I641)</f>
        <v/>
      </c>
      <c r="L641">
        <f>IF(ROWS($L$2:$L641)&lt;=MAX('Per Line'!$AD$2:$AD$2501),MATCH(ROWS($L$2:$L641),'Per Line'!$AD$2:$AD$2501,0),"")</f>
        <v/>
      </c>
      <c r="M641">
        <f>IF($L641="","",INDEX('Per Line'!$E$2:$E$2501,$L641))</f>
        <v/>
      </c>
    </row>
    <row r="642">
      <c r="A642">
        <f>IF($L642="","",INDEX('Per Line'!$C$2:$C$2501,$L642))</f>
        <v/>
      </c>
      <c r="B642">
        <f>IF($L642="","",INDEX('Per Line'!$D$2:$D$2501,$L642))</f>
        <v/>
      </c>
      <c r="C642">
        <f>IF($L642="","",INDEX('Per Line'!$A$2:$A$2501,$L642))</f>
        <v/>
      </c>
      <c r="F642">
        <f>IF($L642="","",INDEX('Per Line'!$U$2:$U$2501,$L642))</f>
        <v/>
      </c>
      <c r="G642" s="5">
        <f>IF($L642="","",SUMIFS('Per Line'!$W$2:$W$2501,'Per Line'!$D$2:$D$2501,$B642))</f>
        <v/>
      </c>
      <c r="H642" s="5">
        <f>IF($L642="","",SUMIFS('Per Line'!$X$2:$X$2501,'Per Line'!$D$2:$D$2501,$B642))</f>
        <v/>
      </c>
      <c r="I642" s="5">
        <f>IF($L642="","",SUMIFS('Per Line'!$Y$2:$Y$2501,'Per Line'!$D$2:$D$2501,$B642))</f>
        <v/>
      </c>
      <c r="J642" s="5">
        <f>IF($L642="","",G642-H642)</f>
        <v/>
      </c>
      <c r="K642" s="5">
        <f>IF($L642="","",J642-I642)</f>
        <v/>
      </c>
      <c r="L642">
        <f>IF(ROWS($L$2:$L642)&lt;=MAX('Per Line'!$AD$2:$AD$2501),MATCH(ROWS($L$2:$L642),'Per Line'!$AD$2:$AD$2501,0),"")</f>
        <v/>
      </c>
      <c r="M642">
        <f>IF($L642="","",INDEX('Per Line'!$E$2:$E$2501,$L642))</f>
        <v/>
      </c>
    </row>
    <row r="643">
      <c r="A643">
        <f>IF($L643="","",INDEX('Per Line'!$C$2:$C$2501,$L643))</f>
        <v/>
      </c>
      <c r="B643">
        <f>IF($L643="","",INDEX('Per Line'!$D$2:$D$2501,$L643))</f>
        <v/>
      </c>
      <c r="C643">
        <f>IF($L643="","",INDEX('Per Line'!$A$2:$A$2501,$L643))</f>
        <v/>
      </c>
      <c r="F643">
        <f>IF($L643="","",INDEX('Per Line'!$U$2:$U$2501,$L643))</f>
        <v/>
      </c>
      <c r="G643" s="5">
        <f>IF($L643="","",SUMIFS('Per Line'!$W$2:$W$2501,'Per Line'!$D$2:$D$2501,$B643))</f>
        <v/>
      </c>
      <c r="H643" s="5">
        <f>IF($L643="","",SUMIFS('Per Line'!$X$2:$X$2501,'Per Line'!$D$2:$D$2501,$B643))</f>
        <v/>
      </c>
      <c r="I643" s="5">
        <f>IF($L643="","",SUMIFS('Per Line'!$Y$2:$Y$2501,'Per Line'!$D$2:$D$2501,$B643))</f>
        <v/>
      </c>
      <c r="J643" s="5">
        <f>IF($L643="","",G643-H643)</f>
        <v/>
      </c>
      <c r="K643" s="5">
        <f>IF($L643="","",J643-I643)</f>
        <v/>
      </c>
      <c r="L643">
        <f>IF(ROWS($L$2:$L643)&lt;=MAX('Per Line'!$AD$2:$AD$2501),MATCH(ROWS($L$2:$L643),'Per Line'!$AD$2:$AD$2501,0),"")</f>
        <v/>
      </c>
      <c r="M643">
        <f>IF($L643="","",INDEX('Per Line'!$E$2:$E$2501,$L643))</f>
        <v/>
      </c>
    </row>
    <row r="644">
      <c r="A644">
        <f>IF($L644="","",INDEX('Per Line'!$C$2:$C$2501,$L644))</f>
        <v/>
      </c>
      <c r="B644">
        <f>IF($L644="","",INDEX('Per Line'!$D$2:$D$2501,$L644))</f>
        <v/>
      </c>
      <c r="C644">
        <f>IF($L644="","",INDEX('Per Line'!$A$2:$A$2501,$L644))</f>
        <v/>
      </c>
      <c r="F644">
        <f>IF($L644="","",INDEX('Per Line'!$U$2:$U$2501,$L644))</f>
        <v/>
      </c>
      <c r="G644" s="5">
        <f>IF($L644="","",SUMIFS('Per Line'!$W$2:$W$2501,'Per Line'!$D$2:$D$2501,$B644))</f>
        <v/>
      </c>
      <c r="H644" s="5">
        <f>IF($L644="","",SUMIFS('Per Line'!$X$2:$X$2501,'Per Line'!$D$2:$D$2501,$B644))</f>
        <v/>
      </c>
      <c r="I644" s="5">
        <f>IF($L644="","",SUMIFS('Per Line'!$Y$2:$Y$2501,'Per Line'!$D$2:$D$2501,$B644))</f>
        <v/>
      </c>
      <c r="J644" s="5">
        <f>IF($L644="","",G644-H644)</f>
        <v/>
      </c>
      <c r="K644" s="5">
        <f>IF($L644="","",J644-I644)</f>
        <v/>
      </c>
      <c r="L644">
        <f>IF(ROWS($L$2:$L644)&lt;=MAX('Per Line'!$AD$2:$AD$2501),MATCH(ROWS($L$2:$L644),'Per Line'!$AD$2:$AD$2501,0),"")</f>
        <v/>
      </c>
      <c r="M644">
        <f>IF($L644="","",INDEX('Per Line'!$E$2:$E$2501,$L644))</f>
        <v/>
      </c>
    </row>
    <row r="645">
      <c r="A645">
        <f>IF($L645="","",INDEX('Per Line'!$C$2:$C$2501,$L645))</f>
        <v/>
      </c>
      <c r="B645">
        <f>IF($L645="","",INDEX('Per Line'!$D$2:$D$2501,$L645))</f>
        <v/>
      </c>
      <c r="C645">
        <f>IF($L645="","",INDEX('Per Line'!$A$2:$A$2501,$L645))</f>
        <v/>
      </c>
      <c r="F645">
        <f>IF($L645="","",INDEX('Per Line'!$U$2:$U$2501,$L645))</f>
        <v/>
      </c>
      <c r="G645" s="5">
        <f>IF($L645="","",SUMIFS('Per Line'!$W$2:$W$2501,'Per Line'!$D$2:$D$2501,$B645))</f>
        <v/>
      </c>
      <c r="H645" s="5">
        <f>IF($L645="","",SUMIFS('Per Line'!$X$2:$X$2501,'Per Line'!$D$2:$D$2501,$B645))</f>
        <v/>
      </c>
      <c r="I645" s="5">
        <f>IF($L645="","",SUMIFS('Per Line'!$Y$2:$Y$2501,'Per Line'!$D$2:$D$2501,$B645))</f>
        <v/>
      </c>
      <c r="J645" s="5">
        <f>IF($L645="","",G645-H645)</f>
        <v/>
      </c>
      <c r="K645" s="5">
        <f>IF($L645="","",J645-I645)</f>
        <v/>
      </c>
      <c r="L645">
        <f>IF(ROWS($L$2:$L645)&lt;=MAX('Per Line'!$AD$2:$AD$2501),MATCH(ROWS($L$2:$L645),'Per Line'!$AD$2:$AD$2501,0),"")</f>
        <v/>
      </c>
      <c r="M645">
        <f>IF($L645="","",INDEX('Per Line'!$E$2:$E$2501,$L645))</f>
        <v/>
      </c>
    </row>
    <row r="646">
      <c r="A646">
        <f>IF($L646="","",INDEX('Per Line'!$C$2:$C$2501,$L646))</f>
        <v/>
      </c>
      <c r="B646">
        <f>IF($L646="","",INDEX('Per Line'!$D$2:$D$2501,$L646))</f>
        <v/>
      </c>
      <c r="C646">
        <f>IF($L646="","",INDEX('Per Line'!$A$2:$A$2501,$L646))</f>
        <v/>
      </c>
      <c r="F646">
        <f>IF($L646="","",INDEX('Per Line'!$U$2:$U$2501,$L646))</f>
        <v/>
      </c>
      <c r="G646" s="5">
        <f>IF($L646="","",SUMIFS('Per Line'!$W$2:$W$2501,'Per Line'!$D$2:$D$2501,$B646))</f>
        <v/>
      </c>
      <c r="H646" s="5">
        <f>IF($L646="","",SUMIFS('Per Line'!$X$2:$X$2501,'Per Line'!$D$2:$D$2501,$B646))</f>
        <v/>
      </c>
      <c r="I646" s="5">
        <f>IF($L646="","",SUMIFS('Per Line'!$Y$2:$Y$2501,'Per Line'!$D$2:$D$2501,$B646))</f>
        <v/>
      </c>
      <c r="J646" s="5">
        <f>IF($L646="","",G646-H646)</f>
        <v/>
      </c>
      <c r="K646" s="5">
        <f>IF($L646="","",J646-I646)</f>
        <v/>
      </c>
      <c r="L646">
        <f>IF(ROWS($L$2:$L646)&lt;=MAX('Per Line'!$AD$2:$AD$2501),MATCH(ROWS($L$2:$L646),'Per Line'!$AD$2:$AD$2501,0),"")</f>
        <v/>
      </c>
      <c r="M646">
        <f>IF($L646="","",INDEX('Per Line'!$E$2:$E$2501,$L646))</f>
        <v/>
      </c>
    </row>
    <row r="647">
      <c r="A647">
        <f>IF($L647="","",INDEX('Per Line'!$C$2:$C$2501,$L647))</f>
        <v/>
      </c>
      <c r="B647">
        <f>IF($L647="","",INDEX('Per Line'!$D$2:$D$2501,$L647))</f>
        <v/>
      </c>
      <c r="C647">
        <f>IF($L647="","",INDEX('Per Line'!$A$2:$A$2501,$L647))</f>
        <v/>
      </c>
      <c r="F647">
        <f>IF($L647="","",INDEX('Per Line'!$U$2:$U$2501,$L647))</f>
        <v/>
      </c>
      <c r="G647" s="5">
        <f>IF($L647="","",SUMIFS('Per Line'!$W$2:$W$2501,'Per Line'!$D$2:$D$2501,$B647))</f>
        <v/>
      </c>
      <c r="H647" s="5">
        <f>IF($L647="","",SUMIFS('Per Line'!$X$2:$X$2501,'Per Line'!$D$2:$D$2501,$B647))</f>
        <v/>
      </c>
      <c r="I647" s="5">
        <f>IF($L647="","",SUMIFS('Per Line'!$Y$2:$Y$2501,'Per Line'!$D$2:$D$2501,$B647))</f>
        <v/>
      </c>
      <c r="J647" s="5">
        <f>IF($L647="","",G647-H647)</f>
        <v/>
      </c>
      <c r="K647" s="5">
        <f>IF($L647="","",J647-I647)</f>
        <v/>
      </c>
      <c r="L647">
        <f>IF(ROWS($L$2:$L647)&lt;=MAX('Per Line'!$AD$2:$AD$2501),MATCH(ROWS($L$2:$L647),'Per Line'!$AD$2:$AD$2501,0),"")</f>
        <v/>
      </c>
      <c r="M647">
        <f>IF($L647="","",INDEX('Per Line'!$E$2:$E$2501,$L647))</f>
        <v/>
      </c>
    </row>
    <row r="648">
      <c r="A648">
        <f>IF($L648="","",INDEX('Per Line'!$C$2:$C$2501,$L648))</f>
        <v/>
      </c>
      <c r="B648">
        <f>IF($L648="","",INDEX('Per Line'!$D$2:$D$2501,$L648))</f>
        <v/>
      </c>
      <c r="C648">
        <f>IF($L648="","",INDEX('Per Line'!$A$2:$A$2501,$L648))</f>
        <v/>
      </c>
      <c r="F648">
        <f>IF($L648="","",INDEX('Per Line'!$U$2:$U$2501,$L648))</f>
        <v/>
      </c>
      <c r="G648" s="5">
        <f>IF($L648="","",SUMIFS('Per Line'!$W$2:$W$2501,'Per Line'!$D$2:$D$2501,$B648))</f>
        <v/>
      </c>
      <c r="H648" s="5">
        <f>IF($L648="","",SUMIFS('Per Line'!$X$2:$X$2501,'Per Line'!$D$2:$D$2501,$B648))</f>
        <v/>
      </c>
      <c r="I648" s="5">
        <f>IF($L648="","",SUMIFS('Per Line'!$Y$2:$Y$2501,'Per Line'!$D$2:$D$2501,$B648))</f>
        <v/>
      </c>
      <c r="J648" s="5">
        <f>IF($L648="","",G648-H648)</f>
        <v/>
      </c>
      <c r="K648" s="5">
        <f>IF($L648="","",J648-I648)</f>
        <v/>
      </c>
      <c r="L648">
        <f>IF(ROWS($L$2:$L648)&lt;=MAX('Per Line'!$AD$2:$AD$2501),MATCH(ROWS($L$2:$L648),'Per Line'!$AD$2:$AD$2501,0),"")</f>
        <v/>
      </c>
      <c r="M648">
        <f>IF($L648="","",INDEX('Per Line'!$E$2:$E$2501,$L648))</f>
        <v/>
      </c>
    </row>
    <row r="649">
      <c r="A649">
        <f>IF($L649="","",INDEX('Per Line'!$C$2:$C$2501,$L649))</f>
        <v/>
      </c>
      <c r="B649">
        <f>IF($L649="","",INDEX('Per Line'!$D$2:$D$2501,$L649))</f>
        <v/>
      </c>
      <c r="C649">
        <f>IF($L649="","",INDEX('Per Line'!$A$2:$A$2501,$L649))</f>
        <v/>
      </c>
      <c r="F649">
        <f>IF($L649="","",INDEX('Per Line'!$U$2:$U$2501,$L649))</f>
        <v/>
      </c>
      <c r="G649" s="5">
        <f>IF($L649="","",SUMIFS('Per Line'!$W$2:$W$2501,'Per Line'!$D$2:$D$2501,$B649))</f>
        <v/>
      </c>
      <c r="H649" s="5">
        <f>IF($L649="","",SUMIFS('Per Line'!$X$2:$X$2501,'Per Line'!$D$2:$D$2501,$B649))</f>
        <v/>
      </c>
      <c r="I649" s="5">
        <f>IF($L649="","",SUMIFS('Per Line'!$Y$2:$Y$2501,'Per Line'!$D$2:$D$2501,$B649))</f>
        <v/>
      </c>
      <c r="J649" s="5">
        <f>IF($L649="","",G649-H649)</f>
        <v/>
      </c>
      <c r="K649" s="5">
        <f>IF($L649="","",J649-I649)</f>
        <v/>
      </c>
      <c r="L649">
        <f>IF(ROWS($L$2:$L649)&lt;=MAX('Per Line'!$AD$2:$AD$2501),MATCH(ROWS($L$2:$L649),'Per Line'!$AD$2:$AD$2501,0),"")</f>
        <v/>
      </c>
      <c r="M649">
        <f>IF($L649="","",INDEX('Per Line'!$E$2:$E$2501,$L649))</f>
        <v/>
      </c>
    </row>
    <row r="650">
      <c r="A650">
        <f>IF($L650="","",INDEX('Per Line'!$C$2:$C$2501,$L650))</f>
        <v/>
      </c>
      <c r="B650">
        <f>IF($L650="","",INDEX('Per Line'!$D$2:$D$2501,$L650))</f>
        <v/>
      </c>
      <c r="C650">
        <f>IF($L650="","",INDEX('Per Line'!$A$2:$A$2501,$L650))</f>
        <v/>
      </c>
      <c r="F650">
        <f>IF($L650="","",INDEX('Per Line'!$U$2:$U$2501,$L650))</f>
        <v/>
      </c>
      <c r="G650" s="5">
        <f>IF($L650="","",SUMIFS('Per Line'!$W$2:$W$2501,'Per Line'!$D$2:$D$2501,$B650))</f>
        <v/>
      </c>
      <c r="H650" s="5">
        <f>IF($L650="","",SUMIFS('Per Line'!$X$2:$X$2501,'Per Line'!$D$2:$D$2501,$B650))</f>
        <v/>
      </c>
      <c r="I650" s="5">
        <f>IF($L650="","",SUMIFS('Per Line'!$Y$2:$Y$2501,'Per Line'!$D$2:$D$2501,$B650))</f>
        <v/>
      </c>
      <c r="J650" s="5">
        <f>IF($L650="","",G650-H650)</f>
        <v/>
      </c>
      <c r="K650" s="5">
        <f>IF($L650="","",J650-I650)</f>
        <v/>
      </c>
      <c r="L650">
        <f>IF(ROWS($L$2:$L650)&lt;=MAX('Per Line'!$AD$2:$AD$2501),MATCH(ROWS($L$2:$L650),'Per Line'!$AD$2:$AD$2501,0),"")</f>
        <v/>
      </c>
      <c r="M650">
        <f>IF($L650="","",INDEX('Per Line'!$E$2:$E$2501,$L650))</f>
        <v/>
      </c>
    </row>
    <row r="651">
      <c r="A651">
        <f>IF($L651="","",INDEX('Per Line'!$C$2:$C$2501,$L651))</f>
        <v/>
      </c>
      <c r="B651">
        <f>IF($L651="","",INDEX('Per Line'!$D$2:$D$2501,$L651))</f>
        <v/>
      </c>
      <c r="C651">
        <f>IF($L651="","",INDEX('Per Line'!$A$2:$A$2501,$L651))</f>
        <v/>
      </c>
      <c r="F651">
        <f>IF($L651="","",INDEX('Per Line'!$U$2:$U$2501,$L651))</f>
        <v/>
      </c>
      <c r="G651" s="5">
        <f>IF($L651="","",SUMIFS('Per Line'!$W$2:$W$2501,'Per Line'!$D$2:$D$2501,$B651))</f>
        <v/>
      </c>
      <c r="H651" s="5">
        <f>IF($L651="","",SUMIFS('Per Line'!$X$2:$X$2501,'Per Line'!$D$2:$D$2501,$B651))</f>
        <v/>
      </c>
      <c r="I651" s="5">
        <f>IF($L651="","",SUMIFS('Per Line'!$Y$2:$Y$2501,'Per Line'!$D$2:$D$2501,$B651))</f>
        <v/>
      </c>
      <c r="J651" s="5">
        <f>IF($L651="","",G651-H651)</f>
        <v/>
      </c>
      <c r="K651" s="5">
        <f>IF($L651="","",J651-I651)</f>
        <v/>
      </c>
      <c r="L651">
        <f>IF(ROWS($L$2:$L651)&lt;=MAX('Per Line'!$AD$2:$AD$2501),MATCH(ROWS($L$2:$L651),'Per Line'!$AD$2:$AD$2501,0),"")</f>
        <v/>
      </c>
      <c r="M651">
        <f>IF($L651="","",INDEX('Per Line'!$E$2:$E$2501,$L651))</f>
        <v/>
      </c>
    </row>
    <row r="652">
      <c r="A652">
        <f>IF($L652="","",INDEX('Per Line'!$C$2:$C$2501,$L652))</f>
        <v/>
      </c>
      <c r="B652">
        <f>IF($L652="","",INDEX('Per Line'!$D$2:$D$2501,$L652))</f>
        <v/>
      </c>
      <c r="C652">
        <f>IF($L652="","",INDEX('Per Line'!$A$2:$A$2501,$L652))</f>
        <v/>
      </c>
      <c r="F652">
        <f>IF($L652="","",INDEX('Per Line'!$U$2:$U$2501,$L652))</f>
        <v/>
      </c>
      <c r="G652" s="5">
        <f>IF($L652="","",SUMIFS('Per Line'!$W$2:$W$2501,'Per Line'!$D$2:$D$2501,$B652))</f>
        <v/>
      </c>
      <c r="H652" s="5">
        <f>IF($L652="","",SUMIFS('Per Line'!$X$2:$X$2501,'Per Line'!$D$2:$D$2501,$B652))</f>
        <v/>
      </c>
      <c r="I652" s="5">
        <f>IF($L652="","",SUMIFS('Per Line'!$Y$2:$Y$2501,'Per Line'!$D$2:$D$2501,$B652))</f>
        <v/>
      </c>
      <c r="J652" s="5">
        <f>IF($L652="","",G652-H652)</f>
        <v/>
      </c>
      <c r="K652" s="5">
        <f>IF($L652="","",J652-I652)</f>
        <v/>
      </c>
      <c r="L652">
        <f>IF(ROWS($L$2:$L652)&lt;=MAX('Per Line'!$AD$2:$AD$2501),MATCH(ROWS($L$2:$L652),'Per Line'!$AD$2:$AD$2501,0),"")</f>
        <v/>
      </c>
      <c r="M652">
        <f>IF($L652="","",INDEX('Per Line'!$E$2:$E$2501,$L652))</f>
        <v/>
      </c>
    </row>
    <row r="653">
      <c r="A653">
        <f>IF($L653="","",INDEX('Per Line'!$C$2:$C$2501,$L653))</f>
        <v/>
      </c>
      <c r="B653">
        <f>IF($L653="","",INDEX('Per Line'!$D$2:$D$2501,$L653))</f>
        <v/>
      </c>
      <c r="C653">
        <f>IF($L653="","",INDEX('Per Line'!$A$2:$A$2501,$L653))</f>
        <v/>
      </c>
      <c r="F653">
        <f>IF($L653="","",INDEX('Per Line'!$U$2:$U$2501,$L653))</f>
        <v/>
      </c>
      <c r="G653" s="5">
        <f>IF($L653="","",SUMIFS('Per Line'!$W$2:$W$2501,'Per Line'!$D$2:$D$2501,$B653))</f>
        <v/>
      </c>
      <c r="H653" s="5">
        <f>IF($L653="","",SUMIFS('Per Line'!$X$2:$X$2501,'Per Line'!$D$2:$D$2501,$B653))</f>
        <v/>
      </c>
      <c r="I653" s="5">
        <f>IF($L653="","",SUMIFS('Per Line'!$Y$2:$Y$2501,'Per Line'!$D$2:$D$2501,$B653))</f>
        <v/>
      </c>
      <c r="J653" s="5">
        <f>IF($L653="","",G653-H653)</f>
        <v/>
      </c>
      <c r="K653" s="5">
        <f>IF($L653="","",J653-I653)</f>
        <v/>
      </c>
      <c r="L653">
        <f>IF(ROWS($L$2:$L653)&lt;=MAX('Per Line'!$AD$2:$AD$2501),MATCH(ROWS($L$2:$L653),'Per Line'!$AD$2:$AD$2501,0),"")</f>
        <v/>
      </c>
      <c r="M653">
        <f>IF($L653="","",INDEX('Per Line'!$E$2:$E$2501,$L653))</f>
        <v/>
      </c>
    </row>
    <row r="654">
      <c r="A654">
        <f>IF($L654="","",INDEX('Per Line'!$C$2:$C$2501,$L654))</f>
        <v/>
      </c>
      <c r="B654">
        <f>IF($L654="","",INDEX('Per Line'!$D$2:$D$2501,$L654))</f>
        <v/>
      </c>
      <c r="C654">
        <f>IF($L654="","",INDEX('Per Line'!$A$2:$A$2501,$L654))</f>
        <v/>
      </c>
      <c r="F654">
        <f>IF($L654="","",INDEX('Per Line'!$U$2:$U$2501,$L654))</f>
        <v/>
      </c>
      <c r="G654" s="5">
        <f>IF($L654="","",SUMIFS('Per Line'!$W$2:$W$2501,'Per Line'!$D$2:$D$2501,$B654))</f>
        <v/>
      </c>
      <c r="H654" s="5">
        <f>IF($L654="","",SUMIFS('Per Line'!$X$2:$X$2501,'Per Line'!$D$2:$D$2501,$B654))</f>
        <v/>
      </c>
      <c r="I654" s="5">
        <f>IF($L654="","",SUMIFS('Per Line'!$Y$2:$Y$2501,'Per Line'!$D$2:$D$2501,$B654))</f>
        <v/>
      </c>
      <c r="J654" s="5">
        <f>IF($L654="","",G654-H654)</f>
        <v/>
      </c>
      <c r="K654" s="5">
        <f>IF($L654="","",J654-I654)</f>
        <v/>
      </c>
      <c r="L654">
        <f>IF(ROWS($L$2:$L654)&lt;=MAX('Per Line'!$AD$2:$AD$2501),MATCH(ROWS($L$2:$L654),'Per Line'!$AD$2:$AD$2501,0),"")</f>
        <v/>
      </c>
      <c r="M654">
        <f>IF($L654="","",INDEX('Per Line'!$E$2:$E$2501,$L654))</f>
        <v/>
      </c>
    </row>
    <row r="655">
      <c r="A655">
        <f>IF($L655="","",INDEX('Per Line'!$C$2:$C$2501,$L655))</f>
        <v/>
      </c>
      <c r="B655">
        <f>IF($L655="","",INDEX('Per Line'!$D$2:$D$2501,$L655))</f>
        <v/>
      </c>
      <c r="C655">
        <f>IF($L655="","",INDEX('Per Line'!$A$2:$A$2501,$L655))</f>
        <v/>
      </c>
      <c r="F655">
        <f>IF($L655="","",INDEX('Per Line'!$U$2:$U$2501,$L655))</f>
        <v/>
      </c>
      <c r="G655" s="5">
        <f>IF($L655="","",SUMIFS('Per Line'!$W$2:$W$2501,'Per Line'!$D$2:$D$2501,$B655))</f>
        <v/>
      </c>
      <c r="H655" s="5">
        <f>IF($L655="","",SUMIFS('Per Line'!$X$2:$X$2501,'Per Line'!$D$2:$D$2501,$B655))</f>
        <v/>
      </c>
      <c r="I655" s="5">
        <f>IF($L655="","",SUMIFS('Per Line'!$Y$2:$Y$2501,'Per Line'!$D$2:$D$2501,$B655))</f>
        <v/>
      </c>
      <c r="J655" s="5">
        <f>IF($L655="","",G655-H655)</f>
        <v/>
      </c>
      <c r="K655" s="5">
        <f>IF($L655="","",J655-I655)</f>
        <v/>
      </c>
      <c r="L655">
        <f>IF(ROWS($L$2:$L655)&lt;=MAX('Per Line'!$AD$2:$AD$2501),MATCH(ROWS($L$2:$L655),'Per Line'!$AD$2:$AD$2501,0),"")</f>
        <v/>
      </c>
      <c r="M655">
        <f>IF($L655="","",INDEX('Per Line'!$E$2:$E$2501,$L655))</f>
        <v/>
      </c>
    </row>
    <row r="656">
      <c r="A656">
        <f>IF($L656="","",INDEX('Per Line'!$C$2:$C$2501,$L656))</f>
        <v/>
      </c>
      <c r="B656">
        <f>IF($L656="","",INDEX('Per Line'!$D$2:$D$2501,$L656))</f>
        <v/>
      </c>
      <c r="C656">
        <f>IF($L656="","",INDEX('Per Line'!$A$2:$A$2501,$L656))</f>
        <v/>
      </c>
      <c r="F656">
        <f>IF($L656="","",INDEX('Per Line'!$U$2:$U$2501,$L656))</f>
        <v/>
      </c>
      <c r="G656" s="5">
        <f>IF($L656="","",SUMIFS('Per Line'!$W$2:$W$2501,'Per Line'!$D$2:$D$2501,$B656))</f>
        <v/>
      </c>
      <c r="H656" s="5">
        <f>IF($L656="","",SUMIFS('Per Line'!$X$2:$X$2501,'Per Line'!$D$2:$D$2501,$B656))</f>
        <v/>
      </c>
      <c r="I656" s="5">
        <f>IF($L656="","",SUMIFS('Per Line'!$Y$2:$Y$2501,'Per Line'!$D$2:$D$2501,$B656))</f>
        <v/>
      </c>
      <c r="J656" s="5">
        <f>IF($L656="","",G656-H656)</f>
        <v/>
      </c>
      <c r="K656" s="5">
        <f>IF($L656="","",J656-I656)</f>
        <v/>
      </c>
      <c r="L656">
        <f>IF(ROWS($L$2:$L656)&lt;=MAX('Per Line'!$AD$2:$AD$2501),MATCH(ROWS($L$2:$L656),'Per Line'!$AD$2:$AD$2501,0),"")</f>
        <v/>
      </c>
      <c r="M656">
        <f>IF($L656="","",INDEX('Per Line'!$E$2:$E$2501,$L656))</f>
        <v/>
      </c>
    </row>
    <row r="657">
      <c r="A657">
        <f>IF($L657="","",INDEX('Per Line'!$C$2:$C$2501,$L657))</f>
        <v/>
      </c>
      <c r="B657">
        <f>IF($L657="","",INDEX('Per Line'!$D$2:$D$2501,$L657))</f>
        <v/>
      </c>
      <c r="C657">
        <f>IF($L657="","",INDEX('Per Line'!$A$2:$A$2501,$L657))</f>
        <v/>
      </c>
      <c r="F657">
        <f>IF($L657="","",INDEX('Per Line'!$U$2:$U$2501,$L657))</f>
        <v/>
      </c>
      <c r="G657" s="5">
        <f>IF($L657="","",SUMIFS('Per Line'!$W$2:$W$2501,'Per Line'!$D$2:$D$2501,$B657))</f>
        <v/>
      </c>
      <c r="H657" s="5">
        <f>IF($L657="","",SUMIFS('Per Line'!$X$2:$X$2501,'Per Line'!$D$2:$D$2501,$B657))</f>
        <v/>
      </c>
      <c r="I657" s="5">
        <f>IF($L657="","",SUMIFS('Per Line'!$Y$2:$Y$2501,'Per Line'!$D$2:$D$2501,$B657))</f>
        <v/>
      </c>
      <c r="J657" s="5">
        <f>IF($L657="","",G657-H657)</f>
        <v/>
      </c>
      <c r="K657" s="5">
        <f>IF($L657="","",J657-I657)</f>
        <v/>
      </c>
      <c r="L657">
        <f>IF(ROWS($L$2:$L657)&lt;=MAX('Per Line'!$AD$2:$AD$2501),MATCH(ROWS($L$2:$L657),'Per Line'!$AD$2:$AD$2501,0),"")</f>
        <v/>
      </c>
      <c r="M657">
        <f>IF($L657="","",INDEX('Per Line'!$E$2:$E$2501,$L657))</f>
        <v/>
      </c>
    </row>
    <row r="658">
      <c r="A658">
        <f>IF($L658="","",INDEX('Per Line'!$C$2:$C$2501,$L658))</f>
        <v/>
      </c>
      <c r="B658">
        <f>IF($L658="","",INDEX('Per Line'!$D$2:$D$2501,$L658))</f>
        <v/>
      </c>
      <c r="C658">
        <f>IF($L658="","",INDEX('Per Line'!$A$2:$A$2501,$L658))</f>
        <v/>
      </c>
      <c r="F658">
        <f>IF($L658="","",INDEX('Per Line'!$U$2:$U$2501,$L658))</f>
        <v/>
      </c>
      <c r="G658" s="5">
        <f>IF($L658="","",SUMIFS('Per Line'!$W$2:$W$2501,'Per Line'!$D$2:$D$2501,$B658))</f>
        <v/>
      </c>
      <c r="H658" s="5">
        <f>IF($L658="","",SUMIFS('Per Line'!$X$2:$X$2501,'Per Line'!$D$2:$D$2501,$B658))</f>
        <v/>
      </c>
      <c r="I658" s="5">
        <f>IF($L658="","",SUMIFS('Per Line'!$Y$2:$Y$2501,'Per Line'!$D$2:$D$2501,$B658))</f>
        <v/>
      </c>
      <c r="J658" s="5">
        <f>IF($L658="","",G658-H658)</f>
        <v/>
      </c>
      <c r="K658" s="5">
        <f>IF($L658="","",J658-I658)</f>
        <v/>
      </c>
      <c r="L658">
        <f>IF(ROWS($L$2:$L658)&lt;=MAX('Per Line'!$AD$2:$AD$2501),MATCH(ROWS($L$2:$L658),'Per Line'!$AD$2:$AD$2501,0),"")</f>
        <v/>
      </c>
      <c r="M658">
        <f>IF($L658="","",INDEX('Per Line'!$E$2:$E$2501,$L658))</f>
        <v/>
      </c>
    </row>
    <row r="659">
      <c r="A659">
        <f>IF($L659="","",INDEX('Per Line'!$C$2:$C$2501,$L659))</f>
        <v/>
      </c>
      <c r="B659">
        <f>IF($L659="","",INDEX('Per Line'!$D$2:$D$2501,$L659))</f>
        <v/>
      </c>
      <c r="C659">
        <f>IF($L659="","",INDEX('Per Line'!$A$2:$A$2501,$L659))</f>
        <v/>
      </c>
      <c r="F659">
        <f>IF($L659="","",INDEX('Per Line'!$U$2:$U$2501,$L659))</f>
        <v/>
      </c>
      <c r="G659" s="5">
        <f>IF($L659="","",SUMIFS('Per Line'!$W$2:$W$2501,'Per Line'!$D$2:$D$2501,$B659))</f>
        <v/>
      </c>
      <c r="H659" s="5">
        <f>IF($L659="","",SUMIFS('Per Line'!$X$2:$X$2501,'Per Line'!$D$2:$D$2501,$B659))</f>
        <v/>
      </c>
      <c r="I659" s="5">
        <f>IF($L659="","",SUMIFS('Per Line'!$Y$2:$Y$2501,'Per Line'!$D$2:$D$2501,$B659))</f>
        <v/>
      </c>
      <c r="J659" s="5">
        <f>IF($L659="","",G659-H659)</f>
        <v/>
      </c>
      <c r="K659" s="5">
        <f>IF($L659="","",J659-I659)</f>
        <v/>
      </c>
      <c r="L659">
        <f>IF(ROWS($L$2:$L659)&lt;=MAX('Per Line'!$AD$2:$AD$2501),MATCH(ROWS($L$2:$L659),'Per Line'!$AD$2:$AD$2501,0),"")</f>
        <v/>
      </c>
      <c r="M659">
        <f>IF($L659="","",INDEX('Per Line'!$E$2:$E$2501,$L659))</f>
        <v/>
      </c>
    </row>
    <row r="660">
      <c r="A660">
        <f>IF($L660="","",INDEX('Per Line'!$C$2:$C$2501,$L660))</f>
        <v/>
      </c>
      <c r="B660">
        <f>IF($L660="","",INDEX('Per Line'!$D$2:$D$2501,$L660))</f>
        <v/>
      </c>
      <c r="C660">
        <f>IF($L660="","",INDEX('Per Line'!$A$2:$A$2501,$L660))</f>
        <v/>
      </c>
      <c r="F660">
        <f>IF($L660="","",INDEX('Per Line'!$U$2:$U$2501,$L660))</f>
        <v/>
      </c>
      <c r="G660" s="5">
        <f>IF($L660="","",SUMIFS('Per Line'!$W$2:$W$2501,'Per Line'!$D$2:$D$2501,$B660))</f>
        <v/>
      </c>
      <c r="H660" s="5">
        <f>IF($L660="","",SUMIFS('Per Line'!$X$2:$X$2501,'Per Line'!$D$2:$D$2501,$B660))</f>
        <v/>
      </c>
      <c r="I660" s="5">
        <f>IF($L660="","",SUMIFS('Per Line'!$Y$2:$Y$2501,'Per Line'!$D$2:$D$2501,$B660))</f>
        <v/>
      </c>
      <c r="J660" s="5">
        <f>IF($L660="","",G660-H660)</f>
        <v/>
      </c>
      <c r="K660" s="5">
        <f>IF($L660="","",J660-I660)</f>
        <v/>
      </c>
      <c r="L660">
        <f>IF(ROWS($L$2:$L660)&lt;=MAX('Per Line'!$AD$2:$AD$2501),MATCH(ROWS($L$2:$L660),'Per Line'!$AD$2:$AD$2501,0),"")</f>
        <v/>
      </c>
      <c r="M660">
        <f>IF($L660="","",INDEX('Per Line'!$E$2:$E$2501,$L660))</f>
        <v/>
      </c>
    </row>
    <row r="661">
      <c r="A661">
        <f>IF($L661="","",INDEX('Per Line'!$C$2:$C$2501,$L661))</f>
        <v/>
      </c>
      <c r="B661">
        <f>IF($L661="","",INDEX('Per Line'!$D$2:$D$2501,$L661))</f>
        <v/>
      </c>
      <c r="C661">
        <f>IF($L661="","",INDEX('Per Line'!$A$2:$A$2501,$L661))</f>
        <v/>
      </c>
      <c r="F661">
        <f>IF($L661="","",INDEX('Per Line'!$U$2:$U$2501,$L661))</f>
        <v/>
      </c>
      <c r="G661" s="5">
        <f>IF($L661="","",SUMIFS('Per Line'!$W$2:$W$2501,'Per Line'!$D$2:$D$2501,$B661))</f>
        <v/>
      </c>
      <c r="H661" s="5">
        <f>IF($L661="","",SUMIFS('Per Line'!$X$2:$X$2501,'Per Line'!$D$2:$D$2501,$B661))</f>
        <v/>
      </c>
      <c r="I661" s="5">
        <f>IF($L661="","",SUMIFS('Per Line'!$Y$2:$Y$2501,'Per Line'!$D$2:$D$2501,$B661))</f>
        <v/>
      </c>
      <c r="J661" s="5">
        <f>IF($L661="","",G661-H661)</f>
        <v/>
      </c>
      <c r="K661" s="5">
        <f>IF($L661="","",J661-I661)</f>
        <v/>
      </c>
      <c r="L661">
        <f>IF(ROWS($L$2:$L661)&lt;=MAX('Per Line'!$AD$2:$AD$2501),MATCH(ROWS($L$2:$L661),'Per Line'!$AD$2:$AD$2501,0),"")</f>
        <v/>
      </c>
      <c r="M661">
        <f>IF($L661="","",INDEX('Per Line'!$E$2:$E$2501,$L661))</f>
        <v/>
      </c>
    </row>
    <row r="662">
      <c r="A662">
        <f>IF($L662="","",INDEX('Per Line'!$C$2:$C$2501,$L662))</f>
        <v/>
      </c>
      <c r="B662">
        <f>IF($L662="","",INDEX('Per Line'!$D$2:$D$2501,$L662))</f>
        <v/>
      </c>
      <c r="C662">
        <f>IF($L662="","",INDEX('Per Line'!$A$2:$A$2501,$L662))</f>
        <v/>
      </c>
      <c r="F662">
        <f>IF($L662="","",INDEX('Per Line'!$U$2:$U$2501,$L662))</f>
        <v/>
      </c>
      <c r="G662" s="5">
        <f>IF($L662="","",SUMIFS('Per Line'!$W$2:$W$2501,'Per Line'!$D$2:$D$2501,$B662))</f>
        <v/>
      </c>
      <c r="H662" s="5">
        <f>IF($L662="","",SUMIFS('Per Line'!$X$2:$X$2501,'Per Line'!$D$2:$D$2501,$B662))</f>
        <v/>
      </c>
      <c r="I662" s="5">
        <f>IF($L662="","",SUMIFS('Per Line'!$Y$2:$Y$2501,'Per Line'!$D$2:$D$2501,$B662))</f>
        <v/>
      </c>
      <c r="J662" s="5">
        <f>IF($L662="","",G662-H662)</f>
        <v/>
      </c>
      <c r="K662" s="5">
        <f>IF($L662="","",J662-I662)</f>
        <v/>
      </c>
      <c r="L662">
        <f>IF(ROWS($L$2:$L662)&lt;=MAX('Per Line'!$AD$2:$AD$2501),MATCH(ROWS($L$2:$L662),'Per Line'!$AD$2:$AD$2501,0),"")</f>
        <v/>
      </c>
      <c r="M662">
        <f>IF($L662="","",INDEX('Per Line'!$E$2:$E$2501,$L662))</f>
        <v/>
      </c>
    </row>
    <row r="663">
      <c r="A663">
        <f>IF($L663="","",INDEX('Per Line'!$C$2:$C$2501,$L663))</f>
        <v/>
      </c>
      <c r="B663">
        <f>IF($L663="","",INDEX('Per Line'!$D$2:$D$2501,$L663))</f>
        <v/>
      </c>
      <c r="C663">
        <f>IF($L663="","",INDEX('Per Line'!$A$2:$A$2501,$L663))</f>
        <v/>
      </c>
      <c r="F663">
        <f>IF($L663="","",INDEX('Per Line'!$U$2:$U$2501,$L663))</f>
        <v/>
      </c>
      <c r="G663" s="5">
        <f>IF($L663="","",SUMIFS('Per Line'!$W$2:$W$2501,'Per Line'!$D$2:$D$2501,$B663))</f>
        <v/>
      </c>
      <c r="H663" s="5">
        <f>IF($L663="","",SUMIFS('Per Line'!$X$2:$X$2501,'Per Line'!$D$2:$D$2501,$B663))</f>
        <v/>
      </c>
      <c r="I663" s="5">
        <f>IF($L663="","",SUMIFS('Per Line'!$Y$2:$Y$2501,'Per Line'!$D$2:$D$2501,$B663))</f>
        <v/>
      </c>
      <c r="J663" s="5">
        <f>IF($L663="","",G663-H663)</f>
        <v/>
      </c>
      <c r="K663" s="5">
        <f>IF($L663="","",J663-I663)</f>
        <v/>
      </c>
      <c r="L663">
        <f>IF(ROWS($L$2:$L663)&lt;=MAX('Per Line'!$AD$2:$AD$2501),MATCH(ROWS($L$2:$L663),'Per Line'!$AD$2:$AD$2501,0),"")</f>
        <v/>
      </c>
      <c r="M663">
        <f>IF($L663="","",INDEX('Per Line'!$E$2:$E$2501,$L663))</f>
        <v/>
      </c>
    </row>
    <row r="664">
      <c r="A664">
        <f>IF($L664="","",INDEX('Per Line'!$C$2:$C$2501,$L664))</f>
        <v/>
      </c>
      <c r="B664">
        <f>IF($L664="","",INDEX('Per Line'!$D$2:$D$2501,$L664))</f>
        <v/>
      </c>
      <c r="C664">
        <f>IF($L664="","",INDEX('Per Line'!$A$2:$A$2501,$L664))</f>
        <v/>
      </c>
      <c r="F664">
        <f>IF($L664="","",INDEX('Per Line'!$U$2:$U$2501,$L664))</f>
        <v/>
      </c>
      <c r="G664" s="5">
        <f>IF($L664="","",SUMIFS('Per Line'!$W$2:$W$2501,'Per Line'!$D$2:$D$2501,$B664))</f>
        <v/>
      </c>
      <c r="H664" s="5">
        <f>IF($L664="","",SUMIFS('Per Line'!$X$2:$X$2501,'Per Line'!$D$2:$D$2501,$B664))</f>
        <v/>
      </c>
      <c r="I664" s="5">
        <f>IF($L664="","",SUMIFS('Per Line'!$Y$2:$Y$2501,'Per Line'!$D$2:$D$2501,$B664))</f>
        <v/>
      </c>
      <c r="J664" s="5">
        <f>IF($L664="","",G664-H664)</f>
        <v/>
      </c>
      <c r="K664" s="5">
        <f>IF($L664="","",J664-I664)</f>
        <v/>
      </c>
      <c r="L664">
        <f>IF(ROWS($L$2:$L664)&lt;=MAX('Per Line'!$AD$2:$AD$2501),MATCH(ROWS($L$2:$L664),'Per Line'!$AD$2:$AD$2501,0),"")</f>
        <v/>
      </c>
      <c r="M664">
        <f>IF($L664="","",INDEX('Per Line'!$E$2:$E$2501,$L664))</f>
        <v/>
      </c>
    </row>
    <row r="665">
      <c r="A665">
        <f>IF($L665="","",INDEX('Per Line'!$C$2:$C$2501,$L665))</f>
        <v/>
      </c>
      <c r="B665">
        <f>IF($L665="","",INDEX('Per Line'!$D$2:$D$2501,$L665))</f>
        <v/>
      </c>
      <c r="C665">
        <f>IF($L665="","",INDEX('Per Line'!$A$2:$A$2501,$L665))</f>
        <v/>
      </c>
      <c r="F665">
        <f>IF($L665="","",INDEX('Per Line'!$U$2:$U$2501,$L665))</f>
        <v/>
      </c>
      <c r="G665" s="5">
        <f>IF($L665="","",SUMIFS('Per Line'!$W$2:$W$2501,'Per Line'!$D$2:$D$2501,$B665))</f>
        <v/>
      </c>
      <c r="H665" s="5">
        <f>IF($L665="","",SUMIFS('Per Line'!$X$2:$X$2501,'Per Line'!$D$2:$D$2501,$B665))</f>
        <v/>
      </c>
      <c r="I665" s="5">
        <f>IF($L665="","",SUMIFS('Per Line'!$Y$2:$Y$2501,'Per Line'!$D$2:$D$2501,$B665))</f>
        <v/>
      </c>
      <c r="J665" s="5">
        <f>IF($L665="","",G665-H665)</f>
        <v/>
      </c>
      <c r="K665" s="5">
        <f>IF($L665="","",J665-I665)</f>
        <v/>
      </c>
      <c r="L665">
        <f>IF(ROWS($L$2:$L665)&lt;=MAX('Per Line'!$AD$2:$AD$2501),MATCH(ROWS($L$2:$L665),'Per Line'!$AD$2:$AD$2501,0),"")</f>
        <v/>
      </c>
      <c r="M665">
        <f>IF($L665="","",INDEX('Per Line'!$E$2:$E$2501,$L665))</f>
        <v/>
      </c>
    </row>
    <row r="666">
      <c r="A666">
        <f>IF($L666="","",INDEX('Per Line'!$C$2:$C$2501,$L666))</f>
        <v/>
      </c>
      <c r="B666">
        <f>IF($L666="","",INDEX('Per Line'!$D$2:$D$2501,$L666))</f>
        <v/>
      </c>
      <c r="C666">
        <f>IF($L666="","",INDEX('Per Line'!$A$2:$A$2501,$L666))</f>
        <v/>
      </c>
      <c r="F666">
        <f>IF($L666="","",INDEX('Per Line'!$U$2:$U$2501,$L666))</f>
        <v/>
      </c>
      <c r="G666" s="5">
        <f>IF($L666="","",SUMIFS('Per Line'!$W$2:$W$2501,'Per Line'!$D$2:$D$2501,$B666))</f>
        <v/>
      </c>
      <c r="H666" s="5">
        <f>IF($L666="","",SUMIFS('Per Line'!$X$2:$X$2501,'Per Line'!$D$2:$D$2501,$B666))</f>
        <v/>
      </c>
      <c r="I666" s="5">
        <f>IF($L666="","",SUMIFS('Per Line'!$Y$2:$Y$2501,'Per Line'!$D$2:$D$2501,$B666))</f>
        <v/>
      </c>
      <c r="J666" s="5">
        <f>IF($L666="","",G666-H666)</f>
        <v/>
      </c>
      <c r="K666" s="5">
        <f>IF($L666="","",J666-I666)</f>
        <v/>
      </c>
      <c r="L666">
        <f>IF(ROWS($L$2:$L666)&lt;=MAX('Per Line'!$AD$2:$AD$2501),MATCH(ROWS($L$2:$L666),'Per Line'!$AD$2:$AD$2501,0),"")</f>
        <v/>
      </c>
      <c r="M666">
        <f>IF($L666="","",INDEX('Per Line'!$E$2:$E$2501,$L666))</f>
        <v/>
      </c>
    </row>
    <row r="667">
      <c r="A667">
        <f>IF($L667="","",INDEX('Per Line'!$C$2:$C$2501,$L667))</f>
        <v/>
      </c>
      <c r="B667">
        <f>IF($L667="","",INDEX('Per Line'!$D$2:$D$2501,$L667))</f>
        <v/>
      </c>
      <c r="C667">
        <f>IF($L667="","",INDEX('Per Line'!$A$2:$A$2501,$L667))</f>
        <v/>
      </c>
      <c r="F667">
        <f>IF($L667="","",INDEX('Per Line'!$U$2:$U$2501,$L667))</f>
        <v/>
      </c>
      <c r="G667" s="5">
        <f>IF($L667="","",SUMIFS('Per Line'!$W$2:$W$2501,'Per Line'!$D$2:$D$2501,$B667))</f>
        <v/>
      </c>
      <c r="H667" s="5">
        <f>IF($L667="","",SUMIFS('Per Line'!$X$2:$X$2501,'Per Line'!$D$2:$D$2501,$B667))</f>
        <v/>
      </c>
      <c r="I667" s="5">
        <f>IF($L667="","",SUMIFS('Per Line'!$Y$2:$Y$2501,'Per Line'!$D$2:$D$2501,$B667))</f>
        <v/>
      </c>
      <c r="J667" s="5">
        <f>IF($L667="","",G667-H667)</f>
        <v/>
      </c>
      <c r="K667" s="5">
        <f>IF($L667="","",J667-I667)</f>
        <v/>
      </c>
      <c r="L667">
        <f>IF(ROWS($L$2:$L667)&lt;=MAX('Per Line'!$AD$2:$AD$2501),MATCH(ROWS($L$2:$L667),'Per Line'!$AD$2:$AD$2501,0),"")</f>
        <v/>
      </c>
      <c r="M667">
        <f>IF($L667="","",INDEX('Per Line'!$E$2:$E$2501,$L667))</f>
        <v/>
      </c>
    </row>
    <row r="668">
      <c r="A668">
        <f>IF($L668="","",INDEX('Per Line'!$C$2:$C$2501,$L668))</f>
        <v/>
      </c>
      <c r="B668">
        <f>IF($L668="","",INDEX('Per Line'!$D$2:$D$2501,$L668))</f>
        <v/>
      </c>
      <c r="C668">
        <f>IF($L668="","",INDEX('Per Line'!$A$2:$A$2501,$L668))</f>
        <v/>
      </c>
      <c r="F668">
        <f>IF($L668="","",INDEX('Per Line'!$U$2:$U$2501,$L668))</f>
        <v/>
      </c>
      <c r="G668" s="5">
        <f>IF($L668="","",SUMIFS('Per Line'!$W$2:$W$2501,'Per Line'!$D$2:$D$2501,$B668))</f>
        <v/>
      </c>
      <c r="H668" s="5">
        <f>IF($L668="","",SUMIFS('Per Line'!$X$2:$X$2501,'Per Line'!$D$2:$D$2501,$B668))</f>
        <v/>
      </c>
      <c r="I668" s="5">
        <f>IF($L668="","",SUMIFS('Per Line'!$Y$2:$Y$2501,'Per Line'!$D$2:$D$2501,$B668))</f>
        <v/>
      </c>
      <c r="J668" s="5">
        <f>IF($L668="","",G668-H668)</f>
        <v/>
      </c>
      <c r="K668" s="5">
        <f>IF($L668="","",J668-I668)</f>
        <v/>
      </c>
      <c r="L668">
        <f>IF(ROWS($L$2:$L668)&lt;=MAX('Per Line'!$AD$2:$AD$2501),MATCH(ROWS($L$2:$L668),'Per Line'!$AD$2:$AD$2501,0),"")</f>
        <v/>
      </c>
      <c r="M668">
        <f>IF($L668="","",INDEX('Per Line'!$E$2:$E$2501,$L668))</f>
        <v/>
      </c>
    </row>
    <row r="669">
      <c r="A669">
        <f>IF($L669="","",INDEX('Per Line'!$C$2:$C$2501,$L669))</f>
        <v/>
      </c>
      <c r="B669">
        <f>IF($L669="","",INDEX('Per Line'!$D$2:$D$2501,$L669))</f>
        <v/>
      </c>
      <c r="C669">
        <f>IF($L669="","",INDEX('Per Line'!$A$2:$A$2501,$L669))</f>
        <v/>
      </c>
      <c r="F669">
        <f>IF($L669="","",INDEX('Per Line'!$U$2:$U$2501,$L669))</f>
        <v/>
      </c>
      <c r="G669" s="5">
        <f>IF($L669="","",SUMIFS('Per Line'!$W$2:$W$2501,'Per Line'!$D$2:$D$2501,$B669))</f>
        <v/>
      </c>
      <c r="H669" s="5">
        <f>IF($L669="","",SUMIFS('Per Line'!$X$2:$X$2501,'Per Line'!$D$2:$D$2501,$B669))</f>
        <v/>
      </c>
      <c r="I669" s="5">
        <f>IF($L669="","",SUMIFS('Per Line'!$Y$2:$Y$2501,'Per Line'!$D$2:$D$2501,$B669))</f>
        <v/>
      </c>
      <c r="J669" s="5">
        <f>IF($L669="","",G669-H669)</f>
        <v/>
      </c>
      <c r="K669" s="5">
        <f>IF($L669="","",J669-I669)</f>
        <v/>
      </c>
      <c r="L669">
        <f>IF(ROWS($L$2:$L669)&lt;=MAX('Per Line'!$AD$2:$AD$2501),MATCH(ROWS($L$2:$L669),'Per Line'!$AD$2:$AD$2501,0),"")</f>
        <v/>
      </c>
      <c r="M669">
        <f>IF($L669="","",INDEX('Per Line'!$E$2:$E$2501,$L669))</f>
        <v/>
      </c>
    </row>
    <row r="670">
      <c r="A670">
        <f>IF($L670="","",INDEX('Per Line'!$C$2:$C$2501,$L670))</f>
        <v/>
      </c>
      <c r="B670">
        <f>IF($L670="","",INDEX('Per Line'!$D$2:$D$2501,$L670))</f>
        <v/>
      </c>
      <c r="C670">
        <f>IF($L670="","",INDEX('Per Line'!$A$2:$A$2501,$L670))</f>
        <v/>
      </c>
      <c r="F670">
        <f>IF($L670="","",INDEX('Per Line'!$U$2:$U$2501,$L670))</f>
        <v/>
      </c>
      <c r="G670" s="5">
        <f>IF($L670="","",SUMIFS('Per Line'!$W$2:$W$2501,'Per Line'!$D$2:$D$2501,$B670))</f>
        <v/>
      </c>
      <c r="H670" s="5">
        <f>IF($L670="","",SUMIFS('Per Line'!$X$2:$X$2501,'Per Line'!$D$2:$D$2501,$B670))</f>
        <v/>
      </c>
      <c r="I670" s="5">
        <f>IF($L670="","",SUMIFS('Per Line'!$Y$2:$Y$2501,'Per Line'!$D$2:$D$2501,$B670))</f>
        <v/>
      </c>
      <c r="J670" s="5">
        <f>IF($L670="","",G670-H670)</f>
        <v/>
      </c>
      <c r="K670" s="5">
        <f>IF($L670="","",J670-I670)</f>
        <v/>
      </c>
      <c r="L670">
        <f>IF(ROWS($L$2:$L670)&lt;=MAX('Per Line'!$AD$2:$AD$2501),MATCH(ROWS($L$2:$L670),'Per Line'!$AD$2:$AD$2501,0),"")</f>
        <v/>
      </c>
      <c r="M670">
        <f>IF($L670="","",INDEX('Per Line'!$E$2:$E$2501,$L670))</f>
        <v/>
      </c>
    </row>
    <row r="671">
      <c r="A671">
        <f>IF($L671="","",INDEX('Per Line'!$C$2:$C$2501,$L671))</f>
        <v/>
      </c>
      <c r="B671">
        <f>IF($L671="","",INDEX('Per Line'!$D$2:$D$2501,$L671))</f>
        <v/>
      </c>
      <c r="C671">
        <f>IF($L671="","",INDEX('Per Line'!$A$2:$A$2501,$L671))</f>
        <v/>
      </c>
      <c r="F671">
        <f>IF($L671="","",INDEX('Per Line'!$U$2:$U$2501,$L671))</f>
        <v/>
      </c>
      <c r="G671" s="5">
        <f>IF($L671="","",SUMIFS('Per Line'!$W$2:$W$2501,'Per Line'!$D$2:$D$2501,$B671))</f>
        <v/>
      </c>
      <c r="H671" s="5">
        <f>IF($L671="","",SUMIFS('Per Line'!$X$2:$X$2501,'Per Line'!$D$2:$D$2501,$B671))</f>
        <v/>
      </c>
      <c r="I671" s="5">
        <f>IF($L671="","",SUMIFS('Per Line'!$Y$2:$Y$2501,'Per Line'!$D$2:$D$2501,$B671))</f>
        <v/>
      </c>
      <c r="J671" s="5">
        <f>IF($L671="","",G671-H671)</f>
        <v/>
      </c>
      <c r="K671" s="5">
        <f>IF($L671="","",J671-I671)</f>
        <v/>
      </c>
      <c r="L671">
        <f>IF(ROWS($L$2:$L671)&lt;=MAX('Per Line'!$AD$2:$AD$2501),MATCH(ROWS($L$2:$L671),'Per Line'!$AD$2:$AD$2501,0),"")</f>
        <v/>
      </c>
      <c r="M671">
        <f>IF($L671="","",INDEX('Per Line'!$E$2:$E$2501,$L671))</f>
        <v/>
      </c>
    </row>
    <row r="672">
      <c r="A672">
        <f>IF($L672="","",INDEX('Per Line'!$C$2:$C$2501,$L672))</f>
        <v/>
      </c>
      <c r="B672">
        <f>IF($L672="","",INDEX('Per Line'!$D$2:$D$2501,$L672))</f>
        <v/>
      </c>
      <c r="C672">
        <f>IF($L672="","",INDEX('Per Line'!$A$2:$A$2501,$L672))</f>
        <v/>
      </c>
      <c r="F672">
        <f>IF($L672="","",INDEX('Per Line'!$U$2:$U$2501,$L672))</f>
        <v/>
      </c>
      <c r="G672" s="5">
        <f>IF($L672="","",SUMIFS('Per Line'!$W$2:$W$2501,'Per Line'!$D$2:$D$2501,$B672))</f>
        <v/>
      </c>
      <c r="H672" s="5">
        <f>IF($L672="","",SUMIFS('Per Line'!$X$2:$X$2501,'Per Line'!$D$2:$D$2501,$B672))</f>
        <v/>
      </c>
      <c r="I672" s="5">
        <f>IF($L672="","",SUMIFS('Per Line'!$Y$2:$Y$2501,'Per Line'!$D$2:$D$2501,$B672))</f>
        <v/>
      </c>
      <c r="J672" s="5">
        <f>IF($L672="","",G672-H672)</f>
        <v/>
      </c>
      <c r="K672" s="5">
        <f>IF($L672="","",J672-I672)</f>
        <v/>
      </c>
      <c r="L672">
        <f>IF(ROWS($L$2:$L672)&lt;=MAX('Per Line'!$AD$2:$AD$2501),MATCH(ROWS($L$2:$L672),'Per Line'!$AD$2:$AD$2501,0),"")</f>
        <v/>
      </c>
      <c r="M672">
        <f>IF($L672="","",INDEX('Per Line'!$E$2:$E$2501,$L672))</f>
        <v/>
      </c>
    </row>
    <row r="673">
      <c r="A673">
        <f>IF($L673="","",INDEX('Per Line'!$C$2:$C$2501,$L673))</f>
        <v/>
      </c>
      <c r="B673">
        <f>IF($L673="","",INDEX('Per Line'!$D$2:$D$2501,$L673))</f>
        <v/>
      </c>
      <c r="C673">
        <f>IF($L673="","",INDEX('Per Line'!$A$2:$A$2501,$L673))</f>
        <v/>
      </c>
      <c r="F673">
        <f>IF($L673="","",INDEX('Per Line'!$U$2:$U$2501,$L673))</f>
        <v/>
      </c>
      <c r="G673" s="5">
        <f>IF($L673="","",SUMIFS('Per Line'!$W$2:$W$2501,'Per Line'!$D$2:$D$2501,$B673))</f>
        <v/>
      </c>
      <c r="H673" s="5">
        <f>IF($L673="","",SUMIFS('Per Line'!$X$2:$X$2501,'Per Line'!$D$2:$D$2501,$B673))</f>
        <v/>
      </c>
      <c r="I673" s="5">
        <f>IF($L673="","",SUMIFS('Per Line'!$Y$2:$Y$2501,'Per Line'!$D$2:$D$2501,$B673))</f>
        <v/>
      </c>
      <c r="J673" s="5">
        <f>IF($L673="","",G673-H673)</f>
        <v/>
      </c>
      <c r="K673" s="5">
        <f>IF($L673="","",J673-I673)</f>
        <v/>
      </c>
      <c r="L673">
        <f>IF(ROWS($L$2:$L673)&lt;=MAX('Per Line'!$AD$2:$AD$2501),MATCH(ROWS($L$2:$L673),'Per Line'!$AD$2:$AD$2501,0),"")</f>
        <v/>
      </c>
      <c r="M673">
        <f>IF($L673="","",INDEX('Per Line'!$E$2:$E$2501,$L673))</f>
        <v/>
      </c>
    </row>
    <row r="674">
      <c r="A674">
        <f>IF($L674="","",INDEX('Per Line'!$C$2:$C$2501,$L674))</f>
        <v/>
      </c>
      <c r="B674">
        <f>IF($L674="","",INDEX('Per Line'!$D$2:$D$2501,$L674))</f>
        <v/>
      </c>
      <c r="C674">
        <f>IF($L674="","",INDEX('Per Line'!$A$2:$A$2501,$L674))</f>
        <v/>
      </c>
      <c r="F674">
        <f>IF($L674="","",INDEX('Per Line'!$U$2:$U$2501,$L674))</f>
        <v/>
      </c>
      <c r="G674" s="5">
        <f>IF($L674="","",SUMIFS('Per Line'!$W$2:$W$2501,'Per Line'!$D$2:$D$2501,$B674))</f>
        <v/>
      </c>
      <c r="H674" s="5">
        <f>IF($L674="","",SUMIFS('Per Line'!$X$2:$X$2501,'Per Line'!$D$2:$D$2501,$B674))</f>
        <v/>
      </c>
      <c r="I674" s="5">
        <f>IF($L674="","",SUMIFS('Per Line'!$Y$2:$Y$2501,'Per Line'!$D$2:$D$2501,$B674))</f>
        <v/>
      </c>
      <c r="J674" s="5">
        <f>IF($L674="","",G674-H674)</f>
        <v/>
      </c>
      <c r="K674" s="5">
        <f>IF($L674="","",J674-I674)</f>
        <v/>
      </c>
      <c r="L674">
        <f>IF(ROWS($L$2:$L674)&lt;=MAX('Per Line'!$AD$2:$AD$2501),MATCH(ROWS($L$2:$L674),'Per Line'!$AD$2:$AD$2501,0),"")</f>
        <v/>
      </c>
      <c r="M674">
        <f>IF($L674="","",INDEX('Per Line'!$E$2:$E$2501,$L674))</f>
        <v/>
      </c>
    </row>
    <row r="675">
      <c r="A675">
        <f>IF($L675="","",INDEX('Per Line'!$C$2:$C$2501,$L675))</f>
        <v/>
      </c>
      <c r="B675">
        <f>IF($L675="","",INDEX('Per Line'!$D$2:$D$2501,$L675))</f>
        <v/>
      </c>
      <c r="C675">
        <f>IF($L675="","",INDEX('Per Line'!$A$2:$A$2501,$L675))</f>
        <v/>
      </c>
      <c r="F675">
        <f>IF($L675="","",INDEX('Per Line'!$U$2:$U$2501,$L675))</f>
        <v/>
      </c>
      <c r="G675" s="5">
        <f>IF($L675="","",SUMIFS('Per Line'!$W$2:$W$2501,'Per Line'!$D$2:$D$2501,$B675))</f>
        <v/>
      </c>
      <c r="H675" s="5">
        <f>IF($L675="","",SUMIFS('Per Line'!$X$2:$X$2501,'Per Line'!$D$2:$D$2501,$B675))</f>
        <v/>
      </c>
      <c r="I675" s="5">
        <f>IF($L675="","",SUMIFS('Per Line'!$Y$2:$Y$2501,'Per Line'!$D$2:$D$2501,$B675))</f>
        <v/>
      </c>
      <c r="J675" s="5">
        <f>IF($L675="","",G675-H675)</f>
        <v/>
      </c>
      <c r="K675" s="5">
        <f>IF($L675="","",J675-I675)</f>
        <v/>
      </c>
      <c r="L675">
        <f>IF(ROWS($L$2:$L675)&lt;=MAX('Per Line'!$AD$2:$AD$2501),MATCH(ROWS($L$2:$L675),'Per Line'!$AD$2:$AD$2501,0),"")</f>
        <v/>
      </c>
      <c r="M675">
        <f>IF($L675="","",INDEX('Per Line'!$E$2:$E$2501,$L675))</f>
        <v/>
      </c>
    </row>
    <row r="676">
      <c r="A676">
        <f>IF($L676="","",INDEX('Per Line'!$C$2:$C$2501,$L676))</f>
        <v/>
      </c>
      <c r="B676">
        <f>IF($L676="","",INDEX('Per Line'!$D$2:$D$2501,$L676))</f>
        <v/>
      </c>
      <c r="C676">
        <f>IF($L676="","",INDEX('Per Line'!$A$2:$A$2501,$L676))</f>
        <v/>
      </c>
      <c r="F676">
        <f>IF($L676="","",INDEX('Per Line'!$U$2:$U$2501,$L676))</f>
        <v/>
      </c>
      <c r="G676" s="5">
        <f>IF($L676="","",SUMIFS('Per Line'!$W$2:$W$2501,'Per Line'!$D$2:$D$2501,$B676))</f>
        <v/>
      </c>
      <c r="H676" s="5">
        <f>IF($L676="","",SUMIFS('Per Line'!$X$2:$X$2501,'Per Line'!$D$2:$D$2501,$B676))</f>
        <v/>
      </c>
      <c r="I676" s="5">
        <f>IF($L676="","",SUMIFS('Per Line'!$Y$2:$Y$2501,'Per Line'!$D$2:$D$2501,$B676))</f>
        <v/>
      </c>
      <c r="J676" s="5">
        <f>IF($L676="","",G676-H676)</f>
        <v/>
      </c>
      <c r="K676" s="5">
        <f>IF($L676="","",J676-I676)</f>
        <v/>
      </c>
      <c r="L676">
        <f>IF(ROWS($L$2:$L676)&lt;=MAX('Per Line'!$AD$2:$AD$2501),MATCH(ROWS($L$2:$L676),'Per Line'!$AD$2:$AD$2501,0),"")</f>
        <v/>
      </c>
      <c r="M676">
        <f>IF($L676="","",INDEX('Per Line'!$E$2:$E$2501,$L676))</f>
        <v/>
      </c>
    </row>
    <row r="677">
      <c r="A677">
        <f>IF($L677="","",INDEX('Per Line'!$C$2:$C$2501,$L677))</f>
        <v/>
      </c>
      <c r="B677">
        <f>IF($L677="","",INDEX('Per Line'!$D$2:$D$2501,$L677))</f>
        <v/>
      </c>
      <c r="C677">
        <f>IF($L677="","",INDEX('Per Line'!$A$2:$A$2501,$L677))</f>
        <v/>
      </c>
      <c r="F677">
        <f>IF($L677="","",INDEX('Per Line'!$U$2:$U$2501,$L677))</f>
        <v/>
      </c>
      <c r="G677" s="5">
        <f>IF($L677="","",SUMIFS('Per Line'!$W$2:$W$2501,'Per Line'!$D$2:$D$2501,$B677))</f>
        <v/>
      </c>
      <c r="H677" s="5">
        <f>IF($L677="","",SUMIFS('Per Line'!$X$2:$X$2501,'Per Line'!$D$2:$D$2501,$B677))</f>
        <v/>
      </c>
      <c r="I677" s="5">
        <f>IF($L677="","",SUMIFS('Per Line'!$Y$2:$Y$2501,'Per Line'!$D$2:$D$2501,$B677))</f>
        <v/>
      </c>
      <c r="J677" s="5">
        <f>IF($L677="","",G677-H677)</f>
        <v/>
      </c>
      <c r="K677" s="5">
        <f>IF($L677="","",J677-I677)</f>
        <v/>
      </c>
      <c r="L677">
        <f>IF(ROWS($L$2:$L677)&lt;=MAX('Per Line'!$AD$2:$AD$2501),MATCH(ROWS($L$2:$L677),'Per Line'!$AD$2:$AD$2501,0),"")</f>
        <v/>
      </c>
      <c r="M677">
        <f>IF($L677="","",INDEX('Per Line'!$E$2:$E$2501,$L677))</f>
        <v/>
      </c>
    </row>
    <row r="678">
      <c r="A678">
        <f>IF($L678="","",INDEX('Per Line'!$C$2:$C$2501,$L678))</f>
        <v/>
      </c>
      <c r="B678">
        <f>IF($L678="","",INDEX('Per Line'!$D$2:$D$2501,$L678))</f>
        <v/>
      </c>
      <c r="C678">
        <f>IF($L678="","",INDEX('Per Line'!$A$2:$A$2501,$L678))</f>
        <v/>
      </c>
      <c r="F678">
        <f>IF($L678="","",INDEX('Per Line'!$U$2:$U$2501,$L678))</f>
        <v/>
      </c>
      <c r="G678" s="5">
        <f>IF($L678="","",SUMIFS('Per Line'!$W$2:$W$2501,'Per Line'!$D$2:$D$2501,$B678))</f>
        <v/>
      </c>
      <c r="H678" s="5">
        <f>IF($L678="","",SUMIFS('Per Line'!$X$2:$X$2501,'Per Line'!$D$2:$D$2501,$B678))</f>
        <v/>
      </c>
      <c r="I678" s="5">
        <f>IF($L678="","",SUMIFS('Per Line'!$Y$2:$Y$2501,'Per Line'!$D$2:$D$2501,$B678))</f>
        <v/>
      </c>
      <c r="J678" s="5">
        <f>IF($L678="","",G678-H678)</f>
        <v/>
      </c>
      <c r="K678" s="5">
        <f>IF($L678="","",J678-I678)</f>
        <v/>
      </c>
      <c r="L678">
        <f>IF(ROWS($L$2:$L678)&lt;=MAX('Per Line'!$AD$2:$AD$2501),MATCH(ROWS($L$2:$L678),'Per Line'!$AD$2:$AD$2501,0),"")</f>
        <v/>
      </c>
      <c r="M678">
        <f>IF($L678="","",INDEX('Per Line'!$E$2:$E$2501,$L678))</f>
        <v/>
      </c>
    </row>
    <row r="679">
      <c r="A679">
        <f>IF($L679="","",INDEX('Per Line'!$C$2:$C$2501,$L679))</f>
        <v/>
      </c>
      <c r="B679">
        <f>IF($L679="","",INDEX('Per Line'!$D$2:$D$2501,$L679))</f>
        <v/>
      </c>
      <c r="C679">
        <f>IF($L679="","",INDEX('Per Line'!$A$2:$A$2501,$L679))</f>
        <v/>
      </c>
      <c r="F679">
        <f>IF($L679="","",INDEX('Per Line'!$U$2:$U$2501,$L679))</f>
        <v/>
      </c>
      <c r="G679" s="5">
        <f>IF($L679="","",SUMIFS('Per Line'!$W$2:$W$2501,'Per Line'!$D$2:$D$2501,$B679))</f>
        <v/>
      </c>
      <c r="H679" s="5">
        <f>IF($L679="","",SUMIFS('Per Line'!$X$2:$X$2501,'Per Line'!$D$2:$D$2501,$B679))</f>
        <v/>
      </c>
      <c r="I679" s="5">
        <f>IF($L679="","",SUMIFS('Per Line'!$Y$2:$Y$2501,'Per Line'!$D$2:$D$2501,$B679))</f>
        <v/>
      </c>
      <c r="J679" s="5">
        <f>IF($L679="","",G679-H679)</f>
        <v/>
      </c>
      <c r="K679" s="5">
        <f>IF($L679="","",J679-I679)</f>
        <v/>
      </c>
      <c r="L679">
        <f>IF(ROWS($L$2:$L679)&lt;=MAX('Per Line'!$AD$2:$AD$2501),MATCH(ROWS($L$2:$L679),'Per Line'!$AD$2:$AD$2501,0),"")</f>
        <v/>
      </c>
      <c r="M679">
        <f>IF($L679="","",INDEX('Per Line'!$E$2:$E$2501,$L679))</f>
        <v/>
      </c>
    </row>
    <row r="680">
      <c r="A680">
        <f>IF($L680="","",INDEX('Per Line'!$C$2:$C$2501,$L680))</f>
        <v/>
      </c>
      <c r="B680">
        <f>IF($L680="","",INDEX('Per Line'!$D$2:$D$2501,$L680))</f>
        <v/>
      </c>
      <c r="C680">
        <f>IF($L680="","",INDEX('Per Line'!$A$2:$A$2501,$L680))</f>
        <v/>
      </c>
      <c r="F680">
        <f>IF($L680="","",INDEX('Per Line'!$U$2:$U$2501,$L680))</f>
        <v/>
      </c>
      <c r="G680" s="5">
        <f>IF($L680="","",SUMIFS('Per Line'!$W$2:$W$2501,'Per Line'!$D$2:$D$2501,$B680))</f>
        <v/>
      </c>
      <c r="H680" s="5">
        <f>IF($L680="","",SUMIFS('Per Line'!$X$2:$X$2501,'Per Line'!$D$2:$D$2501,$B680))</f>
        <v/>
      </c>
      <c r="I680" s="5">
        <f>IF($L680="","",SUMIFS('Per Line'!$Y$2:$Y$2501,'Per Line'!$D$2:$D$2501,$B680))</f>
        <v/>
      </c>
      <c r="J680" s="5">
        <f>IF($L680="","",G680-H680)</f>
        <v/>
      </c>
      <c r="K680" s="5">
        <f>IF($L680="","",J680-I680)</f>
        <v/>
      </c>
      <c r="L680">
        <f>IF(ROWS($L$2:$L680)&lt;=MAX('Per Line'!$AD$2:$AD$2501),MATCH(ROWS($L$2:$L680),'Per Line'!$AD$2:$AD$2501,0),"")</f>
        <v/>
      </c>
      <c r="M680">
        <f>IF($L680="","",INDEX('Per Line'!$E$2:$E$2501,$L680))</f>
        <v/>
      </c>
    </row>
    <row r="681">
      <c r="A681">
        <f>IF($L681="","",INDEX('Per Line'!$C$2:$C$2501,$L681))</f>
        <v/>
      </c>
      <c r="B681">
        <f>IF($L681="","",INDEX('Per Line'!$D$2:$D$2501,$L681))</f>
        <v/>
      </c>
      <c r="C681">
        <f>IF($L681="","",INDEX('Per Line'!$A$2:$A$2501,$L681))</f>
        <v/>
      </c>
      <c r="F681">
        <f>IF($L681="","",INDEX('Per Line'!$U$2:$U$2501,$L681))</f>
        <v/>
      </c>
      <c r="G681" s="5">
        <f>IF($L681="","",SUMIFS('Per Line'!$W$2:$W$2501,'Per Line'!$D$2:$D$2501,$B681))</f>
        <v/>
      </c>
      <c r="H681" s="5">
        <f>IF($L681="","",SUMIFS('Per Line'!$X$2:$X$2501,'Per Line'!$D$2:$D$2501,$B681))</f>
        <v/>
      </c>
      <c r="I681" s="5">
        <f>IF($L681="","",SUMIFS('Per Line'!$Y$2:$Y$2501,'Per Line'!$D$2:$D$2501,$B681))</f>
        <v/>
      </c>
      <c r="J681" s="5">
        <f>IF($L681="","",G681-H681)</f>
        <v/>
      </c>
      <c r="K681" s="5">
        <f>IF($L681="","",J681-I681)</f>
        <v/>
      </c>
      <c r="L681">
        <f>IF(ROWS($L$2:$L681)&lt;=MAX('Per Line'!$AD$2:$AD$2501),MATCH(ROWS($L$2:$L681),'Per Line'!$AD$2:$AD$2501,0),"")</f>
        <v/>
      </c>
      <c r="M681">
        <f>IF($L681="","",INDEX('Per Line'!$E$2:$E$2501,$L681))</f>
        <v/>
      </c>
    </row>
    <row r="682">
      <c r="A682">
        <f>IF($L682="","",INDEX('Per Line'!$C$2:$C$2501,$L682))</f>
        <v/>
      </c>
      <c r="B682">
        <f>IF($L682="","",INDEX('Per Line'!$D$2:$D$2501,$L682))</f>
        <v/>
      </c>
      <c r="C682">
        <f>IF($L682="","",INDEX('Per Line'!$A$2:$A$2501,$L682))</f>
        <v/>
      </c>
      <c r="F682">
        <f>IF($L682="","",INDEX('Per Line'!$U$2:$U$2501,$L682))</f>
        <v/>
      </c>
      <c r="G682" s="5">
        <f>IF($L682="","",SUMIFS('Per Line'!$W$2:$W$2501,'Per Line'!$D$2:$D$2501,$B682))</f>
        <v/>
      </c>
      <c r="H682" s="5">
        <f>IF($L682="","",SUMIFS('Per Line'!$X$2:$X$2501,'Per Line'!$D$2:$D$2501,$B682))</f>
        <v/>
      </c>
      <c r="I682" s="5">
        <f>IF($L682="","",SUMIFS('Per Line'!$Y$2:$Y$2501,'Per Line'!$D$2:$D$2501,$B682))</f>
        <v/>
      </c>
      <c r="J682" s="5">
        <f>IF($L682="","",G682-H682)</f>
        <v/>
      </c>
      <c r="K682" s="5">
        <f>IF($L682="","",J682-I682)</f>
        <v/>
      </c>
      <c r="L682">
        <f>IF(ROWS($L$2:$L682)&lt;=MAX('Per Line'!$AD$2:$AD$2501),MATCH(ROWS($L$2:$L682),'Per Line'!$AD$2:$AD$2501,0),"")</f>
        <v/>
      </c>
      <c r="M682">
        <f>IF($L682="","",INDEX('Per Line'!$E$2:$E$2501,$L682))</f>
        <v/>
      </c>
    </row>
    <row r="683">
      <c r="A683">
        <f>IF($L683="","",INDEX('Per Line'!$C$2:$C$2501,$L683))</f>
        <v/>
      </c>
      <c r="B683">
        <f>IF($L683="","",INDEX('Per Line'!$D$2:$D$2501,$L683))</f>
        <v/>
      </c>
      <c r="C683">
        <f>IF($L683="","",INDEX('Per Line'!$A$2:$A$2501,$L683))</f>
        <v/>
      </c>
      <c r="F683">
        <f>IF($L683="","",INDEX('Per Line'!$U$2:$U$2501,$L683))</f>
        <v/>
      </c>
      <c r="G683" s="5">
        <f>IF($L683="","",SUMIFS('Per Line'!$W$2:$W$2501,'Per Line'!$D$2:$D$2501,$B683))</f>
        <v/>
      </c>
      <c r="H683" s="5">
        <f>IF($L683="","",SUMIFS('Per Line'!$X$2:$X$2501,'Per Line'!$D$2:$D$2501,$B683))</f>
        <v/>
      </c>
      <c r="I683" s="5">
        <f>IF($L683="","",SUMIFS('Per Line'!$Y$2:$Y$2501,'Per Line'!$D$2:$D$2501,$B683))</f>
        <v/>
      </c>
      <c r="J683" s="5">
        <f>IF($L683="","",G683-H683)</f>
        <v/>
      </c>
      <c r="K683" s="5">
        <f>IF($L683="","",J683-I683)</f>
        <v/>
      </c>
      <c r="L683">
        <f>IF(ROWS($L$2:$L683)&lt;=MAX('Per Line'!$AD$2:$AD$2501),MATCH(ROWS($L$2:$L683),'Per Line'!$AD$2:$AD$2501,0),"")</f>
        <v/>
      </c>
      <c r="M683">
        <f>IF($L683="","",INDEX('Per Line'!$E$2:$E$2501,$L683))</f>
        <v/>
      </c>
    </row>
    <row r="684">
      <c r="A684">
        <f>IF($L684="","",INDEX('Per Line'!$C$2:$C$2501,$L684))</f>
        <v/>
      </c>
      <c r="B684">
        <f>IF($L684="","",INDEX('Per Line'!$D$2:$D$2501,$L684))</f>
        <v/>
      </c>
      <c r="C684">
        <f>IF($L684="","",INDEX('Per Line'!$A$2:$A$2501,$L684))</f>
        <v/>
      </c>
      <c r="F684">
        <f>IF($L684="","",INDEX('Per Line'!$U$2:$U$2501,$L684))</f>
        <v/>
      </c>
      <c r="G684" s="5">
        <f>IF($L684="","",SUMIFS('Per Line'!$W$2:$W$2501,'Per Line'!$D$2:$D$2501,$B684))</f>
        <v/>
      </c>
      <c r="H684" s="5">
        <f>IF($L684="","",SUMIFS('Per Line'!$X$2:$X$2501,'Per Line'!$D$2:$D$2501,$B684))</f>
        <v/>
      </c>
      <c r="I684" s="5">
        <f>IF($L684="","",SUMIFS('Per Line'!$Y$2:$Y$2501,'Per Line'!$D$2:$D$2501,$B684))</f>
        <v/>
      </c>
      <c r="J684" s="5">
        <f>IF($L684="","",G684-H684)</f>
        <v/>
      </c>
      <c r="K684" s="5">
        <f>IF($L684="","",J684-I684)</f>
        <v/>
      </c>
      <c r="L684">
        <f>IF(ROWS($L$2:$L684)&lt;=MAX('Per Line'!$AD$2:$AD$2501),MATCH(ROWS($L$2:$L684),'Per Line'!$AD$2:$AD$2501,0),"")</f>
        <v/>
      </c>
      <c r="M684">
        <f>IF($L684="","",INDEX('Per Line'!$E$2:$E$2501,$L684))</f>
        <v/>
      </c>
    </row>
    <row r="685">
      <c r="A685">
        <f>IF($L685="","",INDEX('Per Line'!$C$2:$C$2501,$L685))</f>
        <v/>
      </c>
      <c r="B685">
        <f>IF($L685="","",INDEX('Per Line'!$D$2:$D$2501,$L685))</f>
        <v/>
      </c>
      <c r="C685">
        <f>IF($L685="","",INDEX('Per Line'!$A$2:$A$2501,$L685))</f>
        <v/>
      </c>
      <c r="F685">
        <f>IF($L685="","",INDEX('Per Line'!$U$2:$U$2501,$L685))</f>
        <v/>
      </c>
      <c r="G685" s="5">
        <f>IF($L685="","",SUMIFS('Per Line'!$W$2:$W$2501,'Per Line'!$D$2:$D$2501,$B685))</f>
        <v/>
      </c>
      <c r="H685" s="5">
        <f>IF($L685="","",SUMIFS('Per Line'!$X$2:$X$2501,'Per Line'!$D$2:$D$2501,$B685))</f>
        <v/>
      </c>
      <c r="I685" s="5">
        <f>IF($L685="","",SUMIFS('Per Line'!$Y$2:$Y$2501,'Per Line'!$D$2:$D$2501,$B685))</f>
        <v/>
      </c>
      <c r="J685" s="5">
        <f>IF($L685="","",G685-H685)</f>
        <v/>
      </c>
      <c r="K685" s="5">
        <f>IF($L685="","",J685-I685)</f>
        <v/>
      </c>
      <c r="L685">
        <f>IF(ROWS($L$2:$L685)&lt;=MAX('Per Line'!$AD$2:$AD$2501),MATCH(ROWS($L$2:$L685),'Per Line'!$AD$2:$AD$2501,0),"")</f>
        <v/>
      </c>
      <c r="M685">
        <f>IF($L685="","",INDEX('Per Line'!$E$2:$E$2501,$L685))</f>
        <v/>
      </c>
    </row>
    <row r="686">
      <c r="A686">
        <f>IF($L686="","",INDEX('Per Line'!$C$2:$C$2501,$L686))</f>
        <v/>
      </c>
      <c r="B686">
        <f>IF($L686="","",INDEX('Per Line'!$D$2:$D$2501,$L686))</f>
        <v/>
      </c>
      <c r="C686">
        <f>IF($L686="","",INDEX('Per Line'!$A$2:$A$2501,$L686))</f>
        <v/>
      </c>
      <c r="F686">
        <f>IF($L686="","",INDEX('Per Line'!$U$2:$U$2501,$L686))</f>
        <v/>
      </c>
      <c r="G686" s="5">
        <f>IF($L686="","",SUMIFS('Per Line'!$W$2:$W$2501,'Per Line'!$D$2:$D$2501,$B686))</f>
        <v/>
      </c>
      <c r="H686" s="5">
        <f>IF($L686="","",SUMIFS('Per Line'!$X$2:$X$2501,'Per Line'!$D$2:$D$2501,$B686))</f>
        <v/>
      </c>
      <c r="I686" s="5">
        <f>IF($L686="","",SUMIFS('Per Line'!$Y$2:$Y$2501,'Per Line'!$D$2:$D$2501,$B686))</f>
        <v/>
      </c>
      <c r="J686" s="5">
        <f>IF($L686="","",G686-H686)</f>
        <v/>
      </c>
      <c r="K686" s="5">
        <f>IF($L686="","",J686-I686)</f>
        <v/>
      </c>
      <c r="L686">
        <f>IF(ROWS($L$2:$L686)&lt;=MAX('Per Line'!$AD$2:$AD$2501),MATCH(ROWS($L$2:$L686),'Per Line'!$AD$2:$AD$2501,0),"")</f>
        <v/>
      </c>
      <c r="M686">
        <f>IF($L686="","",INDEX('Per Line'!$E$2:$E$2501,$L686))</f>
        <v/>
      </c>
    </row>
    <row r="687">
      <c r="A687">
        <f>IF($L687="","",INDEX('Per Line'!$C$2:$C$2501,$L687))</f>
        <v/>
      </c>
      <c r="B687">
        <f>IF($L687="","",INDEX('Per Line'!$D$2:$D$2501,$L687))</f>
        <v/>
      </c>
      <c r="C687">
        <f>IF($L687="","",INDEX('Per Line'!$A$2:$A$2501,$L687))</f>
        <v/>
      </c>
      <c r="F687">
        <f>IF($L687="","",INDEX('Per Line'!$U$2:$U$2501,$L687))</f>
        <v/>
      </c>
      <c r="G687" s="5">
        <f>IF($L687="","",SUMIFS('Per Line'!$W$2:$W$2501,'Per Line'!$D$2:$D$2501,$B687))</f>
        <v/>
      </c>
      <c r="H687" s="5">
        <f>IF($L687="","",SUMIFS('Per Line'!$X$2:$X$2501,'Per Line'!$D$2:$D$2501,$B687))</f>
        <v/>
      </c>
      <c r="I687" s="5">
        <f>IF($L687="","",SUMIFS('Per Line'!$Y$2:$Y$2501,'Per Line'!$D$2:$D$2501,$B687))</f>
        <v/>
      </c>
      <c r="J687" s="5">
        <f>IF($L687="","",G687-H687)</f>
        <v/>
      </c>
      <c r="K687" s="5">
        <f>IF($L687="","",J687-I687)</f>
        <v/>
      </c>
      <c r="L687">
        <f>IF(ROWS($L$2:$L687)&lt;=MAX('Per Line'!$AD$2:$AD$2501),MATCH(ROWS($L$2:$L687),'Per Line'!$AD$2:$AD$2501,0),"")</f>
        <v/>
      </c>
      <c r="M687">
        <f>IF($L687="","",INDEX('Per Line'!$E$2:$E$2501,$L687))</f>
        <v/>
      </c>
    </row>
    <row r="688">
      <c r="A688">
        <f>IF($L688="","",INDEX('Per Line'!$C$2:$C$2501,$L688))</f>
        <v/>
      </c>
      <c r="B688">
        <f>IF($L688="","",INDEX('Per Line'!$D$2:$D$2501,$L688))</f>
        <v/>
      </c>
      <c r="C688">
        <f>IF($L688="","",INDEX('Per Line'!$A$2:$A$2501,$L688))</f>
        <v/>
      </c>
      <c r="F688">
        <f>IF($L688="","",INDEX('Per Line'!$U$2:$U$2501,$L688))</f>
        <v/>
      </c>
      <c r="G688" s="5">
        <f>IF($L688="","",SUMIFS('Per Line'!$W$2:$W$2501,'Per Line'!$D$2:$D$2501,$B688))</f>
        <v/>
      </c>
      <c r="H688" s="5">
        <f>IF($L688="","",SUMIFS('Per Line'!$X$2:$X$2501,'Per Line'!$D$2:$D$2501,$B688))</f>
        <v/>
      </c>
      <c r="I688" s="5">
        <f>IF($L688="","",SUMIFS('Per Line'!$Y$2:$Y$2501,'Per Line'!$D$2:$D$2501,$B688))</f>
        <v/>
      </c>
      <c r="J688" s="5">
        <f>IF($L688="","",G688-H688)</f>
        <v/>
      </c>
      <c r="K688" s="5">
        <f>IF($L688="","",J688-I688)</f>
        <v/>
      </c>
      <c r="L688">
        <f>IF(ROWS($L$2:$L688)&lt;=MAX('Per Line'!$AD$2:$AD$2501),MATCH(ROWS($L$2:$L688),'Per Line'!$AD$2:$AD$2501,0),"")</f>
        <v/>
      </c>
      <c r="M688">
        <f>IF($L688="","",INDEX('Per Line'!$E$2:$E$2501,$L688))</f>
        <v/>
      </c>
    </row>
    <row r="689">
      <c r="A689">
        <f>IF($L689="","",INDEX('Per Line'!$C$2:$C$2501,$L689))</f>
        <v/>
      </c>
      <c r="B689">
        <f>IF($L689="","",INDEX('Per Line'!$D$2:$D$2501,$L689))</f>
        <v/>
      </c>
      <c r="C689">
        <f>IF($L689="","",INDEX('Per Line'!$A$2:$A$2501,$L689))</f>
        <v/>
      </c>
      <c r="F689">
        <f>IF($L689="","",INDEX('Per Line'!$U$2:$U$2501,$L689))</f>
        <v/>
      </c>
      <c r="G689" s="5">
        <f>IF($L689="","",SUMIFS('Per Line'!$W$2:$W$2501,'Per Line'!$D$2:$D$2501,$B689))</f>
        <v/>
      </c>
      <c r="H689" s="5">
        <f>IF($L689="","",SUMIFS('Per Line'!$X$2:$X$2501,'Per Line'!$D$2:$D$2501,$B689))</f>
        <v/>
      </c>
      <c r="I689" s="5">
        <f>IF($L689="","",SUMIFS('Per Line'!$Y$2:$Y$2501,'Per Line'!$D$2:$D$2501,$B689))</f>
        <v/>
      </c>
      <c r="J689" s="5">
        <f>IF($L689="","",G689-H689)</f>
        <v/>
      </c>
      <c r="K689" s="5">
        <f>IF($L689="","",J689-I689)</f>
        <v/>
      </c>
      <c r="L689">
        <f>IF(ROWS($L$2:$L689)&lt;=MAX('Per Line'!$AD$2:$AD$2501),MATCH(ROWS($L$2:$L689),'Per Line'!$AD$2:$AD$2501,0),"")</f>
        <v/>
      </c>
      <c r="M689">
        <f>IF($L689="","",INDEX('Per Line'!$E$2:$E$2501,$L689))</f>
        <v/>
      </c>
    </row>
    <row r="690">
      <c r="A690">
        <f>IF($L690="","",INDEX('Per Line'!$C$2:$C$2501,$L690))</f>
        <v/>
      </c>
      <c r="B690">
        <f>IF($L690="","",INDEX('Per Line'!$D$2:$D$2501,$L690))</f>
        <v/>
      </c>
      <c r="C690">
        <f>IF($L690="","",INDEX('Per Line'!$A$2:$A$2501,$L690))</f>
        <v/>
      </c>
      <c r="F690">
        <f>IF($L690="","",INDEX('Per Line'!$U$2:$U$2501,$L690))</f>
        <v/>
      </c>
      <c r="G690" s="5">
        <f>IF($L690="","",SUMIFS('Per Line'!$W$2:$W$2501,'Per Line'!$D$2:$D$2501,$B690))</f>
        <v/>
      </c>
      <c r="H690" s="5">
        <f>IF($L690="","",SUMIFS('Per Line'!$X$2:$X$2501,'Per Line'!$D$2:$D$2501,$B690))</f>
        <v/>
      </c>
      <c r="I690" s="5">
        <f>IF($L690="","",SUMIFS('Per Line'!$Y$2:$Y$2501,'Per Line'!$D$2:$D$2501,$B690))</f>
        <v/>
      </c>
      <c r="J690" s="5">
        <f>IF($L690="","",G690-H690)</f>
        <v/>
      </c>
      <c r="K690" s="5">
        <f>IF($L690="","",J690-I690)</f>
        <v/>
      </c>
      <c r="L690">
        <f>IF(ROWS($L$2:$L690)&lt;=MAX('Per Line'!$AD$2:$AD$2501),MATCH(ROWS($L$2:$L690),'Per Line'!$AD$2:$AD$2501,0),"")</f>
        <v/>
      </c>
      <c r="M690">
        <f>IF($L690="","",INDEX('Per Line'!$E$2:$E$2501,$L690))</f>
        <v/>
      </c>
    </row>
    <row r="691">
      <c r="A691">
        <f>IF($L691="","",INDEX('Per Line'!$C$2:$C$2501,$L691))</f>
        <v/>
      </c>
      <c r="B691">
        <f>IF($L691="","",INDEX('Per Line'!$D$2:$D$2501,$L691))</f>
        <v/>
      </c>
      <c r="C691">
        <f>IF($L691="","",INDEX('Per Line'!$A$2:$A$2501,$L691))</f>
        <v/>
      </c>
      <c r="F691">
        <f>IF($L691="","",INDEX('Per Line'!$U$2:$U$2501,$L691))</f>
        <v/>
      </c>
      <c r="G691" s="5">
        <f>IF($L691="","",SUMIFS('Per Line'!$W$2:$W$2501,'Per Line'!$D$2:$D$2501,$B691))</f>
        <v/>
      </c>
      <c r="H691" s="5">
        <f>IF($L691="","",SUMIFS('Per Line'!$X$2:$X$2501,'Per Line'!$D$2:$D$2501,$B691))</f>
        <v/>
      </c>
      <c r="I691" s="5">
        <f>IF($L691="","",SUMIFS('Per Line'!$Y$2:$Y$2501,'Per Line'!$D$2:$D$2501,$B691))</f>
        <v/>
      </c>
      <c r="J691" s="5">
        <f>IF($L691="","",G691-H691)</f>
        <v/>
      </c>
      <c r="K691" s="5">
        <f>IF($L691="","",J691-I691)</f>
        <v/>
      </c>
      <c r="L691">
        <f>IF(ROWS($L$2:$L691)&lt;=MAX('Per Line'!$AD$2:$AD$2501),MATCH(ROWS($L$2:$L691),'Per Line'!$AD$2:$AD$2501,0),"")</f>
        <v/>
      </c>
      <c r="M691">
        <f>IF($L691="","",INDEX('Per Line'!$E$2:$E$2501,$L691))</f>
        <v/>
      </c>
    </row>
    <row r="692">
      <c r="A692">
        <f>IF($L692="","",INDEX('Per Line'!$C$2:$C$2501,$L692))</f>
        <v/>
      </c>
      <c r="B692">
        <f>IF($L692="","",INDEX('Per Line'!$D$2:$D$2501,$L692))</f>
        <v/>
      </c>
      <c r="C692">
        <f>IF($L692="","",INDEX('Per Line'!$A$2:$A$2501,$L692))</f>
        <v/>
      </c>
      <c r="F692">
        <f>IF($L692="","",INDEX('Per Line'!$U$2:$U$2501,$L692))</f>
        <v/>
      </c>
      <c r="G692" s="5">
        <f>IF($L692="","",SUMIFS('Per Line'!$W$2:$W$2501,'Per Line'!$D$2:$D$2501,$B692))</f>
        <v/>
      </c>
      <c r="H692" s="5">
        <f>IF($L692="","",SUMIFS('Per Line'!$X$2:$X$2501,'Per Line'!$D$2:$D$2501,$B692))</f>
        <v/>
      </c>
      <c r="I692" s="5">
        <f>IF($L692="","",SUMIFS('Per Line'!$Y$2:$Y$2501,'Per Line'!$D$2:$D$2501,$B692))</f>
        <v/>
      </c>
      <c r="J692" s="5">
        <f>IF($L692="","",G692-H692)</f>
        <v/>
      </c>
      <c r="K692" s="5">
        <f>IF($L692="","",J692-I692)</f>
        <v/>
      </c>
      <c r="L692">
        <f>IF(ROWS($L$2:$L692)&lt;=MAX('Per Line'!$AD$2:$AD$2501),MATCH(ROWS($L$2:$L692),'Per Line'!$AD$2:$AD$2501,0),"")</f>
        <v/>
      </c>
      <c r="M692">
        <f>IF($L692="","",INDEX('Per Line'!$E$2:$E$2501,$L692))</f>
        <v/>
      </c>
    </row>
    <row r="693">
      <c r="A693">
        <f>IF($L693="","",INDEX('Per Line'!$C$2:$C$2501,$L693))</f>
        <v/>
      </c>
      <c r="B693">
        <f>IF($L693="","",INDEX('Per Line'!$D$2:$D$2501,$L693))</f>
        <v/>
      </c>
      <c r="C693">
        <f>IF($L693="","",INDEX('Per Line'!$A$2:$A$2501,$L693))</f>
        <v/>
      </c>
      <c r="F693">
        <f>IF($L693="","",INDEX('Per Line'!$U$2:$U$2501,$L693))</f>
        <v/>
      </c>
      <c r="G693" s="5">
        <f>IF($L693="","",SUMIFS('Per Line'!$W$2:$W$2501,'Per Line'!$D$2:$D$2501,$B693))</f>
        <v/>
      </c>
      <c r="H693" s="5">
        <f>IF($L693="","",SUMIFS('Per Line'!$X$2:$X$2501,'Per Line'!$D$2:$D$2501,$B693))</f>
        <v/>
      </c>
      <c r="I693" s="5">
        <f>IF($L693="","",SUMIFS('Per Line'!$Y$2:$Y$2501,'Per Line'!$D$2:$D$2501,$B693))</f>
        <v/>
      </c>
      <c r="J693" s="5">
        <f>IF($L693="","",G693-H693)</f>
        <v/>
      </c>
      <c r="K693" s="5">
        <f>IF($L693="","",J693-I693)</f>
        <v/>
      </c>
      <c r="L693">
        <f>IF(ROWS($L$2:$L693)&lt;=MAX('Per Line'!$AD$2:$AD$2501),MATCH(ROWS($L$2:$L693),'Per Line'!$AD$2:$AD$2501,0),"")</f>
        <v/>
      </c>
      <c r="M693">
        <f>IF($L693="","",INDEX('Per Line'!$E$2:$E$2501,$L693))</f>
        <v/>
      </c>
    </row>
    <row r="694">
      <c r="A694">
        <f>IF($L694="","",INDEX('Per Line'!$C$2:$C$2501,$L694))</f>
        <v/>
      </c>
      <c r="B694">
        <f>IF($L694="","",INDEX('Per Line'!$D$2:$D$2501,$L694))</f>
        <v/>
      </c>
      <c r="C694">
        <f>IF($L694="","",INDEX('Per Line'!$A$2:$A$2501,$L694))</f>
        <v/>
      </c>
      <c r="F694">
        <f>IF($L694="","",INDEX('Per Line'!$U$2:$U$2501,$L694))</f>
        <v/>
      </c>
      <c r="G694" s="5">
        <f>IF($L694="","",SUMIFS('Per Line'!$W$2:$W$2501,'Per Line'!$D$2:$D$2501,$B694))</f>
        <v/>
      </c>
      <c r="H694" s="5">
        <f>IF($L694="","",SUMIFS('Per Line'!$X$2:$X$2501,'Per Line'!$D$2:$D$2501,$B694))</f>
        <v/>
      </c>
      <c r="I694" s="5">
        <f>IF($L694="","",SUMIFS('Per Line'!$Y$2:$Y$2501,'Per Line'!$D$2:$D$2501,$B694))</f>
        <v/>
      </c>
      <c r="J694" s="5">
        <f>IF($L694="","",G694-H694)</f>
        <v/>
      </c>
      <c r="K694" s="5">
        <f>IF($L694="","",J694-I694)</f>
        <v/>
      </c>
      <c r="L694">
        <f>IF(ROWS($L$2:$L694)&lt;=MAX('Per Line'!$AD$2:$AD$2501),MATCH(ROWS($L$2:$L694),'Per Line'!$AD$2:$AD$2501,0),"")</f>
        <v/>
      </c>
      <c r="M694">
        <f>IF($L694="","",INDEX('Per Line'!$E$2:$E$2501,$L694))</f>
        <v/>
      </c>
    </row>
    <row r="695">
      <c r="A695">
        <f>IF($L695="","",INDEX('Per Line'!$C$2:$C$2501,$L695))</f>
        <v/>
      </c>
      <c r="B695">
        <f>IF($L695="","",INDEX('Per Line'!$D$2:$D$2501,$L695))</f>
        <v/>
      </c>
      <c r="C695">
        <f>IF($L695="","",INDEX('Per Line'!$A$2:$A$2501,$L695))</f>
        <v/>
      </c>
      <c r="F695">
        <f>IF($L695="","",INDEX('Per Line'!$U$2:$U$2501,$L695))</f>
        <v/>
      </c>
      <c r="G695" s="5">
        <f>IF($L695="","",SUMIFS('Per Line'!$W$2:$W$2501,'Per Line'!$D$2:$D$2501,$B695))</f>
        <v/>
      </c>
      <c r="H695" s="5">
        <f>IF($L695="","",SUMIFS('Per Line'!$X$2:$X$2501,'Per Line'!$D$2:$D$2501,$B695))</f>
        <v/>
      </c>
      <c r="I695" s="5">
        <f>IF($L695="","",SUMIFS('Per Line'!$Y$2:$Y$2501,'Per Line'!$D$2:$D$2501,$B695))</f>
        <v/>
      </c>
      <c r="J695" s="5">
        <f>IF($L695="","",G695-H695)</f>
        <v/>
      </c>
      <c r="K695" s="5">
        <f>IF($L695="","",J695-I695)</f>
        <v/>
      </c>
      <c r="L695">
        <f>IF(ROWS($L$2:$L695)&lt;=MAX('Per Line'!$AD$2:$AD$2501),MATCH(ROWS($L$2:$L695),'Per Line'!$AD$2:$AD$2501,0),"")</f>
        <v/>
      </c>
      <c r="M695">
        <f>IF($L695="","",INDEX('Per Line'!$E$2:$E$2501,$L695))</f>
        <v/>
      </c>
    </row>
    <row r="696">
      <c r="A696">
        <f>IF($L696="","",INDEX('Per Line'!$C$2:$C$2501,$L696))</f>
        <v/>
      </c>
      <c r="B696">
        <f>IF($L696="","",INDEX('Per Line'!$D$2:$D$2501,$L696))</f>
        <v/>
      </c>
      <c r="C696">
        <f>IF($L696="","",INDEX('Per Line'!$A$2:$A$2501,$L696))</f>
        <v/>
      </c>
      <c r="F696">
        <f>IF($L696="","",INDEX('Per Line'!$U$2:$U$2501,$L696))</f>
        <v/>
      </c>
      <c r="G696" s="5">
        <f>IF($L696="","",SUMIFS('Per Line'!$W$2:$W$2501,'Per Line'!$D$2:$D$2501,$B696))</f>
        <v/>
      </c>
      <c r="H696" s="5">
        <f>IF($L696="","",SUMIFS('Per Line'!$X$2:$X$2501,'Per Line'!$D$2:$D$2501,$B696))</f>
        <v/>
      </c>
      <c r="I696" s="5">
        <f>IF($L696="","",SUMIFS('Per Line'!$Y$2:$Y$2501,'Per Line'!$D$2:$D$2501,$B696))</f>
        <v/>
      </c>
      <c r="J696" s="5">
        <f>IF($L696="","",G696-H696)</f>
        <v/>
      </c>
      <c r="K696" s="5">
        <f>IF($L696="","",J696-I696)</f>
        <v/>
      </c>
      <c r="L696">
        <f>IF(ROWS($L$2:$L696)&lt;=MAX('Per Line'!$AD$2:$AD$2501),MATCH(ROWS($L$2:$L696),'Per Line'!$AD$2:$AD$2501,0),"")</f>
        <v/>
      </c>
      <c r="M696">
        <f>IF($L696="","",INDEX('Per Line'!$E$2:$E$2501,$L696))</f>
        <v/>
      </c>
    </row>
    <row r="697">
      <c r="A697">
        <f>IF($L697="","",INDEX('Per Line'!$C$2:$C$2501,$L697))</f>
        <v/>
      </c>
      <c r="B697">
        <f>IF($L697="","",INDEX('Per Line'!$D$2:$D$2501,$L697))</f>
        <v/>
      </c>
      <c r="C697">
        <f>IF($L697="","",INDEX('Per Line'!$A$2:$A$2501,$L697))</f>
        <v/>
      </c>
      <c r="F697">
        <f>IF($L697="","",INDEX('Per Line'!$U$2:$U$2501,$L697))</f>
        <v/>
      </c>
      <c r="G697" s="5">
        <f>IF($L697="","",SUMIFS('Per Line'!$W$2:$W$2501,'Per Line'!$D$2:$D$2501,$B697))</f>
        <v/>
      </c>
      <c r="H697" s="5">
        <f>IF($L697="","",SUMIFS('Per Line'!$X$2:$X$2501,'Per Line'!$D$2:$D$2501,$B697))</f>
        <v/>
      </c>
      <c r="I697" s="5">
        <f>IF($L697="","",SUMIFS('Per Line'!$Y$2:$Y$2501,'Per Line'!$D$2:$D$2501,$B697))</f>
        <v/>
      </c>
      <c r="J697" s="5">
        <f>IF($L697="","",G697-H697)</f>
        <v/>
      </c>
      <c r="K697" s="5">
        <f>IF($L697="","",J697-I697)</f>
        <v/>
      </c>
      <c r="L697">
        <f>IF(ROWS($L$2:$L697)&lt;=MAX('Per Line'!$AD$2:$AD$2501),MATCH(ROWS($L$2:$L697),'Per Line'!$AD$2:$AD$2501,0),"")</f>
        <v/>
      </c>
      <c r="M697">
        <f>IF($L697="","",INDEX('Per Line'!$E$2:$E$2501,$L697))</f>
        <v/>
      </c>
    </row>
    <row r="698">
      <c r="A698">
        <f>IF($L698="","",INDEX('Per Line'!$C$2:$C$2501,$L698))</f>
        <v/>
      </c>
      <c r="B698">
        <f>IF($L698="","",INDEX('Per Line'!$D$2:$D$2501,$L698))</f>
        <v/>
      </c>
      <c r="C698">
        <f>IF($L698="","",INDEX('Per Line'!$A$2:$A$2501,$L698))</f>
        <v/>
      </c>
      <c r="F698">
        <f>IF($L698="","",INDEX('Per Line'!$U$2:$U$2501,$L698))</f>
        <v/>
      </c>
      <c r="G698" s="5">
        <f>IF($L698="","",SUMIFS('Per Line'!$W$2:$W$2501,'Per Line'!$D$2:$D$2501,$B698))</f>
        <v/>
      </c>
      <c r="H698" s="5">
        <f>IF($L698="","",SUMIFS('Per Line'!$X$2:$X$2501,'Per Line'!$D$2:$D$2501,$B698))</f>
        <v/>
      </c>
      <c r="I698" s="5">
        <f>IF($L698="","",SUMIFS('Per Line'!$Y$2:$Y$2501,'Per Line'!$D$2:$D$2501,$B698))</f>
        <v/>
      </c>
      <c r="J698" s="5">
        <f>IF($L698="","",G698-H698)</f>
        <v/>
      </c>
      <c r="K698" s="5">
        <f>IF($L698="","",J698-I698)</f>
        <v/>
      </c>
      <c r="L698">
        <f>IF(ROWS($L$2:$L698)&lt;=MAX('Per Line'!$AD$2:$AD$2501),MATCH(ROWS($L$2:$L698),'Per Line'!$AD$2:$AD$2501,0),"")</f>
        <v/>
      </c>
      <c r="M698">
        <f>IF($L698="","",INDEX('Per Line'!$E$2:$E$2501,$L698))</f>
        <v/>
      </c>
    </row>
    <row r="699">
      <c r="A699">
        <f>IF($L699="","",INDEX('Per Line'!$C$2:$C$2501,$L699))</f>
        <v/>
      </c>
      <c r="B699">
        <f>IF($L699="","",INDEX('Per Line'!$D$2:$D$2501,$L699))</f>
        <v/>
      </c>
      <c r="C699">
        <f>IF($L699="","",INDEX('Per Line'!$A$2:$A$2501,$L699))</f>
        <v/>
      </c>
      <c r="F699">
        <f>IF($L699="","",INDEX('Per Line'!$U$2:$U$2501,$L699))</f>
        <v/>
      </c>
      <c r="G699" s="5">
        <f>IF($L699="","",SUMIFS('Per Line'!$W$2:$W$2501,'Per Line'!$D$2:$D$2501,$B699))</f>
        <v/>
      </c>
      <c r="H699" s="5">
        <f>IF($L699="","",SUMIFS('Per Line'!$X$2:$X$2501,'Per Line'!$D$2:$D$2501,$B699))</f>
        <v/>
      </c>
      <c r="I699" s="5">
        <f>IF($L699="","",SUMIFS('Per Line'!$Y$2:$Y$2501,'Per Line'!$D$2:$D$2501,$B699))</f>
        <v/>
      </c>
      <c r="J699" s="5">
        <f>IF($L699="","",G699-H699)</f>
        <v/>
      </c>
      <c r="K699" s="5">
        <f>IF($L699="","",J699-I699)</f>
        <v/>
      </c>
      <c r="L699">
        <f>IF(ROWS($L$2:$L699)&lt;=MAX('Per Line'!$AD$2:$AD$2501),MATCH(ROWS($L$2:$L699),'Per Line'!$AD$2:$AD$2501,0),"")</f>
        <v/>
      </c>
      <c r="M699">
        <f>IF($L699="","",INDEX('Per Line'!$E$2:$E$2501,$L699))</f>
        <v/>
      </c>
    </row>
    <row r="700">
      <c r="A700">
        <f>IF($L700="","",INDEX('Per Line'!$C$2:$C$2501,$L700))</f>
        <v/>
      </c>
      <c r="B700">
        <f>IF($L700="","",INDEX('Per Line'!$D$2:$D$2501,$L700))</f>
        <v/>
      </c>
      <c r="C700">
        <f>IF($L700="","",INDEX('Per Line'!$A$2:$A$2501,$L700))</f>
        <v/>
      </c>
      <c r="F700">
        <f>IF($L700="","",INDEX('Per Line'!$U$2:$U$2501,$L700))</f>
        <v/>
      </c>
      <c r="G700" s="5">
        <f>IF($L700="","",SUMIFS('Per Line'!$W$2:$W$2501,'Per Line'!$D$2:$D$2501,$B700))</f>
        <v/>
      </c>
      <c r="H700" s="5">
        <f>IF($L700="","",SUMIFS('Per Line'!$X$2:$X$2501,'Per Line'!$D$2:$D$2501,$B700))</f>
        <v/>
      </c>
      <c r="I700" s="5">
        <f>IF($L700="","",SUMIFS('Per Line'!$Y$2:$Y$2501,'Per Line'!$D$2:$D$2501,$B700))</f>
        <v/>
      </c>
      <c r="J700" s="5">
        <f>IF($L700="","",G700-H700)</f>
        <v/>
      </c>
      <c r="K700" s="5">
        <f>IF($L700="","",J700-I700)</f>
        <v/>
      </c>
      <c r="L700">
        <f>IF(ROWS($L$2:$L700)&lt;=MAX('Per Line'!$AD$2:$AD$2501),MATCH(ROWS($L$2:$L700),'Per Line'!$AD$2:$AD$2501,0),"")</f>
        <v/>
      </c>
      <c r="M700">
        <f>IF($L700="","",INDEX('Per Line'!$E$2:$E$2501,$L700))</f>
        <v/>
      </c>
    </row>
    <row r="701">
      <c r="A701">
        <f>IF($L701="","",INDEX('Per Line'!$C$2:$C$2501,$L701))</f>
        <v/>
      </c>
      <c r="B701">
        <f>IF($L701="","",INDEX('Per Line'!$D$2:$D$2501,$L701))</f>
        <v/>
      </c>
      <c r="C701">
        <f>IF($L701="","",INDEX('Per Line'!$A$2:$A$2501,$L701))</f>
        <v/>
      </c>
      <c r="F701">
        <f>IF($L701="","",INDEX('Per Line'!$U$2:$U$2501,$L701))</f>
        <v/>
      </c>
      <c r="G701" s="5">
        <f>IF($L701="","",SUMIFS('Per Line'!$W$2:$W$2501,'Per Line'!$D$2:$D$2501,$B701))</f>
        <v/>
      </c>
      <c r="H701" s="5">
        <f>IF($L701="","",SUMIFS('Per Line'!$X$2:$X$2501,'Per Line'!$D$2:$D$2501,$B701))</f>
        <v/>
      </c>
      <c r="I701" s="5">
        <f>IF($L701="","",SUMIFS('Per Line'!$Y$2:$Y$2501,'Per Line'!$D$2:$D$2501,$B701))</f>
        <v/>
      </c>
      <c r="J701" s="5">
        <f>IF($L701="","",G701-H701)</f>
        <v/>
      </c>
      <c r="K701" s="5">
        <f>IF($L701="","",J701-I701)</f>
        <v/>
      </c>
      <c r="L701">
        <f>IF(ROWS($L$2:$L701)&lt;=MAX('Per Line'!$AD$2:$AD$2501),MATCH(ROWS($L$2:$L701),'Per Line'!$AD$2:$AD$2501,0),"")</f>
        <v/>
      </c>
      <c r="M701">
        <f>IF($L701="","",INDEX('Per Line'!$E$2:$E$2501,$L701))</f>
        <v/>
      </c>
    </row>
  </sheetData>
  <autoFilter ref="A1:M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2026-10-12T12:41:42Z</dcterms:created>
  <dcterms:modified xmlns:dcterms="http://purl.org/dc/terms/" xmlns:xsi="http://www.w3.org/2001/XMLSchema-instance" xsi:type="dcterms:W3CDTF">2026-10-12T12:41:42Z</dcterms:modified>
</cp:coreProperties>
</file>